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2"/>
  <workbookPr defaultThemeVersion="202300"/>
  <mc:AlternateContent xmlns:mc="http://schemas.openxmlformats.org/markup-compatibility/2006">
    <mc:Choice Requires="x15">
      <x15ac:absPath xmlns:x15ac="http://schemas.microsoft.com/office/spreadsheetml/2010/11/ac" url="/Users/macbookair/Desktop/"/>
    </mc:Choice>
  </mc:AlternateContent>
  <xr:revisionPtr revIDLastSave="0" documentId="8_{C346FF4B-9CFB-E04A-A402-0E8422171290}" xr6:coauthVersionLast="47" xr6:coauthVersionMax="47" xr10:uidLastSave="{00000000-0000-0000-0000-000000000000}"/>
  <bookViews>
    <workbookView xWindow="0" yWindow="500" windowWidth="38400" windowHeight="18100" activeTab="3" xr2:uid="{F0ED2FFD-6F8E-7745-9B3A-503748861E86}"/>
  </bookViews>
  <sheets>
    <sheet name="Bakery_Sales_Data_2024" sheetId="1" r:id="rId1"/>
    <sheet name="KPI" sheetId="2" r:id="rId2"/>
    <sheet name="KPI2" sheetId="4" r:id="rId3"/>
    <sheet name="data trends" sheetId="5" r:id="rId4"/>
    <sheet name="Dashboard" sheetId="3" r:id="rId5"/>
  </sheets>
  <definedNames>
    <definedName name="Slicer_order_month">#N/A</definedName>
  </definedNames>
  <calcPr calcId="191029"/>
  <pivotCaches>
    <pivotCache cacheId="1"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 i="1" l="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D1502" i="1"/>
  <c r="D1503" i="1"/>
  <c r="D1504" i="1"/>
  <c r="D1505" i="1"/>
  <c r="D1506" i="1"/>
  <c r="D1507" i="1"/>
  <c r="D1508" i="1"/>
  <c r="D1509" i="1"/>
  <c r="D1510" i="1"/>
  <c r="D1511" i="1"/>
  <c r="D1512" i="1"/>
  <c r="D1513" i="1"/>
  <c r="D1514" i="1"/>
  <c r="D1515" i="1"/>
  <c r="D1516" i="1"/>
  <c r="D1517" i="1"/>
  <c r="D1518" i="1"/>
  <c r="D1519" i="1"/>
  <c r="D1520" i="1"/>
  <c r="D1521" i="1"/>
  <c r="D1522" i="1"/>
  <c r="D1523" i="1"/>
  <c r="D1524" i="1"/>
  <c r="D1525" i="1"/>
  <c r="D1526" i="1"/>
  <c r="D1527" i="1"/>
  <c r="D1528" i="1"/>
  <c r="D1529" i="1"/>
  <c r="D1530" i="1"/>
  <c r="D1531" i="1"/>
  <c r="D1532" i="1"/>
  <c r="D1533" i="1"/>
  <c r="D1534" i="1"/>
  <c r="D1535" i="1"/>
  <c r="D1536" i="1"/>
  <c r="D1537" i="1"/>
  <c r="D1538" i="1"/>
  <c r="D1539" i="1"/>
  <c r="D1540" i="1"/>
  <c r="D1541" i="1"/>
  <c r="D1542" i="1"/>
  <c r="D1543" i="1"/>
  <c r="D1544" i="1"/>
  <c r="D1545" i="1"/>
  <c r="D1546" i="1"/>
  <c r="D1547" i="1"/>
  <c r="D1548" i="1"/>
  <c r="D1549" i="1"/>
  <c r="D1550" i="1"/>
  <c r="D1551" i="1"/>
  <c r="D1552" i="1"/>
  <c r="D1553" i="1"/>
  <c r="D1554" i="1"/>
  <c r="D1555" i="1"/>
  <c r="D1556" i="1"/>
  <c r="D1557" i="1"/>
  <c r="D1558" i="1"/>
  <c r="D1559" i="1"/>
  <c r="D1560" i="1"/>
  <c r="D1561" i="1"/>
  <c r="D1562" i="1"/>
  <c r="D1563" i="1"/>
  <c r="D1564" i="1"/>
  <c r="D1565" i="1"/>
  <c r="D1566" i="1"/>
  <c r="D1567" i="1"/>
  <c r="D1568" i="1"/>
  <c r="D1569" i="1"/>
  <c r="D1570" i="1"/>
  <c r="D1571" i="1"/>
  <c r="D1572" i="1"/>
  <c r="D1573" i="1"/>
  <c r="D1574" i="1"/>
  <c r="D1575" i="1"/>
  <c r="D1576" i="1"/>
  <c r="D1577" i="1"/>
  <c r="D1578" i="1"/>
  <c r="D1579" i="1"/>
  <c r="D1580" i="1"/>
  <c r="D1581" i="1"/>
  <c r="D1582" i="1"/>
  <c r="D1583" i="1"/>
  <c r="D1584" i="1"/>
  <c r="D1585" i="1"/>
  <c r="D1586" i="1"/>
  <c r="D1587" i="1"/>
  <c r="D1588" i="1"/>
  <c r="D1589" i="1"/>
  <c r="D1590" i="1"/>
  <c r="D1591" i="1"/>
  <c r="D1592" i="1"/>
  <c r="D1593" i="1"/>
  <c r="D1594" i="1"/>
  <c r="D1595" i="1"/>
  <c r="D1596" i="1"/>
  <c r="D1597" i="1"/>
  <c r="D1598" i="1"/>
  <c r="D1599" i="1"/>
  <c r="D1600" i="1"/>
  <c r="D1601" i="1"/>
  <c r="D1602" i="1"/>
  <c r="D1603" i="1"/>
  <c r="D1604" i="1"/>
  <c r="D1605" i="1"/>
  <c r="D1606" i="1"/>
  <c r="D1607" i="1"/>
  <c r="D1608" i="1"/>
  <c r="D1609" i="1"/>
  <c r="D1610" i="1"/>
  <c r="D1611" i="1"/>
  <c r="D1612" i="1"/>
  <c r="D1613" i="1"/>
  <c r="D1614" i="1"/>
  <c r="D1615" i="1"/>
  <c r="D1616" i="1"/>
  <c r="D1617" i="1"/>
  <c r="D1618" i="1"/>
  <c r="D1619" i="1"/>
  <c r="D1620" i="1"/>
  <c r="D1621" i="1"/>
  <c r="D1622" i="1"/>
  <c r="D1623" i="1"/>
  <c r="D1624" i="1"/>
  <c r="D1625" i="1"/>
  <c r="D1626" i="1"/>
  <c r="D1627" i="1"/>
  <c r="D1628" i="1"/>
  <c r="D1629" i="1"/>
  <c r="D1630" i="1"/>
  <c r="D1631" i="1"/>
  <c r="D1632" i="1"/>
  <c r="D1633" i="1"/>
  <c r="D1634" i="1"/>
  <c r="D1635" i="1"/>
  <c r="D1636" i="1"/>
  <c r="D1637" i="1"/>
  <c r="D1638" i="1"/>
  <c r="D1639" i="1"/>
  <c r="D1640" i="1"/>
  <c r="D1641" i="1"/>
  <c r="D1642" i="1"/>
  <c r="D1643" i="1"/>
  <c r="D1644" i="1"/>
  <c r="D1645" i="1"/>
  <c r="D1646" i="1"/>
  <c r="D1647" i="1"/>
  <c r="D1648" i="1"/>
  <c r="D1649" i="1"/>
  <c r="D1650" i="1"/>
  <c r="D1651" i="1"/>
  <c r="D1652" i="1"/>
  <c r="D1653" i="1"/>
  <c r="D1654" i="1"/>
  <c r="D1655" i="1"/>
  <c r="D1656" i="1"/>
  <c r="D1657" i="1"/>
  <c r="D1658" i="1"/>
  <c r="D1659" i="1"/>
  <c r="D1660" i="1"/>
  <c r="D1661" i="1"/>
  <c r="D1662" i="1"/>
  <c r="D1663" i="1"/>
  <c r="D1664" i="1"/>
  <c r="D1665" i="1"/>
  <c r="D1666" i="1"/>
  <c r="D1667" i="1"/>
  <c r="D1668" i="1"/>
  <c r="D1669" i="1"/>
  <c r="D1670" i="1"/>
  <c r="D1671" i="1"/>
  <c r="D1672" i="1"/>
  <c r="D1673" i="1"/>
  <c r="D1674" i="1"/>
  <c r="D1675" i="1"/>
  <c r="D1676" i="1"/>
  <c r="D1677" i="1"/>
  <c r="D1678" i="1"/>
  <c r="D1679" i="1"/>
  <c r="D1680" i="1"/>
  <c r="D1681" i="1"/>
  <c r="D1682" i="1"/>
  <c r="D1683" i="1"/>
  <c r="D1684" i="1"/>
  <c r="D1685" i="1"/>
  <c r="D1686" i="1"/>
  <c r="D1687" i="1"/>
  <c r="D1688" i="1"/>
  <c r="D1689" i="1"/>
  <c r="D1690" i="1"/>
  <c r="D1691" i="1"/>
  <c r="D1692" i="1"/>
  <c r="D1693" i="1"/>
  <c r="D1694" i="1"/>
  <c r="D1695" i="1"/>
  <c r="D1696" i="1"/>
  <c r="D1697" i="1"/>
  <c r="D1698" i="1"/>
  <c r="D1699" i="1"/>
  <c r="D1700" i="1"/>
  <c r="D1701" i="1"/>
  <c r="D1702" i="1"/>
  <c r="D1703" i="1"/>
  <c r="D1704" i="1"/>
  <c r="D1705" i="1"/>
  <c r="D1706" i="1"/>
  <c r="D1707" i="1"/>
  <c r="D1708" i="1"/>
  <c r="D1709" i="1"/>
  <c r="D1710" i="1"/>
  <c r="D1711" i="1"/>
  <c r="D1712" i="1"/>
  <c r="D1713" i="1"/>
  <c r="D1714" i="1"/>
  <c r="D1715" i="1"/>
  <c r="D1716" i="1"/>
  <c r="D1717" i="1"/>
  <c r="D1718" i="1"/>
  <c r="D1719" i="1"/>
  <c r="D1720" i="1"/>
  <c r="D1721" i="1"/>
  <c r="D1722" i="1"/>
  <c r="D1723" i="1"/>
  <c r="D1724" i="1"/>
  <c r="D1725" i="1"/>
  <c r="D1726" i="1"/>
  <c r="D1727" i="1"/>
  <c r="D1728" i="1"/>
  <c r="D1729" i="1"/>
  <c r="D1730" i="1"/>
  <c r="D1731" i="1"/>
  <c r="D1732" i="1"/>
  <c r="D1733" i="1"/>
  <c r="D1734" i="1"/>
  <c r="D1735" i="1"/>
  <c r="D1736" i="1"/>
  <c r="D1737" i="1"/>
  <c r="D1738" i="1"/>
  <c r="D1739" i="1"/>
  <c r="D1740" i="1"/>
  <c r="D1741" i="1"/>
  <c r="D1742" i="1"/>
  <c r="D1743" i="1"/>
  <c r="D1744" i="1"/>
  <c r="D1745" i="1"/>
  <c r="D1746" i="1"/>
  <c r="D1747" i="1"/>
  <c r="D1748" i="1"/>
  <c r="D1749" i="1"/>
  <c r="D1750" i="1"/>
  <c r="D1751" i="1"/>
  <c r="D1752" i="1"/>
  <c r="D1753" i="1"/>
  <c r="D1754" i="1"/>
  <c r="D1755" i="1"/>
  <c r="D1756" i="1"/>
  <c r="D1757" i="1"/>
  <c r="D1758" i="1"/>
  <c r="D1759" i="1"/>
  <c r="D1760" i="1"/>
  <c r="D1761" i="1"/>
  <c r="D1762" i="1"/>
  <c r="D1763" i="1"/>
  <c r="D1764" i="1"/>
  <c r="D1765" i="1"/>
  <c r="D1766" i="1"/>
  <c r="D1767" i="1"/>
  <c r="D1768" i="1"/>
  <c r="D1769" i="1"/>
  <c r="D1770" i="1"/>
  <c r="D1771" i="1"/>
  <c r="D1772" i="1"/>
  <c r="D1773" i="1"/>
  <c r="D1774" i="1"/>
  <c r="D1775" i="1"/>
  <c r="D1776" i="1"/>
  <c r="D1777" i="1"/>
  <c r="D1778" i="1"/>
  <c r="D1779" i="1"/>
  <c r="D1780" i="1"/>
  <c r="D1781" i="1"/>
  <c r="D1782" i="1"/>
  <c r="D1783" i="1"/>
  <c r="D1784" i="1"/>
  <c r="D1785" i="1"/>
  <c r="D1786" i="1"/>
  <c r="D1787" i="1"/>
  <c r="D1788" i="1"/>
  <c r="D1789" i="1"/>
  <c r="D1790" i="1"/>
  <c r="D1791" i="1"/>
  <c r="D1792" i="1"/>
  <c r="D1793" i="1"/>
  <c r="D1794" i="1"/>
  <c r="D1795" i="1"/>
  <c r="D1796" i="1"/>
  <c r="D1797" i="1"/>
  <c r="D1798" i="1"/>
  <c r="D1799" i="1"/>
  <c r="D1800" i="1"/>
  <c r="D1801" i="1"/>
  <c r="D1802" i="1"/>
  <c r="D1803" i="1"/>
  <c r="D1804" i="1"/>
  <c r="D1805" i="1"/>
  <c r="D1806" i="1"/>
  <c r="D1807" i="1"/>
  <c r="D1808" i="1"/>
  <c r="D1809" i="1"/>
  <c r="D1810" i="1"/>
  <c r="D1811" i="1"/>
  <c r="D1812" i="1"/>
  <c r="D1813" i="1"/>
  <c r="D1814" i="1"/>
  <c r="D1815" i="1"/>
  <c r="D1816" i="1"/>
  <c r="D1817" i="1"/>
  <c r="D1818" i="1"/>
  <c r="D1819" i="1"/>
  <c r="D1820" i="1"/>
  <c r="D1821" i="1"/>
  <c r="D1822" i="1"/>
  <c r="D1823" i="1"/>
  <c r="D1824" i="1"/>
  <c r="D1825" i="1"/>
  <c r="D1826" i="1"/>
  <c r="D1827" i="1"/>
  <c r="D1828" i="1"/>
  <c r="D1829" i="1"/>
  <c r="D1830" i="1"/>
  <c r="D1831" i="1"/>
  <c r="D1832" i="1"/>
  <c r="D1833" i="1"/>
  <c r="D1834" i="1"/>
  <c r="D1835" i="1"/>
  <c r="D1836" i="1"/>
  <c r="D1837" i="1"/>
  <c r="D1838" i="1"/>
  <c r="D1839" i="1"/>
  <c r="D1840" i="1"/>
  <c r="D1841" i="1"/>
  <c r="D1842" i="1"/>
  <c r="D1843" i="1"/>
  <c r="D1844" i="1"/>
  <c r="D1845" i="1"/>
  <c r="D1846" i="1"/>
  <c r="D1847" i="1"/>
  <c r="D1848" i="1"/>
  <c r="D1849" i="1"/>
  <c r="D1850" i="1"/>
  <c r="D1851" i="1"/>
  <c r="D1852" i="1"/>
  <c r="D1853" i="1"/>
  <c r="D1854" i="1"/>
  <c r="D1855" i="1"/>
  <c r="D1856" i="1"/>
  <c r="D1857" i="1"/>
  <c r="D1858" i="1"/>
  <c r="D1859" i="1"/>
  <c r="D1860" i="1"/>
  <c r="D1861" i="1"/>
  <c r="D1862" i="1"/>
  <c r="D1863" i="1"/>
  <c r="D1864" i="1"/>
  <c r="D1865" i="1"/>
  <c r="D1866" i="1"/>
  <c r="D1867" i="1"/>
  <c r="D1868" i="1"/>
  <c r="D1869" i="1"/>
  <c r="D1870" i="1"/>
  <c r="D1871" i="1"/>
  <c r="D1872" i="1"/>
  <c r="D1873" i="1"/>
  <c r="D1874" i="1"/>
  <c r="D1875" i="1"/>
  <c r="D1876" i="1"/>
  <c r="D1877" i="1"/>
  <c r="D1878" i="1"/>
  <c r="D1879" i="1"/>
  <c r="D1880" i="1"/>
  <c r="D1881" i="1"/>
  <c r="D1882" i="1"/>
  <c r="D1883" i="1"/>
  <c r="D1884" i="1"/>
  <c r="D1885" i="1"/>
  <c r="D1886" i="1"/>
  <c r="D1887" i="1"/>
  <c r="D1888" i="1"/>
  <c r="D1889" i="1"/>
  <c r="D1890" i="1"/>
  <c r="D1891" i="1"/>
  <c r="D1892" i="1"/>
  <c r="D1893" i="1"/>
  <c r="D1894" i="1"/>
  <c r="D1895" i="1"/>
  <c r="D1896" i="1"/>
  <c r="D1897" i="1"/>
  <c r="D1898" i="1"/>
  <c r="D1899" i="1"/>
  <c r="D1900" i="1"/>
  <c r="D1901" i="1"/>
  <c r="D1902" i="1"/>
  <c r="D1903" i="1"/>
  <c r="D1904" i="1"/>
  <c r="D1905" i="1"/>
  <c r="D1906" i="1"/>
  <c r="D1907" i="1"/>
  <c r="D1908" i="1"/>
  <c r="D1909" i="1"/>
  <c r="D1910" i="1"/>
  <c r="D1911" i="1"/>
  <c r="D1912" i="1"/>
  <c r="D1913" i="1"/>
  <c r="D1914" i="1"/>
  <c r="D1915" i="1"/>
  <c r="D1916" i="1"/>
  <c r="D1917" i="1"/>
  <c r="D1918" i="1"/>
  <c r="D1919" i="1"/>
  <c r="D1920" i="1"/>
  <c r="D1921" i="1"/>
  <c r="D1922" i="1"/>
  <c r="D1923" i="1"/>
  <c r="D1924" i="1"/>
  <c r="D1925" i="1"/>
  <c r="D1926" i="1"/>
  <c r="D1927" i="1"/>
  <c r="D1928" i="1"/>
  <c r="D1929" i="1"/>
  <c r="D1930" i="1"/>
  <c r="D1931" i="1"/>
  <c r="D1932" i="1"/>
  <c r="D1933" i="1"/>
  <c r="D1934" i="1"/>
  <c r="D1935" i="1"/>
  <c r="D1936" i="1"/>
  <c r="D1937" i="1"/>
  <c r="D1938" i="1"/>
  <c r="D1939" i="1"/>
  <c r="D1940" i="1"/>
  <c r="D1941" i="1"/>
  <c r="D1942" i="1"/>
  <c r="D1943" i="1"/>
  <c r="D1944" i="1"/>
  <c r="D1945" i="1"/>
  <c r="D1946" i="1"/>
  <c r="D1947" i="1"/>
  <c r="D1948" i="1"/>
  <c r="D1949" i="1"/>
  <c r="D1950" i="1"/>
  <c r="D1951" i="1"/>
  <c r="D1952" i="1"/>
  <c r="D1953" i="1"/>
  <c r="D1954" i="1"/>
  <c r="D1955" i="1"/>
  <c r="D1956" i="1"/>
  <c r="D1957" i="1"/>
  <c r="D1958" i="1"/>
  <c r="D1959" i="1"/>
  <c r="D1960" i="1"/>
  <c r="D1961" i="1"/>
  <c r="D1962" i="1"/>
  <c r="D1963" i="1"/>
  <c r="D1964" i="1"/>
  <c r="D1965" i="1"/>
  <c r="D1966" i="1"/>
  <c r="D1967" i="1"/>
  <c r="D1968" i="1"/>
  <c r="D1969" i="1"/>
  <c r="D1970" i="1"/>
  <c r="D1971" i="1"/>
  <c r="D1972" i="1"/>
  <c r="D1973" i="1"/>
  <c r="D1974" i="1"/>
  <c r="D1975" i="1"/>
  <c r="D1976" i="1"/>
  <c r="D1977" i="1"/>
  <c r="D1978" i="1"/>
  <c r="D1979" i="1"/>
  <c r="D1980" i="1"/>
  <c r="D1981" i="1"/>
  <c r="D1982" i="1"/>
  <c r="D1983" i="1"/>
  <c r="D1984" i="1"/>
  <c r="D1985" i="1"/>
  <c r="D1986" i="1"/>
  <c r="D1987" i="1"/>
  <c r="D1988" i="1"/>
  <c r="D1989" i="1"/>
  <c r="D1990" i="1"/>
  <c r="D1991" i="1"/>
  <c r="D1992" i="1"/>
  <c r="D1993" i="1"/>
  <c r="D1994" i="1"/>
  <c r="D1995" i="1"/>
  <c r="D1996" i="1"/>
  <c r="D1997" i="1"/>
  <c r="D1998" i="1"/>
  <c r="D1999" i="1"/>
  <c r="D2000" i="1"/>
  <c r="D2001" i="1"/>
  <c r="D2002" i="1"/>
  <c r="D2003" i="1"/>
  <c r="D2004" i="1"/>
  <c r="D2005" i="1"/>
  <c r="D2006" i="1"/>
  <c r="D2007" i="1"/>
  <c r="D2008" i="1"/>
  <c r="D2009" i="1"/>
  <c r="D2010" i="1"/>
  <c r="D2011" i="1"/>
  <c r="D2012" i="1"/>
  <c r="D2013" i="1"/>
  <c r="D2014" i="1"/>
  <c r="D2015" i="1"/>
  <c r="D2016" i="1"/>
  <c r="D2017" i="1"/>
  <c r="D2018" i="1"/>
  <c r="D2019" i="1"/>
  <c r="D2020" i="1"/>
  <c r="D2021" i="1"/>
  <c r="D2022" i="1"/>
  <c r="D2023" i="1"/>
  <c r="D2024" i="1"/>
  <c r="D2025" i="1"/>
  <c r="D2026" i="1"/>
  <c r="D2027" i="1"/>
  <c r="D2028" i="1"/>
  <c r="D2029" i="1"/>
  <c r="D2030" i="1"/>
  <c r="D2031" i="1"/>
  <c r="D2032" i="1"/>
  <c r="D2033" i="1"/>
  <c r="D2034" i="1"/>
  <c r="D2035" i="1"/>
  <c r="D2036" i="1"/>
  <c r="D2037" i="1"/>
  <c r="D2038" i="1"/>
  <c r="D2039" i="1"/>
  <c r="D2040" i="1"/>
  <c r="D2041" i="1"/>
  <c r="D2042" i="1"/>
  <c r="D2043" i="1"/>
  <c r="D2044" i="1"/>
  <c r="D2045" i="1"/>
  <c r="D2046" i="1"/>
  <c r="D2047" i="1"/>
  <c r="D2048" i="1"/>
  <c r="D2049" i="1"/>
  <c r="D2050" i="1"/>
  <c r="D2051" i="1"/>
  <c r="D2052" i="1"/>
  <c r="D2053" i="1"/>
  <c r="D2054" i="1"/>
  <c r="D2055" i="1"/>
  <c r="D2056" i="1"/>
  <c r="D2057" i="1"/>
  <c r="D2058" i="1"/>
  <c r="D2059" i="1"/>
  <c r="D2060" i="1"/>
  <c r="D2061" i="1"/>
  <c r="D2062" i="1"/>
  <c r="D2063" i="1"/>
  <c r="D2064" i="1"/>
  <c r="D2065" i="1"/>
  <c r="D2066" i="1"/>
  <c r="D2067" i="1"/>
  <c r="D2068" i="1"/>
  <c r="D2069" i="1"/>
  <c r="D2070" i="1"/>
  <c r="D2071" i="1"/>
  <c r="D2072" i="1"/>
  <c r="D2073" i="1"/>
  <c r="D2074" i="1"/>
  <c r="D2075" i="1"/>
  <c r="D2076" i="1"/>
  <c r="D2077" i="1"/>
  <c r="D2078" i="1"/>
  <c r="D2079" i="1"/>
  <c r="D2080" i="1"/>
  <c r="D2081" i="1"/>
  <c r="D2082" i="1"/>
  <c r="D2083" i="1"/>
  <c r="D2084" i="1"/>
  <c r="D2085" i="1"/>
  <c r="D2086" i="1"/>
  <c r="D2087" i="1"/>
  <c r="D2088" i="1"/>
  <c r="D2089" i="1"/>
  <c r="D2090" i="1"/>
  <c r="D2091" i="1"/>
  <c r="D2092" i="1"/>
  <c r="D2093" i="1"/>
  <c r="D2094" i="1"/>
  <c r="D2095" i="1"/>
  <c r="D2096" i="1"/>
  <c r="D2097" i="1"/>
  <c r="D2098" i="1"/>
  <c r="D2099" i="1"/>
  <c r="D2100" i="1"/>
  <c r="D2101" i="1"/>
  <c r="D2102" i="1"/>
  <c r="D2103" i="1"/>
  <c r="D2104" i="1"/>
  <c r="D2105" i="1"/>
  <c r="D2106" i="1"/>
  <c r="D2107" i="1"/>
  <c r="D2108" i="1"/>
  <c r="D2109" i="1"/>
  <c r="D2110" i="1"/>
  <c r="D2111" i="1"/>
  <c r="D2112" i="1"/>
  <c r="D2113" i="1"/>
  <c r="D2114" i="1"/>
  <c r="D2115" i="1"/>
  <c r="D2116" i="1"/>
  <c r="D2117" i="1"/>
  <c r="D2118" i="1"/>
  <c r="D2119" i="1"/>
  <c r="D2120" i="1"/>
  <c r="D2121" i="1"/>
  <c r="D2122" i="1"/>
  <c r="D2123" i="1"/>
  <c r="D2124" i="1"/>
  <c r="D2125" i="1"/>
  <c r="D2126" i="1"/>
  <c r="D2127" i="1"/>
  <c r="D2128" i="1"/>
  <c r="D2129" i="1"/>
  <c r="D2130" i="1"/>
  <c r="D2131" i="1"/>
  <c r="D2132" i="1"/>
  <c r="D2133" i="1"/>
  <c r="D2134" i="1"/>
  <c r="D2135" i="1"/>
  <c r="D2136" i="1"/>
  <c r="D2137" i="1"/>
  <c r="D2138" i="1"/>
  <c r="D2139" i="1"/>
  <c r="D2140" i="1"/>
  <c r="D2141" i="1"/>
  <c r="D2142" i="1"/>
  <c r="D2143" i="1"/>
  <c r="D2144" i="1"/>
  <c r="D2145" i="1"/>
  <c r="D2146" i="1"/>
  <c r="D2147" i="1"/>
  <c r="D2148" i="1"/>
  <c r="D2149" i="1"/>
  <c r="D2150" i="1"/>
  <c r="D2151" i="1"/>
  <c r="D2152" i="1"/>
  <c r="D2153" i="1"/>
  <c r="D2154" i="1"/>
  <c r="D2155" i="1"/>
  <c r="D2156" i="1"/>
  <c r="D2157" i="1"/>
  <c r="D2158" i="1"/>
  <c r="D2159" i="1"/>
  <c r="D2160" i="1"/>
  <c r="D2161" i="1"/>
  <c r="D2162" i="1"/>
  <c r="D2163" i="1"/>
  <c r="D2164" i="1"/>
  <c r="D2165" i="1"/>
  <c r="D2166" i="1"/>
  <c r="D2167" i="1"/>
  <c r="D2168" i="1"/>
  <c r="D2169" i="1"/>
  <c r="D2170" i="1"/>
  <c r="D2171" i="1"/>
  <c r="D2172" i="1"/>
  <c r="D2173" i="1"/>
  <c r="D2174" i="1"/>
  <c r="D2175" i="1"/>
  <c r="D2176" i="1"/>
  <c r="D2177" i="1"/>
  <c r="D2178" i="1"/>
  <c r="D2179" i="1"/>
  <c r="D2180" i="1"/>
  <c r="D2181" i="1"/>
  <c r="D2182" i="1"/>
  <c r="D2183" i="1"/>
  <c r="D2184" i="1"/>
  <c r="D2185" i="1"/>
  <c r="D2186" i="1"/>
  <c r="D2187" i="1"/>
  <c r="D2188" i="1"/>
  <c r="D2189" i="1"/>
  <c r="D2190" i="1"/>
  <c r="D2191" i="1"/>
  <c r="D2192" i="1"/>
  <c r="D2193" i="1"/>
  <c r="D2194" i="1"/>
  <c r="D2195" i="1"/>
  <c r="D2196" i="1"/>
  <c r="D2197" i="1"/>
  <c r="D2198" i="1"/>
  <c r="D2199" i="1"/>
  <c r="D2200" i="1"/>
  <c r="D2201" i="1"/>
  <c r="D2202" i="1"/>
  <c r="D2203" i="1"/>
  <c r="D2204" i="1"/>
  <c r="D2205" i="1"/>
  <c r="D2206" i="1"/>
  <c r="D2207" i="1"/>
  <c r="D2208" i="1"/>
  <c r="D2209" i="1"/>
  <c r="D2210" i="1"/>
  <c r="D2211" i="1"/>
  <c r="D2212" i="1"/>
  <c r="D2213" i="1"/>
  <c r="D2214" i="1"/>
  <c r="D2215" i="1"/>
  <c r="D2216" i="1"/>
  <c r="D2217" i="1"/>
  <c r="D2218" i="1"/>
  <c r="D2219" i="1"/>
  <c r="D2220" i="1"/>
  <c r="D2221" i="1"/>
  <c r="D2222" i="1"/>
  <c r="D2223" i="1"/>
  <c r="D2224" i="1"/>
  <c r="D2225" i="1"/>
  <c r="D2226" i="1"/>
  <c r="D2227" i="1"/>
  <c r="D2228" i="1"/>
  <c r="D2229" i="1"/>
  <c r="D2230" i="1"/>
  <c r="D2231" i="1"/>
  <c r="D2232" i="1"/>
  <c r="D2233" i="1"/>
  <c r="D2234" i="1"/>
  <c r="D2235" i="1"/>
  <c r="D2236" i="1"/>
  <c r="D2237" i="1"/>
  <c r="D2238" i="1"/>
  <c r="D2239" i="1"/>
  <c r="D2240" i="1"/>
  <c r="D2241" i="1"/>
  <c r="D2242" i="1"/>
  <c r="D2243" i="1"/>
  <c r="D2244" i="1"/>
  <c r="D2245" i="1"/>
  <c r="D2246" i="1"/>
  <c r="D2247" i="1"/>
  <c r="D2248" i="1"/>
  <c r="D2249" i="1"/>
  <c r="D2250" i="1"/>
  <c r="D2251" i="1"/>
  <c r="D2252" i="1"/>
  <c r="D2253" i="1"/>
  <c r="D2254" i="1"/>
  <c r="D2255" i="1"/>
  <c r="D2256" i="1"/>
  <c r="D2257" i="1"/>
  <c r="D2258" i="1"/>
  <c r="D2259" i="1"/>
  <c r="D2260" i="1"/>
  <c r="D2261" i="1"/>
  <c r="D2262" i="1"/>
  <c r="D2263" i="1"/>
  <c r="D2264" i="1"/>
  <c r="D2265" i="1"/>
  <c r="D2266" i="1"/>
  <c r="D2267" i="1"/>
  <c r="D2268" i="1"/>
  <c r="D2269" i="1"/>
  <c r="D2270" i="1"/>
  <c r="D2271" i="1"/>
  <c r="D2272" i="1"/>
  <c r="D2273" i="1"/>
  <c r="D2274" i="1"/>
  <c r="D2275" i="1"/>
  <c r="D2276" i="1"/>
  <c r="D2277" i="1"/>
  <c r="D2278" i="1"/>
  <c r="D2279" i="1"/>
  <c r="D2280" i="1"/>
  <c r="D2281" i="1"/>
  <c r="D2282" i="1"/>
  <c r="D2283" i="1"/>
  <c r="D2284" i="1"/>
  <c r="D2285" i="1"/>
  <c r="D2286" i="1"/>
  <c r="D2287" i="1"/>
  <c r="D2288" i="1"/>
  <c r="D2289" i="1"/>
  <c r="D2290" i="1"/>
  <c r="D2291" i="1"/>
  <c r="D2292" i="1"/>
  <c r="D2293" i="1"/>
  <c r="D2294" i="1"/>
  <c r="D2295" i="1"/>
  <c r="D2296" i="1"/>
  <c r="D2297" i="1"/>
  <c r="D2298" i="1"/>
  <c r="D2299" i="1"/>
  <c r="D2300" i="1"/>
  <c r="D2301" i="1"/>
  <c r="D2302" i="1"/>
  <c r="D2303" i="1"/>
  <c r="D2304" i="1"/>
  <c r="D2305" i="1"/>
  <c r="D2306" i="1"/>
  <c r="D2307" i="1"/>
  <c r="D2308" i="1"/>
  <c r="D2309" i="1"/>
  <c r="D2310" i="1"/>
  <c r="D2311" i="1"/>
  <c r="D2312" i="1"/>
  <c r="D2313" i="1"/>
  <c r="D2314" i="1"/>
  <c r="D2315" i="1"/>
  <c r="D2316" i="1"/>
  <c r="D2317" i="1"/>
  <c r="D2318" i="1"/>
  <c r="D2319" i="1"/>
  <c r="D2320" i="1"/>
  <c r="D2321" i="1"/>
  <c r="D2322" i="1"/>
  <c r="D2323" i="1"/>
  <c r="D2324" i="1"/>
  <c r="D2325" i="1"/>
  <c r="D2326" i="1"/>
  <c r="D2327" i="1"/>
  <c r="D2328" i="1"/>
  <c r="D2329" i="1"/>
  <c r="D2330" i="1"/>
  <c r="D2331" i="1"/>
  <c r="D2332" i="1"/>
  <c r="D2333" i="1"/>
  <c r="D2334" i="1"/>
  <c r="D2335" i="1"/>
  <c r="D2336" i="1"/>
  <c r="D2337" i="1"/>
  <c r="D2338" i="1"/>
  <c r="D2339" i="1"/>
  <c r="D2340" i="1"/>
  <c r="D2341" i="1"/>
  <c r="D2342" i="1"/>
  <c r="D2343" i="1"/>
  <c r="D2344" i="1"/>
  <c r="D2345" i="1"/>
  <c r="D2346" i="1"/>
  <c r="D2347" i="1"/>
  <c r="D2348" i="1"/>
  <c r="D2349" i="1"/>
  <c r="D2350" i="1"/>
  <c r="D2351" i="1"/>
  <c r="D2352" i="1"/>
  <c r="D2353" i="1"/>
  <c r="D2354" i="1"/>
  <c r="D2355" i="1"/>
  <c r="D2356" i="1"/>
  <c r="D2357" i="1"/>
  <c r="D2358" i="1"/>
  <c r="D2359" i="1"/>
  <c r="D2360" i="1"/>
  <c r="D2361" i="1"/>
  <c r="D2362" i="1"/>
  <c r="D2363" i="1"/>
  <c r="D2364" i="1"/>
  <c r="D2365" i="1"/>
  <c r="D2366" i="1"/>
  <c r="D2367" i="1"/>
  <c r="D2368" i="1"/>
  <c r="D2369" i="1"/>
  <c r="D2370" i="1"/>
  <c r="D2371" i="1"/>
  <c r="D2372" i="1"/>
  <c r="D2373" i="1"/>
  <c r="D2374" i="1"/>
  <c r="D2375" i="1"/>
  <c r="D2376" i="1"/>
  <c r="D2377" i="1"/>
  <c r="D2378" i="1"/>
  <c r="D2379" i="1"/>
  <c r="D2380" i="1"/>
  <c r="D2381" i="1"/>
  <c r="D2382" i="1"/>
  <c r="D2383" i="1"/>
  <c r="D2384" i="1"/>
  <c r="D2385" i="1"/>
  <c r="D2386" i="1"/>
  <c r="D2387" i="1"/>
  <c r="D2388" i="1"/>
  <c r="D2389" i="1"/>
  <c r="D2390" i="1"/>
  <c r="D2391" i="1"/>
  <c r="D2392" i="1"/>
  <c r="D2393" i="1"/>
  <c r="D2394" i="1"/>
  <c r="D2395" i="1"/>
  <c r="D2396" i="1"/>
  <c r="D2397" i="1"/>
  <c r="D2398" i="1"/>
  <c r="D2399" i="1"/>
  <c r="D2400" i="1"/>
  <c r="D2401" i="1"/>
  <c r="D2402" i="1"/>
  <c r="D2403" i="1"/>
  <c r="D2404" i="1"/>
  <c r="D2405" i="1"/>
  <c r="D2406" i="1"/>
  <c r="D2407" i="1"/>
  <c r="D2408" i="1"/>
  <c r="D2409" i="1"/>
  <c r="D2410" i="1"/>
  <c r="D2411" i="1"/>
  <c r="D2412" i="1"/>
  <c r="D2413" i="1"/>
  <c r="D2414" i="1"/>
  <c r="D2415" i="1"/>
  <c r="D2416" i="1"/>
  <c r="D2417" i="1"/>
  <c r="D2418" i="1"/>
  <c r="D2419" i="1"/>
  <c r="D2420" i="1"/>
  <c r="D2421" i="1"/>
  <c r="D2422" i="1"/>
  <c r="D2423" i="1"/>
  <c r="D2424" i="1"/>
  <c r="D2425" i="1"/>
  <c r="D2426" i="1"/>
  <c r="D2427" i="1"/>
  <c r="D2428" i="1"/>
  <c r="D2429" i="1"/>
  <c r="D2430" i="1"/>
  <c r="D2431" i="1"/>
  <c r="D2432" i="1"/>
  <c r="D2433" i="1"/>
  <c r="D2434" i="1"/>
  <c r="D2435" i="1"/>
  <c r="D2436" i="1"/>
  <c r="D2437" i="1"/>
  <c r="D2438" i="1"/>
  <c r="D2439" i="1"/>
  <c r="D2440" i="1"/>
  <c r="D2441" i="1"/>
  <c r="D2442" i="1"/>
  <c r="D2443" i="1"/>
  <c r="D2444" i="1"/>
  <c r="D2445" i="1"/>
  <c r="D2446" i="1"/>
  <c r="D2447" i="1"/>
  <c r="D2448" i="1"/>
  <c r="D2449" i="1"/>
  <c r="D2450" i="1"/>
  <c r="D2451" i="1"/>
  <c r="D2452" i="1"/>
  <c r="D2453" i="1"/>
  <c r="D2454" i="1"/>
  <c r="D2455" i="1"/>
  <c r="D2456" i="1"/>
  <c r="D2457" i="1"/>
  <c r="D2458" i="1"/>
  <c r="D2459" i="1"/>
  <c r="D2460" i="1"/>
  <c r="D2461" i="1"/>
  <c r="D2462" i="1"/>
  <c r="D2463" i="1"/>
  <c r="D2464" i="1"/>
  <c r="D2465" i="1"/>
  <c r="D2466" i="1"/>
  <c r="D2467" i="1"/>
  <c r="D2468" i="1"/>
  <c r="D2469" i="1"/>
  <c r="D2470" i="1"/>
  <c r="D2471" i="1"/>
  <c r="D2472" i="1"/>
  <c r="D2473" i="1"/>
  <c r="D2474" i="1"/>
  <c r="D2475" i="1"/>
  <c r="D2476" i="1"/>
  <c r="D2477" i="1"/>
  <c r="D2478" i="1"/>
  <c r="D2479" i="1"/>
  <c r="D2480" i="1"/>
  <c r="D2481" i="1"/>
  <c r="D2482" i="1"/>
  <c r="D2483" i="1"/>
  <c r="D2484" i="1"/>
  <c r="D2485" i="1"/>
  <c r="D2486" i="1"/>
  <c r="D2487" i="1"/>
  <c r="D2488" i="1"/>
  <c r="D2489" i="1"/>
  <c r="D2490" i="1"/>
  <c r="D2491" i="1"/>
  <c r="D2492" i="1"/>
  <c r="D2493" i="1"/>
  <c r="D2494" i="1"/>
  <c r="D2495" i="1"/>
  <c r="D2496" i="1"/>
  <c r="D2497" i="1"/>
  <c r="D2498" i="1"/>
  <c r="D2499" i="1"/>
  <c r="D2500" i="1"/>
  <c r="D2501" i="1"/>
  <c r="D2502" i="1"/>
  <c r="D2503" i="1"/>
  <c r="D2504" i="1"/>
  <c r="D2505" i="1"/>
  <c r="D2506" i="1"/>
  <c r="D2507" i="1"/>
  <c r="D2508" i="1"/>
  <c r="D2509" i="1"/>
  <c r="D2510" i="1"/>
  <c r="D2511" i="1"/>
  <c r="D2512" i="1"/>
  <c r="D2513" i="1"/>
  <c r="D2514" i="1"/>
  <c r="D2515" i="1"/>
  <c r="D2516" i="1"/>
  <c r="D2517" i="1"/>
  <c r="D2518" i="1"/>
  <c r="D2519" i="1"/>
  <c r="D2520" i="1"/>
  <c r="D2521" i="1"/>
  <c r="D2522" i="1"/>
  <c r="D2523" i="1"/>
  <c r="D2524" i="1"/>
  <c r="D2525" i="1"/>
  <c r="D2526" i="1"/>
  <c r="D2527" i="1"/>
  <c r="D2528" i="1"/>
  <c r="D2529" i="1"/>
  <c r="D2530" i="1"/>
  <c r="D2531" i="1"/>
  <c r="D2532" i="1"/>
  <c r="D2533" i="1"/>
  <c r="D2534" i="1"/>
  <c r="D2535" i="1"/>
  <c r="D2536" i="1"/>
  <c r="D2537" i="1"/>
  <c r="D2538" i="1"/>
  <c r="D2539" i="1"/>
  <c r="D2540" i="1"/>
  <c r="D2541" i="1"/>
  <c r="D2542" i="1"/>
  <c r="D2543" i="1"/>
  <c r="D2544" i="1"/>
  <c r="D2545" i="1"/>
  <c r="D2546" i="1"/>
  <c r="D2547" i="1"/>
  <c r="D2548" i="1"/>
  <c r="D2549" i="1"/>
  <c r="D2550" i="1"/>
  <c r="D2551" i="1"/>
  <c r="D2552" i="1"/>
  <c r="D2553" i="1"/>
  <c r="D2554" i="1"/>
  <c r="D2555" i="1"/>
  <c r="D2556" i="1"/>
  <c r="D2557" i="1"/>
  <c r="D2558" i="1"/>
  <c r="D2559" i="1"/>
  <c r="D2560" i="1"/>
  <c r="D2561" i="1"/>
  <c r="D2562" i="1"/>
  <c r="D2563" i="1"/>
  <c r="D2564" i="1"/>
  <c r="D2565" i="1"/>
  <c r="D2566" i="1"/>
  <c r="D2567" i="1"/>
  <c r="D2568" i="1"/>
  <c r="D2569" i="1"/>
  <c r="D2570" i="1"/>
  <c r="D2571" i="1"/>
  <c r="D2572" i="1"/>
  <c r="D2573" i="1"/>
  <c r="D2574" i="1"/>
  <c r="D2575" i="1"/>
  <c r="D2576" i="1"/>
  <c r="D2577" i="1"/>
  <c r="D2578" i="1"/>
  <c r="D2579" i="1"/>
  <c r="D2580" i="1"/>
  <c r="D2581" i="1"/>
  <c r="D2582" i="1"/>
  <c r="D2583" i="1"/>
  <c r="D2584" i="1"/>
  <c r="D2585" i="1"/>
  <c r="D2586" i="1"/>
  <c r="D2587" i="1"/>
  <c r="D2588" i="1"/>
  <c r="D2589" i="1"/>
  <c r="D2590" i="1"/>
  <c r="D2591" i="1"/>
  <c r="D2592" i="1"/>
  <c r="D2593" i="1"/>
  <c r="D2594" i="1"/>
  <c r="D2595" i="1"/>
  <c r="D2596" i="1"/>
  <c r="D2597" i="1"/>
  <c r="D2598" i="1"/>
  <c r="D2599" i="1"/>
  <c r="D2600" i="1"/>
  <c r="D2601" i="1"/>
  <c r="D2602" i="1"/>
  <c r="D2603" i="1"/>
  <c r="D2604" i="1"/>
  <c r="D2605" i="1"/>
  <c r="D2606" i="1"/>
  <c r="D2607" i="1"/>
  <c r="D2608" i="1"/>
  <c r="D2609" i="1"/>
  <c r="D2610" i="1"/>
  <c r="D2611" i="1"/>
  <c r="D2612" i="1"/>
  <c r="D2613" i="1"/>
  <c r="D2614" i="1"/>
  <c r="D2615" i="1"/>
  <c r="D2616" i="1"/>
  <c r="D2617" i="1"/>
  <c r="D2618" i="1"/>
  <c r="D2619" i="1"/>
  <c r="D2620" i="1"/>
  <c r="D2621" i="1"/>
  <c r="D2622" i="1"/>
  <c r="D2623" i="1"/>
  <c r="D2624" i="1"/>
  <c r="D2625" i="1"/>
  <c r="D2626" i="1"/>
  <c r="D2627" i="1"/>
  <c r="D2628" i="1"/>
  <c r="D2629" i="1"/>
  <c r="D2630" i="1"/>
  <c r="D2631" i="1"/>
  <c r="D2632" i="1"/>
  <c r="D2633" i="1"/>
  <c r="D2634" i="1"/>
  <c r="D2635" i="1"/>
  <c r="D2636" i="1"/>
  <c r="D2637" i="1"/>
  <c r="D2638" i="1"/>
  <c r="D2639" i="1"/>
  <c r="D2640" i="1"/>
  <c r="D2641" i="1"/>
  <c r="D2642" i="1"/>
  <c r="D2643" i="1"/>
  <c r="D2644" i="1"/>
  <c r="D2645" i="1"/>
  <c r="D2646" i="1"/>
  <c r="D2647" i="1"/>
  <c r="D2648" i="1"/>
  <c r="D2649" i="1"/>
  <c r="D2650" i="1"/>
  <c r="D2651" i="1"/>
  <c r="D2652" i="1"/>
  <c r="D2653" i="1"/>
  <c r="D2654" i="1"/>
  <c r="D2655" i="1"/>
  <c r="D2656" i="1"/>
  <c r="D2657" i="1"/>
  <c r="D2658" i="1"/>
  <c r="D2659" i="1"/>
  <c r="D2660" i="1"/>
  <c r="D2661" i="1"/>
  <c r="D2662" i="1"/>
  <c r="D2663" i="1"/>
  <c r="D2664" i="1"/>
  <c r="D2665" i="1"/>
  <c r="D2666" i="1"/>
  <c r="D2667" i="1"/>
  <c r="D2668" i="1"/>
  <c r="D2669" i="1"/>
  <c r="D2670" i="1"/>
  <c r="D2671" i="1"/>
  <c r="D2672" i="1"/>
  <c r="D2673" i="1"/>
  <c r="D2674" i="1"/>
  <c r="D2675" i="1"/>
  <c r="D2676" i="1"/>
  <c r="D2677" i="1"/>
  <c r="D2678" i="1"/>
  <c r="D2679" i="1"/>
  <c r="D2680" i="1"/>
  <c r="D2681" i="1"/>
  <c r="D2682" i="1"/>
  <c r="D2683" i="1"/>
  <c r="D2684" i="1"/>
  <c r="D2685" i="1"/>
  <c r="D2686" i="1"/>
  <c r="D2687" i="1"/>
  <c r="D2688" i="1"/>
  <c r="D2689" i="1"/>
  <c r="D2690" i="1"/>
  <c r="D2691" i="1"/>
  <c r="D2692" i="1"/>
  <c r="D2693" i="1"/>
  <c r="D2694" i="1"/>
  <c r="D2695" i="1"/>
  <c r="D2696" i="1"/>
  <c r="D2697" i="1"/>
  <c r="D2698" i="1"/>
  <c r="D2699" i="1"/>
  <c r="D2700" i="1"/>
  <c r="D2701" i="1"/>
  <c r="D2702" i="1"/>
  <c r="D2703" i="1"/>
  <c r="D2704" i="1"/>
  <c r="D2705" i="1"/>
  <c r="D2706" i="1"/>
  <c r="D2707" i="1"/>
  <c r="D2708" i="1"/>
  <c r="D2709" i="1"/>
  <c r="D2710" i="1"/>
  <c r="D2711" i="1"/>
  <c r="D2712" i="1"/>
  <c r="D2713" i="1"/>
  <c r="D2714" i="1"/>
  <c r="D2715" i="1"/>
  <c r="D2716" i="1"/>
  <c r="D2717" i="1"/>
  <c r="D2718" i="1"/>
  <c r="D2719" i="1"/>
  <c r="D2720" i="1"/>
  <c r="D2721" i="1"/>
  <c r="D2722" i="1"/>
  <c r="D2723" i="1"/>
  <c r="D2724" i="1"/>
  <c r="D2725" i="1"/>
  <c r="D2726" i="1"/>
  <c r="D2727" i="1"/>
  <c r="D2728" i="1"/>
  <c r="D2729" i="1"/>
  <c r="D2730" i="1"/>
  <c r="D2731" i="1"/>
  <c r="D2732" i="1"/>
  <c r="D2733" i="1"/>
  <c r="D2734" i="1"/>
  <c r="D2735" i="1"/>
  <c r="D2736" i="1"/>
  <c r="D2737" i="1"/>
  <c r="D2738" i="1"/>
  <c r="D2739" i="1"/>
  <c r="D2740" i="1"/>
  <c r="D2741" i="1"/>
  <c r="D2742" i="1"/>
  <c r="D2743" i="1"/>
  <c r="D2744" i="1"/>
  <c r="D2745" i="1"/>
  <c r="D2746" i="1"/>
  <c r="D2747" i="1"/>
  <c r="D2748" i="1"/>
  <c r="D2749" i="1"/>
  <c r="D2750" i="1"/>
  <c r="D2751" i="1"/>
  <c r="D2752" i="1"/>
  <c r="D2753" i="1"/>
  <c r="D2754" i="1"/>
  <c r="D2755" i="1"/>
  <c r="D2756" i="1"/>
  <c r="D2757" i="1"/>
  <c r="D2758" i="1"/>
  <c r="D2759" i="1"/>
  <c r="D2760" i="1"/>
  <c r="D2761" i="1"/>
  <c r="D2762" i="1"/>
  <c r="D2763" i="1"/>
  <c r="D2764" i="1"/>
  <c r="D2765" i="1"/>
  <c r="D2766" i="1"/>
  <c r="D2767" i="1"/>
  <c r="D2768" i="1"/>
  <c r="D2769" i="1"/>
  <c r="D2770" i="1"/>
  <c r="D2771" i="1"/>
  <c r="D2772" i="1"/>
  <c r="D2773" i="1"/>
  <c r="D2774" i="1"/>
  <c r="D2775" i="1"/>
  <c r="D2776" i="1"/>
  <c r="D2777" i="1"/>
  <c r="D2778" i="1"/>
  <c r="D2779" i="1"/>
  <c r="D2780" i="1"/>
  <c r="D2781" i="1"/>
  <c r="D2782" i="1"/>
  <c r="D2783" i="1"/>
  <c r="D2784" i="1"/>
  <c r="D2785" i="1"/>
  <c r="D2786" i="1"/>
  <c r="D2787" i="1"/>
  <c r="D2788" i="1"/>
  <c r="D2789" i="1"/>
  <c r="D2790" i="1"/>
  <c r="D2791" i="1"/>
  <c r="D2792" i="1"/>
  <c r="D2793" i="1"/>
  <c r="D2794" i="1"/>
  <c r="D2795" i="1"/>
  <c r="D2796" i="1"/>
  <c r="D2797" i="1"/>
  <c r="D2798" i="1"/>
  <c r="D2799" i="1"/>
  <c r="D2800" i="1"/>
  <c r="D2801" i="1"/>
  <c r="D2802" i="1"/>
  <c r="D2803" i="1"/>
  <c r="D2804" i="1"/>
  <c r="D2805" i="1"/>
  <c r="D2806" i="1"/>
  <c r="D2807" i="1"/>
  <c r="D2808" i="1"/>
  <c r="D2809" i="1"/>
  <c r="D2810" i="1"/>
  <c r="D2811" i="1"/>
  <c r="D2812" i="1"/>
  <c r="D2813" i="1"/>
  <c r="D2814" i="1"/>
  <c r="D2815" i="1"/>
  <c r="D2816" i="1"/>
  <c r="D2817" i="1"/>
  <c r="D2818" i="1"/>
  <c r="D2819" i="1"/>
  <c r="D2820" i="1"/>
  <c r="D2821" i="1"/>
  <c r="D2822" i="1"/>
  <c r="D2823" i="1"/>
  <c r="D2824" i="1"/>
  <c r="D2825" i="1"/>
  <c r="D2826" i="1"/>
  <c r="D2827" i="1"/>
  <c r="D2828" i="1"/>
  <c r="D2829" i="1"/>
  <c r="D2830" i="1"/>
  <c r="D2831" i="1"/>
  <c r="D2832" i="1"/>
  <c r="D2833" i="1"/>
  <c r="D2834" i="1"/>
  <c r="D2835" i="1"/>
  <c r="D2836" i="1"/>
  <c r="D2837" i="1"/>
  <c r="D2838" i="1"/>
  <c r="D2839" i="1"/>
  <c r="D2840" i="1"/>
  <c r="D2841" i="1"/>
  <c r="D2842" i="1"/>
  <c r="D2843" i="1"/>
  <c r="D2844" i="1"/>
  <c r="D2845" i="1"/>
  <c r="D2846" i="1"/>
  <c r="D2847" i="1"/>
  <c r="D2848" i="1"/>
  <c r="D2849" i="1"/>
  <c r="D2850" i="1"/>
  <c r="D2851" i="1"/>
  <c r="D2852" i="1"/>
  <c r="D2853" i="1"/>
  <c r="D2854" i="1"/>
  <c r="D2855" i="1"/>
  <c r="D2856" i="1"/>
  <c r="D2857" i="1"/>
  <c r="D2858" i="1"/>
  <c r="D2859" i="1"/>
  <c r="D2860" i="1"/>
  <c r="D2861" i="1"/>
  <c r="D2862" i="1"/>
  <c r="D2863" i="1"/>
  <c r="D2864" i="1"/>
  <c r="D2865" i="1"/>
  <c r="D2866" i="1"/>
  <c r="D2867" i="1"/>
  <c r="D2868" i="1"/>
  <c r="D2869" i="1"/>
  <c r="D2870" i="1"/>
  <c r="D2871" i="1"/>
  <c r="D2872" i="1"/>
  <c r="D2873" i="1"/>
  <c r="D2874" i="1"/>
  <c r="D2875" i="1"/>
  <c r="D2876" i="1"/>
  <c r="D2877" i="1"/>
  <c r="D2878" i="1"/>
  <c r="D2879" i="1"/>
  <c r="D2880" i="1"/>
  <c r="D2881" i="1"/>
  <c r="D2882" i="1"/>
  <c r="D2883" i="1"/>
  <c r="D2884" i="1"/>
  <c r="D2885" i="1"/>
  <c r="D2886" i="1"/>
  <c r="D2887" i="1"/>
  <c r="D2888" i="1"/>
  <c r="D2889" i="1"/>
  <c r="D2890" i="1"/>
  <c r="D2891" i="1"/>
  <c r="D2892" i="1"/>
  <c r="D2893" i="1"/>
  <c r="D2894" i="1"/>
  <c r="D2895" i="1"/>
  <c r="D2896" i="1"/>
  <c r="D2897" i="1"/>
  <c r="D2898" i="1"/>
  <c r="D2899" i="1"/>
  <c r="D2900" i="1"/>
  <c r="D2901" i="1"/>
  <c r="D2902" i="1"/>
  <c r="D2903" i="1"/>
  <c r="D2904" i="1"/>
  <c r="D2905" i="1"/>
  <c r="D2906" i="1"/>
  <c r="D2907" i="1"/>
  <c r="D2908" i="1"/>
  <c r="D2909" i="1"/>
  <c r="D2910" i="1"/>
  <c r="D2911" i="1"/>
  <c r="D2912" i="1"/>
  <c r="D2913" i="1"/>
  <c r="D2914" i="1"/>
  <c r="D2915" i="1"/>
  <c r="D2916" i="1"/>
  <c r="D2917" i="1"/>
  <c r="D2918" i="1"/>
  <c r="D2919" i="1"/>
  <c r="D2920" i="1"/>
  <c r="D2921" i="1"/>
  <c r="D2922" i="1"/>
  <c r="D2923" i="1"/>
  <c r="D2924" i="1"/>
  <c r="D2925" i="1"/>
  <c r="D2926" i="1"/>
  <c r="D2927" i="1"/>
  <c r="D2928" i="1"/>
  <c r="D2929" i="1"/>
  <c r="D2930" i="1"/>
  <c r="D2931" i="1"/>
  <c r="D2932" i="1"/>
  <c r="D2933" i="1"/>
  <c r="D2934" i="1"/>
  <c r="D2935" i="1"/>
  <c r="D2936" i="1"/>
  <c r="D2937" i="1"/>
  <c r="D2938" i="1"/>
  <c r="D2939" i="1"/>
  <c r="D2940" i="1"/>
  <c r="D2941" i="1"/>
  <c r="D2942" i="1"/>
  <c r="D2943" i="1"/>
  <c r="D2944" i="1"/>
  <c r="D2945" i="1"/>
  <c r="D2946" i="1"/>
  <c r="D2947" i="1"/>
  <c r="D2948" i="1"/>
  <c r="D2949" i="1"/>
  <c r="D2950" i="1"/>
  <c r="D2951" i="1"/>
  <c r="D2952" i="1"/>
  <c r="D2953" i="1"/>
  <c r="D2954" i="1"/>
  <c r="D2955" i="1"/>
  <c r="D2956" i="1"/>
  <c r="D2957" i="1"/>
  <c r="D2958" i="1"/>
  <c r="D2959" i="1"/>
  <c r="D2960" i="1"/>
  <c r="D2961" i="1"/>
  <c r="D2962" i="1"/>
  <c r="D2963" i="1"/>
  <c r="D2964" i="1"/>
  <c r="D2965" i="1"/>
  <c r="D2966" i="1"/>
  <c r="D2967" i="1"/>
  <c r="D2968" i="1"/>
  <c r="D2969" i="1"/>
  <c r="D2970" i="1"/>
  <c r="D2971" i="1"/>
  <c r="D2972" i="1"/>
  <c r="D2973" i="1"/>
  <c r="D2974" i="1"/>
  <c r="D2975" i="1"/>
  <c r="D2976" i="1"/>
  <c r="D2977" i="1"/>
  <c r="D2978" i="1"/>
  <c r="D2979" i="1"/>
  <c r="D2980" i="1"/>
  <c r="D2981" i="1"/>
  <c r="D2982" i="1"/>
  <c r="D2983" i="1"/>
  <c r="D2984" i="1"/>
  <c r="D2985" i="1"/>
  <c r="D2986" i="1"/>
  <c r="D2987" i="1"/>
  <c r="D2988" i="1"/>
  <c r="D2989" i="1"/>
  <c r="D2990" i="1"/>
  <c r="D2991" i="1"/>
  <c r="D2992" i="1"/>
  <c r="D2993" i="1"/>
  <c r="D2994" i="1"/>
  <c r="D2995" i="1"/>
  <c r="D2996" i="1"/>
  <c r="D2997" i="1"/>
  <c r="D2998" i="1"/>
  <c r="D2999" i="1"/>
  <c r="D3000" i="1"/>
  <c r="D3001" i="1"/>
  <c r="D3002" i="1"/>
  <c r="D3003" i="1"/>
  <c r="D3004" i="1"/>
  <c r="D3005" i="1"/>
  <c r="D3006" i="1"/>
  <c r="D3007" i="1"/>
  <c r="D3008" i="1"/>
  <c r="D3009" i="1"/>
  <c r="D3010" i="1"/>
  <c r="D3011" i="1"/>
  <c r="D3012" i="1"/>
  <c r="D3013" i="1"/>
  <c r="D3014" i="1"/>
  <c r="D3015" i="1"/>
  <c r="D3016" i="1"/>
  <c r="D3017" i="1"/>
  <c r="D3018" i="1"/>
  <c r="D3019" i="1"/>
  <c r="D3020" i="1"/>
  <c r="D3021" i="1"/>
  <c r="D3022" i="1"/>
  <c r="D3023" i="1"/>
  <c r="D3024" i="1"/>
  <c r="D3025" i="1"/>
  <c r="D3026" i="1"/>
  <c r="D3027" i="1"/>
  <c r="D3028" i="1"/>
  <c r="D3029" i="1"/>
  <c r="D3030" i="1"/>
  <c r="D3031" i="1"/>
  <c r="D3032" i="1"/>
  <c r="D3033" i="1"/>
  <c r="D3034" i="1"/>
  <c r="D3035" i="1"/>
  <c r="D3036" i="1"/>
  <c r="D3037" i="1"/>
  <c r="D3038" i="1"/>
  <c r="D3039" i="1"/>
  <c r="D3040" i="1"/>
  <c r="D3041" i="1"/>
  <c r="D3042" i="1"/>
  <c r="D3043" i="1"/>
  <c r="D3044" i="1"/>
  <c r="D3045" i="1"/>
  <c r="D3046" i="1"/>
  <c r="D3047" i="1"/>
  <c r="D3048" i="1"/>
  <c r="D3049" i="1"/>
  <c r="D3050" i="1"/>
  <c r="D3051" i="1"/>
  <c r="D3052" i="1"/>
  <c r="D3053" i="1"/>
  <c r="D3054" i="1"/>
  <c r="D3055" i="1"/>
  <c r="D3056" i="1"/>
  <c r="D3057" i="1"/>
  <c r="D3058" i="1"/>
  <c r="D3059" i="1"/>
  <c r="D3060" i="1"/>
  <c r="D3061" i="1"/>
  <c r="D3062" i="1"/>
  <c r="D3063" i="1"/>
  <c r="D3064" i="1"/>
  <c r="D3065" i="1"/>
  <c r="D3066" i="1"/>
  <c r="D3067" i="1"/>
  <c r="D3068" i="1"/>
  <c r="D3069" i="1"/>
  <c r="D3070" i="1"/>
  <c r="D3071" i="1"/>
  <c r="D3072" i="1"/>
  <c r="D3073" i="1"/>
  <c r="D3074" i="1"/>
  <c r="D3075" i="1"/>
  <c r="D3076" i="1"/>
  <c r="D3077" i="1"/>
  <c r="D3078" i="1"/>
  <c r="D3079" i="1"/>
  <c r="D3080" i="1"/>
  <c r="D3081" i="1"/>
  <c r="D3082" i="1"/>
  <c r="D3083" i="1"/>
  <c r="D3084" i="1"/>
  <c r="D3085" i="1"/>
  <c r="D3086" i="1"/>
  <c r="D3087" i="1"/>
  <c r="D3088" i="1"/>
  <c r="D3089" i="1"/>
  <c r="D3090" i="1"/>
  <c r="D3091" i="1"/>
  <c r="D3092" i="1"/>
  <c r="D3093" i="1"/>
  <c r="D3094" i="1"/>
  <c r="D3095" i="1"/>
  <c r="D3096" i="1"/>
  <c r="D3097" i="1"/>
  <c r="D3098" i="1"/>
  <c r="D3099" i="1"/>
  <c r="D3100" i="1"/>
  <c r="D3101" i="1"/>
  <c r="D3102" i="1"/>
  <c r="D3103" i="1"/>
  <c r="D3104" i="1"/>
  <c r="D3105" i="1"/>
  <c r="D3106" i="1"/>
  <c r="D3107" i="1"/>
  <c r="D3108" i="1"/>
  <c r="D3109" i="1"/>
  <c r="D3110" i="1"/>
  <c r="D3111" i="1"/>
  <c r="D3112" i="1"/>
  <c r="D3113" i="1"/>
  <c r="D3114" i="1"/>
  <c r="D3115" i="1"/>
  <c r="D3116" i="1"/>
  <c r="D3117" i="1"/>
  <c r="D3118" i="1"/>
  <c r="D3119" i="1"/>
  <c r="D3120" i="1"/>
  <c r="D3121" i="1"/>
  <c r="D3122" i="1"/>
  <c r="D3123" i="1"/>
  <c r="D3124" i="1"/>
  <c r="D3125" i="1"/>
  <c r="D3126" i="1"/>
  <c r="D3127" i="1"/>
  <c r="D3128" i="1"/>
  <c r="D3129" i="1"/>
  <c r="D3130" i="1"/>
  <c r="D3131" i="1"/>
  <c r="D3132" i="1"/>
  <c r="D3133" i="1"/>
  <c r="D3134" i="1"/>
  <c r="D3135" i="1"/>
  <c r="D3136" i="1"/>
  <c r="D3137" i="1"/>
  <c r="D3138" i="1"/>
  <c r="D3139" i="1"/>
  <c r="D3140" i="1"/>
  <c r="D3141" i="1"/>
  <c r="D3142" i="1"/>
  <c r="D3143" i="1"/>
  <c r="D3144" i="1"/>
  <c r="D3145" i="1"/>
  <c r="D3146" i="1"/>
  <c r="D3147" i="1"/>
  <c r="D3148" i="1"/>
  <c r="D3149" i="1"/>
  <c r="D3150" i="1"/>
  <c r="D3151" i="1"/>
  <c r="D3152" i="1"/>
  <c r="D3153" i="1"/>
  <c r="D3154" i="1"/>
  <c r="D3155" i="1"/>
  <c r="D3156" i="1"/>
  <c r="D3157" i="1"/>
  <c r="D3158" i="1"/>
  <c r="D3159" i="1"/>
  <c r="D3160" i="1"/>
  <c r="D3161" i="1"/>
  <c r="D3162" i="1"/>
  <c r="D3163" i="1"/>
  <c r="D3164" i="1"/>
  <c r="D3165" i="1"/>
  <c r="D3166" i="1"/>
  <c r="D3167" i="1"/>
  <c r="D3168" i="1"/>
  <c r="D3169" i="1"/>
  <c r="D3170" i="1"/>
  <c r="D3171" i="1"/>
  <c r="D3172" i="1"/>
  <c r="D3173" i="1"/>
  <c r="D3174" i="1"/>
  <c r="D3175" i="1"/>
  <c r="D3176" i="1"/>
  <c r="D3177" i="1"/>
  <c r="D3178" i="1"/>
  <c r="D3179" i="1"/>
  <c r="D3180" i="1"/>
  <c r="D3181" i="1"/>
  <c r="D3182" i="1"/>
  <c r="D3183" i="1"/>
  <c r="D3184" i="1"/>
  <c r="D3185" i="1"/>
  <c r="D3186" i="1"/>
  <c r="D3187" i="1"/>
  <c r="D3188" i="1"/>
  <c r="D3189" i="1"/>
  <c r="D3190" i="1"/>
  <c r="D3191" i="1"/>
  <c r="D3192" i="1"/>
  <c r="D3193" i="1"/>
  <c r="D3194" i="1"/>
  <c r="D3195" i="1"/>
  <c r="D3196" i="1"/>
  <c r="D3197" i="1"/>
  <c r="D3198" i="1"/>
  <c r="D3199" i="1"/>
  <c r="D3200" i="1"/>
  <c r="D3201" i="1"/>
  <c r="D3202" i="1"/>
  <c r="D3203" i="1"/>
  <c r="D3204" i="1"/>
  <c r="D3205" i="1"/>
  <c r="D3206" i="1"/>
  <c r="D3207" i="1"/>
  <c r="D3208" i="1"/>
  <c r="D3209" i="1"/>
  <c r="D3210" i="1"/>
  <c r="D3211" i="1"/>
  <c r="D3212" i="1"/>
  <c r="D3213" i="1"/>
  <c r="D3214" i="1"/>
  <c r="D3215" i="1"/>
  <c r="D3216" i="1"/>
  <c r="D3217" i="1"/>
  <c r="D3218" i="1"/>
  <c r="D3219" i="1"/>
  <c r="D3220" i="1"/>
  <c r="D3221" i="1"/>
  <c r="D3222" i="1"/>
  <c r="D3223" i="1"/>
  <c r="D3224" i="1"/>
  <c r="D3225" i="1"/>
  <c r="D3226" i="1"/>
  <c r="D3227" i="1"/>
  <c r="D3228" i="1"/>
  <c r="D3229" i="1"/>
  <c r="D3230" i="1"/>
  <c r="D3231" i="1"/>
  <c r="D3232" i="1"/>
  <c r="D3233" i="1"/>
  <c r="D3234" i="1"/>
  <c r="D3235" i="1"/>
  <c r="D3236" i="1"/>
  <c r="D3237" i="1"/>
  <c r="D3238" i="1"/>
  <c r="D3239" i="1"/>
  <c r="D3240" i="1"/>
  <c r="D3241" i="1"/>
  <c r="D3242" i="1"/>
  <c r="D3243" i="1"/>
  <c r="D3244" i="1"/>
  <c r="D3245" i="1"/>
  <c r="D3246" i="1"/>
  <c r="D3247" i="1"/>
  <c r="D3248" i="1"/>
  <c r="D3249" i="1"/>
  <c r="D3250" i="1"/>
  <c r="D3251" i="1"/>
  <c r="D3252" i="1"/>
  <c r="D3253" i="1"/>
  <c r="D3254" i="1"/>
  <c r="D3255" i="1"/>
  <c r="D3256" i="1"/>
  <c r="D3257" i="1"/>
  <c r="D3258" i="1"/>
  <c r="D3259" i="1"/>
  <c r="D3260" i="1"/>
  <c r="D3261" i="1"/>
  <c r="D3262" i="1"/>
  <c r="D3263" i="1"/>
  <c r="D3264" i="1"/>
  <c r="D3265" i="1"/>
  <c r="D3266" i="1"/>
  <c r="D3267" i="1"/>
  <c r="D3268" i="1"/>
  <c r="D3269" i="1"/>
  <c r="D3270" i="1"/>
  <c r="D3271" i="1"/>
  <c r="D3272" i="1"/>
  <c r="D3273" i="1"/>
  <c r="D3274" i="1"/>
  <c r="D3275" i="1"/>
  <c r="D3276" i="1"/>
  <c r="D3277" i="1"/>
  <c r="D3278" i="1"/>
  <c r="D3279" i="1"/>
  <c r="D3280" i="1"/>
  <c r="D3281" i="1"/>
  <c r="D3282" i="1"/>
  <c r="D3283" i="1"/>
  <c r="D3284" i="1"/>
  <c r="D3285" i="1"/>
  <c r="D3286" i="1"/>
  <c r="D3287" i="1"/>
  <c r="D3288" i="1"/>
  <c r="D3289" i="1"/>
  <c r="D3290" i="1"/>
  <c r="D3291" i="1"/>
  <c r="D3292" i="1"/>
  <c r="D3293" i="1"/>
  <c r="D3294" i="1"/>
  <c r="D3295" i="1"/>
  <c r="D3296" i="1"/>
  <c r="D3297" i="1"/>
  <c r="D3298" i="1"/>
  <c r="D3299" i="1"/>
  <c r="D3300" i="1"/>
  <c r="D3301" i="1"/>
  <c r="D3302" i="1"/>
  <c r="D3303" i="1"/>
  <c r="D3304" i="1"/>
  <c r="D3305" i="1"/>
  <c r="D3306" i="1"/>
  <c r="D3307" i="1"/>
  <c r="D3308" i="1"/>
  <c r="D3309" i="1"/>
  <c r="D3310" i="1"/>
  <c r="D3311" i="1"/>
  <c r="D3312" i="1"/>
  <c r="D3313" i="1"/>
  <c r="D3314" i="1"/>
  <c r="D3315" i="1"/>
  <c r="D3316" i="1"/>
  <c r="D3317" i="1"/>
  <c r="D3318" i="1"/>
  <c r="D3319" i="1"/>
  <c r="D3320" i="1"/>
  <c r="D3321" i="1"/>
  <c r="D3322" i="1"/>
  <c r="D3323" i="1"/>
  <c r="D3324" i="1"/>
  <c r="D3325" i="1"/>
  <c r="D3326" i="1"/>
  <c r="D3327" i="1"/>
  <c r="D3328" i="1"/>
  <c r="D3329" i="1"/>
  <c r="D3330" i="1"/>
  <c r="D3331" i="1"/>
  <c r="D3332" i="1"/>
  <c r="D3333" i="1"/>
  <c r="D3334" i="1"/>
  <c r="D3335" i="1"/>
  <c r="D3336" i="1"/>
  <c r="D3337" i="1"/>
  <c r="D3338" i="1"/>
  <c r="D3339" i="1"/>
  <c r="D3340" i="1"/>
  <c r="D3341" i="1"/>
  <c r="D3342" i="1"/>
  <c r="D3343" i="1"/>
  <c r="D3344" i="1"/>
  <c r="D3345" i="1"/>
  <c r="D3346" i="1"/>
  <c r="D3347" i="1"/>
  <c r="D3348" i="1"/>
  <c r="D3349" i="1"/>
  <c r="D3350" i="1"/>
  <c r="D3351" i="1"/>
  <c r="D3352" i="1"/>
  <c r="D3353" i="1"/>
  <c r="D3354" i="1"/>
  <c r="D3355" i="1"/>
  <c r="D3356" i="1"/>
  <c r="D3357" i="1"/>
  <c r="D3358" i="1"/>
  <c r="D3359" i="1"/>
  <c r="D3360" i="1"/>
  <c r="D3361" i="1"/>
  <c r="D3362" i="1"/>
  <c r="D3363" i="1"/>
  <c r="D3364" i="1"/>
  <c r="D3365" i="1"/>
  <c r="D3366" i="1"/>
  <c r="D3367" i="1"/>
  <c r="D3368" i="1"/>
  <c r="D3369" i="1"/>
  <c r="D3370" i="1"/>
  <c r="D3371" i="1"/>
  <c r="D3372" i="1"/>
  <c r="D3373" i="1"/>
  <c r="D3374" i="1"/>
  <c r="D3375" i="1"/>
  <c r="D3376" i="1"/>
  <c r="D3377" i="1"/>
  <c r="D3378" i="1"/>
  <c r="D3379" i="1"/>
  <c r="D3380" i="1"/>
  <c r="D3381" i="1"/>
  <c r="D3382" i="1"/>
  <c r="D3383" i="1"/>
  <c r="D3384" i="1"/>
  <c r="D3385" i="1"/>
  <c r="D3386" i="1"/>
  <c r="D3387" i="1"/>
  <c r="D3388" i="1"/>
  <c r="D3389" i="1"/>
  <c r="D3390" i="1"/>
  <c r="D3391" i="1"/>
  <c r="D3392" i="1"/>
  <c r="D3393" i="1"/>
  <c r="D3394" i="1"/>
  <c r="D3395" i="1"/>
  <c r="D3396" i="1"/>
  <c r="D3397" i="1"/>
  <c r="D3398" i="1"/>
  <c r="D3399" i="1"/>
  <c r="D3400" i="1"/>
  <c r="D3401" i="1"/>
  <c r="D3402" i="1"/>
  <c r="D3403" i="1"/>
  <c r="D3404" i="1"/>
  <c r="D3405" i="1"/>
  <c r="D3406" i="1"/>
  <c r="D3407" i="1"/>
  <c r="D3408" i="1"/>
  <c r="D3409" i="1"/>
  <c r="D3410" i="1"/>
  <c r="D3411" i="1"/>
  <c r="D3412" i="1"/>
  <c r="D3413" i="1"/>
  <c r="D3414" i="1"/>
  <c r="D3415" i="1"/>
  <c r="D3416" i="1"/>
  <c r="D3417" i="1"/>
  <c r="D3418" i="1"/>
  <c r="D3419" i="1"/>
  <c r="D3420" i="1"/>
  <c r="D3421" i="1"/>
  <c r="D3422" i="1"/>
  <c r="D3423" i="1"/>
  <c r="D3424" i="1"/>
  <c r="D3425" i="1"/>
  <c r="D3426" i="1"/>
  <c r="D3427" i="1"/>
  <c r="D3428" i="1"/>
  <c r="D3429" i="1"/>
  <c r="D3430" i="1"/>
  <c r="D3431" i="1"/>
  <c r="D3432" i="1"/>
  <c r="D3433" i="1"/>
  <c r="D3434" i="1"/>
  <c r="D3435" i="1"/>
  <c r="D3436" i="1"/>
  <c r="D3437" i="1"/>
  <c r="D3438" i="1"/>
  <c r="D3439" i="1"/>
  <c r="D3440" i="1"/>
  <c r="D3441" i="1"/>
  <c r="D3442" i="1"/>
  <c r="D3443" i="1"/>
  <c r="D3444" i="1"/>
  <c r="D3445" i="1"/>
  <c r="D3446" i="1"/>
  <c r="D3447" i="1"/>
  <c r="D3448" i="1"/>
  <c r="D3449" i="1"/>
  <c r="D3450" i="1"/>
  <c r="D3451" i="1"/>
  <c r="D3452" i="1"/>
  <c r="D3453" i="1"/>
  <c r="D3454" i="1"/>
  <c r="D3455" i="1"/>
  <c r="D3456" i="1"/>
  <c r="D3457" i="1"/>
  <c r="D3458" i="1"/>
  <c r="D3459" i="1"/>
  <c r="D3460" i="1"/>
  <c r="D3461" i="1"/>
  <c r="D3462" i="1"/>
  <c r="D3463" i="1"/>
  <c r="D3464" i="1"/>
  <c r="D3465" i="1"/>
  <c r="D3466" i="1"/>
  <c r="D3467" i="1"/>
  <c r="D3468" i="1"/>
  <c r="D3469" i="1"/>
  <c r="D3470" i="1"/>
  <c r="D3471" i="1"/>
  <c r="D3472" i="1"/>
  <c r="D3473" i="1"/>
  <c r="D3474" i="1"/>
  <c r="D3475" i="1"/>
  <c r="D3476" i="1"/>
  <c r="D3477" i="1"/>
  <c r="D3478" i="1"/>
  <c r="D3479" i="1"/>
  <c r="D3480" i="1"/>
  <c r="D3481" i="1"/>
  <c r="D3482" i="1"/>
  <c r="D3483" i="1"/>
  <c r="D3484" i="1"/>
  <c r="D3485" i="1"/>
  <c r="D3486" i="1"/>
  <c r="D3487" i="1"/>
  <c r="D3488" i="1"/>
  <c r="D3489" i="1"/>
  <c r="D3490" i="1"/>
  <c r="D3491" i="1"/>
  <c r="D3492" i="1"/>
  <c r="D3493" i="1"/>
  <c r="D3494" i="1"/>
  <c r="D3495" i="1"/>
  <c r="D3496" i="1"/>
  <c r="D3497" i="1"/>
  <c r="D3498" i="1"/>
  <c r="D3499" i="1"/>
  <c r="D3500" i="1"/>
  <c r="D3501" i="1"/>
  <c r="D3502" i="1"/>
  <c r="D3503" i="1"/>
  <c r="D3504" i="1"/>
  <c r="D3505" i="1"/>
  <c r="D3506" i="1"/>
  <c r="D3507" i="1"/>
  <c r="D3508" i="1"/>
  <c r="D3509" i="1"/>
  <c r="D3510" i="1"/>
  <c r="D3511" i="1"/>
  <c r="D3512" i="1"/>
  <c r="D3513" i="1"/>
  <c r="D3514" i="1"/>
  <c r="D3515" i="1"/>
  <c r="D3516" i="1"/>
  <c r="D3517" i="1"/>
  <c r="D3518" i="1"/>
  <c r="D3519" i="1"/>
  <c r="D3520" i="1"/>
  <c r="D3521" i="1"/>
  <c r="D3522" i="1"/>
  <c r="D3523" i="1"/>
  <c r="D3524" i="1"/>
  <c r="D3525" i="1"/>
  <c r="D3526" i="1"/>
  <c r="D3527" i="1"/>
  <c r="D3528" i="1"/>
  <c r="D3529" i="1"/>
  <c r="D3530" i="1"/>
  <c r="D3531" i="1"/>
  <c r="D3532" i="1"/>
  <c r="D3533" i="1"/>
  <c r="D3534" i="1"/>
  <c r="D3535" i="1"/>
  <c r="D3536" i="1"/>
  <c r="D3537" i="1"/>
  <c r="D3538" i="1"/>
  <c r="D3539" i="1"/>
  <c r="D3540" i="1"/>
  <c r="D3541" i="1"/>
  <c r="D3542" i="1"/>
  <c r="D3543" i="1"/>
  <c r="D3544" i="1"/>
  <c r="D3545" i="1"/>
  <c r="D3546" i="1"/>
  <c r="D3547" i="1"/>
  <c r="D3548" i="1"/>
  <c r="D3549" i="1"/>
  <c r="D3550" i="1"/>
  <c r="D3551" i="1"/>
  <c r="D3552" i="1"/>
  <c r="D3553" i="1"/>
  <c r="D3554" i="1"/>
  <c r="D3555" i="1"/>
  <c r="D3556" i="1"/>
  <c r="D3557" i="1"/>
  <c r="D3558" i="1"/>
  <c r="D3559" i="1"/>
  <c r="D3560" i="1"/>
  <c r="D3561" i="1"/>
  <c r="D3562" i="1"/>
  <c r="D3563" i="1"/>
  <c r="D3564" i="1"/>
  <c r="D3565" i="1"/>
  <c r="D3566" i="1"/>
  <c r="D3567" i="1"/>
  <c r="D3568" i="1"/>
  <c r="D3569" i="1"/>
  <c r="D3570" i="1"/>
  <c r="D3571" i="1"/>
  <c r="D3572" i="1"/>
  <c r="D3573" i="1"/>
  <c r="D3574" i="1"/>
  <c r="D3575" i="1"/>
  <c r="D3576" i="1"/>
  <c r="D3577" i="1"/>
  <c r="D3578" i="1"/>
  <c r="D3579" i="1"/>
  <c r="D3580" i="1"/>
  <c r="D3581" i="1"/>
  <c r="D3582" i="1"/>
  <c r="D3583" i="1"/>
  <c r="D3584" i="1"/>
  <c r="D3585" i="1"/>
  <c r="D3586" i="1"/>
  <c r="D3587" i="1"/>
  <c r="D3588" i="1"/>
  <c r="D3589" i="1"/>
  <c r="D3590" i="1"/>
  <c r="D3591" i="1"/>
  <c r="D3592" i="1"/>
  <c r="D3593" i="1"/>
  <c r="D3594" i="1"/>
  <c r="D3595" i="1"/>
  <c r="D3596" i="1"/>
  <c r="D3597" i="1"/>
  <c r="D3598" i="1"/>
  <c r="D3599" i="1"/>
  <c r="D3600" i="1"/>
  <c r="D3601" i="1"/>
  <c r="D3602" i="1"/>
  <c r="D3603" i="1"/>
  <c r="D3604" i="1"/>
  <c r="D3605" i="1"/>
  <c r="D3606" i="1"/>
  <c r="D3607" i="1"/>
  <c r="D3608" i="1"/>
  <c r="D3609" i="1"/>
  <c r="D3610" i="1"/>
  <c r="D3611" i="1"/>
  <c r="D3612" i="1"/>
  <c r="D3613" i="1"/>
  <c r="D3614" i="1"/>
  <c r="D3615" i="1"/>
  <c r="D3616" i="1"/>
  <c r="D3617" i="1"/>
  <c r="D3618" i="1"/>
  <c r="D3619" i="1"/>
  <c r="D3620" i="1"/>
  <c r="D3621" i="1"/>
  <c r="D3622" i="1"/>
  <c r="D3623" i="1"/>
  <c r="D3624" i="1"/>
  <c r="D3625" i="1"/>
  <c r="D3626" i="1"/>
  <c r="D3627" i="1"/>
  <c r="D3628" i="1"/>
  <c r="D3629" i="1"/>
  <c r="D3630" i="1"/>
  <c r="D3631" i="1"/>
  <c r="D3632" i="1"/>
  <c r="D3633" i="1"/>
  <c r="D3634" i="1"/>
  <c r="D3635" i="1"/>
  <c r="D3636" i="1"/>
  <c r="D3637" i="1"/>
  <c r="D3638" i="1"/>
  <c r="D3639" i="1"/>
  <c r="D3640" i="1"/>
  <c r="D3641" i="1"/>
  <c r="D3642" i="1"/>
  <c r="D3643" i="1"/>
  <c r="D3644" i="1"/>
  <c r="D3645" i="1"/>
  <c r="D3646" i="1"/>
  <c r="D3647" i="1"/>
  <c r="D3648" i="1"/>
  <c r="D3649" i="1"/>
  <c r="D3650" i="1"/>
  <c r="D3651" i="1"/>
  <c r="D3652" i="1"/>
  <c r="D3653" i="1"/>
  <c r="D3654" i="1"/>
  <c r="D3655" i="1"/>
  <c r="D3656" i="1"/>
  <c r="D3657" i="1"/>
  <c r="D3658" i="1"/>
  <c r="D3659" i="1"/>
  <c r="D3660" i="1"/>
  <c r="D3661" i="1"/>
  <c r="D3662" i="1"/>
  <c r="D3663" i="1"/>
  <c r="D3664" i="1"/>
  <c r="D3665" i="1"/>
  <c r="D3666" i="1"/>
  <c r="D3667" i="1"/>
  <c r="D3668" i="1"/>
  <c r="D3669" i="1"/>
  <c r="D3670" i="1"/>
  <c r="D3671" i="1"/>
  <c r="D3672" i="1"/>
  <c r="D3673" i="1"/>
  <c r="D3674" i="1"/>
  <c r="D3675" i="1"/>
  <c r="D3676" i="1"/>
  <c r="D3677" i="1"/>
  <c r="D3678" i="1"/>
  <c r="D3679" i="1"/>
  <c r="D3680" i="1"/>
  <c r="D3681" i="1"/>
  <c r="D3682" i="1"/>
  <c r="D3683" i="1"/>
  <c r="D3684" i="1"/>
  <c r="D3685" i="1"/>
  <c r="D3686" i="1"/>
  <c r="D3687" i="1"/>
  <c r="D3688" i="1"/>
  <c r="D3689" i="1"/>
  <c r="D3690" i="1"/>
  <c r="D3691" i="1"/>
  <c r="D3692" i="1"/>
  <c r="D3693" i="1"/>
  <c r="D3694" i="1"/>
  <c r="D3695" i="1"/>
  <c r="D3696" i="1"/>
  <c r="D3697" i="1"/>
  <c r="D3698" i="1"/>
  <c r="D3699" i="1"/>
  <c r="D3700" i="1"/>
  <c r="D3701" i="1"/>
  <c r="D3702" i="1"/>
  <c r="D3703" i="1"/>
  <c r="D3704" i="1"/>
  <c r="D3705" i="1"/>
  <c r="D3706" i="1"/>
  <c r="D3707" i="1"/>
  <c r="D3708" i="1"/>
  <c r="D3709" i="1"/>
  <c r="D3710" i="1"/>
  <c r="D3711" i="1"/>
  <c r="D3712" i="1"/>
  <c r="D3713" i="1"/>
  <c r="D3714" i="1"/>
  <c r="D3715" i="1"/>
  <c r="D3716" i="1"/>
  <c r="D3717" i="1"/>
  <c r="D3718" i="1"/>
  <c r="D3719" i="1"/>
  <c r="D3720" i="1"/>
  <c r="D3721" i="1"/>
  <c r="D3722" i="1"/>
  <c r="D3723" i="1"/>
  <c r="D3724" i="1"/>
  <c r="D3725" i="1"/>
  <c r="D3726" i="1"/>
  <c r="D3727" i="1"/>
  <c r="D3728" i="1"/>
  <c r="D3729" i="1"/>
  <c r="D3730" i="1"/>
  <c r="D3731" i="1"/>
  <c r="D3732" i="1"/>
  <c r="D3733" i="1"/>
  <c r="D3734" i="1"/>
  <c r="D3735" i="1"/>
  <c r="D3736" i="1"/>
  <c r="D3737" i="1"/>
  <c r="D3738" i="1"/>
  <c r="D3739" i="1"/>
  <c r="D3740" i="1"/>
  <c r="D3741" i="1"/>
  <c r="D3742" i="1"/>
  <c r="D3743" i="1"/>
  <c r="D3744" i="1"/>
  <c r="D3745" i="1"/>
  <c r="D3746" i="1"/>
  <c r="D3747" i="1"/>
  <c r="D3748" i="1"/>
  <c r="D3749" i="1"/>
  <c r="D3750" i="1"/>
  <c r="D3751" i="1"/>
  <c r="D3752" i="1"/>
  <c r="D3753" i="1"/>
  <c r="D3754" i="1"/>
  <c r="D3755" i="1"/>
  <c r="D3756" i="1"/>
  <c r="D3757" i="1"/>
  <c r="D3758" i="1"/>
  <c r="D3759" i="1"/>
  <c r="D3760" i="1"/>
  <c r="D3761" i="1"/>
  <c r="D3762" i="1"/>
  <c r="D3763" i="1"/>
  <c r="D3764" i="1"/>
  <c r="D3765" i="1"/>
  <c r="D3766" i="1"/>
  <c r="D3767" i="1"/>
  <c r="D3768" i="1"/>
  <c r="D3769" i="1"/>
  <c r="D3770" i="1"/>
  <c r="D3771" i="1"/>
  <c r="D3772" i="1"/>
  <c r="D3773" i="1"/>
  <c r="D3774" i="1"/>
  <c r="D3775" i="1"/>
  <c r="D3776" i="1"/>
  <c r="D3777" i="1"/>
  <c r="D3778" i="1"/>
  <c r="D3779" i="1"/>
  <c r="D3780" i="1"/>
  <c r="D3781" i="1"/>
  <c r="D3782" i="1"/>
  <c r="D3783" i="1"/>
  <c r="D3784" i="1"/>
  <c r="D3785" i="1"/>
  <c r="D3786" i="1"/>
  <c r="D3787" i="1"/>
  <c r="D3788" i="1"/>
  <c r="D3789" i="1"/>
  <c r="D3790" i="1"/>
  <c r="D3791" i="1"/>
  <c r="D3792" i="1"/>
  <c r="D3793" i="1"/>
  <c r="D3794" i="1"/>
  <c r="D3795" i="1"/>
  <c r="D3796" i="1"/>
  <c r="D3797" i="1"/>
  <c r="D3798" i="1"/>
  <c r="D3799" i="1"/>
  <c r="D3800" i="1"/>
  <c r="D3801" i="1"/>
  <c r="D3802" i="1"/>
  <c r="D3803" i="1"/>
  <c r="D3804" i="1"/>
  <c r="D3805" i="1"/>
  <c r="D3806" i="1"/>
  <c r="D3807" i="1"/>
  <c r="D3808" i="1"/>
  <c r="D3809" i="1"/>
  <c r="D3810" i="1"/>
  <c r="D3811" i="1"/>
  <c r="D3812" i="1"/>
  <c r="D3813" i="1"/>
  <c r="D3814" i="1"/>
  <c r="D3815" i="1"/>
  <c r="D3816" i="1"/>
  <c r="D3817" i="1"/>
  <c r="D3818" i="1"/>
  <c r="D3819" i="1"/>
  <c r="D3820" i="1"/>
  <c r="D3821" i="1"/>
  <c r="D3822" i="1"/>
  <c r="D3823" i="1"/>
  <c r="D3824" i="1"/>
  <c r="D3825" i="1"/>
  <c r="D3826" i="1"/>
  <c r="D3827" i="1"/>
  <c r="D3828" i="1"/>
  <c r="D3829" i="1"/>
  <c r="D3830" i="1"/>
  <c r="D3831" i="1"/>
  <c r="D3832" i="1"/>
  <c r="D3833" i="1"/>
  <c r="D3834" i="1"/>
  <c r="D3835" i="1"/>
  <c r="D3836" i="1"/>
  <c r="D3837" i="1"/>
  <c r="D3838" i="1"/>
  <c r="D3839" i="1"/>
  <c r="D3840" i="1"/>
  <c r="D3841" i="1"/>
  <c r="D3842" i="1"/>
  <c r="D3843" i="1"/>
  <c r="D3844" i="1"/>
  <c r="D3845" i="1"/>
  <c r="D3846" i="1"/>
  <c r="D3847" i="1"/>
  <c r="D3848" i="1"/>
  <c r="D3849" i="1"/>
  <c r="D3850" i="1"/>
  <c r="D3851" i="1"/>
  <c r="D3852" i="1"/>
  <c r="D3853" i="1"/>
  <c r="D3854" i="1"/>
  <c r="D3855" i="1"/>
  <c r="D3856" i="1"/>
  <c r="D3857" i="1"/>
  <c r="D3858" i="1"/>
  <c r="D3859" i="1"/>
  <c r="D3860" i="1"/>
  <c r="D3861" i="1"/>
  <c r="D3862" i="1"/>
  <c r="D3863" i="1"/>
  <c r="D3864" i="1"/>
  <c r="D3865" i="1"/>
  <c r="D3866" i="1"/>
  <c r="D3867" i="1"/>
  <c r="D3868" i="1"/>
  <c r="D3869" i="1"/>
  <c r="D3870" i="1"/>
  <c r="D3871" i="1"/>
  <c r="D3872" i="1"/>
  <c r="D3873" i="1"/>
  <c r="D3874" i="1"/>
  <c r="D3875" i="1"/>
  <c r="D3876" i="1"/>
  <c r="D3877" i="1"/>
  <c r="D3878" i="1"/>
  <c r="D3879" i="1"/>
  <c r="D3880" i="1"/>
  <c r="D3881" i="1"/>
  <c r="D3882" i="1"/>
  <c r="D3883" i="1"/>
  <c r="D3884" i="1"/>
  <c r="D3885" i="1"/>
  <c r="D3886" i="1"/>
  <c r="D3887" i="1"/>
  <c r="D3888" i="1"/>
  <c r="D3889" i="1"/>
  <c r="D3890" i="1"/>
  <c r="D3891" i="1"/>
  <c r="D3892" i="1"/>
  <c r="D3893" i="1"/>
  <c r="D3894" i="1"/>
  <c r="D3895" i="1"/>
  <c r="D3896" i="1"/>
  <c r="D3897" i="1"/>
  <c r="D3898" i="1"/>
  <c r="D3899" i="1"/>
  <c r="D3900" i="1"/>
  <c r="D3901" i="1"/>
  <c r="D3902" i="1"/>
  <c r="D3903" i="1"/>
  <c r="D3904" i="1"/>
  <c r="D3905" i="1"/>
  <c r="D3906" i="1"/>
  <c r="D3907" i="1"/>
  <c r="D3908" i="1"/>
  <c r="D3909" i="1"/>
  <c r="D3910" i="1"/>
  <c r="D3911" i="1"/>
  <c r="D3912" i="1"/>
  <c r="D3913" i="1"/>
  <c r="D3914" i="1"/>
  <c r="D3915" i="1"/>
  <c r="D3916" i="1"/>
  <c r="D3917" i="1"/>
  <c r="D3918" i="1"/>
  <c r="D3919" i="1"/>
  <c r="D3920" i="1"/>
  <c r="D3921" i="1"/>
  <c r="D3922" i="1"/>
  <c r="D3923" i="1"/>
  <c r="D3924" i="1"/>
  <c r="D3925" i="1"/>
  <c r="D3926" i="1"/>
  <c r="D3927" i="1"/>
  <c r="D3928" i="1"/>
  <c r="D3929" i="1"/>
  <c r="D3930" i="1"/>
  <c r="D3931" i="1"/>
  <c r="D3932" i="1"/>
  <c r="D3933" i="1"/>
  <c r="D3934" i="1"/>
  <c r="D3935" i="1"/>
  <c r="D3936" i="1"/>
  <c r="D3937" i="1"/>
  <c r="D3938" i="1"/>
  <c r="D3939" i="1"/>
  <c r="D3940" i="1"/>
  <c r="D3941" i="1"/>
  <c r="D3942" i="1"/>
  <c r="D3943" i="1"/>
  <c r="D3944" i="1"/>
  <c r="D3945" i="1"/>
  <c r="D3946" i="1"/>
  <c r="D3947" i="1"/>
  <c r="D3948" i="1"/>
  <c r="D3949" i="1"/>
  <c r="D3950" i="1"/>
  <c r="D3951" i="1"/>
  <c r="D3952" i="1"/>
  <c r="D3953" i="1"/>
  <c r="D3954" i="1"/>
  <c r="D3955" i="1"/>
  <c r="D3956" i="1"/>
  <c r="D3957" i="1"/>
  <c r="D3958" i="1"/>
  <c r="D3959" i="1"/>
  <c r="D3960" i="1"/>
  <c r="D3961" i="1"/>
  <c r="D3962" i="1"/>
  <c r="D3963" i="1"/>
  <c r="D3964" i="1"/>
  <c r="D3965" i="1"/>
  <c r="D3966" i="1"/>
  <c r="D3967" i="1"/>
  <c r="D3968" i="1"/>
  <c r="D3969" i="1"/>
  <c r="D3970" i="1"/>
  <c r="D3971" i="1"/>
  <c r="D3972" i="1"/>
  <c r="D3973" i="1"/>
  <c r="D3974" i="1"/>
  <c r="D3975" i="1"/>
  <c r="D3976" i="1"/>
  <c r="D3977" i="1"/>
  <c r="D3978" i="1"/>
  <c r="D3979" i="1"/>
  <c r="D3980" i="1"/>
  <c r="D3981" i="1"/>
  <c r="D3982" i="1"/>
  <c r="D3983" i="1"/>
  <c r="D3984" i="1"/>
  <c r="D3985" i="1"/>
  <c r="D3986" i="1"/>
  <c r="D3987" i="1"/>
  <c r="D3988" i="1"/>
  <c r="D3989" i="1"/>
  <c r="D3990" i="1"/>
  <c r="D3991" i="1"/>
  <c r="D3992" i="1"/>
  <c r="D3993" i="1"/>
  <c r="D3994" i="1"/>
  <c r="D3995" i="1"/>
  <c r="D3996" i="1"/>
  <c r="D3997" i="1"/>
  <c r="D3998" i="1"/>
  <c r="D3999" i="1"/>
  <c r="D4000" i="1"/>
  <c r="D4001" i="1"/>
  <c r="D4002" i="1"/>
  <c r="D4003" i="1"/>
  <c r="D4004" i="1"/>
  <c r="D4005" i="1"/>
  <c r="D4006" i="1"/>
  <c r="D4007" i="1"/>
  <c r="D4008" i="1"/>
  <c r="D4009" i="1"/>
  <c r="D4010" i="1"/>
  <c r="D4011" i="1"/>
  <c r="D4012" i="1"/>
  <c r="D4013" i="1"/>
  <c r="D4014" i="1"/>
  <c r="D4015" i="1"/>
  <c r="D4016" i="1"/>
  <c r="D4017" i="1"/>
  <c r="D4018" i="1"/>
  <c r="D4019" i="1"/>
  <c r="D4020" i="1"/>
  <c r="D4021" i="1"/>
  <c r="D4022" i="1"/>
  <c r="D4023" i="1"/>
  <c r="D4024" i="1"/>
  <c r="D4025" i="1"/>
  <c r="D4026" i="1"/>
  <c r="D4027" i="1"/>
  <c r="D4028" i="1"/>
  <c r="D4029" i="1"/>
  <c r="D4030" i="1"/>
  <c r="D4031" i="1"/>
  <c r="D4032" i="1"/>
  <c r="D4033" i="1"/>
  <c r="D4034" i="1"/>
  <c r="D4035" i="1"/>
  <c r="D4036" i="1"/>
  <c r="D4037" i="1"/>
  <c r="D4038" i="1"/>
  <c r="D4039" i="1"/>
  <c r="D4040" i="1"/>
  <c r="D4041" i="1"/>
  <c r="D4042" i="1"/>
  <c r="D4043" i="1"/>
  <c r="D4044" i="1"/>
  <c r="D4045" i="1"/>
  <c r="D4046" i="1"/>
  <c r="D4047" i="1"/>
  <c r="D4048" i="1"/>
  <c r="D4049" i="1"/>
  <c r="D4050" i="1"/>
  <c r="D4051" i="1"/>
  <c r="D4052" i="1"/>
  <c r="D4053" i="1"/>
  <c r="D4054" i="1"/>
  <c r="D4055" i="1"/>
  <c r="D4056" i="1"/>
  <c r="D4057" i="1"/>
  <c r="D4058" i="1"/>
  <c r="D4059" i="1"/>
  <c r="D4060" i="1"/>
  <c r="D4061" i="1"/>
  <c r="D4062" i="1"/>
  <c r="D4063" i="1"/>
  <c r="D4064" i="1"/>
  <c r="D4065" i="1"/>
  <c r="D4066" i="1"/>
  <c r="D4067" i="1"/>
  <c r="D4068" i="1"/>
  <c r="D4069" i="1"/>
  <c r="D4070" i="1"/>
  <c r="D4071" i="1"/>
  <c r="D4072" i="1"/>
  <c r="D4073" i="1"/>
  <c r="D4074" i="1"/>
  <c r="D4075" i="1"/>
  <c r="D4076" i="1"/>
  <c r="D4077" i="1"/>
  <c r="D4078" i="1"/>
  <c r="D4079" i="1"/>
  <c r="D4080" i="1"/>
  <c r="D4081" i="1"/>
  <c r="D4082" i="1"/>
  <c r="D4083" i="1"/>
  <c r="D4084" i="1"/>
  <c r="D4085" i="1"/>
  <c r="D4086" i="1"/>
  <c r="D4087" i="1"/>
  <c r="D4088" i="1"/>
  <c r="D4089" i="1"/>
  <c r="D4090" i="1"/>
  <c r="D4091" i="1"/>
  <c r="D4092" i="1"/>
  <c r="D4093" i="1"/>
  <c r="D4094" i="1"/>
  <c r="D4095" i="1"/>
  <c r="D4096" i="1"/>
  <c r="D4097" i="1"/>
  <c r="D4098" i="1"/>
  <c r="D4099" i="1"/>
  <c r="D4100" i="1"/>
  <c r="D4101" i="1"/>
  <c r="D4102" i="1"/>
  <c r="D4103" i="1"/>
  <c r="D4104" i="1"/>
  <c r="D4105" i="1"/>
  <c r="D4106" i="1"/>
  <c r="D4107" i="1"/>
  <c r="D4108" i="1"/>
  <c r="D4109" i="1"/>
  <c r="D4110" i="1"/>
  <c r="D4111" i="1"/>
  <c r="D4112" i="1"/>
  <c r="D4113" i="1"/>
  <c r="D4114" i="1"/>
  <c r="D4115" i="1"/>
  <c r="D4116" i="1"/>
  <c r="D4117" i="1"/>
  <c r="D4118" i="1"/>
  <c r="D4119" i="1"/>
  <c r="D4120" i="1"/>
  <c r="D4121" i="1"/>
  <c r="D4122" i="1"/>
  <c r="D4123" i="1"/>
  <c r="D4124" i="1"/>
  <c r="D4125" i="1"/>
  <c r="D4126" i="1"/>
  <c r="D4127" i="1"/>
  <c r="D4128" i="1"/>
  <c r="D4129" i="1"/>
  <c r="D4130" i="1"/>
  <c r="D4131" i="1"/>
  <c r="D4132" i="1"/>
  <c r="D4133" i="1"/>
  <c r="D4134" i="1"/>
  <c r="D4135" i="1"/>
  <c r="D4136" i="1"/>
  <c r="D4137" i="1"/>
  <c r="D4138" i="1"/>
  <c r="D4139" i="1"/>
  <c r="D4140" i="1"/>
  <c r="D4141" i="1"/>
  <c r="D4142" i="1"/>
  <c r="D4143" i="1"/>
  <c r="D4144" i="1"/>
  <c r="D4145" i="1"/>
  <c r="D4146" i="1"/>
  <c r="D4147" i="1"/>
  <c r="D4148" i="1"/>
  <c r="D4149" i="1"/>
  <c r="D4150" i="1"/>
  <c r="D4151" i="1"/>
  <c r="D4152" i="1"/>
  <c r="D4153" i="1"/>
  <c r="D4154" i="1"/>
  <c r="D4155" i="1"/>
  <c r="D4156" i="1"/>
  <c r="D4157" i="1"/>
  <c r="D4158" i="1"/>
  <c r="D4159" i="1"/>
  <c r="D4160" i="1"/>
  <c r="D4161" i="1"/>
  <c r="D4162" i="1"/>
  <c r="D4163" i="1"/>
  <c r="D4164" i="1"/>
  <c r="D4165" i="1"/>
  <c r="D4166" i="1"/>
  <c r="D4167" i="1"/>
  <c r="D4168" i="1"/>
  <c r="D4169" i="1"/>
  <c r="D4170" i="1"/>
  <c r="D4171" i="1"/>
  <c r="D4172" i="1"/>
  <c r="D4173" i="1"/>
  <c r="D4174" i="1"/>
  <c r="D4175" i="1"/>
  <c r="D4176" i="1"/>
  <c r="D4177" i="1"/>
  <c r="D4178" i="1"/>
  <c r="D4179" i="1"/>
  <c r="D4180" i="1"/>
  <c r="D4181" i="1"/>
  <c r="D4182" i="1"/>
  <c r="D4183" i="1"/>
  <c r="D4184" i="1"/>
  <c r="D4185" i="1"/>
  <c r="D4186" i="1"/>
  <c r="D4187" i="1"/>
  <c r="D4188" i="1"/>
  <c r="D4189" i="1"/>
  <c r="D4190" i="1"/>
  <c r="D4191" i="1"/>
  <c r="D4192" i="1"/>
  <c r="D4193" i="1"/>
  <c r="D4194" i="1"/>
  <c r="D4195" i="1"/>
  <c r="D4196" i="1"/>
  <c r="D4197" i="1"/>
  <c r="D4198" i="1"/>
  <c r="D4199" i="1"/>
  <c r="D4200" i="1"/>
  <c r="D4201" i="1"/>
  <c r="D4202" i="1"/>
  <c r="D4203" i="1"/>
  <c r="D4204" i="1"/>
  <c r="D4205" i="1"/>
  <c r="D4206" i="1"/>
  <c r="D4207" i="1"/>
  <c r="D4208" i="1"/>
  <c r="D4209" i="1"/>
  <c r="D4210" i="1"/>
  <c r="D4211" i="1"/>
  <c r="D4212" i="1"/>
  <c r="D4213" i="1"/>
  <c r="D4214" i="1"/>
  <c r="D4215" i="1"/>
  <c r="D4216" i="1"/>
  <c r="D4217" i="1"/>
  <c r="D4218" i="1"/>
  <c r="D4219" i="1"/>
  <c r="D4220" i="1"/>
  <c r="D4221" i="1"/>
  <c r="D4222" i="1"/>
  <c r="D4223" i="1"/>
  <c r="D4224" i="1"/>
  <c r="D4225" i="1"/>
  <c r="D4226" i="1"/>
  <c r="D4227" i="1"/>
  <c r="D4228" i="1"/>
  <c r="D4229" i="1"/>
  <c r="D4230" i="1"/>
  <c r="D4231" i="1"/>
  <c r="D4232" i="1"/>
  <c r="D4233" i="1"/>
  <c r="D4234" i="1"/>
  <c r="D4235" i="1"/>
  <c r="D4236" i="1"/>
  <c r="D4237" i="1"/>
  <c r="D4238" i="1"/>
  <c r="D4239" i="1"/>
  <c r="D4240" i="1"/>
  <c r="D4241" i="1"/>
  <c r="D4242" i="1"/>
  <c r="D4243" i="1"/>
  <c r="D4244" i="1"/>
  <c r="D4245" i="1"/>
  <c r="D4246" i="1"/>
  <c r="D4247" i="1"/>
  <c r="D4248" i="1"/>
  <c r="D4249" i="1"/>
  <c r="D4250" i="1"/>
  <c r="D4251" i="1"/>
  <c r="D4252" i="1"/>
  <c r="D4253" i="1"/>
  <c r="D4254" i="1"/>
  <c r="D4255" i="1"/>
  <c r="D4256" i="1"/>
  <c r="D4257" i="1"/>
  <c r="D4258" i="1"/>
  <c r="D4259" i="1"/>
  <c r="D4260" i="1"/>
  <c r="D4261" i="1"/>
  <c r="D4262" i="1"/>
  <c r="D4263" i="1"/>
  <c r="D4264" i="1"/>
  <c r="D4265" i="1"/>
  <c r="D4266" i="1"/>
  <c r="D4267" i="1"/>
  <c r="D4268" i="1"/>
  <c r="D4269" i="1"/>
  <c r="D4270" i="1"/>
  <c r="D4271" i="1"/>
  <c r="D4272" i="1"/>
  <c r="D4273" i="1"/>
  <c r="D4274" i="1"/>
  <c r="D4275" i="1"/>
  <c r="D4276" i="1"/>
  <c r="D4277" i="1"/>
  <c r="D4278" i="1"/>
  <c r="D4279" i="1"/>
  <c r="D4280" i="1"/>
  <c r="D4281" i="1"/>
  <c r="D4282" i="1"/>
  <c r="D4283" i="1"/>
  <c r="D4284" i="1"/>
  <c r="D4285" i="1"/>
  <c r="D4286" i="1"/>
  <c r="D4287" i="1"/>
  <c r="D4288" i="1"/>
  <c r="D4289" i="1"/>
  <c r="D4290" i="1"/>
  <c r="D4291" i="1"/>
  <c r="D4292" i="1"/>
  <c r="D4293" i="1"/>
  <c r="D4294" i="1"/>
  <c r="D4295" i="1"/>
  <c r="D4296" i="1"/>
  <c r="D4297" i="1"/>
  <c r="D4298" i="1"/>
  <c r="D4299" i="1"/>
  <c r="D4300" i="1"/>
  <c r="D4301" i="1"/>
  <c r="D4302" i="1"/>
  <c r="D4303" i="1"/>
  <c r="D4304" i="1"/>
  <c r="D4305" i="1"/>
  <c r="D4306" i="1"/>
  <c r="D4307" i="1"/>
  <c r="D4308" i="1"/>
  <c r="D4309" i="1"/>
  <c r="D4310" i="1"/>
  <c r="D4311" i="1"/>
  <c r="D4312" i="1"/>
  <c r="D4313" i="1"/>
  <c r="D4314" i="1"/>
  <c r="D4315" i="1"/>
  <c r="D4316" i="1"/>
  <c r="D4317" i="1"/>
  <c r="D4318" i="1"/>
  <c r="D4319" i="1"/>
  <c r="D4320" i="1"/>
  <c r="D4321" i="1"/>
  <c r="D4322" i="1"/>
  <c r="D4323" i="1"/>
  <c r="D4324" i="1"/>
  <c r="D4325" i="1"/>
  <c r="D4326" i="1"/>
  <c r="D4327" i="1"/>
  <c r="D4328" i="1"/>
  <c r="D4329" i="1"/>
  <c r="D4330" i="1"/>
  <c r="D4331" i="1"/>
  <c r="D4332" i="1"/>
  <c r="D4333" i="1"/>
  <c r="D4334" i="1"/>
  <c r="D4335" i="1"/>
  <c r="D4336" i="1"/>
  <c r="D4337" i="1"/>
  <c r="D4338" i="1"/>
  <c r="D4339" i="1"/>
  <c r="D4340" i="1"/>
  <c r="D4341" i="1"/>
  <c r="D4342" i="1"/>
  <c r="D4343" i="1"/>
  <c r="D4344" i="1"/>
  <c r="D4345" i="1"/>
  <c r="D4346" i="1"/>
  <c r="D4347" i="1"/>
  <c r="D4348" i="1"/>
  <c r="D4349" i="1"/>
  <c r="D4350" i="1"/>
  <c r="D4351" i="1"/>
  <c r="D4352" i="1"/>
  <c r="D4353" i="1"/>
  <c r="D4354" i="1"/>
  <c r="D4355" i="1"/>
  <c r="D4356" i="1"/>
  <c r="D4357" i="1"/>
  <c r="D4358" i="1"/>
  <c r="D4359" i="1"/>
  <c r="D4360" i="1"/>
  <c r="D4361" i="1"/>
  <c r="D4362" i="1"/>
  <c r="D4363" i="1"/>
  <c r="D4364" i="1"/>
  <c r="D4365" i="1"/>
  <c r="D4366" i="1"/>
  <c r="D4367" i="1"/>
  <c r="D4368" i="1"/>
  <c r="D4369" i="1"/>
  <c r="D4370" i="1"/>
  <c r="D4371" i="1"/>
  <c r="D4372" i="1"/>
  <c r="D4373" i="1"/>
  <c r="D4374" i="1"/>
  <c r="D4375" i="1"/>
  <c r="D4376" i="1"/>
  <c r="D4377" i="1"/>
  <c r="D4378" i="1"/>
  <c r="D4379" i="1"/>
  <c r="D4380" i="1"/>
  <c r="D4381" i="1"/>
  <c r="D4382" i="1"/>
  <c r="D4383" i="1"/>
  <c r="D4384" i="1"/>
  <c r="D4385" i="1"/>
  <c r="D4386" i="1"/>
  <c r="D4387" i="1"/>
  <c r="D4388" i="1"/>
  <c r="D4389" i="1"/>
  <c r="D4390" i="1"/>
  <c r="D4391" i="1"/>
  <c r="D4392" i="1"/>
  <c r="D4393" i="1"/>
  <c r="D4394" i="1"/>
  <c r="D4395" i="1"/>
  <c r="D4396" i="1"/>
  <c r="D4397" i="1"/>
  <c r="D4398" i="1"/>
  <c r="D4399" i="1"/>
  <c r="D4400" i="1"/>
  <c r="D4401" i="1"/>
  <c r="D4402" i="1"/>
  <c r="D4403" i="1"/>
  <c r="D4404" i="1"/>
  <c r="D4405" i="1"/>
  <c r="D4406" i="1"/>
  <c r="D4407" i="1"/>
  <c r="D4408" i="1"/>
  <c r="D4409" i="1"/>
  <c r="D4410" i="1"/>
  <c r="D4411" i="1"/>
  <c r="D4412" i="1"/>
  <c r="D4413" i="1"/>
  <c r="D4414" i="1"/>
  <c r="D4415" i="1"/>
  <c r="D4416" i="1"/>
  <c r="D4417" i="1"/>
  <c r="D4418" i="1"/>
  <c r="D4419" i="1"/>
  <c r="D4420" i="1"/>
  <c r="D4421" i="1"/>
  <c r="D4422" i="1"/>
  <c r="D4423" i="1"/>
  <c r="D4424" i="1"/>
  <c r="D4425" i="1"/>
  <c r="D4426" i="1"/>
  <c r="D4427" i="1"/>
  <c r="D4428" i="1"/>
  <c r="D4429" i="1"/>
  <c r="D4430" i="1"/>
  <c r="D4431" i="1"/>
  <c r="D4432" i="1"/>
  <c r="D4433" i="1"/>
  <c r="D4434" i="1"/>
  <c r="D4435" i="1"/>
  <c r="D4436" i="1"/>
  <c r="D4437" i="1"/>
  <c r="D4438" i="1"/>
  <c r="D4439" i="1"/>
  <c r="D4440" i="1"/>
  <c r="D4441" i="1"/>
  <c r="D4442" i="1"/>
  <c r="D4443" i="1"/>
  <c r="D4444" i="1"/>
  <c r="D4445" i="1"/>
  <c r="D4446" i="1"/>
  <c r="D4447" i="1"/>
  <c r="D4448" i="1"/>
  <c r="D4449" i="1"/>
  <c r="D4450" i="1"/>
  <c r="D4451" i="1"/>
  <c r="D4452" i="1"/>
  <c r="D4453" i="1"/>
  <c r="D4454" i="1"/>
  <c r="D4455" i="1"/>
  <c r="D4456" i="1"/>
  <c r="D4457" i="1"/>
  <c r="D4458" i="1"/>
  <c r="D4459" i="1"/>
  <c r="D4460" i="1"/>
  <c r="D4461" i="1"/>
  <c r="D4462" i="1"/>
  <c r="D4463" i="1"/>
  <c r="D4464" i="1"/>
  <c r="D4465" i="1"/>
  <c r="D4466" i="1"/>
  <c r="D4467" i="1"/>
  <c r="D4468" i="1"/>
  <c r="D4469" i="1"/>
  <c r="D4470" i="1"/>
  <c r="D4471" i="1"/>
  <c r="D4472" i="1"/>
  <c r="D4473" i="1"/>
  <c r="D4474" i="1"/>
  <c r="D4475" i="1"/>
  <c r="D4476" i="1"/>
  <c r="D4477" i="1"/>
  <c r="D4478" i="1"/>
  <c r="D4479" i="1"/>
  <c r="D4480" i="1"/>
  <c r="D4481" i="1"/>
  <c r="D4482" i="1"/>
  <c r="D4483" i="1"/>
  <c r="D4484" i="1"/>
  <c r="D4485" i="1"/>
  <c r="D4486" i="1"/>
  <c r="D4487" i="1"/>
  <c r="D4488" i="1"/>
  <c r="D4489" i="1"/>
  <c r="D4490" i="1"/>
  <c r="D4491" i="1"/>
  <c r="D4492" i="1"/>
  <c r="D4493" i="1"/>
  <c r="D4494" i="1"/>
  <c r="D4495" i="1"/>
  <c r="D4496" i="1"/>
  <c r="D4497" i="1"/>
  <c r="D4498" i="1"/>
  <c r="D4499" i="1"/>
  <c r="D4500" i="1"/>
  <c r="D4501" i="1"/>
  <c r="D4502" i="1"/>
  <c r="D4503" i="1"/>
  <c r="D4504" i="1"/>
  <c r="D4505" i="1"/>
  <c r="D4506" i="1"/>
  <c r="D4507" i="1"/>
  <c r="D4508" i="1"/>
  <c r="D4509" i="1"/>
  <c r="D4510" i="1"/>
  <c r="D4511" i="1"/>
  <c r="D4512" i="1"/>
  <c r="D4513" i="1"/>
  <c r="D4514" i="1"/>
  <c r="D4515" i="1"/>
  <c r="D4516" i="1"/>
  <c r="D4517" i="1"/>
  <c r="D4518" i="1"/>
  <c r="D4519" i="1"/>
  <c r="D4520" i="1"/>
  <c r="D4521" i="1"/>
  <c r="D4522" i="1"/>
  <c r="D4523" i="1"/>
  <c r="D4524" i="1"/>
  <c r="D4525" i="1"/>
  <c r="D4526" i="1"/>
  <c r="D4527" i="1"/>
  <c r="D4528" i="1"/>
  <c r="D4529" i="1"/>
  <c r="D4530" i="1"/>
  <c r="D4531" i="1"/>
  <c r="D4532" i="1"/>
  <c r="D4533" i="1"/>
  <c r="D4534" i="1"/>
  <c r="D4535" i="1"/>
  <c r="D4536" i="1"/>
  <c r="D4537" i="1"/>
  <c r="D4538" i="1"/>
  <c r="D4539" i="1"/>
  <c r="D4540" i="1"/>
  <c r="D4541" i="1"/>
  <c r="D4542" i="1"/>
  <c r="D4543" i="1"/>
  <c r="D4544" i="1"/>
  <c r="D4545" i="1"/>
  <c r="D4546" i="1"/>
  <c r="D4547" i="1"/>
  <c r="D4548" i="1"/>
  <c r="D4549" i="1"/>
  <c r="D4550" i="1"/>
  <c r="D4551" i="1"/>
  <c r="D4552" i="1"/>
  <c r="D4553" i="1"/>
  <c r="D4554" i="1"/>
  <c r="D4555" i="1"/>
  <c r="D4556" i="1"/>
  <c r="D4557" i="1"/>
  <c r="D4558" i="1"/>
  <c r="D4559" i="1"/>
  <c r="D4560" i="1"/>
  <c r="D4561" i="1"/>
  <c r="D4562" i="1"/>
  <c r="D4563" i="1"/>
  <c r="D4564" i="1"/>
  <c r="D4565" i="1"/>
  <c r="D4566" i="1"/>
  <c r="D4567" i="1"/>
  <c r="D4568" i="1"/>
  <c r="D4569" i="1"/>
  <c r="D4570" i="1"/>
  <c r="D4571" i="1"/>
  <c r="D4572" i="1"/>
  <c r="D4573" i="1"/>
  <c r="D4574" i="1"/>
  <c r="D4575" i="1"/>
  <c r="D4576" i="1"/>
  <c r="D4577" i="1"/>
  <c r="D4578" i="1"/>
  <c r="D4579" i="1"/>
  <c r="D4580" i="1"/>
  <c r="D4581" i="1"/>
  <c r="D4582" i="1"/>
  <c r="D4583" i="1"/>
  <c r="D4584" i="1"/>
  <c r="D4585" i="1"/>
  <c r="D4586" i="1"/>
  <c r="D4587" i="1"/>
  <c r="D4588" i="1"/>
  <c r="D4589" i="1"/>
  <c r="D4590" i="1"/>
  <c r="D4591" i="1"/>
  <c r="D4592" i="1"/>
  <c r="D4593" i="1"/>
  <c r="D4594" i="1"/>
  <c r="D4595" i="1"/>
  <c r="D4596" i="1"/>
  <c r="D4597" i="1"/>
  <c r="D4598" i="1"/>
  <c r="D4599" i="1"/>
  <c r="D4600" i="1"/>
  <c r="D4601" i="1"/>
  <c r="D4602" i="1"/>
  <c r="D4603" i="1"/>
  <c r="D4604" i="1"/>
  <c r="D4605" i="1"/>
  <c r="D4606" i="1"/>
  <c r="D4607" i="1"/>
  <c r="D4608" i="1"/>
  <c r="D4609" i="1"/>
  <c r="D4610" i="1"/>
  <c r="D4611" i="1"/>
  <c r="D4612" i="1"/>
  <c r="D4613" i="1"/>
  <c r="D4614" i="1"/>
  <c r="D4615" i="1"/>
  <c r="D4616" i="1"/>
  <c r="D4617" i="1"/>
  <c r="D4618" i="1"/>
  <c r="D4619" i="1"/>
  <c r="D4620" i="1"/>
  <c r="D4621" i="1"/>
  <c r="D4622" i="1"/>
  <c r="D4623" i="1"/>
  <c r="D4624" i="1"/>
  <c r="D4625" i="1"/>
  <c r="D4626" i="1"/>
  <c r="D4627" i="1"/>
  <c r="D4628" i="1"/>
  <c r="D4629" i="1"/>
  <c r="D4630" i="1"/>
  <c r="D4631" i="1"/>
  <c r="D4632" i="1"/>
  <c r="D4633" i="1"/>
  <c r="D4634" i="1"/>
  <c r="D4635" i="1"/>
  <c r="D4636" i="1"/>
  <c r="D4637" i="1"/>
  <c r="D4638" i="1"/>
  <c r="D4639" i="1"/>
  <c r="D4640" i="1"/>
  <c r="D4641" i="1"/>
  <c r="D4642" i="1"/>
  <c r="D4643" i="1"/>
  <c r="D4644" i="1"/>
  <c r="D4645" i="1"/>
  <c r="D4646" i="1"/>
  <c r="D4647" i="1"/>
  <c r="D4648" i="1"/>
  <c r="D4649" i="1"/>
  <c r="D4650" i="1"/>
  <c r="D4651" i="1"/>
  <c r="D4652" i="1"/>
  <c r="D4653" i="1"/>
  <c r="D4654" i="1"/>
  <c r="D4655" i="1"/>
  <c r="D4656" i="1"/>
  <c r="D4657" i="1"/>
  <c r="D4658" i="1"/>
  <c r="D4659" i="1"/>
  <c r="D4660" i="1"/>
  <c r="D4661" i="1"/>
  <c r="D4662" i="1"/>
  <c r="D4663" i="1"/>
  <c r="D4664" i="1"/>
  <c r="D4665" i="1"/>
  <c r="D4666" i="1"/>
  <c r="D4667" i="1"/>
  <c r="D4668" i="1"/>
  <c r="D4669" i="1"/>
  <c r="D4670" i="1"/>
  <c r="D4671" i="1"/>
  <c r="D4672" i="1"/>
  <c r="D4673" i="1"/>
  <c r="D4674" i="1"/>
  <c r="D4675" i="1"/>
  <c r="D4676" i="1"/>
  <c r="D4677" i="1"/>
  <c r="D4678" i="1"/>
  <c r="D4679" i="1"/>
  <c r="D4680" i="1"/>
  <c r="D4681" i="1"/>
  <c r="D4682" i="1"/>
  <c r="D4683" i="1"/>
  <c r="D4684" i="1"/>
  <c r="D4685" i="1"/>
  <c r="D4686" i="1"/>
  <c r="D4687" i="1"/>
  <c r="D4688" i="1"/>
  <c r="D4689" i="1"/>
  <c r="D4690" i="1"/>
  <c r="D4691" i="1"/>
  <c r="D4692" i="1"/>
  <c r="D4693" i="1"/>
  <c r="D4694" i="1"/>
  <c r="D4695" i="1"/>
  <c r="D4696" i="1"/>
  <c r="D4697" i="1"/>
  <c r="D4698" i="1"/>
  <c r="D4699" i="1"/>
  <c r="D4700" i="1"/>
  <c r="D4701" i="1"/>
  <c r="D4702" i="1"/>
  <c r="D4703" i="1"/>
  <c r="D4704" i="1"/>
  <c r="D4705" i="1"/>
  <c r="D4706" i="1"/>
  <c r="D4707" i="1"/>
  <c r="D4708" i="1"/>
  <c r="D4709" i="1"/>
  <c r="D4710" i="1"/>
  <c r="D4711" i="1"/>
  <c r="D4712" i="1"/>
  <c r="D4713" i="1"/>
  <c r="D4714" i="1"/>
  <c r="D4715" i="1"/>
  <c r="D4716" i="1"/>
  <c r="D4717" i="1"/>
  <c r="D4718" i="1"/>
  <c r="D4719" i="1"/>
  <c r="D4720" i="1"/>
  <c r="D4721" i="1"/>
  <c r="D4722" i="1"/>
  <c r="D4723" i="1"/>
  <c r="D4724" i="1"/>
  <c r="D4725" i="1"/>
  <c r="D4726" i="1"/>
  <c r="D4727" i="1"/>
  <c r="D4728" i="1"/>
  <c r="D4729" i="1"/>
  <c r="D4730" i="1"/>
  <c r="D4731" i="1"/>
  <c r="D4732" i="1"/>
  <c r="D4733" i="1"/>
  <c r="D4734" i="1"/>
  <c r="D4735" i="1"/>
  <c r="D4736" i="1"/>
  <c r="D4737" i="1"/>
  <c r="D4738" i="1"/>
  <c r="D4739" i="1"/>
  <c r="D4740" i="1"/>
  <c r="D4741" i="1"/>
  <c r="D4742" i="1"/>
  <c r="D4743" i="1"/>
  <c r="D4744" i="1"/>
  <c r="D4745" i="1"/>
  <c r="D4746" i="1"/>
  <c r="D4747" i="1"/>
  <c r="D4748" i="1"/>
  <c r="D4749" i="1"/>
  <c r="D4750" i="1"/>
  <c r="N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1" i="1"/>
  <c r="N1202" i="1"/>
  <c r="N1203" i="1"/>
  <c r="N1204" i="1"/>
  <c r="N1205" i="1"/>
  <c r="N1206" i="1"/>
  <c r="N1207" i="1"/>
  <c r="N1208" i="1"/>
  <c r="N1209" i="1"/>
  <c r="N1210" i="1"/>
  <c r="N1211" i="1"/>
  <c r="N1212" i="1"/>
  <c r="N1213" i="1"/>
  <c r="N1214" i="1"/>
  <c r="N1215" i="1"/>
  <c r="N1216" i="1"/>
  <c r="N1217" i="1"/>
  <c r="N1218" i="1"/>
  <c r="N1219" i="1"/>
  <c r="N1220" i="1"/>
  <c r="N1221" i="1"/>
  <c r="N1222" i="1"/>
  <c r="N1223" i="1"/>
  <c r="N1224" i="1"/>
  <c r="N1225" i="1"/>
  <c r="N1226" i="1"/>
  <c r="N1227" i="1"/>
  <c r="N1228" i="1"/>
  <c r="N1229" i="1"/>
  <c r="N1230" i="1"/>
  <c r="N1231" i="1"/>
  <c r="N1232" i="1"/>
  <c r="N1233" i="1"/>
  <c r="N1234" i="1"/>
  <c r="N1235" i="1"/>
  <c r="N1236" i="1"/>
  <c r="N1237" i="1"/>
  <c r="N1238" i="1"/>
  <c r="N1239" i="1"/>
  <c r="N1240" i="1"/>
  <c r="N1241" i="1"/>
  <c r="N1242" i="1"/>
  <c r="N1243" i="1"/>
  <c r="N1244" i="1"/>
  <c r="N1245" i="1"/>
  <c r="N1246" i="1"/>
  <c r="N1247" i="1"/>
  <c r="N1248" i="1"/>
  <c r="N1249" i="1"/>
  <c r="N1250" i="1"/>
  <c r="N1251" i="1"/>
  <c r="N1252" i="1"/>
  <c r="N1253" i="1"/>
  <c r="N1254" i="1"/>
  <c r="N1255" i="1"/>
  <c r="N1256" i="1"/>
  <c r="N1257" i="1"/>
  <c r="N1258" i="1"/>
  <c r="N1259" i="1"/>
  <c r="N1260" i="1"/>
  <c r="N1261" i="1"/>
  <c r="N1262" i="1"/>
  <c r="N1263" i="1"/>
  <c r="N1264" i="1"/>
  <c r="N1265" i="1"/>
  <c r="N1266" i="1"/>
  <c r="N1267" i="1"/>
  <c r="N1268" i="1"/>
  <c r="N1269" i="1"/>
  <c r="N1270" i="1"/>
  <c r="N1271" i="1"/>
  <c r="N1272" i="1"/>
  <c r="N1273" i="1"/>
  <c r="N1274" i="1"/>
  <c r="N1275" i="1"/>
  <c r="N1276" i="1"/>
  <c r="N1277" i="1"/>
  <c r="N1278" i="1"/>
  <c r="N1279" i="1"/>
  <c r="N1280" i="1"/>
  <c r="N1281" i="1"/>
  <c r="N1282" i="1"/>
  <c r="N1283" i="1"/>
  <c r="N1284" i="1"/>
  <c r="N1285" i="1"/>
  <c r="N1286" i="1"/>
  <c r="N1287" i="1"/>
  <c r="N1288" i="1"/>
  <c r="N1289" i="1"/>
  <c r="N1290" i="1"/>
  <c r="N1291" i="1"/>
  <c r="N1292" i="1"/>
  <c r="N1293" i="1"/>
  <c r="N1294" i="1"/>
  <c r="N1295" i="1"/>
  <c r="N1296" i="1"/>
  <c r="N1297" i="1"/>
  <c r="N1298" i="1"/>
  <c r="N1299" i="1"/>
  <c r="N1300" i="1"/>
  <c r="N1301" i="1"/>
  <c r="N1302" i="1"/>
  <c r="N1303" i="1"/>
  <c r="N1304" i="1"/>
  <c r="N1305" i="1"/>
  <c r="N1306" i="1"/>
  <c r="N1307" i="1"/>
  <c r="N1308" i="1"/>
  <c r="N1309" i="1"/>
  <c r="N1310" i="1"/>
  <c r="N1311" i="1"/>
  <c r="N1312" i="1"/>
  <c r="N1313" i="1"/>
  <c r="N1314" i="1"/>
  <c r="N1315" i="1"/>
  <c r="N1316" i="1"/>
  <c r="N1317" i="1"/>
  <c r="N1318" i="1"/>
  <c r="N1319" i="1"/>
  <c r="N1320" i="1"/>
  <c r="N1321" i="1"/>
  <c r="N1322" i="1"/>
  <c r="N1323" i="1"/>
  <c r="N1324" i="1"/>
  <c r="N1325" i="1"/>
  <c r="N1326" i="1"/>
  <c r="N1327" i="1"/>
  <c r="N1328" i="1"/>
  <c r="N1329" i="1"/>
  <c r="N1330" i="1"/>
  <c r="N1331" i="1"/>
  <c r="N1332" i="1"/>
  <c r="N1333" i="1"/>
  <c r="N1334" i="1"/>
  <c r="N1335" i="1"/>
  <c r="N1336" i="1"/>
  <c r="N1337" i="1"/>
  <c r="N1338" i="1"/>
  <c r="N1339" i="1"/>
  <c r="N1340" i="1"/>
  <c r="N1341" i="1"/>
  <c r="N1342" i="1"/>
  <c r="N1343" i="1"/>
  <c r="N1344" i="1"/>
  <c r="N1345" i="1"/>
  <c r="N1346" i="1"/>
  <c r="N1347" i="1"/>
  <c r="N1348" i="1"/>
  <c r="N1349" i="1"/>
  <c r="N1350" i="1"/>
  <c r="N1351" i="1"/>
  <c r="N1352" i="1"/>
  <c r="N1353" i="1"/>
  <c r="N1354" i="1"/>
  <c r="N1355" i="1"/>
  <c r="N1356" i="1"/>
  <c r="N1357" i="1"/>
  <c r="N1358" i="1"/>
  <c r="N1359" i="1"/>
  <c r="N1360" i="1"/>
  <c r="N1361" i="1"/>
  <c r="N1362" i="1"/>
  <c r="N1363" i="1"/>
  <c r="N1364" i="1"/>
  <c r="N1365" i="1"/>
  <c r="N1366" i="1"/>
  <c r="N1367" i="1"/>
  <c r="N1368" i="1"/>
  <c r="N1369" i="1"/>
  <c r="N1370" i="1"/>
  <c r="N1371" i="1"/>
  <c r="N1372" i="1"/>
  <c r="N1373" i="1"/>
  <c r="N1374" i="1"/>
  <c r="N1375" i="1"/>
  <c r="N1376" i="1"/>
  <c r="N1377" i="1"/>
  <c r="N1378" i="1"/>
  <c r="N1379" i="1"/>
  <c r="N1380" i="1"/>
  <c r="N1381" i="1"/>
  <c r="N1382" i="1"/>
  <c r="N1383" i="1"/>
  <c r="N1384" i="1"/>
  <c r="N1385" i="1"/>
  <c r="N1386" i="1"/>
  <c r="N1387" i="1"/>
  <c r="N1388" i="1"/>
  <c r="N1389" i="1"/>
  <c r="N1390" i="1"/>
  <c r="N1391" i="1"/>
  <c r="N1392" i="1"/>
  <c r="N1393" i="1"/>
  <c r="N1394" i="1"/>
  <c r="N1395" i="1"/>
  <c r="N1396" i="1"/>
  <c r="N1397" i="1"/>
  <c r="N1398" i="1"/>
  <c r="N1399" i="1"/>
  <c r="N1400" i="1"/>
  <c r="N1401" i="1"/>
  <c r="N1402" i="1"/>
  <c r="N1403" i="1"/>
  <c r="N1404" i="1"/>
  <c r="N1405" i="1"/>
  <c r="N1406" i="1"/>
  <c r="N1407" i="1"/>
  <c r="N1408" i="1"/>
  <c r="N1409" i="1"/>
  <c r="N1410" i="1"/>
  <c r="N1411" i="1"/>
  <c r="N1412" i="1"/>
  <c r="N1413" i="1"/>
  <c r="N1414" i="1"/>
  <c r="N1415" i="1"/>
  <c r="N1416" i="1"/>
  <c r="N1417" i="1"/>
  <c r="N1418" i="1"/>
  <c r="N1419" i="1"/>
  <c r="N1420" i="1"/>
  <c r="N1421" i="1"/>
  <c r="N1422" i="1"/>
  <c r="N1423" i="1"/>
  <c r="N1424" i="1"/>
  <c r="N1425" i="1"/>
  <c r="N1426" i="1"/>
  <c r="N1427" i="1"/>
  <c r="N1428" i="1"/>
  <c r="N1429" i="1"/>
  <c r="N1430" i="1"/>
  <c r="N1431" i="1"/>
  <c r="N1432" i="1"/>
  <c r="N1433" i="1"/>
  <c r="N1434" i="1"/>
  <c r="N1435" i="1"/>
  <c r="N1436" i="1"/>
  <c r="N1437" i="1"/>
  <c r="N1438" i="1"/>
  <c r="N1439" i="1"/>
  <c r="N1440" i="1"/>
  <c r="N1441" i="1"/>
  <c r="N1442" i="1"/>
  <c r="N1443" i="1"/>
  <c r="N1444" i="1"/>
  <c r="N1445" i="1"/>
  <c r="N1446" i="1"/>
  <c r="N1447" i="1"/>
  <c r="N1448" i="1"/>
  <c r="N1449" i="1"/>
  <c r="N1450" i="1"/>
  <c r="N1451" i="1"/>
  <c r="N1452" i="1"/>
  <c r="N1453" i="1"/>
  <c r="N1454" i="1"/>
  <c r="N1455" i="1"/>
  <c r="N1456" i="1"/>
  <c r="N1457" i="1"/>
  <c r="N1458" i="1"/>
  <c r="N1459" i="1"/>
  <c r="N1460" i="1"/>
  <c r="N1461" i="1"/>
  <c r="N1462" i="1"/>
  <c r="N1463" i="1"/>
  <c r="N1464" i="1"/>
  <c r="N1465" i="1"/>
  <c r="N1466" i="1"/>
  <c r="N1467" i="1"/>
  <c r="N1468" i="1"/>
  <c r="N1469" i="1"/>
  <c r="N1470" i="1"/>
  <c r="N1471" i="1"/>
  <c r="N1472" i="1"/>
  <c r="N1473" i="1"/>
  <c r="N1474" i="1"/>
  <c r="N1475" i="1"/>
  <c r="N1476" i="1"/>
  <c r="N1477" i="1"/>
  <c r="N1478" i="1"/>
  <c r="N1479" i="1"/>
  <c r="N1480" i="1"/>
  <c r="N1481" i="1"/>
  <c r="N1482" i="1"/>
  <c r="N1483" i="1"/>
  <c r="N1484" i="1"/>
  <c r="N1485" i="1"/>
  <c r="N1486" i="1"/>
  <c r="N1487" i="1"/>
  <c r="N1488" i="1"/>
  <c r="N1489" i="1"/>
  <c r="N1490" i="1"/>
  <c r="N1491" i="1"/>
  <c r="N1492" i="1"/>
  <c r="N1493" i="1"/>
  <c r="N1494" i="1"/>
  <c r="N1495" i="1"/>
  <c r="N1496" i="1"/>
  <c r="N1497" i="1"/>
  <c r="N1498" i="1"/>
  <c r="N1499" i="1"/>
  <c r="N1500" i="1"/>
  <c r="N1501" i="1"/>
  <c r="N1502" i="1"/>
  <c r="N1503" i="1"/>
  <c r="N1504" i="1"/>
  <c r="N1505" i="1"/>
  <c r="N1506" i="1"/>
  <c r="N1507" i="1"/>
  <c r="N1508" i="1"/>
  <c r="N1509" i="1"/>
  <c r="N1510" i="1"/>
  <c r="N1511" i="1"/>
  <c r="N1512" i="1"/>
  <c r="N1513" i="1"/>
  <c r="N1514" i="1"/>
  <c r="N1515" i="1"/>
  <c r="N1516" i="1"/>
  <c r="N1517" i="1"/>
  <c r="N1518" i="1"/>
  <c r="N1519" i="1"/>
  <c r="N1520" i="1"/>
  <c r="N1521" i="1"/>
  <c r="N1522" i="1"/>
  <c r="N1523" i="1"/>
  <c r="N1524" i="1"/>
  <c r="N1525" i="1"/>
  <c r="N1526" i="1"/>
  <c r="N1527" i="1"/>
  <c r="N1528" i="1"/>
  <c r="N1529" i="1"/>
  <c r="N1530" i="1"/>
  <c r="N1531" i="1"/>
  <c r="N1532" i="1"/>
  <c r="N1533" i="1"/>
  <c r="N1534" i="1"/>
  <c r="N1535" i="1"/>
  <c r="N1536" i="1"/>
  <c r="N1537" i="1"/>
  <c r="N1538" i="1"/>
  <c r="N1539" i="1"/>
  <c r="N1540" i="1"/>
  <c r="N1541" i="1"/>
  <c r="N1542" i="1"/>
  <c r="N1543" i="1"/>
  <c r="N1544" i="1"/>
  <c r="N1545" i="1"/>
  <c r="N1546" i="1"/>
  <c r="N1547" i="1"/>
  <c r="N1548" i="1"/>
  <c r="N1549" i="1"/>
  <c r="N1550" i="1"/>
  <c r="N1551" i="1"/>
  <c r="N1552" i="1"/>
  <c r="N1553" i="1"/>
  <c r="N1554" i="1"/>
  <c r="N1555" i="1"/>
  <c r="N1556" i="1"/>
  <c r="N1557" i="1"/>
  <c r="N1558" i="1"/>
  <c r="N1559" i="1"/>
  <c r="N1560" i="1"/>
  <c r="N1561" i="1"/>
  <c r="N1562" i="1"/>
  <c r="N1563" i="1"/>
  <c r="N1564" i="1"/>
  <c r="N1565" i="1"/>
  <c r="N1566" i="1"/>
  <c r="N1567" i="1"/>
  <c r="N1568" i="1"/>
  <c r="N1569" i="1"/>
  <c r="N1570" i="1"/>
  <c r="N1571" i="1"/>
  <c r="N1572" i="1"/>
  <c r="N1573" i="1"/>
  <c r="N1574" i="1"/>
  <c r="N1575" i="1"/>
  <c r="N1576" i="1"/>
  <c r="N1577" i="1"/>
  <c r="N1578" i="1"/>
  <c r="N1579" i="1"/>
  <c r="N1580" i="1"/>
  <c r="N1581" i="1"/>
  <c r="N1582" i="1"/>
  <c r="N1583" i="1"/>
  <c r="N1584" i="1"/>
  <c r="N1585" i="1"/>
  <c r="N1586" i="1"/>
  <c r="N1587" i="1"/>
  <c r="N1588" i="1"/>
  <c r="N1589" i="1"/>
  <c r="N1590" i="1"/>
  <c r="N1591" i="1"/>
  <c r="N1592" i="1"/>
  <c r="N1593" i="1"/>
  <c r="N1594" i="1"/>
  <c r="N1595" i="1"/>
  <c r="N1596" i="1"/>
  <c r="N1597" i="1"/>
  <c r="N1598" i="1"/>
  <c r="N1599" i="1"/>
  <c r="N1600" i="1"/>
  <c r="N1601" i="1"/>
  <c r="N1602" i="1"/>
  <c r="N1603" i="1"/>
  <c r="N1604" i="1"/>
  <c r="N1605" i="1"/>
  <c r="N1606" i="1"/>
  <c r="N1607" i="1"/>
  <c r="N1608" i="1"/>
  <c r="N1609" i="1"/>
  <c r="N1610" i="1"/>
  <c r="N1611" i="1"/>
  <c r="N1612" i="1"/>
  <c r="N1613" i="1"/>
  <c r="N1614" i="1"/>
  <c r="N1615" i="1"/>
  <c r="N1616" i="1"/>
  <c r="N1617" i="1"/>
  <c r="N1618" i="1"/>
  <c r="N1619" i="1"/>
  <c r="N1620" i="1"/>
  <c r="N1621" i="1"/>
  <c r="N1622" i="1"/>
  <c r="N1623" i="1"/>
  <c r="N1624" i="1"/>
  <c r="N1625" i="1"/>
  <c r="N1626" i="1"/>
  <c r="N1627" i="1"/>
  <c r="N1628" i="1"/>
  <c r="N1629" i="1"/>
  <c r="N1630" i="1"/>
  <c r="N1631" i="1"/>
  <c r="N1632" i="1"/>
  <c r="N1633" i="1"/>
  <c r="N1634" i="1"/>
  <c r="N1635" i="1"/>
  <c r="N1636" i="1"/>
  <c r="N1637" i="1"/>
  <c r="N1638" i="1"/>
  <c r="N1639" i="1"/>
  <c r="N1640" i="1"/>
  <c r="N1641" i="1"/>
  <c r="N1642" i="1"/>
  <c r="N1643" i="1"/>
  <c r="N1644" i="1"/>
  <c r="N1645" i="1"/>
  <c r="N1646" i="1"/>
  <c r="N1647" i="1"/>
  <c r="N1648" i="1"/>
  <c r="N1649" i="1"/>
  <c r="N1650" i="1"/>
  <c r="N1651" i="1"/>
  <c r="N1652" i="1"/>
  <c r="N1653" i="1"/>
  <c r="N1654" i="1"/>
  <c r="N1655" i="1"/>
  <c r="N1656" i="1"/>
  <c r="N1657" i="1"/>
  <c r="N1658" i="1"/>
  <c r="N1659" i="1"/>
  <c r="N1660" i="1"/>
  <c r="N1661" i="1"/>
  <c r="N1662" i="1"/>
  <c r="N1663" i="1"/>
  <c r="N1664" i="1"/>
  <c r="N1665" i="1"/>
  <c r="N1666" i="1"/>
  <c r="N1667" i="1"/>
  <c r="N1668" i="1"/>
  <c r="N1669" i="1"/>
  <c r="N1670" i="1"/>
  <c r="N1671" i="1"/>
  <c r="N1672" i="1"/>
  <c r="N1673" i="1"/>
  <c r="N1674" i="1"/>
  <c r="N1675" i="1"/>
  <c r="N1676" i="1"/>
  <c r="N1677" i="1"/>
  <c r="N1678" i="1"/>
  <c r="N1679" i="1"/>
  <c r="N1680" i="1"/>
  <c r="N1681" i="1"/>
  <c r="N1682" i="1"/>
  <c r="N1683" i="1"/>
  <c r="N1684" i="1"/>
  <c r="N1685" i="1"/>
  <c r="N1686" i="1"/>
  <c r="N1687" i="1"/>
  <c r="N1688" i="1"/>
  <c r="N1689" i="1"/>
  <c r="N1690" i="1"/>
  <c r="N1691" i="1"/>
  <c r="N1692" i="1"/>
  <c r="N1693" i="1"/>
  <c r="N1694" i="1"/>
  <c r="N1695" i="1"/>
  <c r="N1696" i="1"/>
  <c r="N1697" i="1"/>
  <c r="N1698" i="1"/>
  <c r="N1699" i="1"/>
  <c r="N1700" i="1"/>
  <c r="N1701" i="1"/>
  <c r="N1702" i="1"/>
  <c r="N1703" i="1"/>
  <c r="N1704" i="1"/>
  <c r="N1705" i="1"/>
  <c r="N1706" i="1"/>
  <c r="N1707" i="1"/>
  <c r="N1708" i="1"/>
  <c r="N1709" i="1"/>
  <c r="N1710" i="1"/>
  <c r="N1711" i="1"/>
  <c r="N1712" i="1"/>
  <c r="N1713" i="1"/>
  <c r="N1714" i="1"/>
  <c r="N1715" i="1"/>
  <c r="N1716" i="1"/>
  <c r="N1717" i="1"/>
  <c r="N1718" i="1"/>
  <c r="N1719" i="1"/>
  <c r="N1720" i="1"/>
  <c r="N1721" i="1"/>
  <c r="N1722" i="1"/>
  <c r="N1723" i="1"/>
  <c r="N1724" i="1"/>
  <c r="N1725" i="1"/>
  <c r="N1726" i="1"/>
  <c r="N1727" i="1"/>
  <c r="N1728" i="1"/>
  <c r="N1729" i="1"/>
  <c r="N1730" i="1"/>
  <c r="N1731" i="1"/>
  <c r="N1732" i="1"/>
  <c r="N1733" i="1"/>
  <c r="N1734" i="1"/>
  <c r="N1735" i="1"/>
  <c r="N1736" i="1"/>
  <c r="N1737" i="1"/>
  <c r="N1738" i="1"/>
  <c r="N1739" i="1"/>
  <c r="N1740" i="1"/>
  <c r="N1741" i="1"/>
  <c r="N1742" i="1"/>
  <c r="N1743" i="1"/>
  <c r="N1744" i="1"/>
  <c r="N1745" i="1"/>
  <c r="N1746" i="1"/>
  <c r="N1747" i="1"/>
  <c r="N1748" i="1"/>
  <c r="N1749" i="1"/>
  <c r="N1750" i="1"/>
  <c r="N1751" i="1"/>
  <c r="N1752" i="1"/>
  <c r="N1753" i="1"/>
  <c r="N1754" i="1"/>
  <c r="N1755" i="1"/>
  <c r="N1756" i="1"/>
  <c r="N1757" i="1"/>
  <c r="N1758" i="1"/>
  <c r="N1759" i="1"/>
  <c r="N1760" i="1"/>
  <c r="N1761" i="1"/>
  <c r="N1762" i="1"/>
  <c r="N1763" i="1"/>
  <c r="N1764" i="1"/>
  <c r="N1765" i="1"/>
  <c r="N1766" i="1"/>
  <c r="N1767" i="1"/>
  <c r="N1768" i="1"/>
  <c r="N1769" i="1"/>
  <c r="N1770" i="1"/>
  <c r="N1771" i="1"/>
  <c r="N1772" i="1"/>
  <c r="N1773" i="1"/>
  <c r="N1774" i="1"/>
  <c r="N1775" i="1"/>
  <c r="N1776" i="1"/>
  <c r="N1777" i="1"/>
  <c r="N1778" i="1"/>
  <c r="N1779" i="1"/>
  <c r="N1780" i="1"/>
  <c r="N1781" i="1"/>
  <c r="N1782" i="1"/>
  <c r="N1783" i="1"/>
  <c r="N1784" i="1"/>
  <c r="N1785" i="1"/>
  <c r="N1786" i="1"/>
  <c r="N1787" i="1"/>
  <c r="N1788" i="1"/>
  <c r="N1789" i="1"/>
  <c r="N1790" i="1"/>
  <c r="N1791" i="1"/>
  <c r="N1792" i="1"/>
  <c r="N1793" i="1"/>
  <c r="N1794" i="1"/>
  <c r="N1795" i="1"/>
  <c r="N1796" i="1"/>
  <c r="N1797" i="1"/>
  <c r="N1798" i="1"/>
  <c r="N1799" i="1"/>
  <c r="N1800" i="1"/>
  <c r="N1801" i="1"/>
  <c r="N1802" i="1"/>
  <c r="N1803" i="1"/>
  <c r="N1804" i="1"/>
  <c r="N1805" i="1"/>
  <c r="N1806" i="1"/>
  <c r="N1807" i="1"/>
  <c r="N1808" i="1"/>
  <c r="N1809" i="1"/>
  <c r="N1810" i="1"/>
  <c r="N1811" i="1"/>
  <c r="N1812" i="1"/>
  <c r="N1813" i="1"/>
  <c r="N1814" i="1"/>
  <c r="N1815" i="1"/>
  <c r="N1816" i="1"/>
  <c r="N1817" i="1"/>
  <c r="N1818" i="1"/>
  <c r="N1819" i="1"/>
  <c r="N1820" i="1"/>
  <c r="N1821" i="1"/>
  <c r="N1822" i="1"/>
  <c r="N1823" i="1"/>
  <c r="N1824" i="1"/>
  <c r="N1825" i="1"/>
  <c r="N1826" i="1"/>
  <c r="N1827" i="1"/>
  <c r="N1828" i="1"/>
  <c r="N1829" i="1"/>
  <c r="N1830" i="1"/>
  <c r="N1831" i="1"/>
  <c r="N1832" i="1"/>
  <c r="N1833" i="1"/>
  <c r="N1834" i="1"/>
  <c r="N1835" i="1"/>
  <c r="N1836" i="1"/>
  <c r="N1837" i="1"/>
  <c r="N1838" i="1"/>
  <c r="N1839" i="1"/>
  <c r="N1840" i="1"/>
  <c r="N1841" i="1"/>
  <c r="N1842" i="1"/>
  <c r="N1843" i="1"/>
  <c r="N1844" i="1"/>
  <c r="N1845" i="1"/>
  <c r="N1846" i="1"/>
  <c r="N1847" i="1"/>
  <c r="N1848" i="1"/>
  <c r="N1849" i="1"/>
  <c r="N1850" i="1"/>
  <c r="N1851" i="1"/>
  <c r="N1852" i="1"/>
  <c r="N1853" i="1"/>
  <c r="N1854" i="1"/>
  <c r="N1855" i="1"/>
  <c r="N1856" i="1"/>
  <c r="N1857" i="1"/>
  <c r="N1858" i="1"/>
  <c r="N1859" i="1"/>
  <c r="N1860" i="1"/>
  <c r="N1861" i="1"/>
  <c r="N1862" i="1"/>
  <c r="N1863" i="1"/>
  <c r="N1864" i="1"/>
  <c r="N1865" i="1"/>
  <c r="N1866" i="1"/>
  <c r="N1867" i="1"/>
  <c r="N1868" i="1"/>
  <c r="N1869" i="1"/>
  <c r="N1870" i="1"/>
  <c r="N1871" i="1"/>
  <c r="N1872" i="1"/>
  <c r="N1873" i="1"/>
  <c r="N1874" i="1"/>
  <c r="N1875" i="1"/>
  <c r="N1876" i="1"/>
  <c r="N1877" i="1"/>
  <c r="N1878" i="1"/>
  <c r="N1879" i="1"/>
  <c r="N1880" i="1"/>
  <c r="N1881" i="1"/>
  <c r="N1882" i="1"/>
  <c r="N1883" i="1"/>
  <c r="N1884" i="1"/>
  <c r="N1885" i="1"/>
  <c r="N1886" i="1"/>
  <c r="N1887" i="1"/>
  <c r="N1888" i="1"/>
  <c r="N1889" i="1"/>
  <c r="N1890" i="1"/>
  <c r="N1891" i="1"/>
  <c r="N1892" i="1"/>
  <c r="N1893" i="1"/>
  <c r="N1894" i="1"/>
  <c r="N1895" i="1"/>
  <c r="N1896" i="1"/>
  <c r="N1897" i="1"/>
  <c r="N1898" i="1"/>
  <c r="N1899" i="1"/>
  <c r="N1900" i="1"/>
  <c r="N1901" i="1"/>
  <c r="N1902" i="1"/>
  <c r="N1903" i="1"/>
  <c r="N1904" i="1"/>
  <c r="N1905" i="1"/>
  <c r="N1906" i="1"/>
  <c r="N1907" i="1"/>
  <c r="N1908" i="1"/>
  <c r="N1909" i="1"/>
  <c r="N1910" i="1"/>
  <c r="N1911" i="1"/>
  <c r="N1912" i="1"/>
  <c r="N1913" i="1"/>
  <c r="N1914" i="1"/>
  <c r="N1915" i="1"/>
  <c r="N1916" i="1"/>
  <c r="N1917" i="1"/>
  <c r="N1918" i="1"/>
  <c r="N1919" i="1"/>
  <c r="N1920" i="1"/>
  <c r="N1921" i="1"/>
  <c r="N1922" i="1"/>
  <c r="N1923" i="1"/>
  <c r="N1924" i="1"/>
  <c r="N1925" i="1"/>
  <c r="N1926" i="1"/>
  <c r="N1927" i="1"/>
  <c r="N1928" i="1"/>
  <c r="N1929" i="1"/>
  <c r="N1930" i="1"/>
  <c r="N1931" i="1"/>
  <c r="N1932" i="1"/>
  <c r="N1933" i="1"/>
  <c r="N1934" i="1"/>
  <c r="N1935" i="1"/>
  <c r="N1936" i="1"/>
  <c r="N1937" i="1"/>
  <c r="N1938" i="1"/>
  <c r="N1939" i="1"/>
  <c r="N1940" i="1"/>
  <c r="N1941" i="1"/>
  <c r="N1942" i="1"/>
  <c r="N1943" i="1"/>
  <c r="N1944" i="1"/>
  <c r="N1945" i="1"/>
  <c r="N1946" i="1"/>
  <c r="N1947" i="1"/>
  <c r="N1948" i="1"/>
  <c r="N1949" i="1"/>
  <c r="N1950" i="1"/>
  <c r="N1951" i="1"/>
  <c r="N1952" i="1"/>
  <c r="N1953" i="1"/>
  <c r="N1954" i="1"/>
  <c r="N1955" i="1"/>
  <c r="N1956" i="1"/>
  <c r="N1957" i="1"/>
  <c r="N1958" i="1"/>
  <c r="N1959" i="1"/>
  <c r="N1960" i="1"/>
  <c r="N1961" i="1"/>
  <c r="N1962" i="1"/>
  <c r="N1963" i="1"/>
  <c r="N1964" i="1"/>
  <c r="N1965" i="1"/>
  <c r="N1966" i="1"/>
  <c r="N1967" i="1"/>
  <c r="N1968" i="1"/>
  <c r="N1969" i="1"/>
  <c r="N1970" i="1"/>
  <c r="N1971" i="1"/>
  <c r="N1972" i="1"/>
  <c r="N1973" i="1"/>
  <c r="N1974" i="1"/>
  <c r="N1975" i="1"/>
  <c r="N1976" i="1"/>
  <c r="N1977" i="1"/>
  <c r="N1978" i="1"/>
  <c r="N1979" i="1"/>
  <c r="N1980" i="1"/>
  <c r="N1981" i="1"/>
  <c r="N1982" i="1"/>
  <c r="N1983" i="1"/>
  <c r="N1984" i="1"/>
  <c r="N1985" i="1"/>
  <c r="N1986" i="1"/>
  <c r="N1987" i="1"/>
  <c r="N1988" i="1"/>
  <c r="N1989" i="1"/>
  <c r="N1990" i="1"/>
  <c r="N1991" i="1"/>
  <c r="N1992" i="1"/>
  <c r="N1993" i="1"/>
  <c r="N1994" i="1"/>
  <c r="N1995" i="1"/>
  <c r="N1996" i="1"/>
  <c r="N1997" i="1"/>
  <c r="N1998" i="1"/>
  <c r="N1999" i="1"/>
  <c r="N2000" i="1"/>
  <c r="N2001" i="1"/>
  <c r="N2002" i="1"/>
  <c r="N2003" i="1"/>
  <c r="N2004" i="1"/>
  <c r="N2005" i="1"/>
  <c r="N2006" i="1"/>
  <c r="N2007" i="1"/>
  <c r="N2008" i="1"/>
  <c r="N2009" i="1"/>
  <c r="N2010" i="1"/>
  <c r="N2011" i="1"/>
  <c r="N2012" i="1"/>
  <c r="N2013" i="1"/>
  <c r="N2014" i="1"/>
  <c r="N2015" i="1"/>
  <c r="N2016" i="1"/>
  <c r="N2017" i="1"/>
  <c r="N2018" i="1"/>
  <c r="N2019" i="1"/>
  <c r="N2020" i="1"/>
  <c r="N2021" i="1"/>
  <c r="N2022" i="1"/>
  <c r="N2023" i="1"/>
  <c r="N2024" i="1"/>
  <c r="N2025" i="1"/>
  <c r="N2026" i="1"/>
  <c r="N2027" i="1"/>
  <c r="N2028" i="1"/>
  <c r="N2029" i="1"/>
  <c r="N2030" i="1"/>
  <c r="N2031" i="1"/>
  <c r="N2032" i="1"/>
  <c r="N2033" i="1"/>
  <c r="N2034" i="1"/>
  <c r="N2035" i="1"/>
  <c r="N2036" i="1"/>
  <c r="N2037" i="1"/>
  <c r="N2038" i="1"/>
  <c r="N2039" i="1"/>
  <c r="N2040" i="1"/>
  <c r="N2041" i="1"/>
  <c r="N2042" i="1"/>
  <c r="N2043" i="1"/>
  <c r="N2044" i="1"/>
  <c r="N2045" i="1"/>
  <c r="N2046" i="1"/>
  <c r="N2047" i="1"/>
  <c r="N2048" i="1"/>
  <c r="N2049" i="1"/>
  <c r="N2050" i="1"/>
  <c r="N2051" i="1"/>
  <c r="N2052" i="1"/>
  <c r="N2053" i="1"/>
  <c r="N2054" i="1"/>
  <c r="N2055" i="1"/>
  <c r="N2056" i="1"/>
  <c r="N2057" i="1"/>
  <c r="N2058" i="1"/>
  <c r="N2059" i="1"/>
  <c r="N2060" i="1"/>
  <c r="N2061" i="1"/>
  <c r="N2062" i="1"/>
  <c r="N2063" i="1"/>
  <c r="N2064" i="1"/>
  <c r="N2065" i="1"/>
  <c r="N2066" i="1"/>
  <c r="N2067" i="1"/>
  <c r="N2068" i="1"/>
  <c r="N2069" i="1"/>
  <c r="N2070" i="1"/>
  <c r="N2071" i="1"/>
  <c r="N2072" i="1"/>
  <c r="N2073" i="1"/>
  <c r="N2074" i="1"/>
  <c r="N2075" i="1"/>
  <c r="N2076" i="1"/>
  <c r="N2077" i="1"/>
  <c r="N2078" i="1"/>
  <c r="N2079" i="1"/>
  <c r="N2080" i="1"/>
  <c r="N2081" i="1"/>
  <c r="N2082" i="1"/>
  <c r="N2083" i="1"/>
  <c r="N2084" i="1"/>
  <c r="N2085" i="1"/>
  <c r="N2086" i="1"/>
  <c r="N2087" i="1"/>
  <c r="N2088" i="1"/>
  <c r="N2089" i="1"/>
  <c r="N2090" i="1"/>
  <c r="N2091" i="1"/>
  <c r="N2092" i="1"/>
  <c r="N2093" i="1"/>
  <c r="N2094" i="1"/>
  <c r="N2095" i="1"/>
  <c r="N2096" i="1"/>
  <c r="N2097" i="1"/>
  <c r="N2098" i="1"/>
  <c r="N2099" i="1"/>
  <c r="N2100" i="1"/>
  <c r="N2101" i="1"/>
  <c r="N2102" i="1"/>
  <c r="N2103" i="1"/>
  <c r="N2104" i="1"/>
  <c r="N2105" i="1"/>
  <c r="N2106" i="1"/>
  <c r="N2107" i="1"/>
  <c r="N2108" i="1"/>
  <c r="N2109" i="1"/>
  <c r="N2110" i="1"/>
  <c r="N2111" i="1"/>
  <c r="N2112" i="1"/>
  <c r="N2113" i="1"/>
  <c r="N2114" i="1"/>
  <c r="N2115" i="1"/>
  <c r="N2116" i="1"/>
  <c r="N2117" i="1"/>
  <c r="N2118" i="1"/>
  <c r="N2119" i="1"/>
  <c r="N2120" i="1"/>
  <c r="N2121" i="1"/>
  <c r="N2122" i="1"/>
  <c r="N2123" i="1"/>
  <c r="N2124" i="1"/>
  <c r="N2125" i="1"/>
  <c r="N2126" i="1"/>
  <c r="N2127" i="1"/>
  <c r="N2128" i="1"/>
  <c r="N2129" i="1"/>
  <c r="N2130" i="1"/>
  <c r="N2131" i="1"/>
  <c r="N2132" i="1"/>
  <c r="N2133" i="1"/>
  <c r="N2134" i="1"/>
  <c r="N2135" i="1"/>
  <c r="N2136" i="1"/>
  <c r="N2137" i="1"/>
  <c r="N2138" i="1"/>
  <c r="N2139" i="1"/>
  <c r="N2140" i="1"/>
  <c r="N2141" i="1"/>
  <c r="N2142" i="1"/>
  <c r="N2143" i="1"/>
  <c r="N2144" i="1"/>
  <c r="N2145" i="1"/>
  <c r="N2146" i="1"/>
  <c r="N2147" i="1"/>
  <c r="N2148" i="1"/>
  <c r="N2149" i="1"/>
  <c r="N2150" i="1"/>
  <c r="N2151" i="1"/>
  <c r="N2152" i="1"/>
  <c r="N2153" i="1"/>
  <c r="N2154" i="1"/>
  <c r="N2155" i="1"/>
  <c r="N2156" i="1"/>
  <c r="N2157" i="1"/>
  <c r="N2158" i="1"/>
  <c r="N2159" i="1"/>
  <c r="N2160" i="1"/>
  <c r="N2161" i="1"/>
  <c r="N2162" i="1"/>
  <c r="N2163" i="1"/>
  <c r="N2164" i="1"/>
  <c r="N2165" i="1"/>
  <c r="N2166" i="1"/>
  <c r="N2167" i="1"/>
  <c r="N2168" i="1"/>
  <c r="N2169" i="1"/>
  <c r="N2170" i="1"/>
  <c r="N2171" i="1"/>
  <c r="N2172" i="1"/>
  <c r="N2173" i="1"/>
  <c r="N2174" i="1"/>
  <c r="N2175" i="1"/>
  <c r="N2176" i="1"/>
  <c r="N2177" i="1"/>
  <c r="N2178" i="1"/>
  <c r="N2179" i="1"/>
  <c r="N2180" i="1"/>
  <c r="N2181" i="1"/>
  <c r="N2182" i="1"/>
  <c r="N2183" i="1"/>
  <c r="N2184" i="1"/>
  <c r="N2185" i="1"/>
  <c r="N2186" i="1"/>
  <c r="N2187" i="1"/>
  <c r="N2188" i="1"/>
  <c r="N2189" i="1"/>
  <c r="N2190" i="1"/>
  <c r="N2191" i="1"/>
  <c r="N2192" i="1"/>
  <c r="N2193" i="1"/>
  <c r="N2194" i="1"/>
  <c r="N2195" i="1"/>
  <c r="N2196" i="1"/>
  <c r="N2197" i="1"/>
  <c r="N2198" i="1"/>
  <c r="N2199" i="1"/>
  <c r="N2200" i="1"/>
  <c r="N2201" i="1"/>
  <c r="N2202" i="1"/>
  <c r="N2203" i="1"/>
  <c r="N2204" i="1"/>
  <c r="N2205" i="1"/>
  <c r="N2206" i="1"/>
  <c r="N2207" i="1"/>
  <c r="N2208" i="1"/>
  <c r="N2209" i="1"/>
  <c r="N2210" i="1"/>
  <c r="N2211" i="1"/>
  <c r="N2212" i="1"/>
  <c r="N2213" i="1"/>
  <c r="N2214" i="1"/>
  <c r="N2215" i="1"/>
  <c r="N2216" i="1"/>
  <c r="N2217" i="1"/>
  <c r="N2218" i="1"/>
  <c r="N2219" i="1"/>
  <c r="N2220" i="1"/>
  <c r="N2221" i="1"/>
  <c r="N2222" i="1"/>
  <c r="N2223" i="1"/>
  <c r="N2224" i="1"/>
  <c r="N2225" i="1"/>
  <c r="N2226" i="1"/>
  <c r="N2227" i="1"/>
  <c r="N2228" i="1"/>
  <c r="N2229" i="1"/>
  <c r="N2230" i="1"/>
  <c r="N2231" i="1"/>
  <c r="N2232" i="1"/>
  <c r="N2233" i="1"/>
  <c r="N2234" i="1"/>
  <c r="N2235" i="1"/>
  <c r="N2236" i="1"/>
  <c r="N2237" i="1"/>
  <c r="N2238" i="1"/>
  <c r="N2239" i="1"/>
  <c r="N2240" i="1"/>
  <c r="N2241" i="1"/>
  <c r="N2242" i="1"/>
  <c r="N2243" i="1"/>
  <c r="N2244" i="1"/>
  <c r="N2245" i="1"/>
  <c r="N2246" i="1"/>
  <c r="N2247" i="1"/>
  <c r="N2248" i="1"/>
  <c r="N2249" i="1"/>
  <c r="N2250" i="1"/>
  <c r="N2251" i="1"/>
  <c r="N2252" i="1"/>
  <c r="N2253" i="1"/>
  <c r="N2254" i="1"/>
  <c r="N2255" i="1"/>
  <c r="N2256" i="1"/>
  <c r="N2257" i="1"/>
  <c r="N2258" i="1"/>
  <c r="N2259" i="1"/>
  <c r="N2260" i="1"/>
  <c r="N2261" i="1"/>
  <c r="N2262" i="1"/>
  <c r="N2263" i="1"/>
  <c r="N2264" i="1"/>
  <c r="N2265" i="1"/>
  <c r="N2266" i="1"/>
  <c r="N2267" i="1"/>
  <c r="N2268" i="1"/>
  <c r="N2269" i="1"/>
  <c r="N2270" i="1"/>
  <c r="N2271" i="1"/>
  <c r="N2272" i="1"/>
  <c r="N2273" i="1"/>
  <c r="N2274" i="1"/>
  <c r="N2275" i="1"/>
  <c r="N2276" i="1"/>
  <c r="N2277" i="1"/>
  <c r="N2278" i="1"/>
  <c r="N2279" i="1"/>
  <c r="N2280" i="1"/>
  <c r="N2281" i="1"/>
  <c r="N2282" i="1"/>
  <c r="N2283" i="1"/>
  <c r="N2284" i="1"/>
  <c r="N2285" i="1"/>
  <c r="N2286" i="1"/>
  <c r="N2287" i="1"/>
  <c r="N2288" i="1"/>
  <c r="N2289" i="1"/>
  <c r="N2290" i="1"/>
  <c r="N2291" i="1"/>
  <c r="N2292" i="1"/>
  <c r="N2293" i="1"/>
  <c r="N2294" i="1"/>
  <c r="N2295" i="1"/>
  <c r="N2296" i="1"/>
  <c r="N2297" i="1"/>
  <c r="N2298" i="1"/>
  <c r="N2299" i="1"/>
  <c r="N2300" i="1"/>
  <c r="N2301" i="1"/>
  <c r="N2302" i="1"/>
  <c r="N2303" i="1"/>
  <c r="N2304" i="1"/>
  <c r="N2305" i="1"/>
  <c r="N2306" i="1"/>
  <c r="N2307" i="1"/>
  <c r="N2308" i="1"/>
  <c r="N2309" i="1"/>
  <c r="N2310" i="1"/>
  <c r="N2311" i="1"/>
  <c r="N2312" i="1"/>
  <c r="N2313" i="1"/>
  <c r="N2314" i="1"/>
  <c r="N2315" i="1"/>
  <c r="N2316" i="1"/>
  <c r="N2317" i="1"/>
  <c r="N2318" i="1"/>
  <c r="N2319" i="1"/>
  <c r="N2320" i="1"/>
  <c r="N2321" i="1"/>
  <c r="N2322" i="1"/>
  <c r="N2323" i="1"/>
  <c r="N2324" i="1"/>
  <c r="N2325" i="1"/>
  <c r="N2326" i="1"/>
  <c r="N2327" i="1"/>
  <c r="N2328" i="1"/>
  <c r="N2329" i="1"/>
  <c r="N2330" i="1"/>
  <c r="N2331" i="1"/>
  <c r="N2332" i="1"/>
  <c r="N2333" i="1"/>
  <c r="N2334" i="1"/>
  <c r="N2335" i="1"/>
  <c r="N2336" i="1"/>
  <c r="N2337" i="1"/>
  <c r="N2338" i="1"/>
  <c r="N2339" i="1"/>
  <c r="N2340" i="1"/>
  <c r="N2341" i="1"/>
  <c r="N2342" i="1"/>
  <c r="N2343" i="1"/>
  <c r="N2344" i="1"/>
  <c r="N2345" i="1"/>
  <c r="N2346" i="1"/>
  <c r="N2347" i="1"/>
  <c r="N2348" i="1"/>
  <c r="N2349" i="1"/>
  <c r="N2350" i="1"/>
  <c r="N2351" i="1"/>
  <c r="N2352" i="1"/>
  <c r="N2353" i="1"/>
  <c r="N2354" i="1"/>
  <c r="N2355" i="1"/>
  <c r="N2356" i="1"/>
  <c r="N2357" i="1"/>
  <c r="N2358" i="1"/>
  <c r="N2359" i="1"/>
  <c r="N2360" i="1"/>
  <c r="N2361" i="1"/>
  <c r="N2362" i="1"/>
  <c r="N2363" i="1"/>
  <c r="N2364" i="1"/>
  <c r="N2365" i="1"/>
  <c r="N2366" i="1"/>
  <c r="N2367" i="1"/>
  <c r="N2368" i="1"/>
  <c r="N2369" i="1"/>
  <c r="N2370" i="1"/>
  <c r="N2371" i="1"/>
  <c r="N2372" i="1"/>
  <c r="N2373" i="1"/>
  <c r="N2374" i="1"/>
  <c r="N2375" i="1"/>
  <c r="N2376" i="1"/>
  <c r="N2377" i="1"/>
  <c r="N2378" i="1"/>
  <c r="N2379" i="1"/>
  <c r="N2380" i="1"/>
  <c r="N2381" i="1"/>
  <c r="N2382" i="1"/>
  <c r="N2383" i="1"/>
  <c r="N2384" i="1"/>
  <c r="N2385" i="1"/>
  <c r="N2386" i="1"/>
  <c r="N2387" i="1"/>
  <c r="N2388" i="1"/>
  <c r="N2389" i="1"/>
  <c r="N2390" i="1"/>
  <c r="N2391" i="1"/>
  <c r="N2392" i="1"/>
  <c r="N2393" i="1"/>
  <c r="N2394" i="1"/>
  <c r="N2395" i="1"/>
  <c r="N2396" i="1"/>
  <c r="N2397" i="1"/>
  <c r="N2398" i="1"/>
  <c r="N2399" i="1"/>
  <c r="N2400" i="1"/>
  <c r="N2401" i="1"/>
  <c r="N2402" i="1"/>
  <c r="N2403" i="1"/>
  <c r="N2404" i="1"/>
  <c r="N2405" i="1"/>
  <c r="N2406" i="1"/>
  <c r="N2407" i="1"/>
  <c r="N2408" i="1"/>
  <c r="N2409" i="1"/>
  <c r="N2410" i="1"/>
  <c r="N2411" i="1"/>
  <c r="N2412" i="1"/>
  <c r="N2413" i="1"/>
  <c r="N2414" i="1"/>
  <c r="N2415" i="1"/>
  <c r="N2416" i="1"/>
  <c r="N2417" i="1"/>
  <c r="N2418" i="1"/>
  <c r="N2419" i="1"/>
  <c r="N2420" i="1"/>
  <c r="N2421" i="1"/>
  <c r="N2422" i="1"/>
  <c r="N2423" i="1"/>
  <c r="N2424" i="1"/>
  <c r="N2425" i="1"/>
  <c r="N2426" i="1"/>
  <c r="N2427" i="1"/>
  <c r="N2428" i="1"/>
  <c r="N2429" i="1"/>
  <c r="N2430" i="1"/>
  <c r="N2431" i="1"/>
  <c r="N2432" i="1"/>
  <c r="N2433" i="1"/>
  <c r="N2434" i="1"/>
  <c r="N2435" i="1"/>
  <c r="N2436" i="1"/>
  <c r="N2437" i="1"/>
  <c r="N2438" i="1"/>
  <c r="N2439" i="1"/>
  <c r="N2440" i="1"/>
  <c r="N2441" i="1"/>
  <c r="N2442" i="1"/>
  <c r="N2443" i="1"/>
  <c r="N2444" i="1"/>
  <c r="N2445" i="1"/>
  <c r="N2446" i="1"/>
  <c r="N2447" i="1"/>
  <c r="N2448" i="1"/>
  <c r="N2449" i="1"/>
  <c r="N2450" i="1"/>
  <c r="N2451" i="1"/>
  <c r="N2452" i="1"/>
  <c r="N2453" i="1"/>
  <c r="N2454" i="1"/>
  <c r="N2455" i="1"/>
  <c r="N2456" i="1"/>
  <c r="N2457" i="1"/>
  <c r="N2458" i="1"/>
  <c r="N2459" i="1"/>
  <c r="N2460" i="1"/>
  <c r="N2461" i="1"/>
  <c r="N2462" i="1"/>
  <c r="N2463" i="1"/>
  <c r="N2464" i="1"/>
  <c r="N2465" i="1"/>
  <c r="N2466" i="1"/>
  <c r="N2467" i="1"/>
  <c r="N2468" i="1"/>
  <c r="N2469" i="1"/>
  <c r="N2470" i="1"/>
  <c r="N2471" i="1"/>
  <c r="N2472" i="1"/>
  <c r="N2473" i="1"/>
  <c r="N2474" i="1"/>
  <c r="N2475" i="1"/>
  <c r="N2476" i="1"/>
  <c r="N2477" i="1"/>
  <c r="N2478" i="1"/>
  <c r="N2479" i="1"/>
  <c r="N2480" i="1"/>
  <c r="N2481" i="1"/>
  <c r="N2482" i="1"/>
  <c r="N2483" i="1"/>
  <c r="N2484" i="1"/>
  <c r="N2485" i="1"/>
  <c r="N2486" i="1"/>
  <c r="N2487" i="1"/>
  <c r="N2488" i="1"/>
  <c r="N2489" i="1"/>
  <c r="N2490" i="1"/>
  <c r="N2491" i="1"/>
  <c r="N2492" i="1"/>
  <c r="N2493" i="1"/>
  <c r="N2494" i="1"/>
  <c r="N2495" i="1"/>
  <c r="N2496" i="1"/>
  <c r="N2497" i="1"/>
  <c r="N2498" i="1"/>
  <c r="N2499" i="1"/>
  <c r="N2500" i="1"/>
  <c r="N2501" i="1"/>
  <c r="N2502" i="1"/>
  <c r="N2503" i="1"/>
  <c r="N2504" i="1"/>
  <c r="N2505" i="1"/>
  <c r="N2506" i="1"/>
  <c r="N2507" i="1"/>
  <c r="N2508" i="1"/>
  <c r="N2509" i="1"/>
  <c r="N2510" i="1"/>
  <c r="N2511" i="1"/>
  <c r="N2512" i="1"/>
  <c r="N2513" i="1"/>
  <c r="N2514" i="1"/>
  <c r="N2515" i="1"/>
  <c r="N2516" i="1"/>
  <c r="N2517" i="1"/>
  <c r="N2518" i="1"/>
  <c r="N2519" i="1"/>
  <c r="N2520" i="1"/>
  <c r="N2521" i="1"/>
  <c r="N2522" i="1"/>
  <c r="N2523" i="1"/>
  <c r="N2524" i="1"/>
  <c r="N2525" i="1"/>
  <c r="N2526" i="1"/>
  <c r="N2527" i="1"/>
  <c r="N2528" i="1"/>
  <c r="N2529" i="1"/>
  <c r="N2530" i="1"/>
  <c r="N2531" i="1"/>
  <c r="N2532" i="1"/>
  <c r="N2533" i="1"/>
  <c r="N2534" i="1"/>
  <c r="N2535" i="1"/>
  <c r="N2536" i="1"/>
  <c r="N2537" i="1"/>
  <c r="N2538" i="1"/>
  <c r="N2539" i="1"/>
  <c r="N2540" i="1"/>
  <c r="N2541" i="1"/>
  <c r="N2542" i="1"/>
  <c r="N2543" i="1"/>
  <c r="N2544" i="1"/>
  <c r="N2545" i="1"/>
  <c r="N2546" i="1"/>
  <c r="N2547" i="1"/>
  <c r="N2548" i="1"/>
  <c r="N2549" i="1"/>
  <c r="N2550" i="1"/>
  <c r="N2551" i="1"/>
  <c r="N2552" i="1"/>
  <c r="N2553" i="1"/>
  <c r="N2554" i="1"/>
  <c r="N2555" i="1"/>
  <c r="N2556" i="1"/>
  <c r="N2557" i="1"/>
  <c r="N2558" i="1"/>
  <c r="N2559" i="1"/>
  <c r="N2560" i="1"/>
  <c r="N2561" i="1"/>
  <c r="N2562" i="1"/>
  <c r="N2563" i="1"/>
  <c r="N2564" i="1"/>
  <c r="N2565" i="1"/>
  <c r="N2566" i="1"/>
  <c r="N2567" i="1"/>
  <c r="N2568" i="1"/>
  <c r="N2569" i="1"/>
  <c r="N2570" i="1"/>
  <c r="N2571" i="1"/>
  <c r="N2572" i="1"/>
  <c r="N2573" i="1"/>
  <c r="N2574" i="1"/>
  <c r="N2575" i="1"/>
  <c r="N2576" i="1"/>
  <c r="N2577" i="1"/>
  <c r="N2578" i="1"/>
  <c r="N2579" i="1"/>
  <c r="N2580" i="1"/>
  <c r="N2581" i="1"/>
  <c r="N2582" i="1"/>
  <c r="N2583" i="1"/>
  <c r="N2584" i="1"/>
  <c r="N2585" i="1"/>
  <c r="N2586" i="1"/>
  <c r="N2587" i="1"/>
  <c r="N2588" i="1"/>
  <c r="N2589" i="1"/>
  <c r="N2590" i="1"/>
  <c r="N2591" i="1"/>
  <c r="N2592" i="1"/>
  <c r="N2593" i="1"/>
  <c r="N2594" i="1"/>
  <c r="N2595" i="1"/>
  <c r="N2596" i="1"/>
  <c r="N2597" i="1"/>
  <c r="N2598" i="1"/>
  <c r="N2599" i="1"/>
  <c r="N2600" i="1"/>
  <c r="N2601" i="1"/>
  <c r="N2602" i="1"/>
  <c r="N2603" i="1"/>
  <c r="N2604" i="1"/>
  <c r="N2605" i="1"/>
  <c r="N2606" i="1"/>
  <c r="N2607" i="1"/>
  <c r="N2608" i="1"/>
  <c r="N2609" i="1"/>
  <c r="N2610" i="1"/>
  <c r="N2611" i="1"/>
  <c r="N2612" i="1"/>
  <c r="N2613" i="1"/>
  <c r="N2614" i="1"/>
  <c r="N2615" i="1"/>
  <c r="N2616" i="1"/>
  <c r="N2617" i="1"/>
  <c r="N2618" i="1"/>
  <c r="N2619" i="1"/>
  <c r="N2620" i="1"/>
  <c r="N2621" i="1"/>
  <c r="N2622" i="1"/>
  <c r="N2623" i="1"/>
  <c r="N2624" i="1"/>
  <c r="N2625" i="1"/>
  <c r="N2626" i="1"/>
  <c r="N2627" i="1"/>
  <c r="N2628" i="1"/>
  <c r="N2629" i="1"/>
  <c r="N2630" i="1"/>
  <c r="N2631" i="1"/>
  <c r="N2632" i="1"/>
  <c r="N2633" i="1"/>
  <c r="N2634" i="1"/>
  <c r="N2635" i="1"/>
  <c r="N2636" i="1"/>
  <c r="N2637" i="1"/>
  <c r="N2638" i="1"/>
  <c r="N2639" i="1"/>
  <c r="N2640" i="1"/>
  <c r="N2641" i="1"/>
  <c r="N2642" i="1"/>
  <c r="N2643" i="1"/>
  <c r="N2644" i="1"/>
  <c r="N2645" i="1"/>
  <c r="N2646" i="1"/>
  <c r="N2647" i="1"/>
  <c r="N2648" i="1"/>
  <c r="N2649" i="1"/>
  <c r="N2650" i="1"/>
  <c r="N2651" i="1"/>
  <c r="N2652" i="1"/>
  <c r="N2653" i="1"/>
  <c r="N2654" i="1"/>
  <c r="N2655" i="1"/>
  <c r="N2656" i="1"/>
  <c r="N2657" i="1"/>
  <c r="N2658" i="1"/>
  <c r="N2659" i="1"/>
  <c r="N2660" i="1"/>
  <c r="N2661" i="1"/>
  <c r="N2662" i="1"/>
  <c r="N2663" i="1"/>
  <c r="N2664" i="1"/>
  <c r="N2665" i="1"/>
  <c r="N2666" i="1"/>
  <c r="N2667" i="1"/>
  <c r="N2668" i="1"/>
  <c r="N2669" i="1"/>
  <c r="N2670" i="1"/>
  <c r="N2671" i="1"/>
  <c r="N2672" i="1"/>
  <c r="N2673" i="1"/>
  <c r="N2674" i="1"/>
  <c r="N2675" i="1"/>
  <c r="N2676" i="1"/>
  <c r="N2677" i="1"/>
  <c r="N2678" i="1"/>
  <c r="N2679" i="1"/>
  <c r="N2680" i="1"/>
  <c r="N2681" i="1"/>
  <c r="N2682" i="1"/>
  <c r="N2683" i="1"/>
  <c r="N2684" i="1"/>
  <c r="N2685" i="1"/>
  <c r="N2686" i="1"/>
  <c r="N2687" i="1"/>
  <c r="N2688" i="1"/>
  <c r="N2689" i="1"/>
  <c r="N2690" i="1"/>
  <c r="N2691" i="1"/>
  <c r="N2692" i="1"/>
  <c r="N2693" i="1"/>
  <c r="N2694" i="1"/>
  <c r="N2695" i="1"/>
  <c r="N2696" i="1"/>
  <c r="N2697" i="1"/>
  <c r="N2698" i="1"/>
  <c r="N2699" i="1"/>
  <c r="N2700" i="1"/>
  <c r="N2701" i="1"/>
  <c r="N2702" i="1"/>
  <c r="N2703" i="1"/>
  <c r="N2704" i="1"/>
  <c r="N2705" i="1"/>
  <c r="N2706" i="1"/>
  <c r="N2707" i="1"/>
  <c r="N2708" i="1"/>
  <c r="N2709" i="1"/>
  <c r="N2710" i="1"/>
  <c r="N2711" i="1"/>
  <c r="N2712" i="1"/>
  <c r="N2713" i="1"/>
  <c r="N2714" i="1"/>
  <c r="N2715" i="1"/>
  <c r="N2716" i="1"/>
  <c r="N2717" i="1"/>
  <c r="N2718" i="1"/>
  <c r="N2719" i="1"/>
  <c r="N2720" i="1"/>
  <c r="N2721" i="1"/>
  <c r="N2722" i="1"/>
  <c r="N2723" i="1"/>
  <c r="N2724" i="1"/>
  <c r="N2725" i="1"/>
  <c r="N2726" i="1"/>
  <c r="N2727" i="1"/>
  <c r="N2728" i="1"/>
  <c r="N2729" i="1"/>
  <c r="N2730" i="1"/>
  <c r="N2731" i="1"/>
  <c r="N2732" i="1"/>
  <c r="N2733" i="1"/>
  <c r="N2734" i="1"/>
  <c r="N2735" i="1"/>
  <c r="N2736" i="1"/>
  <c r="N2737" i="1"/>
  <c r="N2738" i="1"/>
  <c r="N2739" i="1"/>
  <c r="N2740" i="1"/>
  <c r="N2741" i="1"/>
  <c r="N2742" i="1"/>
  <c r="N2743" i="1"/>
  <c r="N2744" i="1"/>
  <c r="N2745" i="1"/>
  <c r="N2746" i="1"/>
  <c r="N2747" i="1"/>
  <c r="N2748" i="1"/>
  <c r="N2749" i="1"/>
  <c r="N2750" i="1"/>
  <c r="N2751" i="1"/>
  <c r="N2752" i="1"/>
  <c r="N2753" i="1"/>
  <c r="N2754" i="1"/>
  <c r="N2755" i="1"/>
  <c r="N2756" i="1"/>
  <c r="N2757" i="1"/>
  <c r="N2758" i="1"/>
  <c r="N2759" i="1"/>
  <c r="N2760" i="1"/>
  <c r="N2761" i="1"/>
  <c r="N2762" i="1"/>
  <c r="N2763" i="1"/>
  <c r="N2764" i="1"/>
  <c r="N2765" i="1"/>
  <c r="N2766" i="1"/>
  <c r="N2767" i="1"/>
  <c r="N2768" i="1"/>
  <c r="N2769" i="1"/>
  <c r="N2770" i="1"/>
  <c r="N2771" i="1"/>
  <c r="N2772" i="1"/>
  <c r="N2773" i="1"/>
  <c r="N2774" i="1"/>
  <c r="N2775" i="1"/>
  <c r="N2776" i="1"/>
  <c r="N2777" i="1"/>
  <c r="N2778" i="1"/>
  <c r="N2779" i="1"/>
  <c r="N2780" i="1"/>
  <c r="N2781" i="1"/>
  <c r="N2782" i="1"/>
  <c r="N2783" i="1"/>
  <c r="N2784" i="1"/>
  <c r="N2785" i="1"/>
  <c r="N2786" i="1"/>
  <c r="N2787" i="1"/>
  <c r="N2788" i="1"/>
  <c r="N2789" i="1"/>
  <c r="N2790" i="1"/>
  <c r="N2791" i="1"/>
  <c r="N2792" i="1"/>
  <c r="N2793" i="1"/>
  <c r="N2794" i="1"/>
  <c r="N2795" i="1"/>
  <c r="N2796" i="1"/>
  <c r="N2797" i="1"/>
  <c r="N2798" i="1"/>
  <c r="N2799" i="1"/>
  <c r="N2800" i="1"/>
  <c r="N2801" i="1"/>
  <c r="N2802" i="1"/>
  <c r="N2803" i="1"/>
  <c r="N2804" i="1"/>
  <c r="N2805" i="1"/>
  <c r="N2806" i="1"/>
  <c r="N2807" i="1"/>
  <c r="N2808" i="1"/>
  <c r="N2809" i="1"/>
  <c r="N2810" i="1"/>
  <c r="N2811" i="1"/>
  <c r="N2812" i="1"/>
  <c r="N2813" i="1"/>
  <c r="N2814" i="1"/>
  <c r="N2815" i="1"/>
  <c r="N2816" i="1"/>
  <c r="N2817" i="1"/>
  <c r="N2818" i="1"/>
  <c r="N2819" i="1"/>
  <c r="N2820" i="1"/>
  <c r="N2821" i="1"/>
  <c r="N2822" i="1"/>
  <c r="N2823" i="1"/>
  <c r="N2824" i="1"/>
  <c r="N2825" i="1"/>
  <c r="N2826" i="1"/>
  <c r="N2827" i="1"/>
  <c r="N2828" i="1"/>
  <c r="N2829" i="1"/>
  <c r="N2830" i="1"/>
  <c r="N2831" i="1"/>
  <c r="N2832" i="1"/>
  <c r="N2833" i="1"/>
  <c r="N2834" i="1"/>
  <c r="N2835" i="1"/>
  <c r="N2836" i="1"/>
  <c r="N2837" i="1"/>
  <c r="N2838" i="1"/>
  <c r="N2839" i="1"/>
  <c r="N2840" i="1"/>
  <c r="N2841" i="1"/>
  <c r="N2842" i="1"/>
  <c r="N2843" i="1"/>
  <c r="N2844" i="1"/>
  <c r="N2845" i="1"/>
  <c r="N2846" i="1"/>
  <c r="N2847" i="1"/>
  <c r="N2848" i="1"/>
  <c r="N2849" i="1"/>
  <c r="N2850" i="1"/>
  <c r="N2851" i="1"/>
  <c r="N2852" i="1"/>
  <c r="N2853" i="1"/>
  <c r="N2854" i="1"/>
  <c r="N2855" i="1"/>
  <c r="N2856" i="1"/>
  <c r="N2857" i="1"/>
  <c r="N2858" i="1"/>
  <c r="N2859" i="1"/>
  <c r="N2860" i="1"/>
  <c r="N2861" i="1"/>
  <c r="N2862" i="1"/>
  <c r="N2863" i="1"/>
  <c r="N2864" i="1"/>
  <c r="N2865" i="1"/>
  <c r="N2866" i="1"/>
  <c r="N2867" i="1"/>
  <c r="N2868" i="1"/>
  <c r="N2869" i="1"/>
  <c r="N2870" i="1"/>
  <c r="N2871" i="1"/>
  <c r="N2872" i="1"/>
  <c r="N2873" i="1"/>
  <c r="N2874" i="1"/>
  <c r="N2875" i="1"/>
  <c r="N2876" i="1"/>
  <c r="N2877" i="1"/>
  <c r="N2878" i="1"/>
  <c r="N2879" i="1"/>
  <c r="N2880" i="1"/>
  <c r="N2881" i="1"/>
  <c r="N2882" i="1"/>
  <c r="N2883" i="1"/>
  <c r="N2884" i="1"/>
  <c r="N2885" i="1"/>
  <c r="N2886" i="1"/>
  <c r="N2887" i="1"/>
  <c r="N2888" i="1"/>
  <c r="N2889" i="1"/>
  <c r="N2890" i="1"/>
  <c r="N2891" i="1"/>
  <c r="N2892" i="1"/>
  <c r="N2893" i="1"/>
  <c r="N2894" i="1"/>
  <c r="N2895" i="1"/>
  <c r="N2896" i="1"/>
  <c r="N2897" i="1"/>
  <c r="N2898" i="1"/>
  <c r="N2899" i="1"/>
  <c r="N2900" i="1"/>
  <c r="N2901" i="1"/>
  <c r="N2902" i="1"/>
  <c r="N2903" i="1"/>
  <c r="N2904" i="1"/>
  <c r="N2905" i="1"/>
  <c r="N2906" i="1"/>
  <c r="N2907" i="1"/>
  <c r="N2908" i="1"/>
  <c r="N2909" i="1"/>
  <c r="N2910" i="1"/>
  <c r="N2911" i="1"/>
  <c r="N2912" i="1"/>
  <c r="N2913" i="1"/>
  <c r="N2914" i="1"/>
  <c r="N2915" i="1"/>
  <c r="N2916" i="1"/>
  <c r="N2917" i="1"/>
  <c r="N2918" i="1"/>
  <c r="N2919" i="1"/>
  <c r="N2920" i="1"/>
  <c r="N2921" i="1"/>
  <c r="N2922" i="1"/>
  <c r="N2923" i="1"/>
  <c r="N2924" i="1"/>
  <c r="N2925" i="1"/>
  <c r="N2926" i="1"/>
  <c r="N2927" i="1"/>
  <c r="N2928" i="1"/>
  <c r="N2929" i="1"/>
  <c r="N2930" i="1"/>
  <c r="N2931" i="1"/>
  <c r="N2932" i="1"/>
  <c r="N2933" i="1"/>
  <c r="N2934" i="1"/>
  <c r="N2935" i="1"/>
  <c r="N2936" i="1"/>
  <c r="N2937" i="1"/>
  <c r="N2938" i="1"/>
  <c r="N2939" i="1"/>
  <c r="N2940" i="1"/>
  <c r="N2941" i="1"/>
  <c r="N2942" i="1"/>
  <c r="N2943" i="1"/>
  <c r="N2944" i="1"/>
  <c r="N2945" i="1"/>
  <c r="N2946" i="1"/>
  <c r="N2947" i="1"/>
  <c r="N2948" i="1"/>
  <c r="N2949" i="1"/>
  <c r="N2950" i="1"/>
  <c r="N2951" i="1"/>
  <c r="N2952" i="1"/>
  <c r="N2953" i="1"/>
  <c r="N2954" i="1"/>
  <c r="N2955" i="1"/>
  <c r="N2956" i="1"/>
  <c r="N2957" i="1"/>
  <c r="N2958" i="1"/>
  <c r="N2959" i="1"/>
  <c r="N2960" i="1"/>
  <c r="N2961" i="1"/>
  <c r="N2962" i="1"/>
  <c r="N2963" i="1"/>
  <c r="N2964" i="1"/>
  <c r="N2965" i="1"/>
  <c r="N2966" i="1"/>
  <c r="N2967" i="1"/>
  <c r="N2968" i="1"/>
  <c r="N2969" i="1"/>
  <c r="N2970" i="1"/>
  <c r="N2971" i="1"/>
  <c r="N2972" i="1"/>
  <c r="N2973" i="1"/>
  <c r="N2974" i="1"/>
  <c r="N2975" i="1"/>
  <c r="N2976" i="1"/>
  <c r="N2977" i="1"/>
  <c r="N2978" i="1"/>
  <c r="N2979" i="1"/>
  <c r="N2980" i="1"/>
  <c r="N2981" i="1"/>
  <c r="N2982" i="1"/>
  <c r="N2983" i="1"/>
  <c r="N2984" i="1"/>
  <c r="N2985" i="1"/>
  <c r="N2986" i="1"/>
  <c r="N2987" i="1"/>
  <c r="N2988" i="1"/>
  <c r="N2989" i="1"/>
  <c r="N2990" i="1"/>
  <c r="N2991" i="1"/>
  <c r="N2992" i="1"/>
  <c r="N2993" i="1"/>
  <c r="N2994" i="1"/>
  <c r="N2995" i="1"/>
  <c r="N2996" i="1"/>
  <c r="N2997" i="1"/>
  <c r="N2998" i="1"/>
  <c r="N2999" i="1"/>
  <c r="N3000" i="1"/>
  <c r="N3001" i="1"/>
  <c r="N3002" i="1"/>
  <c r="N3003" i="1"/>
  <c r="N3004" i="1"/>
  <c r="N3005" i="1"/>
  <c r="N3006" i="1"/>
  <c r="N3007" i="1"/>
  <c r="N3008" i="1"/>
  <c r="N3009" i="1"/>
  <c r="N3010" i="1"/>
  <c r="N3011" i="1"/>
  <c r="N3012" i="1"/>
  <c r="N3013" i="1"/>
  <c r="N3014" i="1"/>
  <c r="N3015" i="1"/>
  <c r="N3016" i="1"/>
  <c r="N3017" i="1"/>
  <c r="N3018" i="1"/>
  <c r="N3019" i="1"/>
  <c r="N3020" i="1"/>
  <c r="N3021" i="1"/>
  <c r="N3022" i="1"/>
  <c r="N3023" i="1"/>
  <c r="N3024" i="1"/>
  <c r="N3025" i="1"/>
  <c r="N3026" i="1"/>
  <c r="N3027" i="1"/>
  <c r="N3028" i="1"/>
  <c r="N3029" i="1"/>
  <c r="N3030" i="1"/>
  <c r="N3031" i="1"/>
  <c r="N3032" i="1"/>
  <c r="N3033" i="1"/>
  <c r="N3034" i="1"/>
  <c r="N3035" i="1"/>
  <c r="N3036" i="1"/>
  <c r="N3037" i="1"/>
  <c r="N3038" i="1"/>
  <c r="N3039" i="1"/>
  <c r="N3040" i="1"/>
  <c r="N3041" i="1"/>
  <c r="N3042" i="1"/>
  <c r="N3043" i="1"/>
  <c r="N3044" i="1"/>
  <c r="N3045" i="1"/>
  <c r="N3046" i="1"/>
  <c r="N3047" i="1"/>
  <c r="N3048" i="1"/>
  <c r="N3049" i="1"/>
  <c r="N3050" i="1"/>
  <c r="N3051" i="1"/>
  <c r="N3052" i="1"/>
  <c r="N3053" i="1"/>
  <c r="N3054" i="1"/>
  <c r="N3055" i="1"/>
  <c r="N3056" i="1"/>
  <c r="N3057" i="1"/>
  <c r="N3058" i="1"/>
  <c r="N3059" i="1"/>
  <c r="N3060" i="1"/>
  <c r="N3061" i="1"/>
  <c r="N3062" i="1"/>
  <c r="N3063" i="1"/>
  <c r="N3064" i="1"/>
  <c r="N3065" i="1"/>
  <c r="N3066" i="1"/>
  <c r="N3067" i="1"/>
  <c r="N3068" i="1"/>
  <c r="N3069" i="1"/>
  <c r="N3070" i="1"/>
  <c r="N3071" i="1"/>
  <c r="N3072" i="1"/>
  <c r="N3073" i="1"/>
  <c r="N3074" i="1"/>
  <c r="N3075" i="1"/>
  <c r="N3076" i="1"/>
  <c r="N3077" i="1"/>
  <c r="N3078" i="1"/>
  <c r="N3079" i="1"/>
  <c r="N3080" i="1"/>
  <c r="N3081" i="1"/>
  <c r="N3082" i="1"/>
  <c r="N3083" i="1"/>
  <c r="N3084" i="1"/>
  <c r="N3085" i="1"/>
  <c r="N3086" i="1"/>
  <c r="N3087" i="1"/>
  <c r="N3088" i="1"/>
  <c r="N3089" i="1"/>
  <c r="N3090" i="1"/>
  <c r="N3091" i="1"/>
  <c r="N3092" i="1"/>
  <c r="N3093" i="1"/>
  <c r="N3094" i="1"/>
  <c r="N3095" i="1"/>
  <c r="N3096" i="1"/>
  <c r="N3097" i="1"/>
  <c r="N3098" i="1"/>
  <c r="N3099" i="1"/>
  <c r="N3100" i="1"/>
  <c r="N3101" i="1"/>
  <c r="N3102" i="1"/>
  <c r="N3103" i="1"/>
  <c r="N3104" i="1"/>
  <c r="N3105" i="1"/>
  <c r="N3106" i="1"/>
  <c r="N3107" i="1"/>
  <c r="N3108" i="1"/>
  <c r="N3109" i="1"/>
  <c r="N3110" i="1"/>
  <c r="N3111" i="1"/>
  <c r="N3112" i="1"/>
  <c r="N3113" i="1"/>
  <c r="N3114" i="1"/>
  <c r="N3115" i="1"/>
  <c r="N3116" i="1"/>
  <c r="N3117" i="1"/>
  <c r="N3118" i="1"/>
  <c r="N3119" i="1"/>
  <c r="N3120" i="1"/>
  <c r="N3121" i="1"/>
  <c r="N3122" i="1"/>
  <c r="N3123" i="1"/>
  <c r="N3124" i="1"/>
  <c r="N3125" i="1"/>
  <c r="N3126" i="1"/>
  <c r="N3127" i="1"/>
  <c r="N3128" i="1"/>
  <c r="N3129" i="1"/>
  <c r="N3130" i="1"/>
  <c r="N3131" i="1"/>
  <c r="N3132" i="1"/>
  <c r="N3133" i="1"/>
  <c r="N3134" i="1"/>
  <c r="N3135" i="1"/>
  <c r="N3136" i="1"/>
  <c r="N3137" i="1"/>
  <c r="N3138" i="1"/>
  <c r="N3139" i="1"/>
  <c r="N3140" i="1"/>
  <c r="N3141" i="1"/>
  <c r="N3142" i="1"/>
  <c r="N3143" i="1"/>
  <c r="N3144" i="1"/>
  <c r="N3145" i="1"/>
  <c r="N3146" i="1"/>
  <c r="N3147" i="1"/>
  <c r="N3148" i="1"/>
  <c r="N3149" i="1"/>
  <c r="N3150" i="1"/>
  <c r="N3151" i="1"/>
  <c r="N3152" i="1"/>
  <c r="N3153" i="1"/>
  <c r="N3154" i="1"/>
  <c r="N3155" i="1"/>
  <c r="N3156" i="1"/>
  <c r="N3157" i="1"/>
  <c r="N3158" i="1"/>
  <c r="N3159" i="1"/>
  <c r="N3160" i="1"/>
  <c r="N3161" i="1"/>
  <c r="N3162" i="1"/>
  <c r="N3163" i="1"/>
  <c r="N3164" i="1"/>
  <c r="N3165" i="1"/>
  <c r="N3166" i="1"/>
  <c r="N3167" i="1"/>
  <c r="N3168" i="1"/>
  <c r="N3169" i="1"/>
  <c r="N3170" i="1"/>
  <c r="N3171" i="1"/>
  <c r="N3172" i="1"/>
  <c r="N3173" i="1"/>
  <c r="N3174" i="1"/>
  <c r="N3175" i="1"/>
  <c r="N3176" i="1"/>
  <c r="N3177" i="1"/>
  <c r="N3178" i="1"/>
  <c r="N3179" i="1"/>
  <c r="N3180" i="1"/>
  <c r="N3181" i="1"/>
  <c r="N3182" i="1"/>
  <c r="N3183" i="1"/>
  <c r="N3184" i="1"/>
  <c r="N3185" i="1"/>
  <c r="N3186" i="1"/>
  <c r="N3187" i="1"/>
  <c r="N3188" i="1"/>
  <c r="N3189" i="1"/>
  <c r="N3190" i="1"/>
  <c r="N3191" i="1"/>
  <c r="N3192" i="1"/>
  <c r="N3193" i="1"/>
  <c r="N3194" i="1"/>
  <c r="N3195" i="1"/>
  <c r="N3196" i="1"/>
  <c r="N3197" i="1"/>
  <c r="N3198" i="1"/>
  <c r="N3199" i="1"/>
  <c r="N3200" i="1"/>
  <c r="N3201" i="1"/>
  <c r="N3202" i="1"/>
  <c r="N3203" i="1"/>
  <c r="N3204" i="1"/>
  <c r="N3205" i="1"/>
  <c r="N3206" i="1"/>
  <c r="N3207" i="1"/>
  <c r="N3208" i="1"/>
  <c r="N3209" i="1"/>
  <c r="N3210" i="1"/>
  <c r="N3211" i="1"/>
  <c r="N3212" i="1"/>
  <c r="N3213" i="1"/>
  <c r="N3214" i="1"/>
  <c r="N3215" i="1"/>
  <c r="N3216" i="1"/>
  <c r="N3217" i="1"/>
  <c r="N3218" i="1"/>
  <c r="N3219" i="1"/>
  <c r="N3220" i="1"/>
  <c r="N3221" i="1"/>
  <c r="N3222" i="1"/>
  <c r="N3223" i="1"/>
  <c r="N3224" i="1"/>
  <c r="N3225" i="1"/>
  <c r="N3226" i="1"/>
  <c r="N3227" i="1"/>
  <c r="N3228" i="1"/>
  <c r="N3229" i="1"/>
  <c r="N3230" i="1"/>
  <c r="N3231" i="1"/>
  <c r="N3232" i="1"/>
  <c r="N3233" i="1"/>
  <c r="N3234" i="1"/>
  <c r="N3235" i="1"/>
  <c r="N3236" i="1"/>
  <c r="N3237" i="1"/>
  <c r="N3238" i="1"/>
  <c r="N3239" i="1"/>
  <c r="N3240" i="1"/>
  <c r="N3241" i="1"/>
  <c r="N3242" i="1"/>
  <c r="N3243" i="1"/>
  <c r="N3244" i="1"/>
  <c r="N3245" i="1"/>
  <c r="N3246" i="1"/>
  <c r="N3247" i="1"/>
  <c r="N3248" i="1"/>
  <c r="N3249" i="1"/>
  <c r="N3250" i="1"/>
  <c r="N3251" i="1"/>
  <c r="N3252" i="1"/>
  <c r="N3253" i="1"/>
  <c r="N3254" i="1"/>
  <c r="N3255" i="1"/>
  <c r="N3256" i="1"/>
  <c r="N3257" i="1"/>
  <c r="N3258" i="1"/>
  <c r="N3259" i="1"/>
  <c r="N3260" i="1"/>
  <c r="N3261" i="1"/>
  <c r="N3262" i="1"/>
  <c r="N3263" i="1"/>
  <c r="N3264" i="1"/>
  <c r="N3265" i="1"/>
  <c r="N3266" i="1"/>
  <c r="N3267" i="1"/>
  <c r="N3268" i="1"/>
  <c r="N3269" i="1"/>
  <c r="N3270" i="1"/>
  <c r="N3271" i="1"/>
  <c r="N3272" i="1"/>
  <c r="N3273" i="1"/>
  <c r="N3274" i="1"/>
  <c r="N3275" i="1"/>
  <c r="N3276" i="1"/>
  <c r="N3277" i="1"/>
  <c r="N3278" i="1"/>
  <c r="N3279" i="1"/>
  <c r="N3280" i="1"/>
  <c r="N3281" i="1"/>
  <c r="N3282" i="1"/>
  <c r="N3283" i="1"/>
  <c r="N3284" i="1"/>
  <c r="N3285" i="1"/>
  <c r="N3286" i="1"/>
  <c r="N3287" i="1"/>
  <c r="N3288" i="1"/>
  <c r="N3289" i="1"/>
  <c r="N3290" i="1"/>
  <c r="N3291" i="1"/>
  <c r="N3292" i="1"/>
  <c r="N3293" i="1"/>
  <c r="N3294" i="1"/>
  <c r="N3295" i="1"/>
  <c r="N3296" i="1"/>
  <c r="N3297" i="1"/>
  <c r="N3298" i="1"/>
  <c r="N3299" i="1"/>
  <c r="N3300" i="1"/>
  <c r="N3301" i="1"/>
  <c r="N3302" i="1"/>
  <c r="N3303" i="1"/>
  <c r="N3304" i="1"/>
  <c r="N3305" i="1"/>
  <c r="N3306" i="1"/>
  <c r="N3307" i="1"/>
  <c r="N3308" i="1"/>
  <c r="N3309" i="1"/>
  <c r="N3310" i="1"/>
  <c r="N3311" i="1"/>
  <c r="N3312" i="1"/>
  <c r="N3313" i="1"/>
  <c r="N3314" i="1"/>
  <c r="N3315" i="1"/>
  <c r="N3316" i="1"/>
  <c r="N3317" i="1"/>
  <c r="N3318" i="1"/>
  <c r="N3319" i="1"/>
  <c r="N3320" i="1"/>
  <c r="N3321" i="1"/>
  <c r="N3322" i="1"/>
  <c r="N3323" i="1"/>
  <c r="N3324" i="1"/>
  <c r="N3325" i="1"/>
  <c r="N3326" i="1"/>
  <c r="N3327" i="1"/>
  <c r="N3328" i="1"/>
  <c r="N3329" i="1"/>
  <c r="N3330" i="1"/>
  <c r="N3331" i="1"/>
  <c r="N3332" i="1"/>
  <c r="N3333" i="1"/>
  <c r="N3334" i="1"/>
  <c r="N3335" i="1"/>
  <c r="N3336" i="1"/>
  <c r="N3337" i="1"/>
  <c r="N3338" i="1"/>
  <c r="N3339" i="1"/>
  <c r="N3340" i="1"/>
  <c r="N3341" i="1"/>
  <c r="N3342" i="1"/>
  <c r="N3343" i="1"/>
  <c r="N3344" i="1"/>
  <c r="N3345" i="1"/>
  <c r="N3346" i="1"/>
  <c r="N3347" i="1"/>
  <c r="N3348" i="1"/>
  <c r="N3349" i="1"/>
  <c r="N3350" i="1"/>
  <c r="N3351" i="1"/>
  <c r="N3352" i="1"/>
  <c r="N3353" i="1"/>
  <c r="N3354" i="1"/>
  <c r="N3355" i="1"/>
  <c r="N3356" i="1"/>
  <c r="N3357" i="1"/>
  <c r="N3358" i="1"/>
  <c r="N3359" i="1"/>
  <c r="N3360" i="1"/>
  <c r="N3361" i="1"/>
  <c r="N3362" i="1"/>
  <c r="N3363" i="1"/>
  <c r="N3364" i="1"/>
  <c r="N3365" i="1"/>
  <c r="N3366" i="1"/>
  <c r="N3367" i="1"/>
  <c r="N3368" i="1"/>
  <c r="N3369" i="1"/>
  <c r="N3370" i="1"/>
  <c r="N3371" i="1"/>
  <c r="N3372" i="1"/>
  <c r="N3373" i="1"/>
  <c r="N3374" i="1"/>
  <c r="N3375" i="1"/>
  <c r="N3376" i="1"/>
  <c r="N3377" i="1"/>
  <c r="N3378" i="1"/>
  <c r="N3379" i="1"/>
  <c r="N3380" i="1"/>
  <c r="N3381" i="1"/>
  <c r="N3382" i="1"/>
  <c r="N3383" i="1"/>
  <c r="N3384" i="1"/>
  <c r="N3385" i="1"/>
  <c r="N3386" i="1"/>
  <c r="N3387" i="1"/>
  <c r="N3388" i="1"/>
  <c r="N3389" i="1"/>
  <c r="N3390" i="1"/>
  <c r="N3391" i="1"/>
  <c r="N3392" i="1"/>
  <c r="N3393" i="1"/>
  <c r="N3394" i="1"/>
  <c r="N3395" i="1"/>
  <c r="N3396" i="1"/>
  <c r="N3397" i="1"/>
  <c r="N3398" i="1"/>
  <c r="N3399" i="1"/>
  <c r="N3400" i="1"/>
  <c r="N3401" i="1"/>
  <c r="N3402" i="1"/>
  <c r="N3403" i="1"/>
  <c r="N3404" i="1"/>
  <c r="N3405" i="1"/>
  <c r="N3406" i="1"/>
  <c r="N3407" i="1"/>
  <c r="N3408" i="1"/>
  <c r="N3409" i="1"/>
  <c r="N3410" i="1"/>
  <c r="N3411" i="1"/>
  <c r="N3412" i="1"/>
  <c r="N3413" i="1"/>
  <c r="N3414" i="1"/>
  <c r="N3415" i="1"/>
  <c r="N3416" i="1"/>
  <c r="N3417" i="1"/>
  <c r="N3418" i="1"/>
  <c r="N3419" i="1"/>
  <c r="N3420" i="1"/>
  <c r="N3421" i="1"/>
  <c r="N3422" i="1"/>
  <c r="N3423" i="1"/>
  <c r="N3424" i="1"/>
  <c r="N3425" i="1"/>
  <c r="N3426" i="1"/>
  <c r="N3427" i="1"/>
  <c r="N3428" i="1"/>
  <c r="N3429" i="1"/>
  <c r="N3430" i="1"/>
  <c r="N3431" i="1"/>
  <c r="N3432" i="1"/>
  <c r="N3433" i="1"/>
  <c r="N3434" i="1"/>
  <c r="N3435" i="1"/>
  <c r="N3436" i="1"/>
  <c r="N3437" i="1"/>
  <c r="N3438" i="1"/>
  <c r="N3439" i="1"/>
  <c r="N3440" i="1"/>
  <c r="N3441" i="1"/>
  <c r="N3442" i="1"/>
  <c r="N3443" i="1"/>
  <c r="N3444" i="1"/>
  <c r="N3445" i="1"/>
  <c r="N3446" i="1"/>
  <c r="N3447" i="1"/>
  <c r="N3448" i="1"/>
  <c r="N3449" i="1"/>
  <c r="N3450" i="1"/>
  <c r="N3451" i="1"/>
  <c r="N3452" i="1"/>
  <c r="N3453" i="1"/>
  <c r="N3454" i="1"/>
  <c r="N3455" i="1"/>
  <c r="N3456" i="1"/>
  <c r="N3457" i="1"/>
  <c r="N3458" i="1"/>
  <c r="N3459" i="1"/>
  <c r="N3460" i="1"/>
  <c r="N3461" i="1"/>
  <c r="N3462" i="1"/>
  <c r="N3463" i="1"/>
  <c r="N3464" i="1"/>
  <c r="N3465" i="1"/>
  <c r="N3466" i="1"/>
  <c r="N3467" i="1"/>
  <c r="N3468" i="1"/>
  <c r="N3469" i="1"/>
  <c r="N3470" i="1"/>
  <c r="N3471" i="1"/>
  <c r="N3472" i="1"/>
  <c r="N3473" i="1"/>
  <c r="N3474" i="1"/>
  <c r="N3475" i="1"/>
  <c r="N3476" i="1"/>
  <c r="N3477" i="1"/>
  <c r="N3478" i="1"/>
  <c r="N3479" i="1"/>
  <c r="N3480" i="1"/>
  <c r="N3481" i="1"/>
  <c r="N3482" i="1"/>
  <c r="N3483" i="1"/>
  <c r="N3484" i="1"/>
  <c r="N3485" i="1"/>
  <c r="N3486" i="1"/>
  <c r="N3487" i="1"/>
  <c r="N3488" i="1"/>
  <c r="N3489" i="1"/>
  <c r="N3490" i="1"/>
  <c r="N3491" i="1"/>
  <c r="N3492" i="1"/>
  <c r="N3493" i="1"/>
  <c r="N3494" i="1"/>
  <c r="N3495" i="1"/>
  <c r="N3496" i="1"/>
  <c r="N3497" i="1"/>
  <c r="N3498" i="1"/>
  <c r="N3499" i="1"/>
  <c r="N3500" i="1"/>
  <c r="N3501" i="1"/>
  <c r="N3502" i="1"/>
  <c r="N3503" i="1"/>
  <c r="N3504" i="1"/>
  <c r="N3505" i="1"/>
  <c r="N3506" i="1"/>
  <c r="N3507" i="1"/>
  <c r="N3508" i="1"/>
  <c r="N3509" i="1"/>
  <c r="N3510" i="1"/>
  <c r="N3511" i="1"/>
  <c r="N3512" i="1"/>
  <c r="N3513" i="1"/>
  <c r="N3514" i="1"/>
  <c r="N3515" i="1"/>
  <c r="N3516" i="1"/>
  <c r="N3517" i="1"/>
  <c r="N3518" i="1"/>
  <c r="N3519" i="1"/>
  <c r="N3520" i="1"/>
  <c r="N3521" i="1"/>
  <c r="N3522" i="1"/>
  <c r="N3523" i="1"/>
  <c r="N3524" i="1"/>
  <c r="N3525" i="1"/>
  <c r="N3526" i="1"/>
  <c r="N3527" i="1"/>
  <c r="N3528" i="1"/>
  <c r="N3529" i="1"/>
  <c r="N3530" i="1"/>
  <c r="N3531" i="1"/>
  <c r="N3532" i="1"/>
  <c r="N3533" i="1"/>
  <c r="N3534" i="1"/>
  <c r="N3535" i="1"/>
  <c r="N3536" i="1"/>
  <c r="N3537" i="1"/>
  <c r="N3538" i="1"/>
  <c r="N3539" i="1"/>
  <c r="N3540" i="1"/>
  <c r="N3541" i="1"/>
  <c r="N3542" i="1"/>
  <c r="N3543" i="1"/>
  <c r="N3544" i="1"/>
  <c r="N3545" i="1"/>
  <c r="N3546" i="1"/>
  <c r="N3547" i="1"/>
  <c r="N3548" i="1"/>
  <c r="N3549" i="1"/>
  <c r="N3550" i="1"/>
  <c r="N3551" i="1"/>
  <c r="N3552" i="1"/>
  <c r="N3553" i="1"/>
  <c r="N3554" i="1"/>
  <c r="N3555" i="1"/>
  <c r="N3556" i="1"/>
  <c r="N3557" i="1"/>
  <c r="N3558" i="1"/>
  <c r="N3559" i="1"/>
  <c r="N3560" i="1"/>
  <c r="N3561" i="1"/>
  <c r="N3562" i="1"/>
  <c r="N3563" i="1"/>
  <c r="N3564" i="1"/>
  <c r="N3565" i="1"/>
  <c r="N3566" i="1"/>
  <c r="N3567" i="1"/>
  <c r="N3568" i="1"/>
  <c r="N3569" i="1"/>
  <c r="N3570" i="1"/>
  <c r="N3571" i="1"/>
  <c r="N3572" i="1"/>
  <c r="N3573" i="1"/>
  <c r="N3574" i="1"/>
  <c r="N3575" i="1"/>
  <c r="N3576" i="1"/>
  <c r="N3577" i="1"/>
  <c r="N3578" i="1"/>
  <c r="N3579" i="1"/>
  <c r="N3580" i="1"/>
  <c r="N3581" i="1"/>
  <c r="N3582" i="1"/>
  <c r="N3583" i="1"/>
  <c r="N3584" i="1"/>
  <c r="N3585" i="1"/>
  <c r="N3586" i="1"/>
  <c r="N3587" i="1"/>
  <c r="N3588" i="1"/>
  <c r="N3589" i="1"/>
  <c r="N3590" i="1"/>
  <c r="N3591" i="1"/>
  <c r="N3592" i="1"/>
  <c r="N3593" i="1"/>
  <c r="N3594" i="1"/>
  <c r="N3595" i="1"/>
  <c r="N3596" i="1"/>
  <c r="N3597" i="1"/>
  <c r="N3598" i="1"/>
  <c r="N3599" i="1"/>
  <c r="N3600" i="1"/>
  <c r="N3601" i="1"/>
  <c r="N3602" i="1"/>
  <c r="N3603" i="1"/>
  <c r="N3604" i="1"/>
  <c r="N3605" i="1"/>
  <c r="N3606" i="1"/>
  <c r="N3607" i="1"/>
  <c r="N3608" i="1"/>
  <c r="N3609" i="1"/>
  <c r="N3610" i="1"/>
  <c r="N3611" i="1"/>
  <c r="N3612" i="1"/>
  <c r="N3613" i="1"/>
  <c r="N3614" i="1"/>
  <c r="N3615" i="1"/>
  <c r="N3616" i="1"/>
  <c r="N3617" i="1"/>
  <c r="N3618" i="1"/>
  <c r="N3619" i="1"/>
  <c r="N3620" i="1"/>
  <c r="N3621" i="1"/>
  <c r="N3622" i="1"/>
  <c r="N3623" i="1"/>
  <c r="N3624" i="1"/>
  <c r="N3625" i="1"/>
  <c r="N3626" i="1"/>
  <c r="N3627" i="1"/>
  <c r="N3628" i="1"/>
  <c r="N3629" i="1"/>
  <c r="N3630" i="1"/>
  <c r="N3631" i="1"/>
  <c r="N3632" i="1"/>
  <c r="N3633" i="1"/>
  <c r="N3634" i="1"/>
  <c r="N3635" i="1"/>
  <c r="N3636" i="1"/>
  <c r="N3637" i="1"/>
  <c r="N3638" i="1"/>
  <c r="N3639" i="1"/>
  <c r="N3640" i="1"/>
  <c r="N3641" i="1"/>
  <c r="N3642" i="1"/>
  <c r="N3643" i="1"/>
  <c r="N3644" i="1"/>
  <c r="N3645" i="1"/>
  <c r="N3646" i="1"/>
  <c r="N3647" i="1"/>
  <c r="N3648" i="1"/>
  <c r="N3649" i="1"/>
  <c r="N3650" i="1"/>
  <c r="N3651" i="1"/>
  <c r="N3652" i="1"/>
  <c r="N3653" i="1"/>
  <c r="N3654" i="1"/>
  <c r="N3655" i="1"/>
  <c r="N3656" i="1"/>
  <c r="N3657" i="1"/>
  <c r="N3658" i="1"/>
  <c r="N3659" i="1"/>
  <c r="N3660" i="1"/>
  <c r="N3661" i="1"/>
  <c r="N3662" i="1"/>
  <c r="N3663" i="1"/>
  <c r="N3664" i="1"/>
  <c r="N3665" i="1"/>
  <c r="N3666" i="1"/>
  <c r="N3667" i="1"/>
  <c r="N3668" i="1"/>
  <c r="N3669" i="1"/>
  <c r="N3670" i="1"/>
  <c r="N3671" i="1"/>
  <c r="N3672" i="1"/>
  <c r="N3673" i="1"/>
  <c r="N3674" i="1"/>
  <c r="N3675" i="1"/>
  <c r="N3676" i="1"/>
  <c r="N3677" i="1"/>
  <c r="N3678" i="1"/>
  <c r="N3679" i="1"/>
  <c r="N3680" i="1"/>
  <c r="N3681" i="1"/>
  <c r="N3682" i="1"/>
  <c r="N3683" i="1"/>
  <c r="N3684" i="1"/>
  <c r="N3685" i="1"/>
  <c r="N3686" i="1"/>
  <c r="N3687" i="1"/>
  <c r="N3688" i="1"/>
  <c r="N3689" i="1"/>
  <c r="N3690" i="1"/>
  <c r="N3691" i="1"/>
  <c r="N3692" i="1"/>
  <c r="N3693" i="1"/>
  <c r="N3694" i="1"/>
  <c r="N3695" i="1"/>
  <c r="N3696" i="1"/>
  <c r="N3697" i="1"/>
  <c r="N3698" i="1"/>
  <c r="N3699" i="1"/>
  <c r="N3700" i="1"/>
  <c r="N3701" i="1"/>
  <c r="N3702" i="1"/>
  <c r="N3703" i="1"/>
  <c r="N3704" i="1"/>
  <c r="N3705" i="1"/>
  <c r="N3706" i="1"/>
  <c r="N3707" i="1"/>
  <c r="N3708" i="1"/>
  <c r="N3709" i="1"/>
  <c r="N3710" i="1"/>
  <c r="N3711" i="1"/>
  <c r="N3712" i="1"/>
  <c r="N3713" i="1"/>
  <c r="N3714" i="1"/>
  <c r="N3715" i="1"/>
  <c r="N3716" i="1"/>
  <c r="N3717" i="1"/>
  <c r="N3718" i="1"/>
  <c r="N3719" i="1"/>
  <c r="N3720" i="1"/>
  <c r="N3721" i="1"/>
  <c r="N3722" i="1"/>
  <c r="N3723" i="1"/>
  <c r="N3724" i="1"/>
  <c r="N3725" i="1"/>
  <c r="N3726" i="1"/>
  <c r="N3727" i="1"/>
  <c r="N3728" i="1"/>
  <c r="N3729" i="1"/>
  <c r="N3730" i="1"/>
  <c r="N3731" i="1"/>
  <c r="N3732" i="1"/>
  <c r="N3733" i="1"/>
  <c r="N3734" i="1"/>
  <c r="N3735" i="1"/>
  <c r="N3736" i="1"/>
  <c r="N3737" i="1"/>
  <c r="N3738" i="1"/>
  <c r="N3739" i="1"/>
  <c r="N3740" i="1"/>
  <c r="N3741" i="1"/>
  <c r="N3742" i="1"/>
  <c r="N3743" i="1"/>
  <c r="N3744" i="1"/>
  <c r="N3745" i="1"/>
  <c r="N3746" i="1"/>
  <c r="N3747" i="1"/>
  <c r="N3748" i="1"/>
  <c r="N3749" i="1"/>
  <c r="N3750" i="1"/>
  <c r="N3751" i="1"/>
  <c r="N3752" i="1"/>
  <c r="N3753" i="1"/>
  <c r="N3754" i="1"/>
  <c r="N3755" i="1"/>
  <c r="N3756" i="1"/>
  <c r="N3757" i="1"/>
  <c r="N3758" i="1"/>
  <c r="N3759" i="1"/>
  <c r="N3760" i="1"/>
  <c r="N3761" i="1"/>
  <c r="N3762" i="1"/>
  <c r="N3763" i="1"/>
  <c r="N3764" i="1"/>
  <c r="N3765" i="1"/>
  <c r="N3766" i="1"/>
  <c r="N3767" i="1"/>
  <c r="N3768" i="1"/>
  <c r="N3769" i="1"/>
  <c r="N3770" i="1"/>
  <c r="N3771" i="1"/>
  <c r="N3772" i="1"/>
  <c r="N3773" i="1"/>
  <c r="N3774" i="1"/>
  <c r="N3775" i="1"/>
  <c r="N3776" i="1"/>
  <c r="N3777" i="1"/>
  <c r="N3778" i="1"/>
  <c r="N3779" i="1"/>
  <c r="N3780" i="1"/>
  <c r="N3781" i="1"/>
  <c r="N3782" i="1"/>
  <c r="N3783" i="1"/>
  <c r="N3784" i="1"/>
  <c r="N3785" i="1"/>
  <c r="N3786" i="1"/>
  <c r="N3787" i="1"/>
  <c r="N3788" i="1"/>
  <c r="N3789" i="1"/>
  <c r="N3790" i="1"/>
  <c r="N3791" i="1"/>
  <c r="N3792" i="1"/>
  <c r="N3793" i="1"/>
  <c r="N3794" i="1"/>
  <c r="N3795" i="1"/>
  <c r="N3796" i="1"/>
  <c r="N3797" i="1"/>
  <c r="N3798" i="1"/>
  <c r="N3799" i="1"/>
  <c r="N3800" i="1"/>
  <c r="N3801" i="1"/>
  <c r="N3802" i="1"/>
  <c r="N3803" i="1"/>
  <c r="N3804" i="1"/>
  <c r="N3805" i="1"/>
  <c r="N3806" i="1"/>
  <c r="N3807" i="1"/>
  <c r="N3808" i="1"/>
  <c r="N3809" i="1"/>
  <c r="N3810" i="1"/>
  <c r="N3811" i="1"/>
  <c r="N3812" i="1"/>
  <c r="N3813" i="1"/>
  <c r="N3814" i="1"/>
  <c r="N3815" i="1"/>
  <c r="N3816" i="1"/>
  <c r="N3817" i="1"/>
  <c r="N3818" i="1"/>
  <c r="N3819" i="1"/>
  <c r="N3820" i="1"/>
  <c r="N3821" i="1"/>
  <c r="N3822" i="1"/>
  <c r="N3823" i="1"/>
  <c r="N3824" i="1"/>
  <c r="N3825" i="1"/>
  <c r="N3826" i="1"/>
  <c r="N3827" i="1"/>
  <c r="N3828" i="1"/>
  <c r="N3829" i="1"/>
  <c r="N3830" i="1"/>
  <c r="N3831" i="1"/>
  <c r="N3832" i="1"/>
  <c r="N3833" i="1"/>
  <c r="N3834" i="1"/>
  <c r="N3835" i="1"/>
  <c r="N3836" i="1"/>
  <c r="N3837" i="1"/>
  <c r="N3838" i="1"/>
  <c r="N3839" i="1"/>
  <c r="N3840" i="1"/>
  <c r="N3841" i="1"/>
  <c r="N3842" i="1"/>
  <c r="N3843" i="1"/>
  <c r="N3844" i="1"/>
  <c r="N3845" i="1"/>
  <c r="N3846" i="1"/>
  <c r="N3847" i="1"/>
  <c r="N3848" i="1"/>
  <c r="N3849" i="1"/>
  <c r="N3850" i="1"/>
  <c r="N3851" i="1"/>
  <c r="N3852" i="1"/>
  <c r="N3853" i="1"/>
  <c r="N3854" i="1"/>
  <c r="N3855" i="1"/>
  <c r="N3856" i="1"/>
  <c r="N3857" i="1"/>
  <c r="N3858" i="1"/>
  <c r="N3859" i="1"/>
  <c r="N3860" i="1"/>
  <c r="N3861" i="1"/>
  <c r="N3862" i="1"/>
  <c r="N3863" i="1"/>
  <c r="N3864" i="1"/>
  <c r="N3865" i="1"/>
  <c r="N3866" i="1"/>
  <c r="N3867" i="1"/>
  <c r="N3868" i="1"/>
  <c r="N3869" i="1"/>
  <c r="N3870" i="1"/>
  <c r="N3871" i="1"/>
  <c r="N3872" i="1"/>
  <c r="N3873" i="1"/>
  <c r="N3874" i="1"/>
  <c r="N3875" i="1"/>
  <c r="N3876" i="1"/>
  <c r="N3877" i="1"/>
  <c r="N3878" i="1"/>
  <c r="N3879" i="1"/>
  <c r="N3880" i="1"/>
  <c r="N3881" i="1"/>
  <c r="N3882" i="1"/>
  <c r="N3883" i="1"/>
  <c r="N3884" i="1"/>
  <c r="N3885" i="1"/>
  <c r="N3886" i="1"/>
  <c r="N3887" i="1"/>
  <c r="N3888" i="1"/>
  <c r="N3889" i="1"/>
  <c r="N3890" i="1"/>
  <c r="N3891" i="1"/>
  <c r="N3892" i="1"/>
  <c r="N3893" i="1"/>
  <c r="N3894" i="1"/>
  <c r="N3895" i="1"/>
  <c r="N3896" i="1"/>
  <c r="N3897" i="1"/>
  <c r="N3898" i="1"/>
  <c r="N3899" i="1"/>
  <c r="N3900" i="1"/>
  <c r="N3901" i="1"/>
  <c r="N3902" i="1"/>
  <c r="N3903" i="1"/>
  <c r="N3904" i="1"/>
  <c r="N3905" i="1"/>
  <c r="N3906" i="1"/>
  <c r="N3907" i="1"/>
  <c r="N3908" i="1"/>
  <c r="N3909" i="1"/>
  <c r="N3910" i="1"/>
  <c r="N3911" i="1"/>
  <c r="N3912" i="1"/>
  <c r="N3913" i="1"/>
  <c r="N3914" i="1"/>
  <c r="N3915" i="1"/>
  <c r="N3916" i="1"/>
  <c r="N3917" i="1"/>
  <c r="N3918" i="1"/>
  <c r="N3919" i="1"/>
  <c r="N3920" i="1"/>
  <c r="N3921" i="1"/>
  <c r="N3922" i="1"/>
  <c r="N3923" i="1"/>
  <c r="N3924" i="1"/>
  <c r="N3925" i="1"/>
  <c r="N3926" i="1"/>
  <c r="N3927" i="1"/>
  <c r="N3928" i="1"/>
  <c r="N3929" i="1"/>
  <c r="N3930" i="1"/>
  <c r="N3931" i="1"/>
  <c r="N3932" i="1"/>
  <c r="N3933" i="1"/>
  <c r="N3934" i="1"/>
  <c r="N3935" i="1"/>
  <c r="N3936" i="1"/>
  <c r="N3937" i="1"/>
  <c r="N3938" i="1"/>
  <c r="N3939" i="1"/>
  <c r="N3940" i="1"/>
  <c r="N3941" i="1"/>
  <c r="N3942" i="1"/>
  <c r="N3943" i="1"/>
  <c r="N3944" i="1"/>
  <c r="N3945" i="1"/>
  <c r="N3946" i="1"/>
  <c r="N3947" i="1"/>
  <c r="N3948" i="1"/>
  <c r="N3949" i="1"/>
  <c r="N3950" i="1"/>
  <c r="N3951" i="1"/>
  <c r="N3952" i="1"/>
  <c r="N3953" i="1"/>
  <c r="N3954" i="1"/>
  <c r="N3955" i="1"/>
  <c r="N3956" i="1"/>
  <c r="N3957" i="1"/>
  <c r="N3958" i="1"/>
  <c r="N3959" i="1"/>
  <c r="N3960" i="1"/>
  <c r="N3961" i="1"/>
  <c r="N3962" i="1"/>
  <c r="N3963" i="1"/>
  <c r="N3964" i="1"/>
  <c r="N3965" i="1"/>
  <c r="N3966" i="1"/>
  <c r="N3967" i="1"/>
  <c r="N3968" i="1"/>
  <c r="N3969" i="1"/>
  <c r="N3970" i="1"/>
  <c r="N3971" i="1"/>
  <c r="N3972" i="1"/>
  <c r="N3973" i="1"/>
  <c r="N3974" i="1"/>
  <c r="N3975" i="1"/>
  <c r="N3976" i="1"/>
  <c r="N3977" i="1"/>
  <c r="N3978" i="1"/>
  <c r="N3979" i="1"/>
  <c r="N3980" i="1"/>
  <c r="N3981" i="1"/>
  <c r="N3982" i="1"/>
  <c r="N3983" i="1"/>
  <c r="N3984" i="1"/>
  <c r="N3985" i="1"/>
  <c r="N3986" i="1"/>
  <c r="N3987" i="1"/>
  <c r="N3988" i="1"/>
  <c r="N3989" i="1"/>
  <c r="N3990" i="1"/>
  <c r="N3991" i="1"/>
  <c r="N3992" i="1"/>
  <c r="N3993" i="1"/>
  <c r="N3994" i="1"/>
  <c r="N3995" i="1"/>
  <c r="N3996" i="1"/>
  <c r="N3997" i="1"/>
  <c r="N3998" i="1"/>
  <c r="N3999" i="1"/>
  <c r="N4000" i="1"/>
  <c r="N4001" i="1"/>
  <c r="N4002" i="1"/>
  <c r="N4003" i="1"/>
  <c r="N4004" i="1"/>
  <c r="N4005" i="1"/>
  <c r="N4006" i="1"/>
  <c r="N4007" i="1"/>
  <c r="N4008" i="1"/>
  <c r="N4009" i="1"/>
  <c r="N4010" i="1"/>
  <c r="N4011" i="1"/>
  <c r="N4012" i="1"/>
  <c r="N4013" i="1"/>
  <c r="N4014" i="1"/>
  <c r="N4015" i="1"/>
  <c r="N4016" i="1"/>
  <c r="N4017" i="1"/>
  <c r="N4018" i="1"/>
  <c r="N4019" i="1"/>
  <c r="N4020" i="1"/>
  <c r="N4021" i="1"/>
  <c r="N4022" i="1"/>
  <c r="N4023" i="1"/>
  <c r="N4024" i="1"/>
  <c r="N4025" i="1"/>
  <c r="N4026" i="1"/>
  <c r="N4027" i="1"/>
  <c r="N4028" i="1"/>
  <c r="N4029" i="1"/>
  <c r="N4030" i="1"/>
  <c r="N4031" i="1"/>
  <c r="N4032" i="1"/>
  <c r="N4033" i="1"/>
  <c r="N4034" i="1"/>
  <c r="N4035" i="1"/>
  <c r="N4036" i="1"/>
  <c r="N4037" i="1"/>
  <c r="N4038" i="1"/>
  <c r="N4039" i="1"/>
  <c r="N4040" i="1"/>
  <c r="N4041" i="1"/>
  <c r="N4042" i="1"/>
  <c r="N4043" i="1"/>
  <c r="N4044" i="1"/>
  <c r="N4045" i="1"/>
  <c r="N4046" i="1"/>
  <c r="N4047" i="1"/>
  <c r="N4048" i="1"/>
  <c r="N4049" i="1"/>
  <c r="N4050" i="1"/>
  <c r="N4051" i="1"/>
  <c r="N4052" i="1"/>
  <c r="N4053" i="1"/>
  <c r="N4054" i="1"/>
  <c r="N4055" i="1"/>
  <c r="N4056" i="1"/>
  <c r="N4057" i="1"/>
  <c r="N4058" i="1"/>
  <c r="N4059" i="1"/>
  <c r="N4060" i="1"/>
  <c r="N4061" i="1"/>
  <c r="N4062" i="1"/>
  <c r="N4063" i="1"/>
  <c r="N4064" i="1"/>
  <c r="N4065" i="1"/>
  <c r="N4066" i="1"/>
  <c r="N4067" i="1"/>
  <c r="N4068" i="1"/>
  <c r="N4069" i="1"/>
  <c r="N4070" i="1"/>
  <c r="N4071" i="1"/>
  <c r="N4072" i="1"/>
  <c r="N4073" i="1"/>
  <c r="N4074" i="1"/>
  <c r="N4075" i="1"/>
  <c r="N4076" i="1"/>
  <c r="N4077" i="1"/>
  <c r="N4078" i="1"/>
  <c r="N4079" i="1"/>
  <c r="N4080" i="1"/>
  <c r="N4081" i="1"/>
  <c r="N4082" i="1"/>
  <c r="N4083" i="1"/>
  <c r="N4084" i="1"/>
  <c r="N4085" i="1"/>
  <c r="N4086" i="1"/>
  <c r="N4087" i="1"/>
  <c r="N4088" i="1"/>
  <c r="N4089" i="1"/>
  <c r="N4090" i="1"/>
  <c r="N4091" i="1"/>
  <c r="N4092" i="1"/>
  <c r="N4093" i="1"/>
  <c r="N4094" i="1"/>
  <c r="N4095" i="1"/>
  <c r="N4096" i="1"/>
  <c r="N4097" i="1"/>
  <c r="N4098" i="1"/>
  <c r="N4099" i="1"/>
  <c r="N4100" i="1"/>
  <c r="N4101" i="1"/>
  <c r="N4102" i="1"/>
  <c r="N4103" i="1"/>
  <c r="N4104" i="1"/>
  <c r="N4105" i="1"/>
  <c r="N4106" i="1"/>
  <c r="N4107" i="1"/>
  <c r="N4108" i="1"/>
  <c r="N4109" i="1"/>
  <c r="N4110" i="1"/>
  <c r="N4111" i="1"/>
  <c r="N4112" i="1"/>
  <c r="N4113" i="1"/>
  <c r="N4114" i="1"/>
  <c r="N4115" i="1"/>
  <c r="N4116" i="1"/>
  <c r="N4117" i="1"/>
  <c r="N4118" i="1"/>
  <c r="N4119" i="1"/>
  <c r="N4120" i="1"/>
  <c r="N4121" i="1"/>
  <c r="N4122" i="1"/>
  <c r="N4123" i="1"/>
  <c r="N4124" i="1"/>
  <c r="N4125" i="1"/>
  <c r="N4126" i="1"/>
  <c r="N4127" i="1"/>
  <c r="N4128" i="1"/>
  <c r="N4129" i="1"/>
  <c r="N4130" i="1"/>
  <c r="N4131" i="1"/>
  <c r="N4132" i="1"/>
  <c r="N4133" i="1"/>
  <c r="N4134" i="1"/>
  <c r="N4135" i="1"/>
  <c r="N4136" i="1"/>
  <c r="N4137" i="1"/>
  <c r="N4138" i="1"/>
  <c r="N4139" i="1"/>
  <c r="N4140" i="1"/>
  <c r="N4141" i="1"/>
  <c r="N4142" i="1"/>
  <c r="N4143" i="1"/>
  <c r="N4144" i="1"/>
  <c r="N4145" i="1"/>
  <c r="N4146" i="1"/>
  <c r="N4147" i="1"/>
  <c r="N4148" i="1"/>
  <c r="N4149" i="1"/>
  <c r="N4150" i="1"/>
  <c r="N4151" i="1"/>
  <c r="N4152" i="1"/>
  <c r="N4153" i="1"/>
  <c r="N4154" i="1"/>
  <c r="N4155" i="1"/>
  <c r="N4156" i="1"/>
  <c r="N4157" i="1"/>
  <c r="N4158" i="1"/>
  <c r="N4159" i="1"/>
  <c r="N4160" i="1"/>
  <c r="N4161" i="1"/>
  <c r="N4162" i="1"/>
  <c r="N4163" i="1"/>
  <c r="N4164" i="1"/>
  <c r="N4165" i="1"/>
  <c r="N4166" i="1"/>
  <c r="N4167" i="1"/>
  <c r="N4168" i="1"/>
  <c r="N4169" i="1"/>
  <c r="N4170" i="1"/>
  <c r="N4171" i="1"/>
  <c r="N4172" i="1"/>
  <c r="N4173" i="1"/>
  <c r="N4174" i="1"/>
  <c r="N4175" i="1"/>
  <c r="N4176" i="1"/>
  <c r="N4177" i="1"/>
  <c r="N4178" i="1"/>
  <c r="N4179" i="1"/>
  <c r="N4180" i="1"/>
  <c r="N4181" i="1"/>
  <c r="N4182" i="1"/>
  <c r="N4183" i="1"/>
  <c r="N4184" i="1"/>
  <c r="N4185" i="1"/>
  <c r="N4186" i="1"/>
  <c r="N4187" i="1"/>
  <c r="N4188" i="1"/>
  <c r="N4189" i="1"/>
  <c r="N4190" i="1"/>
  <c r="N4191" i="1"/>
  <c r="N4192" i="1"/>
  <c r="N4193" i="1"/>
  <c r="N4194" i="1"/>
  <c r="N4195" i="1"/>
  <c r="N4196" i="1"/>
  <c r="N4197" i="1"/>
  <c r="N4198" i="1"/>
  <c r="N4199" i="1"/>
  <c r="N4200" i="1"/>
  <c r="N4201" i="1"/>
  <c r="N4202" i="1"/>
  <c r="N4203" i="1"/>
  <c r="N4204" i="1"/>
  <c r="N4205" i="1"/>
  <c r="N4206" i="1"/>
  <c r="N4207" i="1"/>
  <c r="N4208" i="1"/>
  <c r="N4209" i="1"/>
  <c r="N4210" i="1"/>
  <c r="N4211" i="1"/>
  <c r="N4212" i="1"/>
  <c r="N4213" i="1"/>
  <c r="N4214" i="1"/>
  <c r="N4215" i="1"/>
  <c r="N4216" i="1"/>
  <c r="N4217" i="1"/>
  <c r="N4218" i="1"/>
  <c r="N4219" i="1"/>
  <c r="N4220" i="1"/>
  <c r="N4221" i="1"/>
  <c r="N4222" i="1"/>
  <c r="N4223" i="1"/>
  <c r="N4224" i="1"/>
  <c r="N4225" i="1"/>
  <c r="N4226" i="1"/>
  <c r="N4227" i="1"/>
  <c r="N4228" i="1"/>
  <c r="N4229" i="1"/>
  <c r="N4230" i="1"/>
  <c r="N4231" i="1"/>
  <c r="N4232" i="1"/>
  <c r="N4233" i="1"/>
  <c r="N4234" i="1"/>
  <c r="N4235" i="1"/>
  <c r="N4236" i="1"/>
  <c r="N4237" i="1"/>
  <c r="N4238" i="1"/>
  <c r="N4239" i="1"/>
  <c r="N4240" i="1"/>
  <c r="N4241" i="1"/>
  <c r="N4242" i="1"/>
  <c r="N4243" i="1"/>
  <c r="N4244" i="1"/>
  <c r="N4245" i="1"/>
  <c r="N4246" i="1"/>
  <c r="N4247" i="1"/>
  <c r="N4248" i="1"/>
  <c r="N4249" i="1"/>
  <c r="N4250" i="1"/>
  <c r="N4251" i="1"/>
  <c r="N4252" i="1"/>
  <c r="N4253" i="1"/>
  <c r="N4254" i="1"/>
  <c r="N4255" i="1"/>
  <c r="N4256" i="1"/>
  <c r="N4257" i="1"/>
  <c r="N4258" i="1"/>
  <c r="N4259" i="1"/>
  <c r="N4260" i="1"/>
  <c r="N4261" i="1"/>
  <c r="N4262" i="1"/>
  <c r="N4263" i="1"/>
  <c r="N4264" i="1"/>
  <c r="N4265" i="1"/>
  <c r="N4266" i="1"/>
  <c r="N4267" i="1"/>
  <c r="N4268" i="1"/>
  <c r="N4269" i="1"/>
  <c r="N4270" i="1"/>
  <c r="N4271" i="1"/>
  <c r="N4272" i="1"/>
  <c r="N4273" i="1"/>
  <c r="N4274" i="1"/>
  <c r="N4275" i="1"/>
  <c r="N4276" i="1"/>
  <c r="N4277" i="1"/>
  <c r="N4278" i="1"/>
  <c r="N4279" i="1"/>
  <c r="N4280" i="1"/>
  <c r="N4281" i="1"/>
  <c r="N4282" i="1"/>
  <c r="N4283" i="1"/>
  <c r="N4284" i="1"/>
  <c r="N4285" i="1"/>
  <c r="N4286" i="1"/>
  <c r="N4287" i="1"/>
  <c r="N4288" i="1"/>
  <c r="N4289" i="1"/>
  <c r="N4290" i="1"/>
  <c r="N4291" i="1"/>
  <c r="N4292" i="1"/>
  <c r="N4293" i="1"/>
  <c r="N4294" i="1"/>
  <c r="N4295" i="1"/>
  <c r="N4296" i="1"/>
  <c r="N4297" i="1"/>
  <c r="N4298" i="1"/>
  <c r="N4299" i="1"/>
  <c r="N4300" i="1"/>
  <c r="N4301" i="1"/>
  <c r="N4302" i="1"/>
  <c r="N4303" i="1"/>
  <c r="N4304" i="1"/>
  <c r="N4305" i="1"/>
  <c r="N4306" i="1"/>
  <c r="N4307" i="1"/>
  <c r="N4308" i="1"/>
  <c r="N4309" i="1"/>
  <c r="N4310" i="1"/>
  <c r="N4311" i="1"/>
  <c r="N4312" i="1"/>
  <c r="N4313" i="1"/>
  <c r="N4314" i="1"/>
  <c r="N4315" i="1"/>
  <c r="N4316" i="1"/>
  <c r="N4317" i="1"/>
  <c r="N4318" i="1"/>
  <c r="N4319" i="1"/>
  <c r="N4320" i="1"/>
  <c r="N4321" i="1"/>
  <c r="N4322" i="1"/>
  <c r="N4323" i="1"/>
  <c r="N4324" i="1"/>
  <c r="N4325" i="1"/>
  <c r="N4326" i="1"/>
  <c r="N4327" i="1"/>
  <c r="N4328" i="1"/>
  <c r="N4329" i="1"/>
  <c r="N4330" i="1"/>
  <c r="N4331" i="1"/>
  <c r="N4332" i="1"/>
  <c r="N4333" i="1"/>
  <c r="N4334" i="1"/>
  <c r="N4335" i="1"/>
  <c r="N4336" i="1"/>
  <c r="N4337" i="1"/>
  <c r="N4338" i="1"/>
  <c r="N4339" i="1"/>
  <c r="N4340" i="1"/>
  <c r="N4341" i="1"/>
  <c r="N4342" i="1"/>
  <c r="N4343" i="1"/>
  <c r="N4344" i="1"/>
  <c r="N4345" i="1"/>
  <c r="N4346" i="1"/>
  <c r="N4347" i="1"/>
  <c r="N4348" i="1"/>
  <c r="N4349" i="1"/>
  <c r="N4350" i="1"/>
  <c r="N4351" i="1"/>
  <c r="N4352" i="1"/>
  <c r="N4353" i="1"/>
  <c r="N4354" i="1"/>
  <c r="N4355" i="1"/>
  <c r="N4356" i="1"/>
  <c r="N4357" i="1"/>
  <c r="N4358" i="1"/>
  <c r="N4359" i="1"/>
  <c r="N4360" i="1"/>
  <c r="N4361" i="1"/>
  <c r="N4362" i="1"/>
  <c r="N4363" i="1"/>
  <c r="N4364" i="1"/>
  <c r="N4365" i="1"/>
  <c r="N4366" i="1"/>
  <c r="N4367" i="1"/>
  <c r="N4368" i="1"/>
  <c r="N4369" i="1"/>
  <c r="N4370" i="1"/>
  <c r="N4371" i="1"/>
  <c r="N4372" i="1"/>
  <c r="N4373" i="1"/>
  <c r="N4374" i="1"/>
  <c r="N4375" i="1"/>
  <c r="N4376" i="1"/>
  <c r="N4377" i="1"/>
  <c r="N4378" i="1"/>
  <c r="N4379" i="1"/>
  <c r="N4380" i="1"/>
  <c r="N4381" i="1"/>
  <c r="N4382" i="1"/>
  <c r="N4383" i="1"/>
  <c r="N4384" i="1"/>
  <c r="N4385" i="1"/>
  <c r="N4386" i="1"/>
  <c r="N4387" i="1"/>
  <c r="N4388" i="1"/>
  <c r="N4389" i="1"/>
  <c r="N4390" i="1"/>
  <c r="N4391" i="1"/>
  <c r="N4392" i="1"/>
  <c r="N4393" i="1"/>
  <c r="N4394" i="1"/>
  <c r="N4395" i="1"/>
  <c r="N4396" i="1"/>
  <c r="N4397" i="1"/>
  <c r="N4398" i="1"/>
  <c r="N4399" i="1"/>
  <c r="N4400" i="1"/>
  <c r="N4401" i="1"/>
  <c r="N4402" i="1"/>
  <c r="N4403" i="1"/>
  <c r="N4404" i="1"/>
  <c r="N4405" i="1"/>
  <c r="N4406" i="1"/>
  <c r="N4407" i="1"/>
  <c r="N4408" i="1"/>
  <c r="N4409" i="1"/>
  <c r="N4410" i="1"/>
  <c r="N4411" i="1"/>
  <c r="N4412" i="1"/>
  <c r="N4413" i="1"/>
  <c r="N4414" i="1"/>
  <c r="N4415" i="1"/>
  <c r="N4416" i="1"/>
  <c r="N4417" i="1"/>
  <c r="N4418" i="1"/>
  <c r="N4419" i="1"/>
  <c r="N4420" i="1"/>
  <c r="N4421" i="1"/>
  <c r="N4422" i="1"/>
  <c r="N4423" i="1"/>
  <c r="N4424" i="1"/>
  <c r="N4425" i="1"/>
  <c r="N4426" i="1"/>
  <c r="N4427" i="1"/>
  <c r="N4428" i="1"/>
  <c r="N4429" i="1"/>
  <c r="N4430" i="1"/>
  <c r="N4431" i="1"/>
  <c r="N4432" i="1"/>
  <c r="N4433" i="1"/>
  <c r="N4434" i="1"/>
  <c r="N4435" i="1"/>
  <c r="N4436" i="1"/>
  <c r="N4437" i="1"/>
  <c r="N4438" i="1"/>
  <c r="N4439" i="1"/>
  <c r="N4440" i="1"/>
  <c r="N4441" i="1"/>
  <c r="N4442" i="1"/>
  <c r="N4443" i="1"/>
  <c r="N4444" i="1"/>
  <c r="N4445" i="1"/>
  <c r="N4446" i="1"/>
  <c r="N4447" i="1"/>
  <c r="N4448" i="1"/>
  <c r="N4449" i="1"/>
  <c r="N4450" i="1"/>
  <c r="N4451" i="1"/>
  <c r="N4452" i="1"/>
  <c r="N4453" i="1"/>
  <c r="N4454" i="1"/>
  <c r="N4455" i="1"/>
  <c r="N4456" i="1"/>
  <c r="N4457" i="1"/>
  <c r="N4458" i="1"/>
  <c r="N4459" i="1"/>
  <c r="N4460" i="1"/>
  <c r="N4461" i="1"/>
  <c r="N4462" i="1"/>
  <c r="N4463" i="1"/>
  <c r="N4464" i="1"/>
  <c r="N4465" i="1"/>
  <c r="N4466" i="1"/>
  <c r="N4467" i="1"/>
  <c r="N4468" i="1"/>
  <c r="N4469" i="1"/>
  <c r="N4470" i="1"/>
  <c r="N4471" i="1"/>
  <c r="N4472" i="1"/>
  <c r="N4473" i="1"/>
  <c r="N4474" i="1"/>
  <c r="N4475" i="1"/>
  <c r="N4476" i="1"/>
  <c r="N4477" i="1"/>
  <c r="N4478" i="1"/>
  <c r="N4479" i="1"/>
  <c r="N4480" i="1"/>
  <c r="N4481" i="1"/>
  <c r="N4482" i="1"/>
  <c r="N4483" i="1"/>
  <c r="N4484" i="1"/>
  <c r="N4485" i="1"/>
  <c r="N4486" i="1"/>
  <c r="N4487" i="1"/>
  <c r="N4488" i="1"/>
  <c r="N4489" i="1"/>
  <c r="N4490" i="1"/>
  <c r="N4491" i="1"/>
  <c r="N4492" i="1"/>
  <c r="N4493" i="1"/>
  <c r="N4494" i="1"/>
  <c r="N4495" i="1"/>
  <c r="N4496" i="1"/>
  <c r="N4497" i="1"/>
  <c r="N4498" i="1"/>
  <c r="N4499" i="1"/>
  <c r="N4500" i="1"/>
  <c r="N4501" i="1"/>
  <c r="N4502" i="1"/>
  <c r="N4503" i="1"/>
  <c r="N4504" i="1"/>
  <c r="N4505" i="1"/>
  <c r="N4506" i="1"/>
  <c r="N4507" i="1"/>
  <c r="N4508" i="1"/>
  <c r="N4509" i="1"/>
  <c r="N4510" i="1"/>
  <c r="N4511" i="1"/>
  <c r="N4512" i="1"/>
  <c r="N4513" i="1"/>
  <c r="N4514" i="1"/>
  <c r="N4515" i="1"/>
  <c r="N4516" i="1"/>
  <c r="N4517" i="1"/>
  <c r="N4518" i="1"/>
  <c r="N4519" i="1"/>
  <c r="N4520" i="1"/>
  <c r="N4521" i="1"/>
  <c r="N4522" i="1"/>
  <c r="N4523" i="1"/>
  <c r="N4524" i="1"/>
  <c r="N4525" i="1"/>
  <c r="N4526" i="1"/>
  <c r="N4527" i="1"/>
  <c r="N4528" i="1"/>
  <c r="N4529" i="1"/>
  <c r="N4530" i="1"/>
  <c r="N4531" i="1"/>
  <c r="N4532" i="1"/>
  <c r="N4533" i="1"/>
  <c r="N4534" i="1"/>
  <c r="N4535" i="1"/>
  <c r="N4536" i="1"/>
  <c r="N4537" i="1"/>
  <c r="N4538" i="1"/>
  <c r="N4539" i="1"/>
  <c r="N4540" i="1"/>
  <c r="N4541" i="1"/>
  <c r="N4542" i="1"/>
  <c r="N4543" i="1"/>
  <c r="N4544" i="1"/>
  <c r="N4545" i="1"/>
  <c r="N4546" i="1"/>
  <c r="N4547" i="1"/>
  <c r="N4548" i="1"/>
  <c r="N4549" i="1"/>
  <c r="N4550" i="1"/>
  <c r="N4551" i="1"/>
  <c r="N4552" i="1"/>
  <c r="N4553" i="1"/>
  <c r="N4554" i="1"/>
  <c r="N4555" i="1"/>
  <c r="N4556" i="1"/>
  <c r="N4557" i="1"/>
  <c r="N4558" i="1"/>
  <c r="N4559" i="1"/>
  <c r="N4560" i="1"/>
  <c r="N4561" i="1"/>
  <c r="N4562" i="1"/>
  <c r="N4563" i="1"/>
  <c r="N4564" i="1"/>
  <c r="N4565" i="1"/>
  <c r="N4566" i="1"/>
  <c r="N4567" i="1"/>
  <c r="N4568" i="1"/>
  <c r="N4569" i="1"/>
  <c r="N4570" i="1"/>
  <c r="N4571" i="1"/>
  <c r="N4572" i="1"/>
  <c r="N4573" i="1"/>
  <c r="N4574" i="1"/>
  <c r="N4575" i="1"/>
  <c r="N4576" i="1"/>
  <c r="N4577" i="1"/>
  <c r="N4578" i="1"/>
  <c r="N4579" i="1"/>
  <c r="N4580" i="1"/>
  <c r="N4581" i="1"/>
  <c r="N4582" i="1"/>
  <c r="N4583" i="1"/>
  <c r="N4584" i="1"/>
  <c r="N4585" i="1"/>
  <c r="N4586" i="1"/>
  <c r="N4587" i="1"/>
  <c r="N4588" i="1"/>
  <c r="N4589" i="1"/>
  <c r="N4590" i="1"/>
  <c r="N4591" i="1"/>
  <c r="N4592" i="1"/>
  <c r="N4593" i="1"/>
  <c r="N4594" i="1"/>
  <c r="N4595" i="1"/>
  <c r="N4596" i="1"/>
  <c r="N4597" i="1"/>
  <c r="N4598" i="1"/>
  <c r="N4599" i="1"/>
  <c r="N4600" i="1"/>
  <c r="N4601" i="1"/>
  <c r="N4602" i="1"/>
  <c r="N4603" i="1"/>
  <c r="N4604" i="1"/>
  <c r="N4605" i="1"/>
  <c r="N4606" i="1"/>
  <c r="N4607" i="1"/>
  <c r="N4608" i="1"/>
  <c r="N4609" i="1"/>
  <c r="N4610" i="1"/>
  <c r="N4611" i="1"/>
  <c r="N4612" i="1"/>
  <c r="N4613" i="1"/>
  <c r="N4614" i="1"/>
  <c r="N4615" i="1"/>
  <c r="N4616" i="1"/>
  <c r="N4617" i="1"/>
  <c r="N4618" i="1"/>
  <c r="N4619" i="1"/>
  <c r="N4620" i="1"/>
  <c r="N4621" i="1"/>
  <c r="N4622" i="1"/>
  <c r="N4623" i="1"/>
  <c r="N4624" i="1"/>
  <c r="N4625" i="1"/>
  <c r="N4626" i="1"/>
  <c r="N4627" i="1"/>
  <c r="N4628" i="1"/>
  <c r="N4629" i="1"/>
  <c r="N4630" i="1"/>
  <c r="N4631" i="1"/>
  <c r="N4632" i="1"/>
  <c r="N4633" i="1"/>
  <c r="N4634" i="1"/>
  <c r="N4635" i="1"/>
  <c r="N4636" i="1"/>
  <c r="N4637" i="1"/>
  <c r="N4638" i="1"/>
  <c r="N4639" i="1"/>
  <c r="N4640" i="1"/>
  <c r="N4641" i="1"/>
  <c r="N4642" i="1"/>
  <c r="N4643" i="1"/>
  <c r="N4644" i="1"/>
  <c r="N4645" i="1"/>
  <c r="N4646" i="1"/>
  <c r="N4647" i="1"/>
  <c r="N4648" i="1"/>
  <c r="N4649" i="1"/>
  <c r="N4650" i="1"/>
  <c r="N4651" i="1"/>
  <c r="N4652" i="1"/>
  <c r="N4653" i="1"/>
  <c r="N4654" i="1"/>
  <c r="N4655" i="1"/>
  <c r="N4656" i="1"/>
  <c r="N4657" i="1"/>
  <c r="N4658" i="1"/>
  <c r="N4659" i="1"/>
  <c r="N4660" i="1"/>
  <c r="N4661" i="1"/>
  <c r="N4662" i="1"/>
  <c r="N4663" i="1"/>
  <c r="N4664" i="1"/>
  <c r="N4665" i="1"/>
  <c r="N4666" i="1"/>
  <c r="N4667" i="1"/>
  <c r="N4668" i="1"/>
  <c r="N4669" i="1"/>
  <c r="N4670" i="1"/>
  <c r="N4671" i="1"/>
  <c r="N4672" i="1"/>
  <c r="N4673" i="1"/>
  <c r="N4674" i="1"/>
  <c r="N4675" i="1"/>
  <c r="N4676" i="1"/>
  <c r="N4677" i="1"/>
  <c r="N4678" i="1"/>
  <c r="N4679" i="1"/>
  <c r="N4680" i="1"/>
  <c r="N4681" i="1"/>
  <c r="N4682" i="1"/>
  <c r="N4683" i="1"/>
  <c r="N4684" i="1"/>
  <c r="N4685" i="1"/>
  <c r="N4686" i="1"/>
  <c r="N4687" i="1"/>
  <c r="N4688" i="1"/>
  <c r="N4689" i="1"/>
  <c r="N4690" i="1"/>
  <c r="N4691" i="1"/>
  <c r="N4692" i="1"/>
  <c r="N4693" i="1"/>
  <c r="N4694" i="1"/>
  <c r="N4695" i="1"/>
  <c r="N4696" i="1"/>
  <c r="N4697" i="1"/>
  <c r="N4698" i="1"/>
  <c r="N4699" i="1"/>
  <c r="N4700" i="1"/>
  <c r="N4701" i="1"/>
  <c r="N4702" i="1"/>
  <c r="N4703" i="1"/>
  <c r="N4704" i="1"/>
  <c r="N4705" i="1"/>
  <c r="N4706" i="1"/>
  <c r="N4707" i="1"/>
  <c r="N4708" i="1"/>
  <c r="N4709" i="1"/>
  <c r="N4710" i="1"/>
  <c r="N4711" i="1"/>
  <c r="N4712" i="1"/>
  <c r="N4713" i="1"/>
  <c r="N4714" i="1"/>
  <c r="N4715" i="1"/>
  <c r="N4716" i="1"/>
  <c r="N4717" i="1"/>
  <c r="N4718" i="1"/>
  <c r="N4719" i="1"/>
  <c r="N4720" i="1"/>
  <c r="N4721" i="1"/>
  <c r="N4722" i="1"/>
  <c r="N4723" i="1"/>
  <c r="N4724" i="1"/>
  <c r="N4725" i="1"/>
  <c r="N4726" i="1"/>
  <c r="N4727" i="1"/>
  <c r="N4728" i="1"/>
  <c r="N4729" i="1"/>
  <c r="N4730" i="1"/>
  <c r="N4731" i="1"/>
  <c r="N4732" i="1"/>
  <c r="N4733" i="1"/>
  <c r="N4734" i="1"/>
  <c r="N4735" i="1"/>
  <c r="N4736" i="1"/>
  <c r="N4737" i="1"/>
  <c r="N4738" i="1"/>
  <c r="N4739" i="1"/>
  <c r="N4740" i="1"/>
  <c r="N4741" i="1"/>
  <c r="N4742" i="1"/>
  <c r="N4743" i="1"/>
  <c r="N4744" i="1"/>
  <c r="N4745" i="1"/>
  <c r="N4746" i="1"/>
  <c r="N4747" i="1"/>
  <c r="N4748" i="1"/>
  <c r="N4749" i="1"/>
  <c r="N4750" i="1"/>
  <c r="G2" i="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502" i="1"/>
  <c r="G503" i="1"/>
  <c r="G504" i="1"/>
  <c r="G505" i="1"/>
  <c r="G506" i="1"/>
  <c r="G507" i="1"/>
  <c r="G508" i="1"/>
  <c r="G509" i="1"/>
  <c r="G510" i="1"/>
  <c r="G511" i="1"/>
  <c r="G512" i="1"/>
  <c r="G513" i="1"/>
  <c r="G514" i="1"/>
  <c r="G515" i="1"/>
  <c r="G516" i="1"/>
  <c r="G517" i="1"/>
  <c r="G518" i="1"/>
  <c r="G519" i="1"/>
  <c r="G520" i="1"/>
  <c r="G521" i="1"/>
  <c r="G522" i="1"/>
  <c r="G523" i="1"/>
  <c r="G524" i="1"/>
  <c r="G525" i="1"/>
  <c r="G526" i="1"/>
  <c r="G527" i="1"/>
  <c r="G528" i="1"/>
  <c r="G529" i="1"/>
  <c r="G530" i="1"/>
  <c r="G531" i="1"/>
  <c r="G532" i="1"/>
  <c r="G533" i="1"/>
  <c r="G534" i="1"/>
  <c r="G535" i="1"/>
  <c r="G536" i="1"/>
  <c r="G537" i="1"/>
  <c r="G538" i="1"/>
  <c r="G539" i="1"/>
  <c r="G540" i="1"/>
  <c r="G541" i="1"/>
  <c r="G542" i="1"/>
  <c r="G543" i="1"/>
  <c r="G544" i="1"/>
  <c r="G545" i="1"/>
  <c r="G546" i="1"/>
  <c r="G547" i="1"/>
  <c r="G548" i="1"/>
  <c r="G549" i="1"/>
  <c r="G550" i="1"/>
  <c r="G551" i="1"/>
  <c r="G552" i="1"/>
  <c r="G553" i="1"/>
  <c r="G554" i="1"/>
  <c r="G555" i="1"/>
  <c r="G556" i="1"/>
  <c r="G557" i="1"/>
  <c r="G558" i="1"/>
  <c r="G559" i="1"/>
  <c r="G560" i="1"/>
  <c r="G561" i="1"/>
  <c r="G562" i="1"/>
  <c r="G563" i="1"/>
  <c r="G564" i="1"/>
  <c r="G565" i="1"/>
  <c r="G566" i="1"/>
  <c r="G567" i="1"/>
  <c r="G568" i="1"/>
  <c r="G569" i="1"/>
  <c r="G570" i="1"/>
  <c r="G571" i="1"/>
  <c r="G572" i="1"/>
  <c r="G573" i="1"/>
  <c r="G574" i="1"/>
  <c r="G575" i="1"/>
  <c r="G576" i="1"/>
  <c r="G577" i="1"/>
  <c r="G578" i="1"/>
  <c r="G579" i="1"/>
  <c r="G580" i="1"/>
  <c r="G581" i="1"/>
  <c r="G582" i="1"/>
  <c r="G583" i="1"/>
  <c r="G584" i="1"/>
  <c r="G585" i="1"/>
  <c r="G586" i="1"/>
  <c r="G587" i="1"/>
  <c r="G588" i="1"/>
  <c r="G589" i="1"/>
  <c r="G590" i="1"/>
  <c r="G591" i="1"/>
  <c r="G592" i="1"/>
  <c r="G593" i="1"/>
  <c r="G594" i="1"/>
  <c r="G595" i="1"/>
  <c r="G596" i="1"/>
  <c r="G597" i="1"/>
  <c r="G598" i="1"/>
  <c r="G599" i="1"/>
  <c r="G600" i="1"/>
  <c r="G601" i="1"/>
  <c r="G602" i="1"/>
  <c r="G603" i="1"/>
  <c r="G604" i="1"/>
  <c r="G605" i="1"/>
  <c r="G606" i="1"/>
  <c r="G607" i="1"/>
  <c r="G608" i="1"/>
  <c r="G609" i="1"/>
  <c r="G610" i="1"/>
  <c r="G611" i="1"/>
  <c r="G612" i="1"/>
  <c r="G613" i="1"/>
  <c r="G614" i="1"/>
  <c r="G615" i="1"/>
  <c r="G616" i="1"/>
  <c r="G617" i="1"/>
  <c r="G618" i="1"/>
  <c r="G619" i="1"/>
  <c r="G620" i="1"/>
  <c r="G621" i="1"/>
  <c r="G622" i="1"/>
  <c r="G623" i="1"/>
  <c r="G624" i="1"/>
  <c r="G625" i="1"/>
  <c r="G626" i="1"/>
  <c r="G627" i="1"/>
  <c r="G628" i="1"/>
  <c r="G629" i="1"/>
  <c r="G630" i="1"/>
  <c r="G631" i="1"/>
  <c r="G632" i="1"/>
  <c r="G633" i="1"/>
  <c r="G634" i="1"/>
  <c r="G635" i="1"/>
  <c r="G636" i="1"/>
  <c r="G637" i="1"/>
  <c r="G638" i="1"/>
  <c r="G639" i="1"/>
  <c r="G640" i="1"/>
  <c r="G641" i="1"/>
  <c r="G642" i="1"/>
  <c r="G643" i="1"/>
  <c r="G644" i="1"/>
  <c r="G645" i="1"/>
  <c r="G646" i="1"/>
  <c r="G647" i="1"/>
  <c r="G648" i="1"/>
  <c r="G649" i="1"/>
  <c r="G650" i="1"/>
  <c r="G651" i="1"/>
  <c r="G652" i="1"/>
  <c r="G653" i="1"/>
  <c r="G654" i="1"/>
  <c r="G655" i="1"/>
  <c r="G656" i="1"/>
  <c r="G657" i="1"/>
  <c r="G658" i="1"/>
  <c r="G659" i="1"/>
  <c r="G660" i="1"/>
  <c r="G661" i="1"/>
  <c r="G662" i="1"/>
  <c r="G663" i="1"/>
  <c r="G664" i="1"/>
  <c r="G665" i="1"/>
  <c r="G666" i="1"/>
  <c r="G667" i="1"/>
  <c r="G668" i="1"/>
  <c r="G669" i="1"/>
  <c r="G670" i="1"/>
  <c r="G671" i="1"/>
  <c r="G672" i="1"/>
  <c r="G673" i="1"/>
  <c r="G674" i="1"/>
  <c r="G675" i="1"/>
  <c r="G676" i="1"/>
  <c r="G677" i="1"/>
  <c r="G678" i="1"/>
  <c r="G679" i="1"/>
  <c r="G680" i="1"/>
  <c r="G681" i="1"/>
  <c r="G682" i="1"/>
  <c r="G683" i="1"/>
  <c r="G684" i="1"/>
  <c r="G685" i="1"/>
  <c r="G686" i="1"/>
  <c r="G687" i="1"/>
  <c r="G688" i="1"/>
  <c r="G689" i="1"/>
  <c r="G690" i="1"/>
  <c r="G691" i="1"/>
  <c r="G692" i="1"/>
  <c r="G693" i="1"/>
  <c r="G694" i="1"/>
  <c r="G695" i="1"/>
  <c r="G696" i="1"/>
  <c r="G697" i="1"/>
  <c r="G698" i="1"/>
  <c r="G699" i="1"/>
  <c r="G700" i="1"/>
  <c r="G701" i="1"/>
  <c r="G702" i="1"/>
  <c r="G703" i="1"/>
  <c r="G704" i="1"/>
  <c r="G705" i="1"/>
  <c r="G706" i="1"/>
  <c r="G707" i="1"/>
  <c r="G708" i="1"/>
  <c r="G709" i="1"/>
  <c r="G710" i="1"/>
  <c r="G711" i="1"/>
  <c r="G712" i="1"/>
  <c r="G713" i="1"/>
  <c r="G714" i="1"/>
  <c r="G715" i="1"/>
  <c r="G716" i="1"/>
  <c r="G717" i="1"/>
  <c r="G718" i="1"/>
  <c r="G719" i="1"/>
  <c r="G720" i="1"/>
  <c r="G721" i="1"/>
  <c r="G722" i="1"/>
  <c r="G723" i="1"/>
  <c r="G724" i="1"/>
  <c r="G725" i="1"/>
  <c r="G726" i="1"/>
  <c r="G727" i="1"/>
  <c r="G728" i="1"/>
  <c r="G729" i="1"/>
  <c r="G730" i="1"/>
  <c r="G731" i="1"/>
  <c r="G732" i="1"/>
  <c r="G733" i="1"/>
  <c r="G734" i="1"/>
  <c r="G735" i="1"/>
  <c r="G736" i="1"/>
  <c r="G737" i="1"/>
  <c r="G738" i="1"/>
  <c r="G739" i="1"/>
  <c r="G740" i="1"/>
  <c r="G741" i="1"/>
  <c r="G742" i="1"/>
  <c r="G743" i="1"/>
  <c r="G744" i="1"/>
  <c r="G745" i="1"/>
  <c r="G746" i="1"/>
  <c r="G747" i="1"/>
  <c r="G748" i="1"/>
  <c r="G749" i="1"/>
  <c r="G750" i="1"/>
  <c r="G751" i="1"/>
  <c r="G752" i="1"/>
  <c r="G753" i="1"/>
  <c r="G754" i="1"/>
  <c r="G755" i="1"/>
  <c r="G756" i="1"/>
  <c r="G757" i="1"/>
  <c r="G758" i="1"/>
  <c r="G759" i="1"/>
  <c r="G760" i="1"/>
  <c r="G761" i="1"/>
  <c r="G762" i="1"/>
  <c r="G763" i="1"/>
  <c r="G764" i="1"/>
  <c r="G765" i="1"/>
  <c r="G766" i="1"/>
  <c r="G767" i="1"/>
  <c r="G768" i="1"/>
  <c r="G769" i="1"/>
  <c r="G770" i="1"/>
  <c r="G771" i="1"/>
  <c r="G772" i="1"/>
  <c r="G773" i="1"/>
  <c r="G774" i="1"/>
  <c r="G775" i="1"/>
  <c r="G776" i="1"/>
  <c r="G777" i="1"/>
  <c r="G778" i="1"/>
  <c r="G779" i="1"/>
  <c r="G780" i="1"/>
  <c r="G781" i="1"/>
  <c r="G782" i="1"/>
  <c r="G783" i="1"/>
  <c r="G784" i="1"/>
  <c r="G785" i="1"/>
  <c r="G786" i="1"/>
  <c r="G787" i="1"/>
  <c r="G788" i="1"/>
  <c r="G789" i="1"/>
  <c r="G790" i="1"/>
  <c r="G791" i="1"/>
  <c r="G792" i="1"/>
  <c r="G793" i="1"/>
  <c r="G794" i="1"/>
  <c r="G795" i="1"/>
  <c r="G796" i="1"/>
  <c r="G797" i="1"/>
  <c r="G798" i="1"/>
  <c r="G799" i="1"/>
  <c r="G800" i="1"/>
  <c r="G801" i="1"/>
  <c r="G802" i="1"/>
  <c r="G803" i="1"/>
  <c r="G804" i="1"/>
  <c r="G805" i="1"/>
  <c r="G806" i="1"/>
  <c r="G807" i="1"/>
  <c r="G808" i="1"/>
  <c r="G809" i="1"/>
  <c r="G810" i="1"/>
  <c r="G811" i="1"/>
  <c r="G812" i="1"/>
  <c r="G813" i="1"/>
  <c r="G814" i="1"/>
  <c r="G815" i="1"/>
  <c r="G816" i="1"/>
  <c r="G817" i="1"/>
  <c r="G818" i="1"/>
  <c r="G819" i="1"/>
  <c r="G820" i="1"/>
  <c r="G821" i="1"/>
  <c r="G822" i="1"/>
  <c r="G823" i="1"/>
  <c r="G824" i="1"/>
  <c r="G825" i="1"/>
  <c r="G826" i="1"/>
  <c r="G827" i="1"/>
  <c r="G828" i="1"/>
  <c r="G829" i="1"/>
  <c r="G830" i="1"/>
  <c r="G831" i="1"/>
  <c r="G832" i="1"/>
  <c r="G833" i="1"/>
  <c r="G834" i="1"/>
  <c r="G835" i="1"/>
  <c r="G836" i="1"/>
  <c r="G837" i="1"/>
  <c r="G838" i="1"/>
  <c r="G839" i="1"/>
  <c r="G840" i="1"/>
  <c r="G841" i="1"/>
  <c r="G842" i="1"/>
  <c r="G843" i="1"/>
  <c r="G844" i="1"/>
  <c r="G845" i="1"/>
  <c r="G846" i="1"/>
  <c r="G847" i="1"/>
  <c r="G848" i="1"/>
  <c r="G849" i="1"/>
  <c r="G850" i="1"/>
  <c r="G851" i="1"/>
  <c r="G852" i="1"/>
  <c r="G853" i="1"/>
  <c r="G854" i="1"/>
  <c r="G855" i="1"/>
  <c r="G856" i="1"/>
  <c r="G857" i="1"/>
  <c r="G858" i="1"/>
  <c r="G859" i="1"/>
  <c r="G860" i="1"/>
  <c r="G861" i="1"/>
  <c r="G862" i="1"/>
  <c r="G863" i="1"/>
  <c r="G864" i="1"/>
  <c r="G865" i="1"/>
  <c r="G866" i="1"/>
  <c r="G867" i="1"/>
  <c r="G868" i="1"/>
  <c r="G869" i="1"/>
  <c r="G870" i="1"/>
  <c r="G871" i="1"/>
  <c r="G872" i="1"/>
  <c r="G873" i="1"/>
  <c r="G874" i="1"/>
  <c r="G875" i="1"/>
  <c r="G876" i="1"/>
  <c r="G877" i="1"/>
  <c r="G878" i="1"/>
  <c r="G879" i="1"/>
  <c r="G880" i="1"/>
  <c r="G881" i="1"/>
  <c r="G882" i="1"/>
  <c r="G883" i="1"/>
  <c r="G884" i="1"/>
  <c r="G885" i="1"/>
  <c r="G886" i="1"/>
  <c r="G887" i="1"/>
  <c r="G888" i="1"/>
  <c r="G889" i="1"/>
  <c r="G890" i="1"/>
  <c r="G891" i="1"/>
  <c r="G892" i="1"/>
  <c r="G893" i="1"/>
  <c r="G894" i="1"/>
  <c r="G895" i="1"/>
  <c r="G896" i="1"/>
  <c r="G897" i="1"/>
  <c r="G898" i="1"/>
  <c r="G899" i="1"/>
  <c r="G900" i="1"/>
  <c r="G901" i="1"/>
  <c r="G902" i="1"/>
  <c r="G903" i="1"/>
  <c r="G904" i="1"/>
  <c r="G905" i="1"/>
  <c r="G906" i="1"/>
  <c r="G907" i="1"/>
  <c r="G908" i="1"/>
  <c r="G909" i="1"/>
  <c r="G910" i="1"/>
  <c r="G911" i="1"/>
  <c r="G912" i="1"/>
  <c r="G913" i="1"/>
  <c r="G914" i="1"/>
  <c r="G915" i="1"/>
  <c r="G916" i="1"/>
  <c r="G917" i="1"/>
  <c r="G918" i="1"/>
  <c r="G919" i="1"/>
  <c r="G920" i="1"/>
  <c r="G921" i="1"/>
  <c r="G922" i="1"/>
  <c r="G923" i="1"/>
  <c r="G924" i="1"/>
  <c r="G925" i="1"/>
  <c r="G926" i="1"/>
  <c r="G927" i="1"/>
  <c r="G928" i="1"/>
  <c r="G929" i="1"/>
  <c r="G930" i="1"/>
  <c r="G931" i="1"/>
  <c r="G932" i="1"/>
  <c r="G933" i="1"/>
  <c r="G934" i="1"/>
  <c r="G935" i="1"/>
  <c r="G936" i="1"/>
  <c r="G937" i="1"/>
  <c r="G938" i="1"/>
  <c r="G939" i="1"/>
  <c r="G940" i="1"/>
  <c r="G941" i="1"/>
  <c r="G942" i="1"/>
  <c r="G943" i="1"/>
  <c r="G944" i="1"/>
  <c r="G945" i="1"/>
  <c r="G946" i="1"/>
  <c r="G947" i="1"/>
  <c r="G948" i="1"/>
  <c r="G949" i="1"/>
  <c r="G950" i="1"/>
  <c r="G951" i="1"/>
  <c r="G952" i="1"/>
  <c r="G953" i="1"/>
  <c r="G954" i="1"/>
  <c r="G955" i="1"/>
  <c r="G956" i="1"/>
  <c r="G957" i="1"/>
  <c r="G958" i="1"/>
  <c r="G959" i="1"/>
  <c r="G960" i="1"/>
  <c r="G961" i="1"/>
  <c r="G962" i="1"/>
  <c r="G963" i="1"/>
  <c r="G964" i="1"/>
  <c r="G965" i="1"/>
  <c r="G966" i="1"/>
  <c r="G967" i="1"/>
  <c r="G968" i="1"/>
  <c r="G969" i="1"/>
  <c r="G970" i="1"/>
  <c r="G971" i="1"/>
  <c r="G972" i="1"/>
  <c r="G973" i="1"/>
  <c r="G974" i="1"/>
  <c r="G975" i="1"/>
  <c r="G976" i="1"/>
  <c r="G977" i="1"/>
  <c r="G978" i="1"/>
  <c r="G979" i="1"/>
  <c r="G980" i="1"/>
  <c r="G981" i="1"/>
  <c r="G982" i="1"/>
  <c r="G983" i="1"/>
  <c r="G984" i="1"/>
  <c r="G985" i="1"/>
  <c r="G986" i="1"/>
  <c r="G987" i="1"/>
  <c r="G988" i="1"/>
  <c r="G989" i="1"/>
  <c r="G990" i="1"/>
  <c r="G991" i="1"/>
  <c r="G992" i="1"/>
  <c r="G993" i="1"/>
  <c r="G994" i="1"/>
  <c r="G995" i="1"/>
  <c r="G996" i="1"/>
  <c r="G997" i="1"/>
  <c r="G998" i="1"/>
  <c r="G999" i="1"/>
  <c r="G1000" i="1"/>
  <c r="G1001" i="1"/>
  <c r="G1002" i="1"/>
  <c r="G1003" i="1"/>
  <c r="G1004" i="1"/>
  <c r="G1005" i="1"/>
  <c r="G1006" i="1"/>
  <c r="G1007" i="1"/>
  <c r="G1008" i="1"/>
  <c r="G1009" i="1"/>
  <c r="G1010" i="1"/>
  <c r="G1011" i="1"/>
  <c r="G1012" i="1"/>
  <c r="G1013" i="1"/>
  <c r="G1014" i="1"/>
  <c r="G1015" i="1"/>
  <c r="G1016" i="1"/>
  <c r="G1017" i="1"/>
  <c r="G1018" i="1"/>
  <c r="G1019" i="1"/>
  <c r="G1020" i="1"/>
  <c r="G1021" i="1"/>
  <c r="G1022" i="1"/>
  <c r="G1023" i="1"/>
  <c r="G1024" i="1"/>
  <c r="G1025" i="1"/>
  <c r="G1026" i="1"/>
  <c r="G1027" i="1"/>
  <c r="G1028" i="1"/>
  <c r="G1029" i="1"/>
  <c r="G1030" i="1"/>
  <c r="G1031" i="1"/>
  <c r="G1032" i="1"/>
  <c r="G1033" i="1"/>
  <c r="G1034" i="1"/>
  <c r="G1035" i="1"/>
  <c r="G1036" i="1"/>
  <c r="G1037" i="1"/>
  <c r="G1038" i="1"/>
  <c r="G1039" i="1"/>
  <c r="G1040" i="1"/>
  <c r="G1041" i="1"/>
  <c r="G1042" i="1"/>
  <c r="G1043" i="1"/>
  <c r="G1044" i="1"/>
  <c r="G1045" i="1"/>
  <c r="G1046" i="1"/>
  <c r="G1047" i="1"/>
  <c r="G1048" i="1"/>
  <c r="G1049" i="1"/>
  <c r="G1050" i="1"/>
  <c r="G1051" i="1"/>
  <c r="G1052" i="1"/>
  <c r="G1053" i="1"/>
  <c r="G1054" i="1"/>
  <c r="G1055" i="1"/>
  <c r="G1056" i="1"/>
  <c r="G1057" i="1"/>
  <c r="G1058" i="1"/>
  <c r="G1059" i="1"/>
  <c r="G1060" i="1"/>
  <c r="G1061" i="1"/>
  <c r="G1062" i="1"/>
  <c r="G1063" i="1"/>
  <c r="G1064" i="1"/>
  <c r="G1065" i="1"/>
  <c r="G1066" i="1"/>
  <c r="G1067" i="1"/>
  <c r="G1068" i="1"/>
  <c r="G1069" i="1"/>
  <c r="G1070" i="1"/>
  <c r="G1071" i="1"/>
  <c r="G1072" i="1"/>
  <c r="G1073" i="1"/>
  <c r="G1074" i="1"/>
  <c r="G1075" i="1"/>
  <c r="G1076" i="1"/>
  <c r="G1077" i="1"/>
  <c r="G1078" i="1"/>
  <c r="G1079" i="1"/>
  <c r="G1080" i="1"/>
  <c r="G1081" i="1"/>
  <c r="G1082" i="1"/>
  <c r="G1083" i="1"/>
  <c r="G1084" i="1"/>
  <c r="G1085" i="1"/>
  <c r="G1086" i="1"/>
  <c r="G1087" i="1"/>
  <c r="G1088" i="1"/>
  <c r="G1089" i="1"/>
  <c r="G1090" i="1"/>
  <c r="G1091" i="1"/>
  <c r="G1092" i="1"/>
  <c r="G1093" i="1"/>
  <c r="G1094" i="1"/>
  <c r="G1095" i="1"/>
  <c r="G1096" i="1"/>
  <c r="G1097" i="1"/>
  <c r="G1098" i="1"/>
  <c r="G1099" i="1"/>
  <c r="G1100" i="1"/>
  <c r="G1101" i="1"/>
  <c r="G1102" i="1"/>
  <c r="G1103" i="1"/>
  <c r="G1104" i="1"/>
  <c r="G1105" i="1"/>
  <c r="G1106" i="1"/>
  <c r="G1107" i="1"/>
  <c r="G1108" i="1"/>
  <c r="G1109" i="1"/>
  <c r="G1110" i="1"/>
  <c r="G1111" i="1"/>
  <c r="G1112" i="1"/>
  <c r="G1113" i="1"/>
  <c r="G1114" i="1"/>
  <c r="G1115" i="1"/>
  <c r="G1116" i="1"/>
  <c r="G1117" i="1"/>
  <c r="G1118" i="1"/>
  <c r="G1119" i="1"/>
  <c r="G1120" i="1"/>
  <c r="G1121" i="1"/>
  <c r="G1122" i="1"/>
  <c r="G1123" i="1"/>
  <c r="G1124" i="1"/>
  <c r="G1125" i="1"/>
  <c r="G1126" i="1"/>
  <c r="G1127" i="1"/>
  <c r="G1128" i="1"/>
  <c r="G1129" i="1"/>
  <c r="G1130" i="1"/>
  <c r="G1131" i="1"/>
  <c r="G1132" i="1"/>
  <c r="G1133" i="1"/>
  <c r="G1134" i="1"/>
  <c r="G1135" i="1"/>
  <c r="G1136" i="1"/>
  <c r="G1137" i="1"/>
  <c r="G1138" i="1"/>
  <c r="G1139" i="1"/>
  <c r="G1140" i="1"/>
  <c r="G1141" i="1"/>
  <c r="G1142" i="1"/>
  <c r="G1143" i="1"/>
  <c r="G1144" i="1"/>
  <c r="G1145" i="1"/>
  <c r="G1146" i="1"/>
  <c r="G1147" i="1"/>
  <c r="G1148" i="1"/>
  <c r="G1149" i="1"/>
  <c r="G1150" i="1"/>
  <c r="G1151" i="1"/>
  <c r="G1152" i="1"/>
  <c r="G1153" i="1"/>
  <c r="G1154" i="1"/>
  <c r="G1155" i="1"/>
  <c r="G1156" i="1"/>
  <c r="G1157" i="1"/>
  <c r="G1158" i="1"/>
  <c r="G1159" i="1"/>
  <c r="G1160" i="1"/>
  <c r="G1161" i="1"/>
  <c r="G1162" i="1"/>
  <c r="G1163" i="1"/>
  <c r="G1164" i="1"/>
  <c r="G1165" i="1"/>
  <c r="G1166" i="1"/>
  <c r="G1167" i="1"/>
  <c r="G1168" i="1"/>
  <c r="G1169" i="1"/>
  <c r="G1170" i="1"/>
  <c r="G1171" i="1"/>
  <c r="G1172" i="1"/>
  <c r="G1173" i="1"/>
  <c r="G1174" i="1"/>
  <c r="G1175" i="1"/>
  <c r="G1176" i="1"/>
  <c r="G1177" i="1"/>
  <c r="G1178" i="1"/>
  <c r="G1179" i="1"/>
  <c r="G1180" i="1"/>
  <c r="G1181" i="1"/>
  <c r="G1182" i="1"/>
  <c r="G1183" i="1"/>
  <c r="G1184" i="1"/>
  <c r="G1185" i="1"/>
  <c r="G1186" i="1"/>
  <c r="G1187" i="1"/>
  <c r="G1188" i="1"/>
  <c r="G1189" i="1"/>
  <c r="G1190" i="1"/>
  <c r="G1191" i="1"/>
  <c r="G1192" i="1"/>
  <c r="G1193" i="1"/>
  <c r="G1194" i="1"/>
  <c r="G1195" i="1"/>
  <c r="G1196" i="1"/>
  <c r="G1197" i="1"/>
  <c r="G1198" i="1"/>
  <c r="G1199" i="1"/>
  <c r="G1200" i="1"/>
  <c r="G1201" i="1"/>
  <c r="G1202" i="1"/>
  <c r="G1203" i="1"/>
  <c r="G1204" i="1"/>
  <c r="G1205" i="1"/>
  <c r="G1206" i="1"/>
  <c r="G1207" i="1"/>
  <c r="G1208" i="1"/>
  <c r="G1209" i="1"/>
  <c r="G1210" i="1"/>
  <c r="G1211" i="1"/>
  <c r="G1212" i="1"/>
  <c r="G1213" i="1"/>
  <c r="G1214" i="1"/>
  <c r="G1215" i="1"/>
  <c r="G1216" i="1"/>
  <c r="G1217" i="1"/>
  <c r="G1218" i="1"/>
  <c r="G1219" i="1"/>
  <c r="G1220" i="1"/>
  <c r="G1221" i="1"/>
  <c r="G1222" i="1"/>
  <c r="G1223" i="1"/>
  <c r="G1224" i="1"/>
  <c r="G1225" i="1"/>
  <c r="G1226" i="1"/>
  <c r="G1227" i="1"/>
  <c r="G1228" i="1"/>
  <c r="G1229" i="1"/>
  <c r="G1230" i="1"/>
  <c r="G1231" i="1"/>
  <c r="G1232" i="1"/>
  <c r="G1233" i="1"/>
  <c r="G1234" i="1"/>
  <c r="G1235" i="1"/>
  <c r="G1236" i="1"/>
  <c r="G1237" i="1"/>
  <c r="G1238" i="1"/>
  <c r="G1239" i="1"/>
  <c r="G1240" i="1"/>
  <c r="G1241" i="1"/>
  <c r="G1242" i="1"/>
  <c r="G1243" i="1"/>
  <c r="G1244" i="1"/>
  <c r="G1245" i="1"/>
  <c r="G1246" i="1"/>
  <c r="G1247" i="1"/>
  <c r="G1248" i="1"/>
  <c r="G1249" i="1"/>
  <c r="G1250" i="1"/>
  <c r="G1251" i="1"/>
  <c r="G1252" i="1"/>
  <c r="G1253" i="1"/>
  <c r="G1254" i="1"/>
  <c r="G1255" i="1"/>
  <c r="G1256" i="1"/>
  <c r="G1257" i="1"/>
  <c r="G1258" i="1"/>
  <c r="G1259" i="1"/>
  <c r="G1260" i="1"/>
  <c r="G1261" i="1"/>
  <c r="G1262" i="1"/>
  <c r="G1263" i="1"/>
  <c r="G1264" i="1"/>
  <c r="G1265" i="1"/>
  <c r="G1266" i="1"/>
  <c r="G1267" i="1"/>
  <c r="G1268" i="1"/>
  <c r="G1269" i="1"/>
  <c r="G1270" i="1"/>
  <c r="G1271" i="1"/>
  <c r="G1272" i="1"/>
  <c r="G1273" i="1"/>
  <c r="G1274" i="1"/>
  <c r="G1275" i="1"/>
  <c r="G1276" i="1"/>
  <c r="G1277" i="1"/>
  <c r="G1278" i="1"/>
  <c r="G1279" i="1"/>
  <c r="G1280" i="1"/>
  <c r="G1281" i="1"/>
  <c r="G1282" i="1"/>
  <c r="G1283" i="1"/>
  <c r="G1284" i="1"/>
  <c r="G1285" i="1"/>
  <c r="G1286" i="1"/>
  <c r="G1287" i="1"/>
  <c r="G1288" i="1"/>
  <c r="G1289" i="1"/>
  <c r="G1290" i="1"/>
  <c r="G1291" i="1"/>
  <c r="G1292" i="1"/>
  <c r="G1293" i="1"/>
  <c r="G1294" i="1"/>
  <c r="G1295" i="1"/>
  <c r="G1296" i="1"/>
  <c r="G1297" i="1"/>
  <c r="G1298" i="1"/>
  <c r="G1299" i="1"/>
  <c r="G1300" i="1"/>
  <c r="G1301" i="1"/>
  <c r="G1302" i="1"/>
  <c r="G1303" i="1"/>
  <c r="G1304" i="1"/>
  <c r="G1305" i="1"/>
  <c r="G1306" i="1"/>
  <c r="G1307" i="1"/>
  <c r="G1308" i="1"/>
  <c r="G1309" i="1"/>
  <c r="G1310" i="1"/>
  <c r="G1311" i="1"/>
  <c r="G1312" i="1"/>
  <c r="G1313" i="1"/>
  <c r="G1314" i="1"/>
  <c r="G1315" i="1"/>
  <c r="G1316" i="1"/>
  <c r="G1317" i="1"/>
  <c r="G1318" i="1"/>
  <c r="G1319" i="1"/>
  <c r="G1320" i="1"/>
  <c r="G1321" i="1"/>
  <c r="G1322" i="1"/>
  <c r="G1323" i="1"/>
  <c r="G1324" i="1"/>
  <c r="G1325" i="1"/>
  <c r="G1326" i="1"/>
  <c r="G1327" i="1"/>
  <c r="G1328" i="1"/>
  <c r="G1329" i="1"/>
  <c r="G1330" i="1"/>
  <c r="G1331" i="1"/>
  <c r="G1332" i="1"/>
  <c r="G1333" i="1"/>
  <c r="G1334" i="1"/>
  <c r="G1335" i="1"/>
  <c r="G1336" i="1"/>
  <c r="G1337" i="1"/>
  <c r="G1338" i="1"/>
  <c r="G1339" i="1"/>
  <c r="G1340" i="1"/>
  <c r="G1341" i="1"/>
  <c r="G1342" i="1"/>
  <c r="G1343" i="1"/>
  <c r="G1344" i="1"/>
  <c r="G1345" i="1"/>
  <c r="G1346" i="1"/>
  <c r="G1347" i="1"/>
  <c r="G1348" i="1"/>
  <c r="G1349" i="1"/>
  <c r="G1350" i="1"/>
  <c r="G1351" i="1"/>
  <c r="G1352" i="1"/>
  <c r="G1353" i="1"/>
  <c r="G1354" i="1"/>
  <c r="G1355" i="1"/>
  <c r="G1356" i="1"/>
  <c r="G1357" i="1"/>
  <c r="G1358" i="1"/>
  <c r="G1359" i="1"/>
  <c r="G1360" i="1"/>
  <c r="G1361" i="1"/>
  <c r="G1362" i="1"/>
  <c r="G1363" i="1"/>
  <c r="G1364" i="1"/>
  <c r="G1365" i="1"/>
  <c r="G1366" i="1"/>
  <c r="G1367" i="1"/>
  <c r="G1368" i="1"/>
  <c r="G1369" i="1"/>
  <c r="G1370" i="1"/>
  <c r="G1371" i="1"/>
  <c r="G1372" i="1"/>
  <c r="G1373" i="1"/>
  <c r="G1374" i="1"/>
  <c r="G1375" i="1"/>
  <c r="G1376" i="1"/>
  <c r="G1377" i="1"/>
  <c r="G1378" i="1"/>
  <c r="G1379" i="1"/>
  <c r="G1380" i="1"/>
  <c r="G1381" i="1"/>
  <c r="G1382" i="1"/>
  <c r="G1383" i="1"/>
  <c r="G1384" i="1"/>
  <c r="G1385" i="1"/>
  <c r="G1386" i="1"/>
  <c r="G1387" i="1"/>
  <c r="G1388" i="1"/>
  <c r="G1389" i="1"/>
  <c r="G1390" i="1"/>
  <c r="G1391" i="1"/>
  <c r="G1392" i="1"/>
  <c r="G1393" i="1"/>
  <c r="G1394" i="1"/>
  <c r="G1395" i="1"/>
  <c r="G1396" i="1"/>
  <c r="G1397" i="1"/>
  <c r="G1398" i="1"/>
  <c r="G1399" i="1"/>
  <c r="G1400" i="1"/>
  <c r="G1401" i="1"/>
  <c r="G1402" i="1"/>
  <c r="G1403" i="1"/>
  <c r="G1404" i="1"/>
  <c r="G1405" i="1"/>
  <c r="G1406" i="1"/>
  <c r="G1407" i="1"/>
  <c r="G1408" i="1"/>
  <c r="G1409" i="1"/>
  <c r="G1410" i="1"/>
  <c r="G1411" i="1"/>
  <c r="G1412" i="1"/>
  <c r="G1413" i="1"/>
  <c r="G1414" i="1"/>
  <c r="G1415" i="1"/>
  <c r="G1416" i="1"/>
  <c r="G1417" i="1"/>
  <c r="G1418" i="1"/>
  <c r="G1419" i="1"/>
  <c r="G1420" i="1"/>
  <c r="G1421" i="1"/>
  <c r="G1422" i="1"/>
  <c r="G1423" i="1"/>
  <c r="G1424" i="1"/>
  <c r="G1425" i="1"/>
  <c r="G1426" i="1"/>
  <c r="G1427" i="1"/>
  <c r="G1428" i="1"/>
  <c r="G1429" i="1"/>
  <c r="G1430" i="1"/>
  <c r="G1431" i="1"/>
  <c r="G1432" i="1"/>
  <c r="G1433" i="1"/>
  <c r="G1434" i="1"/>
  <c r="G1435" i="1"/>
  <c r="G1436" i="1"/>
  <c r="G1437" i="1"/>
  <c r="G1438" i="1"/>
  <c r="G1439" i="1"/>
  <c r="G1440" i="1"/>
  <c r="G1441" i="1"/>
  <c r="G1442" i="1"/>
  <c r="G1443" i="1"/>
  <c r="G1444" i="1"/>
  <c r="G1445" i="1"/>
  <c r="G1446" i="1"/>
  <c r="G1447" i="1"/>
  <c r="G1448" i="1"/>
  <c r="G1449" i="1"/>
  <c r="G1450" i="1"/>
  <c r="G1451" i="1"/>
  <c r="G1452" i="1"/>
  <c r="G1453" i="1"/>
  <c r="G1454" i="1"/>
  <c r="G1455" i="1"/>
  <c r="G1456" i="1"/>
  <c r="G1457" i="1"/>
  <c r="G1458" i="1"/>
  <c r="G1459" i="1"/>
  <c r="G1460" i="1"/>
  <c r="G1461" i="1"/>
  <c r="G1462" i="1"/>
  <c r="G1463" i="1"/>
  <c r="G1464" i="1"/>
  <c r="G1465" i="1"/>
  <c r="G1466" i="1"/>
  <c r="G1467" i="1"/>
  <c r="G1468" i="1"/>
  <c r="G1469" i="1"/>
  <c r="G1470" i="1"/>
  <c r="G1471" i="1"/>
  <c r="G1472" i="1"/>
  <c r="G1473" i="1"/>
  <c r="G1474" i="1"/>
  <c r="G1475" i="1"/>
  <c r="G1476" i="1"/>
  <c r="G1477" i="1"/>
  <c r="G1478" i="1"/>
  <c r="G1479" i="1"/>
  <c r="G1480" i="1"/>
  <c r="G1481" i="1"/>
  <c r="G1482" i="1"/>
  <c r="G1483" i="1"/>
  <c r="G1484" i="1"/>
  <c r="G1485" i="1"/>
  <c r="G1486" i="1"/>
  <c r="G1487" i="1"/>
  <c r="G1488" i="1"/>
  <c r="G1489" i="1"/>
  <c r="G1490" i="1"/>
  <c r="G1491" i="1"/>
  <c r="G1492" i="1"/>
  <c r="G1493" i="1"/>
  <c r="G1494" i="1"/>
  <c r="G1495" i="1"/>
  <c r="G1496" i="1"/>
  <c r="G1497" i="1"/>
  <c r="G1498" i="1"/>
  <c r="G1499" i="1"/>
  <c r="G1500" i="1"/>
  <c r="G1501" i="1"/>
  <c r="G1502" i="1"/>
  <c r="G1503" i="1"/>
  <c r="G1504" i="1"/>
  <c r="G1505" i="1"/>
  <c r="G1506" i="1"/>
  <c r="G1507" i="1"/>
  <c r="G1508" i="1"/>
  <c r="G1509" i="1"/>
  <c r="G1510" i="1"/>
  <c r="G1511" i="1"/>
  <c r="G1512" i="1"/>
  <c r="G1513" i="1"/>
  <c r="G1514" i="1"/>
  <c r="G1515" i="1"/>
  <c r="G1516" i="1"/>
  <c r="G1517" i="1"/>
  <c r="G1518" i="1"/>
  <c r="G1519" i="1"/>
  <c r="G1520" i="1"/>
  <c r="G1521" i="1"/>
  <c r="G1522" i="1"/>
  <c r="G1523" i="1"/>
  <c r="G1524" i="1"/>
  <c r="G1525" i="1"/>
  <c r="G1526" i="1"/>
  <c r="G1527" i="1"/>
  <c r="G1528" i="1"/>
  <c r="G1529" i="1"/>
  <c r="G1530" i="1"/>
  <c r="G1531" i="1"/>
  <c r="G1532" i="1"/>
  <c r="G1533" i="1"/>
  <c r="G1534" i="1"/>
  <c r="G1535" i="1"/>
  <c r="G1536" i="1"/>
  <c r="G1537" i="1"/>
  <c r="G1538" i="1"/>
  <c r="G1539" i="1"/>
  <c r="G1540" i="1"/>
  <c r="G1541" i="1"/>
  <c r="G1542" i="1"/>
  <c r="G1543" i="1"/>
  <c r="G1544" i="1"/>
  <c r="G1545" i="1"/>
  <c r="G1546" i="1"/>
  <c r="G1547" i="1"/>
  <c r="G1548" i="1"/>
  <c r="G1549" i="1"/>
  <c r="G1550" i="1"/>
  <c r="G1551" i="1"/>
  <c r="G1552" i="1"/>
  <c r="G1553" i="1"/>
  <c r="G1554" i="1"/>
  <c r="G1555" i="1"/>
  <c r="G1556" i="1"/>
  <c r="G1557" i="1"/>
  <c r="G1558" i="1"/>
  <c r="G1559" i="1"/>
  <c r="G1560" i="1"/>
  <c r="G1561" i="1"/>
  <c r="G1562" i="1"/>
  <c r="G1563" i="1"/>
  <c r="G1564" i="1"/>
  <c r="G1565" i="1"/>
  <c r="G1566" i="1"/>
  <c r="G1567" i="1"/>
  <c r="G1568" i="1"/>
  <c r="G1569" i="1"/>
  <c r="G1570" i="1"/>
  <c r="G1571" i="1"/>
  <c r="G1572" i="1"/>
  <c r="G1573" i="1"/>
  <c r="G1574" i="1"/>
  <c r="G1575" i="1"/>
  <c r="G1576" i="1"/>
  <c r="G1577" i="1"/>
  <c r="G1578" i="1"/>
  <c r="G1579" i="1"/>
  <c r="G1580" i="1"/>
  <c r="G1581" i="1"/>
  <c r="G1582" i="1"/>
  <c r="G1583" i="1"/>
  <c r="G1584" i="1"/>
  <c r="G1585" i="1"/>
  <c r="G1586" i="1"/>
  <c r="G1587" i="1"/>
  <c r="G1588" i="1"/>
  <c r="G1589" i="1"/>
  <c r="G1590" i="1"/>
  <c r="G1591" i="1"/>
  <c r="G1592" i="1"/>
  <c r="G1593" i="1"/>
  <c r="G1594" i="1"/>
  <c r="G1595" i="1"/>
  <c r="G1596" i="1"/>
  <c r="G1597" i="1"/>
  <c r="G1598" i="1"/>
  <c r="G1599" i="1"/>
  <c r="G1600" i="1"/>
  <c r="G1601" i="1"/>
  <c r="G1602" i="1"/>
  <c r="G1603" i="1"/>
  <c r="G1604" i="1"/>
  <c r="G1605" i="1"/>
  <c r="G1606" i="1"/>
  <c r="G1607" i="1"/>
  <c r="G1608" i="1"/>
  <c r="G1609" i="1"/>
  <c r="G1610" i="1"/>
  <c r="G1611" i="1"/>
  <c r="G1612" i="1"/>
  <c r="G1613" i="1"/>
  <c r="G1614" i="1"/>
  <c r="G1615" i="1"/>
  <c r="G1616" i="1"/>
  <c r="G1617" i="1"/>
  <c r="G1618" i="1"/>
  <c r="G1619" i="1"/>
  <c r="G1620" i="1"/>
  <c r="G1621" i="1"/>
  <c r="G1622" i="1"/>
  <c r="G1623" i="1"/>
  <c r="G1624" i="1"/>
  <c r="G1625" i="1"/>
  <c r="G1626" i="1"/>
  <c r="G1627" i="1"/>
  <c r="G1628" i="1"/>
  <c r="G1629" i="1"/>
  <c r="G1630" i="1"/>
  <c r="G1631" i="1"/>
  <c r="G1632" i="1"/>
  <c r="G1633" i="1"/>
  <c r="G1634" i="1"/>
  <c r="G1635" i="1"/>
  <c r="G1636" i="1"/>
  <c r="G1637" i="1"/>
  <c r="G1638" i="1"/>
  <c r="G1639" i="1"/>
  <c r="G1640" i="1"/>
  <c r="G1641" i="1"/>
  <c r="G1642" i="1"/>
  <c r="G1643" i="1"/>
  <c r="G1644" i="1"/>
  <c r="G1645" i="1"/>
  <c r="G1646" i="1"/>
  <c r="G1647" i="1"/>
  <c r="G1648" i="1"/>
  <c r="G1649" i="1"/>
  <c r="G1650" i="1"/>
  <c r="G1651" i="1"/>
  <c r="G1652" i="1"/>
  <c r="G1653" i="1"/>
  <c r="G1654" i="1"/>
  <c r="G1655" i="1"/>
  <c r="G1656" i="1"/>
  <c r="G1657" i="1"/>
  <c r="G1658" i="1"/>
  <c r="G1659" i="1"/>
  <c r="G1660" i="1"/>
  <c r="G1661" i="1"/>
  <c r="G1662" i="1"/>
  <c r="G1663" i="1"/>
  <c r="G1664" i="1"/>
  <c r="G1665" i="1"/>
  <c r="G1666" i="1"/>
  <c r="G1667" i="1"/>
  <c r="G1668" i="1"/>
  <c r="G1669" i="1"/>
  <c r="G1670" i="1"/>
  <c r="G1671" i="1"/>
  <c r="G1672" i="1"/>
  <c r="G1673" i="1"/>
  <c r="G1674" i="1"/>
  <c r="G1675" i="1"/>
  <c r="G1676" i="1"/>
  <c r="G1677" i="1"/>
  <c r="G1678" i="1"/>
  <c r="G1679" i="1"/>
  <c r="G1680" i="1"/>
  <c r="G1681" i="1"/>
  <c r="G1682" i="1"/>
  <c r="G1683" i="1"/>
  <c r="G1684" i="1"/>
  <c r="G1685" i="1"/>
  <c r="G1686" i="1"/>
  <c r="G1687" i="1"/>
  <c r="G1688" i="1"/>
  <c r="G1689" i="1"/>
  <c r="G1690" i="1"/>
  <c r="G1691" i="1"/>
  <c r="G1692" i="1"/>
  <c r="G1693" i="1"/>
  <c r="G1694" i="1"/>
  <c r="G1695" i="1"/>
  <c r="G1696" i="1"/>
  <c r="G1697" i="1"/>
  <c r="G1698" i="1"/>
  <c r="G1699" i="1"/>
  <c r="G1700" i="1"/>
  <c r="G1701" i="1"/>
  <c r="G1702" i="1"/>
  <c r="G1703" i="1"/>
  <c r="G1704" i="1"/>
  <c r="G1705" i="1"/>
  <c r="G1706" i="1"/>
  <c r="G1707" i="1"/>
  <c r="G1708" i="1"/>
  <c r="G1709" i="1"/>
  <c r="G1710" i="1"/>
  <c r="G1711" i="1"/>
  <c r="G1712" i="1"/>
  <c r="G1713" i="1"/>
  <c r="G1714" i="1"/>
  <c r="G1715" i="1"/>
  <c r="G1716" i="1"/>
  <c r="G1717" i="1"/>
  <c r="G1718" i="1"/>
  <c r="G1719" i="1"/>
  <c r="G1720" i="1"/>
  <c r="G1721" i="1"/>
  <c r="G1722" i="1"/>
  <c r="G1723" i="1"/>
  <c r="G1724" i="1"/>
  <c r="G1725" i="1"/>
  <c r="G1726" i="1"/>
  <c r="G1727" i="1"/>
  <c r="G1728" i="1"/>
  <c r="G1729" i="1"/>
  <c r="G1730" i="1"/>
  <c r="G1731" i="1"/>
  <c r="G1732" i="1"/>
  <c r="G1733" i="1"/>
  <c r="G1734" i="1"/>
  <c r="G1735" i="1"/>
  <c r="G1736" i="1"/>
  <c r="G1737" i="1"/>
  <c r="G1738" i="1"/>
  <c r="G1739" i="1"/>
  <c r="G1740" i="1"/>
  <c r="G1741" i="1"/>
  <c r="G1742" i="1"/>
  <c r="G1743" i="1"/>
  <c r="G1744" i="1"/>
  <c r="G1745" i="1"/>
  <c r="G1746" i="1"/>
  <c r="G1747" i="1"/>
  <c r="G1748" i="1"/>
  <c r="G1749" i="1"/>
  <c r="G1750" i="1"/>
  <c r="G1751" i="1"/>
  <c r="G1752" i="1"/>
  <c r="G1753" i="1"/>
  <c r="G1754" i="1"/>
  <c r="G1755" i="1"/>
  <c r="G1756" i="1"/>
  <c r="G1757" i="1"/>
  <c r="G1758" i="1"/>
  <c r="G1759" i="1"/>
  <c r="G1760" i="1"/>
  <c r="G1761" i="1"/>
  <c r="G1762" i="1"/>
  <c r="G1763" i="1"/>
  <c r="G1764" i="1"/>
  <c r="G1765" i="1"/>
  <c r="G1766" i="1"/>
  <c r="G1767" i="1"/>
  <c r="G1768" i="1"/>
  <c r="G1769" i="1"/>
  <c r="G1770" i="1"/>
  <c r="G1771" i="1"/>
  <c r="G1772" i="1"/>
  <c r="G1773" i="1"/>
  <c r="G1774" i="1"/>
  <c r="G1775" i="1"/>
  <c r="G1776" i="1"/>
  <c r="G1777" i="1"/>
  <c r="G1778" i="1"/>
  <c r="G1779" i="1"/>
  <c r="G1780" i="1"/>
  <c r="G1781" i="1"/>
  <c r="G1782" i="1"/>
  <c r="G1783" i="1"/>
  <c r="G1784" i="1"/>
  <c r="G1785" i="1"/>
  <c r="G1786" i="1"/>
  <c r="G1787" i="1"/>
  <c r="G1788" i="1"/>
  <c r="G1789" i="1"/>
  <c r="G1790" i="1"/>
  <c r="G1791" i="1"/>
  <c r="G1792" i="1"/>
  <c r="G1793" i="1"/>
  <c r="G1794" i="1"/>
  <c r="G1795" i="1"/>
  <c r="G1796" i="1"/>
  <c r="G1797" i="1"/>
  <c r="G1798" i="1"/>
  <c r="G1799" i="1"/>
  <c r="G1800" i="1"/>
  <c r="G1801" i="1"/>
  <c r="G1802" i="1"/>
  <c r="G1803" i="1"/>
  <c r="G1804" i="1"/>
  <c r="G1805" i="1"/>
  <c r="G1806" i="1"/>
  <c r="G1807" i="1"/>
  <c r="G1808" i="1"/>
  <c r="G1809" i="1"/>
  <c r="G1810" i="1"/>
  <c r="G1811" i="1"/>
  <c r="G1812" i="1"/>
  <c r="G1813" i="1"/>
  <c r="G1814" i="1"/>
  <c r="G1815" i="1"/>
  <c r="G1816" i="1"/>
  <c r="G1817" i="1"/>
  <c r="G1818" i="1"/>
  <c r="G1819" i="1"/>
  <c r="G1820" i="1"/>
  <c r="G1821" i="1"/>
  <c r="G1822" i="1"/>
  <c r="G1823" i="1"/>
  <c r="G1824" i="1"/>
  <c r="G1825" i="1"/>
  <c r="G1826" i="1"/>
  <c r="G1827" i="1"/>
  <c r="G1828" i="1"/>
  <c r="G1829" i="1"/>
  <c r="G1830" i="1"/>
  <c r="G1831" i="1"/>
  <c r="G1832" i="1"/>
  <c r="G1833" i="1"/>
  <c r="G1834" i="1"/>
  <c r="G1835" i="1"/>
  <c r="G1836" i="1"/>
  <c r="G1837" i="1"/>
  <c r="G1838" i="1"/>
  <c r="G1839" i="1"/>
  <c r="G1840" i="1"/>
  <c r="G1841" i="1"/>
  <c r="G1842" i="1"/>
  <c r="G1843" i="1"/>
  <c r="G1844" i="1"/>
  <c r="G1845" i="1"/>
  <c r="G1846" i="1"/>
  <c r="G1847" i="1"/>
  <c r="G1848" i="1"/>
  <c r="G1849" i="1"/>
  <c r="G1850" i="1"/>
  <c r="G1851" i="1"/>
  <c r="G1852" i="1"/>
  <c r="G1853" i="1"/>
  <c r="G1854" i="1"/>
  <c r="G1855" i="1"/>
  <c r="G1856" i="1"/>
  <c r="G1857" i="1"/>
  <c r="G1858" i="1"/>
  <c r="G1859" i="1"/>
  <c r="G1860" i="1"/>
  <c r="G1861" i="1"/>
  <c r="G1862" i="1"/>
  <c r="G1863" i="1"/>
  <c r="G1864" i="1"/>
  <c r="G1865" i="1"/>
  <c r="G1866" i="1"/>
  <c r="G1867" i="1"/>
  <c r="G1868" i="1"/>
  <c r="G1869" i="1"/>
  <c r="G1870" i="1"/>
  <c r="G1871" i="1"/>
  <c r="G1872" i="1"/>
  <c r="G1873" i="1"/>
  <c r="G1874" i="1"/>
  <c r="G1875" i="1"/>
  <c r="G1876" i="1"/>
  <c r="G1877" i="1"/>
  <c r="G1878" i="1"/>
  <c r="G1879" i="1"/>
  <c r="G1880" i="1"/>
  <c r="G1881" i="1"/>
  <c r="G1882" i="1"/>
  <c r="G1883" i="1"/>
  <c r="G1884" i="1"/>
  <c r="G1885" i="1"/>
  <c r="G1886" i="1"/>
  <c r="G1887" i="1"/>
  <c r="G1888" i="1"/>
  <c r="G1889" i="1"/>
  <c r="G1890" i="1"/>
  <c r="G1891" i="1"/>
  <c r="G1892" i="1"/>
  <c r="G1893" i="1"/>
  <c r="G1894" i="1"/>
  <c r="G1895" i="1"/>
  <c r="G1896" i="1"/>
  <c r="G1897" i="1"/>
  <c r="G1898" i="1"/>
  <c r="G1899" i="1"/>
  <c r="G1900" i="1"/>
  <c r="G1901" i="1"/>
  <c r="G1902" i="1"/>
  <c r="G1903" i="1"/>
  <c r="G1904" i="1"/>
  <c r="G1905" i="1"/>
  <c r="G1906" i="1"/>
  <c r="G1907" i="1"/>
  <c r="G1908" i="1"/>
  <c r="G1909" i="1"/>
  <c r="G1910" i="1"/>
  <c r="G1911" i="1"/>
  <c r="G1912" i="1"/>
  <c r="G1913" i="1"/>
  <c r="G1914" i="1"/>
  <c r="G1915" i="1"/>
  <c r="G1916" i="1"/>
  <c r="G1917" i="1"/>
  <c r="G1918" i="1"/>
  <c r="G1919" i="1"/>
  <c r="G1920" i="1"/>
  <c r="G1921" i="1"/>
  <c r="G1922" i="1"/>
  <c r="G1923" i="1"/>
  <c r="G1924" i="1"/>
  <c r="G1925" i="1"/>
  <c r="G1926" i="1"/>
  <c r="G1927" i="1"/>
  <c r="G1928" i="1"/>
  <c r="G1929" i="1"/>
  <c r="G1930" i="1"/>
  <c r="G1931" i="1"/>
  <c r="G1932" i="1"/>
  <c r="G1933" i="1"/>
  <c r="G1934" i="1"/>
  <c r="G1935" i="1"/>
  <c r="G1936" i="1"/>
  <c r="G1937" i="1"/>
  <c r="G1938" i="1"/>
  <c r="G1939" i="1"/>
  <c r="G1940" i="1"/>
  <c r="G1941" i="1"/>
  <c r="G1942" i="1"/>
  <c r="G1943" i="1"/>
  <c r="G1944" i="1"/>
  <c r="G1945" i="1"/>
  <c r="G1946" i="1"/>
  <c r="G1947" i="1"/>
  <c r="G1948" i="1"/>
  <c r="G1949" i="1"/>
  <c r="G1950" i="1"/>
  <c r="G1951" i="1"/>
  <c r="G1952" i="1"/>
  <c r="G1953" i="1"/>
  <c r="G1954" i="1"/>
  <c r="G1955" i="1"/>
  <c r="G1956" i="1"/>
  <c r="G1957" i="1"/>
  <c r="G1958" i="1"/>
  <c r="G1959" i="1"/>
  <c r="G1960" i="1"/>
  <c r="G1961" i="1"/>
  <c r="G1962" i="1"/>
  <c r="G1963" i="1"/>
  <c r="G1964" i="1"/>
  <c r="G1965" i="1"/>
  <c r="G1966" i="1"/>
  <c r="G1967" i="1"/>
  <c r="G1968" i="1"/>
  <c r="G1969" i="1"/>
  <c r="G1970" i="1"/>
  <c r="G1971" i="1"/>
  <c r="G1972" i="1"/>
  <c r="G1973" i="1"/>
  <c r="G1974" i="1"/>
  <c r="G1975" i="1"/>
  <c r="G1976" i="1"/>
  <c r="G1977" i="1"/>
  <c r="G1978" i="1"/>
  <c r="G1979" i="1"/>
  <c r="G1980" i="1"/>
  <c r="G1981" i="1"/>
  <c r="G1982" i="1"/>
  <c r="G1983" i="1"/>
  <c r="G1984" i="1"/>
  <c r="G1985" i="1"/>
  <c r="G1986" i="1"/>
  <c r="G1987" i="1"/>
  <c r="G1988" i="1"/>
  <c r="G1989" i="1"/>
  <c r="G1990" i="1"/>
  <c r="G1991" i="1"/>
  <c r="G1992" i="1"/>
  <c r="G1993" i="1"/>
  <c r="G1994" i="1"/>
  <c r="G1995" i="1"/>
  <c r="G1996" i="1"/>
  <c r="G1997" i="1"/>
  <c r="G1998" i="1"/>
  <c r="G1999" i="1"/>
  <c r="G2000" i="1"/>
  <c r="G2001" i="1"/>
  <c r="G2002" i="1"/>
  <c r="G2003" i="1"/>
  <c r="G2004" i="1"/>
  <c r="G2005" i="1"/>
  <c r="G2006" i="1"/>
  <c r="G2007" i="1"/>
  <c r="G2008" i="1"/>
  <c r="G2009" i="1"/>
  <c r="G2010" i="1"/>
  <c r="G2011" i="1"/>
  <c r="G2012" i="1"/>
  <c r="G2013" i="1"/>
  <c r="G2014" i="1"/>
  <c r="G2015" i="1"/>
  <c r="G2016" i="1"/>
  <c r="G2017" i="1"/>
  <c r="G2018" i="1"/>
  <c r="G2019" i="1"/>
  <c r="G2020" i="1"/>
  <c r="G2021" i="1"/>
  <c r="G2022" i="1"/>
  <c r="G2023" i="1"/>
  <c r="G2024" i="1"/>
  <c r="G2025" i="1"/>
  <c r="G2026" i="1"/>
  <c r="G2027" i="1"/>
  <c r="G2028" i="1"/>
  <c r="G2029" i="1"/>
  <c r="G2030" i="1"/>
  <c r="G2031" i="1"/>
  <c r="G2032" i="1"/>
  <c r="G2033" i="1"/>
  <c r="G2034" i="1"/>
  <c r="G2035" i="1"/>
  <c r="G2036" i="1"/>
  <c r="G2037" i="1"/>
  <c r="G2038" i="1"/>
  <c r="G2039" i="1"/>
  <c r="G2040" i="1"/>
  <c r="G2041" i="1"/>
  <c r="G2042" i="1"/>
  <c r="G2043" i="1"/>
  <c r="G2044" i="1"/>
  <c r="G2045" i="1"/>
  <c r="G2046" i="1"/>
  <c r="G2047" i="1"/>
  <c r="G2048" i="1"/>
  <c r="G2049" i="1"/>
  <c r="G2050" i="1"/>
  <c r="G2051" i="1"/>
  <c r="G2052" i="1"/>
  <c r="G2053" i="1"/>
  <c r="G2054" i="1"/>
  <c r="G2055" i="1"/>
  <c r="G2056" i="1"/>
  <c r="G2057" i="1"/>
  <c r="G2058" i="1"/>
  <c r="G2059" i="1"/>
  <c r="G2060" i="1"/>
  <c r="G2061" i="1"/>
  <c r="G2062" i="1"/>
  <c r="G2063" i="1"/>
  <c r="G2064" i="1"/>
  <c r="G2065" i="1"/>
  <c r="G2066" i="1"/>
  <c r="G2067" i="1"/>
  <c r="G2068" i="1"/>
  <c r="G2069" i="1"/>
  <c r="G2070" i="1"/>
  <c r="G2071" i="1"/>
  <c r="G2072" i="1"/>
  <c r="G2073" i="1"/>
  <c r="G2074" i="1"/>
  <c r="G2075" i="1"/>
  <c r="G2076" i="1"/>
  <c r="G2077" i="1"/>
  <c r="G2078" i="1"/>
  <c r="G2079" i="1"/>
  <c r="G2080" i="1"/>
  <c r="G2081" i="1"/>
  <c r="G2082" i="1"/>
  <c r="G2083" i="1"/>
  <c r="G2084" i="1"/>
  <c r="G2085" i="1"/>
  <c r="G2086" i="1"/>
  <c r="G2087" i="1"/>
  <c r="G2088" i="1"/>
  <c r="G2089" i="1"/>
  <c r="G2090" i="1"/>
  <c r="G2091" i="1"/>
  <c r="G2092" i="1"/>
  <c r="G2093" i="1"/>
  <c r="G2094" i="1"/>
  <c r="G2095" i="1"/>
  <c r="G2096" i="1"/>
  <c r="G2097" i="1"/>
  <c r="G2098" i="1"/>
  <c r="G2099" i="1"/>
  <c r="G2100" i="1"/>
  <c r="G2101" i="1"/>
  <c r="G2102" i="1"/>
  <c r="G2103" i="1"/>
  <c r="G2104" i="1"/>
  <c r="G2105" i="1"/>
  <c r="G2106" i="1"/>
  <c r="G2107" i="1"/>
  <c r="G2108" i="1"/>
  <c r="G2109" i="1"/>
  <c r="G2110" i="1"/>
  <c r="G2111" i="1"/>
  <c r="G2112" i="1"/>
  <c r="G2113" i="1"/>
  <c r="G2114" i="1"/>
  <c r="G2115" i="1"/>
  <c r="G2116" i="1"/>
  <c r="G2117" i="1"/>
  <c r="G2118" i="1"/>
  <c r="G2119" i="1"/>
  <c r="G2120" i="1"/>
  <c r="G2121" i="1"/>
  <c r="G2122" i="1"/>
  <c r="G2123" i="1"/>
  <c r="G2124" i="1"/>
  <c r="G2125" i="1"/>
  <c r="G2126" i="1"/>
  <c r="G2127" i="1"/>
  <c r="G2128" i="1"/>
  <c r="G2129" i="1"/>
  <c r="G2130" i="1"/>
  <c r="G2131" i="1"/>
  <c r="G2132" i="1"/>
  <c r="G2133" i="1"/>
  <c r="G2134" i="1"/>
  <c r="G2135" i="1"/>
  <c r="G2136" i="1"/>
  <c r="G2137" i="1"/>
  <c r="G2138" i="1"/>
  <c r="G2139" i="1"/>
  <c r="G2140" i="1"/>
  <c r="G2141" i="1"/>
  <c r="G2142" i="1"/>
  <c r="G2143" i="1"/>
  <c r="G2144" i="1"/>
  <c r="G2145" i="1"/>
  <c r="G2146" i="1"/>
  <c r="G2147" i="1"/>
  <c r="G2148" i="1"/>
  <c r="G2149" i="1"/>
  <c r="G2150" i="1"/>
  <c r="G2151" i="1"/>
  <c r="G2152" i="1"/>
  <c r="G2153" i="1"/>
  <c r="G2154" i="1"/>
  <c r="G2155" i="1"/>
  <c r="G2156" i="1"/>
  <c r="G2157" i="1"/>
  <c r="G2158" i="1"/>
  <c r="G2159" i="1"/>
  <c r="G2160" i="1"/>
  <c r="G2161" i="1"/>
  <c r="G2162" i="1"/>
  <c r="G2163" i="1"/>
  <c r="G2164" i="1"/>
  <c r="G2165" i="1"/>
  <c r="G2166" i="1"/>
  <c r="G2167" i="1"/>
  <c r="G2168" i="1"/>
  <c r="G2169" i="1"/>
  <c r="G2170" i="1"/>
  <c r="G2171" i="1"/>
  <c r="G2172" i="1"/>
  <c r="G2173" i="1"/>
  <c r="G2174" i="1"/>
  <c r="G2175" i="1"/>
  <c r="G2176" i="1"/>
  <c r="G2177" i="1"/>
  <c r="G2178" i="1"/>
  <c r="G2179" i="1"/>
  <c r="G2180" i="1"/>
  <c r="G2181" i="1"/>
  <c r="G2182" i="1"/>
  <c r="G2183" i="1"/>
  <c r="G2184" i="1"/>
  <c r="G2185" i="1"/>
  <c r="G2186" i="1"/>
  <c r="G2187" i="1"/>
  <c r="G2188" i="1"/>
  <c r="G2189" i="1"/>
  <c r="G2190" i="1"/>
  <c r="G2191" i="1"/>
  <c r="G2192" i="1"/>
  <c r="G2193" i="1"/>
  <c r="G2194" i="1"/>
  <c r="G2195" i="1"/>
  <c r="G2196" i="1"/>
  <c r="G2197" i="1"/>
  <c r="G2198" i="1"/>
  <c r="G2199" i="1"/>
  <c r="G2200" i="1"/>
  <c r="G2201" i="1"/>
  <c r="G2202" i="1"/>
  <c r="G2203" i="1"/>
  <c r="G2204" i="1"/>
  <c r="G2205" i="1"/>
  <c r="G2206" i="1"/>
  <c r="G2207" i="1"/>
  <c r="G2208" i="1"/>
  <c r="G2209" i="1"/>
  <c r="G2210" i="1"/>
  <c r="G2211" i="1"/>
  <c r="G2212" i="1"/>
  <c r="G2213" i="1"/>
  <c r="G2214" i="1"/>
  <c r="G2215" i="1"/>
  <c r="G2216" i="1"/>
  <c r="G2217" i="1"/>
  <c r="G2218" i="1"/>
  <c r="G2219" i="1"/>
  <c r="G2220" i="1"/>
  <c r="G2221" i="1"/>
  <c r="G2222" i="1"/>
  <c r="G2223" i="1"/>
  <c r="G2224" i="1"/>
  <c r="G2225" i="1"/>
  <c r="G2226" i="1"/>
  <c r="G2227" i="1"/>
  <c r="G2228" i="1"/>
  <c r="G2229" i="1"/>
  <c r="G2230" i="1"/>
  <c r="G2231" i="1"/>
  <c r="G2232" i="1"/>
  <c r="G2233" i="1"/>
  <c r="G2234" i="1"/>
  <c r="G2235" i="1"/>
  <c r="G2236" i="1"/>
  <c r="G2237" i="1"/>
  <c r="G2238" i="1"/>
  <c r="G2239" i="1"/>
  <c r="G2240" i="1"/>
  <c r="G2241" i="1"/>
  <c r="G2242" i="1"/>
  <c r="G2243" i="1"/>
  <c r="G2244" i="1"/>
  <c r="G2245" i="1"/>
  <c r="G2246" i="1"/>
  <c r="G2247" i="1"/>
  <c r="G2248" i="1"/>
  <c r="G2249" i="1"/>
  <c r="G2250" i="1"/>
  <c r="G2251" i="1"/>
  <c r="G2252" i="1"/>
  <c r="G2253" i="1"/>
  <c r="G2254" i="1"/>
  <c r="G2255" i="1"/>
  <c r="G2256" i="1"/>
  <c r="G2257" i="1"/>
  <c r="G2258" i="1"/>
  <c r="G2259" i="1"/>
  <c r="G2260" i="1"/>
  <c r="G2261" i="1"/>
  <c r="G2262" i="1"/>
  <c r="G2263" i="1"/>
  <c r="G2264" i="1"/>
  <c r="G2265" i="1"/>
  <c r="G2266" i="1"/>
  <c r="G2267" i="1"/>
  <c r="G2268" i="1"/>
  <c r="G2269" i="1"/>
  <c r="G2270" i="1"/>
  <c r="G2271" i="1"/>
  <c r="G2272" i="1"/>
  <c r="G2273" i="1"/>
  <c r="G2274" i="1"/>
  <c r="G2275" i="1"/>
  <c r="G2276" i="1"/>
  <c r="G2277" i="1"/>
  <c r="G2278" i="1"/>
  <c r="G2279" i="1"/>
  <c r="G2280" i="1"/>
  <c r="G2281" i="1"/>
  <c r="G2282" i="1"/>
  <c r="G2283" i="1"/>
  <c r="G2284" i="1"/>
  <c r="G2285" i="1"/>
  <c r="G2286" i="1"/>
  <c r="G2287" i="1"/>
  <c r="G2288" i="1"/>
  <c r="G2289" i="1"/>
  <c r="G2290" i="1"/>
  <c r="G2291" i="1"/>
  <c r="G2292" i="1"/>
  <c r="G2293" i="1"/>
  <c r="G2294" i="1"/>
  <c r="G2295" i="1"/>
  <c r="G2296" i="1"/>
  <c r="G2297" i="1"/>
  <c r="G2298" i="1"/>
  <c r="G2299" i="1"/>
  <c r="G2300" i="1"/>
  <c r="G2301" i="1"/>
  <c r="G2302" i="1"/>
  <c r="G2303" i="1"/>
  <c r="G2304" i="1"/>
  <c r="G2305" i="1"/>
  <c r="G2306" i="1"/>
  <c r="G2307" i="1"/>
  <c r="G2308" i="1"/>
  <c r="G2309" i="1"/>
  <c r="G2310" i="1"/>
  <c r="G2311" i="1"/>
  <c r="G2312" i="1"/>
  <c r="G2313" i="1"/>
  <c r="G2314" i="1"/>
  <c r="G2315" i="1"/>
  <c r="G2316" i="1"/>
  <c r="G2317" i="1"/>
  <c r="G2318" i="1"/>
  <c r="G2319" i="1"/>
  <c r="G2320" i="1"/>
  <c r="G2321" i="1"/>
  <c r="G2322" i="1"/>
  <c r="G2323" i="1"/>
  <c r="G2324" i="1"/>
  <c r="G2325" i="1"/>
  <c r="G2326" i="1"/>
  <c r="G2327" i="1"/>
  <c r="G2328" i="1"/>
  <c r="G2329" i="1"/>
  <c r="G2330" i="1"/>
  <c r="G2331" i="1"/>
  <c r="G2332" i="1"/>
  <c r="G2333" i="1"/>
  <c r="G2334" i="1"/>
  <c r="G2335" i="1"/>
  <c r="G2336" i="1"/>
  <c r="G2337" i="1"/>
  <c r="G2338" i="1"/>
  <c r="G2339" i="1"/>
  <c r="G2340" i="1"/>
  <c r="G2341" i="1"/>
  <c r="G2342" i="1"/>
  <c r="G2343" i="1"/>
  <c r="G2344" i="1"/>
  <c r="G2345" i="1"/>
  <c r="G2346" i="1"/>
  <c r="G2347" i="1"/>
  <c r="G2348" i="1"/>
  <c r="G2349" i="1"/>
  <c r="G2350" i="1"/>
  <c r="G2351" i="1"/>
  <c r="G2352" i="1"/>
  <c r="G2353" i="1"/>
  <c r="G2354" i="1"/>
  <c r="G2355" i="1"/>
  <c r="G2356" i="1"/>
  <c r="G2357" i="1"/>
  <c r="G2358" i="1"/>
  <c r="G2359" i="1"/>
  <c r="G2360" i="1"/>
  <c r="G2361" i="1"/>
  <c r="G2362" i="1"/>
  <c r="G2363" i="1"/>
  <c r="G2364" i="1"/>
  <c r="G2365" i="1"/>
  <c r="G2366" i="1"/>
  <c r="G2367" i="1"/>
  <c r="G2368" i="1"/>
  <c r="G2369" i="1"/>
  <c r="G2370" i="1"/>
  <c r="G2371" i="1"/>
  <c r="G2372" i="1"/>
  <c r="G2373" i="1"/>
  <c r="G2374" i="1"/>
  <c r="G2375" i="1"/>
  <c r="G2376" i="1"/>
  <c r="G2377" i="1"/>
  <c r="G2378" i="1"/>
  <c r="G2379" i="1"/>
  <c r="G2380" i="1"/>
  <c r="G2381" i="1"/>
  <c r="G2382" i="1"/>
  <c r="G2383" i="1"/>
  <c r="G2384" i="1"/>
  <c r="G2385" i="1"/>
  <c r="G2386" i="1"/>
  <c r="G2387" i="1"/>
  <c r="G2388" i="1"/>
  <c r="G2389" i="1"/>
  <c r="G2390" i="1"/>
  <c r="G2391" i="1"/>
  <c r="G2392" i="1"/>
  <c r="G2393" i="1"/>
  <c r="G2394" i="1"/>
  <c r="G2395" i="1"/>
  <c r="G2396" i="1"/>
  <c r="G2397" i="1"/>
  <c r="G2398" i="1"/>
  <c r="G2399" i="1"/>
  <c r="G2400" i="1"/>
  <c r="G2401" i="1"/>
  <c r="G2402" i="1"/>
  <c r="G2403" i="1"/>
  <c r="G2404" i="1"/>
  <c r="G2405" i="1"/>
  <c r="G2406" i="1"/>
  <c r="G2407" i="1"/>
  <c r="G2408" i="1"/>
  <c r="G2409" i="1"/>
  <c r="G2410" i="1"/>
  <c r="G2411" i="1"/>
  <c r="G2412" i="1"/>
  <c r="G2413" i="1"/>
  <c r="G2414" i="1"/>
  <c r="G2415" i="1"/>
  <c r="G2416" i="1"/>
  <c r="G2417" i="1"/>
  <c r="G2418" i="1"/>
  <c r="G2419" i="1"/>
  <c r="G2420" i="1"/>
  <c r="G2421" i="1"/>
  <c r="G2422" i="1"/>
  <c r="G2423" i="1"/>
  <c r="G2424" i="1"/>
  <c r="G2425" i="1"/>
  <c r="G2426" i="1"/>
  <c r="G2427" i="1"/>
  <c r="G2428" i="1"/>
  <c r="G2429" i="1"/>
  <c r="G2430" i="1"/>
  <c r="G2431" i="1"/>
  <c r="G2432" i="1"/>
  <c r="G2433" i="1"/>
  <c r="G2434" i="1"/>
  <c r="G2435" i="1"/>
  <c r="G2436" i="1"/>
  <c r="G2437" i="1"/>
  <c r="G2438" i="1"/>
  <c r="G2439" i="1"/>
  <c r="G2440" i="1"/>
  <c r="G2441" i="1"/>
  <c r="G2442" i="1"/>
  <c r="G2443" i="1"/>
  <c r="G2444" i="1"/>
  <c r="G2445" i="1"/>
  <c r="G2446" i="1"/>
  <c r="G2447" i="1"/>
  <c r="G2448" i="1"/>
  <c r="G2449" i="1"/>
  <c r="G2450" i="1"/>
  <c r="G2451" i="1"/>
  <c r="G2452" i="1"/>
  <c r="G2453" i="1"/>
  <c r="G2454" i="1"/>
  <c r="G2455" i="1"/>
  <c r="G2456" i="1"/>
  <c r="G2457" i="1"/>
  <c r="G2458" i="1"/>
  <c r="G2459" i="1"/>
  <c r="G2460" i="1"/>
  <c r="G2461" i="1"/>
  <c r="G2462" i="1"/>
  <c r="G2463" i="1"/>
  <c r="G2464" i="1"/>
  <c r="G2465" i="1"/>
  <c r="G2466" i="1"/>
  <c r="G2467" i="1"/>
  <c r="G2468" i="1"/>
  <c r="G2469" i="1"/>
  <c r="G2470" i="1"/>
  <c r="G2471" i="1"/>
  <c r="G2472" i="1"/>
  <c r="G2473" i="1"/>
  <c r="G2474" i="1"/>
  <c r="G2475" i="1"/>
  <c r="G2476" i="1"/>
  <c r="G2477" i="1"/>
  <c r="G2478" i="1"/>
  <c r="G2479" i="1"/>
  <c r="G2480" i="1"/>
  <c r="G2481" i="1"/>
  <c r="G2482" i="1"/>
  <c r="G2483" i="1"/>
  <c r="G2484" i="1"/>
  <c r="G2485" i="1"/>
  <c r="G2486" i="1"/>
  <c r="G2487" i="1"/>
  <c r="G2488" i="1"/>
  <c r="G2489" i="1"/>
  <c r="G2490" i="1"/>
  <c r="G2491" i="1"/>
  <c r="G2492" i="1"/>
  <c r="G2493" i="1"/>
  <c r="G2494" i="1"/>
  <c r="G2495" i="1"/>
  <c r="G2496" i="1"/>
  <c r="G2497" i="1"/>
  <c r="G2498" i="1"/>
  <c r="G2499" i="1"/>
  <c r="G2500" i="1"/>
  <c r="G2501" i="1"/>
  <c r="G2502" i="1"/>
  <c r="G2503" i="1"/>
  <c r="G2504" i="1"/>
  <c r="G2505" i="1"/>
  <c r="G2506" i="1"/>
  <c r="G2507" i="1"/>
  <c r="G2508" i="1"/>
  <c r="G2509" i="1"/>
  <c r="G2510" i="1"/>
  <c r="G2511" i="1"/>
  <c r="G2512" i="1"/>
  <c r="G2513" i="1"/>
  <c r="G2514" i="1"/>
  <c r="G2515" i="1"/>
  <c r="G2516" i="1"/>
  <c r="G2517" i="1"/>
  <c r="G2518" i="1"/>
  <c r="G2519" i="1"/>
  <c r="G2520" i="1"/>
  <c r="G2521" i="1"/>
  <c r="G2522" i="1"/>
  <c r="G2523" i="1"/>
  <c r="G2524" i="1"/>
  <c r="G2525" i="1"/>
  <c r="G2526" i="1"/>
  <c r="G2527" i="1"/>
  <c r="G2528" i="1"/>
  <c r="G2529" i="1"/>
  <c r="G2530" i="1"/>
  <c r="G2531" i="1"/>
  <c r="G2532" i="1"/>
  <c r="G2533" i="1"/>
  <c r="G2534" i="1"/>
  <c r="G2535" i="1"/>
  <c r="G2536" i="1"/>
  <c r="G2537" i="1"/>
  <c r="G2538" i="1"/>
  <c r="G2539" i="1"/>
  <c r="G2540" i="1"/>
  <c r="G2541" i="1"/>
  <c r="G2542" i="1"/>
  <c r="G2543" i="1"/>
  <c r="G2544" i="1"/>
  <c r="G2545" i="1"/>
  <c r="G2546" i="1"/>
  <c r="G2547" i="1"/>
  <c r="G2548" i="1"/>
  <c r="G2549" i="1"/>
  <c r="G2550" i="1"/>
  <c r="G2551" i="1"/>
  <c r="G2552" i="1"/>
  <c r="G2553" i="1"/>
  <c r="G2554" i="1"/>
  <c r="G2555" i="1"/>
  <c r="G2556" i="1"/>
  <c r="G2557" i="1"/>
  <c r="G2558" i="1"/>
  <c r="G2559" i="1"/>
  <c r="G2560" i="1"/>
  <c r="G2561" i="1"/>
  <c r="G2562" i="1"/>
  <c r="G2563" i="1"/>
  <c r="G2564" i="1"/>
  <c r="G2565" i="1"/>
  <c r="G2566" i="1"/>
  <c r="G2567" i="1"/>
  <c r="G2568" i="1"/>
  <c r="G2569" i="1"/>
  <c r="G2570" i="1"/>
  <c r="G2571" i="1"/>
  <c r="G2572" i="1"/>
  <c r="G2573" i="1"/>
  <c r="G2574" i="1"/>
  <c r="G2575" i="1"/>
  <c r="G2576" i="1"/>
  <c r="G2577" i="1"/>
  <c r="G2578" i="1"/>
  <c r="G2579" i="1"/>
  <c r="G2580" i="1"/>
  <c r="G2581" i="1"/>
  <c r="G2582" i="1"/>
  <c r="G2583" i="1"/>
  <c r="G2584" i="1"/>
  <c r="G2585" i="1"/>
  <c r="G2586" i="1"/>
  <c r="G2587" i="1"/>
  <c r="G2588" i="1"/>
  <c r="G2589" i="1"/>
  <c r="G2590" i="1"/>
  <c r="G2591" i="1"/>
  <c r="G2592" i="1"/>
  <c r="G2593" i="1"/>
  <c r="G2594" i="1"/>
  <c r="G2595" i="1"/>
  <c r="G2596" i="1"/>
  <c r="G2597" i="1"/>
  <c r="G2598" i="1"/>
  <c r="G2599" i="1"/>
  <c r="G2600" i="1"/>
  <c r="G2601" i="1"/>
  <c r="G2602" i="1"/>
  <c r="G2603" i="1"/>
  <c r="G2604" i="1"/>
  <c r="G2605" i="1"/>
  <c r="G2606" i="1"/>
  <c r="G2607" i="1"/>
  <c r="G2608" i="1"/>
  <c r="G2609" i="1"/>
  <c r="G2610" i="1"/>
  <c r="G2611" i="1"/>
  <c r="G2612" i="1"/>
  <c r="G2613" i="1"/>
  <c r="G2614" i="1"/>
  <c r="G2615" i="1"/>
  <c r="G2616" i="1"/>
  <c r="G2617" i="1"/>
  <c r="G2618" i="1"/>
  <c r="G2619" i="1"/>
  <c r="G2620" i="1"/>
  <c r="G2621" i="1"/>
  <c r="G2622" i="1"/>
  <c r="G2623" i="1"/>
  <c r="G2624" i="1"/>
  <c r="G2625" i="1"/>
  <c r="G2626" i="1"/>
  <c r="G2627" i="1"/>
  <c r="G2628" i="1"/>
  <c r="G2629" i="1"/>
  <c r="G2630" i="1"/>
  <c r="G2631" i="1"/>
  <c r="G2632" i="1"/>
  <c r="G2633" i="1"/>
  <c r="G2634" i="1"/>
  <c r="G2635" i="1"/>
  <c r="G2636" i="1"/>
  <c r="G2637" i="1"/>
  <c r="G2638" i="1"/>
  <c r="G2639" i="1"/>
  <c r="G2640" i="1"/>
  <c r="G2641" i="1"/>
  <c r="G2642" i="1"/>
  <c r="G2643" i="1"/>
  <c r="G2644" i="1"/>
  <c r="G2645" i="1"/>
  <c r="G2646" i="1"/>
  <c r="G2647" i="1"/>
  <c r="G2648" i="1"/>
  <c r="G2649" i="1"/>
  <c r="G2650" i="1"/>
  <c r="G2651" i="1"/>
  <c r="G2652" i="1"/>
  <c r="G2653" i="1"/>
  <c r="G2654" i="1"/>
  <c r="G2655" i="1"/>
  <c r="G2656" i="1"/>
  <c r="G2657" i="1"/>
  <c r="G2658" i="1"/>
  <c r="G2659" i="1"/>
  <c r="G2660" i="1"/>
  <c r="G2661" i="1"/>
  <c r="G2662" i="1"/>
  <c r="G2663" i="1"/>
  <c r="G2664" i="1"/>
  <c r="G2665" i="1"/>
  <c r="G2666" i="1"/>
  <c r="G2667" i="1"/>
  <c r="G2668" i="1"/>
  <c r="G2669" i="1"/>
  <c r="G2670" i="1"/>
  <c r="G2671" i="1"/>
  <c r="G2672" i="1"/>
  <c r="G2673" i="1"/>
  <c r="G2674" i="1"/>
  <c r="G2675" i="1"/>
  <c r="G2676" i="1"/>
  <c r="G2677" i="1"/>
  <c r="G2678" i="1"/>
  <c r="G2679" i="1"/>
  <c r="G2680" i="1"/>
  <c r="G2681" i="1"/>
  <c r="G2682" i="1"/>
  <c r="G2683" i="1"/>
  <c r="G2684" i="1"/>
  <c r="G2685" i="1"/>
  <c r="G2686" i="1"/>
  <c r="G2687" i="1"/>
  <c r="G2688" i="1"/>
  <c r="G2689" i="1"/>
  <c r="G2690" i="1"/>
  <c r="G2691" i="1"/>
  <c r="G2692" i="1"/>
  <c r="G2693" i="1"/>
  <c r="G2694" i="1"/>
  <c r="G2695" i="1"/>
  <c r="G2696" i="1"/>
  <c r="G2697" i="1"/>
  <c r="G2698" i="1"/>
  <c r="G2699" i="1"/>
  <c r="G2700" i="1"/>
  <c r="G2701" i="1"/>
  <c r="G2702" i="1"/>
  <c r="G2703" i="1"/>
  <c r="G2704" i="1"/>
  <c r="G2705" i="1"/>
  <c r="G2706" i="1"/>
  <c r="G2707" i="1"/>
  <c r="G2708" i="1"/>
  <c r="G2709" i="1"/>
  <c r="G2710" i="1"/>
  <c r="G2711" i="1"/>
  <c r="G2712" i="1"/>
  <c r="G2713" i="1"/>
  <c r="G2714" i="1"/>
  <c r="G2715" i="1"/>
  <c r="G2716" i="1"/>
  <c r="G2717" i="1"/>
  <c r="G2718" i="1"/>
  <c r="G2719" i="1"/>
  <c r="G2720" i="1"/>
  <c r="G2721" i="1"/>
  <c r="G2722" i="1"/>
  <c r="G2723" i="1"/>
  <c r="G2724" i="1"/>
  <c r="G2725" i="1"/>
  <c r="G2726" i="1"/>
  <c r="G2727" i="1"/>
  <c r="G2728" i="1"/>
  <c r="G2729" i="1"/>
  <c r="G2730" i="1"/>
  <c r="G2731" i="1"/>
  <c r="G2732" i="1"/>
  <c r="G2733" i="1"/>
  <c r="G2734" i="1"/>
  <c r="G2735" i="1"/>
  <c r="G2736" i="1"/>
  <c r="G2737" i="1"/>
  <c r="G2738" i="1"/>
  <c r="G2739" i="1"/>
  <c r="G2740" i="1"/>
  <c r="G2741" i="1"/>
  <c r="G2742" i="1"/>
  <c r="G2743" i="1"/>
  <c r="G2744" i="1"/>
  <c r="G2745" i="1"/>
  <c r="G2746" i="1"/>
  <c r="G2747" i="1"/>
  <c r="G2748" i="1"/>
  <c r="G2749" i="1"/>
  <c r="G2750" i="1"/>
  <c r="G2751" i="1"/>
  <c r="G2752" i="1"/>
  <c r="G2753" i="1"/>
  <c r="G2754" i="1"/>
  <c r="G2755" i="1"/>
  <c r="G2756" i="1"/>
  <c r="G2757" i="1"/>
  <c r="G2758" i="1"/>
  <c r="G2759" i="1"/>
  <c r="G2760" i="1"/>
  <c r="G2761" i="1"/>
  <c r="G2762" i="1"/>
  <c r="G2763" i="1"/>
  <c r="G2764" i="1"/>
  <c r="G2765" i="1"/>
  <c r="G2766" i="1"/>
  <c r="G2767" i="1"/>
  <c r="G2768" i="1"/>
  <c r="G2769" i="1"/>
  <c r="G2770" i="1"/>
  <c r="G2771" i="1"/>
  <c r="G2772" i="1"/>
  <c r="G2773" i="1"/>
  <c r="G2774" i="1"/>
  <c r="G2775" i="1"/>
  <c r="G2776" i="1"/>
  <c r="G2777" i="1"/>
  <c r="G2778" i="1"/>
  <c r="G2779" i="1"/>
  <c r="G2780" i="1"/>
  <c r="G2781" i="1"/>
  <c r="G2782" i="1"/>
  <c r="G2783" i="1"/>
  <c r="G2784" i="1"/>
  <c r="G2785" i="1"/>
  <c r="G2786" i="1"/>
  <c r="G2787" i="1"/>
  <c r="G2788" i="1"/>
  <c r="G2789" i="1"/>
  <c r="G2790" i="1"/>
  <c r="G2791" i="1"/>
  <c r="G2792" i="1"/>
  <c r="G2793" i="1"/>
  <c r="G2794" i="1"/>
  <c r="G2795" i="1"/>
  <c r="G2796" i="1"/>
  <c r="G2797" i="1"/>
  <c r="G2798" i="1"/>
  <c r="G2799" i="1"/>
  <c r="G2800" i="1"/>
  <c r="G2801" i="1"/>
  <c r="G2802" i="1"/>
  <c r="G2803" i="1"/>
  <c r="G2804" i="1"/>
  <c r="G2805" i="1"/>
  <c r="G2806" i="1"/>
  <c r="G2807" i="1"/>
  <c r="G2808" i="1"/>
  <c r="G2809" i="1"/>
  <c r="G2810" i="1"/>
  <c r="G2811" i="1"/>
  <c r="G2812" i="1"/>
  <c r="G2813" i="1"/>
  <c r="G2814" i="1"/>
  <c r="G2815" i="1"/>
  <c r="G2816" i="1"/>
  <c r="G2817" i="1"/>
  <c r="G2818" i="1"/>
  <c r="G2819" i="1"/>
  <c r="G2820" i="1"/>
  <c r="G2821" i="1"/>
  <c r="G2822" i="1"/>
  <c r="G2823" i="1"/>
  <c r="G2824" i="1"/>
  <c r="G2825" i="1"/>
  <c r="G2826" i="1"/>
  <c r="G2827" i="1"/>
  <c r="G2828" i="1"/>
  <c r="G2829" i="1"/>
  <c r="G2830" i="1"/>
  <c r="G2831" i="1"/>
  <c r="G2832" i="1"/>
  <c r="G2833" i="1"/>
  <c r="G2834" i="1"/>
  <c r="G2835" i="1"/>
  <c r="G2836" i="1"/>
  <c r="G2837" i="1"/>
  <c r="G2838" i="1"/>
  <c r="G2839" i="1"/>
  <c r="G2840" i="1"/>
  <c r="G2841" i="1"/>
  <c r="G2842" i="1"/>
  <c r="G2843" i="1"/>
  <c r="G2844" i="1"/>
  <c r="G2845" i="1"/>
  <c r="G2846" i="1"/>
  <c r="G2847" i="1"/>
  <c r="G2848" i="1"/>
  <c r="G2849" i="1"/>
  <c r="G2850" i="1"/>
  <c r="G2851" i="1"/>
  <c r="G2852" i="1"/>
  <c r="G2853" i="1"/>
  <c r="G2854" i="1"/>
  <c r="G2855" i="1"/>
  <c r="G2856" i="1"/>
  <c r="G2857" i="1"/>
  <c r="G2858" i="1"/>
  <c r="G2859" i="1"/>
  <c r="G2860" i="1"/>
  <c r="G2861" i="1"/>
  <c r="G2862" i="1"/>
  <c r="G2863" i="1"/>
  <c r="G2864" i="1"/>
  <c r="G2865" i="1"/>
  <c r="G2866" i="1"/>
  <c r="G2867" i="1"/>
  <c r="G2868" i="1"/>
  <c r="G2869" i="1"/>
  <c r="G2870" i="1"/>
  <c r="G2871" i="1"/>
  <c r="G2872" i="1"/>
  <c r="G2873" i="1"/>
  <c r="G2874" i="1"/>
  <c r="G2875" i="1"/>
  <c r="G2876" i="1"/>
  <c r="G2877" i="1"/>
  <c r="G2878" i="1"/>
  <c r="G2879" i="1"/>
  <c r="G2880" i="1"/>
  <c r="G2881" i="1"/>
  <c r="G2882" i="1"/>
  <c r="G2883" i="1"/>
  <c r="G2884" i="1"/>
  <c r="G2885" i="1"/>
  <c r="G2886" i="1"/>
  <c r="G2887" i="1"/>
  <c r="G2888" i="1"/>
  <c r="G2889" i="1"/>
  <c r="G2890" i="1"/>
  <c r="G2891" i="1"/>
  <c r="G2892" i="1"/>
  <c r="G2893" i="1"/>
  <c r="G2894" i="1"/>
  <c r="G2895" i="1"/>
  <c r="G2896" i="1"/>
  <c r="G2897" i="1"/>
  <c r="G2898" i="1"/>
  <c r="G2899" i="1"/>
  <c r="G2900" i="1"/>
  <c r="G2901" i="1"/>
  <c r="G2902" i="1"/>
  <c r="G2903" i="1"/>
  <c r="G2904" i="1"/>
  <c r="G2905" i="1"/>
  <c r="G2906" i="1"/>
  <c r="G2907" i="1"/>
  <c r="G2908" i="1"/>
  <c r="G2909" i="1"/>
  <c r="G2910" i="1"/>
  <c r="G2911" i="1"/>
  <c r="G2912" i="1"/>
  <c r="G2913" i="1"/>
  <c r="G2914" i="1"/>
  <c r="G2915" i="1"/>
  <c r="G2916" i="1"/>
  <c r="G2917" i="1"/>
  <c r="G2918" i="1"/>
  <c r="G2919" i="1"/>
  <c r="G2920" i="1"/>
  <c r="G2921" i="1"/>
  <c r="G2922" i="1"/>
  <c r="G2923" i="1"/>
  <c r="G2924" i="1"/>
  <c r="G2925" i="1"/>
  <c r="G2926" i="1"/>
  <c r="G2927" i="1"/>
  <c r="G2928" i="1"/>
  <c r="G2929" i="1"/>
  <c r="G2930" i="1"/>
  <c r="G2931" i="1"/>
  <c r="G2932" i="1"/>
  <c r="G2933" i="1"/>
  <c r="G2934" i="1"/>
  <c r="G2935" i="1"/>
  <c r="G2936" i="1"/>
  <c r="G2937" i="1"/>
  <c r="G2938" i="1"/>
  <c r="G2939" i="1"/>
  <c r="G2940" i="1"/>
  <c r="G2941" i="1"/>
  <c r="G2942" i="1"/>
  <c r="G2943" i="1"/>
  <c r="G2944" i="1"/>
  <c r="G2945" i="1"/>
  <c r="G2946" i="1"/>
  <c r="G2947" i="1"/>
  <c r="G2948" i="1"/>
  <c r="G2949" i="1"/>
  <c r="G2950" i="1"/>
  <c r="G2951" i="1"/>
  <c r="G2952" i="1"/>
  <c r="G2953" i="1"/>
  <c r="G2954" i="1"/>
  <c r="G2955" i="1"/>
  <c r="G2956" i="1"/>
  <c r="G2957" i="1"/>
  <c r="G2958" i="1"/>
  <c r="G2959" i="1"/>
  <c r="G2960" i="1"/>
  <c r="G2961" i="1"/>
  <c r="G2962" i="1"/>
  <c r="G2963" i="1"/>
  <c r="G2964" i="1"/>
  <c r="G2965" i="1"/>
  <c r="G2966" i="1"/>
  <c r="G2967" i="1"/>
  <c r="G2968" i="1"/>
  <c r="G2969" i="1"/>
  <c r="G2970" i="1"/>
  <c r="G2971" i="1"/>
  <c r="G2972" i="1"/>
  <c r="G2973" i="1"/>
  <c r="G2974" i="1"/>
  <c r="G2975" i="1"/>
  <c r="G2976" i="1"/>
  <c r="G2977" i="1"/>
  <c r="G2978" i="1"/>
  <c r="G2979" i="1"/>
  <c r="G2980" i="1"/>
  <c r="G2981" i="1"/>
  <c r="G2982" i="1"/>
  <c r="G2983" i="1"/>
  <c r="G2984" i="1"/>
  <c r="G2985" i="1"/>
  <c r="G2986" i="1"/>
  <c r="G2987" i="1"/>
  <c r="G2988" i="1"/>
  <c r="G2989" i="1"/>
  <c r="G2990" i="1"/>
  <c r="G2991" i="1"/>
  <c r="G2992" i="1"/>
  <c r="G2993" i="1"/>
  <c r="G2994" i="1"/>
  <c r="G2995" i="1"/>
  <c r="G2996" i="1"/>
  <c r="G2997" i="1"/>
  <c r="G2998" i="1"/>
  <c r="G2999" i="1"/>
  <c r="G3000" i="1"/>
  <c r="G3001" i="1"/>
  <c r="G3002" i="1"/>
  <c r="G3003" i="1"/>
  <c r="G3004" i="1"/>
  <c r="G3005" i="1"/>
  <c r="G3006" i="1"/>
  <c r="G3007" i="1"/>
  <c r="G3008" i="1"/>
  <c r="G3009" i="1"/>
  <c r="G3010" i="1"/>
  <c r="G3011" i="1"/>
  <c r="G3012" i="1"/>
  <c r="G3013" i="1"/>
  <c r="G3014" i="1"/>
  <c r="G3015" i="1"/>
  <c r="G3016" i="1"/>
  <c r="G3017" i="1"/>
  <c r="G3018" i="1"/>
  <c r="G3019" i="1"/>
  <c r="G3020" i="1"/>
  <c r="G3021" i="1"/>
  <c r="G3022" i="1"/>
  <c r="G3023" i="1"/>
  <c r="G3024" i="1"/>
  <c r="G3025" i="1"/>
  <c r="G3026" i="1"/>
  <c r="G3027" i="1"/>
  <c r="G3028" i="1"/>
  <c r="G3029" i="1"/>
  <c r="G3030" i="1"/>
  <c r="G3031" i="1"/>
  <c r="G3032" i="1"/>
  <c r="G3033" i="1"/>
  <c r="G3034" i="1"/>
  <c r="G3035" i="1"/>
  <c r="G3036" i="1"/>
  <c r="G3037" i="1"/>
  <c r="G3038" i="1"/>
  <c r="G3039" i="1"/>
  <c r="G3040" i="1"/>
  <c r="G3041" i="1"/>
  <c r="G3042" i="1"/>
  <c r="G3043" i="1"/>
  <c r="G3044" i="1"/>
  <c r="G3045" i="1"/>
  <c r="G3046" i="1"/>
  <c r="G3047" i="1"/>
  <c r="G3048" i="1"/>
  <c r="G3049" i="1"/>
  <c r="G3050" i="1"/>
  <c r="G3051" i="1"/>
  <c r="G3052" i="1"/>
  <c r="G3053" i="1"/>
  <c r="G3054" i="1"/>
  <c r="G3055" i="1"/>
  <c r="G3056" i="1"/>
  <c r="G3057" i="1"/>
  <c r="G3058" i="1"/>
  <c r="G3059" i="1"/>
  <c r="G3060" i="1"/>
  <c r="G3061" i="1"/>
  <c r="G3062" i="1"/>
  <c r="G3063" i="1"/>
  <c r="G3064" i="1"/>
  <c r="G3065" i="1"/>
  <c r="G3066" i="1"/>
  <c r="G3067" i="1"/>
  <c r="G3068" i="1"/>
  <c r="G3069" i="1"/>
  <c r="G3070" i="1"/>
  <c r="G3071" i="1"/>
  <c r="G3072" i="1"/>
  <c r="G3073" i="1"/>
  <c r="G3074" i="1"/>
  <c r="G3075" i="1"/>
  <c r="G3076" i="1"/>
  <c r="G3077" i="1"/>
  <c r="G3078" i="1"/>
  <c r="G3079" i="1"/>
  <c r="G3080" i="1"/>
  <c r="G3081" i="1"/>
  <c r="G3082" i="1"/>
  <c r="G3083" i="1"/>
  <c r="G3084" i="1"/>
  <c r="G3085" i="1"/>
  <c r="G3086" i="1"/>
  <c r="G3087" i="1"/>
  <c r="G3088" i="1"/>
  <c r="G3089" i="1"/>
  <c r="G3090" i="1"/>
  <c r="G3091" i="1"/>
  <c r="G3092" i="1"/>
  <c r="G3093" i="1"/>
  <c r="G3094" i="1"/>
  <c r="G3095" i="1"/>
  <c r="G3096" i="1"/>
  <c r="G3097" i="1"/>
  <c r="G3098" i="1"/>
  <c r="G3099" i="1"/>
  <c r="G3100" i="1"/>
  <c r="G3101" i="1"/>
  <c r="G3102" i="1"/>
  <c r="G3103" i="1"/>
  <c r="G3104" i="1"/>
  <c r="G3105" i="1"/>
  <c r="G3106" i="1"/>
  <c r="G3107" i="1"/>
  <c r="G3108" i="1"/>
  <c r="G3109" i="1"/>
  <c r="G3110" i="1"/>
  <c r="G3111" i="1"/>
  <c r="G3112" i="1"/>
  <c r="G3113" i="1"/>
  <c r="G3114" i="1"/>
  <c r="G3115" i="1"/>
  <c r="G3116" i="1"/>
  <c r="G3117" i="1"/>
  <c r="G3118" i="1"/>
  <c r="G3119" i="1"/>
  <c r="G3120" i="1"/>
  <c r="G3121" i="1"/>
  <c r="G3122" i="1"/>
  <c r="G3123" i="1"/>
  <c r="G3124" i="1"/>
  <c r="G3125" i="1"/>
  <c r="G3126" i="1"/>
  <c r="G3127" i="1"/>
  <c r="G3128" i="1"/>
  <c r="G3129" i="1"/>
  <c r="G3130" i="1"/>
  <c r="G3131" i="1"/>
  <c r="G3132" i="1"/>
  <c r="G3133" i="1"/>
  <c r="G3134" i="1"/>
  <c r="G3135" i="1"/>
  <c r="G3136" i="1"/>
  <c r="G3137" i="1"/>
  <c r="G3138" i="1"/>
  <c r="G3139" i="1"/>
  <c r="G3140" i="1"/>
  <c r="G3141" i="1"/>
  <c r="G3142" i="1"/>
  <c r="G3143" i="1"/>
  <c r="G3144" i="1"/>
  <c r="G3145" i="1"/>
  <c r="G3146" i="1"/>
  <c r="G3147" i="1"/>
  <c r="G3148" i="1"/>
  <c r="G3149" i="1"/>
  <c r="G3150" i="1"/>
  <c r="G3151" i="1"/>
  <c r="G3152" i="1"/>
  <c r="G3153" i="1"/>
  <c r="G3154" i="1"/>
  <c r="G3155" i="1"/>
  <c r="G3156" i="1"/>
  <c r="G3157" i="1"/>
  <c r="G3158" i="1"/>
  <c r="G3159" i="1"/>
  <c r="G3160" i="1"/>
  <c r="G3161" i="1"/>
  <c r="G3162" i="1"/>
  <c r="G3163" i="1"/>
  <c r="G3164" i="1"/>
  <c r="G3165" i="1"/>
  <c r="G3166" i="1"/>
  <c r="G3167" i="1"/>
  <c r="G3168" i="1"/>
  <c r="G3169" i="1"/>
  <c r="G3170" i="1"/>
  <c r="G3171" i="1"/>
  <c r="G3172" i="1"/>
  <c r="G3173" i="1"/>
  <c r="G3174" i="1"/>
  <c r="G3175" i="1"/>
  <c r="G3176" i="1"/>
  <c r="G3177" i="1"/>
  <c r="G3178" i="1"/>
  <c r="G3179" i="1"/>
  <c r="G3180" i="1"/>
  <c r="G3181" i="1"/>
  <c r="G3182" i="1"/>
  <c r="G3183" i="1"/>
  <c r="G3184" i="1"/>
  <c r="G3185" i="1"/>
  <c r="G3186" i="1"/>
  <c r="G3187" i="1"/>
  <c r="G3188" i="1"/>
  <c r="G3189" i="1"/>
  <c r="G3190" i="1"/>
  <c r="G3191" i="1"/>
  <c r="G3192" i="1"/>
  <c r="G3193" i="1"/>
  <c r="G3194" i="1"/>
  <c r="G3195" i="1"/>
  <c r="G3196" i="1"/>
  <c r="G3197" i="1"/>
  <c r="G3198" i="1"/>
  <c r="G3199" i="1"/>
  <c r="G3200" i="1"/>
  <c r="G3201" i="1"/>
  <c r="G3202" i="1"/>
  <c r="G3203" i="1"/>
  <c r="G3204" i="1"/>
  <c r="G3205" i="1"/>
  <c r="G3206" i="1"/>
  <c r="G3207" i="1"/>
  <c r="G3208" i="1"/>
  <c r="G3209" i="1"/>
  <c r="G3210" i="1"/>
  <c r="G3211" i="1"/>
  <c r="G3212" i="1"/>
  <c r="G3213" i="1"/>
  <c r="G3214" i="1"/>
  <c r="G3215" i="1"/>
  <c r="G3216" i="1"/>
  <c r="G3217" i="1"/>
  <c r="G3218" i="1"/>
  <c r="G3219" i="1"/>
  <c r="G3220" i="1"/>
  <c r="G3221" i="1"/>
  <c r="G3222" i="1"/>
  <c r="G3223" i="1"/>
  <c r="G3224" i="1"/>
  <c r="G3225" i="1"/>
  <c r="G3226" i="1"/>
  <c r="G3227" i="1"/>
  <c r="G3228" i="1"/>
  <c r="G3229" i="1"/>
  <c r="G3230" i="1"/>
  <c r="G3231" i="1"/>
  <c r="G3232" i="1"/>
  <c r="G3233" i="1"/>
  <c r="G3234" i="1"/>
  <c r="G3235" i="1"/>
  <c r="G3236" i="1"/>
  <c r="G3237" i="1"/>
  <c r="G3238" i="1"/>
  <c r="G3239" i="1"/>
  <c r="G3240" i="1"/>
  <c r="G3241" i="1"/>
  <c r="G3242" i="1"/>
  <c r="G3243" i="1"/>
  <c r="G3244" i="1"/>
  <c r="G3245" i="1"/>
  <c r="G3246" i="1"/>
  <c r="G3247" i="1"/>
  <c r="G3248" i="1"/>
  <c r="G3249" i="1"/>
  <c r="G3250" i="1"/>
  <c r="G3251" i="1"/>
  <c r="G3252" i="1"/>
  <c r="G3253" i="1"/>
  <c r="G3254" i="1"/>
  <c r="G3255" i="1"/>
  <c r="G3256" i="1"/>
  <c r="G3257" i="1"/>
  <c r="G3258" i="1"/>
  <c r="G3259" i="1"/>
  <c r="G3260" i="1"/>
  <c r="G3261" i="1"/>
  <c r="G3262" i="1"/>
  <c r="G3263" i="1"/>
  <c r="G3264" i="1"/>
  <c r="G3265" i="1"/>
  <c r="G3266" i="1"/>
  <c r="G3267" i="1"/>
  <c r="G3268" i="1"/>
  <c r="G3269" i="1"/>
  <c r="G3270" i="1"/>
  <c r="G3271" i="1"/>
  <c r="G3272" i="1"/>
  <c r="G3273" i="1"/>
  <c r="G3274" i="1"/>
  <c r="G3275" i="1"/>
  <c r="G3276" i="1"/>
  <c r="G3277" i="1"/>
  <c r="G3278" i="1"/>
  <c r="G3279" i="1"/>
  <c r="G3280" i="1"/>
  <c r="G3281" i="1"/>
  <c r="G3282" i="1"/>
  <c r="G3283" i="1"/>
  <c r="G3284" i="1"/>
  <c r="G3285" i="1"/>
  <c r="G3286" i="1"/>
  <c r="G3287" i="1"/>
  <c r="G3288" i="1"/>
  <c r="G3289" i="1"/>
  <c r="G3290" i="1"/>
  <c r="G3291" i="1"/>
  <c r="G3292" i="1"/>
  <c r="G3293" i="1"/>
  <c r="G3294" i="1"/>
  <c r="G3295" i="1"/>
  <c r="G3296" i="1"/>
  <c r="G3297" i="1"/>
  <c r="G3298" i="1"/>
  <c r="G3299" i="1"/>
  <c r="G3300" i="1"/>
  <c r="G3301" i="1"/>
  <c r="G3302" i="1"/>
  <c r="G3303" i="1"/>
  <c r="G3304" i="1"/>
  <c r="G3305" i="1"/>
  <c r="G3306" i="1"/>
  <c r="G3307" i="1"/>
  <c r="G3308" i="1"/>
  <c r="G3309" i="1"/>
  <c r="G3310" i="1"/>
  <c r="G3311" i="1"/>
  <c r="G3312" i="1"/>
  <c r="G3313" i="1"/>
  <c r="G3314" i="1"/>
  <c r="G3315" i="1"/>
  <c r="G3316" i="1"/>
  <c r="G3317" i="1"/>
  <c r="G3318" i="1"/>
  <c r="G3319" i="1"/>
  <c r="G3320" i="1"/>
  <c r="G3321" i="1"/>
  <c r="G3322" i="1"/>
  <c r="G3323" i="1"/>
  <c r="G3324" i="1"/>
  <c r="G3325" i="1"/>
  <c r="G3326" i="1"/>
  <c r="G3327" i="1"/>
  <c r="G3328" i="1"/>
  <c r="G3329" i="1"/>
  <c r="G3330" i="1"/>
  <c r="G3331" i="1"/>
  <c r="G3332" i="1"/>
  <c r="G3333" i="1"/>
  <c r="G3334" i="1"/>
  <c r="G3335" i="1"/>
  <c r="G3336" i="1"/>
  <c r="G3337" i="1"/>
  <c r="G3338" i="1"/>
  <c r="G3339" i="1"/>
  <c r="G3340" i="1"/>
  <c r="G3341" i="1"/>
  <c r="G3342" i="1"/>
  <c r="G3343" i="1"/>
  <c r="G3344" i="1"/>
  <c r="G3345" i="1"/>
  <c r="G3346" i="1"/>
  <c r="G3347" i="1"/>
  <c r="G3348" i="1"/>
  <c r="G3349" i="1"/>
  <c r="G3350" i="1"/>
  <c r="G3351" i="1"/>
  <c r="G3352" i="1"/>
  <c r="G3353" i="1"/>
  <c r="G3354" i="1"/>
  <c r="G3355" i="1"/>
  <c r="G3356" i="1"/>
  <c r="G3357" i="1"/>
  <c r="G3358" i="1"/>
  <c r="G3359" i="1"/>
  <c r="G3360" i="1"/>
  <c r="G3361" i="1"/>
  <c r="G3362" i="1"/>
  <c r="G3363" i="1"/>
  <c r="G3364" i="1"/>
  <c r="G3365" i="1"/>
  <c r="G3366" i="1"/>
  <c r="G3367" i="1"/>
  <c r="G3368" i="1"/>
  <c r="G3369" i="1"/>
  <c r="G3370" i="1"/>
  <c r="G3371" i="1"/>
  <c r="G3372" i="1"/>
  <c r="G3373" i="1"/>
  <c r="G3374" i="1"/>
  <c r="G3375" i="1"/>
  <c r="G3376" i="1"/>
  <c r="G3377" i="1"/>
  <c r="G3378" i="1"/>
  <c r="G3379" i="1"/>
  <c r="G3380" i="1"/>
  <c r="G3381" i="1"/>
  <c r="G3382" i="1"/>
  <c r="G3383" i="1"/>
  <c r="G3384" i="1"/>
  <c r="G3385" i="1"/>
  <c r="G3386" i="1"/>
  <c r="G3387" i="1"/>
  <c r="G3388" i="1"/>
  <c r="G3389" i="1"/>
  <c r="G3390" i="1"/>
  <c r="G3391" i="1"/>
  <c r="G3392" i="1"/>
  <c r="G3393" i="1"/>
  <c r="G3394" i="1"/>
  <c r="G3395" i="1"/>
  <c r="G3396" i="1"/>
  <c r="G3397" i="1"/>
  <c r="G3398" i="1"/>
  <c r="G3399" i="1"/>
  <c r="G3400" i="1"/>
  <c r="G3401" i="1"/>
  <c r="G3402" i="1"/>
  <c r="G3403" i="1"/>
  <c r="G3404" i="1"/>
  <c r="G3405" i="1"/>
  <c r="G3406" i="1"/>
  <c r="G3407" i="1"/>
  <c r="G3408" i="1"/>
  <c r="G3409" i="1"/>
  <c r="G3410" i="1"/>
  <c r="G3411" i="1"/>
  <c r="G3412" i="1"/>
  <c r="G3413" i="1"/>
  <c r="G3414" i="1"/>
  <c r="G3415" i="1"/>
  <c r="G3416" i="1"/>
  <c r="G3417" i="1"/>
  <c r="G3418" i="1"/>
  <c r="G3419" i="1"/>
  <c r="G3420" i="1"/>
  <c r="G3421" i="1"/>
  <c r="G3422" i="1"/>
  <c r="G3423" i="1"/>
  <c r="G3424" i="1"/>
  <c r="G3425" i="1"/>
  <c r="G3426" i="1"/>
  <c r="G3427" i="1"/>
  <c r="G3428" i="1"/>
  <c r="G3429" i="1"/>
  <c r="G3430" i="1"/>
  <c r="G3431" i="1"/>
  <c r="G3432" i="1"/>
  <c r="G3433" i="1"/>
  <c r="G3434" i="1"/>
  <c r="G3435" i="1"/>
  <c r="G3436" i="1"/>
  <c r="G3437" i="1"/>
  <c r="G3438" i="1"/>
  <c r="G3439" i="1"/>
  <c r="G3440" i="1"/>
  <c r="G3441" i="1"/>
  <c r="G3442" i="1"/>
  <c r="G3443" i="1"/>
  <c r="G3444" i="1"/>
  <c r="G3445" i="1"/>
  <c r="G3446" i="1"/>
  <c r="G3447" i="1"/>
  <c r="G3448" i="1"/>
  <c r="G3449" i="1"/>
  <c r="G3450" i="1"/>
  <c r="G3451" i="1"/>
  <c r="G3452" i="1"/>
  <c r="G3453" i="1"/>
  <c r="G3454" i="1"/>
  <c r="G3455" i="1"/>
  <c r="G3456" i="1"/>
  <c r="G3457" i="1"/>
  <c r="G3458" i="1"/>
  <c r="G3459" i="1"/>
  <c r="G3460" i="1"/>
  <c r="G3461" i="1"/>
  <c r="G3462" i="1"/>
  <c r="G3463" i="1"/>
  <c r="G3464" i="1"/>
  <c r="G3465" i="1"/>
  <c r="G3466" i="1"/>
  <c r="G3467" i="1"/>
  <c r="G3468" i="1"/>
  <c r="G3469" i="1"/>
  <c r="G3470" i="1"/>
  <c r="G3471" i="1"/>
  <c r="G3472" i="1"/>
  <c r="G3473" i="1"/>
  <c r="G3474" i="1"/>
  <c r="G3475" i="1"/>
  <c r="G3476" i="1"/>
  <c r="G3477" i="1"/>
  <c r="G3478" i="1"/>
  <c r="G3479" i="1"/>
  <c r="G3480" i="1"/>
  <c r="G3481" i="1"/>
  <c r="G3482" i="1"/>
  <c r="G3483" i="1"/>
  <c r="G3484" i="1"/>
  <c r="G3485" i="1"/>
  <c r="G3486" i="1"/>
  <c r="G3487" i="1"/>
  <c r="G3488" i="1"/>
  <c r="G3489" i="1"/>
  <c r="G3490" i="1"/>
  <c r="G3491" i="1"/>
  <c r="G3492" i="1"/>
  <c r="G3493" i="1"/>
  <c r="G3494" i="1"/>
  <c r="G3495" i="1"/>
  <c r="G3496" i="1"/>
  <c r="G3497" i="1"/>
  <c r="G3498" i="1"/>
  <c r="G3499" i="1"/>
  <c r="G3500" i="1"/>
  <c r="G3501" i="1"/>
  <c r="G3502" i="1"/>
  <c r="G3503" i="1"/>
  <c r="G3504" i="1"/>
  <c r="G3505" i="1"/>
  <c r="G3506" i="1"/>
  <c r="G3507" i="1"/>
  <c r="G3508" i="1"/>
  <c r="G3509" i="1"/>
  <c r="G3510" i="1"/>
  <c r="G3511" i="1"/>
  <c r="G3512" i="1"/>
  <c r="G3513" i="1"/>
  <c r="G3514" i="1"/>
  <c r="G3515" i="1"/>
  <c r="G3516" i="1"/>
  <c r="G3517" i="1"/>
  <c r="G3518" i="1"/>
  <c r="G3519" i="1"/>
  <c r="G3520" i="1"/>
  <c r="G3521" i="1"/>
  <c r="G3522" i="1"/>
  <c r="G3523" i="1"/>
  <c r="G3524" i="1"/>
  <c r="G3525" i="1"/>
  <c r="G3526" i="1"/>
  <c r="G3527" i="1"/>
  <c r="G3528" i="1"/>
  <c r="G3529" i="1"/>
  <c r="G3530" i="1"/>
  <c r="G3531" i="1"/>
  <c r="G3532" i="1"/>
  <c r="G3533" i="1"/>
  <c r="G3534" i="1"/>
  <c r="G3535" i="1"/>
  <c r="G3536" i="1"/>
  <c r="G3537" i="1"/>
  <c r="G3538" i="1"/>
  <c r="G3539" i="1"/>
  <c r="G3540" i="1"/>
  <c r="G3541" i="1"/>
  <c r="G3542" i="1"/>
  <c r="G3543" i="1"/>
  <c r="G3544" i="1"/>
  <c r="G3545" i="1"/>
  <c r="G3546" i="1"/>
  <c r="G3547" i="1"/>
  <c r="G3548" i="1"/>
  <c r="G3549" i="1"/>
  <c r="G3550" i="1"/>
  <c r="G3551" i="1"/>
  <c r="G3552" i="1"/>
  <c r="G3553" i="1"/>
  <c r="G3554" i="1"/>
  <c r="G3555" i="1"/>
  <c r="G3556" i="1"/>
  <c r="G3557" i="1"/>
  <c r="G3558" i="1"/>
  <c r="G3559" i="1"/>
  <c r="G3560" i="1"/>
  <c r="G3561" i="1"/>
  <c r="G3562" i="1"/>
  <c r="G3563" i="1"/>
  <c r="G3564" i="1"/>
  <c r="G3565" i="1"/>
  <c r="G3566" i="1"/>
  <c r="G3567" i="1"/>
  <c r="G3568" i="1"/>
  <c r="G3569" i="1"/>
  <c r="G3570" i="1"/>
  <c r="G3571" i="1"/>
  <c r="G3572" i="1"/>
  <c r="G3573" i="1"/>
  <c r="G3574" i="1"/>
  <c r="G3575" i="1"/>
  <c r="G3576" i="1"/>
  <c r="G3577" i="1"/>
  <c r="G3578" i="1"/>
  <c r="G3579" i="1"/>
  <c r="G3580" i="1"/>
  <c r="G3581" i="1"/>
  <c r="G3582" i="1"/>
  <c r="G3583" i="1"/>
  <c r="G3584" i="1"/>
  <c r="G3585" i="1"/>
  <c r="G3586" i="1"/>
  <c r="G3587" i="1"/>
  <c r="G3588" i="1"/>
  <c r="G3589" i="1"/>
  <c r="G3590" i="1"/>
  <c r="G3591" i="1"/>
  <c r="G3592" i="1"/>
  <c r="G3593" i="1"/>
  <c r="G3594" i="1"/>
  <c r="G3595" i="1"/>
  <c r="G3596" i="1"/>
  <c r="G3597" i="1"/>
  <c r="G3598" i="1"/>
  <c r="G3599" i="1"/>
  <c r="G3600" i="1"/>
  <c r="G3601" i="1"/>
  <c r="G3602" i="1"/>
  <c r="G3603" i="1"/>
  <c r="G3604" i="1"/>
  <c r="G3605" i="1"/>
  <c r="G3606" i="1"/>
  <c r="G3607" i="1"/>
  <c r="G3608" i="1"/>
  <c r="G3609" i="1"/>
  <c r="G3610" i="1"/>
  <c r="G3611" i="1"/>
  <c r="G3612" i="1"/>
  <c r="G3613" i="1"/>
  <c r="G3614" i="1"/>
  <c r="G3615" i="1"/>
  <c r="G3616" i="1"/>
  <c r="G3617" i="1"/>
  <c r="G3618" i="1"/>
  <c r="G3619" i="1"/>
  <c r="G3620" i="1"/>
  <c r="G3621" i="1"/>
  <c r="G3622" i="1"/>
  <c r="G3623" i="1"/>
  <c r="G3624" i="1"/>
  <c r="G3625" i="1"/>
  <c r="G3626" i="1"/>
  <c r="G3627" i="1"/>
  <c r="G3628" i="1"/>
  <c r="G3629" i="1"/>
  <c r="G3630" i="1"/>
  <c r="G3631" i="1"/>
  <c r="G3632" i="1"/>
  <c r="G3633" i="1"/>
  <c r="G3634" i="1"/>
  <c r="G3635" i="1"/>
  <c r="G3636" i="1"/>
  <c r="G3637" i="1"/>
  <c r="G3638" i="1"/>
  <c r="G3639" i="1"/>
  <c r="G3640" i="1"/>
  <c r="G3641" i="1"/>
  <c r="G3642" i="1"/>
  <c r="G3643" i="1"/>
  <c r="G3644" i="1"/>
  <c r="G3645" i="1"/>
  <c r="G3646" i="1"/>
  <c r="G3647" i="1"/>
  <c r="G3648" i="1"/>
  <c r="G3649" i="1"/>
  <c r="G3650" i="1"/>
  <c r="G3651" i="1"/>
  <c r="G3652" i="1"/>
  <c r="G3653" i="1"/>
  <c r="G3654" i="1"/>
  <c r="G3655" i="1"/>
  <c r="G3656" i="1"/>
  <c r="G3657" i="1"/>
  <c r="G3658" i="1"/>
  <c r="G3659" i="1"/>
  <c r="G3660" i="1"/>
  <c r="G3661" i="1"/>
  <c r="G3662" i="1"/>
  <c r="G3663" i="1"/>
  <c r="G3664" i="1"/>
  <c r="G3665" i="1"/>
  <c r="G3666" i="1"/>
  <c r="G3667" i="1"/>
  <c r="G3668" i="1"/>
  <c r="G3669" i="1"/>
  <c r="G3670" i="1"/>
  <c r="G3671" i="1"/>
  <c r="G3672" i="1"/>
  <c r="G3673" i="1"/>
  <c r="G3674" i="1"/>
  <c r="G3675" i="1"/>
  <c r="G3676" i="1"/>
  <c r="G3677" i="1"/>
  <c r="G3678" i="1"/>
  <c r="G3679" i="1"/>
  <c r="G3680" i="1"/>
  <c r="G3681" i="1"/>
  <c r="G3682" i="1"/>
  <c r="G3683" i="1"/>
  <c r="G3684" i="1"/>
  <c r="G3685" i="1"/>
  <c r="G3686" i="1"/>
  <c r="G3687" i="1"/>
  <c r="G3688" i="1"/>
  <c r="G3689" i="1"/>
  <c r="G3690" i="1"/>
  <c r="G3691" i="1"/>
  <c r="G3692" i="1"/>
  <c r="G3693" i="1"/>
  <c r="G3694" i="1"/>
  <c r="G3695" i="1"/>
  <c r="G3696" i="1"/>
  <c r="G3697" i="1"/>
  <c r="G3698" i="1"/>
  <c r="G3699" i="1"/>
  <c r="G3700" i="1"/>
  <c r="G3701" i="1"/>
  <c r="G3702" i="1"/>
  <c r="G3703" i="1"/>
  <c r="G3704" i="1"/>
  <c r="G3705" i="1"/>
  <c r="G3706" i="1"/>
  <c r="G3707" i="1"/>
  <c r="G3708" i="1"/>
  <c r="G3709" i="1"/>
  <c r="G3710" i="1"/>
  <c r="G3711" i="1"/>
  <c r="G3712" i="1"/>
  <c r="G3713" i="1"/>
  <c r="G3714" i="1"/>
  <c r="G3715" i="1"/>
  <c r="G3716" i="1"/>
  <c r="G3717" i="1"/>
  <c r="G3718" i="1"/>
  <c r="G3719" i="1"/>
  <c r="G3720" i="1"/>
  <c r="G3721" i="1"/>
  <c r="G3722" i="1"/>
  <c r="G3723" i="1"/>
  <c r="G3724" i="1"/>
  <c r="G3725" i="1"/>
  <c r="G3726" i="1"/>
  <c r="G3727" i="1"/>
  <c r="G3728" i="1"/>
  <c r="G3729" i="1"/>
  <c r="G3730" i="1"/>
  <c r="G3731" i="1"/>
  <c r="G3732" i="1"/>
  <c r="G3733" i="1"/>
  <c r="G3734" i="1"/>
  <c r="G3735" i="1"/>
  <c r="G3736" i="1"/>
  <c r="G3737" i="1"/>
  <c r="G3738" i="1"/>
  <c r="G3739" i="1"/>
  <c r="G3740" i="1"/>
  <c r="G3741" i="1"/>
  <c r="G3742" i="1"/>
  <c r="G3743" i="1"/>
  <c r="G3744" i="1"/>
  <c r="G3745" i="1"/>
  <c r="G3746" i="1"/>
  <c r="G3747" i="1"/>
  <c r="G3748" i="1"/>
  <c r="G3749" i="1"/>
  <c r="G3750" i="1"/>
  <c r="G3751" i="1"/>
  <c r="G3752" i="1"/>
  <c r="G3753" i="1"/>
  <c r="G3754" i="1"/>
  <c r="G3755" i="1"/>
  <c r="G3756" i="1"/>
  <c r="G3757" i="1"/>
  <c r="G3758" i="1"/>
  <c r="G3759" i="1"/>
  <c r="G3760" i="1"/>
  <c r="G3761" i="1"/>
  <c r="G3762" i="1"/>
  <c r="G3763" i="1"/>
  <c r="G3764" i="1"/>
  <c r="G3765" i="1"/>
  <c r="G3766" i="1"/>
  <c r="G3767" i="1"/>
  <c r="G3768" i="1"/>
  <c r="G3769" i="1"/>
  <c r="G3770" i="1"/>
  <c r="G3771" i="1"/>
  <c r="G3772" i="1"/>
  <c r="G3773" i="1"/>
  <c r="G3774" i="1"/>
  <c r="G3775" i="1"/>
  <c r="G3776" i="1"/>
  <c r="G3777" i="1"/>
  <c r="G3778" i="1"/>
  <c r="G3779" i="1"/>
  <c r="G3780" i="1"/>
  <c r="G3781" i="1"/>
  <c r="G3782" i="1"/>
  <c r="G3783" i="1"/>
  <c r="G3784" i="1"/>
  <c r="G3785" i="1"/>
  <c r="G3786" i="1"/>
  <c r="G3787" i="1"/>
  <c r="G3788" i="1"/>
  <c r="G3789" i="1"/>
  <c r="G3790" i="1"/>
  <c r="G3791" i="1"/>
  <c r="G3792" i="1"/>
  <c r="G3793" i="1"/>
  <c r="G3794" i="1"/>
  <c r="G3795" i="1"/>
  <c r="G3796" i="1"/>
  <c r="G3797" i="1"/>
  <c r="G3798" i="1"/>
  <c r="G3799" i="1"/>
  <c r="G3800" i="1"/>
  <c r="G3801" i="1"/>
  <c r="G3802" i="1"/>
  <c r="G3803" i="1"/>
  <c r="G3804" i="1"/>
  <c r="G3805" i="1"/>
  <c r="G3806" i="1"/>
  <c r="G3807" i="1"/>
  <c r="G3808" i="1"/>
  <c r="G3809" i="1"/>
  <c r="G3810" i="1"/>
  <c r="G3811" i="1"/>
  <c r="G3812" i="1"/>
  <c r="G3813" i="1"/>
  <c r="G3814" i="1"/>
  <c r="G3815" i="1"/>
  <c r="G3816" i="1"/>
  <c r="G3817" i="1"/>
  <c r="G3818" i="1"/>
  <c r="G3819" i="1"/>
  <c r="G3820" i="1"/>
  <c r="G3821" i="1"/>
  <c r="G3822" i="1"/>
  <c r="G3823" i="1"/>
  <c r="G3824" i="1"/>
  <c r="G3825" i="1"/>
  <c r="G3826" i="1"/>
  <c r="G3827" i="1"/>
  <c r="G3828" i="1"/>
  <c r="G3829" i="1"/>
  <c r="G3830" i="1"/>
  <c r="G3831" i="1"/>
  <c r="G3832" i="1"/>
  <c r="G3833" i="1"/>
  <c r="G3834" i="1"/>
  <c r="G3835" i="1"/>
  <c r="G3836" i="1"/>
  <c r="G3837" i="1"/>
  <c r="G3838" i="1"/>
  <c r="G3839" i="1"/>
  <c r="G3840" i="1"/>
  <c r="G3841" i="1"/>
  <c r="G3842" i="1"/>
  <c r="G3843" i="1"/>
  <c r="G3844" i="1"/>
  <c r="G3845" i="1"/>
  <c r="G3846" i="1"/>
  <c r="G3847" i="1"/>
  <c r="G3848" i="1"/>
  <c r="G3849" i="1"/>
  <c r="G3850" i="1"/>
  <c r="G3851" i="1"/>
  <c r="G3852" i="1"/>
  <c r="G3853" i="1"/>
  <c r="G3854" i="1"/>
  <c r="G3855" i="1"/>
  <c r="G3856" i="1"/>
  <c r="G3857" i="1"/>
  <c r="G3858" i="1"/>
  <c r="G3859" i="1"/>
  <c r="G3860" i="1"/>
  <c r="G3861" i="1"/>
  <c r="G3862" i="1"/>
  <c r="G3863" i="1"/>
  <c r="G3864" i="1"/>
  <c r="G3865" i="1"/>
  <c r="G3866" i="1"/>
  <c r="G3867" i="1"/>
  <c r="G3868" i="1"/>
  <c r="G3869" i="1"/>
  <c r="G3870" i="1"/>
  <c r="G3871" i="1"/>
  <c r="G3872" i="1"/>
  <c r="G3873" i="1"/>
  <c r="G3874" i="1"/>
  <c r="G3875" i="1"/>
  <c r="G3876" i="1"/>
  <c r="G3877" i="1"/>
  <c r="G3878" i="1"/>
  <c r="G3879" i="1"/>
  <c r="G3880" i="1"/>
  <c r="G3881" i="1"/>
  <c r="G3882" i="1"/>
  <c r="G3883" i="1"/>
  <c r="G3884" i="1"/>
  <c r="G3885" i="1"/>
  <c r="G3886" i="1"/>
  <c r="G3887" i="1"/>
  <c r="G3888" i="1"/>
  <c r="G3889" i="1"/>
  <c r="G3890" i="1"/>
  <c r="G3891" i="1"/>
  <c r="G3892" i="1"/>
  <c r="G3893" i="1"/>
  <c r="G3894" i="1"/>
  <c r="G3895" i="1"/>
  <c r="G3896" i="1"/>
  <c r="G3897" i="1"/>
  <c r="G3898" i="1"/>
  <c r="G3899" i="1"/>
  <c r="G3900" i="1"/>
  <c r="G3901" i="1"/>
  <c r="G3902" i="1"/>
  <c r="G3903" i="1"/>
  <c r="G3904" i="1"/>
  <c r="G3905" i="1"/>
  <c r="G3906" i="1"/>
  <c r="G3907" i="1"/>
  <c r="G3908" i="1"/>
  <c r="G3909" i="1"/>
  <c r="G3910" i="1"/>
  <c r="G3911" i="1"/>
  <c r="G3912" i="1"/>
  <c r="G3913" i="1"/>
  <c r="G3914" i="1"/>
  <c r="G3915" i="1"/>
  <c r="G3916" i="1"/>
  <c r="G3917" i="1"/>
  <c r="G3918" i="1"/>
  <c r="G3919" i="1"/>
  <c r="G3920" i="1"/>
  <c r="G3921" i="1"/>
  <c r="G3922" i="1"/>
  <c r="G3923" i="1"/>
  <c r="G3924" i="1"/>
  <c r="G3925" i="1"/>
  <c r="G3926" i="1"/>
  <c r="G3927" i="1"/>
  <c r="G3928" i="1"/>
  <c r="G3929" i="1"/>
  <c r="G3930" i="1"/>
  <c r="G3931" i="1"/>
  <c r="G3932" i="1"/>
  <c r="G3933" i="1"/>
  <c r="G3934" i="1"/>
  <c r="G3935" i="1"/>
  <c r="G3936" i="1"/>
  <c r="G3937" i="1"/>
  <c r="G3938" i="1"/>
  <c r="G3939" i="1"/>
  <c r="G3940" i="1"/>
  <c r="G3941" i="1"/>
  <c r="G3942" i="1"/>
  <c r="G3943" i="1"/>
  <c r="G3944" i="1"/>
  <c r="G3945" i="1"/>
  <c r="G3946" i="1"/>
  <c r="G3947" i="1"/>
  <c r="G3948" i="1"/>
  <c r="G3949" i="1"/>
  <c r="G3950" i="1"/>
  <c r="G3951" i="1"/>
  <c r="G3952" i="1"/>
  <c r="G3953" i="1"/>
  <c r="G3954" i="1"/>
  <c r="G3955" i="1"/>
  <c r="G3956" i="1"/>
  <c r="G3957" i="1"/>
  <c r="G3958" i="1"/>
  <c r="G3959" i="1"/>
  <c r="G3960" i="1"/>
  <c r="G3961" i="1"/>
  <c r="G3962" i="1"/>
  <c r="G3963" i="1"/>
  <c r="G3964" i="1"/>
  <c r="G3965" i="1"/>
  <c r="G3966" i="1"/>
  <c r="G3967" i="1"/>
  <c r="G3968" i="1"/>
  <c r="G3969" i="1"/>
  <c r="G3970" i="1"/>
  <c r="G3971" i="1"/>
  <c r="G3972" i="1"/>
  <c r="G3973" i="1"/>
  <c r="G3974" i="1"/>
  <c r="G3975" i="1"/>
  <c r="G3976" i="1"/>
  <c r="G3977" i="1"/>
  <c r="G3978" i="1"/>
  <c r="G3979" i="1"/>
  <c r="G3980" i="1"/>
  <c r="G3981" i="1"/>
  <c r="G3982" i="1"/>
  <c r="G3983" i="1"/>
  <c r="G3984" i="1"/>
  <c r="G3985" i="1"/>
  <c r="G3986" i="1"/>
  <c r="G3987" i="1"/>
  <c r="G3988" i="1"/>
  <c r="G3989" i="1"/>
  <c r="G3990" i="1"/>
  <c r="G3991" i="1"/>
  <c r="G3992" i="1"/>
  <c r="G3993" i="1"/>
  <c r="G3994" i="1"/>
  <c r="G3995" i="1"/>
  <c r="G3996" i="1"/>
  <c r="G3997" i="1"/>
  <c r="G3998" i="1"/>
  <c r="G3999" i="1"/>
  <c r="G4000" i="1"/>
  <c r="G4001" i="1"/>
  <c r="G4002" i="1"/>
  <c r="G4003" i="1"/>
  <c r="G4004" i="1"/>
  <c r="G4005" i="1"/>
  <c r="G4006" i="1"/>
  <c r="G4007" i="1"/>
  <c r="G4008" i="1"/>
  <c r="G4009" i="1"/>
  <c r="G4010" i="1"/>
  <c r="G4011" i="1"/>
  <c r="G4012" i="1"/>
  <c r="G4013" i="1"/>
  <c r="G4014" i="1"/>
  <c r="G4015" i="1"/>
  <c r="G4016" i="1"/>
  <c r="G4017" i="1"/>
  <c r="G4018" i="1"/>
  <c r="G4019" i="1"/>
  <c r="G4020" i="1"/>
  <c r="G4021" i="1"/>
  <c r="G4022" i="1"/>
  <c r="G4023" i="1"/>
  <c r="G4024" i="1"/>
  <c r="G4025" i="1"/>
  <c r="G4026" i="1"/>
  <c r="G4027" i="1"/>
  <c r="G4028" i="1"/>
  <c r="G4029" i="1"/>
  <c r="G4030" i="1"/>
  <c r="G4031" i="1"/>
  <c r="G4032" i="1"/>
  <c r="G4033" i="1"/>
  <c r="G4034" i="1"/>
  <c r="G4035" i="1"/>
  <c r="G4036" i="1"/>
  <c r="G4037" i="1"/>
  <c r="G4038" i="1"/>
  <c r="G4039" i="1"/>
  <c r="G4040" i="1"/>
  <c r="G4041" i="1"/>
  <c r="G4042" i="1"/>
  <c r="G4043" i="1"/>
  <c r="G4044" i="1"/>
  <c r="G4045" i="1"/>
  <c r="G4046" i="1"/>
  <c r="G4047" i="1"/>
  <c r="G4048" i="1"/>
  <c r="G4049" i="1"/>
  <c r="G4050" i="1"/>
  <c r="G4051" i="1"/>
  <c r="G4052" i="1"/>
  <c r="G4053" i="1"/>
  <c r="G4054" i="1"/>
  <c r="G4055" i="1"/>
  <c r="G4056" i="1"/>
  <c r="G4057" i="1"/>
  <c r="G4058" i="1"/>
  <c r="G4059" i="1"/>
  <c r="G4060" i="1"/>
  <c r="G4061" i="1"/>
  <c r="G4062" i="1"/>
  <c r="G4063" i="1"/>
  <c r="G4064" i="1"/>
  <c r="G4065" i="1"/>
  <c r="G4066" i="1"/>
  <c r="G4067" i="1"/>
  <c r="G4068" i="1"/>
  <c r="G4069" i="1"/>
  <c r="G4070" i="1"/>
  <c r="G4071" i="1"/>
  <c r="G4072" i="1"/>
  <c r="G4073" i="1"/>
  <c r="G4074" i="1"/>
  <c r="G4075" i="1"/>
  <c r="G4076" i="1"/>
  <c r="G4077" i="1"/>
  <c r="G4078" i="1"/>
  <c r="G4079" i="1"/>
  <c r="G4080" i="1"/>
  <c r="G4081" i="1"/>
  <c r="G4082" i="1"/>
  <c r="G4083" i="1"/>
  <c r="G4084" i="1"/>
  <c r="G4085" i="1"/>
  <c r="G4086" i="1"/>
  <c r="G4087" i="1"/>
  <c r="G4088" i="1"/>
  <c r="G4089" i="1"/>
  <c r="G4090" i="1"/>
  <c r="G4091" i="1"/>
  <c r="G4092" i="1"/>
  <c r="G4093" i="1"/>
  <c r="G4094" i="1"/>
  <c r="G4095" i="1"/>
  <c r="G4096" i="1"/>
  <c r="G4097" i="1"/>
  <c r="G4098" i="1"/>
  <c r="G4099" i="1"/>
  <c r="G4100" i="1"/>
  <c r="G4101" i="1"/>
  <c r="G4102" i="1"/>
  <c r="G4103" i="1"/>
  <c r="G4104" i="1"/>
  <c r="G4105" i="1"/>
  <c r="G4106" i="1"/>
  <c r="G4107" i="1"/>
  <c r="G4108" i="1"/>
  <c r="G4109" i="1"/>
  <c r="G4110" i="1"/>
  <c r="G4111" i="1"/>
  <c r="G4112" i="1"/>
  <c r="G4113" i="1"/>
  <c r="G4114" i="1"/>
  <c r="G4115" i="1"/>
  <c r="G4116" i="1"/>
  <c r="G4117" i="1"/>
  <c r="G4118" i="1"/>
  <c r="G4119" i="1"/>
  <c r="G4120" i="1"/>
  <c r="G4121" i="1"/>
  <c r="G4122" i="1"/>
  <c r="G4123" i="1"/>
  <c r="G4124" i="1"/>
  <c r="G4125" i="1"/>
  <c r="G4126" i="1"/>
  <c r="G4127" i="1"/>
  <c r="G4128" i="1"/>
  <c r="G4129" i="1"/>
  <c r="G4130" i="1"/>
  <c r="G4131" i="1"/>
  <c r="G4132" i="1"/>
  <c r="G4133" i="1"/>
  <c r="G4134" i="1"/>
  <c r="G4135" i="1"/>
  <c r="G4136" i="1"/>
  <c r="G4137" i="1"/>
  <c r="G4138" i="1"/>
  <c r="G4139" i="1"/>
  <c r="G4140" i="1"/>
  <c r="G4141" i="1"/>
  <c r="G4142" i="1"/>
  <c r="G4143" i="1"/>
  <c r="G4144" i="1"/>
  <c r="G4145" i="1"/>
  <c r="G4146" i="1"/>
  <c r="G4147" i="1"/>
  <c r="G4148" i="1"/>
  <c r="G4149" i="1"/>
  <c r="G4150" i="1"/>
  <c r="G4151" i="1"/>
  <c r="G4152" i="1"/>
  <c r="G4153" i="1"/>
  <c r="G4154" i="1"/>
  <c r="G4155" i="1"/>
  <c r="G4156" i="1"/>
  <c r="G4157" i="1"/>
  <c r="G4158" i="1"/>
  <c r="G4159" i="1"/>
  <c r="G4160" i="1"/>
  <c r="G4161" i="1"/>
  <c r="G4162" i="1"/>
  <c r="G4163" i="1"/>
  <c r="G4164" i="1"/>
  <c r="G4165" i="1"/>
  <c r="G4166" i="1"/>
  <c r="G4167" i="1"/>
  <c r="G4168" i="1"/>
  <c r="G4169" i="1"/>
  <c r="G4170" i="1"/>
  <c r="G4171" i="1"/>
  <c r="G4172" i="1"/>
  <c r="G4173" i="1"/>
  <c r="G4174" i="1"/>
  <c r="G4175" i="1"/>
  <c r="G4176" i="1"/>
  <c r="G4177" i="1"/>
  <c r="G4178" i="1"/>
  <c r="G4179" i="1"/>
  <c r="G4180" i="1"/>
  <c r="G4181" i="1"/>
  <c r="G4182" i="1"/>
  <c r="G4183" i="1"/>
  <c r="G4184" i="1"/>
  <c r="G4185" i="1"/>
  <c r="G4186" i="1"/>
  <c r="G4187" i="1"/>
  <c r="G4188" i="1"/>
  <c r="G4189" i="1"/>
  <c r="G4190" i="1"/>
  <c r="G4191" i="1"/>
  <c r="G4192" i="1"/>
  <c r="G4193" i="1"/>
  <c r="G4194" i="1"/>
  <c r="G4195" i="1"/>
  <c r="G4196" i="1"/>
  <c r="G4197" i="1"/>
  <c r="G4198" i="1"/>
  <c r="G4199" i="1"/>
  <c r="G4200" i="1"/>
  <c r="G4201" i="1"/>
  <c r="G4202" i="1"/>
  <c r="G4203" i="1"/>
  <c r="G4204" i="1"/>
  <c r="G4205" i="1"/>
  <c r="G4206" i="1"/>
  <c r="G4207" i="1"/>
  <c r="G4208" i="1"/>
  <c r="G4209" i="1"/>
  <c r="G4210" i="1"/>
  <c r="G4211" i="1"/>
  <c r="G4212" i="1"/>
  <c r="G4213" i="1"/>
  <c r="G4214" i="1"/>
  <c r="G4215" i="1"/>
  <c r="G4216" i="1"/>
  <c r="G4217" i="1"/>
  <c r="G4218" i="1"/>
  <c r="G4219" i="1"/>
  <c r="G4220" i="1"/>
  <c r="G4221" i="1"/>
  <c r="G4222" i="1"/>
  <c r="G4223" i="1"/>
  <c r="G4224" i="1"/>
  <c r="G4225" i="1"/>
  <c r="G4226" i="1"/>
  <c r="G4227" i="1"/>
  <c r="G4228" i="1"/>
  <c r="G4229" i="1"/>
  <c r="G4230" i="1"/>
  <c r="G4231" i="1"/>
  <c r="G4232" i="1"/>
  <c r="G4233" i="1"/>
  <c r="G4234" i="1"/>
  <c r="G4235" i="1"/>
  <c r="G4236" i="1"/>
  <c r="G4237" i="1"/>
  <c r="G4238" i="1"/>
  <c r="G4239" i="1"/>
  <c r="G4240" i="1"/>
  <c r="G4241" i="1"/>
  <c r="G4242" i="1"/>
  <c r="G4243" i="1"/>
  <c r="G4244" i="1"/>
  <c r="G4245" i="1"/>
  <c r="G4246" i="1"/>
  <c r="G4247" i="1"/>
  <c r="G4248" i="1"/>
  <c r="G4249" i="1"/>
  <c r="G4250" i="1"/>
  <c r="G4251" i="1"/>
  <c r="G4252" i="1"/>
  <c r="G4253" i="1"/>
  <c r="G4254" i="1"/>
  <c r="G4255" i="1"/>
  <c r="G4256" i="1"/>
  <c r="G4257" i="1"/>
  <c r="G4258" i="1"/>
  <c r="G4259" i="1"/>
  <c r="G4260" i="1"/>
  <c r="G4261" i="1"/>
  <c r="G4262" i="1"/>
  <c r="G4263" i="1"/>
  <c r="G4264" i="1"/>
  <c r="G4265" i="1"/>
  <c r="G4266" i="1"/>
  <c r="G4267" i="1"/>
  <c r="G4268" i="1"/>
  <c r="G4269" i="1"/>
  <c r="G4270" i="1"/>
  <c r="G4271" i="1"/>
  <c r="G4272" i="1"/>
  <c r="G4273" i="1"/>
  <c r="G4274" i="1"/>
  <c r="G4275" i="1"/>
  <c r="G4276" i="1"/>
  <c r="G4277" i="1"/>
  <c r="G4278" i="1"/>
  <c r="G4279" i="1"/>
  <c r="G4280" i="1"/>
  <c r="G4281" i="1"/>
  <c r="G4282" i="1"/>
  <c r="G4283" i="1"/>
  <c r="G4284" i="1"/>
  <c r="G4285" i="1"/>
  <c r="G4286" i="1"/>
  <c r="G4287" i="1"/>
  <c r="G4288" i="1"/>
  <c r="G4289" i="1"/>
  <c r="G4290" i="1"/>
  <c r="G4291" i="1"/>
  <c r="G4292" i="1"/>
  <c r="G4293" i="1"/>
  <c r="G4294" i="1"/>
  <c r="G4295" i="1"/>
  <c r="G4296" i="1"/>
  <c r="G4297" i="1"/>
  <c r="G4298" i="1"/>
  <c r="G4299" i="1"/>
  <c r="G4300" i="1"/>
  <c r="G4301" i="1"/>
  <c r="G4302" i="1"/>
  <c r="G4303" i="1"/>
  <c r="G4304" i="1"/>
  <c r="G4305" i="1"/>
  <c r="G4306" i="1"/>
  <c r="G4307" i="1"/>
  <c r="G4308" i="1"/>
  <c r="G4309" i="1"/>
  <c r="G4310" i="1"/>
  <c r="G4311" i="1"/>
  <c r="G4312" i="1"/>
  <c r="G4313" i="1"/>
  <c r="G4314" i="1"/>
  <c r="G4315" i="1"/>
  <c r="G4316" i="1"/>
  <c r="G4317" i="1"/>
  <c r="G4318" i="1"/>
  <c r="G4319" i="1"/>
  <c r="G4320" i="1"/>
  <c r="G4321" i="1"/>
  <c r="G4322" i="1"/>
  <c r="G4323" i="1"/>
  <c r="G4324" i="1"/>
  <c r="G4325" i="1"/>
  <c r="G4326" i="1"/>
  <c r="G4327" i="1"/>
  <c r="G4328" i="1"/>
  <c r="G4329" i="1"/>
  <c r="G4330" i="1"/>
  <c r="G4331" i="1"/>
  <c r="G4332" i="1"/>
  <c r="G4333" i="1"/>
  <c r="G4334" i="1"/>
  <c r="G4335" i="1"/>
  <c r="G4336" i="1"/>
  <c r="G4337" i="1"/>
  <c r="G4338" i="1"/>
  <c r="G4339" i="1"/>
  <c r="G4340" i="1"/>
  <c r="G4341" i="1"/>
  <c r="G4342" i="1"/>
  <c r="G4343" i="1"/>
  <c r="G4344" i="1"/>
  <c r="G4345" i="1"/>
  <c r="G4346" i="1"/>
  <c r="G4347" i="1"/>
  <c r="G4348" i="1"/>
  <c r="G4349" i="1"/>
  <c r="G4350" i="1"/>
  <c r="G4351" i="1"/>
  <c r="G4352" i="1"/>
  <c r="G4353" i="1"/>
  <c r="G4354" i="1"/>
  <c r="G4355" i="1"/>
  <c r="G4356" i="1"/>
  <c r="G4357" i="1"/>
  <c r="G4358" i="1"/>
  <c r="G4359" i="1"/>
  <c r="G4360" i="1"/>
  <c r="G4361" i="1"/>
  <c r="G4362" i="1"/>
  <c r="G4363" i="1"/>
  <c r="G4364" i="1"/>
  <c r="G4365" i="1"/>
  <c r="G4366" i="1"/>
  <c r="G4367" i="1"/>
  <c r="G4368" i="1"/>
  <c r="G4369" i="1"/>
  <c r="G4370" i="1"/>
  <c r="G4371" i="1"/>
  <c r="G4372" i="1"/>
  <c r="G4373" i="1"/>
  <c r="G4374" i="1"/>
  <c r="G4375" i="1"/>
  <c r="G4376" i="1"/>
  <c r="G4377" i="1"/>
  <c r="G4378" i="1"/>
  <c r="G4379" i="1"/>
  <c r="G4380" i="1"/>
  <c r="G4381" i="1"/>
  <c r="G4382" i="1"/>
  <c r="G4383" i="1"/>
  <c r="G4384" i="1"/>
  <c r="G4385" i="1"/>
  <c r="G4386" i="1"/>
  <c r="G4387" i="1"/>
  <c r="G4388" i="1"/>
  <c r="G4389" i="1"/>
  <c r="G4390" i="1"/>
  <c r="G4391" i="1"/>
  <c r="G4392" i="1"/>
  <c r="G4393" i="1"/>
  <c r="G4394" i="1"/>
  <c r="G4395" i="1"/>
  <c r="G4396" i="1"/>
  <c r="G4397" i="1"/>
  <c r="G4398" i="1"/>
  <c r="G4399" i="1"/>
  <c r="G4400" i="1"/>
  <c r="G4401" i="1"/>
  <c r="G4402" i="1"/>
  <c r="G4403" i="1"/>
  <c r="G4404" i="1"/>
  <c r="G4405" i="1"/>
  <c r="G4406" i="1"/>
  <c r="G4407" i="1"/>
  <c r="G4408" i="1"/>
  <c r="G4409" i="1"/>
  <c r="G4410" i="1"/>
  <c r="G4411" i="1"/>
  <c r="G4412" i="1"/>
  <c r="G4413" i="1"/>
  <c r="G4414" i="1"/>
  <c r="G4415" i="1"/>
  <c r="G4416" i="1"/>
  <c r="G4417" i="1"/>
  <c r="G4418" i="1"/>
  <c r="G4419" i="1"/>
  <c r="G4420" i="1"/>
  <c r="G4421" i="1"/>
  <c r="G4422" i="1"/>
  <c r="G4423" i="1"/>
  <c r="G4424" i="1"/>
  <c r="G4425" i="1"/>
  <c r="G4426" i="1"/>
  <c r="G4427" i="1"/>
  <c r="G4428" i="1"/>
  <c r="G4429" i="1"/>
  <c r="G4430" i="1"/>
  <c r="G4431" i="1"/>
  <c r="G4432" i="1"/>
  <c r="G4433" i="1"/>
  <c r="G4434" i="1"/>
  <c r="G4435" i="1"/>
  <c r="G4436" i="1"/>
  <c r="G4437" i="1"/>
  <c r="G4438" i="1"/>
  <c r="G4439" i="1"/>
  <c r="G4440" i="1"/>
  <c r="G4441" i="1"/>
  <c r="G4442" i="1"/>
  <c r="G4443" i="1"/>
  <c r="G4444" i="1"/>
  <c r="G4445" i="1"/>
  <c r="G4446" i="1"/>
  <c r="G4447" i="1"/>
  <c r="G4448" i="1"/>
  <c r="G4449" i="1"/>
  <c r="G4450" i="1"/>
  <c r="G4451" i="1"/>
  <c r="G4452" i="1"/>
  <c r="G4453" i="1"/>
  <c r="G4454" i="1"/>
  <c r="G4455" i="1"/>
  <c r="G4456" i="1"/>
  <c r="G4457" i="1"/>
  <c r="G4458" i="1"/>
  <c r="G4459" i="1"/>
  <c r="G4460" i="1"/>
  <c r="G4461" i="1"/>
  <c r="G4462" i="1"/>
  <c r="G4463" i="1"/>
  <c r="G4464" i="1"/>
  <c r="G4465" i="1"/>
  <c r="G4466" i="1"/>
  <c r="G4467" i="1"/>
  <c r="G4468" i="1"/>
  <c r="G4469" i="1"/>
  <c r="G4470" i="1"/>
  <c r="G4471" i="1"/>
  <c r="G4472" i="1"/>
  <c r="G4473" i="1"/>
  <c r="G4474" i="1"/>
  <c r="G4475" i="1"/>
  <c r="G4476" i="1"/>
  <c r="G4477" i="1"/>
  <c r="G4478" i="1"/>
  <c r="G4479" i="1"/>
  <c r="G4480" i="1"/>
  <c r="G4481" i="1"/>
  <c r="G4482" i="1"/>
  <c r="G4483" i="1"/>
  <c r="G4484" i="1"/>
  <c r="G4485" i="1"/>
  <c r="G4486" i="1"/>
  <c r="G4487" i="1"/>
  <c r="G4488" i="1"/>
  <c r="G4489" i="1"/>
  <c r="G4490" i="1"/>
  <c r="G4491" i="1"/>
  <c r="G4492" i="1"/>
  <c r="G4493" i="1"/>
  <c r="G4494" i="1"/>
  <c r="G4495" i="1"/>
  <c r="G4496" i="1"/>
  <c r="G4497" i="1"/>
  <c r="G4498" i="1"/>
  <c r="G4499" i="1"/>
  <c r="G4500" i="1"/>
  <c r="G4501" i="1"/>
  <c r="G4502" i="1"/>
  <c r="G4503" i="1"/>
  <c r="G4504" i="1"/>
  <c r="G4505" i="1"/>
  <c r="G4506" i="1"/>
  <c r="G4507" i="1"/>
  <c r="G4508" i="1"/>
  <c r="G4509" i="1"/>
  <c r="G4510" i="1"/>
  <c r="G4511" i="1"/>
  <c r="G4512" i="1"/>
  <c r="G4513" i="1"/>
  <c r="G4514" i="1"/>
  <c r="G4515" i="1"/>
  <c r="G4516" i="1"/>
  <c r="G4517" i="1"/>
  <c r="G4518" i="1"/>
  <c r="G4519" i="1"/>
  <c r="G4520" i="1"/>
  <c r="G4521" i="1"/>
  <c r="G4522" i="1"/>
  <c r="G4523" i="1"/>
  <c r="G4524" i="1"/>
  <c r="G4525" i="1"/>
  <c r="G4526" i="1"/>
  <c r="G4527" i="1"/>
  <c r="G4528" i="1"/>
  <c r="G4529" i="1"/>
  <c r="G4530" i="1"/>
  <c r="G4531" i="1"/>
  <c r="G4532" i="1"/>
  <c r="G4533" i="1"/>
  <c r="G4534" i="1"/>
  <c r="G4535" i="1"/>
  <c r="G4536" i="1"/>
  <c r="G4537" i="1"/>
  <c r="G4538" i="1"/>
  <c r="G4539" i="1"/>
  <c r="G4540" i="1"/>
  <c r="G4541" i="1"/>
  <c r="G4542" i="1"/>
  <c r="G4543" i="1"/>
  <c r="G4544" i="1"/>
  <c r="G4545" i="1"/>
  <c r="G4546" i="1"/>
  <c r="G4547" i="1"/>
  <c r="G4548" i="1"/>
  <c r="G4549" i="1"/>
  <c r="G4550" i="1"/>
  <c r="G4551" i="1"/>
  <c r="G4552" i="1"/>
  <c r="G4553" i="1"/>
  <c r="G4554" i="1"/>
  <c r="G4555" i="1"/>
  <c r="G4556" i="1"/>
  <c r="G4557" i="1"/>
  <c r="G4558" i="1"/>
  <c r="G4559" i="1"/>
  <c r="G4560" i="1"/>
  <c r="G4561" i="1"/>
  <c r="G4562" i="1"/>
  <c r="G4563" i="1"/>
  <c r="G4564" i="1"/>
  <c r="G4565" i="1"/>
  <c r="G4566" i="1"/>
  <c r="G4567" i="1"/>
  <c r="G4568" i="1"/>
  <c r="G4569" i="1"/>
  <c r="G4570" i="1"/>
  <c r="G4571" i="1"/>
  <c r="G4572" i="1"/>
  <c r="G4573" i="1"/>
  <c r="G4574" i="1"/>
  <c r="G4575" i="1"/>
  <c r="G4576" i="1"/>
  <c r="G4577" i="1"/>
  <c r="G4578" i="1"/>
  <c r="G4579" i="1"/>
  <c r="G4580" i="1"/>
  <c r="G4581" i="1"/>
  <c r="G4582" i="1"/>
  <c r="G4583" i="1"/>
  <c r="G4584" i="1"/>
  <c r="G4585" i="1"/>
  <c r="G4586" i="1"/>
  <c r="G4587" i="1"/>
  <c r="G4588" i="1"/>
  <c r="G4589" i="1"/>
  <c r="G4590" i="1"/>
  <c r="G4591" i="1"/>
  <c r="G4592" i="1"/>
  <c r="G4593" i="1"/>
  <c r="G4594" i="1"/>
  <c r="G4595" i="1"/>
  <c r="G4596" i="1"/>
  <c r="G4597" i="1"/>
  <c r="G4598" i="1"/>
  <c r="G4599" i="1"/>
  <c r="G4600" i="1"/>
  <c r="G4601" i="1"/>
  <c r="G4602" i="1"/>
  <c r="G4603" i="1"/>
  <c r="G4604" i="1"/>
  <c r="G4605" i="1"/>
  <c r="G4606" i="1"/>
  <c r="G4607" i="1"/>
  <c r="G4608" i="1"/>
  <c r="G4609" i="1"/>
  <c r="G4610" i="1"/>
  <c r="G4611" i="1"/>
  <c r="G4612" i="1"/>
  <c r="G4613" i="1"/>
  <c r="G4614" i="1"/>
  <c r="G4615" i="1"/>
  <c r="G4616" i="1"/>
  <c r="G4617" i="1"/>
  <c r="G4618" i="1"/>
  <c r="G4619" i="1"/>
  <c r="G4620" i="1"/>
  <c r="G4621" i="1"/>
  <c r="G4622" i="1"/>
  <c r="G4623" i="1"/>
  <c r="G4624" i="1"/>
  <c r="G4625" i="1"/>
  <c r="G4626" i="1"/>
  <c r="G4627" i="1"/>
  <c r="G4628" i="1"/>
  <c r="G4629" i="1"/>
  <c r="G4630" i="1"/>
  <c r="G4631" i="1"/>
  <c r="G4632" i="1"/>
  <c r="G4633" i="1"/>
  <c r="G4634" i="1"/>
  <c r="G4635" i="1"/>
  <c r="G4636" i="1"/>
  <c r="G4637" i="1"/>
  <c r="G4638" i="1"/>
  <c r="G4639" i="1"/>
  <c r="G4640" i="1"/>
  <c r="G4641" i="1"/>
  <c r="G4642" i="1"/>
  <c r="G4643" i="1"/>
  <c r="G4644" i="1"/>
  <c r="G4645" i="1"/>
  <c r="G4646" i="1"/>
  <c r="G4647" i="1"/>
  <c r="G4648" i="1"/>
  <c r="G4649" i="1"/>
  <c r="G4650" i="1"/>
  <c r="G4651" i="1"/>
  <c r="G4652" i="1"/>
  <c r="G4653" i="1"/>
  <c r="G4654" i="1"/>
  <c r="G4655" i="1"/>
  <c r="G4656" i="1"/>
  <c r="G4657" i="1"/>
  <c r="G4658" i="1"/>
  <c r="G4659" i="1"/>
  <c r="G4660" i="1"/>
  <c r="G4661" i="1"/>
  <c r="G4662" i="1"/>
  <c r="G4663" i="1"/>
  <c r="G4664" i="1"/>
  <c r="G4665" i="1"/>
  <c r="G4666" i="1"/>
  <c r="G4667" i="1"/>
  <c r="G4668" i="1"/>
  <c r="G4669" i="1"/>
  <c r="G4670" i="1"/>
  <c r="G4671" i="1"/>
  <c r="G4672" i="1"/>
  <c r="G4673" i="1"/>
  <c r="G4674" i="1"/>
  <c r="G4675" i="1"/>
  <c r="G4676" i="1"/>
  <c r="G4677" i="1"/>
  <c r="G4678" i="1"/>
  <c r="G4679" i="1"/>
  <c r="G4680" i="1"/>
  <c r="G4681" i="1"/>
  <c r="G4682" i="1"/>
  <c r="G4683" i="1"/>
  <c r="G4684" i="1"/>
  <c r="G4685" i="1"/>
  <c r="G4686" i="1"/>
  <c r="G4687" i="1"/>
  <c r="G4688" i="1"/>
  <c r="G4689" i="1"/>
  <c r="G4690" i="1"/>
  <c r="G4691" i="1"/>
  <c r="G4692" i="1"/>
  <c r="G4693" i="1"/>
  <c r="G4694" i="1"/>
  <c r="G4695" i="1"/>
  <c r="G4696" i="1"/>
  <c r="G4697" i="1"/>
  <c r="G4698" i="1"/>
  <c r="G4699" i="1"/>
  <c r="G4700" i="1"/>
  <c r="G4701" i="1"/>
  <c r="G4702" i="1"/>
  <c r="G4703" i="1"/>
  <c r="G4704" i="1"/>
  <c r="G4705" i="1"/>
  <c r="G4706" i="1"/>
  <c r="G4707" i="1"/>
  <c r="G4708" i="1"/>
  <c r="G4709" i="1"/>
  <c r="G4710" i="1"/>
  <c r="G4711" i="1"/>
  <c r="G4712" i="1"/>
  <c r="G4713" i="1"/>
  <c r="G4714" i="1"/>
  <c r="G4715" i="1"/>
  <c r="G4716" i="1"/>
  <c r="G4717" i="1"/>
  <c r="G4718" i="1"/>
  <c r="G4719" i="1"/>
  <c r="G4720" i="1"/>
  <c r="G4721" i="1"/>
  <c r="G4722" i="1"/>
  <c r="G4723" i="1"/>
  <c r="G4724" i="1"/>
  <c r="G4725" i="1"/>
  <c r="G4726" i="1"/>
  <c r="G4727" i="1"/>
  <c r="G4728" i="1"/>
  <c r="G4729" i="1"/>
  <c r="G4730" i="1"/>
  <c r="G4731" i="1"/>
  <c r="G4732" i="1"/>
  <c r="G4733" i="1"/>
  <c r="G4734" i="1"/>
  <c r="G4735" i="1"/>
  <c r="G4736" i="1"/>
  <c r="G4737" i="1"/>
  <c r="G4738" i="1"/>
  <c r="G4739" i="1"/>
  <c r="G4740" i="1"/>
  <c r="G4741" i="1"/>
  <c r="G4742" i="1"/>
  <c r="G4743" i="1"/>
  <c r="G4744" i="1"/>
  <c r="G4745" i="1"/>
  <c r="G4746" i="1"/>
  <c r="G4747" i="1"/>
  <c r="G4748" i="1"/>
  <c r="G4749" i="1"/>
  <c r="G4750" i="1"/>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C2709" i="1"/>
  <c r="C2710" i="1"/>
  <c r="C2711" i="1"/>
  <c r="C2712" i="1"/>
  <c r="C2713" i="1"/>
  <c r="C2714" i="1"/>
  <c r="C2715" i="1"/>
  <c r="C2716" i="1"/>
  <c r="C2717" i="1"/>
  <c r="C2718" i="1"/>
  <c r="C2719" i="1"/>
  <c r="C2720" i="1"/>
  <c r="C2721" i="1"/>
  <c r="C2722" i="1"/>
  <c r="C2723" i="1"/>
  <c r="C2724" i="1"/>
  <c r="C2725" i="1"/>
  <c r="C2726" i="1"/>
  <c r="C2727" i="1"/>
  <c r="C2728" i="1"/>
  <c r="C2729" i="1"/>
  <c r="C2730" i="1"/>
  <c r="C2731" i="1"/>
  <c r="C2732" i="1"/>
  <c r="C2733" i="1"/>
  <c r="C2734" i="1"/>
  <c r="C2735" i="1"/>
  <c r="C2736" i="1"/>
  <c r="C2737" i="1"/>
  <c r="C2738" i="1"/>
  <c r="C2739" i="1"/>
  <c r="C2740" i="1"/>
  <c r="C2741" i="1"/>
  <c r="C2742" i="1"/>
  <c r="C2743" i="1"/>
  <c r="C2744" i="1"/>
  <c r="C2745" i="1"/>
  <c r="C2746" i="1"/>
  <c r="C2747" i="1"/>
  <c r="C2748" i="1"/>
  <c r="C2749" i="1"/>
  <c r="C2750" i="1"/>
  <c r="C2751" i="1"/>
  <c r="C2752" i="1"/>
  <c r="C2753" i="1"/>
  <c r="C2754" i="1"/>
  <c r="C2755" i="1"/>
  <c r="C2756" i="1"/>
  <c r="C2757" i="1"/>
  <c r="C2758" i="1"/>
  <c r="C2759" i="1"/>
  <c r="C2760" i="1"/>
  <c r="C2761" i="1"/>
  <c r="C2762" i="1"/>
  <c r="C2763" i="1"/>
  <c r="C2764" i="1"/>
  <c r="C2765" i="1"/>
  <c r="C2766" i="1"/>
  <c r="C2767" i="1"/>
  <c r="C2768" i="1"/>
  <c r="C2769" i="1"/>
  <c r="C2770" i="1"/>
  <c r="C2771" i="1"/>
  <c r="C2772" i="1"/>
  <c r="C2773" i="1"/>
  <c r="C2774" i="1"/>
  <c r="C2775" i="1"/>
  <c r="C2776" i="1"/>
  <c r="C2777" i="1"/>
  <c r="C2778" i="1"/>
  <c r="C2779" i="1"/>
  <c r="C2780" i="1"/>
  <c r="C2781" i="1"/>
  <c r="C2782" i="1"/>
  <c r="C2783" i="1"/>
  <c r="C2784" i="1"/>
  <c r="C2785" i="1"/>
  <c r="C2786" i="1"/>
  <c r="C2787" i="1"/>
  <c r="C2788" i="1"/>
  <c r="C2789" i="1"/>
  <c r="C2790" i="1"/>
  <c r="C2791" i="1"/>
  <c r="C2792" i="1"/>
  <c r="C2793" i="1"/>
  <c r="C2794" i="1"/>
  <c r="C2795" i="1"/>
  <c r="C2796" i="1"/>
  <c r="C2797" i="1"/>
  <c r="C2798" i="1"/>
  <c r="C2799" i="1"/>
  <c r="C2800" i="1"/>
  <c r="C2801" i="1"/>
  <c r="C2802" i="1"/>
  <c r="C2803" i="1"/>
  <c r="C2804" i="1"/>
  <c r="C2805" i="1"/>
  <c r="C2806" i="1"/>
  <c r="C2807" i="1"/>
  <c r="C2808" i="1"/>
  <c r="C2809" i="1"/>
  <c r="C2810" i="1"/>
  <c r="C2811" i="1"/>
  <c r="C2812" i="1"/>
  <c r="C2813" i="1"/>
  <c r="C2814" i="1"/>
  <c r="C2815" i="1"/>
  <c r="C2816" i="1"/>
  <c r="C2817" i="1"/>
  <c r="C2818" i="1"/>
  <c r="C2819" i="1"/>
  <c r="C2820" i="1"/>
  <c r="C2821" i="1"/>
  <c r="C2822" i="1"/>
  <c r="C2823" i="1"/>
  <c r="C2824" i="1"/>
  <c r="C2825" i="1"/>
  <c r="C2826" i="1"/>
  <c r="C2827" i="1"/>
  <c r="C2828" i="1"/>
  <c r="C2829" i="1"/>
  <c r="C2830" i="1"/>
  <c r="C2831" i="1"/>
  <c r="C2832" i="1"/>
  <c r="C2833" i="1"/>
  <c r="C2834" i="1"/>
  <c r="C2835" i="1"/>
  <c r="C2836" i="1"/>
  <c r="C2837" i="1"/>
  <c r="C2838" i="1"/>
  <c r="C2839" i="1"/>
  <c r="C2840" i="1"/>
  <c r="C2841" i="1"/>
  <c r="C2842" i="1"/>
  <c r="C2843" i="1"/>
  <c r="C2844" i="1"/>
  <c r="C2845" i="1"/>
  <c r="C2846" i="1"/>
  <c r="C2847" i="1"/>
  <c r="C2848" i="1"/>
  <c r="C2849" i="1"/>
  <c r="C2850" i="1"/>
  <c r="C2851" i="1"/>
  <c r="C2852" i="1"/>
  <c r="C2853" i="1"/>
  <c r="C2854" i="1"/>
  <c r="C2855" i="1"/>
  <c r="C2856" i="1"/>
  <c r="C2857" i="1"/>
  <c r="C2858" i="1"/>
  <c r="C2859" i="1"/>
  <c r="C2860" i="1"/>
  <c r="C2861" i="1"/>
  <c r="C2862" i="1"/>
  <c r="C2863" i="1"/>
  <c r="C2864" i="1"/>
  <c r="C2865" i="1"/>
  <c r="C2866" i="1"/>
  <c r="C2867" i="1"/>
  <c r="C2868" i="1"/>
  <c r="C2869" i="1"/>
  <c r="C2870" i="1"/>
  <c r="C2871" i="1"/>
  <c r="C2872" i="1"/>
  <c r="C2873" i="1"/>
  <c r="C2874" i="1"/>
  <c r="C2875" i="1"/>
  <c r="C2876" i="1"/>
  <c r="C2877" i="1"/>
  <c r="C2878" i="1"/>
  <c r="C2879" i="1"/>
  <c r="C2880" i="1"/>
  <c r="C2881" i="1"/>
  <c r="C2882" i="1"/>
  <c r="C2883" i="1"/>
  <c r="C2884" i="1"/>
  <c r="C2885" i="1"/>
  <c r="C2886" i="1"/>
  <c r="C2887" i="1"/>
  <c r="C2888" i="1"/>
  <c r="C2889" i="1"/>
  <c r="C2890" i="1"/>
  <c r="C2891" i="1"/>
  <c r="C2892" i="1"/>
  <c r="C2893" i="1"/>
  <c r="C2894" i="1"/>
  <c r="C2895" i="1"/>
  <c r="C2896" i="1"/>
  <c r="C2897" i="1"/>
  <c r="C2898" i="1"/>
  <c r="C2899" i="1"/>
  <c r="C2900" i="1"/>
  <c r="C2901" i="1"/>
  <c r="C2902" i="1"/>
  <c r="C2903" i="1"/>
  <c r="C2904" i="1"/>
  <c r="C2905" i="1"/>
  <c r="C2906" i="1"/>
  <c r="C2907" i="1"/>
  <c r="C2908" i="1"/>
  <c r="C2909" i="1"/>
  <c r="C2910" i="1"/>
  <c r="C2911" i="1"/>
  <c r="C2912" i="1"/>
  <c r="C2913" i="1"/>
  <c r="C2914" i="1"/>
  <c r="C2915" i="1"/>
  <c r="C2916" i="1"/>
  <c r="C2917" i="1"/>
  <c r="C2918" i="1"/>
  <c r="C2919" i="1"/>
  <c r="C2920" i="1"/>
  <c r="C2921" i="1"/>
  <c r="C2922" i="1"/>
  <c r="C2923" i="1"/>
  <c r="C2924" i="1"/>
  <c r="C2925" i="1"/>
  <c r="C2926" i="1"/>
  <c r="C2927" i="1"/>
  <c r="C2928" i="1"/>
  <c r="C2929" i="1"/>
  <c r="C2930" i="1"/>
  <c r="C2931" i="1"/>
  <c r="C2932" i="1"/>
  <c r="C2933" i="1"/>
  <c r="C2934" i="1"/>
  <c r="C2935" i="1"/>
  <c r="C2936" i="1"/>
  <c r="C2937" i="1"/>
  <c r="C2938" i="1"/>
  <c r="C2939" i="1"/>
  <c r="C2940" i="1"/>
  <c r="C2941" i="1"/>
  <c r="C2942" i="1"/>
  <c r="C2943" i="1"/>
  <c r="C2944" i="1"/>
  <c r="C2945" i="1"/>
  <c r="C2946" i="1"/>
  <c r="C2947" i="1"/>
  <c r="C2948" i="1"/>
  <c r="C2949" i="1"/>
  <c r="C2950" i="1"/>
  <c r="C2951" i="1"/>
  <c r="C2952" i="1"/>
  <c r="C2953" i="1"/>
  <c r="C2954" i="1"/>
  <c r="C2955" i="1"/>
  <c r="C2956" i="1"/>
  <c r="C2957" i="1"/>
  <c r="C2958" i="1"/>
  <c r="C2959" i="1"/>
  <c r="C2960" i="1"/>
  <c r="C2961" i="1"/>
  <c r="C2962" i="1"/>
  <c r="C2963" i="1"/>
  <c r="C2964" i="1"/>
  <c r="C2965" i="1"/>
  <c r="C2966" i="1"/>
  <c r="C2967" i="1"/>
  <c r="C2968" i="1"/>
  <c r="C2969" i="1"/>
  <c r="C2970" i="1"/>
  <c r="C2971" i="1"/>
  <c r="C2972" i="1"/>
  <c r="C2973" i="1"/>
  <c r="C2974" i="1"/>
  <c r="C2975" i="1"/>
  <c r="C2976" i="1"/>
  <c r="C2977" i="1"/>
  <c r="C2978" i="1"/>
  <c r="C2979" i="1"/>
  <c r="C2980" i="1"/>
  <c r="C2981" i="1"/>
  <c r="C2982" i="1"/>
  <c r="C2983" i="1"/>
  <c r="C2984" i="1"/>
  <c r="C2985" i="1"/>
  <c r="C2986" i="1"/>
  <c r="C2987" i="1"/>
  <c r="C2988" i="1"/>
  <c r="C2989" i="1"/>
  <c r="C2990" i="1"/>
  <c r="C2991" i="1"/>
  <c r="C2992" i="1"/>
  <c r="C2993" i="1"/>
  <c r="C2994" i="1"/>
  <c r="C2995" i="1"/>
  <c r="C2996" i="1"/>
  <c r="C2997" i="1"/>
  <c r="C2998" i="1"/>
  <c r="C2999" i="1"/>
  <c r="C3000" i="1"/>
  <c r="C3001" i="1"/>
  <c r="C3002" i="1"/>
  <c r="C3003" i="1"/>
  <c r="C3004" i="1"/>
  <c r="C3005" i="1"/>
  <c r="C3006" i="1"/>
  <c r="C3007" i="1"/>
  <c r="C3008" i="1"/>
  <c r="C3009" i="1"/>
  <c r="C3010" i="1"/>
  <c r="C3011" i="1"/>
  <c r="C3012" i="1"/>
  <c r="C3013" i="1"/>
  <c r="C3014" i="1"/>
  <c r="C3015" i="1"/>
  <c r="C3016" i="1"/>
  <c r="C3017" i="1"/>
  <c r="C3018" i="1"/>
  <c r="C3019" i="1"/>
  <c r="C3020" i="1"/>
  <c r="C3021" i="1"/>
  <c r="C3022" i="1"/>
  <c r="C3023" i="1"/>
  <c r="C3024" i="1"/>
  <c r="C3025" i="1"/>
  <c r="C3026" i="1"/>
  <c r="C3027" i="1"/>
  <c r="C3028" i="1"/>
  <c r="C3029" i="1"/>
  <c r="C3030" i="1"/>
  <c r="C3031" i="1"/>
  <c r="C3032" i="1"/>
  <c r="C3033" i="1"/>
  <c r="C3034" i="1"/>
  <c r="C3035" i="1"/>
  <c r="C3036" i="1"/>
  <c r="C3037" i="1"/>
  <c r="C3038" i="1"/>
  <c r="C3039" i="1"/>
  <c r="C3040" i="1"/>
  <c r="C3041" i="1"/>
  <c r="C3042" i="1"/>
  <c r="C3043" i="1"/>
  <c r="C3044" i="1"/>
  <c r="C3045" i="1"/>
  <c r="C3046" i="1"/>
  <c r="C3047" i="1"/>
  <c r="C3048" i="1"/>
  <c r="C3049" i="1"/>
  <c r="C3050" i="1"/>
  <c r="C3051" i="1"/>
  <c r="C3052" i="1"/>
  <c r="C3053" i="1"/>
  <c r="C3054" i="1"/>
  <c r="C3055" i="1"/>
  <c r="C3056" i="1"/>
  <c r="C3057" i="1"/>
  <c r="C3058" i="1"/>
  <c r="C3059" i="1"/>
  <c r="C3060" i="1"/>
  <c r="C3061" i="1"/>
  <c r="C3062" i="1"/>
  <c r="C3063" i="1"/>
  <c r="C3064" i="1"/>
  <c r="C3065" i="1"/>
  <c r="C3066" i="1"/>
  <c r="C3067" i="1"/>
  <c r="C3068" i="1"/>
  <c r="C3069" i="1"/>
  <c r="C3070" i="1"/>
  <c r="C3071" i="1"/>
  <c r="C3072" i="1"/>
  <c r="C3073" i="1"/>
  <c r="C3074" i="1"/>
  <c r="C3075" i="1"/>
  <c r="C3076" i="1"/>
  <c r="C3077" i="1"/>
  <c r="C3078" i="1"/>
  <c r="C3079" i="1"/>
  <c r="C3080" i="1"/>
  <c r="C3081" i="1"/>
  <c r="C3082" i="1"/>
  <c r="C3083" i="1"/>
  <c r="C3084" i="1"/>
  <c r="C3085" i="1"/>
  <c r="C3086" i="1"/>
  <c r="C3087" i="1"/>
  <c r="C3088" i="1"/>
  <c r="C3089" i="1"/>
  <c r="C3090" i="1"/>
  <c r="C3091" i="1"/>
  <c r="C3092" i="1"/>
  <c r="C3093" i="1"/>
  <c r="C3094" i="1"/>
  <c r="C3095" i="1"/>
  <c r="C3096" i="1"/>
  <c r="C3097" i="1"/>
  <c r="C3098" i="1"/>
  <c r="C3099" i="1"/>
  <c r="C3100" i="1"/>
  <c r="C3101" i="1"/>
  <c r="C3102" i="1"/>
  <c r="C3103" i="1"/>
  <c r="C3104" i="1"/>
  <c r="C3105" i="1"/>
  <c r="C3106" i="1"/>
  <c r="C3107" i="1"/>
  <c r="C3108" i="1"/>
  <c r="C3109" i="1"/>
  <c r="C3110" i="1"/>
  <c r="C3111" i="1"/>
  <c r="C3112" i="1"/>
  <c r="C3113" i="1"/>
  <c r="C3114" i="1"/>
  <c r="C3115" i="1"/>
  <c r="C3116" i="1"/>
  <c r="C3117" i="1"/>
  <c r="C3118" i="1"/>
  <c r="C3119" i="1"/>
  <c r="C3120" i="1"/>
  <c r="C3121" i="1"/>
  <c r="C3122" i="1"/>
  <c r="C3123" i="1"/>
  <c r="C3124" i="1"/>
  <c r="C3125" i="1"/>
  <c r="C3126" i="1"/>
  <c r="C3127" i="1"/>
  <c r="C3128" i="1"/>
  <c r="C3129" i="1"/>
  <c r="C3130" i="1"/>
  <c r="C3131" i="1"/>
  <c r="C3132" i="1"/>
  <c r="C3133" i="1"/>
  <c r="C3134" i="1"/>
  <c r="C3135" i="1"/>
  <c r="C3136" i="1"/>
  <c r="C3137" i="1"/>
  <c r="C3138" i="1"/>
  <c r="C3139" i="1"/>
  <c r="C3140" i="1"/>
  <c r="C3141" i="1"/>
  <c r="C3142" i="1"/>
  <c r="C3143" i="1"/>
  <c r="C3144" i="1"/>
  <c r="C3145" i="1"/>
  <c r="C3146" i="1"/>
  <c r="C3147" i="1"/>
  <c r="C3148" i="1"/>
  <c r="C3149" i="1"/>
  <c r="C3150" i="1"/>
  <c r="C3151" i="1"/>
  <c r="C3152" i="1"/>
  <c r="C3153" i="1"/>
  <c r="C3154" i="1"/>
  <c r="C3155" i="1"/>
  <c r="C3156" i="1"/>
  <c r="C3157" i="1"/>
  <c r="C3158" i="1"/>
  <c r="C3159" i="1"/>
  <c r="C3160" i="1"/>
  <c r="C3161" i="1"/>
  <c r="C3162" i="1"/>
  <c r="C3163" i="1"/>
  <c r="C3164" i="1"/>
  <c r="C3165" i="1"/>
  <c r="C3166" i="1"/>
  <c r="C3167" i="1"/>
  <c r="C3168" i="1"/>
  <c r="C3169" i="1"/>
  <c r="C3170" i="1"/>
  <c r="C3171" i="1"/>
  <c r="C3172" i="1"/>
  <c r="C3173" i="1"/>
  <c r="C3174" i="1"/>
  <c r="C3175" i="1"/>
  <c r="C3176" i="1"/>
  <c r="C3177" i="1"/>
  <c r="C3178" i="1"/>
  <c r="C3179" i="1"/>
  <c r="C3180" i="1"/>
  <c r="C3181" i="1"/>
  <c r="C3182" i="1"/>
  <c r="C3183" i="1"/>
  <c r="C3184" i="1"/>
  <c r="C3185" i="1"/>
  <c r="C3186" i="1"/>
  <c r="C3187" i="1"/>
  <c r="C3188" i="1"/>
  <c r="C3189" i="1"/>
  <c r="C3190" i="1"/>
  <c r="C3191" i="1"/>
  <c r="C3192" i="1"/>
  <c r="C3193" i="1"/>
  <c r="C3194" i="1"/>
  <c r="C3195" i="1"/>
  <c r="C3196" i="1"/>
  <c r="C3197" i="1"/>
  <c r="C3198" i="1"/>
  <c r="C3199" i="1"/>
  <c r="C3200" i="1"/>
  <c r="C3201" i="1"/>
  <c r="C3202" i="1"/>
  <c r="C3203" i="1"/>
  <c r="C3204" i="1"/>
  <c r="C3205" i="1"/>
  <c r="C3206" i="1"/>
  <c r="C3207" i="1"/>
  <c r="C3208" i="1"/>
  <c r="C3209" i="1"/>
  <c r="C3210" i="1"/>
  <c r="C3211" i="1"/>
  <c r="C3212" i="1"/>
  <c r="C3213" i="1"/>
  <c r="C3214" i="1"/>
  <c r="C3215" i="1"/>
  <c r="C3216" i="1"/>
  <c r="C3217" i="1"/>
  <c r="C3218" i="1"/>
  <c r="C3219" i="1"/>
  <c r="C3220" i="1"/>
  <c r="C3221" i="1"/>
  <c r="C3222" i="1"/>
  <c r="C3223" i="1"/>
  <c r="C3224" i="1"/>
  <c r="C3225" i="1"/>
  <c r="C3226" i="1"/>
  <c r="C3227" i="1"/>
  <c r="C3228" i="1"/>
  <c r="C3229" i="1"/>
  <c r="C3230" i="1"/>
  <c r="C3231" i="1"/>
  <c r="C3232" i="1"/>
  <c r="C3233" i="1"/>
  <c r="C3234" i="1"/>
  <c r="C3235" i="1"/>
  <c r="C3236" i="1"/>
  <c r="C3237" i="1"/>
  <c r="C3238" i="1"/>
  <c r="C3239" i="1"/>
  <c r="C3240" i="1"/>
  <c r="C3241" i="1"/>
  <c r="C3242" i="1"/>
  <c r="C3243" i="1"/>
  <c r="C3244" i="1"/>
  <c r="C3245" i="1"/>
  <c r="C3246" i="1"/>
  <c r="C3247" i="1"/>
  <c r="C3248" i="1"/>
  <c r="C3249" i="1"/>
  <c r="C3250" i="1"/>
  <c r="C3251" i="1"/>
  <c r="C3252" i="1"/>
  <c r="C3253" i="1"/>
  <c r="C3254" i="1"/>
  <c r="C3255" i="1"/>
  <c r="C3256" i="1"/>
  <c r="C3257" i="1"/>
  <c r="C3258" i="1"/>
  <c r="C3259" i="1"/>
  <c r="C3260" i="1"/>
  <c r="C3261" i="1"/>
  <c r="C3262" i="1"/>
  <c r="C3263" i="1"/>
  <c r="C3264" i="1"/>
  <c r="C3265" i="1"/>
  <c r="C3266" i="1"/>
  <c r="C3267" i="1"/>
  <c r="C3268" i="1"/>
  <c r="C3269" i="1"/>
  <c r="C3270" i="1"/>
  <c r="C3271" i="1"/>
  <c r="C3272" i="1"/>
  <c r="C3273" i="1"/>
  <c r="C3274" i="1"/>
  <c r="C3275" i="1"/>
  <c r="C3276" i="1"/>
  <c r="C3277" i="1"/>
  <c r="C3278" i="1"/>
  <c r="C3279" i="1"/>
  <c r="C3280" i="1"/>
  <c r="C3281" i="1"/>
  <c r="C3282" i="1"/>
  <c r="C3283" i="1"/>
  <c r="C3284" i="1"/>
  <c r="C3285" i="1"/>
  <c r="C3286" i="1"/>
  <c r="C3287" i="1"/>
  <c r="C3288" i="1"/>
  <c r="C3289" i="1"/>
  <c r="C3290" i="1"/>
  <c r="C3291" i="1"/>
  <c r="C3292" i="1"/>
  <c r="C3293" i="1"/>
  <c r="C3294" i="1"/>
  <c r="C3295" i="1"/>
  <c r="C3296" i="1"/>
  <c r="C3297" i="1"/>
  <c r="C3298" i="1"/>
  <c r="C3299" i="1"/>
  <c r="C3300" i="1"/>
  <c r="C3301" i="1"/>
  <c r="C3302" i="1"/>
  <c r="C3303" i="1"/>
  <c r="C3304" i="1"/>
  <c r="C3305" i="1"/>
  <c r="C3306" i="1"/>
  <c r="C3307" i="1"/>
  <c r="C3308" i="1"/>
  <c r="C3309" i="1"/>
  <c r="C3310" i="1"/>
  <c r="C3311" i="1"/>
  <c r="C3312" i="1"/>
  <c r="C3313" i="1"/>
  <c r="C3314" i="1"/>
  <c r="C3315" i="1"/>
  <c r="C3316" i="1"/>
  <c r="C3317" i="1"/>
  <c r="C3318" i="1"/>
  <c r="C3319" i="1"/>
  <c r="C3320" i="1"/>
  <c r="C3321" i="1"/>
  <c r="C3322" i="1"/>
  <c r="C3323" i="1"/>
  <c r="C3324" i="1"/>
  <c r="C3325" i="1"/>
  <c r="C3326" i="1"/>
  <c r="C3327" i="1"/>
  <c r="C3328" i="1"/>
  <c r="C3329" i="1"/>
  <c r="C3330" i="1"/>
  <c r="C3331" i="1"/>
  <c r="C3332" i="1"/>
  <c r="C3333" i="1"/>
  <c r="C3334" i="1"/>
  <c r="C3335" i="1"/>
  <c r="C3336" i="1"/>
  <c r="C3337" i="1"/>
  <c r="C3338" i="1"/>
  <c r="C3339" i="1"/>
  <c r="C3340" i="1"/>
  <c r="C3341" i="1"/>
  <c r="C3342" i="1"/>
  <c r="C3343" i="1"/>
  <c r="C3344" i="1"/>
  <c r="C3345" i="1"/>
  <c r="C3346" i="1"/>
  <c r="C3347" i="1"/>
  <c r="C3348" i="1"/>
  <c r="C3349" i="1"/>
  <c r="C3350" i="1"/>
  <c r="C3351" i="1"/>
  <c r="C3352" i="1"/>
  <c r="C3353" i="1"/>
  <c r="C3354" i="1"/>
  <c r="C3355" i="1"/>
  <c r="C3356" i="1"/>
  <c r="C3357" i="1"/>
  <c r="C3358" i="1"/>
  <c r="C3359" i="1"/>
  <c r="C3360" i="1"/>
  <c r="C3361" i="1"/>
  <c r="C3362" i="1"/>
  <c r="C3363" i="1"/>
  <c r="C3364" i="1"/>
  <c r="C3365" i="1"/>
  <c r="C3366" i="1"/>
  <c r="C3367" i="1"/>
  <c r="C3368" i="1"/>
  <c r="C3369" i="1"/>
  <c r="C3370" i="1"/>
  <c r="C3371" i="1"/>
  <c r="C3372" i="1"/>
  <c r="C3373" i="1"/>
  <c r="C3374" i="1"/>
  <c r="C3375" i="1"/>
  <c r="C3376" i="1"/>
  <c r="C3377" i="1"/>
  <c r="C3378" i="1"/>
  <c r="C3379" i="1"/>
  <c r="C3380" i="1"/>
  <c r="C3381" i="1"/>
  <c r="C3382" i="1"/>
  <c r="C3383" i="1"/>
  <c r="C3384" i="1"/>
  <c r="C3385" i="1"/>
  <c r="C3386" i="1"/>
  <c r="C3387" i="1"/>
  <c r="C3388" i="1"/>
  <c r="C3389" i="1"/>
  <c r="C3390" i="1"/>
  <c r="C3391" i="1"/>
  <c r="C3392" i="1"/>
  <c r="C3393" i="1"/>
  <c r="C3394" i="1"/>
  <c r="C3395" i="1"/>
  <c r="C3396" i="1"/>
  <c r="C3397" i="1"/>
  <c r="C3398" i="1"/>
  <c r="C3399" i="1"/>
  <c r="C3400" i="1"/>
  <c r="C3401" i="1"/>
  <c r="C3402" i="1"/>
  <c r="C3403" i="1"/>
  <c r="C3404" i="1"/>
  <c r="C3405" i="1"/>
  <c r="C3406" i="1"/>
  <c r="C3407" i="1"/>
  <c r="C3408" i="1"/>
  <c r="C3409" i="1"/>
  <c r="C3410" i="1"/>
  <c r="C3411" i="1"/>
  <c r="C3412" i="1"/>
  <c r="C3413" i="1"/>
  <c r="C3414" i="1"/>
  <c r="C3415" i="1"/>
  <c r="C3416" i="1"/>
  <c r="C3417" i="1"/>
  <c r="C3418" i="1"/>
  <c r="C3419" i="1"/>
  <c r="C3420" i="1"/>
  <c r="C3421" i="1"/>
  <c r="C3422" i="1"/>
  <c r="C3423" i="1"/>
  <c r="C3424" i="1"/>
  <c r="C3425" i="1"/>
  <c r="C3426" i="1"/>
  <c r="C3427" i="1"/>
  <c r="C3428" i="1"/>
  <c r="C3429" i="1"/>
  <c r="C3430" i="1"/>
  <c r="C3431" i="1"/>
  <c r="C3432" i="1"/>
  <c r="C3433" i="1"/>
  <c r="C3434" i="1"/>
  <c r="C3435" i="1"/>
  <c r="C3436" i="1"/>
  <c r="C3437" i="1"/>
  <c r="C3438" i="1"/>
  <c r="C3439" i="1"/>
  <c r="C3440" i="1"/>
  <c r="C3441" i="1"/>
  <c r="C3442" i="1"/>
  <c r="C3443" i="1"/>
  <c r="C3444" i="1"/>
  <c r="C3445" i="1"/>
  <c r="C3446" i="1"/>
  <c r="C3447" i="1"/>
  <c r="C3448" i="1"/>
  <c r="C3449" i="1"/>
  <c r="C3450" i="1"/>
  <c r="C3451" i="1"/>
  <c r="C3452" i="1"/>
  <c r="C3453" i="1"/>
  <c r="C3454" i="1"/>
  <c r="C3455" i="1"/>
  <c r="C3456" i="1"/>
  <c r="C3457" i="1"/>
  <c r="C3458" i="1"/>
  <c r="C3459" i="1"/>
  <c r="C3460" i="1"/>
  <c r="C3461" i="1"/>
  <c r="C3462" i="1"/>
  <c r="C3463" i="1"/>
  <c r="C3464" i="1"/>
  <c r="C3465" i="1"/>
  <c r="C3466" i="1"/>
  <c r="C3467" i="1"/>
  <c r="C3468" i="1"/>
  <c r="C3469" i="1"/>
  <c r="C3470" i="1"/>
  <c r="C3471" i="1"/>
  <c r="C3472" i="1"/>
  <c r="C3473" i="1"/>
  <c r="C3474" i="1"/>
  <c r="C3475" i="1"/>
  <c r="C3476" i="1"/>
  <c r="C3477" i="1"/>
  <c r="C3478" i="1"/>
  <c r="C3479" i="1"/>
  <c r="C3480" i="1"/>
  <c r="C3481" i="1"/>
  <c r="C3482" i="1"/>
  <c r="C3483" i="1"/>
  <c r="C3484" i="1"/>
  <c r="C3485" i="1"/>
  <c r="C3486" i="1"/>
  <c r="C3487" i="1"/>
  <c r="C3488" i="1"/>
  <c r="C3489" i="1"/>
  <c r="C3490" i="1"/>
  <c r="C3491" i="1"/>
  <c r="C3492" i="1"/>
  <c r="C3493" i="1"/>
  <c r="C3494" i="1"/>
  <c r="C3495" i="1"/>
  <c r="C3496" i="1"/>
  <c r="C3497" i="1"/>
  <c r="C3498" i="1"/>
  <c r="C3499" i="1"/>
  <c r="C3500" i="1"/>
  <c r="C3501" i="1"/>
  <c r="C3502" i="1"/>
  <c r="C3503" i="1"/>
  <c r="C3504" i="1"/>
  <c r="C3505" i="1"/>
  <c r="C3506" i="1"/>
  <c r="C3507" i="1"/>
  <c r="C3508" i="1"/>
  <c r="C3509" i="1"/>
  <c r="C3510" i="1"/>
  <c r="C3511" i="1"/>
  <c r="C3512" i="1"/>
  <c r="C3513" i="1"/>
  <c r="C3514" i="1"/>
  <c r="C3515" i="1"/>
  <c r="C3516" i="1"/>
  <c r="C3517" i="1"/>
  <c r="C3518" i="1"/>
  <c r="C3519" i="1"/>
  <c r="C3520" i="1"/>
  <c r="C3521" i="1"/>
  <c r="C3522" i="1"/>
  <c r="C3523" i="1"/>
  <c r="C3524" i="1"/>
  <c r="C3525" i="1"/>
  <c r="C3526" i="1"/>
  <c r="C3527" i="1"/>
  <c r="C3528" i="1"/>
  <c r="C3529" i="1"/>
  <c r="C3530" i="1"/>
  <c r="C3531" i="1"/>
  <c r="C3532" i="1"/>
  <c r="C3533" i="1"/>
  <c r="C3534" i="1"/>
  <c r="C3535" i="1"/>
  <c r="C3536" i="1"/>
  <c r="C3537" i="1"/>
  <c r="C3538" i="1"/>
  <c r="C3539" i="1"/>
  <c r="C3540" i="1"/>
  <c r="C3541" i="1"/>
  <c r="C3542" i="1"/>
  <c r="C3543" i="1"/>
  <c r="C3544" i="1"/>
  <c r="C3545" i="1"/>
  <c r="C3546" i="1"/>
  <c r="C3547" i="1"/>
  <c r="C3548" i="1"/>
  <c r="C3549" i="1"/>
  <c r="C3550" i="1"/>
  <c r="C3551" i="1"/>
  <c r="C3552" i="1"/>
  <c r="C3553" i="1"/>
  <c r="C3554" i="1"/>
  <c r="C3555" i="1"/>
  <c r="C3556" i="1"/>
  <c r="C3557" i="1"/>
  <c r="C3558" i="1"/>
  <c r="C3559" i="1"/>
  <c r="C3560" i="1"/>
  <c r="C3561" i="1"/>
  <c r="C3562" i="1"/>
  <c r="C3563" i="1"/>
  <c r="C3564" i="1"/>
  <c r="C3565" i="1"/>
  <c r="C3566" i="1"/>
  <c r="C3567" i="1"/>
  <c r="C3568" i="1"/>
  <c r="C3569" i="1"/>
  <c r="C3570" i="1"/>
  <c r="C3571" i="1"/>
  <c r="C3572" i="1"/>
  <c r="C3573" i="1"/>
  <c r="C3574" i="1"/>
  <c r="C3575" i="1"/>
  <c r="C3576" i="1"/>
  <c r="C3577" i="1"/>
  <c r="C3578" i="1"/>
  <c r="C3579" i="1"/>
  <c r="C3580" i="1"/>
  <c r="C3581" i="1"/>
  <c r="C3582" i="1"/>
  <c r="C3583" i="1"/>
  <c r="C3584" i="1"/>
  <c r="C3585" i="1"/>
  <c r="C3586" i="1"/>
  <c r="C3587" i="1"/>
  <c r="C3588" i="1"/>
  <c r="C3589" i="1"/>
  <c r="C3590" i="1"/>
  <c r="C3591" i="1"/>
  <c r="C3592" i="1"/>
  <c r="C3593" i="1"/>
  <c r="C3594" i="1"/>
  <c r="C3595" i="1"/>
  <c r="C3596" i="1"/>
  <c r="C3597" i="1"/>
  <c r="C3598" i="1"/>
  <c r="C3599" i="1"/>
  <c r="C3600" i="1"/>
  <c r="C3601" i="1"/>
  <c r="C3602" i="1"/>
  <c r="C3603" i="1"/>
  <c r="C3604" i="1"/>
  <c r="C3605" i="1"/>
  <c r="C3606" i="1"/>
  <c r="C3607" i="1"/>
  <c r="C3608" i="1"/>
  <c r="C3609" i="1"/>
  <c r="C3610" i="1"/>
  <c r="C3611" i="1"/>
  <c r="C3612" i="1"/>
  <c r="C3613" i="1"/>
  <c r="C3614" i="1"/>
  <c r="C3615" i="1"/>
  <c r="C3616" i="1"/>
  <c r="C3617" i="1"/>
  <c r="C3618" i="1"/>
  <c r="C3619" i="1"/>
  <c r="C3620" i="1"/>
  <c r="C3621" i="1"/>
  <c r="C3622" i="1"/>
  <c r="C3623" i="1"/>
  <c r="C3624" i="1"/>
  <c r="C3625" i="1"/>
  <c r="C3626" i="1"/>
  <c r="C3627" i="1"/>
  <c r="C3628" i="1"/>
  <c r="C3629" i="1"/>
  <c r="C3630" i="1"/>
  <c r="C3631" i="1"/>
  <c r="C3632" i="1"/>
  <c r="C3633" i="1"/>
  <c r="C3634" i="1"/>
  <c r="C3635" i="1"/>
  <c r="C3636" i="1"/>
  <c r="C3637" i="1"/>
  <c r="C3638" i="1"/>
  <c r="C3639" i="1"/>
  <c r="C3640" i="1"/>
  <c r="C3641" i="1"/>
  <c r="C3642" i="1"/>
  <c r="C3643" i="1"/>
  <c r="C3644" i="1"/>
  <c r="C3645" i="1"/>
  <c r="C3646" i="1"/>
  <c r="C3647" i="1"/>
  <c r="C3648" i="1"/>
  <c r="C3649" i="1"/>
  <c r="C3650" i="1"/>
  <c r="C3651" i="1"/>
  <c r="C3652" i="1"/>
  <c r="C3653" i="1"/>
  <c r="C3654" i="1"/>
  <c r="C3655" i="1"/>
  <c r="C3656" i="1"/>
  <c r="C3657" i="1"/>
  <c r="C3658" i="1"/>
  <c r="C3659" i="1"/>
  <c r="C3660" i="1"/>
  <c r="C3661" i="1"/>
  <c r="C3662" i="1"/>
  <c r="C3663" i="1"/>
  <c r="C3664" i="1"/>
  <c r="C3665" i="1"/>
  <c r="C3666" i="1"/>
  <c r="C3667" i="1"/>
  <c r="C3668" i="1"/>
  <c r="C3669" i="1"/>
  <c r="C3670" i="1"/>
  <c r="C3671" i="1"/>
  <c r="C3672" i="1"/>
  <c r="C3673" i="1"/>
  <c r="C3674" i="1"/>
  <c r="C3675" i="1"/>
  <c r="C3676" i="1"/>
  <c r="C3677" i="1"/>
  <c r="C3678" i="1"/>
  <c r="C3679" i="1"/>
  <c r="C3680" i="1"/>
  <c r="C3681" i="1"/>
  <c r="C3682" i="1"/>
  <c r="C3683" i="1"/>
  <c r="C3684" i="1"/>
  <c r="C3685" i="1"/>
  <c r="C3686" i="1"/>
  <c r="C3687" i="1"/>
  <c r="C3688" i="1"/>
  <c r="C3689" i="1"/>
  <c r="C3690" i="1"/>
  <c r="C3691" i="1"/>
  <c r="C3692" i="1"/>
  <c r="C3693" i="1"/>
  <c r="C3694" i="1"/>
  <c r="C3695" i="1"/>
  <c r="C3696" i="1"/>
  <c r="C3697" i="1"/>
  <c r="C3698" i="1"/>
  <c r="C3699" i="1"/>
  <c r="C3700" i="1"/>
  <c r="C3701" i="1"/>
  <c r="C3702" i="1"/>
  <c r="C3703" i="1"/>
  <c r="C3704" i="1"/>
  <c r="C3705" i="1"/>
  <c r="C3706" i="1"/>
  <c r="C3707" i="1"/>
  <c r="C3708" i="1"/>
  <c r="C3709" i="1"/>
  <c r="C3710" i="1"/>
  <c r="C3711" i="1"/>
  <c r="C3712" i="1"/>
  <c r="C3713" i="1"/>
  <c r="C3714" i="1"/>
  <c r="C3715" i="1"/>
  <c r="C3716" i="1"/>
  <c r="C3717" i="1"/>
  <c r="C3718" i="1"/>
  <c r="C3719" i="1"/>
  <c r="C3720" i="1"/>
  <c r="C3721" i="1"/>
  <c r="C3722" i="1"/>
  <c r="C3723" i="1"/>
  <c r="C3724" i="1"/>
  <c r="C3725" i="1"/>
  <c r="C3726" i="1"/>
  <c r="C3727" i="1"/>
  <c r="C3728" i="1"/>
  <c r="C3729" i="1"/>
  <c r="C3730" i="1"/>
  <c r="C3731" i="1"/>
  <c r="C3732" i="1"/>
  <c r="C3733" i="1"/>
  <c r="C3734" i="1"/>
  <c r="C3735" i="1"/>
  <c r="C3736" i="1"/>
  <c r="C3737" i="1"/>
  <c r="C3738" i="1"/>
  <c r="C3739" i="1"/>
  <c r="C3740" i="1"/>
  <c r="C3741" i="1"/>
  <c r="C3742" i="1"/>
  <c r="C3743" i="1"/>
  <c r="C3744" i="1"/>
  <c r="C3745" i="1"/>
  <c r="C3746" i="1"/>
  <c r="C3747" i="1"/>
  <c r="C3748" i="1"/>
  <c r="C3749" i="1"/>
  <c r="C3750" i="1"/>
  <c r="C3751" i="1"/>
  <c r="C3752" i="1"/>
  <c r="C3753" i="1"/>
  <c r="C3754" i="1"/>
  <c r="C3755" i="1"/>
  <c r="C3756" i="1"/>
  <c r="C3757" i="1"/>
  <c r="C3758" i="1"/>
  <c r="C3759" i="1"/>
  <c r="C3760" i="1"/>
  <c r="C3761" i="1"/>
  <c r="C3762" i="1"/>
  <c r="C3763" i="1"/>
  <c r="C3764" i="1"/>
  <c r="C3765" i="1"/>
  <c r="C3766" i="1"/>
  <c r="C3767" i="1"/>
  <c r="C3768" i="1"/>
  <c r="C3769" i="1"/>
  <c r="C3770" i="1"/>
  <c r="C3771" i="1"/>
  <c r="C3772" i="1"/>
  <c r="C3773" i="1"/>
  <c r="C3774" i="1"/>
  <c r="C3775" i="1"/>
  <c r="C3776" i="1"/>
  <c r="C3777" i="1"/>
  <c r="C3778" i="1"/>
  <c r="C3779" i="1"/>
  <c r="C3780" i="1"/>
  <c r="C3781" i="1"/>
  <c r="C3782" i="1"/>
  <c r="C3783" i="1"/>
  <c r="C3784" i="1"/>
  <c r="C3785" i="1"/>
  <c r="C3786" i="1"/>
  <c r="C3787" i="1"/>
  <c r="C3788" i="1"/>
  <c r="C3789" i="1"/>
  <c r="C3790" i="1"/>
  <c r="C3791" i="1"/>
  <c r="C3792" i="1"/>
  <c r="C3793" i="1"/>
  <c r="C3794" i="1"/>
  <c r="C3795" i="1"/>
  <c r="C3796" i="1"/>
  <c r="C3797" i="1"/>
  <c r="C3798" i="1"/>
  <c r="C3799" i="1"/>
  <c r="C3800" i="1"/>
  <c r="C3801" i="1"/>
  <c r="C3802" i="1"/>
  <c r="C3803" i="1"/>
  <c r="C3804" i="1"/>
  <c r="C3805" i="1"/>
  <c r="C3806" i="1"/>
  <c r="C3807" i="1"/>
  <c r="C3808" i="1"/>
  <c r="C3809" i="1"/>
  <c r="C3810" i="1"/>
  <c r="C3811" i="1"/>
  <c r="C3812" i="1"/>
  <c r="C3813" i="1"/>
  <c r="C3814" i="1"/>
  <c r="C3815" i="1"/>
  <c r="C3816" i="1"/>
  <c r="C3817" i="1"/>
  <c r="C3818" i="1"/>
  <c r="C3819" i="1"/>
  <c r="C3820" i="1"/>
  <c r="C3821" i="1"/>
  <c r="C3822" i="1"/>
  <c r="C3823" i="1"/>
  <c r="C3824" i="1"/>
  <c r="C3825" i="1"/>
  <c r="C3826" i="1"/>
  <c r="C3827" i="1"/>
  <c r="C3828" i="1"/>
  <c r="C3829" i="1"/>
  <c r="C3830" i="1"/>
  <c r="C3831" i="1"/>
  <c r="C3832" i="1"/>
  <c r="C3833" i="1"/>
  <c r="C3834" i="1"/>
  <c r="C3835" i="1"/>
  <c r="C3836" i="1"/>
  <c r="C3837" i="1"/>
  <c r="C3838" i="1"/>
  <c r="C3839" i="1"/>
  <c r="C3840" i="1"/>
  <c r="C3841" i="1"/>
  <c r="C3842" i="1"/>
  <c r="C3843" i="1"/>
  <c r="C3844" i="1"/>
  <c r="C3845" i="1"/>
  <c r="C3846" i="1"/>
  <c r="C3847" i="1"/>
  <c r="C3848" i="1"/>
  <c r="C3849" i="1"/>
  <c r="C3850" i="1"/>
  <c r="C3851" i="1"/>
  <c r="C3852" i="1"/>
  <c r="C3853" i="1"/>
  <c r="C3854" i="1"/>
  <c r="C3855" i="1"/>
  <c r="C3856" i="1"/>
  <c r="C3857" i="1"/>
  <c r="C3858" i="1"/>
  <c r="C3859" i="1"/>
  <c r="C3860" i="1"/>
  <c r="C3861" i="1"/>
  <c r="C3862" i="1"/>
  <c r="C3863" i="1"/>
  <c r="C3864" i="1"/>
  <c r="C3865" i="1"/>
  <c r="C3866" i="1"/>
  <c r="C3867" i="1"/>
  <c r="C3868" i="1"/>
  <c r="C3869" i="1"/>
  <c r="C3870" i="1"/>
  <c r="C3871" i="1"/>
  <c r="C3872" i="1"/>
  <c r="C3873" i="1"/>
  <c r="C3874" i="1"/>
  <c r="C3875" i="1"/>
  <c r="C3876" i="1"/>
  <c r="C3877" i="1"/>
  <c r="C3878" i="1"/>
  <c r="C3879" i="1"/>
  <c r="C3880" i="1"/>
  <c r="C3881" i="1"/>
  <c r="C3882" i="1"/>
  <c r="C3883" i="1"/>
  <c r="C3884" i="1"/>
  <c r="C3885" i="1"/>
  <c r="C3886" i="1"/>
  <c r="C3887" i="1"/>
  <c r="C3888" i="1"/>
  <c r="C3889" i="1"/>
  <c r="C3890" i="1"/>
  <c r="C3891" i="1"/>
  <c r="C3892" i="1"/>
  <c r="C3893" i="1"/>
  <c r="C3894" i="1"/>
  <c r="C3895" i="1"/>
  <c r="C3896" i="1"/>
  <c r="C3897" i="1"/>
  <c r="C3898" i="1"/>
  <c r="C3899" i="1"/>
  <c r="C3900" i="1"/>
  <c r="C3901" i="1"/>
  <c r="C3902" i="1"/>
  <c r="C3903" i="1"/>
  <c r="C3904" i="1"/>
  <c r="C3905" i="1"/>
  <c r="C3906" i="1"/>
  <c r="C3907" i="1"/>
  <c r="C3908" i="1"/>
  <c r="C3909" i="1"/>
  <c r="C3910" i="1"/>
  <c r="C3911" i="1"/>
  <c r="C3912" i="1"/>
  <c r="C3913" i="1"/>
  <c r="C3914" i="1"/>
  <c r="C3915" i="1"/>
  <c r="C3916" i="1"/>
  <c r="C3917" i="1"/>
  <c r="C3918" i="1"/>
  <c r="C3919" i="1"/>
  <c r="C3920" i="1"/>
  <c r="C3921" i="1"/>
  <c r="C3922" i="1"/>
  <c r="C3923" i="1"/>
  <c r="C3924" i="1"/>
  <c r="C3925" i="1"/>
  <c r="C3926" i="1"/>
  <c r="C3927" i="1"/>
  <c r="C3928" i="1"/>
  <c r="C3929" i="1"/>
  <c r="C3930" i="1"/>
  <c r="C3931" i="1"/>
  <c r="C3932" i="1"/>
  <c r="C3933" i="1"/>
  <c r="C3934" i="1"/>
  <c r="C3935" i="1"/>
  <c r="C3936" i="1"/>
  <c r="C3937" i="1"/>
  <c r="C3938" i="1"/>
  <c r="C3939" i="1"/>
  <c r="C3940" i="1"/>
  <c r="C3941" i="1"/>
  <c r="C3942" i="1"/>
  <c r="C3943" i="1"/>
  <c r="C3944" i="1"/>
  <c r="C3945" i="1"/>
  <c r="C3946" i="1"/>
  <c r="C3947" i="1"/>
  <c r="C3948" i="1"/>
  <c r="C3949" i="1"/>
  <c r="C3950" i="1"/>
  <c r="C3951" i="1"/>
  <c r="C3952" i="1"/>
  <c r="C3953" i="1"/>
  <c r="C3954" i="1"/>
  <c r="C3955" i="1"/>
  <c r="C3956" i="1"/>
  <c r="C3957" i="1"/>
  <c r="C3958" i="1"/>
  <c r="C3959" i="1"/>
  <c r="C3960" i="1"/>
  <c r="C3961" i="1"/>
  <c r="C3962" i="1"/>
  <c r="C3963" i="1"/>
  <c r="C3964" i="1"/>
  <c r="C3965" i="1"/>
  <c r="C3966" i="1"/>
  <c r="C3967" i="1"/>
  <c r="C3968" i="1"/>
  <c r="C3969" i="1"/>
  <c r="C3970" i="1"/>
  <c r="C3971" i="1"/>
  <c r="C3972" i="1"/>
  <c r="C3973" i="1"/>
  <c r="C3974" i="1"/>
  <c r="C3975" i="1"/>
  <c r="C3976" i="1"/>
  <c r="C3977" i="1"/>
  <c r="C3978" i="1"/>
  <c r="C3979" i="1"/>
  <c r="C3980" i="1"/>
  <c r="C3981" i="1"/>
  <c r="C3982" i="1"/>
  <c r="C3983" i="1"/>
  <c r="C3984" i="1"/>
  <c r="C3985" i="1"/>
  <c r="C3986" i="1"/>
  <c r="C3987" i="1"/>
  <c r="C3988" i="1"/>
  <c r="C3989" i="1"/>
  <c r="C3990" i="1"/>
  <c r="C3991" i="1"/>
  <c r="C3992" i="1"/>
  <c r="C3993" i="1"/>
  <c r="C3994" i="1"/>
  <c r="C3995" i="1"/>
  <c r="C3996" i="1"/>
  <c r="C3997" i="1"/>
  <c r="C3998" i="1"/>
  <c r="C3999" i="1"/>
  <c r="C4000" i="1"/>
  <c r="C4001" i="1"/>
  <c r="C4002" i="1"/>
  <c r="C4003" i="1"/>
  <c r="C4004" i="1"/>
  <c r="C4005" i="1"/>
  <c r="C4006" i="1"/>
  <c r="C4007" i="1"/>
  <c r="C4008" i="1"/>
  <c r="C4009" i="1"/>
  <c r="C4010" i="1"/>
  <c r="C4011" i="1"/>
  <c r="C4012" i="1"/>
  <c r="C4013" i="1"/>
  <c r="C4014" i="1"/>
  <c r="C4015" i="1"/>
  <c r="C4016" i="1"/>
  <c r="C4017" i="1"/>
  <c r="C4018" i="1"/>
  <c r="C4019" i="1"/>
  <c r="C4020" i="1"/>
  <c r="C4021" i="1"/>
  <c r="C4022" i="1"/>
  <c r="C4023" i="1"/>
  <c r="C4024" i="1"/>
  <c r="C4025" i="1"/>
  <c r="C4026" i="1"/>
  <c r="C4027" i="1"/>
  <c r="C4028" i="1"/>
  <c r="C4029" i="1"/>
  <c r="C4030" i="1"/>
  <c r="C4031" i="1"/>
  <c r="C4032" i="1"/>
  <c r="C4033" i="1"/>
  <c r="C4034" i="1"/>
  <c r="C4035" i="1"/>
  <c r="C4036" i="1"/>
  <c r="C4037" i="1"/>
  <c r="C4038" i="1"/>
  <c r="C4039" i="1"/>
  <c r="C4040" i="1"/>
  <c r="C4041" i="1"/>
  <c r="C4042" i="1"/>
  <c r="C4043" i="1"/>
  <c r="C4044" i="1"/>
  <c r="C4045" i="1"/>
  <c r="C4046" i="1"/>
  <c r="C4047" i="1"/>
  <c r="C4048" i="1"/>
  <c r="C4049" i="1"/>
  <c r="C4050" i="1"/>
  <c r="C4051" i="1"/>
  <c r="C4052" i="1"/>
  <c r="C4053" i="1"/>
  <c r="C4054" i="1"/>
  <c r="C4055" i="1"/>
  <c r="C4056" i="1"/>
  <c r="C4057" i="1"/>
  <c r="C4058" i="1"/>
  <c r="C4059" i="1"/>
  <c r="C4060" i="1"/>
  <c r="C4061" i="1"/>
  <c r="C4062" i="1"/>
  <c r="C4063" i="1"/>
  <c r="C4064" i="1"/>
  <c r="C4065" i="1"/>
  <c r="C4066" i="1"/>
  <c r="C4067" i="1"/>
  <c r="C4068" i="1"/>
  <c r="C4069" i="1"/>
  <c r="C4070" i="1"/>
  <c r="C4071" i="1"/>
  <c r="C4072" i="1"/>
  <c r="C4073" i="1"/>
  <c r="C4074" i="1"/>
  <c r="C4075" i="1"/>
  <c r="C4076" i="1"/>
  <c r="C4077" i="1"/>
  <c r="C4078" i="1"/>
  <c r="C4079" i="1"/>
  <c r="C4080" i="1"/>
  <c r="C4081" i="1"/>
  <c r="C4082" i="1"/>
  <c r="C4083" i="1"/>
  <c r="C4084" i="1"/>
  <c r="C4085" i="1"/>
  <c r="C4086" i="1"/>
  <c r="C4087" i="1"/>
  <c r="C4088" i="1"/>
  <c r="C4089" i="1"/>
  <c r="C4090" i="1"/>
  <c r="C4091" i="1"/>
  <c r="C4092" i="1"/>
  <c r="C4093" i="1"/>
  <c r="C4094" i="1"/>
  <c r="C4095" i="1"/>
  <c r="C4096" i="1"/>
  <c r="C4097" i="1"/>
  <c r="C4098" i="1"/>
  <c r="C4099" i="1"/>
  <c r="C4100" i="1"/>
  <c r="C4101" i="1"/>
  <c r="C4102" i="1"/>
  <c r="C4103" i="1"/>
  <c r="C4104" i="1"/>
  <c r="C4105" i="1"/>
  <c r="C4106" i="1"/>
  <c r="C4107" i="1"/>
  <c r="C4108" i="1"/>
  <c r="C4109" i="1"/>
  <c r="C4110" i="1"/>
  <c r="C4111" i="1"/>
  <c r="C4112" i="1"/>
  <c r="C4113" i="1"/>
  <c r="C4114" i="1"/>
  <c r="C4115" i="1"/>
  <c r="C4116" i="1"/>
  <c r="C4117" i="1"/>
  <c r="C4118" i="1"/>
  <c r="C4119" i="1"/>
  <c r="C4120" i="1"/>
  <c r="C4121" i="1"/>
  <c r="C4122" i="1"/>
  <c r="C4123" i="1"/>
  <c r="C4124" i="1"/>
  <c r="C4125" i="1"/>
  <c r="C4126" i="1"/>
  <c r="C4127" i="1"/>
  <c r="C4128" i="1"/>
  <c r="C4129" i="1"/>
  <c r="C4130" i="1"/>
  <c r="C4131" i="1"/>
  <c r="C4132" i="1"/>
  <c r="C4133" i="1"/>
  <c r="C4134" i="1"/>
  <c r="C4135" i="1"/>
  <c r="C4136" i="1"/>
  <c r="C4137" i="1"/>
  <c r="C4138" i="1"/>
  <c r="C4139" i="1"/>
  <c r="C4140" i="1"/>
  <c r="C4141" i="1"/>
  <c r="C4142" i="1"/>
  <c r="C4143" i="1"/>
  <c r="C4144" i="1"/>
  <c r="C4145" i="1"/>
  <c r="C4146" i="1"/>
  <c r="C4147" i="1"/>
  <c r="C4148" i="1"/>
  <c r="C4149" i="1"/>
  <c r="C4150" i="1"/>
  <c r="C4151" i="1"/>
  <c r="C4152" i="1"/>
  <c r="C4153" i="1"/>
  <c r="C4154" i="1"/>
  <c r="C4155" i="1"/>
  <c r="C4156" i="1"/>
  <c r="C4157" i="1"/>
  <c r="C4158" i="1"/>
  <c r="C4159" i="1"/>
  <c r="C4160" i="1"/>
  <c r="C4161" i="1"/>
  <c r="C4162" i="1"/>
  <c r="C4163" i="1"/>
  <c r="C4164" i="1"/>
  <c r="C4165" i="1"/>
  <c r="C4166" i="1"/>
  <c r="C4167" i="1"/>
  <c r="C4168" i="1"/>
  <c r="C4169" i="1"/>
  <c r="C4170" i="1"/>
  <c r="C4171" i="1"/>
  <c r="C4172" i="1"/>
  <c r="C4173" i="1"/>
  <c r="C4174" i="1"/>
  <c r="C4175" i="1"/>
  <c r="C4176" i="1"/>
  <c r="C4177" i="1"/>
  <c r="C4178" i="1"/>
  <c r="C4179" i="1"/>
  <c r="C4180" i="1"/>
  <c r="C4181" i="1"/>
  <c r="C4182" i="1"/>
  <c r="C4183" i="1"/>
  <c r="C4184" i="1"/>
  <c r="C4185" i="1"/>
  <c r="C4186" i="1"/>
  <c r="C4187" i="1"/>
  <c r="C4188" i="1"/>
  <c r="C4189" i="1"/>
  <c r="C4190" i="1"/>
  <c r="C4191" i="1"/>
  <c r="C4192" i="1"/>
  <c r="C4193" i="1"/>
  <c r="C4194" i="1"/>
  <c r="C4195" i="1"/>
  <c r="C4196" i="1"/>
  <c r="C4197" i="1"/>
  <c r="C4198" i="1"/>
  <c r="C4199" i="1"/>
  <c r="C4200" i="1"/>
  <c r="C4201" i="1"/>
  <c r="C4202" i="1"/>
  <c r="C4203" i="1"/>
  <c r="C4204" i="1"/>
  <c r="C4205" i="1"/>
  <c r="C4206" i="1"/>
  <c r="C4207" i="1"/>
  <c r="C4208" i="1"/>
  <c r="C4209" i="1"/>
  <c r="C4210" i="1"/>
  <c r="C4211" i="1"/>
  <c r="C4212" i="1"/>
  <c r="C4213" i="1"/>
  <c r="C4214" i="1"/>
  <c r="C4215" i="1"/>
  <c r="C4216" i="1"/>
  <c r="C4217" i="1"/>
  <c r="C4218" i="1"/>
  <c r="C4219" i="1"/>
  <c r="C4220" i="1"/>
  <c r="C4221" i="1"/>
  <c r="C4222" i="1"/>
  <c r="C4223" i="1"/>
  <c r="C4224" i="1"/>
  <c r="C4225" i="1"/>
  <c r="C4226" i="1"/>
  <c r="C4227" i="1"/>
  <c r="C4228" i="1"/>
  <c r="C4229" i="1"/>
  <c r="C4230" i="1"/>
  <c r="C4231" i="1"/>
  <c r="C4232" i="1"/>
  <c r="C4233" i="1"/>
  <c r="C4234" i="1"/>
  <c r="C4235" i="1"/>
  <c r="C4236" i="1"/>
  <c r="C4237" i="1"/>
  <c r="C4238" i="1"/>
  <c r="C4239" i="1"/>
  <c r="C4240" i="1"/>
  <c r="C4241" i="1"/>
  <c r="C4242" i="1"/>
  <c r="C4243" i="1"/>
  <c r="C4244" i="1"/>
  <c r="C4245" i="1"/>
  <c r="C4246" i="1"/>
  <c r="C4247" i="1"/>
  <c r="C4248" i="1"/>
  <c r="C4249" i="1"/>
  <c r="C4250" i="1"/>
  <c r="C4251" i="1"/>
  <c r="C4252" i="1"/>
  <c r="C4253" i="1"/>
  <c r="C4254" i="1"/>
  <c r="C4255" i="1"/>
  <c r="C4256" i="1"/>
  <c r="C4257" i="1"/>
  <c r="C4258" i="1"/>
  <c r="C4259" i="1"/>
  <c r="C4260" i="1"/>
  <c r="C4261" i="1"/>
  <c r="C4262" i="1"/>
  <c r="C4263" i="1"/>
  <c r="C4264" i="1"/>
  <c r="C4265" i="1"/>
  <c r="C4266" i="1"/>
  <c r="C4267" i="1"/>
  <c r="C4268" i="1"/>
  <c r="C4269" i="1"/>
  <c r="C4270" i="1"/>
  <c r="C4271" i="1"/>
  <c r="C4272" i="1"/>
  <c r="C4273" i="1"/>
  <c r="C4274" i="1"/>
  <c r="C4275" i="1"/>
  <c r="C4276" i="1"/>
  <c r="C4277" i="1"/>
  <c r="C4278" i="1"/>
  <c r="C4279" i="1"/>
  <c r="C4280" i="1"/>
  <c r="C4281" i="1"/>
  <c r="C4282" i="1"/>
  <c r="C4283" i="1"/>
  <c r="C4284" i="1"/>
  <c r="C4285" i="1"/>
  <c r="C4286" i="1"/>
  <c r="C4287" i="1"/>
  <c r="C4288" i="1"/>
  <c r="C4289" i="1"/>
  <c r="C4290" i="1"/>
  <c r="C4291" i="1"/>
  <c r="C4292" i="1"/>
  <c r="C4293" i="1"/>
  <c r="C4294" i="1"/>
  <c r="C4295" i="1"/>
  <c r="C4296" i="1"/>
  <c r="C4297" i="1"/>
  <c r="C4298" i="1"/>
  <c r="C4299" i="1"/>
  <c r="C4300" i="1"/>
  <c r="C4301" i="1"/>
  <c r="C4302" i="1"/>
  <c r="C4303" i="1"/>
  <c r="C4304" i="1"/>
  <c r="C4305" i="1"/>
  <c r="C4306" i="1"/>
  <c r="C4307" i="1"/>
  <c r="C4308" i="1"/>
  <c r="C4309" i="1"/>
  <c r="C4310" i="1"/>
  <c r="C4311" i="1"/>
  <c r="C4312" i="1"/>
  <c r="C4313" i="1"/>
  <c r="C4314" i="1"/>
  <c r="C4315" i="1"/>
  <c r="C4316" i="1"/>
  <c r="C4317" i="1"/>
  <c r="C4318" i="1"/>
  <c r="C4319" i="1"/>
  <c r="C4320" i="1"/>
  <c r="C4321" i="1"/>
  <c r="C4322" i="1"/>
  <c r="C4323" i="1"/>
  <c r="C4324" i="1"/>
  <c r="C4325" i="1"/>
  <c r="C4326" i="1"/>
  <c r="C4327" i="1"/>
  <c r="C4328" i="1"/>
  <c r="C4329" i="1"/>
  <c r="C4330" i="1"/>
  <c r="C4331" i="1"/>
  <c r="C4332" i="1"/>
  <c r="C4333" i="1"/>
  <c r="C4334" i="1"/>
  <c r="C4335" i="1"/>
  <c r="C4336" i="1"/>
  <c r="C4337" i="1"/>
  <c r="C4338" i="1"/>
  <c r="C4339" i="1"/>
  <c r="C4340" i="1"/>
  <c r="C4341" i="1"/>
  <c r="C4342" i="1"/>
  <c r="C4343" i="1"/>
  <c r="C4344" i="1"/>
  <c r="C4345" i="1"/>
  <c r="C4346" i="1"/>
  <c r="C4347" i="1"/>
  <c r="C4348" i="1"/>
  <c r="C4349" i="1"/>
  <c r="C4350" i="1"/>
  <c r="C4351" i="1"/>
  <c r="C4352" i="1"/>
  <c r="C4353" i="1"/>
  <c r="C4354" i="1"/>
  <c r="C4355" i="1"/>
  <c r="C4356" i="1"/>
  <c r="C4357" i="1"/>
  <c r="C4358" i="1"/>
  <c r="C4359" i="1"/>
  <c r="C4360" i="1"/>
  <c r="C4361" i="1"/>
  <c r="C4362" i="1"/>
  <c r="C4363" i="1"/>
  <c r="C4364" i="1"/>
  <c r="C4365" i="1"/>
  <c r="C4366" i="1"/>
  <c r="C4367" i="1"/>
  <c r="C4368" i="1"/>
  <c r="C4369" i="1"/>
  <c r="C4370" i="1"/>
  <c r="C4371" i="1"/>
  <c r="C4372" i="1"/>
  <c r="C4373" i="1"/>
  <c r="C4374" i="1"/>
  <c r="C4375" i="1"/>
  <c r="C4376" i="1"/>
  <c r="C4377" i="1"/>
  <c r="C4378" i="1"/>
  <c r="C4379" i="1"/>
  <c r="C4380" i="1"/>
  <c r="C4381" i="1"/>
  <c r="C4382" i="1"/>
  <c r="C4383" i="1"/>
  <c r="C4384" i="1"/>
  <c r="C4385" i="1"/>
  <c r="C4386" i="1"/>
  <c r="C4387" i="1"/>
  <c r="C4388" i="1"/>
  <c r="C4389" i="1"/>
  <c r="C4390" i="1"/>
  <c r="C4391" i="1"/>
  <c r="C4392" i="1"/>
  <c r="C4393" i="1"/>
  <c r="C4394" i="1"/>
  <c r="C4395" i="1"/>
  <c r="C4396" i="1"/>
  <c r="C4397" i="1"/>
  <c r="C4398" i="1"/>
  <c r="C4399" i="1"/>
  <c r="C4400" i="1"/>
  <c r="C4401" i="1"/>
  <c r="C4402" i="1"/>
  <c r="C4403" i="1"/>
  <c r="C4404" i="1"/>
  <c r="C4405" i="1"/>
  <c r="C4406" i="1"/>
  <c r="C4407" i="1"/>
  <c r="C4408" i="1"/>
  <c r="C4409" i="1"/>
  <c r="C4410" i="1"/>
  <c r="C4411" i="1"/>
  <c r="C4412" i="1"/>
  <c r="C4413" i="1"/>
  <c r="C4414" i="1"/>
  <c r="C4415" i="1"/>
  <c r="C4416" i="1"/>
  <c r="C4417" i="1"/>
  <c r="C4418" i="1"/>
  <c r="C4419" i="1"/>
  <c r="C4420" i="1"/>
  <c r="C4421" i="1"/>
  <c r="C4422" i="1"/>
  <c r="C4423" i="1"/>
  <c r="C4424" i="1"/>
  <c r="C4425" i="1"/>
  <c r="C4426" i="1"/>
  <c r="C4427" i="1"/>
  <c r="C4428" i="1"/>
  <c r="C4429" i="1"/>
  <c r="C4430" i="1"/>
  <c r="C4431" i="1"/>
  <c r="C4432" i="1"/>
  <c r="C4433" i="1"/>
  <c r="C4434" i="1"/>
  <c r="C4435" i="1"/>
  <c r="C4436" i="1"/>
  <c r="C4437" i="1"/>
  <c r="C4438" i="1"/>
  <c r="C4439" i="1"/>
  <c r="C4440" i="1"/>
  <c r="C4441" i="1"/>
  <c r="C4442" i="1"/>
  <c r="C4443" i="1"/>
  <c r="C4444" i="1"/>
  <c r="C4445" i="1"/>
  <c r="C4446" i="1"/>
  <c r="C4447" i="1"/>
  <c r="C4448" i="1"/>
  <c r="C4449" i="1"/>
  <c r="C4450" i="1"/>
  <c r="C4451" i="1"/>
  <c r="C4452" i="1"/>
  <c r="C4453" i="1"/>
  <c r="C4454" i="1"/>
  <c r="C4455" i="1"/>
  <c r="C4456" i="1"/>
  <c r="C4457" i="1"/>
  <c r="C4458" i="1"/>
  <c r="C4459" i="1"/>
  <c r="C4460" i="1"/>
  <c r="C4461" i="1"/>
  <c r="C4462" i="1"/>
  <c r="C4463" i="1"/>
  <c r="C4464" i="1"/>
  <c r="C4465" i="1"/>
  <c r="C4466" i="1"/>
  <c r="C4467" i="1"/>
  <c r="C4468" i="1"/>
  <c r="C4469" i="1"/>
  <c r="C4470" i="1"/>
  <c r="C4471" i="1"/>
  <c r="C4472" i="1"/>
  <c r="C4473" i="1"/>
  <c r="C4474" i="1"/>
  <c r="C4475" i="1"/>
  <c r="C4476" i="1"/>
  <c r="C4477" i="1"/>
  <c r="C4478" i="1"/>
  <c r="C4479" i="1"/>
  <c r="C4480" i="1"/>
  <c r="C4481" i="1"/>
  <c r="C4482" i="1"/>
  <c r="C4483" i="1"/>
  <c r="C4484" i="1"/>
  <c r="C4485" i="1"/>
  <c r="C4486" i="1"/>
  <c r="C4487" i="1"/>
  <c r="C4488" i="1"/>
  <c r="C4489" i="1"/>
  <c r="C4490" i="1"/>
  <c r="C4491" i="1"/>
  <c r="C4492" i="1"/>
  <c r="C4493" i="1"/>
  <c r="C4494" i="1"/>
  <c r="C4495" i="1"/>
  <c r="C4496" i="1"/>
  <c r="C4497" i="1"/>
  <c r="C4498" i="1"/>
  <c r="C4499" i="1"/>
  <c r="C4500" i="1"/>
  <c r="C4501" i="1"/>
  <c r="C4502" i="1"/>
  <c r="C4503" i="1"/>
  <c r="C4504" i="1"/>
  <c r="C4505" i="1"/>
  <c r="C4506" i="1"/>
  <c r="C4507" i="1"/>
  <c r="C4508" i="1"/>
  <c r="C4509" i="1"/>
  <c r="C4510" i="1"/>
  <c r="C4511" i="1"/>
  <c r="C4512" i="1"/>
  <c r="C4513" i="1"/>
  <c r="C4514" i="1"/>
  <c r="C4515" i="1"/>
  <c r="C4516" i="1"/>
  <c r="C4517" i="1"/>
  <c r="C4518" i="1"/>
  <c r="C4519" i="1"/>
  <c r="C4520" i="1"/>
  <c r="C4521" i="1"/>
  <c r="C4522" i="1"/>
  <c r="C4523" i="1"/>
  <c r="C4524" i="1"/>
  <c r="C4525" i="1"/>
  <c r="C4526" i="1"/>
  <c r="C4527" i="1"/>
  <c r="C4528" i="1"/>
  <c r="C4529" i="1"/>
  <c r="C4530" i="1"/>
  <c r="C4531" i="1"/>
  <c r="C4532" i="1"/>
  <c r="C4533" i="1"/>
  <c r="C4534" i="1"/>
  <c r="C4535" i="1"/>
  <c r="C4536" i="1"/>
  <c r="C4537" i="1"/>
  <c r="C4538" i="1"/>
  <c r="C4539" i="1"/>
  <c r="C4540" i="1"/>
  <c r="C4541" i="1"/>
  <c r="C4542" i="1"/>
  <c r="C4543" i="1"/>
  <c r="C4544" i="1"/>
  <c r="C4545" i="1"/>
  <c r="C4546" i="1"/>
  <c r="C4547" i="1"/>
  <c r="C4548" i="1"/>
  <c r="C4549" i="1"/>
  <c r="C4550" i="1"/>
  <c r="C4551" i="1"/>
  <c r="C4552" i="1"/>
  <c r="C4553" i="1"/>
  <c r="C4554" i="1"/>
  <c r="C4555" i="1"/>
  <c r="C4556" i="1"/>
  <c r="C4557" i="1"/>
  <c r="C4558" i="1"/>
  <c r="C4559" i="1"/>
  <c r="C4560" i="1"/>
  <c r="C4561" i="1"/>
  <c r="C4562" i="1"/>
  <c r="C4563" i="1"/>
  <c r="C4564" i="1"/>
  <c r="C4565" i="1"/>
  <c r="C4566" i="1"/>
  <c r="C4567" i="1"/>
  <c r="C4568" i="1"/>
  <c r="C4569" i="1"/>
  <c r="C4570" i="1"/>
  <c r="C4571" i="1"/>
  <c r="C4572" i="1"/>
  <c r="C4573" i="1"/>
  <c r="C4574" i="1"/>
  <c r="C4575" i="1"/>
  <c r="C4576" i="1"/>
  <c r="C4577" i="1"/>
  <c r="C4578" i="1"/>
  <c r="C4579" i="1"/>
  <c r="C4580" i="1"/>
  <c r="C4581" i="1"/>
  <c r="C4582" i="1"/>
  <c r="C4583" i="1"/>
  <c r="C4584" i="1"/>
  <c r="C4585" i="1"/>
  <c r="C4586" i="1"/>
  <c r="C4587" i="1"/>
  <c r="C4588" i="1"/>
  <c r="C4589" i="1"/>
  <c r="C4590" i="1"/>
  <c r="C4591" i="1"/>
  <c r="C4592" i="1"/>
  <c r="C4593" i="1"/>
  <c r="C4594" i="1"/>
  <c r="C4595" i="1"/>
  <c r="C4596" i="1"/>
  <c r="C4597" i="1"/>
  <c r="C4598" i="1"/>
  <c r="C4599" i="1"/>
  <c r="C4600" i="1"/>
  <c r="C4601" i="1"/>
  <c r="C4602" i="1"/>
  <c r="C4603" i="1"/>
  <c r="C4604" i="1"/>
  <c r="C4605" i="1"/>
  <c r="C4606" i="1"/>
  <c r="C4607" i="1"/>
  <c r="C4608" i="1"/>
  <c r="C4609" i="1"/>
  <c r="C4610" i="1"/>
  <c r="C4611" i="1"/>
  <c r="C4612" i="1"/>
  <c r="C4613" i="1"/>
  <c r="C4614" i="1"/>
  <c r="C4615" i="1"/>
  <c r="C4616" i="1"/>
  <c r="C4617" i="1"/>
  <c r="C4618" i="1"/>
  <c r="C4619" i="1"/>
  <c r="C4620" i="1"/>
  <c r="C4621" i="1"/>
  <c r="C4622" i="1"/>
  <c r="C4623" i="1"/>
  <c r="C4624" i="1"/>
  <c r="C4625" i="1"/>
  <c r="C4626" i="1"/>
  <c r="C4627" i="1"/>
  <c r="C4628" i="1"/>
  <c r="C4629" i="1"/>
  <c r="C4630" i="1"/>
  <c r="C4631" i="1"/>
  <c r="C4632" i="1"/>
  <c r="C4633" i="1"/>
  <c r="C4634" i="1"/>
  <c r="C4635" i="1"/>
  <c r="C4636" i="1"/>
  <c r="C4637" i="1"/>
  <c r="C4638" i="1"/>
  <c r="C4639" i="1"/>
  <c r="C4640" i="1"/>
  <c r="C4641" i="1"/>
  <c r="C4642" i="1"/>
  <c r="C4643" i="1"/>
  <c r="C4644" i="1"/>
  <c r="C4645" i="1"/>
  <c r="C4646" i="1"/>
  <c r="C4647" i="1"/>
  <c r="C4648" i="1"/>
  <c r="C4649" i="1"/>
  <c r="C4650" i="1"/>
  <c r="C4651" i="1"/>
  <c r="C4652" i="1"/>
  <c r="C4653" i="1"/>
  <c r="C4654" i="1"/>
  <c r="C4655" i="1"/>
  <c r="C4656" i="1"/>
  <c r="C4657" i="1"/>
  <c r="C4658" i="1"/>
  <c r="C4659" i="1"/>
  <c r="C4660" i="1"/>
  <c r="C4661" i="1"/>
  <c r="C4662" i="1"/>
  <c r="C4663" i="1"/>
  <c r="C4664" i="1"/>
  <c r="C4665" i="1"/>
  <c r="C4666" i="1"/>
  <c r="C4667" i="1"/>
  <c r="C4668" i="1"/>
  <c r="C4669" i="1"/>
  <c r="C4670" i="1"/>
  <c r="C4671" i="1"/>
  <c r="C4672" i="1"/>
  <c r="C4673" i="1"/>
  <c r="C4674" i="1"/>
  <c r="C4675" i="1"/>
  <c r="C4676" i="1"/>
  <c r="C4677" i="1"/>
  <c r="C4678" i="1"/>
  <c r="C4679" i="1"/>
  <c r="C4680" i="1"/>
  <c r="C4681" i="1"/>
  <c r="C4682" i="1"/>
  <c r="C4683" i="1"/>
  <c r="C4684" i="1"/>
  <c r="C4685" i="1"/>
  <c r="C4686" i="1"/>
  <c r="C4687" i="1"/>
  <c r="C4688" i="1"/>
  <c r="C4689" i="1"/>
  <c r="C4690" i="1"/>
  <c r="C4691" i="1"/>
  <c r="C4692" i="1"/>
  <c r="C4693" i="1"/>
  <c r="C4694" i="1"/>
  <c r="C4695" i="1"/>
  <c r="C4696" i="1"/>
  <c r="C4697" i="1"/>
  <c r="C4698" i="1"/>
  <c r="C4699" i="1"/>
  <c r="C4700" i="1"/>
  <c r="C4701" i="1"/>
  <c r="C4702" i="1"/>
  <c r="C4703" i="1"/>
  <c r="C4704" i="1"/>
  <c r="C4705" i="1"/>
  <c r="C4706" i="1"/>
  <c r="C4707" i="1"/>
  <c r="C4708" i="1"/>
  <c r="C4709" i="1"/>
  <c r="C4710" i="1"/>
  <c r="C4711" i="1"/>
  <c r="C4712" i="1"/>
  <c r="C4713" i="1"/>
  <c r="C4714" i="1"/>
  <c r="C4715" i="1"/>
  <c r="C4716" i="1"/>
  <c r="C4717" i="1"/>
  <c r="C4718" i="1"/>
  <c r="C4719" i="1"/>
  <c r="C4720" i="1"/>
  <c r="C4721" i="1"/>
  <c r="C4722" i="1"/>
  <c r="C4723" i="1"/>
  <c r="C4724" i="1"/>
  <c r="C4725" i="1"/>
  <c r="C4726" i="1"/>
  <c r="C4727" i="1"/>
  <c r="C4728" i="1"/>
  <c r="C4729" i="1"/>
  <c r="C4730" i="1"/>
  <c r="C4731" i="1"/>
  <c r="C4732" i="1"/>
  <c r="C4733" i="1"/>
  <c r="C4734" i="1"/>
  <c r="C4735" i="1"/>
  <c r="C4736" i="1"/>
  <c r="C4737" i="1"/>
  <c r="C4738" i="1"/>
  <c r="C4739" i="1"/>
  <c r="C4740" i="1"/>
  <c r="C4741" i="1"/>
  <c r="C4742" i="1"/>
  <c r="C4743" i="1"/>
  <c r="C4744" i="1"/>
  <c r="C4745" i="1"/>
  <c r="C4746" i="1"/>
  <c r="C4747" i="1"/>
  <c r="C4748" i="1"/>
  <c r="C4749" i="1"/>
  <c r="C4750" i="1"/>
  <c r="F2"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F1002" i="1"/>
  <c r="F1003" i="1"/>
  <c r="F1004" i="1"/>
  <c r="F1005" i="1"/>
  <c r="F1006" i="1"/>
  <c r="F1007" i="1"/>
  <c r="F1008" i="1"/>
  <c r="F1009" i="1"/>
  <c r="F1010" i="1"/>
  <c r="F1011" i="1"/>
  <c r="F1012" i="1"/>
  <c r="F1013" i="1"/>
  <c r="F1014" i="1"/>
  <c r="F1015" i="1"/>
  <c r="F1016" i="1"/>
  <c r="F1017" i="1"/>
  <c r="F1018" i="1"/>
  <c r="F1019" i="1"/>
  <c r="F1020" i="1"/>
  <c r="F1021" i="1"/>
  <c r="F1022" i="1"/>
  <c r="F1023" i="1"/>
  <c r="F1024" i="1"/>
  <c r="F1025" i="1"/>
  <c r="F1026" i="1"/>
  <c r="F1027" i="1"/>
  <c r="F1028" i="1"/>
  <c r="F1029" i="1"/>
  <c r="F1030" i="1"/>
  <c r="F1031" i="1"/>
  <c r="F1032" i="1"/>
  <c r="F1033" i="1"/>
  <c r="F1034" i="1"/>
  <c r="F1035" i="1"/>
  <c r="F1036" i="1"/>
  <c r="F1037" i="1"/>
  <c r="F1038" i="1"/>
  <c r="F1039" i="1"/>
  <c r="F1040" i="1"/>
  <c r="F1041" i="1"/>
  <c r="F1042" i="1"/>
  <c r="F1043" i="1"/>
  <c r="F1044" i="1"/>
  <c r="F1045" i="1"/>
  <c r="F1046" i="1"/>
  <c r="F1047" i="1"/>
  <c r="F1048" i="1"/>
  <c r="F1049" i="1"/>
  <c r="F1050" i="1"/>
  <c r="F1051" i="1"/>
  <c r="F1052" i="1"/>
  <c r="F1053" i="1"/>
  <c r="F1054" i="1"/>
  <c r="F1055" i="1"/>
  <c r="F1056" i="1"/>
  <c r="F1057" i="1"/>
  <c r="F1058" i="1"/>
  <c r="F1059" i="1"/>
  <c r="F1060" i="1"/>
  <c r="F1061" i="1"/>
  <c r="F1062" i="1"/>
  <c r="F1063" i="1"/>
  <c r="F1064" i="1"/>
  <c r="F1065" i="1"/>
  <c r="F1066" i="1"/>
  <c r="F1067" i="1"/>
  <c r="F1068" i="1"/>
  <c r="F1069" i="1"/>
  <c r="F1070" i="1"/>
  <c r="F1071" i="1"/>
  <c r="F1072" i="1"/>
  <c r="F1073" i="1"/>
  <c r="F1074" i="1"/>
  <c r="F1075" i="1"/>
  <c r="F1076" i="1"/>
  <c r="F1077" i="1"/>
  <c r="F1078" i="1"/>
  <c r="F1079" i="1"/>
  <c r="F1080" i="1"/>
  <c r="F1081" i="1"/>
  <c r="F1082" i="1"/>
  <c r="F1083" i="1"/>
  <c r="F1084" i="1"/>
  <c r="F1085" i="1"/>
  <c r="F1086" i="1"/>
  <c r="F1087" i="1"/>
  <c r="F1088" i="1"/>
  <c r="F1089" i="1"/>
  <c r="F1090" i="1"/>
  <c r="F1091" i="1"/>
  <c r="F1092" i="1"/>
  <c r="F1093" i="1"/>
  <c r="F1094" i="1"/>
  <c r="F1095" i="1"/>
  <c r="F1096" i="1"/>
  <c r="F1097" i="1"/>
  <c r="F1098" i="1"/>
  <c r="F1099" i="1"/>
  <c r="F1100" i="1"/>
  <c r="F1101" i="1"/>
  <c r="F1102" i="1"/>
  <c r="F1103" i="1"/>
  <c r="F1104" i="1"/>
  <c r="F1105" i="1"/>
  <c r="F1106" i="1"/>
  <c r="F1107" i="1"/>
  <c r="F1108" i="1"/>
  <c r="F1109" i="1"/>
  <c r="F1110" i="1"/>
  <c r="F1111" i="1"/>
  <c r="F1112" i="1"/>
  <c r="F1113" i="1"/>
  <c r="F1114" i="1"/>
  <c r="F1115" i="1"/>
  <c r="F1116" i="1"/>
  <c r="F1117" i="1"/>
  <c r="F1118" i="1"/>
  <c r="F1119" i="1"/>
  <c r="F1120" i="1"/>
  <c r="F1121" i="1"/>
  <c r="F1122" i="1"/>
  <c r="F1123" i="1"/>
  <c r="F1124" i="1"/>
  <c r="F1125" i="1"/>
  <c r="F1126" i="1"/>
  <c r="F1127" i="1"/>
  <c r="F1128" i="1"/>
  <c r="F1129" i="1"/>
  <c r="F1130" i="1"/>
  <c r="F1131" i="1"/>
  <c r="F1132" i="1"/>
  <c r="F1133" i="1"/>
  <c r="F1134" i="1"/>
  <c r="F1135" i="1"/>
  <c r="F1136" i="1"/>
  <c r="F1137" i="1"/>
  <c r="F1138" i="1"/>
  <c r="F1139" i="1"/>
  <c r="F1140" i="1"/>
  <c r="F1141" i="1"/>
  <c r="F1142" i="1"/>
  <c r="F1143" i="1"/>
  <c r="F1144" i="1"/>
  <c r="F1145" i="1"/>
  <c r="F1146" i="1"/>
  <c r="F1147" i="1"/>
  <c r="F1148" i="1"/>
  <c r="F1149" i="1"/>
  <c r="F1150" i="1"/>
  <c r="F1151" i="1"/>
  <c r="F1152" i="1"/>
  <c r="F1153" i="1"/>
  <c r="F1154" i="1"/>
  <c r="F1155" i="1"/>
  <c r="F1156" i="1"/>
  <c r="F1157" i="1"/>
  <c r="F1158" i="1"/>
  <c r="F1159" i="1"/>
  <c r="F1160" i="1"/>
  <c r="F1161" i="1"/>
  <c r="F1162" i="1"/>
  <c r="F1163" i="1"/>
  <c r="F1164" i="1"/>
  <c r="F1165" i="1"/>
  <c r="F1166" i="1"/>
  <c r="F1167" i="1"/>
  <c r="F1168" i="1"/>
  <c r="F1169" i="1"/>
  <c r="F1170" i="1"/>
  <c r="F1171" i="1"/>
  <c r="F1172" i="1"/>
  <c r="F1173" i="1"/>
  <c r="F1174" i="1"/>
  <c r="F1175" i="1"/>
  <c r="F1176" i="1"/>
  <c r="F1177" i="1"/>
  <c r="F1178" i="1"/>
  <c r="F1179" i="1"/>
  <c r="F1180" i="1"/>
  <c r="F1181" i="1"/>
  <c r="F1182" i="1"/>
  <c r="F1183" i="1"/>
  <c r="F1184" i="1"/>
  <c r="F1185" i="1"/>
  <c r="F1186" i="1"/>
  <c r="F1187" i="1"/>
  <c r="F1188" i="1"/>
  <c r="F1189" i="1"/>
  <c r="F1190" i="1"/>
  <c r="F1191" i="1"/>
  <c r="F1192" i="1"/>
  <c r="F1193" i="1"/>
  <c r="F1194" i="1"/>
  <c r="F1195" i="1"/>
  <c r="F1196" i="1"/>
  <c r="F1197" i="1"/>
  <c r="F1198" i="1"/>
  <c r="F1199" i="1"/>
  <c r="F1200" i="1"/>
  <c r="F1201" i="1"/>
  <c r="F1202" i="1"/>
  <c r="F1203" i="1"/>
  <c r="F1204" i="1"/>
  <c r="F1205" i="1"/>
  <c r="F1206" i="1"/>
  <c r="F1207" i="1"/>
  <c r="F1208" i="1"/>
  <c r="F1209" i="1"/>
  <c r="F1210" i="1"/>
  <c r="F1211" i="1"/>
  <c r="F1212" i="1"/>
  <c r="F1213" i="1"/>
  <c r="F1214" i="1"/>
  <c r="F1215" i="1"/>
  <c r="F1216" i="1"/>
  <c r="F1217" i="1"/>
  <c r="F1218" i="1"/>
  <c r="F1219" i="1"/>
  <c r="F1220" i="1"/>
  <c r="F1221" i="1"/>
  <c r="F1222" i="1"/>
  <c r="F1223" i="1"/>
  <c r="F1224" i="1"/>
  <c r="F1225" i="1"/>
  <c r="F1226" i="1"/>
  <c r="F1227" i="1"/>
  <c r="F1228" i="1"/>
  <c r="F1229" i="1"/>
  <c r="F1230" i="1"/>
  <c r="F1231" i="1"/>
  <c r="F1232" i="1"/>
  <c r="F1233" i="1"/>
  <c r="F1234" i="1"/>
  <c r="F1235" i="1"/>
  <c r="F1236" i="1"/>
  <c r="F1237" i="1"/>
  <c r="F1238" i="1"/>
  <c r="F1239" i="1"/>
  <c r="F1240" i="1"/>
  <c r="F1241" i="1"/>
  <c r="F1242" i="1"/>
  <c r="F1243" i="1"/>
  <c r="F1244" i="1"/>
  <c r="F1245" i="1"/>
  <c r="F1246" i="1"/>
  <c r="F1247" i="1"/>
  <c r="F1248" i="1"/>
  <c r="F1249" i="1"/>
  <c r="F1250" i="1"/>
  <c r="F1251" i="1"/>
  <c r="F1252" i="1"/>
  <c r="F1253" i="1"/>
  <c r="F1254" i="1"/>
  <c r="F1255" i="1"/>
  <c r="F1256" i="1"/>
  <c r="F1257" i="1"/>
  <c r="F1258" i="1"/>
  <c r="F1259" i="1"/>
  <c r="F1260" i="1"/>
  <c r="F1261" i="1"/>
  <c r="F1262" i="1"/>
  <c r="F1263" i="1"/>
  <c r="F1264" i="1"/>
  <c r="F1265" i="1"/>
  <c r="F1266" i="1"/>
  <c r="F1267" i="1"/>
  <c r="F1268" i="1"/>
  <c r="F1269" i="1"/>
  <c r="F1270" i="1"/>
  <c r="F1271" i="1"/>
  <c r="F1272" i="1"/>
  <c r="F1273" i="1"/>
  <c r="F1274" i="1"/>
  <c r="F1275" i="1"/>
  <c r="F1276" i="1"/>
  <c r="F1277" i="1"/>
  <c r="F1278" i="1"/>
  <c r="F1279" i="1"/>
  <c r="F1280" i="1"/>
  <c r="F1281" i="1"/>
  <c r="F1282" i="1"/>
  <c r="F1283" i="1"/>
  <c r="F1284" i="1"/>
  <c r="F1285" i="1"/>
  <c r="F1286" i="1"/>
  <c r="F1287" i="1"/>
  <c r="F1288" i="1"/>
  <c r="F1289" i="1"/>
  <c r="F1290" i="1"/>
  <c r="F1291" i="1"/>
  <c r="F1292" i="1"/>
  <c r="F1293" i="1"/>
  <c r="F1294" i="1"/>
  <c r="F1295" i="1"/>
  <c r="F1296" i="1"/>
  <c r="F1297" i="1"/>
  <c r="F1298" i="1"/>
  <c r="F1299" i="1"/>
  <c r="F1300" i="1"/>
  <c r="F1301" i="1"/>
  <c r="F1302" i="1"/>
  <c r="F1303" i="1"/>
  <c r="F1304" i="1"/>
  <c r="F1305" i="1"/>
  <c r="F1306" i="1"/>
  <c r="F1307" i="1"/>
  <c r="F1308" i="1"/>
  <c r="F1309" i="1"/>
  <c r="F1310" i="1"/>
  <c r="F1311" i="1"/>
  <c r="F1312" i="1"/>
  <c r="F1313" i="1"/>
  <c r="F1314" i="1"/>
  <c r="F1315" i="1"/>
  <c r="F1316" i="1"/>
  <c r="F1317" i="1"/>
  <c r="F1318" i="1"/>
  <c r="F1319" i="1"/>
  <c r="F1320" i="1"/>
  <c r="F1321" i="1"/>
  <c r="F1322" i="1"/>
  <c r="F1323" i="1"/>
  <c r="F1324" i="1"/>
  <c r="F1325" i="1"/>
  <c r="F1326" i="1"/>
  <c r="F1327" i="1"/>
  <c r="F1328" i="1"/>
  <c r="F1329" i="1"/>
  <c r="F1330" i="1"/>
  <c r="F1331" i="1"/>
  <c r="F1332" i="1"/>
  <c r="F1333" i="1"/>
  <c r="F1334" i="1"/>
  <c r="F1335" i="1"/>
  <c r="F1336" i="1"/>
  <c r="F1337" i="1"/>
  <c r="F1338" i="1"/>
  <c r="F1339" i="1"/>
  <c r="F1340" i="1"/>
  <c r="F1341" i="1"/>
  <c r="F1342" i="1"/>
  <c r="F1343" i="1"/>
  <c r="F1344" i="1"/>
  <c r="F1345" i="1"/>
  <c r="F1346" i="1"/>
  <c r="F1347" i="1"/>
  <c r="F1348" i="1"/>
  <c r="F1349" i="1"/>
  <c r="F1350" i="1"/>
  <c r="F1351" i="1"/>
  <c r="F1352" i="1"/>
  <c r="F1353" i="1"/>
  <c r="F1354" i="1"/>
  <c r="F1355" i="1"/>
  <c r="F1356" i="1"/>
  <c r="F1357" i="1"/>
  <c r="F1358" i="1"/>
  <c r="F1359" i="1"/>
  <c r="F1360" i="1"/>
  <c r="F1361" i="1"/>
  <c r="F1362" i="1"/>
  <c r="F1363" i="1"/>
  <c r="F1364" i="1"/>
  <c r="F1365" i="1"/>
  <c r="F1366" i="1"/>
  <c r="F1367" i="1"/>
  <c r="F1368" i="1"/>
  <c r="F1369" i="1"/>
  <c r="F1370" i="1"/>
  <c r="F1371" i="1"/>
  <c r="F1372" i="1"/>
  <c r="F1373" i="1"/>
  <c r="F1374" i="1"/>
  <c r="F1375" i="1"/>
  <c r="F1376" i="1"/>
  <c r="F1377" i="1"/>
  <c r="F1378" i="1"/>
  <c r="F1379" i="1"/>
  <c r="F1380" i="1"/>
  <c r="F1381" i="1"/>
  <c r="F1382" i="1"/>
  <c r="F1383" i="1"/>
  <c r="F1384" i="1"/>
  <c r="F1385" i="1"/>
  <c r="F1386" i="1"/>
  <c r="F1387" i="1"/>
  <c r="F1388" i="1"/>
  <c r="F1389" i="1"/>
  <c r="F1390" i="1"/>
  <c r="F1391" i="1"/>
  <c r="F1392" i="1"/>
  <c r="F1393" i="1"/>
  <c r="F1394" i="1"/>
  <c r="F1395" i="1"/>
  <c r="F1396" i="1"/>
  <c r="F1397" i="1"/>
  <c r="F1398" i="1"/>
  <c r="F1399" i="1"/>
  <c r="F1400" i="1"/>
  <c r="F1401" i="1"/>
  <c r="F1402" i="1"/>
  <c r="F1403" i="1"/>
  <c r="F1404" i="1"/>
  <c r="F1405" i="1"/>
  <c r="F1406" i="1"/>
  <c r="F1407" i="1"/>
  <c r="F1408" i="1"/>
  <c r="F1409" i="1"/>
  <c r="F1410" i="1"/>
  <c r="F1411" i="1"/>
  <c r="F1412" i="1"/>
  <c r="F1413" i="1"/>
  <c r="F1414" i="1"/>
  <c r="F1415" i="1"/>
  <c r="F1416" i="1"/>
  <c r="F1417" i="1"/>
  <c r="F1418" i="1"/>
  <c r="F1419" i="1"/>
  <c r="F1420" i="1"/>
  <c r="F1421" i="1"/>
  <c r="F1422" i="1"/>
  <c r="F1423" i="1"/>
  <c r="F1424" i="1"/>
  <c r="F1425" i="1"/>
  <c r="F1426" i="1"/>
  <c r="F1427" i="1"/>
  <c r="F1428" i="1"/>
  <c r="F1429" i="1"/>
  <c r="F1430" i="1"/>
  <c r="F1431" i="1"/>
  <c r="F1432" i="1"/>
  <c r="F1433" i="1"/>
  <c r="F1434" i="1"/>
  <c r="F1435" i="1"/>
  <c r="F1436" i="1"/>
  <c r="F1437" i="1"/>
  <c r="F1438" i="1"/>
  <c r="F1439" i="1"/>
  <c r="F1440" i="1"/>
  <c r="F1441" i="1"/>
  <c r="F1442" i="1"/>
  <c r="F1443" i="1"/>
  <c r="F1444" i="1"/>
  <c r="F1445" i="1"/>
  <c r="F1446" i="1"/>
  <c r="F1447" i="1"/>
  <c r="F1448" i="1"/>
  <c r="F1449" i="1"/>
  <c r="F1450" i="1"/>
  <c r="F1451" i="1"/>
  <c r="F1452" i="1"/>
  <c r="F1453" i="1"/>
  <c r="F1454" i="1"/>
  <c r="F1455" i="1"/>
  <c r="F1456" i="1"/>
  <c r="F1457" i="1"/>
  <c r="F1458" i="1"/>
  <c r="F1459" i="1"/>
  <c r="F1460" i="1"/>
  <c r="F1461" i="1"/>
  <c r="F1462" i="1"/>
  <c r="F1463" i="1"/>
  <c r="F1464" i="1"/>
  <c r="F1465" i="1"/>
  <c r="F1466" i="1"/>
  <c r="F1467" i="1"/>
  <c r="F1468" i="1"/>
  <c r="F1469" i="1"/>
  <c r="F1470" i="1"/>
  <c r="F1471" i="1"/>
  <c r="F1472" i="1"/>
  <c r="F1473" i="1"/>
  <c r="F1474" i="1"/>
  <c r="F1475" i="1"/>
  <c r="F1476" i="1"/>
  <c r="F1477" i="1"/>
  <c r="F1478" i="1"/>
  <c r="F1479" i="1"/>
  <c r="F1480" i="1"/>
  <c r="F1481" i="1"/>
  <c r="F1482" i="1"/>
  <c r="F1483" i="1"/>
  <c r="F1484" i="1"/>
  <c r="F1485" i="1"/>
  <c r="F1486" i="1"/>
  <c r="F1487" i="1"/>
  <c r="F1488" i="1"/>
  <c r="F1489" i="1"/>
  <c r="F1490" i="1"/>
  <c r="F1491" i="1"/>
  <c r="F1492" i="1"/>
  <c r="F1493" i="1"/>
  <c r="F1494" i="1"/>
  <c r="F1495" i="1"/>
  <c r="F1496" i="1"/>
  <c r="F1497" i="1"/>
  <c r="F1498" i="1"/>
  <c r="F1499" i="1"/>
  <c r="F1500" i="1"/>
  <c r="F1501" i="1"/>
  <c r="F1502" i="1"/>
  <c r="F1503" i="1"/>
  <c r="F1504" i="1"/>
  <c r="F1505" i="1"/>
  <c r="F1506" i="1"/>
  <c r="F1507" i="1"/>
  <c r="F1508" i="1"/>
  <c r="F1509" i="1"/>
  <c r="F1510" i="1"/>
  <c r="F1511" i="1"/>
  <c r="F1512" i="1"/>
  <c r="F1513" i="1"/>
  <c r="F1514" i="1"/>
  <c r="F1515" i="1"/>
  <c r="F1516" i="1"/>
  <c r="F1517" i="1"/>
  <c r="F1518" i="1"/>
  <c r="F1519" i="1"/>
  <c r="F1520" i="1"/>
  <c r="F1521" i="1"/>
  <c r="F1522" i="1"/>
  <c r="F1523" i="1"/>
  <c r="F1524" i="1"/>
  <c r="F1525" i="1"/>
  <c r="F1526" i="1"/>
  <c r="F1527" i="1"/>
  <c r="F1528" i="1"/>
  <c r="F1529" i="1"/>
  <c r="F1530" i="1"/>
  <c r="F1531" i="1"/>
  <c r="F1532" i="1"/>
  <c r="F1533" i="1"/>
  <c r="F1534" i="1"/>
  <c r="F1535" i="1"/>
  <c r="F1536" i="1"/>
  <c r="F1537" i="1"/>
  <c r="F1538" i="1"/>
  <c r="F1539" i="1"/>
  <c r="F1540" i="1"/>
  <c r="F1541" i="1"/>
  <c r="F1542" i="1"/>
  <c r="F1543" i="1"/>
  <c r="F1544" i="1"/>
  <c r="F1545" i="1"/>
  <c r="F1546" i="1"/>
  <c r="F1547" i="1"/>
  <c r="F1548" i="1"/>
  <c r="F1549" i="1"/>
  <c r="F1550" i="1"/>
  <c r="F1551" i="1"/>
  <c r="F1552" i="1"/>
  <c r="F1553" i="1"/>
  <c r="F1554" i="1"/>
  <c r="F1555" i="1"/>
  <c r="F1556" i="1"/>
  <c r="F1557" i="1"/>
  <c r="F1558" i="1"/>
  <c r="F1559" i="1"/>
  <c r="F1560" i="1"/>
  <c r="F1561" i="1"/>
  <c r="F1562" i="1"/>
  <c r="F1563" i="1"/>
  <c r="F1564" i="1"/>
  <c r="F1565" i="1"/>
  <c r="F1566" i="1"/>
  <c r="F1567" i="1"/>
  <c r="F1568" i="1"/>
  <c r="F1569" i="1"/>
  <c r="F1570" i="1"/>
  <c r="F1571" i="1"/>
  <c r="F1572" i="1"/>
  <c r="F1573" i="1"/>
  <c r="F1574" i="1"/>
  <c r="F1575" i="1"/>
  <c r="F1576" i="1"/>
  <c r="F1577" i="1"/>
  <c r="F1578" i="1"/>
  <c r="F1579" i="1"/>
  <c r="F1580" i="1"/>
  <c r="F1581" i="1"/>
  <c r="F1582" i="1"/>
  <c r="F1583" i="1"/>
  <c r="F1584" i="1"/>
  <c r="F1585" i="1"/>
  <c r="F1586" i="1"/>
  <c r="F1587" i="1"/>
  <c r="F1588" i="1"/>
  <c r="F1589" i="1"/>
  <c r="F1590" i="1"/>
  <c r="F1591" i="1"/>
  <c r="F1592" i="1"/>
  <c r="F1593" i="1"/>
  <c r="F1594" i="1"/>
  <c r="F1595" i="1"/>
  <c r="F1596" i="1"/>
  <c r="F1597" i="1"/>
  <c r="F1598" i="1"/>
  <c r="F1599" i="1"/>
  <c r="F1600" i="1"/>
  <c r="F1601" i="1"/>
  <c r="F1602" i="1"/>
  <c r="F1603" i="1"/>
  <c r="F1604" i="1"/>
  <c r="F1605" i="1"/>
  <c r="F1606" i="1"/>
  <c r="F1607" i="1"/>
  <c r="F1608" i="1"/>
  <c r="F1609" i="1"/>
  <c r="F1610" i="1"/>
  <c r="F1611" i="1"/>
  <c r="F1612" i="1"/>
  <c r="F1613" i="1"/>
  <c r="F1614" i="1"/>
  <c r="F1615" i="1"/>
  <c r="F1616" i="1"/>
  <c r="F1617" i="1"/>
  <c r="F1618" i="1"/>
  <c r="F1619" i="1"/>
  <c r="F1620" i="1"/>
  <c r="F1621" i="1"/>
  <c r="F1622" i="1"/>
  <c r="F1623" i="1"/>
  <c r="F1624" i="1"/>
  <c r="F1625" i="1"/>
  <c r="F1626" i="1"/>
  <c r="F1627" i="1"/>
  <c r="F1628" i="1"/>
  <c r="F1629" i="1"/>
  <c r="F1630" i="1"/>
  <c r="F1631" i="1"/>
  <c r="F1632" i="1"/>
  <c r="F1633" i="1"/>
  <c r="F1634" i="1"/>
  <c r="F1635" i="1"/>
  <c r="F1636" i="1"/>
  <c r="F1637" i="1"/>
  <c r="F1638" i="1"/>
  <c r="F1639" i="1"/>
  <c r="F1640" i="1"/>
  <c r="F1641" i="1"/>
  <c r="F1642" i="1"/>
  <c r="F1643" i="1"/>
  <c r="F1644" i="1"/>
  <c r="F1645" i="1"/>
  <c r="F1646" i="1"/>
  <c r="F1647" i="1"/>
  <c r="F1648" i="1"/>
  <c r="F1649" i="1"/>
  <c r="F1650" i="1"/>
  <c r="F1651" i="1"/>
  <c r="F1652" i="1"/>
  <c r="F1653" i="1"/>
  <c r="F1654" i="1"/>
  <c r="F1655" i="1"/>
  <c r="F1656" i="1"/>
  <c r="F1657" i="1"/>
  <c r="F1658" i="1"/>
  <c r="F1659" i="1"/>
  <c r="F1660" i="1"/>
  <c r="F1661" i="1"/>
  <c r="F1662" i="1"/>
  <c r="F1663" i="1"/>
  <c r="F1664" i="1"/>
  <c r="F1665" i="1"/>
  <c r="F1666" i="1"/>
  <c r="F1667" i="1"/>
  <c r="F1668" i="1"/>
  <c r="F1669" i="1"/>
  <c r="F1670" i="1"/>
  <c r="F1671" i="1"/>
  <c r="F1672" i="1"/>
  <c r="F1673" i="1"/>
  <c r="F1674" i="1"/>
  <c r="F1675" i="1"/>
  <c r="F1676" i="1"/>
  <c r="F1677" i="1"/>
  <c r="F1678" i="1"/>
  <c r="F1679" i="1"/>
  <c r="F1680" i="1"/>
  <c r="F1681" i="1"/>
  <c r="F1682" i="1"/>
  <c r="F1683" i="1"/>
  <c r="F1684" i="1"/>
  <c r="F1685" i="1"/>
  <c r="F1686" i="1"/>
  <c r="F1687" i="1"/>
  <c r="F1688" i="1"/>
  <c r="F1689" i="1"/>
  <c r="F1690" i="1"/>
  <c r="F1691" i="1"/>
  <c r="F1692" i="1"/>
  <c r="F1693" i="1"/>
  <c r="F1694" i="1"/>
  <c r="F1695" i="1"/>
  <c r="F1696" i="1"/>
  <c r="F1697" i="1"/>
  <c r="F1698" i="1"/>
  <c r="F1699" i="1"/>
  <c r="F1700" i="1"/>
  <c r="F1701" i="1"/>
  <c r="F1702" i="1"/>
  <c r="F1703" i="1"/>
  <c r="F1704" i="1"/>
  <c r="F1705" i="1"/>
  <c r="F1706" i="1"/>
  <c r="F1707" i="1"/>
  <c r="F1708" i="1"/>
  <c r="F1709" i="1"/>
  <c r="F1710" i="1"/>
  <c r="F1711" i="1"/>
  <c r="F1712" i="1"/>
  <c r="F1713" i="1"/>
  <c r="F1714" i="1"/>
  <c r="F1715" i="1"/>
  <c r="F1716" i="1"/>
  <c r="F1717" i="1"/>
  <c r="F1718" i="1"/>
  <c r="F1719" i="1"/>
  <c r="F1720" i="1"/>
  <c r="F1721" i="1"/>
  <c r="F1722" i="1"/>
  <c r="F1723" i="1"/>
  <c r="F1724" i="1"/>
  <c r="F1725" i="1"/>
  <c r="F1726" i="1"/>
  <c r="F1727" i="1"/>
  <c r="F1728" i="1"/>
  <c r="F1729" i="1"/>
  <c r="F1730" i="1"/>
  <c r="F1731" i="1"/>
  <c r="F1732" i="1"/>
  <c r="F1733" i="1"/>
  <c r="F1734" i="1"/>
  <c r="F1735" i="1"/>
  <c r="F1736" i="1"/>
  <c r="F1737" i="1"/>
  <c r="F1738" i="1"/>
  <c r="F1739" i="1"/>
  <c r="F1740" i="1"/>
  <c r="F1741" i="1"/>
  <c r="F1742" i="1"/>
  <c r="F1743" i="1"/>
  <c r="F1744" i="1"/>
  <c r="F1745" i="1"/>
  <c r="F1746" i="1"/>
  <c r="F1747" i="1"/>
  <c r="F1748" i="1"/>
  <c r="F1749" i="1"/>
  <c r="F1750" i="1"/>
  <c r="F1751" i="1"/>
  <c r="F1752" i="1"/>
  <c r="F1753" i="1"/>
  <c r="F1754" i="1"/>
  <c r="F1755" i="1"/>
  <c r="F1756" i="1"/>
  <c r="F1757" i="1"/>
  <c r="F1758" i="1"/>
  <c r="F1759" i="1"/>
  <c r="F1760" i="1"/>
  <c r="F1761" i="1"/>
  <c r="F1762" i="1"/>
  <c r="F1763" i="1"/>
  <c r="F1764" i="1"/>
  <c r="F1765" i="1"/>
  <c r="F1766" i="1"/>
  <c r="F1767" i="1"/>
  <c r="F1768" i="1"/>
  <c r="F1769" i="1"/>
  <c r="F1770" i="1"/>
  <c r="F1771" i="1"/>
  <c r="F1772" i="1"/>
  <c r="F1773" i="1"/>
  <c r="F1774" i="1"/>
  <c r="F1775" i="1"/>
  <c r="F1776" i="1"/>
  <c r="F1777" i="1"/>
  <c r="F1778" i="1"/>
  <c r="F1779" i="1"/>
  <c r="F1780" i="1"/>
  <c r="F1781" i="1"/>
  <c r="F1782" i="1"/>
  <c r="F1783" i="1"/>
  <c r="F1784" i="1"/>
  <c r="F1785" i="1"/>
  <c r="F1786" i="1"/>
  <c r="F1787" i="1"/>
  <c r="F1788" i="1"/>
  <c r="F1789" i="1"/>
  <c r="F1790" i="1"/>
  <c r="F1791" i="1"/>
  <c r="F1792" i="1"/>
  <c r="F1793" i="1"/>
  <c r="F1794" i="1"/>
  <c r="F1795" i="1"/>
  <c r="F1796" i="1"/>
  <c r="F1797" i="1"/>
  <c r="F1798" i="1"/>
  <c r="F1799" i="1"/>
  <c r="F1800" i="1"/>
  <c r="F1801" i="1"/>
  <c r="F1802" i="1"/>
  <c r="F1803" i="1"/>
  <c r="F1804" i="1"/>
  <c r="F1805" i="1"/>
  <c r="F1806" i="1"/>
  <c r="F1807" i="1"/>
  <c r="F1808" i="1"/>
  <c r="F1809" i="1"/>
  <c r="F1810" i="1"/>
  <c r="F1811" i="1"/>
  <c r="F1812" i="1"/>
  <c r="F1813" i="1"/>
  <c r="F1814" i="1"/>
  <c r="F1815" i="1"/>
  <c r="F1816" i="1"/>
  <c r="F1817" i="1"/>
  <c r="F1818" i="1"/>
  <c r="F1819" i="1"/>
  <c r="F1820" i="1"/>
  <c r="F1821" i="1"/>
  <c r="F1822" i="1"/>
  <c r="F1823" i="1"/>
  <c r="F1824" i="1"/>
  <c r="F1825" i="1"/>
  <c r="F1826" i="1"/>
  <c r="F1827" i="1"/>
  <c r="F1828" i="1"/>
  <c r="F1829" i="1"/>
  <c r="F1830" i="1"/>
  <c r="F1831" i="1"/>
  <c r="F1832" i="1"/>
  <c r="F1833" i="1"/>
  <c r="F1834" i="1"/>
  <c r="F1835" i="1"/>
  <c r="F1836" i="1"/>
  <c r="F1837" i="1"/>
  <c r="F1838" i="1"/>
  <c r="F1839" i="1"/>
  <c r="F1840" i="1"/>
  <c r="F1841" i="1"/>
  <c r="F1842" i="1"/>
  <c r="F1843" i="1"/>
  <c r="F1844" i="1"/>
  <c r="F1845" i="1"/>
  <c r="F1846" i="1"/>
  <c r="F1847" i="1"/>
  <c r="F1848" i="1"/>
  <c r="F1849" i="1"/>
  <c r="F1850" i="1"/>
  <c r="F1851" i="1"/>
  <c r="F1852" i="1"/>
  <c r="F1853" i="1"/>
  <c r="F1854" i="1"/>
  <c r="F1855" i="1"/>
  <c r="F1856" i="1"/>
  <c r="F1857" i="1"/>
  <c r="F1858" i="1"/>
  <c r="F1859" i="1"/>
  <c r="F1860" i="1"/>
  <c r="F1861" i="1"/>
  <c r="F1862" i="1"/>
  <c r="F1863" i="1"/>
  <c r="F1864" i="1"/>
  <c r="F1865" i="1"/>
  <c r="F1866" i="1"/>
  <c r="F1867" i="1"/>
  <c r="F1868" i="1"/>
  <c r="F1869" i="1"/>
  <c r="F1870" i="1"/>
  <c r="F1871" i="1"/>
  <c r="F1872" i="1"/>
  <c r="F1873" i="1"/>
  <c r="F1874" i="1"/>
  <c r="F1875" i="1"/>
  <c r="F1876" i="1"/>
  <c r="F1877" i="1"/>
  <c r="F1878" i="1"/>
  <c r="F1879" i="1"/>
  <c r="F1880" i="1"/>
  <c r="F1881" i="1"/>
  <c r="F1882" i="1"/>
  <c r="F1883" i="1"/>
  <c r="F1884" i="1"/>
  <c r="F1885" i="1"/>
  <c r="F1886" i="1"/>
  <c r="F1887" i="1"/>
  <c r="F1888" i="1"/>
  <c r="F1889" i="1"/>
  <c r="F1890" i="1"/>
  <c r="F1891" i="1"/>
  <c r="F1892" i="1"/>
  <c r="F1893" i="1"/>
  <c r="F1894" i="1"/>
  <c r="F1895" i="1"/>
  <c r="F1896" i="1"/>
  <c r="F1897" i="1"/>
  <c r="F1898" i="1"/>
  <c r="F1899" i="1"/>
  <c r="F1900" i="1"/>
  <c r="F1901" i="1"/>
  <c r="F1902" i="1"/>
  <c r="F1903" i="1"/>
  <c r="F1904" i="1"/>
  <c r="F1905" i="1"/>
  <c r="F1906" i="1"/>
  <c r="F1907" i="1"/>
  <c r="F1908" i="1"/>
  <c r="F1909" i="1"/>
  <c r="F1910" i="1"/>
  <c r="F1911" i="1"/>
  <c r="F1912" i="1"/>
  <c r="F1913" i="1"/>
  <c r="F1914" i="1"/>
  <c r="F1915" i="1"/>
  <c r="F1916" i="1"/>
  <c r="F1917" i="1"/>
  <c r="F1918" i="1"/>
  <c r="F1919" i="1"/>
  <c r="F1920" i="1"/>
  <c r="F1921" i="1"/>
  <c r="F1922" i="1"/>
  <c r="F1923" i="1"/>
  <c r="F1924" i="1"/>
  <c r="F1925" i="1"/>
  <c r="F1926" i="1"/>
  <c r="F1927" i="1"/>
  <c r="F1928" i="1"/>
  <c r="F1929" i="1"/>
  <c r="F1930" i="1"/>
  <c r="F1931" i="1"/>
  <c r="F1932" i="1"/>
  <c r="F1933" i="1"/>
  <c r="F1934" i="1"/>
  <c r="F1935" i="1"/>
  <c r="F1936" i="1"/>
  <c r="F1937" i="1"/>
  <c r="F1938" i="1"/>
  <c r="F1939" i="1"/>
  <c r="F1940" i="1"/>
  <c r="F1941" i="1"/>
  <c r="F1942" i="1"/>
  <c r="F1943" i="1"/>
  <c r="F1944" i="1"/>
  <c r="F1945" i="1"/>
  <c r="F1946" i="1"/>
  <c r="F1947" i="1"/>
  <c r="F1948" i="1"/>
  <c r="F1949" i="1"/>
  <c r="F1950" i="1"/>
  <c r="F1951" i="1"/>
  <c r="F1952" i="1"/>
  <c r="F1953" i="1"/>
  <c r="F1954" i="1"/>
  <c r="F1955" i="1"/>
  <c r="F1956" i="1"/>
  <c r="F1957" i="1"/>
  <c r="F1958" i="1"/>
  <c r="F1959" i="1"/>
  <c r="F1960" i="1"/>
  <c r="F1961" i="1"/>
  <c r="F1962" i="1"/>
  <c r="F1963" i="1"/>
  <c r="F1964" i="1"/>
  <c r="F1965" i="1"/>
  <c r="F1966" i="1"/>
  <c r="F1967" i="1"/>
  <c r="F1968" i="1"/>
  <c r="F1969" i="1"/>
  <c r="F1970" i="1"/>
  <c r="F1971" i="1"/>
  <c r="F1972" i="1"/>
  <c r="F1973" i="1"/>
  <c r="F1974" i="1"/>
  <c r="F1975" i="1"/>
  <c r="F1976" i="1"/>
  <c r="F1977" i="1"/>
  <c r="F1978" i="1"/>
  <c r="F1979" i="1"/>
  <c r="F1980" i="1"/>
  <c r="F1981" i="1"/>
  <c r="F1982" i="1"/>
  <c r="F1983" i="1"/>
  <c r="F1984" i="1"/>
  <c r="F1985" i="1"/>
  <c r="F1986" i="1"/>
  <c r="F1987" i="1"/>
  <c r="F1988" i="1"/>
  <c r="F1989" i="1"/>
  <c r="F1990" i="1"/>
  <c r="F1991" i="1"/>
  <c r="F1992" i="1"/>
  <c r="F1993" i="1"/>
  <c r="F1994" i="1"/>
  <c r="F1995" i="1"/>
  <c r="F1996" i="1"/>
  <c r="F1997" i="1"/>
  <c r="F1998" i="1"/>
  <c r="F1999" i="1"/>
  <c r="F2000" i="1"/>
  <c r="F2001" i="1"/>
  <c r="F2002" i="1"/>
  <c r="F2003" i="1"/>
  <c r="F2004" i="1"/>
  <c r="F2005" i="1"/>
  <c r="F2006" i="1"/>
  <c r="F2007" i="1"/>
  <c r="F2008" i="1"/>
  <c r="F2009" i="1"/>
  <c r="F2010" i="1"/>
  <c r="F2011" i="1"/>
  <c r="F2012" i="1"/>
  <c r="F2013" i="1"/>
  <c r="F2014" i="1"/>
  <c r="F2015" i="1"/>
  <c r="F2016" i="1"/>
  <c r="F2017" i="1"/>
  <c r="F2018" i="1"/>
  <c r="F2019" i="1"/>
  <c r="F2020" i="1"/>
  <c r="F2021" i="1"/>
  <c r="F2022" i="1"/>
  <c r="F2023" i="1"/>
  <c r="F2024" i="1"/>
  <c r="F2025" i="1"/>
  <c r="F2026" i="1"/>
  <c r="F2027" i="1"/>
  <c r="F2028" i="1"/>
  <c r="F2029" i="1"/>
  <c r="F2030" i="1"/>
  <c r="F2031" i="1"/>
  <c r="F2032" i="1"/>
  <c r="F2033" i="1"/>
  <c r="F2034" i="1"/>
  <c r="F2035" i="1"/>
  <c r="F2036" i="1"/>
  <c r="F2037" i="1"/>
  <c r="F2038" i="1"/>
  <c r="F2039" i="1"/>
  <c r="F2040" i="1"/>
  <c r="F2041" i="1"/>
  <c r="F2042" i="1"/>
  <c r="F2043" i="1"/>
  <c r="F2044" i="1"/>
  <c r="F2045" i="1"/>
  <c r="F2046" i="1"/>
  <c r="F2047" i="1"/>
  <c r="F2048" i="1"/>
  <c r="F2049" i="1"/>
  <c r="F2050" i="1"/>
  <c r="F2051" i="1"/>
  <c r="F2052" i="1"/>
  <c r="F2053" i="1"/>
  <c r="F2054" i="1"/>
  <c r="F2055" i="1"/>
  <c r="F2056" i="1"/>
  <c r="F2057" i="1"/>
  <c r="F2058" i="1"/>
  <c r="F2059" i="1"/>
  <c r="F2060" i="1"/>
  <c r="F2061" i="1"/>
  <c r="F2062" i="1"/>
  <c r="F2063" i="1"/>
  <c r="F2064" i="1"/>
  <c r="F2065" i="1"/>
  <c r="F2066" i="1"/>
  <c r="F2067" i="1"/>
  <c r="F2068" i="1"/>
  <c r="F2069" i="1"/>
  <c r="F2070" i="1"/>
  <c r="F2071" i="1"/>
  <c r="F2072" i="1"/>
  <c r="F2073" i="1"/>
  <c r="F2074" i="1"/>
  <c r="F2075" i="1"/>
  <c r="F2076" i="1"/>
  <c r="F2077" i="1"/>
  <c r="F2078" i="1"/>
  <c r="F2079" i="1"/>
  <c r="F2080" i="1"/>
  <c r="F2081" i="1"/>
  <c r="F2082" i="1"/>
  <c r="F2083" i="1"/>
  <c r="F2084" i="1"/>
  <c r="F2085" i="1"/>
  <c r="F2086" i="1"/>
  <c r="F2087" i="1"/>
  <c r="F2088" i="1"/>
  <c r="F2089" i="1"/>
  <c r="F2090" i="1"/>
  <c r="F2091" i="1"/>
  <c r="F2092" i="1"/>
  <c r="F2093" i="1"/>
  <c r="F2094" i="1"/>
  <c r="F2095" i="1"/>
  <c r="F2096" i="1"/>
  <c r="F2097" i="1"/>
  <c r="F2098" i="1"/>
  <c r="F2099" i="1"/>
  <c r="F2100" i="1"/>
  <c r="F2101" i="1"/>
  <c r="F2102" i="1"/>
  <c r="F2103" i="1"/>
  <c r="F2104" i="1"/>
  <c r="F2105" i="1"/>
  <c r="F2106" i="1"/>
  <c r="F2107" i="1"/>
  <c r="F2108" i="1"/>
  <c r="F2109" i="1"/>
  <c r="F2110" i="1"/>
  <c r="F2111" i="1"/>
  <c r="F2112" i="1"/>
  <c r="F2113" i="1"/>
  <c r="F2114" i="1"/>
  <c r="F2115" i="1"/>
  <c r="F2116" i="1"/>
  <c r="F2117" i="1"/>
  <c r="F2118" i="1"/>
  <c r="F2119" i="1"/>
  <c r="F2120" i="1"/>
  <c r="F2121" i="1"/>
  <c r="F2122" i="1"/>
  <c r="F2123" i="1"/>
  <c r="F2124" i="1"/>
  <c r="F2125" i="1"/>
  <c r="F2126" i="1"/>
  <c r="F2127" i="1"/>
  <c r="F2128" i="1"/>
  <c r="F2129" i="1"/>
  <c r="F2130" i="1"/>
  <c r="F2131" i="1"/>
  <c r="F2132" i="1"/>
  <c r="F2133" i="1"/>
  <c r="F2134" i="1"/>
  <c r="F2135" i="1"/>
  <c r="F2136" i="1"/>
  <c r="F2137" i="1"/>
  <c r="F2138" i="1"/>
  <c r="F2139" i="1"/>
  <c r="F2140" i="1"/>
  <c r="F2141" i="1"/>
  <c r="F2142" i="1"/>
  <c r="F2143" i="1"/>
  <c r="F2144" i="1"/>
  <c r="F2145" i="1"/>
  <c r="F2146" i="1"/>
  <c r="F2147" i="1"/>
  <c r="F2148" i="1"/>
  <c r="F2149" i="1"/>
  <c r="F2150" i="1"/>
  <c r="F2151" i="1"/>
  <c r="F2152" i="1"/>
  <c r="F2153" i="1"/>
  <c r="F2154" i="1"/>
  <c r="F2155" i="1"/>
  <c r="F2156" i="1"/>
  <c r="F2157" i="1"/>
  <c r="F2158" i="1"/>
  <c r="F2159" i="1"/>
  <c r="F2160" i="1"/>
  <c r="F2161" i="1"/>
  <c r="F2162" i="1"/>
  <c r="F2163" i="1"/>
  <c r="F2164" i="1"/>
  <c r="F2165" i="1"/>
  <c r="F2166" i="1"/>
  <c r="F2167" i="1"/>
  <c r="F2168" i="1"/>
  <c r="F2169" i="1"/>
  <c r="F2170" i="1"/>
  <c r="F2171" i="1"/>
  <c r="F2172" i="1"/>
  <c r="F2173" i="1"/>
  <c r="F2174" i="1"/>
  <c r="F2175" i="1"/>
  <c r="F2176" i="1"/>
  <c r="F2177" i="1"/>
  <c r="F2178" i="1"/>
  <c r="F2179" i="1"/>
  <c r="F2180" i="1"/>
  <c r="F2181" i="1"/>
  <c r="F2182" i="1"/>
  <c r="F2183" i="1"/>
  <c r="F2184" i="1"/>
  <c r="F2185" i="1"/>
  <c r="F2186" i="1"/>
  <c r="F2187" i="1"/>
  <c r="F2188" i="1"/>
  <c r="F2189" i="1"/>
  <c r="F2190" i="1"/>
  <c r="F2191" i="1"/>
  <c r="F2192" i="1"/>
  <c r="F2193" i="1"/>
  <c r="F2194" i="1"/>
  <c r="F2195" i="1"/>
  <c r="F2196" i="1"/>
  <c r="F2197" i="1"/>
  <c r="F2198" i="1"/>
  <c r="F2199" i="1"/>
  <c r="F2200" i="1"/>
  <c r="F2201" i="1"/>
  <c r="F2202" i="1"/>
  <c r="F2203" i="1"/>
  <c r="F2204" i="1"/>
  <c r="F2205" i="1"/>
  <c r="F2206" i="1"/>
  <c r="F2207" i="1"/>
  <c r="F2208" i="1"/>
  <c r="F2209" i="1"/>
  <c r="F2210" i="1"/>
  <c r="F2211" i="1"/>
  <c r="F2212" i="1"/>
  <c r="F2213" i="1"/>
  <c r="F2214" i="1"/>
  <c r="F2215" i="1"/>
  <c r="F2216" i="1"/>
  <c r="F2217" i="1"/>
  <c r="F2218" i="1"/>
  <c r="F2219" i="1"/>
  <c r="F2220" i="1"/>
  <c r="F2221" i="1"/>
  <c r="F2222" i="1"/>
  <c r="F2223" i="1"/>
  <c r="F2224" i="1"/>
  <c r="F2225" i="1"/>
  <c r="F2226" i="1"/>
  <c r="F2227" i="1"/>
  <c r="F2228" i="1"/>
  <c r="F2229" i="1"/>
  <c r="F2230" i="1"/>
  <c r="F2231" i="1"/>
  <c r="F2232" i="1"/>
  <c r="F2233" i="1"/>
  <c r="F2234" i="1"/>
  <c r="F2235" i="1"/>
  <c r="F2236" i="1"/>
  <c r="F2237" i="1"/>
  <c r="F2238" i="1"/>
  <c r="F2239" i="1"/>
  <c r="F2240" i="1"/>
  <c r="F2241" i="1"/>
  <c r="F2242" i="1"/>
  <c r="F2243" i="1"/>
  <c r="F2244" i="1"/>
  <c r="F2245" i="1"/>
  <c r="F2246" i="1"/>
  <c r="F2247" i="1"/>
  <c r="F2248" i="1"/>
  <c r="F2249" i="1"/>
  <c r="F2250" i="1"/>
  <c r="F2251" i="1"/>
  <c r="F2252" i="1"/>
  <c r="F2253" i="1"/>
  <c r="F2254" i="1"/>
  <c r="F2255" i="1"/>
  <c r="F2256" i="1"/>
  <c r="F2257" i="1"/>
  <c r="F2258" i="1"/>
  <c r="F2259" i="1"/>
  <c r="F2260" i="1"/>
  <c r="F2261" i="1"/>
  <c r="F2262" i="1"/>
  <c r="F2263" i="1"/>
  <c r="F2264" i="1"/>
  <c r="F2265" i="1"/>
  <c r="F2266" i="1"/>
  <c r="F2267" i="1"/>
  <c r="F2268" i="1"/>
  <c r="F2269" i="1"/>
  <c r="F2270" i="1"/>
  <c r="F2271" i="1"/>
  <c r="F2272" i="1"/>
  <c r="F2273" i="1"/>
  <c r="F2274" i="1"/>
  <c r="F2275" i="1"/>
  <c r="F2276" i="1"/>
  <c r="F2277" i="1"/>
  <c r="F2278" i="1"/>
  <c r="F2279" i="1"/>
  <c r="F2280" i="1"/>
  <c r="F2281" i="1"/>
  <c r="F2282" i="1"/>
  <c r="F2283" i="1"/>
  <c r="F2284" i="1"/>
  <c r="F2285" i="1"/>
  <c r="F2286" i="1"/>
  <c r="F2287" i="1"/>
  <c r="F2288" i="1"/>
  <c r="F2289" i="1"/>
  <c r="F2290" i="1"/>
  <c r="F2291" i="1"/>
  <c r="F2292" i="1"/>
  <c r="F2293" i="1"/>
  <c r="F2294" i="1"/>
  <c r="F2295" i="1"/>
  <c r="F2296" i="1"/>
  <c r="F2297" i="1"/>
  <c r="F2298" i="1"/>
  <c r="F2299" i="1"/>
  <c r="F2300" i="1"/>
  <c r="F2301" i="1"/>
  <c r="F2302" i="1"/>
  <c r="F2303" i="1"/>
  <c r="F2304" i="1"/>
  <c r="F2305" i="1"/>
  <c r="F2306" i="1"/>
  <c r="F2307" i="1"/>
  <c r="F2308" i="1"/>
  <c r="F2309" i="1"/>
  <c r="F2310" i="1"/>
  <c r="F2311" i="1"/>
  <c r="F2312" i="1"/>
  <c r="F2313" i="1"/>
  <c r="F2314" i="1"/>
  <c r="F2315" i="1"/>
  <c r="F2316" i="1"/>
  <c r="F2317" i="1"/>
  <c r="F2318" i="1"/>
  <c r="F2319" i="1"/>
  <c r="F2320" i="1"/>
  <c r="F2321" i="1"/>
  <c r="F2322" i="1"/>
  <c r="F2323" i="1"/>
  <c r="F2324" i="1"/>
  <c r="F2325" i="1"/>
  <c r="F2326" i="1"/>
  <c r="F2327" i="1"/>
  <c r="F2328" i="1"/>
  <c r="F2329" i="1"/>
  <c r="F2330" i="1"/>
  <c r="F2331" i="1"/>
  <c r="F2332" i="1"/>
  <c r="F2333" i="1"/>
  <c r="F2334" i="1"/>
  <c r="F2335" i="1"/>
  <c r="F2336" i="1"/>
  <c r="F2337" i="1"/>
  <c r="F2338" i="1"/>
  <c r="F2339" i="1"/>
  <c r="F2340" i="1"/>
  <c r="F2341" i="1"/>
  <c r="F2342" i="1"/>
  <c r="F2343" i="1"/>
  <c r="F2344" i="1"/>
  <c r="F2345" i="1"/>
  <c r="F2346" i="1"/>
  <c r="F2347" i="1"/>
  <c r="F2348" i="1"/>
  <c r="F2349" i="1"/>
  <c r="F2350" i="1"/>
  <c r="F2351" i="1"/>
  <c r="F2352" i="1"/>
  <c r="F2353" i="1"/>
  <c r="F2354" i="1"/>
  <c r="F2355" i="1"/>
  <c r="F2356" i="1"/>
  <c r="F2357" i="1"/>
  <c r="F2358" i="1"/>
  <c r="F2359" i="1"/>
  <c r="F2360" i="1"/>
  <c r="F2361" i="1"/>
  <c r="F2362" i="1"/>
  <c r="F2363" i="1"/>
  <c r="F2364" i="1"/>
  <c r="F2365" i="1"/>
  <c r="F2366" i="1"/>
  <c r="F2367" i="1"/>
  <c r="F2368" i="1"/>
  <c r="F2369" i="1"/>
  <c r="F2370" i="1"/>
  <c r="F2371" i="1"/>
  <c r="F2372" i="1"/>
  <c r="F2373" i="1"/>
  <c r="F2374" i="1"/>
  <c r="F2375" i="1"/>
  <c r="F2376" i="1"/>
  <c r="F2377" i="1"/>
  <c r="F2378" i="1"/>
  <c r="F2379" i="1"/>
  <c r="F2380" i="1"/>
  <c r="F2381" i="1"/>
  <c r="F2382" i="1"/>
  <c r="F2383" i="1"/>
  <c r="F2384" i="1"/>
  <c r="F2385" i="1"/>
  <c r="F2386" i="1"/>
  <c r="F2387" i="1"/>
  <c r="F2388" i="1"/>
  <c r="F2389" i="1"/>
  <c r="F2390" i="1"/>
  <c r="F2391" i="1"/>
  <c r="F2392" i="1"/>
  <c r="F2393" i="1"/>
  <c r="F2394" i="1"/>
  <c r="F2395" i="1"/>
  <c r="F2396" i="1"/>
  <c r="F2397" i="1"/>
  <c r="F2398" i="1"/>
  <c r="F2399" i="1"/>
  <c r="F2400" i="1"/>
  <c r="F2401" i="1"/>
  <c r="F2402" i="1"/>
  <c r="F2403" i="1"/>
  <c r="F2404" i="1"/>
  <c r="F2405" i="1"/>
  <c r="F2406" i="1"/>
  <c r="F2407" i="1"/>
  <c r="F2408" i="1"/>
  <c r="F2409" i="1"/>
  <c r="F2410" i="1"/>
  <c r="F2411" i="1"/>
  <c r="F2412" i="1"/>
  <c r="F2413" i="1"/>
  <c r="F2414" i="1"/>
  <c r="F2415" i="1"/>
  <c r="F2416" i="1"/>
  <c r="F2417" i="1"/>
  <c r="F2418" i="1"/>
  <c r="F2419" i="1"/>
  <c r="F2420" i="1"/>
  <c r="F2421" i="1"/>
  <c r="F2422" i="1"/>
  <c r="F2423" i="1"/>
  <c r="F2424" i="1"/>
  <c r="F2425" i="1"/>
  <c r="F2426" i="1"/>
  <c r="F2427" i="1"/>
  <c r="F2428" i="1"/>
  <c r="F2429" i="1"/>
  <c r="F2430" i="1"/>
  <c r="F2431" i="1"/>
  <c r="F2432" i="1"/>
  <c r="F2433" i="1"/>
  <c r="F2434" i="1"/>
  <c r="F2435" i="1"/>
  <c r="F2436" i="1"/>
  <c r="F2437" i="1"/>
  <c r="F2438" i="1"/>
  <c r="F2439" i="1"/>
  <c r="F2440" i="1"/>
  <c r="F2441" i="1"/>
  <c r="F2442" i="1"/>
  <c r="F2443" i="1"/>
  <c r="F2444" i="1"/>
  <c r="F2445" i="1"/>
  <c r="F2446" i="1"/>
  <c r="F2447" i="1"/>
  <c r="F2448" i="1"/>
  <c r="F2449" i="1"/>
  <c r="F2450" i="1"/>
  <c r="F2451" i="1"/>
  <c r="F2452" i="1"/>
  <c r="F2453" i="1"/>
  <c r="F2454" i="1"/>
  <c r="F2455" i="1"/>
  <c r="F2456" i="1"/>
  <c r="F2457" i="1"/>
  <c r="F2458" i="1"/>
  <c r="F2459" i="1"/>
  <c r="F2460" i="1"/>
  <c r="F2461" i="1"/>
  <c r="F2462" i="1"/>
  <c r="F2463" i="1"/>
  <c r="F2464" i="1"/>
  <c r="F2465" i="1"/>
  <c r="F2466" i="1"/>
  <c r="F2467" i="1"/>
  <c r="F2468" i="1"/>
  <c r="F2469" i="1"/>
  <c r="F2470" i="1"/>
  <c r="F2471" i="1"/>
  <c r="F2472" i="1"/>
  <c r="F2473" i="1"/>
  <c r="F2474" i="1"/>
  <c r="F2475" i="1"/>
  <c r="F2476" i="1"/>
  <c r="F2477" i="1"/>
  <c r="F2478" i="1"/>
  <c r="F2479" i="1"/>
  <c r="F2480" i="1"/>
  <c r="F2481" i="1"/>
  <c r="F2482" i="1"/>
  <c r="F2483" i="1"/>
  <c r="F2484" i="1"/>
  <c r="F2485" i="1"/>
  <c r="F2486" i="1"/>
  <c r="F2487" i="1"/>
  <c r="F2488" i="1"/>
  <c r="F2489" i="1"/>
  <c r="F2490" i="1"/>
  <c r="F2491" i="1"/>
  <c r="F2492" i="1"/>
  <c r="F2493" i="1"/>
  <c r="F2494" i="1"/>
  <c r="F2495" i="1"/>
  <c r="F2496" i="1"/>
  <c r="F2497" i="1"/>
  <c r="F2498" i="1"/>
  <c r="F2499" i="1"/>
  <c r="F2500" i="1"/>
  <c r="F2501" i="1"/>
  <c r="F2502" i="1"/>
  <c r="F2503" i="1"/>
  <c r="F2504" i="1"/>
  <c r="F2505" i="1"/>
  <c r="F2506" i="1"/>
  <c r="F2507" i="1"/>
  <c r="F2508" i="1"/>
  <c r="F2509" i="1"/>
  <c r="F2510" i="1"/>
  <c r="F2511" i="1"/>
  <c r="F2512" i="1"/>
  <c r="F2513" i="1"/>
  <c r="F2514" i="1"/>
  <c r="F2515" i="1"/>
  <c r="F2516" i="1"/>
  <c r="F2517" i="1"/>
  <c r="F2518" i="1"/>
  <c r="F2519" i="1"/>
  <c r="F2520" i="1"/>
  <c r="F2521" i="1"/>
  <c r="F2522" i="1"/>
  <c r="F2523" i="1"/>
  <c r="F2524" i="1"/>
  <c r="F2525" i="1"/>
  <c r="F2526" i="1"/>
  <c r="F2527" i="1"/>
  <c r="F2528" i="1"/>
  <c r="F2529" i="1"/>
  <c r="F2530" i="1"/>
  <c r="F2531" i="1"/>
  <c r="F2532" i="1"/>
  <c r="F2533" i="1"/>
  <c r="F2534" i="1"/>
  <c r="F2535" i="1"/>
  <c r="F2536" i="1"/>
  <c r="F2537" i="1"/>
  <c r="F2538" i="1"/>
  <c r="F2539" i="1"/>
  <c r="F2540" i="1"/>
  <c r="F2541" i="1"/>
  <c r="F2542" i="1"/>
  <c r="F2543" i="1"/>
  <c r="F2544" i="1"/>
  <c r="F2545" i="1"/>
  <c r="F2546" i="1"/>
  <c r="F2547" i="1"/>
  <c r="F2548" i="1"/>
  <c r="F2549" i="1"/>
  <c r="F2550" i="1"/>
  <c r="F2551" i="1"/>
  <c r="F2552" i="1"/>
  <c r="F2553" i="1"/>
  <c r="F2554" i="1"/>
  <c r="F2555" i="1"/>
  <c r="F2556" i="1"/>
  <c r="F2557" i="1"/>
  <c r="F2558" i="1"/>
  <c r="F2559" i="1"/>
  <c r="F2560" i="1"/>
  <c r="F2561" i="1"/>
  <c r="F2562" i="1"/>
  <c r="F2563" i="1"/>
  <c r="F2564" i="1"/>
  <c r="F2565" i="1"/>
  <c r="F2566" i="1"/>
  <c r="F2567" i="1"/>
  <c r="F2568" i="1"/>
  <c r="F2569" i="1"/>
  <c r="F2570" i="1"/>
  <c r="F2571" i="1"/>
  <c r="F2572" i="1"/>
  <c r="F2573" i="1"/>
  <c r="F2574" i="1"/>
  <c r="F2575" i="1"/>
  <c r="F2576" i="1"/>
  <c r="F2577" i="1"/>
  <c r="F2578" i="1"/>
  <c r="F2579" i="1"/>
  <c r="F2580" i="1"/>
  <c r="F2581" i="1"/>
  <c r="F2582" i="1"/>
  <c r="F2583" i="1"/>
  <c r="F2584" i="1"/>
  <c r="F2585" i="1"/>
  <c r="F2586" i="1"/>
  <c r="F2587" i="1"/>
  <c r="F2588" i="1"/>
  <c r="F2589" i="1"/>
  <c r="F2590" i="1"/>
  <c r="F2591" i="1"/>
  <c r="F2592" i="1"/>
  <c r="F2593" i="1"/>
  <c r="F2594" i="1"/>
  <c r="F2595" i="1"/>
  <c r="F2596" i="1"/>
  <c r="F2597" i="1"/>
  <c r="F2598" i="1"/>
  <c r="F2599" i="1"/>
  <c r="F2600" i="1"/>
  <c r="F2601" i="1"/>
  <c r="F2602" i="1"/>
  <c r="F2603" i="1"/>
  <c r="F2604" i="1"/>
  <c r="F2605" i="1"/>
  <c r="F2606" i="1"/>
  <c r="F2607" i="1"/>
  <c r="F2608" i="1"/>
  <c r="F2609" i="1"/>
  <c r="F2610" i="1"/>
  <c r="F2611" i="1"/>
  <c r="F2612" i="1"/>
  <c r="F2613" i="1"/>
  <c r="F2614" i="1"/>
  <c r="F2615" i="1"/>
  <c r="F2616" i="1"/>
  <c r="F2617" i="1"/>
  <c r="F2618" i="1"/>
  <c r="F2619" i="1"/>
  <c r="F2620" i="1"/>
  <c r="F2621" i="1"/>
  <c r="F2622" i="1"/>
  <c r="F2623" i="1"/>
  <c r="F2624" i="1"/>
  <c r="F2625" i="1"/>
  <c r="F2626" i="1"/>
  <c r="F2627" i="1"/>
  <c r="F2628" i="1"/>
  <c r="F2629" i="1"/>
  <c r="F2630" i="1"/>
  <c r="F2631" i="1"/>
  <c r="F2632" i="1"/>
  <c r="F2633" i="1"/>
  <c r="F2634" i="1"/>
  <c r="F2635" i="1"/>
  <c r="F2636" i="1"/>
  <c r="F2637" i="1"/>
  <c r="F2638" i="1"/>
  <c r="F2639" i="1"/>
  <c r="F2640" i="1"/>
  <c r="F2641" i="1"/>
  <c r="F2642" i="1"/>
  <c r="F2643" i="1"/>
  <c r="F2644" i="1"/>
  <c r="F2645" i="1"/>
  <c r="F2646" i="1"/>
  <c r="F2647" i="1"/>
  <c r="F2648" i="1"/>
  <c r="F2649" i="1"/>
  <c r="F2650" i="1"/>
  <c r="F2651" i="1"/>
  <c r="F2652" i="1"/>
  <c r="F2653" i="1"/>
  <c r="F2654" i="1"/>
  <c r="F2655" i="1"/>
  <c r="F2656" i="1"/>
  <c r="F2657" i="1"/>
  <c r="F2658" i="1"/>
  <c r="F2659" i="1"/>
  <c r="F2660" i="1"/>
  <c r="F2661" i="1"/>
  <c r="F2662" i="1"/>
  <c r="F2663" i="1"/>
  <c r="F2664" i="1"/>
  <c r="F2665" i="1"/>
  <c r="F2666" i="1"/>
  <c r="F2667" i="1"/>
  <c r="F2668" i="1"/>
  <c r="F2669" i="1"/>
  <c r="F2670" i="1"/>
  <c r="F2671" i="1"/>
  <c r="F2672" i="1"/>
  <c r="F2673" i="1"/>
  <c r="F2674" i="1"/>
  <c r="F2675" i="1"/>
  <c r="F2676" i="1"/>
  <c r="F2677" i="1"/>
  <c r="F2678" i="1"/>
  <c r="F2679" i="1"/>
  <c r="F2680" i="1"/>
  <c r="F2681" i="1"/>
  <c r="F2682" i="1"/>
  <c r="F2683" i="1"/>
  <c r="F2684" i="1"/>
  <c r="F2685" i="1"/>
  <c r="F2686" i="1"/>
  <c r="F2687" i="1"/>
  <c r="F2688" i="1"/>
  <c r="F2689" i="1"/>
  <c r="F2690" i="1"/>
  <c r="F2691" i="1"/>
  <c r="F2692" i="1"/>
  <c r="F2693" i="1"/>
  <c r="F2694" i="1"/>
  <c r="F2695" i="1"/>
  <c r="F2696" i="1"/>
  <c r="F2697" i="1"/>
  <c r="F2698" i="1"/>
  <c r="F2699" i="1"/>
  <c r="F2700" i="1"/>
  <c r="F2701" i="1"/>
  <c r="F2702" i="1"/>
  <c r="F2703" i="1"/>
  <c r="F2704" i="1"/>
  <c r="F2705" i="1"/>
  <c r="F2706" i="1"/>
  <c r="F2707" i="1"/>
  <c r="F2708" i="1"/>
  <c r="F2709" i="1"/>
  <c r="F2710" i="1"/>
  <c r="F2711" i="1"/>
  <c r="F2712" i="1"/>
  <c r="F2713" i="1"/>
  <c r="F2714" i="1"/>
  <c r="F2715" i="1"/>
  <c r="F2716" i="1"/>
  <c r="F2717" i="1"/>
  <c r="F2718" i="1"/>
  <c r="F2719" i="1"/>
  <c r="F2720" i="1"/>
  <c r="F2721" i="1"/>
  <c r="F2722" i="1"/>
  <c r="F2723" i="1"/>
  <c r="F2724" i="1"/>
  <c r="F2725" i="1"/>
  <c r="F2726" i="1"/>
  <c r="F2727" i="1"/>
  <c r="F2728" i="1"/>
  <c r="F2729" i="1"/>
  <c r="F2730" i="1"/>
  <c r="F2731" i="1"/>
  <c r="F2732" i="1"/>
  <c r="F2733" i="1"/>
  <c r="F2734" i="1"/>
  <c r="F2735" i="1"/>
  <c r="F2736" i="1"/>
  <c r="F2737" i="1"/>
  <c r="F2738" i="1"/>
  <c r="F2739" i="1"/>
  <c r="F2740" i="1"/>
  <c r="F2741" i="1"/>
  <c r="F2742" i="1"/>
  <c r="F2743" i="1"/>
  <c r="F2744" i="1"/>
  <c r="F2745" i="1"/>
  <c r="F2746" i="1"/>
  <c r="F2747" i="1"/>
  <c r="F2748" i="1"/>
  <c r="F2749" i="1"/>
  <c r="F2750" i="1"/>
  <c r="F2751" i="1"/>
  <c r="F2752" i="1"/>
  <c r="F2753" i="1"/>
  <c r="F2754" i="1"/>
  <c r="F2755" i="1"/>
  <c r="F2756" i="1"/>
  <c r="F2757" i="1"/>
  <c r="F2758" i="1"/>
  <c r="F2759" i="1"/>
  <c r="F2760" i="1"/>
  <c r="F2761" i="1"/>
  <c r="F2762" i="1"/>
  <c r="F2763" i="1"/>
  <c r="F2764" i="1"/>
  <c r="F2765" i="1"/>
  <c r="F2766" i="1"/>
  <c r="F2767" i="1"/>
  <c r="F2768" i="1"/>
  <c r="F2769" i="1"/>
  <c r="F2770" i="1"/>
  <c r="F2771" i="1"/>
  <c r="F2772" i="1"/>
  <c r="F2773" i="1"/>
  <c r="F2774" i="1"/>
  <c r="F2775" i="1"/>
  <c r="F2776" i="1"/>
  <c r="F2777" i="1"/>
  <c r="F2778" i="1"/>
  <c r="F2779" i="1"/>
  <c r="F2780" i="1"/>
  <c r="F2781" i="1"/>
  <c r="F2782" i="1"/>
  <c r="F2783" i="1"/>
  <c r="F2784" i="1"/>
  <c r="F2785" i="1"/>
  <c r="F2786" i="1"/>
  <c r="F2787" i="1"/>
  <c r="F2788" i="1"/>
  <c r="F2789" i="1"/>
  <c r="F2790" i="1"/>
  <c r="F2791" i="1"/>
  <c r="F2792" i="1"/>
  <c r="F2793" i="1"/>
  <c r="F2794" i="1"/>
  <c r="F2795" i="1"/>
  <c r="F2796" i="1"/>
  <c r="F2797" i="1"/>
  <c r="F2798" i="1"/>
  <c r="F2799" i="1"/>
  <c r="F2800" i="1"/>
  <c r="F2801" i="1"/>
  <c r="F2802" i="1"/>
  <c r="F2803" i="1"/>
  <c r="F2804" i="1"/>
  <c r="F2805" i="1"/>
  <c r="F2806" i="1"/>
  <c r="F2807" i="1"/>
  <c r="F2808" i="1"/>
  <c r="F2809" i="1"/>
  <c r="F2810" i="1"/>
  <c r="F2811" i="1"/>
  <c r="F2812" i="1"/>
  <c r="F2813" i="1"/>
  <c r="F2814" i="1"/>
  <c r="F2815" i="1"/>
  <c r="F2816" i="1"/>
  <c r="F2817" i="1"/>
  <c r="F2818" i="1"/>
  <c r="F2819" i="1"/>
  <c r="F2820" i="1"/>
  <c r="F2821" i="1"/>
  <c r="F2822" i="1"/>
  <c r="F2823" i="1"/>
  <c r="F2824" i="1"/>
  <c r="F2825" i="1"/>
  <c r="F2826" i="1"/>
  <c r="F2827" i="1"/>
  <c r="F2828" i="1"/>
  <c r="F2829" i="1"/>
  <c r="F2830" i="1"/>
  <c r="F2831" i="1"/>
  <c r="F2832" i="1"/>
  <c r="F2833" i="1"/>
  <c r="F2834" i="1"/>
  <c r="F2835" i="1"/>
  <c r="F2836" i="1"/>
  <c r="F2837" i="1"/>
  <c r="F2838" i="1"/>
  <c r="F2839" i="1"/>
  <c r="F2840" i="1"/>
  <c r="F2841" i="1"/>
  <c r="F2842" i="1"/>
  <c r="F2843" i="1"/>
  <c r="F2844" i="1"/>
  <c r="F2845" i="1"/>
  <c r="F2846" i="1"/>
  <c r="F2847" i="1"/>
  <c r="F2848" i="1"/>
  <c r="F2849" i="1"/>
  <c r="F2850" i="1"/>
  <c r="F2851" i="1"/>
  <c r="F2852" i="1"/>
  <c r="F2853" i="1"/>
  <c r="F2854" i="1"/>
  <c r="F2855" i="1"/>
  <c r="F2856" i="1"/>
  <c r="F2857" i="1"/>
  <c r="F2858" i="1"/>
  <c r="F2859" i="1"/>
  <c r="F2860" i="1"/>
  <c r="F2861" i="1"/>
  <c r="F2862" i="1"/>
  <c r="F2863" i="1"/>
  <c r="F2864" i="1"/>
  <c r="F2865" i="1"/>
  <c r="F2866" i="1"/>
  <c r="F2867" i="1"/>
  <c r="F2868" i="1"/>
  <c r="F2869" i="1"/>
  <c r="F2870" i="1"/>
  <c r="F2871" i="1"/>
  <c r="F2872" i="1"/>
  <c r="F2873" i="1"/>
  <c r="F2874" i="1"/>
  <c r="F2875" i="1"/>
  <c r="F2876" i="1"/>
  <c r="F2877" i="1"/>
  <c r="F2878" i="1"/>
  <c r="F2879" i="1"/>
  <c r="F2880" i="1"/>
  <c r="F2881" i="1"/>
  <c r="F2882" i="1"/>
  <c r="F2883" i="1"/>
  <c r="F2884" i="1"/>
  <c r="F2885" i="1"/>
  <c r="F2886" i="1"/>
  <c r="F2887" i="1"/>
  <c r="F2888" i="1"/>
  <c r="F2889" i="1"/>
  <c r="F2890" i="1"/>
  <c r="F2891" i="1"/>
  <c r="F2892" i="1"/>
  <c r="F2893" i="1"/>
  <c r="F2894" i="1"/>
  <c r="F2895" i="1"/>
  <c r="F2896" i="1"/>
  <c r="F2897" i="1"/>
  <c r="F2898" i="1"/>
  <c r="F2899" i="1"/>
  <c r="F2900" i="1"/>
  <c r="F2901" i="1"/>
  <c r="F2902" i="1"/>
  <c r="F2903" i="1"/>
  <c r="F2904" i="1"/>
  <c r="F2905" i="1"/>
  <c r="F2906" i="1"/>
  <c r="F2907" i="1"/>
  <c r="F2908" i="1"/>
  <c r="F2909" i="1"/>
  <c r="F2910" i="1"/>
  <c r="F2911" i="1"/>
  <c r="F2912" i="1"/>
  <c r="F2913" i="1"/>
  <c r="F2914" i="1"/>
  <c r="F2915" i="1"/>
  <c r="F2916" i="1"/>
  <c r="F2917" i="1"/>
  <c r="F2918" i="1"/>
  <c r="F2919" i="1"/>
  <c r="F2920" i="1"/>
  <c r="F2921" i="1"/>
  <c r="F2922" i="1"/>
  <c r="F2923" i="1"/>
  <c r="F2924" i="1"/>
  <c r="F2925" i="1"/>
  <c r="F2926" i="1"/>
  <c r="F2927" i="1"/>
  <c r="F2928" i="1"/>
  <c r="F2929" i="1"/>
  <c r="F2930" i="1"/>
  <c r="F2931" i="1"/>
  <c r="F2932" i="1"/>
  <c r="F2933" i="1"/>
  <c r="F2934" i="1"/>
  <c r="F2935" i="1"/>
  <c r="F2936" i="1"/>
  <c r="F2937" i="1"/>
  <c r="F2938" i="1"/>
  <c r="F2939" i="1"/>
  <c r="F2940" i="1"/>
  <c r="F2941" i="1"/>
  <c r="F2942" i="1"/>
  <c r="F2943" i="1"/>
  <c r="F2944" i="1"/>
  <c r="F2945" i="1"/>
  <c r="F2946" i="1"/>
  <c r="F2947" i="1"/>
  <c r="F2948" i="1"/>
  <c r="F2949" i="1"/>
  <c r="F2950" i="1"/>
  <c r="F2951" i="1"/>
  <c r="F2952" i="1"/>
  <c r="F2953" i="1"/>
  <c r="F2954" i="1"/>
  <c r="F2955" i="1"/>
  <c r="F2956" i="1"/>
  <c r="F2957" i="1"/>
  <c r="F2958" i="1"/>
  <c r="F2959" i="1"/>
  <c r="F2960" i="1"/>
  <c r="F2961" i="1"/>
  <c r="F2962" i="1"/>
  <c r="F2963" i="1"/>
  <c r="F2964" i="1"/>
  <c r="F2965" i="1"/>
  <c r="F2966" i="1"/>
  <c r="F2967" i="1"/>
  <c r="F2968" i="1"/>
  <c r="F2969" i="1"/>
  <c r="F2970" i="1"/>
  <c r="F2971" i="1"/>
  <c r="F2972" i="1"/>
  <c r="F2973" i="1"/>
  <c r="F2974" i="1"/>
  <c r="F2975" i="1"/>
  <c r="F2976" i="1"/>
  <c r="F2977" i="1"/>
  <c r="F2978" i="1"/>
  <c r="F2979" i="1"/>
  <c r="F2980" i="1"/>
  <c r="F2981" i="1"/>
  <c r="F2982" i="1"/>
  <c r="F2983" i="1"/>
  <c r="F2984" i="1"/>
  <c r="F2985" i="1"/>
  <c r="F2986" i="1"/>
  <c r="F2987" i="1"/>
  <c r="F2988" i="1"/>
  <c r="F2989" i="1"/>
  <c r="F2990" i="1"/>
  <c r="F2991" i="1"/>
  <c r="F2992" i="1"/>
  <c r="F2993" i="1"/>
  <c r="F2994" i="1"/>
  <c r="F2995" i="1"/>
  <c r="F2996" i="1"/>
  <c r="F2997" i="1"/>
  <c r="F2998" i="1"/>
  <c r="F2999" i="1"/>
  <c r="F3000" i="1"/>
  <c r="F3001" i="1"/>
  <c r="F3002" i="1"/>
  <c r="F3003" i="1"/>
  <c r="F3004" i="1"/>
  <c r="F3005" i="1"/>
  <c r="F3006" i="1"/>
  <c r="F3007" i="1"/>
  <c r="F3008" i="1"/>
  <c r="F3009" i="1"/>
  <c r="F3010" i="1"/>
  <c r="F3011" i="1"/>
  <c r="F3012" i="1"/>
  <c r="F3013" i="1"/>
  <c r="F3014" i="1"/>
  <c r="F3015" i="1"/>
  <c r="F3016" i="1"/>
  <c r="F3017" i="1"/>
  <c r="F3018" i="1"/>
  <c r="F3019" i="1"/>
  <c r="F3020" i="1"/>
  <c r="F3021" i="1"/>
  <c r="F3022" i="1"/>
  <c r="F3023" i="1"/>
  <c r="F3024" i="1"/>
  <c r="F3025" i="1"/>
  <c r="F3026" i="1"/>
  <c r="F3027" i="1"/>
  <c r="F3028" i="1"/>
  <c r="F3029" i="1"/>
  <c r="F3030" i="1"/>
  <c r="F3031" i="1"/>
  <c r="F3032" i="1"/>
  <c r="F3033" i="1"/>
  <c r="F3034" i="1"/>
  <c r="F3035" i="1"/>
  <c r="F3036" i="1"/>
  <c r="F3037" i="1"/>
  <c r="F3038" i="1"/>
  <c r="F3039" i="1"/>
  <c r="F3040" i="1"/>
  <c r="F3041" i="1"/>
  <c r="F3042" i="1"/>
  <c r="F3043" i="1"/>
  <c r="F3044" i="1"/>
  <c r="F3045" i="1"/>
  <c r="F3046" i="1"/>
  <c r="F3047" i="1"/>
  <c r="F3048" i="1"/>
  <c r="F3049" i="1"/>
  <c r="F3050" i="1"/>
  <c r="F3051" i="1"/>
  <c r="F3052" i="1"/>
  <c r="F3053" i="1"/>
  <c r="F3054" i="1"/>
  <c r="F3055" i="1"/>
  <c r="F3056" i="1"/>
  <c r="F3057" i="1"/>
  <c r="F3058" i="1"/>
  <c r="F3059" i="1"/>
  <c r="F3060" i="1"/>
  <c r="F3061" i="1"/>
  <c r="F3062" i="1"/>
  <c r="F3063" i="1"/>
  <c r="F3064" i="1"/>
  <c r="F3065" i="1"/>
  <c r="F3066" i="1"/>
  <c r="F3067" i="1"/>
  <c r="F3068" i="1"/>
  <c r="F3069" i="1"/>
  <c r="F3070" i="1"/>
  <c r="F3071" i="1"/>
  <c r="F3072" i="1"/>
  <c r="F3073" i="1"/>
  <c r="F3074" i="1"/>
  <c r="F3075" i="1"/>
  <c r="F3076" i="1"/>
  <c r="F3077" i="1"/>
  <c r="F3078" i="1"/>
  <c r="F3079" i="1"/>
  <c r="F3080" i="1"/>
  <c r="F3081" i="1"/>
  <c r="F3082" i="1"/>
  <c r="F3083" i="1"/>
  <c r="F3084" i="1"/>
  <c r="F3085" i="1"/>
  <c r="F3086" i="1"/>
  <c r="F3087" i="1"/>
  <c r="F3088" i="1"/>
  <c r="F3089" i="1"/>
  <c r="F3090" i="1"/>
  <c r="F3091" i="1"/>
  <c r="F3092" i="1"/>
  <c r="F3093" i="1"/>
  <c r="F3094" i="1"/>
  <c r="F3095" i="1"/>
  <c r="F3096" i="1"/>
  <c r="F3097" i="1"/>
  <c r="F3098" i="1"/>
  <c r="F3099" i="1"/>
  <c r="F3100" i="1"/>
  <c r="F3101" i="1"/>
  <c r="F3102" i="1"/>
  <c r="F3103" i="1"/>
  <c r="F3104" i="1"/>
  <c r="F3105" i="1"/>
  <c r="F3106" i="1"/>
  <c r="F3107" i="1"/>
  <c r="F3108" i="1"/>
  <c r="F3109" i="1"/>
  <c r="F3110" i="1"/>
  <c r="F3111" i="1"/>
  <c r="F3112" i="1"/>
  <c r="F3113" i="1"/>
  <c r="F3114" i="1"/>
  <c r="F3115" i="1"/>
  <c r="F3116" i="1"/>
  <c r="F3117" i="1"/>
  <c r="F3118" i="1"/>
  <c r="F3119" i="1"/>
  <c r="F3120" i="1"/>
  <c r="F3121" i="1"/>
  <c r="F3122" i="1"/>
  <c r="F3123" i="1"/>
  <c r="F3124" i="1"/>
  <c r="F3125" i="1"/>
  <c r="F3126" i="1"/>
  <c r="F3127" i="1"/>
  <c r="F3128" i="1"/>
  <c r="F3129" i="1"/>
  <c r="F3130" i="1"/>
  <c r="F3131" i="1"/>
  <c r="F3132" i="1"/>
  <c r="F3133" i="1"/>
  <c r="F3134" i="1"/>
  <c r="F3135" i="1"/>
  <c r="F3136" i="1"/>
  <c r="F3137" i="1"/>
  <c r="F3138" i="1"/>
  <c r="F3139" i="1"/>
  <c r="F3140" i="1"/>
  <c r="F3141" i="1"/>
  <c r="F3142" i="1"/>
  <c r="F3143" i="1"/>
  <c r="F3144" i="1"/>
  <c r="F3145" i="1"/>
  <c r="F3146" i="1"/>
  <c r="F3147" i="1"/>
  <c r="F3148" i="1"/>
  <c r="F3149" i="1"/>
  <c r="F3150" i="1"/>
  <c r="F3151" i="1"/>
  <c r="F3152" i="1"/>
  <c r="F3153" i="1"/>
  <c r="F3154" i="1"/>
  <c r="F3155" i="1"/>
  <c r="F3156" i="1"/>
  <c r="F3157" i="1"/>
  <c r="F3158" i="1"/>
  <c r="F3159" i="1"/>
  <c r="F3160" i="1"/>
  <c r="F3161" i="1"/>
  <c r="F3162" i="1"/>
  <c r="F3163" i="1"/>
  <c r="F3164" i="1"/>
  <c r="F3165" i="1"/>
  <c r="F3166" i="1"/>
  <c r="F3167" i="1"/>
  <c r="F3168" i="1"/>
  <c r="F3169" i="1"/>
  <c r="F3170" i="1"/>
  <c r="F3171" i="1"/>
  <c r="F3172" i="1"/>
  <c r="F3173" i="1"/>
  <c r="F3174" i="1"/>
  <c r="F3175" i="1"/>
  <c r="F3176" i="1"/>
  <c r="F3177" i="1"/>
  <c r="F3178" i="1"/>
  <c r="F3179" i="1"/>
  <c r="F3180" i="1"/>
  <c r="F3181" i="1"/>
  <c r="F3182" i="1"/>
  <c r="F3183" i="1"/>
  <c r="F3184" i="1"/>
  <c r="F3185" i="1"/>
  <c r="F3186" i="1"/>
  <c r="F3187" i="1"/>
  <c r="F3188" i="1"/>
  <c r="F3189" i="1"/>
  <c r="F3190" i="1"/>
  <c r="F3191" i="1"/>
  <c r="F3192" i="1"/>
  <c r="F3193" i="1"/>
  <c r="F3194" i="1"/>
  <c r="F3195" i="1"/>
  <c r="F3196" i="1"/>
  <c r="F3197" i="1"/>
  <c r="F3198" i="1"/>
  <c r="F3199" i="1"/>
  <c r="F3200" i="1"/>
  <c r="F3201" i="1"/>
  <c r="F3202" i="1"/>
  <c r="F3203" i="1"/>
  <c r="F3204" i="1"/>
  <c r="F3205" i="1"/>
  <c r="F3206" i="1"/>
  <c r="F3207" i="1"/>
  <c r="F3208" i="1"/>
  <c r="F3209" i="1"/>
  <c r="F3210" i="1"/>
  <c r="F3211" i="1"/>
  <c r="F3212" i="1"/>
  <c r="F3213" i="1"/>
  <c r="F3214" i="1"/>
  <c r="F3215" i="1"/>
  <c r="F3216" i="1"/>
  <c r="F3217" i="1"/>
  <c r="F3218" i="1"/>
  <c r="F3219" i="1"/>
  <c r="F3220" i="1"/>
  <c r="F3221" i="1"/>
  <c r="F3222" i="1"/>
  <c r="F3223" i="1"/>
  <c r="F3224" i="1"/>
  <c r="F3225" i="1"/>
  <c r="F3226" i="1"/>
  <c r="F3227" i="1"/>
  <c r="F3228" i="1"/>
  <c r="F3229" i="1"/>
  <c r="F3230" i="1"/>
  <c r="F3231" i="1"/>
  <c r="F3232" i="1"/>
  <c r="F3233" i="1"/>
  <c r="F3234" i="1"/>
  <c r="F3235" i="1"/>
  <c r="F3236" i="1"/>
  <c r="F3237" i="1"/>
  <c r="F3238" i="1"/>
  <c r="F3239" i="1"/>
  <c r="F3240" i="1"/>
  <c r="F3241" i="1"/>
  <c r="F3242" i="1"/>
  <c r="F3243" i="1"/>
  <c r="F3244" i="1"/>
  <c r="F3245" i="1"/>
  <c r="F3246" i="1"/>
  <c r="F3247" i="1"/>
  <c r="F3248" i="1"/>
  <c r="F3249" i="1"/>
  <c r="F3250" i="1"/>
  <c r="F3251" i="1"/>
  <c r="F3252" i="1"/>
  <c r="F3253" i="1"/>
  <c r="F3254" i="1"/>
  <c r="F3255" i="1"/>
  <c r="F3256" i="1"/>
  <c r="F3257" i="1"/>
  <c r="F3258" i="1"/>
  <c r="F3259" i="1"/>
  <c r="F3260" i="1"/>
  <c r="F3261" i="1"/>
  <c r="F3262" i="1"/>
  <c r="F3263" i="1"/>
  <c r="F3264" i="1"/>
  <c r="F3265" i="1"/>
  <c r="F3266" i="1"/>
  <c r="F3267" i="1"/>
  <c r="F3268" i="1"/>
  <c r="F3269" i="1"/>
  <c r="F3270" i="1"/>
  <c r="F3271" i="1"/>
  <c r="F3272" i="1"/>
  <c r="F3273" i="1"/>
  <c r="F3274" i="1"/>
  <c r="F3275" i="1"/>
  <c r="F3276" i="1"/>
  <c r="F3277" i="1"/>
  <c r="F3278" i="1"/>
  <c r="F3279" i="1"/>
  <c r="F3280" i="1"/>
  <c r="F3281" i="1"/>
  <c r="F3282" i="1"/>
  <c r="F3283" i="1"/>
  <c r="F3284" i="1"/>
  <c r="F3285" i="1"/>
  <c r="F3286" i="1"/>
  <c r="F3287" i="1"/>
  <c r="F3288" i="1"/>
  <c r="F3289" i="1"/>
  <c r="F3290" i="1"/>
  <c r="F3291" i="1"/>
  <c r="F3292" i="1"/>
  <c r="F3293" i="1"/>
  <c r="F3294" i="1"/>
  <c r="F3295" i="1"/>
  <c r="F3296" i="1"/>
  <c r="F3297" i="1"/>
  <c r="F3298" i="1"/>
  <c r="F3299" i="1"/>
  <c r="F3300" i="1"/>
  <c r="F3301" i="1"/>
  <c r="F3302" i="1"/>
  <c r="F3303" i="1"/>
  <c r="F3304" i="1"/>
  <c r="F3305" i="1"/>
  <c r="F3306" i="1"/>
  <c r="F3307" i="1"/>
  <c r="F3308" i="1"/>
  <c r="F3309" i="1"/>
  <c r="F3310" i="1"/>
  <c r="F3311" i="1"/>
  <c r="F3312" i="1"/>
  <c r="F3313" i="1"/>
  <c r="F3314" i="1"/>
  <c r="F3315" i="1"/>
  <c r="F3316" i="1"/>
  <c r="F3317" i="1"/>
  <c r="F3318" i="1"/>
  <c r="F3319" i="1"/>
  <c r="F3320" i="1"/>
  <c r="F3321" i="1"/>
  <c r="F3322" i="1"/>
  <c r="F3323" i="1"/>
  <c r="F3324" i="1"/>
  <c r="F3325" i="1"/>
  <c r="F3326" i="1"/>
  <c r="F3327" i="1"/>
  <c r="F3328" i="1"/>
  <c r="F3329" i="1"/>
  <c r="F3330" i="1"/>
  <c r="F3331" i="1"/>
  <c r="F3332" i="1"/>
  <c r="F3333" i="1"/>
  <c r="F3334" i="1"/>
  <c r="F3335" i="1"/>
  <c r="F3336" i="1"/>
  <c r="F3337" i="1"/>
  <c r="F3338" i="1"/>
  <c r="F3339" i="1"/>
  <c r="F3340" i="1"/>
  <c r="F3341" i="1"/>
  <c r="F3342" i="1"/>
  <c r="F3343" i="1"/>
  <c r="F3344" i="1"/>
  <c r="F3345" i="1"/>
  <c r="F3346" i="1"/>
  <c r="F3347" i="1"/>
  <c r="F3348" i="1"/>
  <c r="F3349" i="1"/>
  <c r="F3350" i="1"/>
  <c r="F3351" i="1"/>
  <c r="F3352" i="1"/>
  <c r="F3353" i="1"/>
  <c r="F3354" i="1"/>
  <c r="F3355" i="1"/>
  <c r="F3356" i="1"/>
  <c r="F3357" i="1"/>
  <c r="F3358" i="1"/>
  <c r="F3359" i="1"/>
  <c r="F3360" i="1"/>
  <c r="F3361" i="1"/>
  <c r="F3362" i="1"/>
  <c r="F3363" i="1"/>
  <c r="F3364" i="1"/>
  <c r="F3365" i="1"/>
  <c r="F3366" i="1"/>
  <c r="F3367" i="1"/>
  <c r="F3368" i="1"/>
  <c r="F3369" i="1"/>
  <c r="F3370" i="1"/>
  <c r="F3371" i="1"/>
  <c r="F3372" i="1"/>
  <c r="F3373" i="1"/>
  <c r="F3374" i="1"/>
  <c r="F3375" i="1"/>
  <c r="F3376" i="1"/>
  <c r="F3377" i="1"/>
  <c r="F3378" i="1"/>
  <c r="F3379" i="1"/>
  <c r="F3380" i="1"/>
  <c r="F3381" i="1"/>
  <c r="F3382" i="1"/>
  <c r="F3383" i="1"/>
  <c r="F3384" i="1"/>
  <c r="F3385" i="1"/>
  <c r="F3386" i="1"/>
  <c r="F3387" i="1"/>
  <c r="F3388" i="1"/>
  <c r="F3389" i="1"/>
  <c r="F3390" i="1"/>
  <c r="F3391" i="1"/>
  <c r="F3392" i="1"/>
  <c r="F3393" i="1"/>
  <c r="F3394" i="1"/>
  <c r="F3395" i="1"/>
  <c r="F3396" i="1"/>
  <c r="F3397" i="1"/>
  <c r="F3398" i="1"/>
  <c r="F3399" i="1"/>
  <c r="F3400" i="1"/>
  <c r="F3401" i="1"/>
  <c r="F3402" i="1"/>
  <c r="F3403" i="1"/>
  <c r="F3404" i="1"/>
  <c r="F3405" i="1"/>
  <c r="F3406" i="1"/>
  <c r="F3407" i="1"/>
  <c r="F3408" i="1"/>
  <c r="F3409" i="1"/>
  <c r="F3410" i="1"/>
  <c r="F3411" i="1"/>
  <c r="F3412" i="1"/>
  <c r="F3413" i="1"/>
  <c r="F3414" i="1"/>
  <c r="F3415" i="1"/>
  <c r="F3416" i="1"/>
  <c r="F3417" i="1"/>
  <c r="F3418" i="1"/>
  <c r="F3419" i="1"/>
  <c r="F3420" i="1"/>
  <c r="F3421" i="1"/>
  <c r="F3422" i="1"/>
  <c r="F3423" i="1"/>
  <c r="F3424" i="1"/>
  <c r="F3425" i="1"/>
  <c r="F3426" i="1"/>
  <c r="F3427" i="1"/>
  <c r="F3428" i="1"/>
  <c r="F3429" i="1"/>
  <c r="F3430" i="1"/>
  <c r="F3431" i="1"/>
  <c r="F3432" i="1"/>
  <c r="F3433" i="1"/>
  <c r="F3434" i="1"/>
  <c r="F3435" i="1"/>
  <c r="F3436" i="1"/>
  <c r="F3437" i="1"/>
  <c r="F3438" i="1"/>
  <c r="F3439" i="1"/>
  <c r="F3440" i="1"/>
  <c r="F3441" i="1"/>
  <c r="F3442" i="1"/>
  <c r="F3443" i="1"/>
  <c r="F3444" i="1"/>
  <c r="F3445" i="1"/>
  <c r="F3446" i="1"/>
  <c r="F3447" i="1"/>
  <c r="F3448" i="1"/>
  <c r="F3449" i="1"/>
  <c r="F3450" i="1"/>
  <c r="F3451" i="1"/>
  <c r="F3452" i="1"/>
  <c r="F3453" i="1"/>
  <c r="F3454" i="1"/>
  <c r="F3455" i="1"/>
  <c r="F3456" i="1"/>
  <c r="F3457" i="1"/>
  <c r="F3458" i="1"/>
  <c r="F3459" i="1"/>
  <c r="F3460" i="1"/>
  <c r="F3461" i="1"/>
  <c r="F3462" i="1"/>
  <c r="F3463" i="1"/>
  <c r="F3464" i="1"/>
  <c r="F3465" i="1"/>
  <c r="F3466" i="1"/>
  <c r="F3467" i="1"/>
  <c r="F3468" i="1"/>
  <c r="F3469" i="1"/>
  <c r="F3470" i="1"/>
  <c r="F3471" i="1"/>
  <c r="F3472" i="1"/>
  <c r="F3473" i="1"/>
  <c r="F3474" i="1"/>
  <c r="F3475" i="1"/>
  <c r="F3476" i="1"/>
  <c r="F3477" i="1"/>
  <c r="F3478" i="1"/>
  <c r="F3479" i="1"/>
  <c r="F3480" i="1"/>
  <c r="F3481" i="1"/>
  <c r="F3482" i="1"/>
  <c r="F3483" i="1"/>
  <c r="F3484" i="1"/>
  <c r="F3485" i="1"/>
  <c r="F3486" i="1"/>
  <c r="F3487" i="1"/>
  <c r="F3488" i="1"/>
  <c r="F3489" i="1"/>
  <c r="F3490" i="1"/>
  <c r="F3491" i="1"/>
  <c r="F3492" i="1"/>
  <c r="F3493" i="1"/>
  <c r="F3494" i="1"/>
  <c r="F3495" i="1"/>
  <c r="F3496" i="1"/>
  <c r="F3497" i="1"/>
  <c r="F3498" i="1"/>
  <c r="F3499" i="1"/>
  <c r="F3500" i="1"/>
  <c r="F3501" i="1"/>
  <c r="F3502" i="1"/>
  <c r="F3503" i="1"/>
  <c r="F3504" i="1"/>
  <c r="F3505" i="1"/>
  <c r="F3506" i="1"/>
  <c r="F3507" i="1"/>
  <c r="F3508" i="1"/>
  <c r="F3509" i="1"/>
  <c r="F3510" i="1"/>
  <c r="F3511" i="1"/>
  <c r="F3512" i="1"/>
  <c r="F3513" i="1"/>
  <c r="F3514" i="1"/>
  <c r="F3515" i="1"/>
  <c r="F3516" i="1"/>
  <c r="F3517" i="1"/>
  <c r="F3518" i="1"/>
  <c r="F3519" i="1"/>
  <c r="F3520" i="1"/>
  <c r="F3521" i="1"/>
  <c r="F3522" i="1"/>
  <c r="F3523" i="1"/>
  <c r="F3524" i="1"/>
  <c r="F3525" i="1"/>
  <c r="F3526" i="1"/>
  <c r="F3527" i="1"/>
  <c r="F3528" i="1"/>
  <c r="F3529" i="1"/>
  <c r="F3530" i="1"/>
  <c r="F3531" i="1"/>
  <c r="F3532" i="1"/>
  <c r="F3533" i="1"/>
  <c r="F3534" i="1"/>
  <c r="F3535" i="1"/>
  <c r="F3536" i="1"/>
  <c r="F3537" i="1"/>
  <c r="F3538" i="1"/>
  <c r="F3539" i="1"/>
  <c r="F3540" i="1"/>
  <c r="F3541" i="1"/>
  <c r="F3542" i="1"/>
  <c r="F3543" i="1"/>
  <c r="F3544" i="1"/>
  <c r="F3545" i="1"/>
  <c r="F3546" i="1"/>
  <c r="F3547" i="1"/>
  <c r="F3548" i="1"/>
  <c r="F3549" i="1"/>
  <c r="F3550" i="1"/>
  <c r="F3551" i="1"/>
  <c r="F3552" i="1"/>
  <c r="F3553" i="1"/>
  <c r="F3554" i="1"/>
  <c r="F3555" i="1"/>
  <c r="F3556" i="1"/>
  <c r="F3557" i="1"/>
  <c r="F3558" i="1"/>
  <c r="F3559" i="1"/>
  <c r="F3560" i="1"/>
  <c r="F3561" i="1"/>
  <c r="F3562" i="1"/>
  <c r="F3563" i="1"/>
  <c r="F3564" i="1"/>
  <c r="F3565" i="1"/>
  <c r="F3566" i="1"/>
  <c r="F3567" i="1"/>
  <c r="F3568" i="1"/>
  <c r="F3569" i="1"/>
  <c r="F3570" i="1"/>
  <c r="F3571" i="1"/>
  <c r="F3572" i="1"/>
  <c r="F3573" i="1"/>
  <c r="F3574" i="1"/>
  <c r="F3575" i="1"/>
  <c r="F3576" i="1"/>
  <c r="F3577" i="1"/>
  <c r="F3578" i="1"/>
  <c r="F3579" i="1"/>
  <c r="F3580" i="1"/>
  <c r="F3581" i="1"/>
  <c r="F3582" i="1"/>
  <c r="F3583" i="1"/>
  <c r="F3584" i="1"/>
  <c r="F3585" i="1"/>
  <c r="F3586" i="1"/>
  <c r="F3587" i="1"/>
  <c r="F3588" i="1"/>
  <c r="F3589" i="1"/>
  <c r="F3590" i="1"/>
  <c r="F3591" i="1"/>
  <c r="F3592" i="1"/>
  <c r="F3593" i="1"/>
  <c r="F3594" i="1"/>
  <c r="F3595" i="1"/>
  <c r="F3596" i="1"/>
  <c r="F3597" i="1"/>
  <c r="F3598" i="1"/>
  <c r="F3599" i="1"/>
  <c r="F3600" i="1"/>
  <c r="F3601" i="1"/>
  <c r="F3602" i="1"/>
  <c r="F3603" i="1"/>
  <c r="F3604" i="1"/>
  <c r="F3605" i="1"/>
  <c r="F3606" i="1"/>
  <c r="F3607" i="1"/>
  <c r="F3608" i="1"/>
  <c r="F3609" i="1"/>
  <c r="F3610" i="1"/>
  <c r="F3611" i="1"/>
  <c r="F3612" i="1"/>
  <c r="F3613" i="1"/>
  <c r="F3614" i="1"/>
  <c r="F3615" i="1"/>
  <c r="F3616" i="1"/>
  <c r="F3617" i="1"/>
  <c r="F3618" i="1"/>
  <c r="F3619" i="1"/>
  <c r="F3620" i="1"/>
  <c r="F3621" i="1"/>
  <c r="F3622" i="1"/>
  <c r="F3623" i="1"/>
  <c r="F3624" i="1"/>
  <c r="F3625" i="1"/>
  <c r="F3626" i="1"/>
  <c r="F3627" i="1"/>
  <c r="F3628" i="1"/>
  <c r="F3629" i="1"/>
  <c r="F3630" i="1"/>
  <c r="F3631" i="1"/>
  <c r="F3632" i="1"/>
  <c r="F3633" i="1"/>
  <c r="F3634" i="1"/>
  <c r="F3635" i="1"/>
  <c r="F3636" i="1"/>
  <c r="F3637" i="1"/>
  <c r="F3638" i="1"/>
  <c r="F3639" i="1"/>
  <c r="F3640" i="1"/>
  <c r="F3641" i="1"/>
  <c r="F3642" i="1"/>
  <c r="F3643" i="1"/>
  <c r="F3644" i="1"/>
  <c r="F3645" i="1"/>
  <c r="F3646" i="1"/>
  <c r="F3647" i="1"/>
  <c r="F3648" i="1"/>
  <c r="F3649" i="1"/>
  <c r="F3650" i="1"/>
  <c r="F3651" i="1"/>
  <c r="F3652" i="1"/>
  <c r="F3653" i="1"/>
  <c r="F3654" i="1"/>
  <c r="F3655" i="1"/>
  <c r="F3656" i="1"/>
  <c r="F3657" i="1"/>
  <c r="F3658" i="1"/>
  <c r="F3659" i="1"/>
  <c r="F3660" i="1"/>
  <c r="F3661" i="1"/>
  <c r="F3662" i="1"/>
  <c r="F3663" i="1"/>
  <c r="F3664" i="1"/>
  <c r="F3665" i="1"/>
  <c r="F3666" i="1"/>
  <c r="F3667" i="1"/>
  <c r="F3668" i="1"/>
  <c r="F3669" i="1"/>
  <c r="F3670" i="1"/>
  <c r="F3671" i="1"/>
  <c r="F3672" i="1"/>
  <c r="F3673" i="1"/>
  <c r="F3674" i="1"/>
  <c r="F3675" i="1"/>
  <c r="F3676" i="1"/>
  <c r="F3677" i="1"/>
  <c r="F3678" i="1"/>
  <c r="F3679" i="1"/>
  <c r="F3680" i="1"/>
  <c r="F3681" i="1"/>
  <c r="F3682" i="1"/>
  <c r="F3683" i="1"/>
  <c r="F3684" i="1"/>
  <c r="F3685" i="1"/>
  <c r="F3686" i="1"/>
  <c r="F3687" i="1"/>
  <c r="F3688" i="1"/>
  <c r="F3689" i="1"/>
  <c r="F3690" i="1"/>
  <c r="F3691" i="1"/>
  <c r="F3692" i="1"/>
  <c r="F3693" i="1"/>
  <c r="F3694" i="1"/>
  <c r="F3695" i="1"/>
  <c r="F3696" i="1"/>
  <c r="F3697" i="1"/>
  <c r="F3698" i="1"/>
  <c r="F3699" i="1"/>
  <c r="F3700" i="1"/>
  <c r="F3701" i="1"/>
  <c r="F3702" i="1"/>
  <c r="F3703" i="1"/>
  <c r="F3704" i="1"/>
  <c r="F3705" i="1"/>
  <c r="F3706" i="1"/>
  <c r="F3707" i="1"/>
  <c r="F3708" i="1"/>
  <c r="F3709" i="1"/>
  <c r="F3710" i="1"/>
  <c r="F3711" i="1"/>
  <c r="F3712" i="1"/>
  <c r="F3713" i="1"/>
  <c r="F3714" i="1"/>
  <c r="F3715" i="1"/>
  <c r="F3716" i="1"/>
  <c r="F3717" i="1"/>
  <c r="F3718" i="1"/>
  <c r="F3719" i="1"/>
  <c r="F3720" i="1"/>
  <c r="F3721" i="1"/>
  <c r="F3722" i="1"/>
  <c r="F3723" i="1"/>
  <c r="F3724" i="1"/>
  <c r="F3725" i="1"/>
  <c r="F3726" i="1"/>
  <c r="F3727" i="1"/>
  <c r="F3728" i="1"/>
  <c r="F3729" i="1"/>
  <c r="F3730" i="1"/>
  <c r="F3731" i="1"/>
  <c r="F3732" i="1"/>
  <c r="F3733" i="1"/>
  <c r="F3734" i="1"/>
  <c r="F3735" i="1"/>
  <c r="F3736" i="1"/>
  <c r="F3737" i="1"/>
  <c r="F3738" i="1"/>
  <c r="F3739" i="1"/>
  <c r="F3740" i="1"/>
  <c r="F3741" i="1"/>
  <c r="F3742" i="1"/>
  <c r="F3743" i="1"/>
  <c r="F3744" i="1"/>
  <c r="F3745" i="1"/>
  <c r="F3746" i="1"/>
  <c r="F3747" i="1"/>
  <c r="F3748" i="1"/>
  <c r="F3749" i="1"/>
  <c r="F3750" i="1"/>
  <c r="F3751" i="1"/>
  <c r="F3752" i="1"/>
  <c r="F3753" i="1"/>
  <c r="F3754" i="1"/>
  <c r="F3755" i="1"/>
  <c r="F3756" i="1"/>
  <c r="F3757" i="1"/>
  <c r="F3758" i="1"/>
  <c r="F3759" i="1"/>
  <c r="F3760" i="1"/>
  <c r="F3761" i="1"/>
  <c r="F3762" i="1"/>
  <c r="F3763" i="1"/>
  <c r="F3764" i="1"/>
  <c r="F3765" i="1"/>
  <c r="F3766" i="1"/>
  <c r="F3767" i="1"/>
  <c r="F3768" i="1"/>
  <c r="F3769" i="1"/>
  <c r="F3770" i="1"/>
  <c r="F3771" i="1"/>
  <c r="F3772" i="1"/>
  <c r="F3773" i="1"/>
  <c r="F3774" i="1"/>
  <c r="F3775" i="1"/>
  <c r="F3776" i="1"/>
  <c r="F3777" i="1"/>
  <c r="F3778" i="1"/>
  <c r="F3779" i="1"/>
  <c r="F3780" i="1"/>
  <c r="F3781" i="1"/>
  <c r="F3782" i="1"/>
  <c r="F3783" i="1"/>
  <c r="F3784" i="1"/>
  <c r="F3785" i="1"/>
  <c r="F3786" i="1"/>
  <c r="F3787" i="1"/>
  <c r="F3788" i="1"/>
  <c r="F3789" i="1"/>
  <c r="F3790" i="1"/>
  <c r="F3791" i="1"/>
  <c r="F3792" i="1"/>
  <c r="F3793" i="1"/>
  <c r="F3794" i="1"/>
  <c r="F3795" i="1"/>
  <c r="F3796" i="1"/>
  <c r="F3797" i="1"/>
  <c r="F3798" i="1"/>
  <c r="F3799" i="1"/>
  <c r="F3800" i="1"/>
  <c r="F3801" i="1"/>
  <c r="F3802" i="1"/>
  <c r="F3803" i="1"/>
  <c r="F3804" i="1"/>
  <c r="F3805" i="1"/>
  <c r="F3806" i="1"/>
  <c r="F3807" i="1"/>
  <c r="F3808" i="1"/>
  <c r="F3809" i="1"/>
  <c r="F3810" i="1"/>
  <c r="F3811" i="1"/>
  <c r="F3812" i="1"/>
  <c r="F3813" i="1"/>
  <c r="F3814" i="1"/>
  <c r="F3815" i="1"/>
  <c r="F3816" i="1"/>
  <c r="F3817" i="1"/>
  <c r="F3818" i="1"/>
  <c r="F3819" i="1"/>
  <c r="F3820" i="1"/>
  <c r="F3821" i="1"/>
  <c r="F3822" i="1"/>
  <c r="F3823" i="1"/>
  <c r="F3824" i="1"/>
  <c r="F3825" i="1"/>
  <c r="F3826" i="1"/>
  <c r="F3827" i="1"/>
  <c r="F3828" i="1"/>
  <c r="F3829" i="1"/>
  <c r="F3830" i="1"/>
  <c r="F3831" i="1"/>
  <c r="F3832" i="1"/>
  <c r="F3833" i="1"/>
  <c r="F3834" i="1"/>
  <c r="F3835" i="1"/>
  <c r="F3836" i="1"/>
  <c r="F3837" i="1"/>
  <c r="F3838" i="1"/>
  <c r="F3839" i="1"/>
  <c r="F3840" i="1"/>
  <c r="F3841" i="1"/>
  <c r="F3842" i="1"/>
  <c r="F3843" i="1"/>
  <c r="F3844" i="1"/>
  <c r="F3845" i="1"/>
  <c r="F3846" i="1"/>
  <c r="F3847" i="1"/>
  <c r="F3848" i="1"/>
  <c r="F3849" i="1"/>
  <c r="F3850" i="1"/>
  <c r="F3851" i="1"/>
  <c r="F3852" i="1"/>
  <c r="F3853" i="1"/>
  <c r="F3854" i="1"/>
  <c r="F3855" i="1"/>
  <c r="F3856" i="1"/>
  <c r="F3857" i="1"/>
  <c r="F3858" i="1"/>
  <c r="F3859" i="1"/>
  <c r="F3860" i="1"/>
  <c r="F3861" i="1"/>
  <c r="F3862" i="1"/>
  <c r="F3863" i="1"/>
  <c r="F3864" i="1"/>
  <c r="F3865" i="1"/>
  <c r="F3866" i="1"/>
  <c r="F3867" i="1"/>
  <c r="F3868" i="1"/>
  <c r="F3869" i="1"/>
  <c r="F3870" i="1"/>
  <c r="F3871" i="1"/>
  <c r="F3872" i="1"/>
  <c r="F3873" i="1"/>
  <c r="F3874" i="1"/>
  <c r="F3875" i="1"/>
  <c r="F3876" i="1"/>
  <c r="F3877" i="1"/>
  <c r="F3878" i="1"/>
  <c r="F3879" i="1"/>
  <c r="F3880" i="1"/>
  <c r="F3881" i="1"/>
  <c r="F3882" i="1"/>
  <c r="F3883" i="1"/>
  <c r="F3884" i="1"/>
  <c r="F3885" i="1"/>
  <c r="F3886" i="1"/>
  <c r="F3887" i="1"/>
  <c r="F3888" i="1"/>
  <c r="F3889" i="1"/>
  <c r="F3890" i="1"/>
  <c r="F3891" i="1"/>
  <c r="F3892" i="1"/>
  <c r="F3893" i="1"/>
  <c r="F3894" i="1"/>
  <c r="F3895" i="1"/>
  <c r="F3896" i="1"/>
  <c r="F3897" i="1"/>
  <c r="F3898" i="1"/>
  <c r="F3899" i="1"/>
  <c r="F3900" i="1"/>
  <c r="F3901" i="1"/>
  <c r="F3902" i="1"/>
  <c r="F3903" i="1"/>
  <c r="F3904" i="1"/>
  <c r="F3905" i="1"/>
  <c r="F3906" i="1"/>
  <c r="F3907" i="1"/>
  <c r="F3908" i="1"/>
  <c r="F3909" i="1"/>
  <c r="F3910" i="1"/>
  <c r="F3911" i="1"/>
  <c r="F3912" i="1"/>
  <c r="F3913" i="1"/>
  <c r="F3914" i="1"/>
  <c r="F3915" i="1"/>
  <c r="F3916" i="1"/>
  <c r="F3917" i="1"/>
  <c r="F3918" i="1"/>
  <c r="F3919" i="1"/>
  <c r="F3920" i="1"/>
  <c r="F3921" i="1"/>
  <c r="F3922" i="1"/>
  <c r="F3923" i="1"/>
  <c r="F3924" i="1"/>
  <c r="F3925" i="1"/>
  <c r="F3926" i="1"/>
  <c r="F3927" i="1"/>
  <c r="F3928" i="1"/>
  <c r="F3929" i="1"/>
  <c r="F3930" i="1"/>
  <c r="F3931" i="1"/>
  <c r="F3932" i="1"/>
  <c r="F3933" i="1"/>
  <c r="F3934" i="1"/>
  <c r="F3935" i="1"/>
  <c r="F3936" i="1"/>
  <c r="F3937" i="1"/>
  <c r="F3938" i="1"/>
  <c r="F3939" i="1"/>
  <c r="F3940" i="1"/>
  <c r="F3941" i="1"/>
  <c r="F3942" i="1"/>
  <c r="F3943" i="1"/>
  <c r="F3944" i="1"/>
  <c r="F3945" i="1"/>
  <c r="F3946" i="1"/>
  <c r="F3947" i="1"/>
  <c r="F3948" i="1"/>
  <c r="F3949" i="1"/>
  <c r="F3950" i="1"/>
  <c r="F3951" i="1"/>
  <c r="F3952" i="1"/>
  <c r="F3953" i="1"/>
  <c r="F3954" i="1"/>
  <c r="F3955" i="1"/>
  <c r="F3956" i="1"/>
  <c r="F3957" i="1"/>
  <c r="F3958" i="1"/>
  <c r="F3959" i="1"/>
  <c r="F3960" i="1"/>
  <c r="F3961" i="1"/>
  <c r="F3962" i="1"/>
  <c r="F3963" i="1"/>
  <c r="F3964" i="1"/>
  <c r="F3965" i="1"/>
  <c r="F3966" i="1"/>
  <c r="F3967" i="1"/>
  <c r="F3968" i="1"/>
  <c r="F3969" i="1"/>
  <c r="F3970" i="1"/>
  <c r="F3971" i="1"/>
  <c r="F3972" i="1"/>
  <c r="F3973" i="1"/>
  <c r="F3974" i="1"/>
  <c r="F3975" i="1"/>
  <c r="F3976" i="1"/>
  <c r="F3977" i="1"/>
  <c r="F3978" i="1"/>
  <c r="F3979" i="1"/>
  <c r="F3980" i="1"/>
  <c r="F3981" i="1"/>
  <c r="F3982" i="1"/>
  <c r="F3983" i="1"/>
  <c r="F3984" i="1"/>
  <c r="F3985" i="1"/>
  <c r="F3986" i="1"/>
  <c r="F3987" i="1"/>
  <c r="F3988" i="1"/>
  <c r="F3989" i="1"/>
  <c r="F3990" i="1"/>
  <c r="F3991" i="1"/>
  <c r="F3992" i="1"/>
  <c r="F3993" i="1"/>
  <c r="F3994" i="1"/>
  <c r="F3995" i="1"/>
  <c r="F3996" i="1"/>
  <c r="F3997" i="1"/>
  <c r="F3998" i="1"/>
  <c r="F3999" i="1"/>
  <c r="F4000" i="1"/>
  <c r="F4001" i="1"/>
  <c r="F4002" i="1"/>
  <c r="F4003" i="1"/>
  <c r="F4004" i="1"/>
  <c r="F4005" i="1"/>
  <c r="F4006" i="1"/>
  <c r="F4007" i="1"/>
  <c r="F4008" i="1"/>
  <c r="F4009" i="1"/>
  <c r="F4010" i="1"/>
  <c r="F4011" i="1"/>
  <c r="F4012" i="1"/>
  <c r="F4013" i="1"/>
  <c r="F4014" i="1"/>
  <c r="F4015" i="1"/>
  <c r="F4016" i="1"/>
  <c r="F4017" i="1"/>
  <c r="F4018" i="1"/>
  <c r="F4019" i="1"/>
  <c r="F4020" i="1"/>
  <c r="F4021" i="1"/>
  <c r="F4022" i="1"/>
  <c r="F4023" i="1"/>
  <c r="F4024" i="1"/>
  <c r="F4025" i="1"/>
  <c r="F4026" i="1"/>
  <c r="F4027" i="1"/>
  <c r="F4028" i="1"/>
  <c r="F4029" i="1"/>
  <c r="F4030" i="1"/>
  <c r="F4031" i="1"/>
  <c r="F4032" i="1"/>
  <c r="F4033" i="1"/>
  <c r="F4034" i="1"/>
  <c r="F4035" i="1"/>
  <c r="F4036" i="1"/>
  <c r="F4037" i="1"/>
  <c r="F4038" i="1"/>
  <c r="F4039" i="1"/>
  <c r="F4040" i="1"/>
  <c r="F4041" i="1"/>
  <c r="F4042" i="1"/>
  <c r="F4043" i="1"/>
  <c r="F4044" i="1"/>
  <c r="F4045" i="1"/>
  <c r="F4046" i="1"/>
  <c r="F4047" i="1"/>
  <c r="F4048" i="1"/>
  <c r="F4049" i="1"/>
  <c r="F4050" i="1"/>
  <c r="F4051" i="1"/>
  <c r="F4052" i="1"/>
  <c r="F4053" i="1"/>
  <c r="F4054" i="1"/>
  <c r="F4055" i="1"/>
  <c r="F4056" i="1"/>
  <c r="F4057" i="1"/>
  <c r="F4058" i="1"/>
  <c r="F4059" i="1"/>
  <c r="F4060" i="1"/>
  <c r="F4061" i="1"/>
  <c r="F4062" i="1"/>
  <c r="F4063" i="1"/>
  <c r="F4064" i="1"/>
  <c r="F4065" i="1"/>
  <c r="F4066" i="1"/>
  <c r="F4067" i="1"/>
  <c r="F4068" i="1"/>
  <c r="F4069" i="1"/>
  <c r="F4070" i="1"/>
  <c r="F4071" i="1"/>
  <c r="F4072" i="1"/>
  <c r="F4073" i="1"/>
  <c r="F4074" i="1"/>
  <c r="F4075" i="1"/>
  <c r="F4076" i="1"/>
  <c r="F4077" i="1"/>
  <c r="F4078" i="1"/>
  <c r="F4079" i="1"/>
  <c r="F4080" i="1"/>
  <c r="F4081" i="1"/>
  <c r="F4082" i="1"/>
  <c r="F4083" i="1"/>
  <c r="F4084" i="1"/>
  <c r="F4085" i="1"/>
  <c r="F4086" i="1"/>
  <c r="F4087" i="1"/>
  <c r="F4088" i="1"/>
  <c r="F4089" i="1"/>
  <c r="F4090" i="1"/>
  <c r="F4091" i="1"/>
  <c r="F4092" i="1"/>
  <c r="F4093" i="1"/>
  <c r="F4094" i="1"/>
  <c r="F4095" i="1"/>
  <c r="F4096" i="1"/>
  <c r="F4097" i="1"/>
  <c r="F4098" i="1"/>
  <c r="F4099" i="1"/>
  <c r="F4100" i="1"/>
  <c r="F4101" i="1"/>
  <c r="F4102" i="1"/>
  <c r="F4103" i="1"/>
  <c r="F4104" i="1"/>
  <c r="F4105" i="1"/>
  <c r="F4106" i="1"/>
  <c r="F4107" i="1"/>
  <c r="F4108" i="1"/>
  <c r="F4109" i="1"/>
  <c r="F4110" i="1"/>
  <c r="F4111" i="1"/>
  <c r="F4112" i="1"/>
  <c r="F4113" i="1"/>
  <c r="F4114" i="1"/>
  <c r="F4115" i="1"/>
  <c r="F4116" i="1"/>
  <c r="F4117" i="1"/>
  <c r="F4118" i="1"/>
  <c r="F4119" i="1"/>
  <c r="F4120" i="1"/>
  <c r="F4121" i="1"/>
  <c r="F4122" i="1"/>
  <c r="F4123" i="1"/>
  <c r="F4124" i="1"/>
  <c r="F4125" i="1"/>
  <c r="F4126" i="1"/>
  <c r="F4127" i="1"/>
  <c r="F4128" i="1"/>
  <c r="F4129" i="1"/>
  <c r="F4130" i="1"/>
  <c r="F4131" i="1"/>
  <c r="F4132" i="1"/>
  <c r="F4133" i="1"/>
  <c r="F4134" i="1"/>
  <c r="F4135" i="1"/>
  <c r="F4136" i="1"/>
  <c r="F4137" i="1"/>
  <c r="F4138" i="1"/>
  <c r="F4139" i="1"/>
  <c r="F4140" i="1"/>
  <c r="F4141" i="1"/>
  <c r="F4142" i="1"/>
  <c r="F4143" i="1"/>
  <c r="F4144" i="1"/>
  <c r="F4145" i="1"/>
  <c r="F4146" i="1"/>
  <c r="F4147" i="1"/>
  <c r="F4148" i="1"/>
  <c r="F4149" i="1"/>
  <c r="F4150" i="1"/>
  <c r="F4151" i="1"/>
  <c r="F4152" i="1"/>
  <c r="F4153" i="1"/>
  <c r="F4154" i="1"/>
  <c r="F4155" i="1"/>
  <c r="F4156" i="1"/>
  <c r="F4157" i="1"/>
  <c r="F4158" i="1"/>
  <c r="F4159" i="1"/>
  <c r="F4160" i="1"/>
  <c r="F4161" i="1"/>
  <c r="F4162" i="1"/>
  <c r="F4163" i="1"/>
  <c r="F4164" i="1"/>
  <c r="F4165" i="1"/>
  <c r="F4166" i="1"/>
  <c r="F4167" i="1"/>
  <c r="F4168" i="1"/>
  <c r="F4169" i="1"/>
  <c r="F4170" i="1"/>
  <c r="F4171" i="1"/>
  <c r="F4172" i="1"/>
  <c r="F4173" i="1"/>
  <c r="F4174" i="1"/>
  <c r="F4175" i="1"/>
  <c r="F4176" i="1"/>
  <c r="F4177" i="1"/>
  <c r="F4178" i="1"/>
  <c r="F4179" i="1"/>
  <c r="F4180" i="1"/>
  <c r="F4181" i="1"/>
  <c r="F4182" i="1"/>
  <c r="F4183" i="1"/>
  <c r="F4184" i="1"/>
  <c r="F4185" i="1"/>
  <c r="F4186" i="1"/>
  <c r="F4187" i="1"/>
  <c r="F4188" i="1"/>
  <c r="F4189" i="1"/>
  <c r="F4190" i="1"/>
  <c r="F4191" i="1"/>
  <c r="F4192" i="1"/>
  <c r="F4193" i="1"/>
  <c r="F4194" i="1"/>
  <c r="F4195" i="1"/>
  <c r="F4196" i="1"/>
  <c r="F4197" i="1"/>
  <c r="F4198" i="1"/>
  <c r="F4199" i="1"/>
  <c r="F4200" i="1"/>
  <c r="F4201" i="1"/>
  <c r="F4202" i="1"/>
  <c r="F4203" i="1"/>
  <c r="F4204" i="1"/>
  <c r="F4205" i="1"/>
  <c r="F4206" i="1"/>
  <c r="F4207" i="1"/>
  <c r="F4208" i="1"/>
  <c r="F4209" i="1"/>
  <c r="F4210" i="1"/>
  <c r="F4211" i="1"/>
  <c r="F4212" i="1"/>
  <c r="F4213" i="1"/>
  <c r="F4214" i="1"/>
  <c r="F4215" i="1"/>
  <c r="F4216" i="1"/>
  <c r="F4217" i="1"/>
  <c r="F4218" i="1"/>
  <c r="F4219" i="1"/>
  <c r="F4220" i="1"/>
  <c r="F4221" i="1"/>
  <c r="F4222" i="1"/>
  <c r="F4223" i="1"/>
  <c r="F4224" i="1"/>
  <c r="F4225" i="1"/>
  <c r="F4226" i="1"/>
  <c r="F4227" i="1"/>
  <c r="F4228" i="1"/>
  <c r="F4229" i="1"/>
  <c r="F4230" i="1"/>
  <c r="F4231" i="1"/>
  <c r="F4232" i="1"/>
  <c r="F4233" i="1"/>
  <c r="F4234" i="1"/>
  <c r="F4235" i="1"/>
  <c r="F4236" i="1"/>
  <c r="F4237" i="1"/>
  <c r="F4238" i="1"/>
  <c r="F4239" i="1"/>
  <c r="F4240" i="1"/>
  <c r="F4241" i="1"/>
  <c r="F4242" i="1"/>
  <c r="F4243" i="1"/>
  <c r="F4244" i="1"/>
  <c r="F4245" i="1"/>
  <c r="F4246" i="1"/>
  <c r="F4247" i="1"/>
  <c r="F4248" i="1"/>
  <c r="F4249" i="1"/>
  <c r="F4250" i="1"/>
  <c r="F4251" i="1"/>
  <c r="F4252" i="1"/>
  <c r="F4253" i="1"/>
  <c r="F4254" i="1"/>
  <c r="F4255" i="1"/>
  <c r="F4256" i="1"/>
  <c r="F4257" i="1"/>
  <c r="F4258" i="1"/>
  <c r="F4259" i="1"/>
  <c r="F4260" i="1"/>
  <c r="F4261" i="1"/>
  <c r="F4262" i="1"/>
  <c r="F4263" i="1"/>
  <c r="F4264" i="1"/>
  <c r="F4265" i="1"/>
  <c r="F4266" i="1"/>
  <c r="F4267" i="1"/>
  <c r="F4268" i="1"/>
  <c r="F4269" i="1"/>
  <c r="F4270" i="1"/>
  <c r="F4271" i="1"/>
  <c r="F4272" i="1"/>
  <c r="F4273" i="1"/>
  <c r="F4274" i="1"/>
  <c r="F4275" i="1"/>
  <c r="F4276" i="1"/>
  <c r="F4277" i="1"/>
  <c r="F4278" i="1"/>
  <c r="F4279" i="1"/>
  <c r="F4280" i="1"/>
  <c r="F4281" i="1"/>
  <c r="F4282" i="1"/>
  <c r="F4283" i="1"/>
  <c r="F4284" i="1"/>
  <c r="F4285" i="1"/>
  <c r="F4286" i="1"/>
  <c r="F4287" i="1"/>
  <c r="F4288" i="1"/>
  <c r="F4289" i="1"/>
  <c r="F4290" i="1"/>
  <c r="F4291" i="1"/>
  <c r="F4292" i="1"/>
  <c r="F4293" i="1"/>
  <c r="F4294" i="1"/>
  <c r="F4295" i="1"/>
  <c r="F4296" i="1"/>
  <c r="F4297" i="1"/>
  <c r="F4298" i="1"/>
  <c r="F4299" i="1"/>
  <c r="F4300" i="1"/>
  <c r="F4301" i="1"/>
  <c r="F4302" i="1"/>
  <c r="F4303" i="1"/>
  <c r="F4304" i="1"/>
  <c r="F4305" i="1"/>
  <c r="F4306" i="1"/>
  <c r="F4307" i="1"/>
  <c r="F4308" i="1"/>
  <c r="F4309" i="1"/>
  <c r="F4310" i="1"/>
  <c r="F4311" i="1"/>
  <c r="F4312" i="1"/>
  <c r="F4313" i="1"/>
  <c r="F4314" i="1"/>
  <c r="F4315" i="1"/>
  <c r="F4316" i="1"/>
  <c r="F4317" i="1"/>
  <c r="F4318" i="1"/>
  <c r="F4319" i="1"/>
  <c r="F4320" i="1"/>
  <c r="F4321" i="1"/>
  <c r="F4322" i="1"/>
  <c r="F4323" i="1"/>
  <c r="F4324" i="1"/>
  <c r="F4325" i="1"/>
  <c r="F4326" i="1"/>
  <c r="F4327" i="1"/>
  <c r="F4328" i="1"/>
  <c r="F4329" i="1"/>
  <c r="F4330" i="1"/>
  <c r="F4331" i="1"/>
  <c r="F4332" i="1"/>
  <c r="F4333" i="1"/>
  <c r="F4334" i="1"/>
  <c r="F4335" i="1"/>
  <c r="F4336" i="1"/>
  <c r="F4337" i="1"/>
  <c r="F4338" i="1"/>
  <c r="F4339" i="1"/>
  <c r="F4340" i="1"/>
  <c r="F4341" i="1"/>
  <c r="F4342" i="1"/>
  <c r="F4343" i="1"/>
  <c r="F4344" i="1"/>
  <c r="F4345" i="1"/>
  <c r="F4346" i="1"/>
  <c r="F4347" i="1"/>
  <c r="F4348" i="1"/>
  <c r="F4349" i="1"/>
  <c r="F4350" i="1"/>
  <c r="F4351" i="1"/>
  <c r="F4352" i="1"/>
  <c r="F4353" i="1"/>
  <c r="F4354" i="1"/>
  <c r="F4355" i="1"/>
  <c r="F4356" i="1"/>
  <c r="F4357" i="1"/>
  <c r="F4358" i="1"/>
  <c r="F4359" i="1"/>
  <c r="F4360" i="1"/>
  <c r="F4361" i="1"/>
  <c r="F4362" i="1"/>
  <c r="F4363" i="1"/>
  <c r="F4364" i="1"/>
  <c r="F4365" i="1"/>
  <c r="F4366" i="1"/>
  <c r="F4367" i="1"/>
  <c r="F4368" i="1"/>
  <c r="F4369" i="1"/>
  <c r="F4370" i="1"/>
  <c r="F4371" i="1"/>
  <c r="F4372" i="1"/>
  <c r="F4373" i="1"/>
  <c r="F4374" i="1"/>
  <c r="F4375" i="1"/>
  <c r="F4376" i="1"/>
  <c r="F4377" i="1"/>
  <c r="F4378" i="1"/>
  <c r="F4379" i="1"/>
  <c r="F4380" i="1"/>
  <c r="F4381" i="1"/>
  <c r="F4382" i="1"/>
  <c r="F4383" i="1"/>
  <c r="F4384" i="1"/>
  <c r="F4385" i="1"/>
  <c r="F4386" i="1"/>
  <c r="F4387" i="1"/>
  <c r="F4388" i="1"/>
  <c r="F4389" i="1"/>
  <c r="F4390" i="1"/>
  <c r="F4391" i="1"/>
  <c r="F4392" i="1"/>
  <c r="F4393" i="1"/>
  <c r="F4394" i="1"/>
  <c r="F4395" i="1"/>
  <c r="F4396" i="1"/>
  <c r="F4397" i="1"/>
  <c r="F4398" i="1"/>
  <c r="F4399" i="1"/>
  <c r="F4400" i="1"/>
  <c r="F4401" i="1"/>
  <c r="F4402" i="1"/>
  <c r="F4403" i="1"/>
  <c r="F4404" i="1"/>
  <c r="F4405" i="1"/>
  <c r="F4406" i="1"/>
  <c r="F4407" i="1"/>
  <c r="F4408" i="1"/>
  <c r="F4409" i="1"/>
  <c r="F4410" i="1"/>
  <c r="F4411" i="1"/>
  <c r="F4412" i="1"/>
  <c r="F4413" i="1"/>
  <c r="F4414" i="1"/>
  <c r="F4415" i="1"/>
  <c r="F4416" i="1"/>
  <c r="F4417" i="1"/>
  <c r="F4418" i="1"/>
  <c r="F4419" i="1"/>
  <c r="F4420" i="1"/>
  <c r="F4421" i="1"/>
  <c r="F4422" i="1"/>
  <c r="F4423" i="1"/>
  <c r="F4424" i="1"/>
  <c r="F4425" i="1"/>
  <c r="F4426" i="1"/>
  <c r="F4427" i="1"/>
  <c r="F4428" i="1"/>
  <c r="F4429" i="1"/>
  <c r="F4430" i="1"/>
  <c r="F4431" i="1"/>
  <c r="F4432" i="1"/>
  <c r="F4433" i="1"/>
  <c r="F4434" i="1"/>
  <c r="F4435" i="1"/>
  <c r="F4436" i="1"/>
  <c r="F4437" i="1"/>
  <c r="F4438" i="1"/>
  <c r="F4439" i="1"/>
  <c r="F4440" i="1"/>
  <c r="F4441" i="1"/>
  <c r="F4442" i="1"/>
  <c r="F4443" i="1"/>
  <c r="F4444" i="1"/>
  <c r="F4445" i="1"/>
  <c r="F4446" i="1"/>
  <c r="F4447" i="1"/>
  <c r="F4448" i="1"/>
  <c r="F4449" i="1"/>
  <c r="F4450" i="1"/>
  <c r="F4451" i="1"/>
  <c r="F4452" i="1"/>
  <c r="F4453" i="1"/>
  <c r="F4454" i="1"/>
  <c r="F4455" i="1"/>
  <c r="F4456" i="1"/>
  <c r="F4457" i="1"/>
  <c r="F4458" i="1"/>
  <c r="F4459" i="1"/>
  <c r="F4460" i="1"/>
  <c r="F4461" i="1"/>
  <c r="F4462" i="1"/>
  <c r="F4463" i="1"/>
  <c r="F4464" i="1"/>
  <c r="F4465" i="1"/>
  <c r="F4466" i="1"/>
  <c r="F4467" i="1"/>
  <c r="F4468" i="1"/>
  <c r="F4469" i="1"/>
  <c r="F4470" i="1"/>
  <c r="F4471" i="1"/>
  <c r="F4472" i="1"/>
  <c r="F4473" i="1"/>
  <c r="F4474" i="1"/>
  <c r="F4475" i="1"/>
  <c r="F4476" i="1"/>
  <c r="F4477" i="1"/>
  <c r="F4478" i="1"/>
  <c r="F4479" i="1"/>
  <c r="F4480" i="1"/>
  <c r="F4481" i="1"/>
  <c r="F4482" i="1"/>
  <c r="F4483" i="1"/>
  <c r="F4484" i="1"/>
  <c r="F4485" i="1"/>
  <c r="F4486" i="1"/>
  <c r="F4487" i="1"/>
  <c r="F4488" i="1"/>
  <c r="F4489" i="1"/>
  <c r="F4490" i="1"/>
  <c r="F4491" i="1"/>
  <c r="F4492" i="1"/>
  <c r="F4493" i="1"/>
  <c r="F4494" i="1"/>
  <c r="F4495" i="1"/>
  <c r="F4496" i="1"/>
  <c r="F4497" i="1"/>
  <c r="F4498" i="1"/>
  <c r="F4499" i="1"/>
  <c r="F4500" i="1"/>
  <c r="F4501" i="1"/>
  <c r="F4502" i="1"/>
  <c r="F4503" i="1"/>
  <c r="F4504" i="1"/>
  <c r="F4505" i="1"/>
  <c r="F4506" i="1"/>
  <c r="F4507" i="1"/>
  <c r="F4508" i="1"/>
  <c r="F4509" i="1"/>
  <c r="F4510" i="1"/>
  <c r="F4511" i="1"/>
  <c r="F4512" i="1"/>
  <c r="F4513" i="1"/>
  <c r="F4514" i="1"/>
  <c r="F4515" i="1"/>
  <c r="F4516" i="1"/>
  <c r="F4517" i="1"/>
  <c r="F4518" i="1"/>
  <c r="F4519" i="1"/>
  <c r="F4520" i="1"/>
  <c r="F4521" i="1"/>
  <c r="F4522" i="1"/>
  <c r="F4523" i="1"/>
  <c r="F4524" i="1"/>
  <c r="F4525" i="1"/>
  <c r="F4526" i="1"/>
  <c r="F4527" i="1"/>
  <c r="F4528" i="1"/>
  <c r="F4529" i="1"/>
  <c r="F4530" i="1"/>
  <c r="F4531" i="1"/>
  <c r="F4532" i="1"/>
  <c r="F4533" i="1"/>
  <c r="F4534" i="1"/>
  <c r="F4535" i="1"/>
  <c r="F4536" i="1"/>
  <c r="F4537" i="1"/>
  <c r="F4538" i="1"/>
  <c r="F4539" i="1"/>
  <c r="F4540" i="1"/>
  <c r="F4541" i="1"/>
  <c r="F4542" i="1"/>
  <c r="F4543" i="1"/>
  <c r="F4544" i="1"/>
  <c r="F4545" i="1"/>
  <c r="F4546" i="1"/>
  <c r="F4547" i="1"/>
  <c r="F4548" i="1"/>
  <c r="F4549" i="1"/>
  <c r="F4550" i="1"/>
  <c r="F4551" i="1"/>
  <c r="F4552" i="1"/>
  <c r="F4553" i="1"/>
  <c r="F4554" i="1"/>
  <c r="F4555" i="1"/>
  <c r="F4556" i="1"/>
  <c r="F4557" i="1"/>
  <c r="F4558" i="1"/>
  <c r="F4559" i="1"/>
  <c r="F4560" i="1"/>
  <c r="F4561" i="1"/>
  <c r="F4562" i="1"/>
  <c r="F4563" i="1"/>
  <c r="F4564" i="1"/>
  <c r="F4565" i="1"/>
  <c r="F4566" i="1"/>
  <c r="F4567" i="1"/>
  <c r="F4568" i="1"/>
  <c r="F4569" i="1"/>
  <c r="F4570" i="1"/>
  <c r="F4571" i="1"/>
  <c r="F4572" i="1"/>
  <c r="F4573" i="1"/>
  <c r="F4574" i="1"/>
  <c r="F4575" i="1"/>
  <c r="F4576" i="1"/>
  <c r="F4577" i="1"/>
  <c r="F4578" i="1"/>
  <c r="F4579" i="1"/>
  <c r="F4580" i="1"/>
  <c r="F4581" i="1"/>
  <c r="F4582" i="1"/>
  <c r="F4583" i="1"/>
  <c r="F4584" i="1"/>
  <c r="F4585" i="1"/>
  <c r="F4586" i="1"/>
  <c r="F4587" i="1"/>
  <c r="F4588" i="1"/>
  <c r="F4589" i="1"/>
  <c r="F4590" i="1"/>
  <c r="F4591" i="1"/>
  <c r="F4592" i="1"/>
  <c r="F4593" i="1"/>
  <c r="F4594" i="1"/>
  <c r="F4595" i="1"/>
  <c r="F4596" i="1"/>
  <c r="F4597" i="1"/>
  <c r="F4598" i="1"/>
  <c r="F4599" i="1"/>
  <c r="F4600" i="1"/>
  <c r="F4601" i="1"/>
  <c r="F4602" i="1"/>
  <c r="F4603" i="1"/>
  <c r="F4604" i="1"/>
  <c r="F4605" i="1"/>
  <c r="F4606" i="1"/>
  <c r="F4607" i="1"/>
  <c r="F4608" i="1"/>
  <c r="F4609" i="1"/>
  <c r="F4610" i="1"/>
  <c r="F4611" i="1"/>
  <c r="F4612" i="1"/>
  <c r="F4613" i="1"/>
  <c r="F4614" i="1"/>
  <c r="F4615" i="1"/>
  <c r="F4616" i="1"/>
  <c r="F4617" i="1"/>
  <c r="F4618" i="1"/>
  <c r="F4619" i="1"/>
  <c r="F4620" i="1"/>
  <c r="F4621" i="1"/>
  <c r="F4622" i="1"/>
  <c r="F4623" i="1"/>
  <c r="F4624" i="1"/>
  <c r="F4625" i="1"/>
  <c r="F4626" i="1"/>
  <c r="F4627" i="1"/>
  <c r="F4628" i="1"/>
  <c r="F4629" i="1"/>
  <c r="F4630" i="1"/>
  <c r="F4631" i="1"/>
  <c r="F4632" i="1"/>
  <c r="F4633" i="1"/>
  <c r="F4634" i="1"/>
  <c r="F4635" i="1"/>
  <c r="F4636" i="1"/>
  <c r="F4637" i="1"/>
  <c r="F4638" i="1"/>
  <c r="F4639" i="1"/>
  <c r="F4640" i="1"/>
  <c r="F4641" i="1"/>
  <c r="F4642" i="1"/>
  <c r="F4643" i="1"/>
  <c r="F4644" i="1"/>
  <c r="F4645" i="1"/>
  <c r="F4646" i="1"/>
  <c r="F4647" i="1"/>
  <c r="F4648" i="1"/>
  <c r="F4649" i="1"/>
  <c r="F4650" i="1"/>
  <c r="F4651" i="1"/>
  <c r="F4652" i="1"/>
  <c r="F4653" i="1"/>
  <c r="F4654" i="1"/>
  <c r="F4655" i="1"/>
  <c r="F4656" i="1"/>
  <c r="F4657" i="1"/>
  <c r="F4658" i="1"/>
  <c r="F4659" i="1"/>
  <c r="F4660" i="1"/>
  <c r="F4661" i="1"/>
  <c r="F4662" i="1"/>
  <c r="F4663" i="1"/>
  <c r="F4664" i="1"/>
  <c r="F4665" i="1"/>
  <c r="F4666" i="1"/>
  <c r="F4667" i="1"/>
  <c r="F4668" i="1"/>
  <c r="F4669" i="1"/>
  <c r="F4670" i="1"/>
  <c r="F4671" i="1"/>
  <c r="F4672" i="1"/>
  <c r="F4673" i="1"/>
  <c r="F4674" i="1"/>
  <c r="F4675" i="1"/>
  <c r="F4676" i="1"/>
  <c r="F4677" i="1"/>
  <c r="F4678" i="1"/>
  <c r="F4679" i="1"/>
  <c r="F4680" i="1"/>
  <c r="F4681" i="1"/>
  <c r="F4682" i="1"/>
  <c r="F4683" i="1"/>
  <c r="F4684" i="1"/>
  <c r="F4685" i="1"/>
  <c r="F4686" i="1"/>
  <c r="F4687" i="1"/>
  <c r="F4688" i="1"/>
  <c r="F4689" i="1"/>
  <c r="F4690" i="1"/>
  <c r="F4691" i="1"/>
  <c r="F4692" i="1"/>
  <c r="F4693" i="1"/>
  <c r="F4694" i="1"/>
  <c r="F4695" i="1"/>
  <c r="F4696" i="1"/>
  <c r="F4697" i="1"/>
  <c r="F4698" i="1"/>
  <c r="F4699" i="1"/>
  <c r="F4700" i="1"/>
  <c r="F4701" i="1"/>
  <c r="F4702" i="1"/>
  <c r="F4703" i="1"/>
  <c r="F4704" i="1"/>
  <c r="F4705" i="1"/>
  <c r="F4706" i="1"/>
  <c r="F4707" i="1"/>
  <c r="F4708" i="1"/>
  <c r="F4709" i="1"/>
  <c r="F4710" i="1"/>
  <c r="F4711" i="1"/>
  <c r="F4712" i="1"/>
  <c r="F4713" i="1"/>
  <c r="F4714" i="1"/>
  <c r="F4715" i="1"/>
  <c r="F4716" i="1"/>
  <c r="F4717" i="1"/>
  <c r="F4718" i="1"/>
  <c r="F4719" i="1"/>
  <c r="F4720" i="1"/>
  <c r="F4721" i="1"/>
  <c r="F4722" i="1"/>
  <c r="F4723" i="1"/>
  <c r="F4724" i="1"/>
  <c r="F4725" i="1"/>
  <c r="F4726" i="1"/>
  <c r="F4727" i="1"/>
  <c r="F4728" i="1"/>
  <c r="F4729" i="1"/>
  <c r="F4730" i="1"/>
  <c r="F4731" i="1"/>
  <c r="F4732" i="1"/>
  <c r="F4733" i="1"/>
  <c r="F4734" i="1"/>
  <c r="F4735" i="1"/>
  <c r="F4736" i="1"/>
  <c r="F4737" i="1"/>
  <c r="F4738" i="1"/>
  <c r="F4739" i="1"/>
  <c r="F4740" i="1"/>
  <c r="F4741" i="1"/>
  <c r="F4742" i="1"/>
  <c r="F4743" i="1"/>
  <c r="F4744" i="1"/>
  <c r="F4745" i="1"/>
  <c r="F4746" i="1"/>
  <c r="F4747" i="1"/>
  <c r="F4748" i="1"/>
  <c r="F4749" i="1"/>
  <c r="F4750" i="1"/>
  <c r="D7" i="4"/>
  <c r="D6" i="4"/>
  <c r="D4" i="2"/>
  <c r="C5" i="2"/>
  <c r="D5" i="4"/>
  <c r="B5" i="2"/>
  <c r="D4" i="4"/>
  <c r="A5" i="2"/>
  <c r="Q4" i="1" l="1" a="1"/>
  <c r="Q4" i="1" s="1"/>
  <c r="Q12" i="1" a="1"/>
  <c r="Q12" i="1" s="1"/>
  <c r="Q3" i="1" a="1"/>
  <c r="Q3" i="1" s="1"/>
  <c r="Q6" i="1" a="1"/>
  <c r="Q6" i="1" s="1"/>
  <c r="Q11" i="1" a="1"/>
  <c r="Q11" i="1" s="1"/>
  <c r="Q10" i="1" a="1"/>
  <c r="Q10" i="1" s="1"/>
  <c r="Q5" i="1" a="1"/>
  <c r="Q5" i="1" s="1"/>
  <c r="Q13" i="1" a="1"/>
  <c r="Q13" i="1" s="1"/>
  <c r="Q14" i="1" a="1"/>
  <c r="Q14" i="1" s="1"/>
  <c r="Q7" i="1" a="1"/>
  <c r="Q7" i="1" s="1"/>
  <c r="Q8" i="1" a="1"/>
  <c r="Q8" i="1" s="1"/>
  <c r="Q9" i="1" a="1"/>
  <c r="Q9" i="1"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RICHVALUE" minSupportedVersion="120000" copy="1" pasteAll="1" pasteValues="1" merge="1" splitFirst="1" rowColShift="1" clearFormats="1" clearComments="1" assign="1" coerce="1"/>
    <metadataType name="XLDAPR" minSupportedVersion="120000" copy="1" pasteAll="1" pasteValues="1" merge="1" splitFirst="1" rowColShift="1" clearFormats="1" clearComments="1" assign="1" coerce="1" cellMeta="1"/>
  </metadataTypes>
  <futureMetadata name="XLRICHVALUE" count="1">
    <bk>
      <extLst>
        <ext uri="{3e2802c4-a4d2-4d8b-9148-e3be6c30e623}">
          <xlrd:rvb i="0"/>
        </ext>
      </extLst>
    </bk>
  </futureMetadata>
  <futureMetadata name="XLDAPR" count="1">
    <bk>
      <extLst>
        <ext uri="{bdbb8cdc-fa1e-496e-a857-3c3f30c029c3}">
          <xda:dynamicArrayProperties fDynamic="1" fCollapsed="0"/>
        </ext>
      </extLst>
    </bk>
  </futureMetadata>
  <cellMetadata count="1">
    <bk>
      <rc t="2" v="0"/>
    </bk>
  </cellMetadata>
  <valueMetadata count="1">
    <bk>
      <rc t="1" v="0"/>
    </bk>
  </valueMetadata>
</metadata>
</file>

<file path=xl/sharedStrings.xml><?xml version="1.0" encoding="utf-8"?>
<sst xmlns="http://schemas.openxmlformats.org/spreadsheetml/2006/main" count="9626" uniqueCount="76">
  <si>
    <t>id</t>
  </si>
  <si>
    <t>order_id</t>
  </si>
  <si>
    <t>order_date</t>
  </si>
  <si>
    <t>order_time</t>
  </si>
  <si>
    <t>category</t>
  </si>
  <si>
    <t>product_name</t>
  </si>
  <si>
    <t>quantity</t>
  </si>
  <si>
    <t>unit_price</t>
  </si>
  <si>
    <t>total_price</t>
  </si>
  <si>
    <t>Bread</t>
  </si>
  <si>
    <t>Cheese Bread</t>
  </si>
  <si>
    <t>Cake</t>
  </si>
  <si>
    <t>Strawberry Cake</t>
  </si>
  <si>
    <t>Ube Cake</t>
  </si>
  <si>
    <t>Chocolate Cake</t>
  </si>
  <si>
    <t>Classic Cake</t>
  </si>
  <si>
    <t>Cookies</t>
  </si>
  <si>
    <t>Butter Cookie</t>
  </si>
  <si>
    <t>Pastry</t>
  </si>
  <si>
    <t>Danish</t>
  </si>
  <si>
    <t>Ensaymada</t>
  </si>
  <si>
    <t>Monay</t>
  </si>
  <si>
    <t>Spanish Bread</t>
  </si>
  <si>
    <t>Chocolate Chip Cookie</t>
  </si>
  <si>
    <t>Peanut Butter Cookie</t>
  </si>
  <si>
    <t>Customized Cake</t>
  </si>
  <si>
    <t>Croissant</t>
  </si>
  <si>
    <t>Brownie</t>
  </si>
  <si>
    <t>Oatmeal Cookie</t>
  </si>
  <si>
    <t>Pandesal</t>
  </si>
  <si>
    <t>Cinnamon Roll</t>
  </si>
  <si>
    <t>Muffin</t>
  </si>
  <si>
    <t>order_day</t>
  </si>
  <si>
    <t>Sum of total_price</t>
  </si>
  <si>
    <t>total_orders</t>
  </si>
  <si>
    <t>Sum of total_orders</t>
  </si>
  <si>
    <t>Avg Order Value</t>
  </si>
  <si>
    <t>Sum of quantity</t>
  </si>
  <si>
    <t>Row Labels</t>
  </si>
  <si>
    <t>Grand Total</t>
  </si>
  <si>
    <t>Average Category per order</t>
  </si>
  <si>
    <t>Sunday</t>
  </si>
  <si>
    <t>Monday</t>
  </si>
  <si>
    <t>Tuesday</t>
  </si>
  <si>
    <t>Wednesday</t>
  </si>
  <si>
    <t>Thursday</t>
  </si>
  <si>
    <t>Friday</t>
  </si>
  <si>
    <t>Saturday</t>
  </si>
  <si>
    <t>Daily Trends for total orders</t>
  </si>
  <si>
    <t>Hourly Trends for total orders</t>
  </si>
  <si>
    <t>9 AM</t>
  </si>
  <si>
    <t>10 AM</t>
  </si>
  <si>
    <t>11 AM</t>
  </si>
  <si>
    <t>12 PM</t>
  </si>
  <si>
    <t>1 PM</t>
  </si>
  <si>
    <t>2 PM</t>
  </si>
  <si>
    <t>3 PM</t>
  </si>
  <si>
    <t>4 PM</t>
  </si>
  <si>
    <t>5 PM</t>
  </si>
  <si>
    <t>6 PM</t>
  </si>
  <si>
    <t>7 PM</t>
  </si>
  <si>
    <t>8 PM</t>
  </si>
  <si>
    <t>Hour</t>
  </si>
  <si>
    <t>time</t>
  </si>
  <si>
    <t>unique_order</t>
  </si>
  <si>
    <t>Sum of unique_order</t>
  </si>
  <si>
    <t xml:space="preserve">            </t>
  </si>
  <si>
    <t>Product name percentage per sales</t>
  </si>
  <si>
    <t>Top 5 Products by Total Sales</t>
  </si>
  <si>
    <t>Least 5 Products by Total Sales</t>
  </si>
  <si>
    <t>Sales Performance by Category</t>
  </si>
  <si>
    <t>Top 5 Products by Quantity Sold</t>
  </si>
  <si>
    <t>Least 5 Products by Quantity Sold</t>
  </si>
  <si>
    <t>order_month</t>
  </si>
  <si>
    <t>‹</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</si>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</sst>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3409]* #,##0.00_-;\-[$₱-3409]* #,##0.00_-;_-[$₱-3409]* &quot;-&quot;??_-;_-@_-"/>
    <numFmt numFmtId="165" formatCode="_-[$₱-3409]* #,##0_-;\-[$₱-3409]* #,##0_-;_-[$₱-3409]* &quot;-&quot;??_-;_-@_-"/>
  </numFmts>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4" fontId="0" fillId="0" borderId="0" xfId="0" applyNumberFormat="1"/>
    <xf numFmtId="21" fontId="0" fillId="0" borderId="0" xfId="0" applyNumberFormat="1"/>
    <xf numFmtId="0" fontId="0" fillId="0" borderId="0" xfId="0" pivotButton="1"/>
    <xf numFmtId="0" fontId="0" fillId="0" borderId="0" xfId="0" applyAlignment="1">
      <alignment horizontal="left"/>
    </xf>
    <xf numFmtId="2" fontId="0" fillId="0" borderId="0" xfId="0" applyNumberFormat="1"/>
    <xf numFmtId="164" fontId="0" fillId="0" borderId="0" xfId="0" applyNumberFormat="1"/>
    <xf numFmtId="165" fontId="0" fillId="0" borderId="0" xfId="0" applyNumberFormat="1"/>
    <xf numFmtId="10" fontId="0" fillId="0" borderId="0" xfId="0" applyNumberFormat="1"/>
    <xf numFmtId="15"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8">
    <dxf>
      <numFmt numFmtId="164" formatCode="_-[$₱-3409]* #,##0.00_-;\-[$₱-3409]* #,##0.00_-;_-[$₱-3409]* &quot;-&quot;??_-;_-@_-"/>
    </dxf>
    <dxf>
      <numFmt numFmtId="0" formatCode="General"/>
    </dxf>
    <dxf>
      <numFmt numFmtId="26" formatCode="h:mm:ss"/>
    </dxf>
    <dxf>
      <numFmt numFmtId="0" formatCode="General"/>
    </dxf>
    <dxf>
      <numFmt numFmtId="19" formatCode="m/d/yy"/>
    </dxf>
    <dxf>
      <numFmt numFmtId="19" formatCode="m/d/yy"/>
    </dxf>
    <dxf>
      <numFmt numFmtId="0" formatCode="General"/>
    </dxf>
    <dxf>
      <numFmt numFmtId="0" formatCode="General"/>
    </dxf>
  </dxfs>
  <tableStyles count="0" defaultTableStyle="TableStyleMedium2" defaultPivotStyle="PivotStyleLight16"/>
  <colors>
    <mruColors>
      <color rgb="FF00EFBF"/>
      <color rgb="FFF0D100"/>
      <color rgb="FFDBD81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microsoft.com/office/2017/06/relationships/rdRichValue" Target="richData/rdrichvalue.xml"/><Relationship Id="rId3" Type="http://schemas.openxmlformats.org/officeDocument/2006/relationships/worksheet" Target="worksheets/sheet3.xml"/><Relationship Id="rId7" Type="http://schemas.microsoft.com/office/2007/relationships/slicerCache" Target="slicerCaches/slicerCache1.xml"/><Relationship Id="rId12" Type="http://schemas.microsoft.com/office/2022/10/relationships/richValueRel" Target="richData/richValueRel.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eetMetadata" Target="metadata.xml"/><Relationship Id="rId5" Type="http://schemas.openxmlformats.org/officeDocument/2006/relationships/worksheet" Target="worksheets/sheet5.xml"/><Relationship Id="rId15" Type="http://schemas.microsoft.com/office/2017/06/relationships/rdRichValueTypes" Target="richData/rdRichValueTypes.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microsoft.com/office/2017/06/relationships/rdRichValueStructure" Target="richData/rdrichvaluestructure.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[Bakery_Sales_Data_2024.xlsx]data trends!daily trends</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 trends'!$B$3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 trends'!$A$4:$A$11</c:f>
              <c:strCache>
                <c:ptCount val="7"/>
                <c:pt idx="0">
                  <c:v>Sunday</c:v>
                </c:pt>
                <c:pt idx="1">
                  <c:v>Monday</c:v>
                </c:pt>
                <c:pt idx="2">
                  <c:v>Tuesday</c:v>
                </c:pt>
                <c:pt idx="3">
                  <c:v>Wednesday</c:v>
                </c:pt>
                <c:pt idx="4">
                  <c:v>Thursday</c:v>
                </c:pt>
                <c:pt idx="5">
                  <c:v>Friday</c:v>
                </c:pt>
                <c:pt idx="6">
                  <c:v>Saturday</c:v>
                </c:pt>
              </c:strCache>
            </c:strRef>
          </c:cat>
          <c:val>
            <c:numRef>
              <c:f>'data trends'!$B$4:$B$11</c:f>
              <c:numCache>
                <c:formatCode>General</c:formatCode>
                <c:ptCount val="7"/>
                <c:pt idx="0">
                  <c:v>324.99999999999898</c:v>
                </c:pt>
                <c:pt idx="1">
                  <c:v>339.99999999999949</c:v>
                </c:pt>
                <c:pt idx="2">
                  <c:v>377.99999999999875</c:v>
                </c:pt>
                <c:pt idx="3">
                  <c:v>331.99999999999926</c:v>
                </c:pt>
                <c:pt idx="4">
                  <c:v>330.99999999999977</c:v>
                </c:pt>
                <c:pt idx="5">
                  <c:v>332.99999999999966</c:v>
                </c:pt>
                <c:pt idx="6">
                  <c:v>343.99999999999858</c:v>
                </c:pt>
              </c:numCache>
            </c:numRef>
          </c:val>
          <c:extLst>
            <c:ext xmlns:c16="http://schemas.microsoft.com/office/drawing/2014/chart" uri="{C3380CC4-5D6E-409C-BE32-E72D297353CC}">
              <c16:uniqueId val="{00000000-AED3-C343-A9D4-EB59EC878634}"/>
            </c:ext>
          </c:extLst>
        </c:ser>
        <c:dLbls>
          <c:showLegendKey val="0"/>
          <c:showVal val="0"/>
          <c:showCatName val="0"/>
          <c:showSerName val="0"/>
          <c:showPercent val="0"/>
          <c:showBubbleSize val="0"/>
        </c:dLbls>
        <c:gapWidth val="219"/>
        <c:overlap val="-27"/>
        <c:axId val="2017973744"/>
        <c:axId val="1912445600"/>
      </c:barChart>
      <c:catAx>
        <c:axId val="2017973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2445600"/>
        <c:crosses val="autoZero"/>
        <c:auto val="1"/>
        <c:lblAlgn val="ctr"/>
        <c:lblOffset val="100"/>
        <c:noMultiLvlLbl val="0"/>
      </c:catAx>
      <c:valAx>
        <c:axId val="1912445600"/>
        <c:scaling>
          <c:orientation val="minMax"/>
        </c:scaling>
        <c:delete val="1"/>
        <c:axPos val="l"/>
        <c:numFmt formatCode="General" sourceLinked="1"/>
        <c:majorTickMark val="none"/>
        <c:minorTickMark val="none"/>
        <c:tickLblPos val="nextTo"/>
        <c:crossAx val="20179737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[Bakery_Sales_Data_2024.xlsx]data trends!hourly trends</c:name>
    <c:fmtId val="2"/>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'data trends'!$B$15</c:f>
              <c:strCache>
                <c:ptCount val="1"/>
                <c:pt idx="0">
                  <c:v>Total</c:v>
                </c:pt>
              </c:strCache>
            </c:strRef>
          </c:tx>
          <c:spPr>
            <a:ln w="28575" cap="rnd">
              <a:solidFill>
                <a:schemeClr val="accent1"/>
              </a:solidFill>
              <a:round/>
            </a:ln>
            <a:effectLst/>
          </c:spPr>
          <c:marker>
            <c:symbol val="none"/>
          </c:marker>
          <c:cat>
            <c:strRef>
              <c:f>'data trends'!$A$16:$A$28</c:f>
              <c:strCache>
                <c:ptCount val="12"/>
                <c:pt idx="0">
                  <c:v>9 AM</c:v>
                </c:pt>
                <c:pt idx="1">
                  <c:v>10 AM</c:v>
                </c:pt>
                <c:pt idx="2">
                  <c:v>11 AM</c:v>
                </c:pt>
                <c:pt idx="3">
                  <c:v>12 PM</c:v>
                </c:pt>
                <c:pt idx="4">
                  <c:v>1 PM</c:v>
                </c:pt>
                <c:pt idx="5">
                  <c:v>2 PM</c:v>
                </c:pt>
                <c:pt idx="6">
                  <c:v>3 PM</c:v>
                </c:pt>
                <c:pt idx="7">
                  <c:v>4 PM</c:v>
                </c:pt>
                <c:pt idx="8">
                  <c:v>5 PM</c:v>
                </c:pt>
                <c:pt idx="9">
                  <c:v>6 PM</c:v>
                </c:pt>
                <c:pt idx="10">
                  <c:v>7 PM</c:v>
                </c:pt>
                <c:pt idx="11">
                  <c:v>8 PM</c:v>
                </c:pt>
              </c:strCache>
            </c:strRef>
          </c:cat>
          <c:val>
            <c:numRef>
              <c:f>'data trends'!$B$16:$B$28</c:f>
              <c:numCache>
                <c:formatCode>General</c:formatCode>
                <c:ptCount val="12"/>
                <c:pt idx="0">
                  <c:v>198</c:v>
                </c:pt>
                <c:pt idx="1">
                  <c:v>218</c:v>
                </c:pt>
                <c:pt idx="2">
                  <c:v>196</c:v>
                </c:pt>
                <c:pt idx="3">
                  <c:v>188</c:v>
                </c:pt>
                <c:pt idx="4">
                  <c:v>177</c:v>
                </c:pt>
                <c:pt idx="5">
                  <c:v>194</c:v>
                </c:pt>
                <c:pt idx="6">
                  <c:v>202</c:v>
                </c:pt>
                <c:pt idx="7">
                  <c:v>195</c:v>
                </c:pt>
                <c:pt idx="8">
                  <c:v>197</c:v>
                </c:pt>
                <c:pt idx="9">
                  <c:v>225</c:v>
                </c:pt>
                <c:pt idx="10">
                  <c:v>202</c:v>
                </c:pt>
                <c:pt idx="11">
                  <c:v>191</c:v>
                </c:pt>
              </c:numCache>
            </c:numRef>
          </c:val>
          <c:smooth val="0"/>
          <c:extLst>
            <c:ext xmlns:c16="http://schemas.microsoft.com/office/drawing/2014/chart" uri="{C3380CC4-5D6E-409C-BE32-E72D297353CC}">
              <c16:uniqueId val="{00000000-D196-0940-9F48-261AFE4AFCE3}"/>
            </c:ext>
          </c:extLst>
        </c:ser>
        <c:dLbls>
          <c:showLegendKey val="0"/>
          <c:showVal val="0"/>
          <c:showCatName val="0"/>
          <c:showSerName val="0"/>
          <c:showPercent val="0"/>
          <c:showBubbleSize val="0"/>
        </c:dLbls>
        <c:smooth val="0"/>
        <c:axId val="90730240"/>
        <c:axId val="337191152"/>
      </c:lineChart>
      <c:catAx>
        <c:axId val="907302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7191152"/>
        <c:crosses val="autoZero"/>
        <c:auto val="1"/>
        <c:lblAlgn val="ctr"/>
        <c:lblOffset val="100"/>
        <c:noMultiLvlLbl val="0"/>
      </c:catAx>
      <c:valAx>
        <c:axId val="337191152"/>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907302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[Bakery_Sales_Data_2024.xlsx]data trends!category percentage</c:name>
    <c:fmtId val="6"/>
  </c:pivotSource>
  <c:chart>
    <c:autoTitleDeleted val="1"/>
    <c:pivotFmts>
      <c:pivotFmt>
        <c:idx val="0"/>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lumMod val="60000"/>
              <a:lumOff val="40000"/>
            </a:schemeClr>
          </a:solidFill>
          <a:ln>
            <a:noFill/>
          </a:ln>
          <a:effectLst/>
        </c:spPr>
        <c:dLbl>
          <c:idx val="0"/>
          <c:layout>
            <c:manualLayout>
              <c:x val="3.4032171925173167E-2"/>
              <c:y val="8.2691775048320343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6"/>
          </a:solidFill>
          <a:ln>
            <a:noFill/>
          </a:ln>
          <a:effectLst/>
        </c:spPr>
      </c:pivotFmt>
      <c:pivotFmt>
        <c:idx val="3"/>
        <c:spPr>
          <a:solidFill>
            <a:schemeClr val="accent2"/>
          </a:solidFill>
          <a:ln>
            <a:noFill/>
          </a:ln>
          <a:effectLst/>
        </c:spPr>
      </c:pivotFmt>
      <c:pivotFmt>
        <c:idx val="4"/>
        <c:spPr>
          <a:solidFill>
            <a:schemeClr val="accent5">
              <a:lumMod val="60000"/>
              <a:lumOff val="40000"/>
            </a:schemeClr>
          </a:solidFill>
          <a:ln>
            <a:noFill/>
          </a:ln>
          <a:effectLst/>
        </c:spPr>
      </c:pivotFmt>
    </c:pivotFmts>
    <c:plotArea>
      <c:layout/>
      <c:doughnutChart>
        <c:varyColors val="1"/>
        <c:ser>
          <c:idx val="0"/>
          <c:order val="0"/>
          <c:tx>
            <c:strRef>
              <c:f>'data trends'!$B$32</c:f>
              <c:strCache>
                <c:ptCount val="1"/>
                <c:pt idx="0">
                  <c:v>Total</c:v>
                </c:pt>
              </c:strCache>
            </c:strRef>
          </c:tx>
          <c:dPt>
            <c:idx val="0"/>
            <c:bubble3D val="0"/>
            <c:spPr>
              <a:solidFill>
                <a:schemeClr val="accent1">
                  <a:lumMod val="60000"/>
                  <a:lumOff val="40000"/>
                </a:schemeClr>
              </a:solidFill>
              <a:ln>
                <a:noFill/>
              </a:ln>
              <a:effectLst/>
            </c:spPr>
            <c:extLst>
              <c:ext xmlns:c16="http://schemas.microsoft.com/office/drawing/2014/chart" uri="{C3380CC4-5D6E-409C-BE32-E72D297353CC}">
                <c16:uniqueId val="{00000004-7B06-FC4B-A9C5-3B40201A167D}"/>
              </c:ext>
            </c:extLst>
          </c:dPt>
          <c:dPt>
            <c:idx val="1"/>
            <c:bubble3D val="0"/>
            <c:spPr>
              <a:solidFill>
                <a:schemeClr val="accent6"/>
              </a:solidFill>
              <a:ln>
                <a:noFill/>
              </a:ln>
              <a:effectLst/>
            </c:spPr>
            <c:extLst>
              <c:ext xmlns:c16="http://schemas.microsoft.com/office/drawing/2014/chart" uri="{C3380CC4-5D6E-409C-BE32-E72D297353CC}">
                <c16:uniqueId val="{00000002-7B06-FC4B-A9C5-3B40201A167D}"/>
              </c:ext>
            </c:extLst>
          </c:dPt>
          <c:dPt>
            <c:idx val="2"/>
            <c:bubble3D val="0"/>
            <c:spPr>
              <a:solidFill>
                <a:schemeClr val="accent5">
                  <a:lumMod val="60000"/>
                  <a:lumOff val="40000"/>
                </a:schemeClr>
              </a:solidFill>
              <a:ln>
                <a:noFill/>
              </a:ln>
              <a:effectLst/>
            </c:spPr>
            <c:extLst>
              <c:ext xmlns:c16="http://schemas.microsoft.com/office/drawing/2014/chart" uri="{C3380CC4-5D6E-409C-BE32-E72D297353CC}">
                <c16:uniqueId val="{00000005-7B06-FC4B-A9C5-3B40201A167D}"/>
              </c:ext>
            </c:extLst>
          </c:dPt>
          <c:dPt>
            <c:idx val="3"/>
            <c:bubble3D val="0"/>
            <c:spPr>
              <a:solidFill>
                <a:schemeClr val="accent2"/>
              </a:solidFill>
              <a:ln>
                <a:noFill/>
              </a:ln>
              <a:effectLst/>
            </c:spPr>
            <c:extLst>
              <c:ext xmlns:c16="http://schemas.microsoft.com/office/drawing/2014/chart" uri="{C3380CC4-5D6E-409C-BE32-E72D297353CC}">
                <c16:uniqueId val="{00000003-7B06-FC4B-A9C5-3B40201A167D}"/>
              </c:ext>
            </c:extLst>
          </c:dPt>
          <c:dLbls>
            <c:dLbl>
              <c:idx val="0"/>
              <c:layout>
                <c:manualLayout>
                  <c:x val="3.4032171925173167E-2"/>
                  <c:y val="8.2691775048320343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4-7B06-FC4B-A9C5-3B40201A167D}"/>
                </c:ext>
              </c:extLst>
            </c:dLbl>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'data trends'!$A$33:$A$37</c:f>
              <c:strCache>
                <c:ptCount val="4"/>
                <c:pt idx="0">
                  <c:v>Cake</c:v>
                </c:pt>
                <c:pt idx="1">
                  <c:v>Pastry</c:v>
                </c:pt>
                <c:pt idx="2">
                  <c:v>Cookies</c:v>
                </c:pt>
                <c:pt idx="3">
                  <c:v>Bread</c:v>
                </c:pt>
              </c:strCache>
            </c:strRef>
          </c:cat>
          <c:val>
            <c:numRef>
              <c:f>'data trends'!$B$33:$B$37</c:f>
              <c:numCache>
                <c:formatCode>General</c:formatCode>
                <c:ptCount val="4"/>
                <c:pt idx="0">
                  <c:v>2670910</c:v>
                </c:pt>
                <c:pt idx="1">
                  <c:v>173870</c:v>
                </c:pt>
                <c:pt idx="2">
                  <c:v>97830</c:v>
                </c:pt>
                <c:pt idx="3">
                  <c:v>54740</c:v>
                </c:pt>
              </c:numCache>
            </c:numRef>
          </c:val>
          <c:extLst>
            <c:ext xmlns:c16="http://schemas.microsoft.com/office/drawing/2014/chart" uri="{C3380CC4-5D6E-409C-BE32-E72D297353CC}">
              <c16:uniqueId val="{00000000-7B06-FC4B-A9C5-3B40201A167D}"/>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[Bakery_Sales_Data_2024.xlsx]data trends!product percentage</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extLst>
        </c:dLbl>
      </c:pivotFmt>
    </c:pivotFmts>
    <c:plotArea>
      <c:layout/>
      <c:barChart>
        <c:barDir val="bar"/>
        <c:grouping val="clustered"/>
        <c:varyColors val="0"/>
        <c:ser>
          <c:idx val="0"/>
          <c:order val="0"/>
          <c:tx>
            <c:strRef>
              <c:f>'data trends'!$B$43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eparator>, </c:separator>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 trends'!$A$44:$A$63</c:f>
              <c:strCache>
                <c:ptCount val="19"/>
                <c:pt idx="0">
                  <c:v>Pandesal</c:v>
                </c:pt>
                <c:pt idx="1">
                  <c:v>Monay</c:v>
                </c:pt>
                <c:pt idx="2">
                  <c:v>Spanish Bread</c:v>
                </c:pt>
                <c:pt idx="3">
                  <c:v>Cheese Bread</c:v>
                </c:pt>
                <c:pt idx="4">
                  <c:v>Butter Cookie</c:v>
                </c:pt>
                <c:pt idx="5">
                  <c:v>Ensaymada</c:v>
                </c:pt>
                <c:pt idx="6">
                  <c:v>Oatmeal Cookie</c:v>
                </c:pt>
                <c:pt idx="7">
                  <c:v>Brownie</c:v>
                </c:pt>
                <c:pt idx="8">
                  <c:v>Chocolate Chip Cookie</c:v>
                </c:pt>
                <c:pt idx="9">
                  <c:v>Peanut Butter Cookie</c:v>
                </c:pt>
                <c:pt idx="10">
                  <c:v>Muffin</c:v>
                </c:pt>
                <c:pt idx="11">
                  <c:v>Croissant</c:v>
                </c:pt>
                <c:pt idx="12">
                  <c:v>Danish</c:v>
                </c:pt>
                <c:pt idx="13">
                  <c:v>Cinnamon Roll</c:v>
                </c:pt>
                <c:pt idx="14">
                  <c:v>Strawberry Cake</c:v>
                </c:pt>
                <c:pt idx="15">
                  <c:v>Classic Cake</c:v>
                </c:pt>
                <c:pt idx="16">
                  <c:v>Ube Cake</c:v>
                </c:pt>
                <c:pt idx="17">
                  <c:v>Chocolate Cake</c:v>
                </c:pt>
                <c:pt idx="18">
                  <c:v>Customized Cake</c:v>
                </c:pt>
              </c:strCache>
            </c:strRef>
          </c:cat>
          <c:val>
            <c:numRef>
              <c:f>'data trends'!$B$44:$B$63</c:f>
              <c:numCache>
                <c:formatCode>0.00%</c:formatCode>
                <c:ptCount val="19"/>
                <c:pt idx="0">
                  <c:v>1.1877158156371461E-3</c:v>
                </c:pt>
                <c:pt idx="1">
                  <c:v>2.2386441356531603E-3</c:v>
                </c:pt>
                <c:pt idx="2">
                  <c:v>3.4630590354813419E-3</c:v>
                </c:pt>
                <c:pt idx="3">
                  <c:v>4.3838724206382304E-3</c:v>
                </c:pt>
                <c:pt idx="4">
                  <c:v>5.504862628655312E-3</c:v>
                </c:pt>
                <c:pt idx="5">
                  <c:v>6.9895073982017449E-3</c:v>
                </c:pt>
                <c:pt idx="6">
                  <c:v>7.3731796420171154E-3</c:v>
                </c:pt>
                <c:pt idx="7">
                  <c:v>8.4207716816521259E-3</c:v>
                </c:pt>
                <c:pt idx="8">
                  <c:v>9.4383371978581081E-3</c:v>
                </c:pt>
                <c:pt idx="9">
                  <c:v>1.0322451498823961E-2</c:v>
                </c:pt>
                <c:pt idx="10">
                  <c:v>1.1019734098453634E-2</c:v>
                </c:pt>
                <c:pt idx="11">
                  <c:v>1.1560211520176156E-2</c:v>
                </c:pt>
                <c:pt idx="12">
                  <c:v>1.2794635261147347E-2</c:v>
                </c:pt>
                <c:pt idx="13">
                  <c:v>1.4212554423073715E-2</c:v>
                </c:pt>
                <c:pt idx="14">
                  <c:v>0.13727125627637746</c:v>
                </c:pt>
                <c:pt idx="15">
                  <c:v>0.1433266051678983</c:v>
                </c:pt>
                <c:pt idx="16">
                  <c:v>0.16266368625619296</c:v>
                </c:pt>
                <c:pt idx="17">
                  <c:v>0.18426276544280781</c:v>
                </c:pt>
                <c:pt idx="18">
                  <c:v>0.26356615009925433</c:v>
                </c:pt>
              </c:numCache>
            </c:numRef>
          </c:val>
          <c:extLst>
            <c:ext xmlns:c16="http://schemas.microsoft.com/office/drawing/2014/chart" uri="{C3380CC4-5D6E-409C-BE32-E72D297353CC}">
              <c16:uniqueId val="{00000000-6D37-DD4C-8D4D-743E2D271846}"/>
            </c:ext>
          </c:extLst>
        </c:ser>
        <c:dLbls>
          <c:showLegendKey val="0"/>
          <c:showVal val="0"/>
          <c:showCatName val="0"/>
          <c:showSerName val="0"/>
          <c:showPercent val="0"/>
          <c:showBubbleSize val="0"/>
        </c:dLbls>
        <c:gapWidth val="219"/>
        <c:axId val="340478912"/>
        <c:axId val="340339840"/>
      </c:barChart>
      <c:valAx>
        <c:axId val="340339840"/>
        <c:scaling>
          <c:orientation val="minMax"/>
        </c:scaling>
        <c:delete val="1"/>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340478912"/>
        <c:crosses val="autoZero"/>
        <c:crossBetween val="between"/>
      </c:valAx>
      <c:catAx>
        <c:axId val="3404789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crossAx val="340339840"/>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[Bakery_Sales_Data_2024.xlsx]data trends!product percentage per unit </c:name>
    <c:fmtId val="1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
        <c:idx val="13"/>
        <c:spPr>
          <a:solidFill>
            <a:schemeClr val="accent1"/>
          </a:solidFill>
          <a:ln>
            <a:noFill/>
          </a:ln>
          <a:effectLst/>
        </c:spPr>
      </c:pivotFmt>
      <c:pivotFmt>
        <c:idx val="14"/>
        <c:spPr>
          <a:solidFill>
            <a:schemeClr val="accent1"/>
          </a:solidFill>
          <a:ln>
            <a:noFill/>
          </a:ln>
          <a:effectLst/>
        </c:spPr>
      </c:pivotFmt>
      <c:pivotFmt>
        <c:idx val="15"/>
        <c:spPr>
          <a:solidFill>
            <a:schemeClr val="accent1"/>
          </a:solidFill>
          <a:ln>
            <a:noFill/>
          </a:ln>
          <a:effectLst/>
        </c:spPr>
      </c:pivotFmt>
      <c:pivotFmt>
        <c:idx val="16"/>
        <c:spPr>
          <a:solidFill>
            <a:schemeClr val="accent1"/>
          </a:solidFill>
          <a:ln>
            <a:noFill/>
          </a:ln>
          <a:effectLst/>
        </c:spPr>
      </c:pivotFmt>
      <c:pivotFmt>
        <c:idx val="17"/>
        <c:spPr>
          <a:solidFill>
            <a:schemeClr val="accent1"/>
          </a:solidFill>
          <a:ln>
            <a:noFill/>
          </a:ln>
          <a:effectLst/>
        </c:spPr>
      </c:pivotFmt>
      <c:pivotFmt>
        <c:idx val="18"/>
        <c:spPr>
          <a:solidFill>
            <a:schemeClr val="accent1"/>
          </a:solidFill>
          <a:ln>
            <a:noFill/>
          </a:ln>
          <a:effectLst/>
        </c:spPr>
      </c:pivotFmt>
      <c:pivotFmt>
        <c:idx val="19"/>
        <c:spPr>
          <a:solidFill>
            <a:schemeClr val="accent1"/>
          </a:solidFill>
          <a:ln>
            <a:noFill/>
          </a:ln>
          <a:effectLst/>
        </c:spPr>
      </c:pivotFmt>
    </c:pivotFmts>
    <c:plotArea>
      <c:layout/>
      <c:doughnutChart>
        <c:varyColors val="1"/>
        <c:ser>
          <c:idx val="0"/>
          <c:order val="0"/>
          <c:tx>
            <c:strRef>
              <c:f>'data trends'!$B$68</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8FDE-CD45-89B1-C6E95AFC94DF}"/>
              </c:ext>
            </c:extLst>
          </c:dPt>
          <c:dPt>
            <c:idx val="1"/>
            <c:bubble3D val="0"/>
            <c:spPr>
              <a:solidFill>
                <a:schemeClr val="accent2"/>
              </a:solidFill>
              <a:ln>
                <a:noFill/>
              </a:ln>
              <a:effectLst/>
            </c:spPr>
            <c:extLst>
              <c:ext xmlns:c16="http://schemas.microsoft.com/office/drawing/2014/chart" uri="{C3380CC4-5D6E-409C-BE32-E72D297353CC}">
                <c16:uniqueId val="{00000003-8FDE-CD45-89B1-C6E95AFC94DF}"/>
              </c:ext>
            </c:extLst>
          </c:dPt>
          <c:dPt>
            <c:idx val="2"/>
            <c:bubble3D val="0"/>
            <c:spPr>
              <a:solidFill>
                <a:schemeClr val="accent3"/>
              </a:solidFill>
              <a:ln>
                <a:noFill/>
              </a:ln>
              <a:effectLst/>
            </c:spPr>
            <c:extLst>
              <c:ext xmlns:c16="http://schemas.microsoft.com/office/drawing/2014/chart" uri="{C3380CC4-5D6E-409C-BE32-E72D297353CC}">
                <c16:uniqueId val="{00000005-8FDE-CD45-89B1-C6E95AFC94DF}"/>
              </c:ext>
            </c:extLst>
          </c:dPt>
          <c:dPt>
            <c:idx val="3"/>
            <c:bubble3D val="0"/>
            <c:spPr>
              <a:solidFill>
                <a:schemeClr val="accent4"/>
              </a:solidFill>
              <a:ln>
                <a:noFill/>
              </a:ln>
              <a:effectLst/>
            </c:spPr>
            <c:extLst>
              <c:ext xmlns:c16="http://schemas.microsoft.com/office/drawing/2014/chart" uri="{C3380CC4-5D6E-409C-BE32-E72D297353CC}">
                <c16:uniqueId val="{00000007-8FDE-CD45-89B1-C6E95AFC94DF}"/>
              </c:ext>
            </c:extLst>
          </c:dPt>
          <c:dPt>
            <c:idx val="4"/>
            <c:bubble3D val="0"/>
            <c:spPr>
              <a:solidFill>
                <a:schemeClr val="accent5"/>
              </a:solidFill>
              <a:ln>
                <a:noFill/>
              </a:ln>
              <a:effectLst/>
            </c:spPr>
            <c:extLst>
              <c:ext xmlns:c16="http://schemas.microsoft.com/office/drawing/2014/chart" uri="{C3380CC4-5D6E-409C-BE32-E72D297353CC}">
                <c16:uniqueId val="{00000009-8FDE-CD45-89B1-C6E95AFC94DF}"/>
              </c:ext>
            </c:extLst>
          </c:dPt>
          <c:dPt>
            <c:idx val="5"/>
            <c:bubble3D val="0"/>
            <c:spPr>
              <a:solidFill>
                <a:schemeClr val="accent6"/>
              </a:solidFill>
              <a:ln>
                <a:noFill/>
              </a:ln>
              <a:effectLst/>
            </c:spPr>
            <c:extLst>
              <c:ext xmlns:c16="http://schemas.microsoft.com/office/drawing/2014/chart" uri="{C3380CC4-5D6E-409C-BE32-E72D297353CC}">
                <c16:uniqueId val="{0000000B-8FDE-CD45-89B1-C6E95AFC94DF}"/>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0D-8FDE-CD45-89B1-C6E95AFC94DF}"/>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00F-8FDE-CD45-89B1-C6E95AFC94DF}"/>
              </c:ext>
            </c:extLst>
          </c:dPt>
          <c:dPt>
            <c:idx val="8"/>
            <c:bubble3D val="0"/>
            <c:spPr>
              <a:solidFill>
                <a:schemeClr val="accent3">
                  <a:lumMod val="60000"/>
                </a:schemeClr>
              </a:solidFill>
              <a:ln>
                <a:noFill/>
              </a:ln>
              <a:effectLst/>
            </c:spPr>
            <c:extLst>
              <c:ext xmlns:c16="http://schemas.microsoft.com/office/drawing/2014/chart" uri="{C3380CC4-5D6E-409C-BE32-E72D297353CC}">
                <c16:uniqueId val="{00000011-8FDE-CD45-89B1-C6E95AFC94DF}"/>
              </c:ext>
            </c:extLst>
          </c:dPt>
          <c:dPt>
            <c:idx val="9"/>
            <c:bubble3D val="0"/>
            <c:spPr>
              <a:solidFill>
                <a:schemeClr val="accent4">
                  <a:lumMod val="60000"/>
                </a:schemeClr>
              </a:solidFill>
              <a:ln>
                <a:noFill/>
              </a:ln>
              <a:effectLst/>
            </c:spPr>
            <c:extLst>
              <c:ext xmlns:c16="http://schemas.microsoft.com/office/drawing/2014/chart" uri="{C3380CC4-5D6E-409C-BE32-E72D297353CC}">
                <c16:uniqueId val="{00000013-8FDE-CD45-89B1-C6E95AFC94DF}"/>
              </c:ext>
            </c:extLst>
          </c:dPt>
          <c:dPt>
            <c:idx val="10"/>
            <c:bubble3D val="0"/>
            <c:spPr>
              <a:solidFill>
                <a:schemeClr val="accent5">
                  <a:lumMod val="60000"/>
                </a:schemeClr>
              </a:solidFill>
              <a:ln>
                <a:noFill/>
              </a:ln>
              <a:effectLst/>
            </c:spPr>
            <c:extLst>
              <c:ext xmlns:c16="http://schemas.microsoft.com/office/drawing/2014/chart" uri="{C3380CC4-5D6E-409C-BE32-E72D297353CC}">
                <c16:uniqueId val="{00000015-8FDE-CD45-89B1-C6E95AFC94DF}"/>
              </c:ext>
            </c:extLst>
          </c:dPt>
          <c:dPt>
            <c:idx val="11"/>
            <c:bubble3D val="0"/>
            <c:spPr>
              <a:solidFill>
                <a:schemeClr val="accent6">
                  <a:lumMod val="60000"/>
                </a:schemeClr>
              </a:solidFill>
              <a:ln>
                <a:noFill/>
              </a:ln>
              <a:effectLst/>
            </c:spPr>
            <c:extLst>
              <c:ext xmlns:c16="http://schemas.microsoft.com/office/drawing/2014/chart" uri="{C3380CC4-5D6E-409C-BE32-E72D297353CC}">
                <c16:uniqueId val="{00000017-8FDE-CD45-89B1-C6E95AFC94DF}"/>
              </c:ext>
            </c:extLst>
          </c:dPt>
          <c:dPt>
            <c:idx val="12"/>
            <c:bubble3D val="0"/>
            <c:spPr>
              <a:solidFill>
                <a:schemeClr val="accent1">
                  <a:lumMod val="80000"/>
                  <a:lumOff val="20000"/>
                </a:schemeClr>
              </a:solidFill>
              <a:ln>
                <a:noFill/>
              </a:ln>
              <a:effectLst/>
            </c:spPr>
            <c:extLst>
              <c:ext xmlns:c16="http://schemas.microsoft.com/office/drawing/2014/chart" uri="{C3380CC4-5D6E-409C-BE32-E72D297353CC}">
                <c16:uniqueId val="{00000019-8FDE-CD45-89B1-C6E95AFC94DF}"/>
              </c:ext>
            </c:extLst>
          </c:dPt>
          <c:dPt>
            <c:idx val="13"/>
            <c:bubble3D val="0"/>
            <c:spPr>
              <a:solidFill>
                <a:schemeClr val="accent2">
                  <a:lumMod val="80000"/>
                  <a:lumOff val="20000"/>
                </a:schemeClr>
              </a:solidFill>
              <a:ln>
                <a:noFill/>
              </a:ln>
              <a:effectLst/>
            </c:spPr>
            <c:extLst>
              <c:ext xmlns:c16="http://schemas.microsoft.com/office/drawing/2014/chart" uri="{C3380CC4-5D6E-409C-BE32-E72D297353CC}">
                <c16:uniqueId val="{0000001B-8FDE-CD45-89B1-C6E95AFC94DF}"/>
              </c:ext>
            </c:extLst>
          </c:dPt>
          <c:dPt>
            <c:idx val="14"/>
            <c:bubble3D val="0"/>
            <c:spPr>
              <a:solidFill>
                <a:schemeClr val="accent3">
                  <a:lumMod val="80000"/>
                  <a:lumOff val="20000"/>
                </a:schemeClr>
              </a:solidFill>
              <a:ln>
                <a:noFill/>
              </a:ln>
              <a:effectLst/>
            </c:spPr>
            <c:extLst>
              <c:ext xmlns:c16="http://schemas.microsoft.com/office/drawing/2014/chart" uri="{C3380CC4-5D6E-409C-BE32-E72D297353CC}">
                <c16:uniqueId val="{0000001D-8FDE-CD45-89B1-C6E95AFC94DF}"/>
              </c:ext>
            </c:extLst>
          </c:dPt>
          <c:dPt>
            <c:idx val="15"/>
            <c:bubble3D val="0"/>
            <c:spPr>
              <a:solidFill>
                <a:schemeClr val="accent4">
                  <a:lumMod val="80000"/>
                  <a:lumOff val="20000"/>
                </a:schemeClr>
              </a:solidFill>
              <a:ln>
                <a:noFill/>
              </a:ln>
              <a:effectLst/>
            </c:spPr>
            <c:extLst>
              <c:ext xmlns:c16="http://schemas.microsoft.com/office/drawing/2014/chart" uri="{C3380CC4-5D6E-409C-BE32-E72D297353CC}">
                <c16:uniqueId val="{0000001F-8FDE-CD45-89B1-C6E95AFC94DF}"/>
              </c:ext>
            </c:extLst>
          </c:dPt>
          <c:dPt>
            <c:idx val="16"/>
            <c:bubble3D val="0"/>
            <c:spPr>
              <a:solidFill>
                <a:schemeClr val="accent5">
                  <a:lumMod val="80000"/>
                  <a:lumOff val="20000"/>
                </a:schemeClr>
              </a:solidFill>
              <a:ln>
                <a:noFill/>
              </a:ln>
              <a:effectLst/>
            </c:spPr>
            <c:extLst>
              <c:ext xmlns:c16="http://schemas.microsoft.com/office/drawing/2014/chart" uri="{C3380CC4-5D6E-409C-BE32-E72D297353CC}">
                <c16:uniqueId val="{00000021-8FDE-CD45-89B1-C6E95AFC94DF}"/>
              </c:ext>
            </c:extLst>
          </c:dPt>
          <c:dPt>
            <c:idx val="17"/>
            <c:bubble3D val="0"/>
            <c:spPr>
              <a:solidFill>
                <a:schemeClr val="accent6">
                  <a:lumMod val="80000"/>
                  <a:lumOff val="20000"/>
                </a:schemeClr>
              </a:solidFill>
              <a:ln>
                <a:noFill/>
              </a:ln>
              <a:effectLst/>
            </c:spPr>
            <c:extLst>
              <c:ext xmlns:c16="http://schemas.microsoft.com/office/drawing/2014/chart" uri="{C3380CC4-5D6E-409C-BE32-E72D297353CC}">
                <c16:uniqueId val="{00000023-8FDE-CD45-89B1-C6E95AFC94DF}"/>
              </c:ext>
            </c:extLst>
          </c:dPt>
          <c:dPt>
            <c:idx val="18"/>
            <c:bubble3D val="0"/>
            <c:spPr>
              <a:solidFill>
                <a:schemeClr val="accent1">
                  <a:lumMod val="80000"/>
                </a:schemeClr>
              </a:solidFill>
              <a:ln>
                <a:noFill/>
              </a:ln>
              <a:effectLst/>
            </c:spPr>
            <c:extLst>
              <c:ext xmlns:c16="http://schemas.microsoft.com/office/drawing/2014/chart" uri="{C3380CC4-5D6E-409C-BE32-E72D297353CC}">
                <c16:uniqueId val="{00000025-8FDE-CD45-89B1-C6E95AFC94D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'data trends'!$A$69:$A$74</c:f>
              <c:strCache>
                <c:ptCount val="5"/>
                <c:pt idx="0">
                  <c:v>Chocolate Chip Cookie</c:v>
                </c:pt>
                <c:pt idx="1">
                  <c:v>Oatmeal Cookie</c:v>
                </c:pt>
                <c:pt idx="2">
                  <c:v>Peanut Butter Cookie</c:v>
                </c:pt>
                <c:pt idx="3">
                  <c:v>Ensaymada</c:v>
                </c:pt>
                <c:pt idx="4">
                  <c:v>Butter Cookie</c:v>
                </c:pt>
              </c:strCache>
            </c:strRef>
          </c:cat>
          <c:val>
            <c:numRef>
              <c:f>'data trends'!$B$69:$B$74</c:f>
              <c:numCache>
                <c:formatCode>0.00%</c:formatCode>
                <c:ptCount val="5"/>
                <c:pt idx="0">
                  <c:v>0.21559213534522176</c:v>
                </c:pt>
                <c:pt idx="1">
                  <c:v>0.20210333790580703</c:v>
                </c:pt>
                <c:pt idx="2">
                  <c:v>0.20210333790580703</c:v>
                </c:pt>
                <c:pt idx="3">
                  <c:v>0.19158664837677183</c:v>
                </c:pt>
                <c:pt idx="4">
                  <c:v>0.18861454046639231</c:v>
                </c:pt>
              </c:numCache>
            </c:numRef>
          </c:val>
          <c:extLst>
            <c:ext xmlns:c16="http://schemas.microsoft.com/office/drawing/2014/chart" uri="{C3380CC4-5D6E-409C-BE32-E72D297353CC}">
              <c16:uniqueId val="{00000000-B892-C644-8A24-BA2E89C10D3D}"/>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[Bakery_Sales_Data_2024.xlsx]data trends!PivotTable1</c:name>
    <c:fmtId val="1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s>
    <c:plotArea>
      <c:layout/>
      <c:doughnutChart>
        <c:varyColors val="1"/>
        <c:ser>
          <c:idx val="0"/>
          <c:order val="0"/>
          <c:tx>
            <c:strRef>
              <c:f>'data trends'!$B$79</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902F-7F4E-9A85-75C87C0644AA}"/>
              </c:ext>
            </c:extLst>
          </c:dPt>
          <c:dPt>
            <c:idx val="1"/>
            <c:bubble3D val="0"/>
            <c:spPr>
              <a:solidFill>
                <a:schemeClr val="accent2"/>
              </a:solidFill>
              <a:ln>
                <a:noFill/>
              </a:ln>
              <a:effectLst/>
            </c:spPr>
            <c:extLst>
              <c:ext xmlns:c16="http://schemas.microsoft.com/office/drawing/2014/chart" uri="{C3380CC4-5D6E-409C-BE32-E72D297353CC}">
                <c16:uniqueId val="{00000003-902F-7F4E-9A85-75C87C0644AA}"/>
              </c:ext>
            </c:extLst>
          </c:dPt>
          <c:dPt>
            <c:idx val="2"/>
            <c:bubble3D val="0"/>
            <c:spPr>
              <a:solidFill>
                <a:schemeClr val="accent3"/>
              </a:solidFill>
              <a:ln>
                <a:noFill/>
              </a:ln>
              <a:effectLst/>
            </c:spPr>
            <c:extLst>
              <c:ext xmlns:c16="http://schemas.microsoft.com/office/drawing/2014/chart" uri="{C3380CC4-5D6E-409C-BE32-E72D297353CC}">
                <c16:uniqueId val="{00000005-902F-7F4E-9A85-75C87C0644AA}"/>
              </c:ext>
            </c:extLst>
          </c:dPt>
          <c:dPt>
            <c:idx val="3"/>
            <c:bubble3D val="0"/>
            <c:spPr>
              <a:solidFill>
                <a:schemeClr val="accent4"/>
              </a:solidFill>
              <a:ln>
                <a:noFill/>
              </a:ln>
              <a:effectLst/>
            </c:spPr>
            <c:extLst>
              <c:ext xmlns:c16="http://schemas.microsoft.com/office/drawing/2014/chart" uri="{C3380CC4-5D6E-409C-BE32-E72D297353CC}">
                <c16:uniqueId val="{00000007-902F-7F4E-9A85-75C87C0644AA}"/>
              </c:ext>
            </c:extLst>
          </c:dPt>
          <c:dPt>
            <c:idx val="4"/>
            <c:bubble3D val="0"/>
            <c:spPr>
              <a:solidFill>
                <a:schemeClr val="accent5"/>
              </a:solidFill>
              <a:ln>
                <a:noFill/>
              </a:ln>
              <a:effectLst/>
            </c:spPr>
            <c:extLst>
              <c:ext xmlns:c16="http://schemas.microsoft.com/office/drawing/2014/chart" uri="{C3380CC4-5D6E-409C-BE32-E72D297353CC}">
                <c16:uniqueId val="{00000009-902F-7F4E-9A85-75C87C0644A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'data trends'!$A$80:$A$85</c:f>
              <c:strCache>
                <c:ptCount val="5"/>
                <c:pt idx="0">
                  <c:v>Croissant</c:v>
                </c:pt>
                <c:pt idx="1">
                  <c:v>Brownie</c:v>
                </c:pt>
                <c:pt idx="2">
                  <c:v>Strawberry Cake</c:v>
                </c:pt>
                <c:pt idx="3">
                  <c:v>Cheese Bread</c:v>
                </c:pt>
                <c:pt idx="4">
                  <c:v>Monay</c:v>
                </c:pt>
              </c:strCache>
            </c:strRef>
          </c:cat>
          <c:val>
            <c:numRef>
              <c:f>'data trends'!$B$80:$B$85</c:f>
              <c:numCache>
                <c:formatCode>0.00%</c:formatCode>
                <c:ptCount val="5"/>
                <c:pt idx="0">
                  <c:v>0.19553072625698323</c:v>
                </c:pt>
                <c:pt idx="1">
                  <c:v>0.19584109248913717</c:v>
                </c:pt>
                <c:pt idx="2">
                  <c:v>0.19646182495344505</c:v>
                </c:pt>
                <c:pt idx="3">
                  <c:v>0.20391061452513967</c:v>
                </c:pt>
                <c:pt idx="4">
                  <c:v>0.20825574177529485</c:v>
                </c:pt>
              </c:numCache>
            </c:numRef>
          </c:val>
          <c:extLst>
            <c:ext xmlns:c16="http://schemas.microsoft.com/office/drawing/2014/chart" uri="{C3380CC4-5D6E-409C-BE32-E72D297353CC}">
              <c16:uniqueId val="{00000000-8442-ED44-AB3F-53D5E7790B75}"/>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[Bakery_Sales_Data_2024.xlsx]data trends!PivotTable2</c:name>
    <c:fmtId val="1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s>
    <c:plotArea>
      <c:layout/>
      <c:doughnutChart>
        <c:varyColors val="1"/>
        <c:ser>
          <c:idx val="0"/>
          <c:order val="0"/>
          <c:tx>
            <c:strRef>
              <c:f>'data trends'!$B$89</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00F9-2643-924C-833A65A4467A}"/>
              </c:ext>
            </c:extLst>
          </c:dPt>
          <c:dPt>
            <c:idx val="1"/>
            <c:bubble3D val="0"/>
            <c:spPr>
              <a:solidFill>
                <a:schemeClr val="accent2"/>
              </a:solidFill>
              <a:ln>
                <a:noFill/>
              </a:ln>
              <a:effectLst/>
            </c:spPr>
            <c:extLst>
              <c:ext xmlns:c16="http://schemas.microsoft.com/office/drawing/2014/chart" uri="{C3380CC4-5D6E-409C-BE32-E72D297353CC}">
                <c16:uniqueId val="{00000003-00F9-2643-924C-833A65A4467A}"/>
              </c:ext>
            </c:extLst>
          </c:dPt>
          <c:dPt>
            <c:idx val="2"/>
            <c:bubble3D val="0"/>
            <c:spPr>
              <a:solidFill>
                <a:schemeClr val="accent3"/>
              </a:solidFill>
              <a:ln>
                <a:noFill/>
              </a:ln>
              <a:effectLst/>
            </c:spPr>
            <c:extLst>
              <c:ext xmlns:c16="http://schemas.microsoft.com/office/drawing/2014/chart" uri="{C3380CC4-5D6E-409C-BE32-E72D297353CC}">
                <c16:uniqueId val="{00000005-00F9-2643-924C-833A65A4467A}"/>
              </c:ext>
            </c:extLst>
          </c:dPt>
          <c:dPt>
            <c:idx val="3"/>
            <c:bubble3D val="0"/>
            <c:spPr>
              <a:solidFill>
                <a:schemeClr val="accent4"/>
              </a:solidFill>
              <a:ln>
                <a:noFill/>
              </a:ln>
              <a:effectLst/>
            </c:spPr>
            <c:extLst>
              <c:ext xmlns:c16="http://schemas.microsoft.com/office/drawing/2014/chart" uri="{C3380CC4-5D6E-409C-BE32-E72D297353CC}">
                <c16:uniqueId val="{00000007-00F9-2643-924C-833A65A4467A}"/>
              </c:ext>
            </c:extLst>
          </c:dPt>
          <c:dPt>
            <c:idx val="4"/>
            <c:bubble3D val="0"/>
            <c:spPr>
              <a:solidFill>
                <a:schemeClr val="accent5"/>
              </a:solidFill>
              <a:ln>
                <a:noFill/>
              </a:ln>
              <a:effectLst/>
            </c:spPr>
            <c:extLst>
              <c:ext xmlns:c16="http://schemas.microsoft.com/office/drawing/2014/chart" uri="{C3380CC4-5D6E-409C-BE32-E72D297353CC}">
                <c16:uniqueId val="{00000009-00F9-2643-924C-833A65A4467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'data trends'!$A$90:$A$95</c:f>
              <c:strCache>
                <c:ptCount val="5"/>
                <c:pt idx="0">
                  <c:v>Customized Cake</c:v>
                </c:pt>
                <c:pt idx="1">
                  <c:v>Chocolate Cake</c:v>
                </c:pt>
                <c:pt idx="2">
                  <c:v>Ube Cake</c:v>
                </c:pt>
                <c:pt idx="3">
                  <c:v>Classic Cake</c:v>
                </c:pt>
                <c:pt idx="4">
                  <c:v>Strawberry Cake</c:v>
                </c:pt>
              </c:strCache>
            </c:strRef>
          </c:cat>
          <c:val>
            <c:numRef>
              <c:f>'data trends'!$B$90:$B$95</c:f>
              <c:numCache>
                <c:formatCode>0.00%</c:formatCode>
                <c:ptCount val="5"/>
                <c:pt idx="0">
                  <c:v>0.29577934112343734</c:v>
                </c:pt>
                <c:pt idx="1">
                  <c:v>0.20678345582591701</c:v>
                </c:pt>
                <c:pt idx="2">
                  <c:v>0.18254452602296595</c:v>
                </c:pt>
                <c:pt idx="3">
                  <c:v>0.16084405689446668</c:v>
                </c:pt>
                <c:pt idx="4">
                  <c:v>0.15404862013321302</c:v>
                </c:pt>
              </c:numCache>
            </c:numRef>
          </c:val>
          <c:extLst>
            <c:ext xmlns:c16="http://schemas.microsoft.com/office/drawing/2014/chart" uri="{C3380CC4-5D6E-409C-BE32-E72D297353CC}">
              <c16:uniqueId val="{00000000-B8EC-4544-857E-9F590CA5527E}"/>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[Bakery_Sales_Data_2024.xlsx]data trends!daily trends</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11000">
                <a:schemeClr val="accent1">
                  <a:lumMod val="5000"/>
                  <a:lumOff val="95000"/>
                </a:schemeClr>
              </a:gs>
              <a:gs pos="36000">
                <a:schemeClr val="accent1">
                  <a:lumMod val="45000"/>
                  <a:lumOff val="55000"/>
                </a:schemeClr>
              </a:gs>
              <a:gs pos="71000">
                <a:schemeClr val="accent1">
                  <a:lumMod val="45000"/>
                  <a:lumOff val="55000"/>
                </a:schemeClr>
              </a:gs>
              <a:gs pos="100000">
                <a:schemeClr val="accent1">
                  <a:lumMod val="30000"/>
                  <a:lumOff val="70000"/>
                </a:schemeClr>
              </a:gs>
            </a:gsLst>
            <a:lin ang="5400000" scaled="1"/>
          </a:gradFill>
          <a:ln>
            <a:gradFill>
              <a:gsLst>
                <a:gs pos="39000">
                  <a:schemeClr val="accent1">
                    <a:lumMod val="5000"/>
                    <a:lumOff val="95000"/>
                  </a:schemeClr>
                </a:gs>
                <a:gs pos="56000">
                  <a:schemeClr val="accent1">
                    <a:lumMod val="45000"/>
                    <a:lumOff val="55000"/>
                  </a:schemeClr>
                </a:gs>
                <a:gs pos="76000">
                  <a:schemeClr val="accent1">
                    <a:lumMod val="45000"/>
                    <a:lumOff val="55000"/>
                  </a:schemeClr>
                </a:gs>
                <a:gs pos="100000">
                  <a:schemeClr val="accent1">
                    <a:lumMod val="30000"/>
                    <a:lumOff val="70000"/>
                  </a:schemeClr>
                </a:gs>
              </a:gsLst>
              <a:lin ang="5400000" scaled="1"/>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11000">
                <a:schemeClr val="accent1">
                  <a:lumMod val="5000"/>
                  <a:lumOff val="95000"/>
                </a:schemeClr>
              </a:gs>
              <a:gs pos="36000">
                <a:schemeClr val="accent1">
                  <a:lumMod val="45000"/>
                  <a:lumOff val="55000"/>
                </a:schemeClr>
              </a:gs>
              <a:gs pos="97000">
                <a:schemeClr val="accent1">
                  <a:lumMod val="45000"/>
                  <a:lumOff val="55000"/>
                </a:schemeClr>
              </a:gs>
              <a:gs pos="100000">
                <a:schemeClr val="accent1">
                  <a:lumMod val="30000"/>
                  <a:lumOff val="70000"/>
                </a:schemeClr>
              </a:gs>
            </a:gsLst>
            <a:lin ang="5400000" scaled="1"/>
          </a:gradFill>
          <a:ln>
            <a:gradFill>
              <a:gsLst>
                <a:gs pos="39000">
                  <a:schemeClr val="accent1">
                    <a:lumMod val="5000"/>
                    <a:lumOff val="95000"/>
                  </a:schemeClr>
                </a:gs>
                <a:gs pos="56000">
                  <a:schemeClr val="accent1">
                    <a:lumMod val="45000"/>
                    <a:lumOff val="55000"/>
                  </a:schemeClr>
                </a:gs>
                <a:gs pos="76000">
                  <a:schemeClr val="accent1">
                    <a:lumMod val="45000"/>
                    <a:lumOff val="55000"/>
                  </a:schemeClr>
                </a:gs>
                <a:gs pos="100000">
                  <a:schemeClr val="accent1">
                    <a:lumMod val="30000"/>
                    <a:lumOff val="70000"/>
                  </a:schemeClr>
                </a:gs>
              </a:gsLst>
              <a:lin ang="5400000" scaled="1"/>
            </a:gradFill>
          </a:ln>
          <a:effectLst/>
        </c:spPr>
      </c:pivotFmt>
    </c:pivotFmts>
    <c:plotArea>
      <c:layout/>
      <c:barChart>
        <c:barDir val="col"/>
        <c:grouping val="clustered"/>
        <c:varyColors val="0"/>
        <c:ser>
          <c:idx val="0"/>
          <c:order val="0"/>
          <c:tx>
            <c:strRef>
              <c:f>'data trends'!$B$3</c:f>
              <c:strCache>
                <c:ptCount val="1"/>
                <c:pt idx="0">
                  <c:v>Total</c:v>
                </c:pt>
              </c:strCache>
            </c:strRef>
          </c:tx>
          <c:spPr>
            <a:gradFill>
              <a:gsLst>
                <a:gs pos="11000">
                  <a:schemeClr val="accent1">
                    <a:lumMod val="5000"/>
                    <a:lumOff val="95000"/>
                  </a:schemeClr>
                </a:gs>
                <a:gs pos="36000">
                  <a:schemeClr val="accent1">
                    <a:lumMod val="45000"/>
                    <a:lumOff val="55000"/>
                  </a:schemeClr>
                </a:gs>
                <a:gs pos="71000">
                  <a:schemeClr val="accent1">
                    <a:lumMod val="45000"/>
                    <a:lumOff val="55000"/>
                  </a:schemeClr>
                </a:gs>
                <a:gs pos="100000">
                  <a:schemeClr val="accent1">
                    <a:lumMod val="30000"/>
                    <a:lumOff val="70000"/>
                  </a:schemeClr>
                </a:gs>
              </a:gsLst>
              <a:lin ang="5400000" scaled="1"/>
            </a:gradFill>
            <a:ln>
              <a:gradFill>
                <a:gsLst>
                  <a:gs pos="39000">
                    <a:schemeClr val="accent1">
                      <a:lumMod val="5000"/>
                      <a:lumOff val="95000"/>
                    </a:schemeClr>
                  </a:gs>
                  <a:gs pos="56000">
                    <a:schemeClr val="accent1">
                      <a:lumMod val="45000"/>
                      <a:lumOff val="55000"/>
                    </a:schemeClr>
                  </a:gs>
                  <a:gs pos="76000">
                    <a:schemeClr val="accent1">
                      <a:lumMod val="45000"/>
                      <a:lumOff val="55000"/>
                    </a:schemeClr>
                  </a:gs>
                  <a:gs pos="100000">
                    <a:schemeClr val="accent1">
                      <a:lumMod val="30000"/>
                      <a:lumOff val="70000"/>
                    </a:schemeClr>
                  </a:gs>
                </a:gsLst>
                <a:lin ang="5400000" scaled="1"/>
              </a:gradFill>
            </a:ln>
            <a:effectLst/>
          </c:spPr>
          <c:invertIfNegative val="0"/>
          <c:dPt>
            <c:idx val="6"/>
            <c:invertIfNegative val="0"/>
            <c:bubble3D val="0"/>
            <c:spPr>
              <a:gradFill>
                <a:gsLst>
                  <a:gs pos="11000">
                    <a:schemeClr val="accent1">
                      <a:lumMod val="5000"/>
                      <a:lumOff val="95000"/>
                    </a:schemeClr>
                  </a:gs>
                  <a:gs pos="36000">
                    <a:schemeClr val="accent1">
                      <a:lumMod val="45000"/>
                      <a:lumOff val="55000"/>
                    </a:schemeClr>
                  </a:gs>
                  <a:gs pos="97000">
                    <a:schemeClr val="accent1">
                      <a:lumMod val="45000"/>
                      <a:lumOff val="55000"/>
                    </a:schemeClr>
                  </a:gs>
                  <a:gs pos="100000">
                    <a:schemeClr val="accent1">
                      <a:lumMod val="30000"/>
                      <a:lumOff val="70000"/>
                    </a:schemeClr>
                  </a:gs>
                </a:gsLst>
                <a:lin ang="5400000" scaled="1"/>
              </a:gradFill>
              <a:ln>
                <a:gradFill>
                  <a:gsLst>
                    <a:gs pos="39000">
                      <a:schemeClr val="accent1">
                        <a:lumMod val="5000"/>
                        <a:lumOff val="95000"/>
                      </a:schemeClr>
                    </a:gs>
                    <a:gs pos="56000">
                      <a:schemeClr val="accent1">
                        <a:lumMod val="45000"/>
                        <a:lumOff val="55000"/>
                      </a:schemeClr>
                    </a:gs>
                    <a:gs pos="76000">
                      <a:schemeClr val="accent1">
                        <a:lumMod val="45000"/>
                        <a:lumOff val="55000"/>
                      </a:schemeClr>
                    </a:gs>
                    <a:gs pos="100000">
                      <a:schemeClr val="accent1">
                        <a:lumMod val="30000"/>
                        <a:lumOff val="70000"/>
                      </a:schemeClr>
                    </a:gs>
                  </a:gsLst>
                  <a:lin ang="5400000" scaled="1"/>
                </a:gradFill>
              </a:ln>
              <a:effectLst/>
            </c:spPr>
            <c:extLst>
              <c:ext xmlns:c16="http://schemas.microsoft.com/office/drawing/2014/chart" uri="{C3380CC4-5D6E-409C-BE32-E72D297353CC}">
                <c16:uniqueId val="{00000000-9F74-DA44-8690-0B70A34DB56E}"/>
              </c:ext>
            </c:extLst>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 trends'!$A$4:$A$11</c:f>
              <c:strCache>
                <c:ptCount val="7"/>
                <c:pt idx="0">
                  <c:v>Sunday</c:v>
                </c:pt>
                <c:pt idx="1">
                  <c:v>Monday</c:v>
                </c:pt>
                <c:pt idx="2">
                  <c:v>Tuesday</c:v>
                </c:pt>
                <c:pt idx="3">
                  <c:v>Wednesday</c:v>
                </c:pt>
                <c:pt idx="4">
                  <c:v>Thursday</c:v>
                </c:pt>
                <c:pt idx="5">
                  <c:v>Friday</c:v>
                </c:pt>
                <c:pt idx="6">
                  <c:v>Saturday</c:v>
                </c:pt>
              </c:strCache>
            </c:strRef>
          </c:cat>
          <c:val>
            <c:numRef>
              <c:f>'data trends'!$B$4:$B$11</c:f>
              <c:numCache>
                <c:formatCode>General</c:formatCode>
                <c:ptCount val="7"/>
                <c:pt idx="0">
                  <c:v>324.99999999999898</c:v>
                </c:pt>
                <c:pt idx="1">
                  <c:v>339.99999999999949</c:v>
                </c:pt>
                <c:pt idx="2">
                  <c:v>377.99999999999875</c:v>
                </c:pt>
                <c:pt idx="3">
                  <c:v>331.99999999999926</c:v>
                </c:pt>
                <c:pt idx="4">
                  <c:v>330.99999999999977</c:v>
                </c:pt>
                <c:pt idx="5">
                  <c:v>332.99999999999966</c:v>
                </c:pt>
                <c:pt idx="6">
                  <c:v>343.99999999999858</c:v>
                </c:pt>
              </c:numCache>
            </c:numRef>
          </c:val>
          <c:extLst>
            <c:ext xmlns:c16="http://schemas.microsoft.com/office/drawing/2014/chart" uri="{C3380CC4-5D6E-409C-BE32-E72D297353CC}">
              <c16:uniqueId val="{00000000-2C19-BE48-82BF-CB8AAF5EEDC3}"/>
            </c:ext>
          </c:extLst>
        </c:ser>
        <c:dLbls>
          <c:showLegendKey val="0"/>
          <c:showVal val="0"/>
          <c:showCatName val="0"/>
          <c:showSerName val="0"/>
          <c:showPercent val="0"/>
          <c:showBubbleSize val="0"/>
        </c:dLbls>
        <c:gapWidth val="219"/>
        <c:overlap val="-27"/>
        <c:axId val="2017973744"/>
        <c:axId val="1912445600"/>
      </c:barChart>
      <c:catAx>
        <c:axId val="2017973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crossAx val="1912445600"/>
        <c:crosses val="autoZero"/>
        <c:auto val="1"/>
        <c:lblAlgn val="ctr"/>
        <c:lblOffset val="100"/>
        <c:noMultiLvlLbl val="0"/>
      </c:catAx>
      <c:valAx>
        <c:axId val="1912445600"/>
        <c:scaling>
          <c:orientation val="minMax"/>
        </c:scaling>
        <c:delete val="1"/>
        <c:axPos val="l"/>
        <c:numFmt formatCode="General" sourceLinked="1"/>
        <c:majorTickMark val="none"/>
        <c:minorTickMark val="none"/>
        <c:tickLblPos val="nextTo"/>
        <c:crossAx val="20179737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[Bakery_Sales_Data_2024.xlsx]data trends!hourly trends</c:name>
    <c:fmtId val="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66675" cap="rnd" cmpd="sng" algn="ctr">
            <a:solidFill>
              <a:schemeClr val="bg1"/>
            </a:solidFill>
            <a:round/>
          </a:ln>
          <a:effectLst/>
        </c:spPr>
        <c:marker>
          <c:symbol val="circle"/>
          <c:size val="11"/>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ln w="66675" cap="rnd" cmpd="sng" algn="ctr">
            <a:solidFill>
              <a:schemeClr val="bg1"/>
            </a:solidFill>
            <a:round/>
          </a:ln>
          <a:effectLst/>
        </c:spPr>
        <c:marker>
          <c:symbol val="circle"/>
          <c:size val="11"/>
          <c:spPr>
            <a:solidFill>
              <a:schemeClr val="accent1"/>
            </a:solidFill>
            <a:ln w="9525" cap="flat" cmpd="sng" algn="ctr">
              <a:solidFill>
                <a:schemeClr val="accent1"/>
              </a:solidFill>
              <a:round/>
            </a:ln>
            <a:effectLst/>
          </c:spPr>
        </c:marker>
        <c:dLbl>
          <c:idx val="0"/>
          <c:layout>
            <c:manualLayout>
              <c:x val="-3.3426306034939735E-2"/>
              <c:y val="-5.928576276286738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ln w="66675" cap="rnd" cmpd="sng" algn="ctr">
            <a:solidFill>
              <a:schemeClr val="bg1"/>
            </a:solidFill>
            <a:round/>
          </a:ln>
          <a:effectLst/>
        </c:spPr>
        <c:marker>
          <c:symbol val="circle"/>
          <c:size val="11"/>
          <c:spPr>
            <a:solidFill>
              <a:schemeClr val="accent1"/>
            </a:solidFill>
            <a:ln w="9525" cap="flat" cmpd="sng" algn="ctr">
              <a:solidFill>
                <a:schemeClr val="accent1"/>
              </a:solidFill>
              <a:round/>
            </a:ln>
            <a:effectLst/>
          </c:spPr>
        </c:marker>
        <c:dLbl>
          <c:idx val="0"/>
          <c:layout>
            <c:manualLayout>
              <c:x val="-3.5283323036880795E-2"/>
              <c:y val="-7.29670926312213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66675" cap="rnd" cmpd="sng" algn="ctr">
            <a:solidFill>
              <a:schemeClr val="bg1"/>
            </a:solidFill>
            <a:round/>
          </a:ln>
          <a:effectLst/>
        </c:spPr>
        <c:marker>
          <c:symbol val="circle"/>
          <c:size val="11"/>
          <c:spPr>
            <a:solidFill>
              <a:schemeClr val="accent1"/>
            </a:solidFill>
            <a:ln w="9525" cap="flat" cmpd="sng" algn="ctr">
              <a:solidFill>
                <a:schemeClr val="accent1"/>
              </a:solidFill>
              <a:round/>
            </a:ln>
            <a:effectLst/>
          </c:spPr>
        </c:marker>
        <c:dLbl>
          <c:idx val="0"/>
          <c:layout>
            <c:manualLayout>
              <c:x val="-3.7186439406697309E-2"/>
              <c:y val="-5.971664424656640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ln w="66675" cap="rnd" cmpd="sng" algn="ctr">
            <a:solidFill>
              <a:schemeClr val="bg1"/>
            </a:solidFill>
            <a:round/>
          </a:ln>
          <a:effectLst/>
        </c:spPr>
        <c:marker>
          <c:symbol val="circle"/>
          <c:size val="11"/>
          <c:spPr>
            <a:solidFill>
              <a:schemeClr val="accent1"/>
            </a:solidFill>
            <a:ln w="9525" cap="flat" cmpd="sng" algn="ctr">
              <a:solidFill>
                <a:schemeClr val="accent1"/>
              </a:solidFill>
              <a:round/>
            </a:ln>
            <a:effectLst/>
          </c:spPr>
        </c:marker>
        <c:dLbl>
          <c:idx val="0"/>
          <c:layout>
            <c:manualLayout>
              <c:x val="-3.1569289032998604E-2"/>
              <c:y val="-6.38462060523186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ln w="66675" cap="rnd" cmpd="sng" algn="ctr">
            <a:solidFill>
              <a:schemeClr val="bg1"/>
            </a:solidFill>
            <a:round/>
          </a:ln>
          <a:effectLst/>
        </c:spPr>
        <c:marker>
          <c:symbol val="circle"/>
          <c:size val="11"/>
          <c:spPr>
            <a:solidFill>
              <a:schemeClr val="accent1"/>
            </a:solidFill>
            <a:ln w="9525" cap="flat" cmpd="sng" algn="ctr">
              <a:solidFill>
                <a:schemeClr val="accent1"/>
              </a:solidFill>
              <a:round/>
            </a:ln>
            <a:effectLst/>
          </c:spPr>
        </c:marker>
        <c:dLbl>
          <c:idx val="0"/>
          <c:layout>
            <c:manualLayout>
              <c:x val="-3.34263060349397E-2"/>
              <c:y val="-7.29670926312213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ln w="66675" cap="rnd" cmpd="sng" algn="ctr">
            <a:solidFill>
              <a:schemeClr val="bg1"/>
            </a:solidFill>
            <a:round/>
          </a:ln>
          <a:effectLst/>
        </c:spPr>
        <c:marker>
          <c:symbol val="circle"/>
          <c:size val="11"/>
          <c:spPr>
            <a:solidFill>
              <a:schemeClr val="accent1"/>
            </a:solidFill>
            <a:ln w="9525" cap="flat" cmpd="sng" algn="ctr">
              <a:solidFill>
                <a:schemeClr val="accent1"/>
              </a:solidFill>
              <a:round/>
            </a:ln>
            <a:effectLst/>
          </c:spPr>
        </c:marker>
        <c:dLbl>
          <c:idx val="0"/>
          <c:layout>
            <c:manualLayout>
              <c:x val="-3.5283323036880795E-2"/>
              <c:y val="-5.928576276286738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ln w="66675" cap="rnd" cmpd="sng" algn="ctr">
            <a:solidFill>
              <a:schemeClr val="bg1"/>
            </a:solidFill>
            <a:round/>
          </a:ln>
          <a:effectLst/>
        </c:spPr>
        <c:marker>
          <c:symbol val="circle"/>
          <c:size val="11"/>
          <c:spPr>
            <a:solidFill>
              <a:schemeClr val="accent1"/>
            </a:solidFill>
            <a:ln w="9525" cap="flat" cmpd="sng" algn="ctr">
              <a:solidFill>
                <a:schemeClr val="accent1"/>
              </a:solidFill>
              <a:round/>
            </a:ln>
            <a:effectLst/>
          </c:spPr>
        </c:marker>
        <c:dLbl>
          <c:idx val="0"/>
          <c:layout>
            <c:manualLayout>
              <c:x val="-3.5283323036880865E-2"/>
              <c:y val="-6.384620605231872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ln w="66675" cap="rnd" cmpd="sng" algn="ctr">
            <a:solidFill>
              <a:schemeClr val="bg1"/>
            </a:solidFill>
            <a:round/>
          </a:ln>
          <a:effectLst/>
        </c:spPr>
        <c:marker>
          <c:symbol val="circle"/>
          <c:size val="11"/>
          <c:spPr>
            <a:solidFill>
              <a:schemeClr val="accent1"/>
            </a:solidFill>
            <a:ln w="9525" cap="flat" cmpd="sng" algn="ctr">
              <a:solidFill>
                <a:schemeClr val="accent1"/>
              </a:solidFill>
              <a:round/>
            </a:ln>
            <a:effectLst/>
          </c:spPr>
        </c:marker>
        <c:dLbl>
          <c:idx val="0"/>
          <c:layout>
            <c:manualLayout>
              <c:x val="-3.5283323036880795E-2"/>
              <c:y val="-5.47253194734160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ln w="66675" cap="rnd" cmpd="sng" algn="ctr">
            <a:solidFill>
              <a:schemeClr val="bg1"/>
            </a:solidFill>
            <a:round/>
          </a:ln>
          <a:effectLst/>
        </c:spPr>
        <c:marker>
          <c:symbol val="circle"/>
          <c:size val="11"/>
          <c:spPr>
            <a:solidFill>
              <a:schemeClr val="accent1"/>
            </a:solidFill>
            <a:ln w="9525" cap="flat" cmpd="sng" algn="ctr">
              <a:solidFill>
                <a:schemeClr val="accent1"/>
              </a:solidFill>
              <a:round/>
            </a:ln>
            <a:effectLst/>
          </c:spPr>
        </c:marker>
        <c:dLbl>
          <c:idx val="0"/>
          <c:layout>
            <c:manualLayout>
              <c:x val="-3.5283323036880795E-2"/>
              <c:y val="-5.928576276286736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ln w="66675" cap="rnd" cmpd="sng" algn="ctr">
            <a:solidFill>
              <a:schemeClr val="bg1"/>
            </a:solidFill>
            <a:round/>
          </a:ln>
          <a:effectLst/>
        </c:spPr>
        <c:marker>
          <c:symbol val="circle"/>
          <c:size val="11"/>
          <c:spPr>
            <a:solidFill>
              <a:schemeClr val="accent1"/>
            </a:solidFill>
            <a:ln w="9525" cap="flat" cmpd="sng" algn="ctr">
              <a:solidFill>
                <a:schemeClr val="accent1"/>
              </a:solidFill>
              <a:round/>
            </a:ln>
            <a:effectLst/>
          </c:spPr>
        </c:marker>
        <c:dLbl>
          <c:idx val="0"/>
          <c:layout>
            <c:manualLayout>
              <c:x val="-3.5283323036880934E-2"/>
              <c:y val="-5.928576276286737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ln w="66675" cap="rnd" cmpd="sng" algn="ctr">
            <a:solidFill>
              <a:schemeClr val="bg1"/>
            </a:solidFill>
            <a:round/>
          </a:ln>
          <a:effectLst/>
        </c:spPr>
        <c:marker>
          <c:symbol val="circle"/>
          <c:size val="11"/>
          <c:spPr>
            <a:solidFill>
              <a:schemeClr val="accent1"/>
            </a:solidFill>
            <a:ln w="9525" cap="flat" cmpd="sng" algn="ctr">
              <a:solidFill>
                <a:schemeClr val="accent1"/>
              </a:solidFill>
              <a:round/>
            </a:ln>
            <a:effectLst/>
          </c:spPr>
        </c:marker>
        <c:dLbl>
          <c:idx val="0"/>
          <c:layout>
            <c:manualLayout>
              <c:x val="-3.34263060349397E-2"/>
              <c:y val="-5.928576276286736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ln w="66675" cap="rnd" cmpd="sng" algn="ctr">
            <a:solidFill>
              <a:schemeClr val="bg1"/>
            </a:solidFill>
            <a:round/>
          </a:ln>
          <a:effectLst/>
        </c:spPr>
        <c:marker>
          <c:symbol val="circle"/>
          <c:size val="11"/>
          <c:spPr>
            <a:solidFill>
              <a:schemeClr val="accent1"/>
            </a:solidFill>
            <a:ln w="9525" cap="flat" cmpd="sng" algn="ctr">
              <a:solidFill>
                <a:schemeClr val="accent1"/>
              </a:solidFill>
              <a:round/>
            </a:ln>
            <a:effectLst/>
          </c:spPr>
        </c:marker>
        <c:dLbl>
          <c:idx val="0"/>
          <c:layout>
            <c:manualLayout>
              <c:x val="-3.5283323036880795E-2"/>
              <c:y val="-5.928576276286736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'data trends'!$B$15</c:f>
              <c:strCache>
                <c:ptCount val="1"/>
                <c:pt idx="0">
                  <c:v>Total</c:v>
                </c:pt>
              </c:strCache>
            </c:strRef>
          </c:tx>
          <c:spPr>
            <a:ln w="66675" cap="rnd" cmpd="sng" algn="ctr">
              <a:solidFill>
                <a:schemeClr val="bg1"/>
              </a:solidFill>
              <a:round/>
            </a:ln>
            <a:effectLst/>
          </c:spPr>
          <c:marker>
            <c:symbol val="circle"/>
            <c:size val="11"/>
            <c:spPr>
              <a:solidFill>
                <a:schemeClr val="accent1"/>
              </a:solidFill>
              <a:ln w="9525" cap="flat" cmpd="sng" algn="ctr">
                <a:solidFill>
                  <a:schemeClr val="accent1"/>
                </a:solidFill>
                <a:round/>
              </a:ln>
              <a:effectLst/>
            </c:spPr>
          </c:marker>
          <c:dPt>
            <c:idx val="0"/>
            <c:marker>
              <c:symbol val="circle"/>
              <c:size val="11"/>
              <c:spPr>
                <a:solidFill>
                  <a:schemeClr val="accent1"/>
                </a:solidFill>
                <a:ln w="9525" cap="flat" cmpd="sng" algn="ctr">
                  <a:solidFill>
                    <a:schemeClr val="accent1"/>
                  </a:solidFill>
                  <a:round/>
                </a:ln>
                <a:effectLst/>
              </c:spPr>
            </c:marker>
            <c:bubble3D val="0"/>
            <c:spPr>
              <a:ln w="66675" cap="rnd" cmpd="sng" algn="ctr">
                <a:solidFill>
                  <a:schemeClr val="bg1"/>
                </a:solidFill>
                <a:round/>
              </a:ln>
              <a:effectLst/>
            </c:spPr>
            <c:extLst>
              <c:ext xmlns:c16="http://schemas.microsoft.com/office/drawing/2014/chart" uri="{C3380CC4-5D6E-409C-BE32-E72D297353CC}">
                <c16:uniqueId val="{00000003-B472-F445-BBFB-5C1B253D389E}"/>
              </c:ext>
            </c:extLst>
          </c:dPt>
          <c:dPt>
            <c:idx val="1"/>
            <c:marker>
              <c:symbol val="circle"/>
              <c:size val="11"/>
              <c:spPr>
                <a:solidFill>
                  <a:schemeClr val="accent1"/>
                </a:solidFill>
                <a:ln w="9525" cap="flat" cmpd="sng" algn="ctr">
                  <a:solidFill>
                    <a:schemeClr val="accent1"/>
                  </a:solidFill>
                  <a:round/>
                </a:ln>
                <a:effectLst/>
              </c:spPr>
            </c:marker>
            <c:bubble3D val="0"/>
            <c:spPr>
              <a:ln w="66675" cap="rnd" cmpd="sng" algn="ctr">
                <a:solidFill>
                  <a:schemeClr val="bg1"/>
                </a:solidFill>
                <a:round/>
              </a:ln>
              <a:effectLst/>
            </c:spPr>
            <c:extLst>
              <c:ext xmlns:c16="http://schemas.microsoft.com/office/drawing/2014/chart" uri="{C3380CC4-5D6E-409C-BE32-E72D297353CC}">
                <c16:uniqueId val="{00000004-B472-F445-BBFB-5C1B253D389E}"/>
              </c:ext>
            </c:extLst>
          </c:dPt>
          <c:dPt>
            <c:idx val="2"/>
            <c:marker>
              <c:symbol val="circle"/>
              <c:size val="11"/>
              <c:spPr>
                <a:solidFill>
                  <a:schemeClr val="accent1"/>
                </a:solidFill>
                <a:ln w="9525" cap="flat" cmpd="sng" algn="ctr">
                  <a:solidFill>
                    <a:schemeClr val="accent1"/>
                  </a:solidFill>
                  <a:round/>
                </a:ln>
                <a:effectLst/>
              </c:spPr>
            </c:marker>
            <c:bubble3D val="0"/>
            <c:spPr>
              <a:ln w="66675" cap="rnd" cmpd="sng" algn="ctr">
                <a:solidFill>
                  <a:schemeClr val="bg1"/>
                </a:solidFill>
                <a:round/>
              </a:ln>
              <a:effectLst/>
            </c:spPr>
            <c:extLst>
              <c:ext xmlns:c16="http://schemas.microsoft.com/office/drawing/2014/chart" uri="{C3380CC4-5D6E-409C-BE32-E72D297353CC}">
                <c16:uniqueId val="{00000005-B472-F445-BBFB-5C1B253D389E}"/>
              </c:ext>
            </c:extLst>
          </c:dPt>
          <c:dPt>
            <c:idx val="3"/>
            <c:marker>
              <c:symbol val="circle"/>
              <c:size val="11"/>
              <c:spPr>
                <a:solidFill>
                  <a:schemeClr val="accent1"/>
                </a:solidFill>
                <a:ln w="9525" cap="flat" cmpd="sng" algn="ctr">
                  <a:solidFill>
                    <a:schemeClr val="accent1"/>
                  </a:solidFill>
                  <a:round/>
                </a:ln>
                <a:effectLst/>
              </c:spPr>
            </c:marker>
            <c:bubble3D val="0"/>
            <c:spPr>
              <a:ln w="66675" cap="rnd" cmpd="sng" algn="ctr">
                <a:solidFill>
                  <a:schemeClr val="bg1"/>
                </a:solidFill>
                <a:round/>
              </a:ln>
              <a:effectLst/>
            </c:spPr>
            <c:extLst>
              <c:ext xmlns:c16="http://schemas.microsoft.com/office/drawing/2014/chart" uri="{C3380CC4-5D6E-409C-BE32-E72D297353CC}">
                <c16:uniqueId val="{00000001-B472-F445-BBFB-5C1B253D389E}"/>
              </c:ext>
            </c:extLst>
          </c:dPt>
          <c:dPt>
            <c:idx val="4"/>
            <c:marker>
              <c:symbol val="circle"/>
              <c:size val="11"/>
              <c:spPr>
                <a:solidFill>
                  <a:schemeClr val="accent1"/>
                </a:solidFill>
                <a:ln w="9525" cap="flat" cmpd="sng" algn="ctr">
                  <a:solidFill>
                    <a:schemeClr val="accent1"/>
                  </a:solidFill>
                  <a:round/>
                </a:ln>
                <a:effectLst/>
              </c:spPr>
            </c:marker>
            <c:bubble3D val="0"/>
            <c:spPr>
              <a:ln w="66675" cap="rnd" cmpd="sng" algn="ctr">
                <a:solidFill>
                  <a:schemeClr val="bg1"/>
                </a:solidFill>
                <a:round/>
              </a:ln>
              <a:effectLst/>
            </c:spPr>
            <c:extLst>
              <c:ext xmlns:c16="http://schemas.microsoft.com/office/drawing/2014/chart" uri="{C3380CC4-5D6E-409C-BE32-E72D297353CC}">
                <c16:uniqueId val="{00000002-B472-F445-BBFB-5C1B253D389E}"/>
              </c:ext>
            </c:extLst>
          </c:dPt>
          <c:dPt>
            <c:idx val="5"/>
            <c:marker>
              <c:symbol val="circle"/>
              <c:size val="11"/>
              <c:spPr>
                <a:solidFill>
                  <a:schemeClr val="accent1"/>
                </a:solidFill>
                <a:ln w="9525" cap="flat" cmpd="sng" algn="ctr">
                  <a:solidFill>
                    <a:schemeClr val="accent1"/>
                  </a:solidFill>
                  <a:round/>
                </a:ln>
                <a:effectLst/>
              </c:spPr>
            </c:marker>
            <c:bubble3D val="0"/>
            <c:spPr>
              <a:ln w="66675" cap="rnd" cmpd="sng" algn="ctr">
                <a:solidFill>
                  <a:schemeClr val="bg1"/>
                </a:solidFill>
                <a:round/>
              </a:ln>
              <a:effectLst/>
            </c:spPr>
            <c:extLst>
              <c:ext xmlns:c16="http://schemas.microsoft.com/office/drawing/2014/chart" uri="{C3380CC4-5D6E-409C-BE32-E72D297353CC}">
                <c16:uniqueId val="{00000006-B472-F445-BBFB-5C1B253D389E}"/>
              </c:ext>
            </c:extLst>
          </c:dPt>
          <c:dPt>
            <c:idx val="6"/>
            <c:marker>
              <c:symbol val="circle"/>
              <c:size val="11"/>
              <c:spPr>
                <a:solidFill>
                  <a:schemeClr val="accent1"/>
                </a:solidFill>
                <a:ln w="9525" cap="flat" cmpd="sng" algn="ctr">
                  <a:solidFill>
                    <a:schemeClr val="accent1"/>
                  </a:solidFill>
                  <a:round/>
                </a:ln>
                <a:effectLst/>
              </c:spPr>
            </c:marker>
            <c:bubble3D val="0"/>
            <c:spPr>
              <a:ln w="66675" cap="rnd" cmpd="sng" algn="ctr">
                <a:solidFill>
                  <a:schemeClr val="bg1"/>
                </a:solidFill>
                <a:round/>
              </a:ln>
              <a:effectLst/>
            </c:spPr>
            <c:extLst>
              <c:ext xmlns:c16="http://schemas.microsoft.com/office/drawing/2014/chart" uri="{C3380CC4-5D6E-409C-BE32-E72D297353CC}">
                <c16:uniqueId val="{00000007-B472-F445-BBFB-5C1B253D389E}"/>
              </c:ext>
            </c:extLst>
          </c:dPt>
          <c:dPt>
            <c:idx val="7"/>
            <c:marker>
              <c:symbol val="circle"/>
              <c:size val="11"/>
              <c:spPr>
                <a:solidFill>
                  <a:schemeClr val="accent1"/>
                </a:solidFill>
                <a:ln w="9525" cap="flat" cmpd="sng" algn="ctr">
                  <a:solidFill>
                    <a:schemeClr val="accent1"/>
                  </a:solidFill>
                  <a:round/>
                </a:ln>
                <a:effectLst/>
              </c:spPr>
            </c:marker>
            <c:bubble3D val="0"/>
            <c:spPr>
              <a:ln w="66675" cap="rnd" cmpd="sng" algn="ctr">
                <a:solidFill>
                  <a:schemeClr val="bg1"/>
                </a:solidFill>
                <a:round/>
              </a:ln>
              <a:effectLst/>
            </c:spPr>
            <c:extLst>
              <c:ext xmlns:c16="http://schemas.microsoft.com/office/drawing/2014/chart" uri="{C3380CC4-5D6E-409C-BE32-E72D297353CC}">
                <c16:uniqueId val="{00000008-B472-F445-BBFB-5C1B253D389E}"/>
              </c:ext>
            </c:extLst>
          </c:dPt>
          <c:dPt>
            <c:idx val="8"/>
            <c:marker>
              <c:symbol val="circle"/>
              <c:size val="11"/>
              <c:spPr>
                <a:solidFill>
                  <a:schemeClr val="accent1"/>
                </a:solidFill>
                <a:ln w="9525" cap="flat" cmpd="sng" algn="ctr">
                  <a:solidFill>
                    <a:schemeClr val="accent1"/>
                  </a:solidFill>
                  <a:round/>
                </a:ln>
                <a:effectLst/>
              </c:spPr>
            </c:marker>
            <c:bubble3D val="0"/>
            <c:spPr>
              <a:ln w="66675" cap="rnd" cmpd="sng" algn="ctr">
                <a:solidFill>
                  <a:schemeClr val="bg1"/>
                </a:solidFill>
                <a:round/>
              </a:ln>
              <a:effectLst/>
            </c:spPr>
            <c:extLst>
              <c:ext xmlns:c16="http://schemas.microsoft.com/office/drawing/2014/chart" uri="{C3380CC4-5D6E-409C-BE32-E72D297353CC}">
                <c16:uniqueId val="{00000009-B472-F445-BBFB-5C1B253D389E}"/>
              </c:ext>
            </c:extLst>
          </c:dPt>
          <c:dPt>
            <c:idx val="9"/>
            <c:marker>
              <c:symbol val="circle"/>
              <c:size val="11"/>
              <c:spPr>
                <a:solidFill>
                  <a:schemeClr val="accent1"/>
                </a:solidFill>
                <a:ln w="9525" cap="flat" cmpd="sng" algn="ctr">
                  <a:solidFill>
                    <a:schemeClr val="accent1"/>
                  </a:solidFill>
                  <a:round/>
                </a:ln>
                <a:effectLst/>
              </c:spPr>
            </c:marker>
            <c:bubble3D val="0"/>
            <c:spPr>
              <a:ln w="66675" cap="rnd" cmpd="sng" algn="ctr">
                <a:solidFill>
                  <a:schemeClr val="bg1"/>
                </a:solidFill>
                <a:round/>
              </a:ln>
              <a:effectLst/>
            </c:spPr>
            <c:extLst>
              <c:ext xmlns:c16="http://schemas.microsoft.com/office/drawing/2014/chart" uri="{C3380CC4-5D6E-409C-BE32-E72D297353CC}">
                <c16:uniqueId val="{0000000A-B472-F445-BBFB-5C1B253D389E}"/>
              </c:ext>
            </c:extLst>
          </c:dPt>
          <c:dPt>
            <c:idx val="10"/>
            <c:marker>
              <c:symbol val="circle"/>
              <c:size val="11"/>
              <c:spPr>
                <a:solidFill>
                  <a:schemeClr val="accent1"/>
                </a:solidFill>
                <a:ln w="9525" cap="flat" cmpd="sng" algn="ctr">
                  <a:solidFill>
                    <a:schemeClr val="accent1"/>
                  </a:solidFill>
                  <a:round/>
                </a:ln>
                <a:effectLst/>
              </c:spPr>
            </c:marker>
            <c:bubble3D val="0"/>
            <c:spPr>
              <a:ln w="66675" cap="rnd" cmpd="sng" algn="ctr">
                <a:solidFill>
                  <a:schemeClr val="bg1"/>
                </a:solidFill>
                <a:round/>
              </a:ln>
              <a:effectLst/>
            </c:spPr>
            <c:extLst>
              <c:ext xmlns:c16="http://schemas.microsoft.com/office/drawing/2014/chart" uri="{C3380CC4-5D6E-409C-BE32-E72D297353CC}">
                <c16:uniqueId val="{0000000B-B472-F445-BBFB-5C1B253D389E}"/>
              </c:ext>
            </c:extLst>
          </c:dPt>
          <c:dPt>
            <c:idx val="11"/>
            <c:marker>
              <c:symbol val="circle"/>
              <c:size val="11"/>
              <c:spPr>
                <a:solidFill>
                  <a:schemeClr val="accent1"/>
                </a:solidFill>
                <a:ln w="9525" cap="flat" cmpd="sng" algn="ctr">
                  <a:solidFill>
                    <a:schemeClr val="accent1"/>
                  </a:solidFill>
                  <a:round/>
                </a:ln>
                <a:effectLst/>
              </c:spPr>
            </c:marker>
            <c:bubble3D val="0"/>
            <c:spPr>
              <a:ln w="66675" cap="rnd" cmpd="sng" algn="ctr">
                <a:solidFill>
                  <a:schemeClr val="bg1"/>
                </a:solidFill>
                <a:round/>
              </a:ln>
              <a:effectLst/>
            </c:spPr>
            <c:extLst>
              <c:ext xmlns:c16="http://schemas.microsoft.com/office/drawing/2014/chart" uri="{C3380CC4-5D6E-409C-BE32-E72D297353CC}">
                <c16:uniqueId val="{0000000C-B472-F445-BBFB-5C1B253D389E}"/>
              </c:ext>
            </c:extLst>
          </c:dPt>
          <c:dLbls>
            <c:dLbl>
              <c:idx val="0"/>
              <c:layout>
                <c:manualLayout>
                  <c:x val="-3.7186439406697309E-2"/>
                  <c:y val="-5.971664424656640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472-F445-BBFB-5C1B253D389E}"/>
                </c:ext>
              </c:extLst>
            </c:dLbl>
            <c:dLbl>
              <c:idx val="1"/>
              <c:layout>
                <c:manualLayout>
                  <c:x val="-3.1569289032998604E-2"/>
                  <c:y val="-6.384620605231869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B472-F445-BBFB-5C1B253D389E}"/>
                </c:ext>
              </c:extLst>
            </c:dLbl>
            <c:dLbl>
              <c:idx val="2"/>
              <c:layout>
                <c:manualLayout>
                  <c:x val="-3.34263060349397E-2"/>
                  <c:y val="-7.296709263122136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472-F445-BBFB-5C1B253D389E}"/>
                </c:ext>
              </c:extLst>
            </c:dLbl>
            <c:dLbl>
              <c:idx val="3"/>
              <c:layout>
                <c:manualLayout>
                  <c:x val="-3.3426306034939735E-2"/>
                  <c:y val="-5.928576276286738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472-F445-BBFB-5C1B253D389E}"/>
                </c:ext>
              </c:extLst>
            </c:dLbl>
            <c:dLbl>
              <c:idx val="4"/>
              <c:layout>
                <c:manualLayout>
                  <c:x val="-3.5283323036880795E-2"/>
                  <c:y val="-7.296709263122136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472-F445-BBFB-5C1B253D389E}"/>
                </c:ext>
              </c:extLst>
            </c:dLbl>
            <c:dLbl>
              <c:idx val="5"/>
              <c:layout>
                <c:manualLayout>
                  <c:x val="-3.5283323036880795E-2"/>
                  <c:y val="-5.928576276286738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B472-F445-BBFB-5C1B253D389E}"/>
                </c:ext>
              </c:extLst>
            </c:dLbl>
            <c:dLbl>
              <c:idx val="6"/>
              <c:layout>
                <c:manualLayout>
                  <c:x val="-3.5283323036880865E-2"/>
                  <c:y val="-6.384620605231872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B472-F445-BBFB-5C1B253D389E}"/>
                </c:ext>
              </c:extLst>
            </c:dLbl>
            <c:dLbl>
              <c:idx val="7"/>
              <c:layout>
                <c:manualLayout>
                  <c:x val="-3.5283323036880795E-2"/>
                  <c:y val="-5.47253194734160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B472-F445-BBFB-5C1B253D389E}"/>
                </c:ext>
              </c:extLst>
            </c:dLbl>
            <c:dLbl>
              <c:idx val="8"/>
              <c:layout>
                <c:manualLayout>
                  <c:x val="-3.5283323036880795E-2"/>
                  <c:y val="-5.928576276286736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B472-F445-BBFB-5C1B253D389E}"/>
                </c:ext>
              </c:extLst>
            </c:dLbl>
            <c:dLbl>
              <c:idx val="9"/>
              <c:layout>
                <c:manualLayout>
                  <c:x val="-3.5283323036880934E-2"/>
                  <c:y val="-5.928576276286737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B472-F445-BBFB-5C1B253D389E}"/>
                </c:ext>
              </c:extLst>
            </c:dLbl>
            <c:dLbl>
              <c:idx val="10"/>
              <c:layout>
                <c:manualLayout>
                  <c:x val="-3.34263060349397E-2"/>
                  <c:y val="-5.928576276286736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B472-F445-BBFB-5C1B253D389E}"/>
                </c:ext>
              </c:extLst>
            </c:dLbl>
            <c:dLbl>
              <c:idx val="11"/>
              <c:layout>
                <c:manualLayout>
                  <c:x val="-3.5283323036880795E-2"/>
                  <c:y val="-5.928576276286736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B472-F445-BBFB-5C1B253D389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Ref>
              <c:f>'data trends'!$A$16:$A$28</c:f>
              <c:strCache>
                <c:ptCount val="12"/>
                <c:pt idx="0">
                  <c:v>9 AM</c:v>
                </c:pt>
                <c:pt idx="1">
                  <c:v>10 AM</c:v>
                </c:pt>
                <c:pt idx="2">
                  <c:v>11 AM</c:v>
                </c:pt>
                <c:pt idx="3">
                  <c:v>12 PM</c:v>
                </c:pt>
                <c:pt idx="4">
                  <c:v>1 PM</c:v>
                </c:pt>
                <c:pt idx="5">
                  <c:v>2 PM</c:v>
                </c:pt>
                <c:pt idx="6">
                  <c:v>3 PM</c:v>
                </c:pt>
                <c:pt idx="7">
                  <c:v>4 PM</c:v>
                </c:pt>
                <c:pt idx="8">
                  <c:v>5 PM</c:v>
                </c:pt>
                <c:pt idx="9">
                  <c:v>6 PM</c:v>
                </c:pt>
                <c:pt idx="10">
                  <c:v>7 PM</c:v>
                </c:pt>
                <c:pt idx="11">
                  <c:v>8 PM</c:v>
                </c:pt>
              </c:strCache>
            </c:strRef>
          </c:cat>
          <c:val>
            <c:numRef>
              <c:f>'data trends'!$B$16:$B$28</c:f>
              <c:numCache>
                <c:formatCode>General</c:formatCode>
                <c:ptCount val="12"/>
                <c:pt idx="0">
                  <c:v>198</c:v>
                </c:pt>
                <c:pt idx="1">
                  <c:v>218</c:v>
                </c:pt>
                <c:pt idx="2">
                  <c:v>196</c:v>
                </c:pt>
                <c:pt idx="3">
                  <c:v>188</c:v>
                </c:pt>
                <c:pt idx="4">
                  <c:v>177</c:v>
                </c:pt>
                <c:pt idx="5">
                  <c:v>194</c:v>
                </c:pt>
                <c:pt idx="6">
                  <c:v>202</c:v>
                </c:pt>
                <c:pt idx="7">
                  <c:v>195</c:v>
                </c:pt>
                <c:pt idx="8">
                  <c:v>197</c:v>
                </c:pt>
                <c:pt idx="9">
                  <c:v>225</c:v>
                </c:pt>
                <c:pt idx="10">
                  <c:v>202</c:v>
                </c:pt>
                <c:pt idx="11">
                  <c:v>191</c:v>
                </c:pt>
              </c:numCache>
            </c:numRef>
          </c:val>
          <c:smooth val="0"/>
          <c:extLst>
            <c:ext xmlns:c16="http://schemas.microsoft.com/office/drawing/2014/chart" uri="{C3380CC4-5D6E-409C-BE32-E72D297353CC}">
              <c16:uniqueId val="{00000000-B472-F445-BBFB-5C1B253D389E}"/>
            </c:ext>
          </c:extLst>
        </c:ser>
        <c:dLbls>
          <c:showLegendKey val="0"/>
          <c:showVal val="0"/>
          <c:showCatName val="0"/>
          <c:showSerName val="0"/>
          <c:showPercent val="0"/>
          <c:showBubbleSize val="0"/>
        </c:dLbls>
        <c:dropLines>
          <c:spPr>
            <a:ln w="9525" cap="flat" cmpd="sng" algn="ctr">
              <a:gradFill>
                <a:gsLst>
                  <a:gs pos="31000">
                    <a:schemeClr val="accent1">
                      <a:lumMod val="5000"/>
                      <a:lumOff val="95000"/>
                    </a:schemeClr>
                  </a:gs>
                  <a:gs pos="0">
                    <a:schemeClr val="accent1">
                      <a:lumMod val="45000"/>
                      <a:lumOff val="55000"/>
                    </a:schemeClr>
                  </a:gs>
                  <a:gs pos="83000">
                    <a:schemeClr val="accent1">
                      <a:lumMod val="45000"/>
                      <a:lumOff val="55000"/>
                    </a:schemeClr>
                  </a:gs>
                  <a:gs pos="90000">
                    <a:schemeClr val="accent1">
                      <a:lumMod val="30000"/>
                      <a:lumOff val="70000"/>
                    </a:schemeClr>
                  </a:gs>
                </a:gsLst>
                <a:lin ang="5400000" scaled="1"/>
              </a:gradFill>
              <a:round/>
            </a:ln>
            <a:effectLst/>
          </c:spPr>
        </c:dropLines>
        <c:marker val="1"/>
        <c:smooth val="0"/>
        <c:axId val="90730240"/>
        <c:axId val="337191152"/>
      </c:lineChart>
      <c:catAx>
        <c:axId val="90730240"/>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1100" b="1" i="0" u="none" strike="noStrike" kern="1200" spc="20" baseline="0">
                <a:solidFill>
                  <a:schemeClr val="bg1"/>
                </a:solidFill>
                <a:latin typeface="+mn-lt"/>
                <a:ea typeface="+mn-ea"/>
                <a:cs typeface="+mn-cs"/>
              </a:defRPr>
            </a:pPr>
            <a:endParaRPr lang="en-US"/>
          </a:p>
        </c:txPr>
        <c:crossAx val="337191152"/>
        <c:crosses val="autoZero"/>
        <c:auto val="1"/>
        <c:lblAlgn val="ctr"/>
        <c:lblOffset val="100"/>
        <c:noMultiLvlLbl val="0"/>
      </c:catAx>
      <c:valAx>
        <c:axId val="337191152"/>
        <c:scaling>
          <c:orientation val="minMax"/>
        </c:scaling>
        <c:delete val="1"/>
        <c:axPos val="l"/>
        <c:numFmt formatCode="General" sourceLinked="1"/>
        <c:majorTickMark val="none"/>
        <c:minorTickMark val="none"/>
        <c:tickLblPos val="nextTo"/>
        <c:crossAx val="907302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[Bakery_Sales_Data_2024.xlsx]data trends!product percentage</c:name>
    <c:fmtId val="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extLst>
        </c:dLbl>
      </c:pivotFmt>
      <c:pivotFmt>
        <c:idx val="2"/>
        <c:spPr>
          <a:gradFill flip="none" rotWithShape="1">
            <a:gsLst>
              <a:gs pos="0">
                <a:schemeClr val="accent1">
                  <a:lumMod val="13000"/>
                </a:schemeClr>
              </a:gs>
              <a:gs pos="4000">
                <a:schemeClr val="accent1">
                  <a:lumMod val="45000"/>
                  <a:lumOff val="55000"/>
                </a:schemeClr>
              </a:gs>
              <a:gs pos="74000">
                <a:schemeClr val="accent1">
                  <a:lumMod val="22000"/>
                  <a:lumOff val="78000"/>
                </a:schemeClr>
              </a:gs>
              <a:gs pos="100000">
                <a:schemeClr val="accent1">
                  <a:lumMod val="30000"/>
                  <a:lumOff val="70000"/>
                </a:schemeClr>
              </a:gs>
            </a:gsLst>
            <a:path path="rect">
              <a:fillToRect l="100000" t="100000"/>
            </a:path>
            <a:tileRect r="-100000" b="-100000"/>
          </a:gradFill>
          <a:ln w="3175">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extLst>
        </c:dLbl>
      </c:pivotFmt>
    </c:pivotFmts>
    <c:plotArea>
      <c:layout/>
      <c:barChart>
        <c:barDir val="bar"/>
        <c:grouping val="clustered"/>
        <c:varyColors val="0"/>
        <c:ser>
          <c:idx val="0"/>
          <c:order val="0"/>
          <c:tx>
            <c:strRef>
              <c:f>'data trends'!$B$43</c:f>
              <c:strCache>
                <c:ptCount val="1"/>
                <c:pt idx="0">
                  <c:v>Total</c:v>
                </c:pt>
              </c:strCache>
            </c:strRef>
          </c:tx>
          <c:spPr>
            <a:gradFill flip="none" rotWithShape="1">
              <a:gsLst>
                <a:gs pos="0">
                  <a:schemeClr val="accent1">
                    <a:lumMod val="13000"/>
                  </a:schemeClr>
                </a:gs>
                <a:gs pos="4000">
                  <a:schemeClr val="accent1">
                    <a:lumMod val="45000"/>
                    <a:lumOff val="55000"/>
                  </a:schemeClr>
                </a:gs>
                <a:gs pos="74000">
                  <a:schemeClr val="accent1">
                    <a:lumMod val="22000"/>
                    <a:lumOff val="78000"/>
                  </a:schemeClr>
                </a:gs>
                <a:gs pos="100000">
                  <a:schemeClr val="accent1">
                    <a:lumMod val="30000"/>
                    <a:lumOff val="70000"/>
                  </a:schemeClr>
                </a:gs>
              </a:gsLst>
              <a:path path="rect">
                <a:fillToRect l="100000" t="100000"/>
              </a:path>
              <a:tileRect r="-100000" b="-100000"/>
            </a:gradFill>
            <a:ln w="3175">
              <a:solidFill>
                <a:schemeClr val="bg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eparator>, </c:separator>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 trends'!$A$44:$A$63</c:f>
              <c:strCache>
                <c:ptCount val="19"/>
                <c:pt idx="0">
                  <c:v>Pandesal</c:v>
                </c:pt>
                <c:pt idx="1">
                  <c:v>Monay</c:v>
                </c:pt>
                <c:pt idx="2">
                  <c:v>Spanish Bread</c:v>
                </c:pt>
                <c:pt idx="3">
                  <c:v>Cheese Bread</c:v>
                </c:pt>
                <c:pt idx="4">
                  <c:v>Butter Cookie</c:v>
                </c:pt>
                <c:pt idx="5">
                  <c:v>Ensaymada</c:v>
                </c:pt>
                <c:pt idx="6">
                  <c:v>Oatmeal Cookie</c:v>
                </c:pt>
                <c:pt idx="7">
                  <c:v>Brownie</c:v>
                </c:pt>
                <c:pt idx="8">
                  <c:v>Chocolate Chip Cookie</c:v>
                </c:pt>
                <c:pt idx="9">
                  <c:v>Peanut Butter Cookie</c:v>
                </c:pt>
                <c:pt idx="10">
                  <c:v>Muffin</c:v>
                </c:pt>
                <c:pt idx="11">
                  <c:v>Croissant</c:v>
                </c:pt>
                <c:pt idx="12">
                  <c:v>Danish</c:v>
                </c:pt>
                <c:pt idx="13">
                  <c:v>Cinnamon Roll</c:v>
                </c:pt>
                <c:pt idx="14">
                  <c:v>Strawberry Cake</c:v>
                </c:pt>
                <c:pt idx="15">
                  <c:v>Classic Cake</c:v>
                </c:pt>
                <c:pt idx="16">
                  <c:v>Ube Cake</c:v>
                </c:pt>
                <c:pt idx="17">
                  <c:v>Chocolate Cake</c:v>
                </c:pt>
                <c:pt idx="18">
                  <c:v>Customized Cake</c:v>
                </c:pt>
              </c:strCache>
            </c:strRef>
          </c:cat>
          <c:val>
            <c:numRef>
              <c:f>'data trends'!$B$44:$B$63</c:f>
              <c:numCache>
                <c:formatCode>0.00%</c:formatCode>
                <c:ptCount val="19"/>
                <c:pt idx="0">
                  <c:v>1.1877158156371461E-3</c:v>
                </c:pt>
                <c:pt idx="1">
                  <c:v>2.2386441356531603E-3</c:v>
                </c:pt>
                <c:pt idx="2">
                  <c:v>3.4630590354813419E-3</c:v>
                </c:pt>
                <c:pt idx="3">
                  <c:v>4.3838724206382304E-3</c:v>
                </c:pt>
                <c:pt idx="4">
                  <c:v>5.504862628655312E-3</c:v>
                </c:pt>
                <c:pt idx="5">
                  <c:v>6.9895073982017449E-3</c:v>
                </c:pt>
                <c:pt idx="6">
                  <c:v>7.3731796420171154E-3</c:v>
                </c:pt>
                <c:pt idx="7">
                  <c:v>8.4207716816521259E-3</c:v>
                </c:pt>
                <c:pt idx="8">
                  <c:v>9.4383371978581081E-3</c:v>
                </c:pt>
                <c:pt idx="9">
                  <c:v>1.0322451498823961E-2</c:v>
                </c:pt>
                <c:pt idx="10">
                  <c:v>1.1019734098453634E-2</c:v>
                </c:pt>
                <c:pt idx="11">
                  <c:v>1.1560211520176156E-2</c:v>
                </c:pt>
                <c:pt idx="12">
                  <c:v>1.2794635261147347E-2</c:v>
                </c:pt>
                <c:pt idx="13">
                  <c:v>1.4212554423073715E-2</c:v>
                </c:pt>
                <c:pt idx="14">
                  <c:v>0.13727125627637746</c:v>
                </c:pt>
                <c:pt idx="15">
                  <c:v>0.1433266051678983</c:v>
                </c:pt>
                <c:pt idx="16">
                  <c:v>0.16266368625619296</c:v>
                </c:pt>
                <c:pt idx="17">
                  <c:v>0.18426276544280781</c:v>
                </c:pt>
                <c:pt idx="18">
                  <c:v>0.26356615009925433</c:v>
                </c:pt>
              </c:numCache>
            </c:numRef>
          </c:val>
          <c:extLst>
            <c:ext xmlns:c16="http://schemas.microsoft.com/office/drawing/2014/chart" uri="{C3380CC4-5D6E-409C-BE32-E72D297353CC}">
              <c16:uniqueId val="{00000000-E6C0-944F-AF1D-F2ECA945BF28}"/>
            </c:ext>
          </c:extLst>
        </c:ser>
        <c:dLbls>
          <c:showLegendKey val="0"/>
          <c:showVal val="0"/>
          <c:showCatName val="0"/>
          <c:showSerName val="0"/>
          <c:showPercent val="0"/>
          <c:showBubbleSize val="0"/>
        </c:dLbls>
        <c:gapWidth val="272"/>
        <c:axId val="340478912"/>
        <c:axId val="340339840"/>
      </c:barChart>
      <c:valAx>
        <c:axId val="340339840"/>
        <c:scaling>
          <c:orientation val="minMax"/>
        </c:scaling>
        <c:delete val="1"/>
        <c:axPos val="b"/>
        <c:numFmt formatCode="0.00%" sourceLinked="1"/>
        <c:majorTickMark val="none"/>
        <c:minorTickMark val="none"/>
        <c:tickLblPos val="nextTo"/>
        <c:crossAx val="340478912"/>
        <c:crosses val="autoZero"/>
        <c:crossBetween val="between"/>
      </c:valAx>
      <c:catAx>
        <c:axId val="340478912"/>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200" b="1" i="0" u="none" strike="noStrike" kern="1200" baseline="0">
                <a:solidFill>
                  <a:schemeClr val="bg1"/>
                </a:solidFill>
                <a:latin typeface="+mn-lt"/>
                <a:ea typeface="+mn-ea"/>
                <a:cs typeface="+mn-cs"/>
              </a:defRPr>
            </a:pPr>
            <a:endParaRPr lang="en-US"/>
          </a:p>
        </c:txPr>
        <c:crossAx val="340339840"/>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[Bakery_Sales_Data_2024.xlsx]data trends!PivotTable2</c:name>
    <c:fmtId val="1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s>
    <c:plotArea>
      <c:layout>
        <c:manualLayout>
          <c:layoutTarget val="inner"/>
          <c:xMode val="edge"/>
          <c:yMode val="edge"/>
          <c:x val="5.8848835360611924E-2"/>
          <c:y val="3.3858796642778653E-2"/>
          <c:w val="0.5071517778402943"/>
          <c:h val="0.91562361956359051"/>
        </c:manualLayout>
      </c:layout>
      <c:doughnutChart>
        <c:varyColors val="1"/>
        <c:ser>
          <c:idx val="0"/>
          <c:order val="0"/>
          <c:tx>
            <c:strRef>
              <c:f>'data trends'!$B$89</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00A1-8D46-A110-EBE07A38AB36}"/>
              </c:ext>
            </c:extLst>
          </c:dPt>
          <c:dPt>
            <c:idx val="1"/>
            <c:bubble3D val="0"/>
            <c:spPr>
              <a:solidFill>
                <a:schemeClr val="accent2"/>
              </a:solidFill>
              <a:ln>
                <a:noFill/>
              </a:ln>
              <a:effectLst/>
            </c:spPr>
            <c:extLst>
              <c:ext xmlns:c16="http://schemas.microsoft.com/office/drawing/2014/chart" uri="{C3380CC4-5D6E-409C-BE32-E72D297353CC}">
                <c16:uniqueId val="{00000003-00A1-8D46-A110-EBE07A38AB36}"/>
              </c:ext>
            </c:extLst>
          </c:dPt>
          <c:dPt>
            <c:idx val="2"/>
            <c:bubble3D val="0"/>
            <c:spPr>
              <a:solidFill>
                <a:schemeClr val="accent3"/>
              </a:solidFill>
              <a:ln>
                <a:noFill/>
              </a:ln>
              <a:effectLst/>
            </c:spPr>
            <c:extLst>
              <c:ext xmlns:c16="http://schemas.microsoft.com/office/drawing/2014/chart" uri="{C3380CC4-5D6E-409C-BE32-E72D297353CC}">
                <c16:uniqueId val="{00000005-00A1-8D46-A110-EBE07A38AB36}"/>
              </c:ext>
            </c:extLst>
          </c:dPt>
          <c:dPt>
            <c:idx val="3"/>
            <c:bubble3D val="0"/>
            <c:spPr>
              <a:solidFill>
                <a:schemeClr val="accent4"/>
              </a:solidFill>
              <a:ln>
                <a:noFill/>
              </a:ln>
              <a:effectLst/>
            </c:spPr>
            <c:extLst>
              <c:ext xmlns:c16="http://schemas.microsoft.com/office/drawing/2014/chart" uri="{C3380CC4-5D6E-409C-BE32-E72D297353CC}">
                <c16:uniqueId val="{00000007-00A1-8D46-A110-EBE07A38AB36}"/>
              </c:ext>
            </c:extLst>
          </c:dPt>
          <c:dPt>
            <c:idx val="4"/>
            <c:bubble3D val="0"/>
            <c:spPr>
              <a:solidFill>
                <a:schemeClr val="accent5"/>
              </a:solidFill>
              <a:ln>
                <a:noFill/>
              </a:ln>
              <a:effectLst/>
            </c:spPr>
            <c:extLst>
              <c:ext xmlns:c16="http://schemas.microsoft.com/office/drawing/2014/chart" uri="{C3380CC4-5D6E-409C-BE32-E72D297353CC}">
                <c16:uniqueId val="{00000009-00A1-8D46-A110-EBE07A38AB36}"/>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'data trends'!$A$90:$A$95</c:f>
              <c:strCache>
                <c:ptCount val="5"/>
                <c:pt idx="0">
                  <c:v>Customized Cake</c:v>
                </c:pt>
                <c:pt idx="1">
                  <c:v>Chocolate Cake</c:v>
                </c:pt>
                <c:pt idx="2">
                  <c:v>Ube Cake</c:v>
                </c:pt>
                <c:pt idx="3">
                  <c:v>Classic Cake</c:v>
                </c:pt>
                <c:pt idx="4">
                  <c:v>Strawberry Cake</c:v>
                </c:pt>
              </c:strCache>
            </c:strRef>
          </c:cat>
          <c:val>
            <c:numRef>
              <c:f>'data trends'!$B$90:$B$95</c:f>
              <c:numCache>
                <c:formatCode>0.00%</c:formatCode>
                <c:ptCount val="5"/>
                <c:pt idx="0">
                  <c:v>0.29577934112343734</c:v>
                </c:pt>
                <c:pt idx="1">
                  <c:v>0.20678345582591701</c:v>
                </c:pt>
                <c:pt idx="2">
                  <c:v>0.18254452602296595</c:v>
                </c:pt>
                <c:pt idx="3">
                  <c:v>0.16084405689446668</c:v>
                </c:pt>
                <c:pt idx="4">
                  <c:v>0.15404862013321302</c:v>
                </c:pt>
              </c:numCache>
            </c:numRef>
          </c:val>
          <c:extLst>
            <c:ext xmlns:c16="http://schemas.microsoft.com/office/drawing/2014/chart" uri="{C3380CC4-5D6E-409C-BE32-E72D297353CC}">
              <c16:uniqueId val="{0000000A-00A1-8D46-A110-EBE07A38AB36}"/>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62573184466057519"/>
          <c:y val="0.11432920831635288"/>
          <c:w val="0.33659067879014909"/>
          <c:h val="0.75517294810075486"/>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[Bakery_Sales_Data_2024.xlsx]data trends!category percentage</c:name>
    <c:fmtId val="8"/>
  </c:pivotSource>
  <c:chart>
    <c:autoTitleDeleted val="1"/>
    <c:pivotFmts>
      <c:pivotFmt>
        <c:idx val="0"/>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lumMod val="60000"/>
              <a:lumOff val="40000"/>
            </a:schemeClr>
          </a:solidFill>
          <a:ln>
            <a:noFill/>
          </a:ln>
          <a:effectLst/>
        </c:spPr>
        <c:dLbl>
          <c:idx val="0"/>
          <c:layout>
            <c:manualLayout>
              <c:x val="3.4032171925173167E-2"/>
              <c:y val="8.2691775048320343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6"/>
          </a:solidFill>
          <a:ln>
            <a:noFill/>
          </a:ln>
          <a:effectLst/>
        </c:spPr>
      </c:pivotFmt>
      <c:pivotFmt>
        <c:idx val="3"/>
        <c:spPr>
          <a:solidFill>
            <a:schemeClr val="accent2"/>
          </a:solidFill>
          <a:ln>
            <a:noFill/>
          </a:ln>
          <a:effectLst/>
        </c:spPr>
      </c:pivotFmt>
      <c:pivotFmt>
        <c:idx val="4"/>
        <c:spPr>
          <a:solidFill>
            <a:schemeClr val="accent5">
              <a:lumMod val="60000"/>
              <a:lumOff val="40000"/>
            </a:schemeClr>
          </a:solidFill>
          <a:ln>
            <a:noFill/>
          </a:ln>
          <a:effectLst/>
        </c:spPr>
      </c:pivotFmt>
      <c:pivotFmt>
        <c:idx val="5"/>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2"/>
          </a:solidFill>
          <a:ln>
            <a:noFill/>
          </a:ln>
          <a:effectLst/>
        </c:spPr>
      </c:pivotFmt>
      <c:pivotFmt>
        <c:idx val="7"/>
        <c:spPr>
          <a:solidFill>
            <a:schemeClr val="accent1">
              <a:lumMod val="60000"/>
              <a:lumOff val="40000"/>
            </a:schemeClr>
          </a:solidFill>
          <a:ln>
            <a:noFill/>
          </a:ln>
          <a:effectLst/>
        </c:spPr>
        <c:dLbl>
          <c:idx val="0"/>
          <c:layout>
            <c:manualLayout>
              <c:x val="3.4032171925173167E-2"/>
              <c:y val="8.2691775048320343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5">
              <a:lumMod val="60000"/>
              <a:lumOff val="40000"/>
            </a:schemeClr>
          </a:solidFill>
          <a:ln>
            <a:noFill/>
          </a:ln>
          <a:effectLst/>
        </c:spPr>
      </c:pivotFmt>
      <c:pivotFmt>
        <c:idx val="9"/>
        <c:spPr>
          <a:solidFill>
            <a:schemeClr val="accent6"/>
          </a:solidFill>
          <a:ln>
            <a:noFill/>
          </a:ln>
          <a:effectLst/>
        </c:spPr>
      </c:pivotFmt>
      <c:pivotFmt>
        <c:idx val="10"/>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2"/>
          </a:solidFill>
          <a:ln>
            <a:noFill/>
          </a:ln>
          <a:effectLst/>
        </c:spPr>
        <c:dLbl>
          <c:idx val="0"/>
          <c:layout>
            <c:manualLayout>
              <c:x val="1.0574981301226373E-2"/>
              <c:y val="-0.14059087448452393"/>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accent1">
              <a:lumMod val="60000"/>
              <a:lumOff val="40000"/>
            </a:schemeClr>
          </a:solidFill>
          <a:ln>
            <a:noFill/>
          </a:ln>
          <a:effectLst/>
        </c:spPr>
        <c:dLbl>
          <c:idx val="0"/>
          <c:layout>
            <c:manualLayout>
              <c:x val="-0.26536475693326317"/>
              <c:y val="-3.8648708280344026E-3"/>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accent5">
              <a:lumMod val="60000"/>
              <a:lumOff val="40000"/>
            </a:schemeClr>
          </a:solidFill>
          <a:ln>
            <a:noFill/>
          </a:ln>
          <a:effectLst/>
        </c:spPr>
        <c:dLbl>
          <c:idx val="0"/>
          <c:layout>
            <c:manualLayout>
              <c:x val="-5.5518651831438962E-2"/>
              <c:y val="-0.1133797374875193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4"/>
        <c:spPr>
          <a:solidFill>
            <a:schemeClr val="accent6"/>
          </a:solidFill>
          <a:ln>
            <a:noFill/>
          </a:ln>
          <a:effectLst/>
        </c:spPr>
        <c:dLbl>
          <c:idx val="0"/>
          <c:layout>
            <c:manualLayout>
              <c:x val="-2.1149962602452936E-2"/>
              <c:y val="-0.13152049548552239"/>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0305216644348292"/>
          <c:y val="0.1029795239405604"/>
          <c:w val="0.42899474479686384"/>
          <c:h val="0.72657482064810697"/>
        </c:manualLayout>
      </c:layout>
      <c:doughnutChart>
        <c:varyColors val="1"/>
        <c:ser>
          <c:idx val="0"/>
          <c:order val="0"/>
          <c:tx>
            <c:strRef>
              <c:f>'data trends'!$B$32</c:f>
              <c:strCache>
                <c:ptCount val="1"/>
                <c:pt idx="0">
                  <c:v>Total</c:v>
                </c:pt>
              </c:strCache>
            </c:strRef>
          </c:tx>
          <c:dPt>
            <c:idx val="0"/>
            <c:bubble3D val="0"/>
            <c:spPr>
              <a:solidFill>
                <a:schemeClr val="accent1">
                  <a:lumMod val="60000"/>
                  <a:lumOff val="40000"/>
                </a:schemeClr>
              </a:solidFill>
              <a:ln>
                <a:noFill/>
              </a:ln>
              <a:effectLst/>
            </c:spPr>
            <c:extLst>
              <c:ext xmlns:c16="http://schemas.microsoft.com/office/drawing/2014/chart" uri="{C3380CC4-5D6E-409C-BE32-E72D297353CC}">
                <c16:uniqueId val="{00000001-641D-8F44-A12D-5C40C68817E6}"/>
              </c:ext>
            </c:extLst>
          </c:dPt>
          <c:dPt>
            <c:idx val="1"/>
            <c:bubble3D val="0"/>
            <c:spPr>
              <a:solidFill>
                <a:schemeClr val="accent6"/>
              </a:solidFill>
              <a:ln>
                <a:noFill/>
              </a:ln>
              <a:effectLst/>
            </c:spPr>
            <c:extLst>
              <c:ext xmlns:c16="http://schemas.microsoft.com/office/drawing/2014/chart" uri="{C3380CC4-5D6E-409C-BE32-E72D297353CC}">
                <c16:uniqueId val="{00000003-641D-8F44-A12D-5C40C68817E6}"/>
              </c:ext>
            </c:extLst>
          </c:dPt>
          <c:dPt>
            <c:idx val="2"/>
            <c:bubble3D val="0"/>
            <c:spPr>
              <a:solidFill>
                <a:schemeClr val="accent5">
                  <a:lumMod val="60000"/>
                  <a:lumOff val="40000"/>
                </a:schemeClr>
              </a:solidFill>
              <a:ln>
                <a:noFill/>
              </a:ln>
              <a:effectLst/>
            </c:spPr>
            <c:extLst>
              <c:ext xmlns:c16="http://schemas.microsoft.com/office/drawing/2014/chart" uri="{C3380CC4-5D6E-409C-BE32-E72D297353CC}">
                <c16:uniqueId val="{00000005-641D-8F44-A12D-5C40C68817E6}"/>
              </c:ext>
            </c:extLst>
          </c:dPt>
          <c:dPt>
            <c:idx val="3"/>
            <c:bubble3D val="0"/>
            <c:spPr>
              <a:solidFill>
                <a:schemeClr val="accent2"/>
              </a:solidFill>
              <a:ln>
                <a:noFill/>
              </a:ln>
              <a:effectLst/>
            </c:spPr>
            <c:extLst>
              <c:ext xmlns:c16="http://schemas.microsoft.com/office/drawing/2014/chart" uri="{C3380CC4-5D6E-409C-BE32-E72D297353CC}">
                <c16:uniqueId val="{00000007-641D-8F44-A12D-5C40C68817E6}"/>
              </c:ext>
            </c:extLst>
          </c:dPt>
          <c:dLbls>
            <c:dLbl>
              <c:idx val="0"/>
              <c:layout>
                <c:manualLayout>
                  <c:x val="-0.26536475693326317"/>
                  <c:y val="-3.8648708280344026E-3"/>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641D-8F44-A12D-5C40C68817E6}"/>
                </c:ext>
              </c:extLst>
            </c:dLbl>
            <c:dLbl>
              <c:idx val="1"/>
              <c:layout>
                <c:manualLayout>
                  <c:x val="-2.1149962602452936E-2"/>
                  <c:y val="-0.13152049548552239"/>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641D-8F44-A12D-5C40C68817E6}"/>
                </c:ext>
              </c:extLst>
            </c:dLbl>
            <c:dLbl>
              <c:idx val="2"/>
              <c:layout>
                <c:manualLayout>
                  <c:x val="-5.5518651831438962E-2"/>
                  <c:y val="-0.1133797374875193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641D-8F44-A12D-5C40C68817E6}"/>
                </c:ext>
              </c:extLst>
            </c:dLbl>
            <c:dLbl>
              <c:idx val="3"/>
              <c:layout>
                <c:manualLayout>
                  <c:x val="1.0574981301226373E-2"/>
                  <c:y val="-0.14059087448452393"/>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641D-8F44-A12D-5C40C68817E6}"/>
                </c:ext>
              </c:extLst>
            </c:dLbl>
            <c:numFmt formatCode="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'data trends'!$A$33:$A$37</c:f>
              <c:strCache>
                <c:ptCount val="4"/>
                <c:pt idx="0">
                  <c:v>Cake</c:v>
                </c:pt>
                <c:pt idx="1">
                  <c:v>Pastry</c:v>
                </c:pt>
                <c:pt idx="2">
                  <c:v>Cookies</c:v>
                </c:pt>
                <c:pt idx="3">
                  <c:v>Bread</c:v>
                </c:pt>
              </c:strCache>
            </c:strRef>
          </c:cat>
          <c:val>
            <c:numRef>
              <c:f>'data trends'!$B$33:$B$37</c:f>
              <c:numCache>
                <c:formatCode>General</c:formatCode>
                <c:ptCount val="4"/>
                <c:pt idx="0">
                  <c:v>2670910</c:v>
                </c:pt>
                <c:pt idx="1">
                  <c:v>173870</c:v>
                </c:pt>
                <c:pt idx="2">
                  <c:v>97830</c:v>
                </c:pt>
                <c:pt idx="3">
                  <c:v>54740</c:v>
                </c:pt>
              </c:numCache>
            </c:numRef>
          </c:val>
          <c:extLst>
            <c:ext xmlns:c16="http://schemas.microsoft.com/office/drawing/2014/chart" uri="{C3380CC4-5D6E-409C-BE32-E72D297353CC}">
              <c16:uniqueId val="{00000008-641D-8F44-A12D-5C40C68817E6}"/>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69681574025011761"/>
          <c:y val="0.25375818764642144"/>
          <c:w val="0.21585835158439953"/>
          <c:h val="0.52956457980452931"/>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[Bakery_Sales_Data_2024.xlsx]data trends!product percentage per unit </c:name>
    <c:fmtId val="1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
        <c:idx val="13"/>
        <c:spPr>
          <a:solidFill>
            <a:schemeClr val="accent1"/>
          </a:solidFill>
          <a:ln>
            <a:noFill/>
          </a:ln>
          <a:effectLst/>
        </c:spPr>
      </c:pivotFmt>
      <c:pivotFmt>
        <c:idx val="14"/>
        <c:spPr>
          <a:solidFill>
            <a:schemeClr val="accent1"/>
          </a:solidFill>
          <a:ln>
            <a:noFill/>
          </a:ln>
          <a:effectLst/>
        </c:spPr>
      </c:pivotFmt>
      <c:pivotFmt>
        <c:idx val="15"/>
        <c:spPr>
          <a:solidFill>
            <a:schemeClr val="accent1"/>
          </a:solidFill>
          <a:ln>
            <a:noFill/>
          </a:ln>
          <a:effectLst/>
        </c:spPr>
      </c:pivotFmt>
      <c:pivotFmt>
        <c:idx val="16"/>
        <c:spPr>
          <a:solidFill>
            <a:schemeClr val="accent1"/>
          </a:solidFill>
          <a:ln>
            <a:noFill/>
          </a:ln>
          <a:effectLst/>
        </c:spPr>
      </c:pivotFmt>
      <c:pivotFmt>
        <c:idx val="17"/>
        <c:spPr>
          <a:solidFill>
            <a:schemeClr val="accent1"/>
          </a:solidFill>
          <a:ln>
            <a:noFill/>
          </a:ln>
          <a:effectLst/>
        </c:spPr>
      </c:pivotFmt>
      <c:pivotFmt>
        <c:idx val="18"/>
        <c:spPr>
          <a:solidFill>
            <a:schemeClr val="accent1"/>
          </a:solidFill>
          <a:ln>
            <a:noFill/>
          </a:ln>
          <a:effectLst/>
        </c:spPr>
      </c:pivotFmt>
      <c:pivotFmt>
        <c:idx val="19"/>
        <c:spPr>
          <a:solidFill>
            <a:schemeClr val="accent1"/>
          </a:solidFill>
          <a:ln>
            <a:noFill/>
          </a:ln>
          <a:effectLst/>
        </c:spPr>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pivotFmt>
      <c:pivotFmt>
        <c:idx val="22"/>
        <c:spPr>
          <a:solidFill>
            <a:schemeClr val="accent1"/>
          </a:solidFill>
          <a:ln>
            <a:noFill/>
          </a:ln>
          <a:effectLst/>
        </c:spPr>
      </c:pivotFmt>
      <c:pivotFmt>
        <c:idx val="23"/>
        <c:spPr>
          <a:solidFill>
            <a:schemeClr val="accent1"/>
          </a:solidFill>
          <a:ln>
            <a:noFill/>
          </a:ln>
          <a:effectLst/>
        </c:spPr>
      </c:pivotFmt>
      <c:pivotFmt>
        <c:idx val="24"/>
        <c:spPr>
          <a:solidFill>
            <a:schemeClr val="accent1"/>
          </a:solidFill>
          <a:ln>
            <a:noFill/>
          </a:ln>
          <a:effectLst/>
        </c:spPr>
      </c:pivotFmt>
      <c:pivotFmt>
        <c:idx val="25"/>
        <c:spPr>
          <a:solidFill>
            <a:schemeClr val="accent1"/>
          </a:solidFill>
          <a:ln>
            <a:noFill/>
          </a:ln>
          <a:effectLst/>
        </c:spPr>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pivotFmt>
      <c:pivotFmt>
        <c:idx val="28"/>
        <c:spPr>
          <a:solidFill>
            <a:schemeClr val="accent1"/>
          </a:solidFill>
          <a:ln>
            <a:noFill/>
          </a:ln>
          <a:effectLst/>
        </c:spPr>
      </c:pivotFmt>
      <c:pivotFmt>
        <c:idx val="29"/>
        <c:spPr>
          <a:solidFill>
            <a:schemeClr val="accent1"/>
          </a:solidFill>
          <a:ln>
            <a:noFill/>
          </a:ln>
          <a:effectLst/>
        </c:spPr>
      </c:pivotFmt>
      <c:pivotFmt>
        <c:idx val="30"/>
        <c:spPr>
          <a:solidFill>
            <a:schemeClr val="accent1"/>
          </a:solidFill>
          <a:ln>
            <a:noFill/>
          </a:ln>
          <a:effectLst/>
        </c:spPr>
      </c:pivotFmt>
      <c:pivotFmt>
        <c:idx val="31"/>
        <c:spPr>
          <a:solidFill>
            <a:schemeClr val="accent1"/>
          </a:solidFill>
          <a:ln>
            <a:noFill/>
          </a:ln>
          <a:effectLst/>
        </c:spPr>
      </c:pivotFmt>
    </c:pivotFmts>
    <c:plotArea>
      <c:layout>
        <c:manualLayout>
          <c:layoutTarget val="inner"/>
          <c:xMode val="edge"/>
          <c:yMode val="edge"/>
          <c:x val="3.7379535437194841E-2"/>
          <c:y val="0.11938630638221739"/>
          <c:w val="0.55677369870211868"/>
          <c:h val="0.7519579574359101"/>
        </c:manualLayout>
      </c:layout>
      <c:doughnutChart>
        <c:varyColors val="1"/>
        <c:ser>
          <c:idx val="0"/>
          <c:order val="0"/>
          <c:tx>
            <c:strRef>
              <c:f>'data trends'!$B$68</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7689-6846-9790-BEABDAEFE00D}"/>
              </c:ext>
            </c:extLst>
          </c:dPt>
          <c:dPt>
            <c:idx val="1"/>
            <c:bubble3D val="0"/>
            <c:spPr>
              <a:solidFill>
                <a:schemeClr val="accent2"/>
              </a:solidFill>
              <a:ln>
                <a:noFill/>
              </a:ln>
              <a:effectLst/>
            </c:spPr>
            <c:extLst>
              <c:ext xmlns:c16="http://schemas.microsoft.com/office/drawing/2014/chart" uri="{C3380CC4-5D6E-409C-BE32-E72D297353CC}">
                <c16:uniqueId val="{00000003-7689-6846-9790-BEABDAEFE00D}"/>
              </c:ext>
            </c:extLst>
          </c:dPt>
          <c:dPt>
            <c:idx val="2"/>
            <c:bubble3D val="0"/>
            <c:spPr>
              <a:solidFill>
                <a:schemeClr val="accent3"/>
              </a:solidFill>
              <a:ln>
                <a:noFill/>
              </a:ln>
              <a:effectLst/>
            </c:spPr>
            <c:extLst>
              <c:ext xmlns:c16="http://schemas.microsoft.com/office/drawing/2014/chart" uri="{C3380CC4-5D6E-409C-BE32-E72D297353CC}">
                <c16:uniqueId val="{00000005-7689-6846-9790-BEABDAEFE00D}"/>
              </c:ext>
            </c:extLst>
          </c:dPt>
          <c:dPt>
            <c:idx val="3"/>
            <c:bubble3D val="0"/>
            <c:spPr>
              <a:solidFill>
                <a:schemeClr val="accent4"/>
              </a:solidFill>
              <a:ln>
                <a:noFill/>
              </a:ln>
              <a:effectLst/>
            </c:spPr>
            <c:extLst>
              <c:ext xmlns:c16="http://schemas.microsoft.com/office/drawing/2014/chart" uri="{C3380CC4-5D6E-409C-BE32-E72D297353CC}">
                <c16:uniqueId val="{00000007-7689-6846-9790-BEABDAEFE00D}"/>
              </c:ext>
            </c:extLst>
          </c:dPt>
          <c:dPt>
            <c:idx val="4"/>
            <c:bubble3D val="0"/>
            <c:spPr>
              <a:solidFill>
                <a:schemeClr val="accent5"/>
              </a:solidFill>
              <a:ln>
                <a:noFill/>
              </a:ln>
              <a:effectLst/>
            </c:spPr>
            <c:extLst>
              <c:ext xmlns:c16="http://schemas.microsoft.com/office/drawing/2014/chart" uri="{C3380CC4-5D6E-409C-BE32-E72D297353CC}">
                <c16:uniqueId val="{00000009-7689-6846-9790-BEABDAEFE00D}"/>
              </c:ext>
            </c:extLst>
          </c:dPt>
          <c:dPt>
            <c:idx val="5"/>
            <c:bubble3D val="0"/>
            <c:spPr>
              <a:solidFill>
                <a:schemeClr val="accent6"/>
              </a:solidFill>
              <a:ln>
                <a:noFill/>
              </a:ln>
              <a:effectLst/>
            </c:spPr>
            <c:extLst>
              <c:ext xmlns:c16="http://schemas.microsoft.com/office/drawing/2014/chart" uri="{C3380CC4-5D6E-409C-BE32-E72D297353CC}">
                <c16:uniqueId val="{0000000B-7689-6846-9790-BEABDAEFE00D}"/>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0D-7689-6846-9790-BEABDAEFE00D}"/>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00F-7689-6846-9790-BEABDAEFE00D}"/>
              </c:ext>
            </c:extLst>
          </c:dPt>
          <c:dPt>
            <c:idx val="8"/>
            <c:bubble3D val="0"/>
            <c:spPr>
              <a:solidFill>
                <a:schemeClr val="accent3">
                  <a:lumMod val="60000"/>
                </a:schemeClr>
              </a:solidFill>
              <a:ln>
                <a:noFill/>
              </a:ln>
              <a:effectLst/>
            </c:spPr>
            <c:extLst>
              <c:ext xmlns:c16="http://schemas.microsoft.com/office/drawing/2014/chart" uri="{C3380CC4-5D6E-409C-BE32-E72D297353CC}">
                <c16:uniqueId val="{00000011-7689-6846-9790-BEABDAEFE00D}"/>
              </c:ext>
            </c:extLst>
          </c:dPt>
          <c:dPt>
            <c:idx val="9"/>
            <c:bubble3D val="0"/>
            <c:spPr>
              <a:solidFill>
                <a:schemeClr val="accent4">
                  <a:lumMod val="60000"/>
                </a:schemeClr>
              </a:solidFill>
              <a:ln>
                <a:noFill/>
              </a:ln>
              <a:effectLst/>
            </c:spPr>
            <c:extLst>
              <c:ext xmlns:c16="http://schemas.microsoft.com/office/drawing/2014/chart" uri="{C3380CC4-5D6E-409C-BE32-E72D297353CC}">
                <c16:uniqueId val="{00000013-7689-6846-9790-BEABDAEFE00D}"/>
              </c:ext>
            </c:extLst>
          </c:dPt>
          <c:dPt>
            <c:idx val="10"/>
            <c:bubble3D val="0"/>
            <c:spPr>
              <a:solidFill>
                <a:schemeClr val="accent5">
                  <a:lumMod val="60000"/>
                </a:schemeClr>
              </a:solidFill>
              <a:ln>
                <a:noFill/>
              </a:ln>
              <a:effectLst/>
            </c:spPr>
            <c:extLst>
              <c:ext xmlns:c16="http://schemas.microsoft.com/office/drawing/2014/chart" uri="{C3380CC4-5D6E-409C-BE32-E72D297353CC}">
                <c16:uniqueId val="{00000015-7689-6846-9790-BEABDAEFE00D}"/>
              </c:ext>
            </c:extLst>
          </c:dPt>
          <c:dPt>
            <c:idx val="11"/>
            <c:bubble3D val="0"/>
            <c:spPr>
              <a:solidFill>
                <a:schemeClr val="accent6">
                  <a:lumMod val="60000"/>
                </a:schemeClr>
              </a:solidFill>
              <a:ln>
                <a:noFill/>
              </a:ln>
              <a:effectLst/>
            </c:spPr>
            <c:extLst>
              <c:ext xmlns:c16="http://schemas.microsoft.com/office/drawing/2014/chart" uri="{C3380CC4-5D6E-409C-BE32-E72D297353CC}">
                <c16:uniqueId val="{00000017-7689-6846-9790-BEABDAEFE00D}"/>
              </c:ext>
            </c:extLst>
          </c:dPt>
          <c:dPt>
            <c:idx val="12"/>
            <c:bubble3D val="0"/>
            <c:spPr>
              <a:solidFill>
                <a:schemeClr val="accent1">
                  <a:lumMod val="80000"/>
                  <a:lumOff val="20000"/>
                </a:schemeClr>
              </a:solidFill>
              <a:ln>
                <a:noFill/>
              </a:ln>
              <a:effectLst/>
            </c:spPr>
            <c:extLst>
              <c:ext xmlns:c16="http://schemas.microsoft.com/office/drawing/2014/chart" uri="{C3380CC4-5D6E-409C-BE32-E72D297353CC}">
                <c16:uniqueId val="{00000019-7689-6846-9790-BEABDAEFE00D}"/>
              </c:ext>
            </c:extLst>
          </c:dPt>
          <c:dPt>
            <c:idx val="13"/>
            <c:bubble3D val="0"/>
            <c:spPr>
              <a:solidFill>
                <a:schemeClr val="accent2">
                  <a:lumMod val="80000"/>
                  <a:lumOff val="20000"/>
                </a:schemeClr>
              </a:solidFill>
              <a:ln>
                <a:noFill/>
              </a:ln>
              <a:effectLst/>
            </c:spPr>
            <c:extLst>
              <c:ext xmlns:c16="http://schemas.microsoft.com/office/drawing/2014/chart" uri="{C3380CC4-5D6E-409C-BE32-E72D297353CC}">
                <c16:uniqueId val="{0000001B-7689-6846-9790-BEABDAEFE00D}"/>
              </c:ext>
            </c:extLst>
          </c:dPt>
          <c:dPt>
            <c:idx val="14"/>
            <c:bubble3D val="0"/>
            <c:spPr>
              <a:solidFill>
                <a:schemeClr val="accent3">
                  <a:lumMod val="80000"/>
                  <a:lumOff val="20000"/>
                </a:schemeClr>
              </a:solidFill>
              <a:ln>
                <a:noFill/>
              </a:ln>
              <a:effectLst/>
            </c:spPr>
            <c:extLst>
              <c:ext xmlns:c16="http://schemas.microsoft.com/office/drawing/2014/chart" uri="{C3380CC4-5D6E-409C-BE32-E72D297353CC}">
                <c16:uniqueId val="{0000001D-7689-6846-9790-BEABDAEFE00D}"/>
              </c:ext>
            </c:extLst>
          </c:dPt>
          <c:dPt>
            <c:idx val="15"/>
            <c:bubble3D val="0"/>
            <c:spPr>
              <a:solidFill>
                <a:schemeClr val="accent4">
                  <a:lumMod val="80000"/>
                  <a:lumOff val="20000"/>
                </a:schemeClr>
              </a:solidFill>
              <a:ln>
                <a:noFill/>
              </a:ln>
              <a:effectLst/>
            </c:spPr>
            <c:extLst>
              <c:ext xmlns:c16="http://schemas.microsoft.com/office/drawing/2014/chart" uri="{C3380CC4-5D6E-409C-BE32-E72D297353CC}">
                <c16:uniqueId val="{0000001F-7689-6846-9790-BEABDAEFE00D}"/>
              </c:ext>
            </c:extLst>
          </c:dPt>
          <c:dPt>
            <c:idx val="16"/>
            <c:bubble3D val="0"/>
            <c:spPr>
              <a:solidFill>
                <a:schemeClr val="accent5">
                  <a:lumMod val="80000"/>
                  <a:lumOff val="20000"/>
                </a:schemeClr>
              </a:solidFill>
              <a:ln>
                <a:noFill/>
              </a:ln>
              <a:effectLst/>
            </c:spPr>
            <c:extLst>
              <c:ext xmlns:c16="http://schemas.microsoft.com/office/drawing/2014/chart" uri="{C3380CC4-5D6E-409C-BE32-E72D297353CC}">
                <c16:uniqueId val="{00000021-7689-6846-9790-BEABDAEFE00D}"/>
              </c:ext>
            </c:extLst>
          </c:dPt>
          <c:dPt>
            <c:idx val="17"/>
            <c:bubble3D val="0"/>
            <c:spPr>
              <a:solidFill>
                <a:schemeClr val="accent6">
                  <a:lumMod val="80000"/>
                  <a:lumOff val="20000"/>
                </a:schemeClr>
              </a:solidFill>
              <a:ln>
                <a:noFill/>
              </a:ln>
              <a:effectLst/>
            </c:spPr>
            <c:extLst>
              <c:ext xmlns:c16="http://schemas.microsoft.com/office/drawing/2014/chart" uri="{C3380CC4-5D6E-409C-BE32-E72D297353CC}">
                <c16:uniqueId val="{00000023-7689-6846-9790-BEABDAEFE00D}"/>
              </c:ext>
            </c:extLst>
          </c:dPt>
          <c:dPt>
            <c:idx val="18"/>
            <c:bubble3D val="0"/>
            <c:spPr>
              <a:solidFill>
                <a:schemeClr val="accent1">
                  <a:lumMod val="80000"/>
                </a:schemeClr>
              </a:solidFill>
              <a:ln>
                <a:noFill/>
              </a:ln>
              <a:effectLst/>
            </c:spPr>
            <c:extLst>
              <c:ext xmlns:c16="http://schemas.microsoft.com/office/drawing/2014/chart" uri="{C3380CC4-5D6E-409C-BE32-E72D297353CC}">
                <c16:uniqueId val="{00000025-7689-6846-9790-BEABDAEFE00D}"/>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'data trends'!$A$69:$A$74</c:f>
              <c:strCache>
                <c:ptCount val="5"/>
                <c:pt idx="0">
                  <c:v>Chocolate Chip Cookie</c:v>
                </c:pt>
                <c:pt idx="1">
                  <c:v>Oatmeal Cookie</c:v>
                </c:pt>
                <c:pt idx="2">
                  <c:v>Peanut Butter Cookie</c:v>
                </c:pt>
                <c:pt idx="3">
                  <c:v>Ensaymada</c:v>
                </c:pt>
                <c:pt idx="4">
                  <c:v>Butter Cookie</c:v>
                </c:pt>
              </c:strCache>
            </c:strRef>
          </c:cat>
          <c:val>
            <c:numRef>
              <c:f>'data trends'!$B$69:$B$74</c:f>
              <c:numCache>
                <c:formatCode>0.00%</c:formatCode>
                <c:ptCount val="5"/>
                <c:pt idx="0">
                  <c:v>0.21559213534522176</c:v>
                </c:pt>
                <c:pt idx="1">
                  <c:v>0.20210333790580703</c:v>
                </c:pt>
                <c:pt idx="2">
                  <c:v>0.20210333790580703</c:v>
                </c:pt>
                <c:pt idx="3">
                  <c:v>0.19158664837677183</c:v>
                </c:pt>
                <c:pt idx="4">
                  <c:v>0.18861454046639231</c:v>
                </c:pt>
              </c:numCache>
            </c:numRef>
          </c:val>
          <c:extLst>
            <c:ext xmlns:c16="http://schemas.microsoft.com/office/drawing/2014/chart" uri="{C3380CC4-5D6E-409C-BE32-E72D297353CC}">
              <c16:uniqueId val="{00000026-7689-6846-9790-BEABDAEFE00D}"/>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61452180422736236"/>
          <c:y val="0.16333204766747519"/>
          <c:w val="0.33517445890475167"/>
          <c:h val="0.67801850621360094"/>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[Bakery_Sales_Data_2024.xlsx]data trends!PivotTable1</c:name>
    <c:fmtId val="1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s>
    <c:plotArea>
      <c:layout>
        <c:manualLayout>
          <c:layoutTarget val="inner"/>
          <c:xMode val="edge"/>
          <c:yMode val="edge"/>
          <c:x val="5.9400756155598901E-2"/>
          <c:y val="7.7276399414981725E-2"/>
          <c:w val="0.53096282401731509"/>
          <c:h val="0.80571628697276942"/>
        </c:manualLayout>
      </c:layout>
      <c:doughnutChart>
        <c:varyColors val="1"/>
        <c:ser>
          <c:idx val="0"/>
          <c:order val="0"/>
          <c:tx>
            <c:strRef>
              <c:f>'data trends'!$B$79</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77A3-5A4F-8296-03400A293823}"/>
              </c:ext>
            </c:extLst>
          </c:dPt>
          <c:dPt>
            <c:idx val="1"/>
            <c:bubble3D val="0"/>
            <c:spPr>
              <a:solidFill>
                <a:schemeClr val="accent2"/>
              </a:solidFill>
              <a:ln>
                <a:noFill/>
              </a:ln>
              <a:effectLst/>
            </c:spPr>
            <c:extLst>
              <c:ext xmlns:c16="http://schemas.microsoft.com/office/drawing/2014/chart" uri="{C3380CC4-5D6E-409C-BE32-E72D297353CC}">
                <c16:uniqueId val="{00000003-77A3-5A4F-8296-03400A293823}"/>
              </c:ext>
            </c:extLst>
          </c:dPt>
          <c:dPt>
            <c:idx val="2"/>
            <c:bubble3D val="0"/>
            <c:spPr>
              <a:solidFill>
                <a:schemeClr val="accent3"/>
              </a:solidFill>
              <a:ln>
                <a:noFill/>
              </a:ln>
              <a:effectLst/>
            </c:spPr>
            <c:extLst>
              <c:ext xmlns:c16="http://schemas.microsoft.com/office/drawing/2014/chart" uri="{C3380CC4-5D6E-409C-BE32-E72D297353CC}">
                <c16:uniqueId val="{00000005-77A3-5A4F-8296-03400A293823}"/>
              </c:ext>
            </c:extLst>
          </c:dPt>
          <c:dPt>
            <c:idx val="3"/>
            <c:bubble3D val="0"/>
            <c:spPr>
              <a:solidFill>
                <a:schemeClr val="accent4"/>
              </a:solidFill>
              <a:ln>
                <a:noFill/>
              </a:ln>
              <a:effectLst/>
            </c:spPr>
            <c:extLst>
              <c:ext xmlns:c16="http://schemas.microsoft.com/office/drawing/2014/chart" uri="{C3380CC4-5D6E-409C-BE32-E72D297353CC}">
                <c16:uniqueId val="{00000007-77A3-5A4F-8296-03400A293823}"/>
              </c:ext>
            </c:extLst>
          </c:dPt>
          <c:dPt>
            <c:idx val="4"/>
            <c:bubble3D val="0"/>
            <c:spPr>
              <a:solidFill>
                <a:schemeClr val="accent5"/>
              </a:solidFill>
              <a:ln>
                <a:noFill/>
              </a:ln>
              <a:effectLst/>
            </c:spPr>
            <c:extLst>
              <c:ext xmlns:c16="http://schemas.microsoft.com/office/drawing/2014/chart" uri="{C3380CC4-5D6E-409C-BE32-E72D297353CC}">
                <c16:uniqueId val="{00000009-77A3-5A4F-8296-03400A293823}"/>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'data trends'!$A$80:$A$85</c:f>
              <c:strCache>
                <c:ptCount val="5"/>
                <c:pt idx="0">
                  <c:v>Croissant</c:v>
                </c:pt>
                <c:pt idx="1">
                  <c:v>Brownie</c:v>
                </c:pt>
                <c:pt idx="2">
                  <c:v>Strawberry Cake</c:v>
                </c:pt>
                <c:pt idx="3">
                  <c:v>Cheese Bread</c:v>
                </c:pt>
                <c:pt idx="4">
                  <c:v>Monay</c:v>
                </c:pt>
              </c:strCache>
            </c:strRef>
          </c:cat>
          <c:val>
            <c:numRef>
              <c:f>'data trends'!$B$80:$B$85</c:f>
              <c:numCache>
                <c:formatCode>0.00%</c:formatCode>
                <c:ptCount val="5"/>
                <c:pt idx="0">
                  <c:v>0.19553072625698323</c:v>
                </c:pt>
                <c:pt idx="1">
                  <c:v>0.19584109248913717</c:v>
                </c:pt>
                <c:pt idx="2">
                  <c:v>0.19646182495344505</c:v>
                </c:pt>
                <c:pt idx="3">
                  <c:v>0.20391061452513967</c:v>
                </c:pt>
                <c:pt idx="4">
                  <c:v>0.20825574177529485</c:v>
                </c:pt>
              </c:numCache>
            </c:numRef>
          </c:val>
          <c:extLst>
            <c:ext xmlns:c16="http://schemas.microsoft.com/office/drawing/2014/chart" uri="{C3380CC4-5D6E-409C-BE32-E72D297353CC}">
              <c16:uniqueId val="{0000000A-77A3-5A4F-8296-03400A293823}"/>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63867177692077093"/>
          <c:y val="0.24763149134167062"/>
          <c:w val="0.34200245401760421"/>
          <c:h val="0.50473663245925804"/>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0.xml"/><Relationship Id="rId7" Type="http://schemas.openxmlformats.org/officeDocument/2006/relationships/chart" Target="../charts/chart14.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2</xdr:col>
      <xdr:colOff>770467</xdr:colOff>
      <xdr:row>2</xdr:row>
      <xdr:rowOff>93134</xdr:rowOff>
    </xdr:from>
    <xdr:to>
      <xdr:col>7</xdr:col>
      <xdr:colOff>812800</xdr:colOff>
      <xdr:row>15</xdr:row>
      <xdr:rowOff>194734</xdr:rowOff>
    </xdr:to>
    <xdr:graphicFrame macro="">
      <xdr:nvGraphicFramePr>
        <xdr:cNvPr id="2" name="Daily Trends for total orders">
          <a:extLst>
            <a:ext uri="{FF2B5EF4-FFF2-40B4-BE49-F238E27FC236}">
              <a16:creationId xmlns:a16="http://schemas.microsoft.com/office/drawing/2014/main" id="{D95B04D4-9A44-69BA-85B6-A37E586AE6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812800</xdr:colOff>
      <xdr:row>17</xdr:row>
      <xdr:rowOff>19050</xdr:rowOff>
    </xdr:from>
    <xdr:to>
      <xdr:col>8</xdr:col>
      <xdr:colOff>29633</xdr:colOff>
      <xdr:row>30</xdr:row>
      <xdr:rowOff>120649</xdr:rowOff>
    </xdr:to>
    <xdr:graphicFrame macro="">
      <xdr:nvGraphicFramePr>
        <xdr:cNvPr id="3" name="Hourly Trends for total orders">
          <a:extLst>
            <a:ext uri="{FF2B5EF4-FFF2-40B4-BE49-F238E27FC236}">
              <a16:creationId xmlns:a16="http://schemas.microsoft.com/office/drawing/2014/main" id="{F3DDF55F-20E5-FBE9-7635-2EFA0369C1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861149</xdr:colOff>
      <xdr:row>31</xdr:row>
      <xdr:rowOff>147399</xdr:rowOff>
    </xdr:from>
    <xdr:to>
      <xdr:col>6</xdr:col>
      <xdr:colOff>672970</xdr:colOff>
      <xdr:row>41</xdr:row>
      <xdr:rowOff>138708</xdr:rowOff>
    </xdr:to>
    <xdr:graphicFrame macro="">
      <xdr:nvGraphicFramePr>
        <xdr:cNvPr id="4" name="Chart 3">
          <a:extLst>
            <a:ext uri="{FF2B5EF4-FFF2-40B4-BE49-F238E27FC236}">
              <a16:creationId xmlns:a16="http://schemas.microsoft.com/office/drawing/2014/main" id="{6DFB419B-C2B5-0205-47BB-F264C3CAB6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920191</xdr:colOff>
      <xdr:row>42</xdr:row>
      <xdr:rowOff>197183</xdr:rowOff>
    </xdr:from>
    <xdr:to>
      <xdr:col>6</xdr:col>
      <xdr:colOff>304125</xdr:colOff>
      <xdr:row>55</xdr:row>
      <xdr:rowOff>72411</xdr:rowOff>
    </xdr:to>
    <xdr:graphicFrame macro="">
      <xdr:nvGraphicFramePr>
        <xdr:cNvPr id="6" name="Chart 5">
          <a:extLst>
            <a:ext uri="{FF2B5EF4-FFF2-40B4-BE49-F238E27FC236}">
              <a16:creationId xmlns:a16="http://schemas.microsoft.com/office/drawing/2014/main" id="{98EB82BE-37F6-A1E1-061C-72D6F6D5AA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645188</xdr:colOff>
      <xdr:row>65</xdr:row>
      <xdr:rowOff>149412</xdr:rowOff>
    </xdr:from>
    <xdr:to>
      <xdr:col>5</xdr:col>
      <xdr:colOff>555200</xdr:colOff>
      <xdr:row>73</xdr:row>
      <xdr:rowOff>71876</xdr:rowOff>
    </xdr:to>
    <xdr:graphicFrame macro="">
      <xdr:nvGraphicFramePr>
        <xdr:cNvPr id="8" name="Top 5 Products by Quantity Sold">
          <a:extLst>
            <a:ext uri="{FF2B5EF4-FFF2-40B4-BE49-F238E27FC236}">
              <a16:creationId xmlns:a16="http://schemas.microsoft.com/office/drawing/2014/main" id="{5C429DFA-B05C-AD7C-9CD3-70F45A4D69F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665560</xdr:colOff>
      <xdr:row>75</xdr:row>
      <xdr:rowOff>115454</xdr:rowOff>
    </xdr:from>
    <xdr:to>
      <xdr:col>5</xdr:col>
      <xdr:colOff>534049</xdr:colOff>
      <xdr:row>83</xdr:row>
      <xdr:rowOff>122780</xdr:rowOff>
    </xdr:to>
    <xdr:graphicFrame macro="">
      <xdr:nvGraphicFramePr>
        <xdr:cNvPr id="5" name="Least 5 Products by Quantity Sold">
          <a:extLst>
            <a:ext uri="{FF2B5EF4-FFF2-40B4-BE49-F238E27FC236}">
              <a16:creationId xmlns:a16="http://schemas.microsoft.com/office/drawing/2014/main" id="{63249CE9-6CCE-6D16-F577-307778C403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611230</xdr:colOff>
      <xdr:row>86</xdr:row>
      <xdr:rowOff>196952</xdr:rowOff>
    </xdr:from>
    <xdr:to>
      <xdr:col>5</xdr:col>
      <xdr:colOff>586781</xdr:colOff>
      <xdr:row>95</xdr:row>
      <xdr:rowOff>40748</xdr:rowOff>
    </xdr:to>
    <xdr:graphicFrame macro="">
      <xdr:nvGraphicFramePr>
        <xdr:cNvPr id="7" name="Top 5 Products by Total Sales">
          <a:extLst>
            <a:ext uri="{FF2B5EF4-FFF2-40B4-BE49-F238E27FC236}">
              <a16:creationId xmlns:a16="http://schemas.microsoft.com/office/drawing/2014/main" id="{3261C10F-39C8-C2AA-5F1E-6C433E516F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2</xdr:col>
      <xdr:colOff>847908</xdr:colOff>
      <xdr:row>98</xdr:row>
      <xdr:rowOff>3689</xdr:rowOff>
    </xdr:from>
    <xdr:to>
      <xdr:col>4</xdr:col>
      <xdr:colOff>635898</xdr:colOff>
      <xdr:row>110</xdr:row>
      <xdr:rowOff>154665</xdr:rowOff>
    </xdr:to>
    <mc:AlternateContent xmlns:mc="http://schemas.openxmlformats.org/markup-compatibility/2006" xmlns:a14="http://schemas.microsoft.com/office/drawing/2010/main">
      <mc:Choice Requires="a14">
        <xdr:graphicFrame macro="">
          <xdr:nvGraphicFramePr>
            <xdr:cNvPr id="10" name="order_month">
              <a:extLst>
                <a:ext uri="{FF2B5EF4-FFF2-40B4-BE49-F238E27FC236}">
                  <a16:creationId xmlns:a16="http://schemas.microsoft.com/office/drawing/2014/main" id="{37058C11-FF02-171F-93F3-53959D6E90E5}"/>
                </a:ext>
              </a:extLst>
            </xdr:cNvPr>
            <xdr:cNvGraphicFramePr/>
          </xdr:nvGraphicFramePr>
          <xdr:xfrm>
            <a:off x="0" y="0"/>
            <a:ext cx="0" cy="0"/>
          </xdr:xfrm>
          <a:graphic>
            <a:graphicData uri="http://schemas.microsoft.com/office/drawing/2010/slicer">
              <sle:slicer xmlns:sle="http://schemas.microsoft.com/office/drawing/2010/slicer" name="order_month"/>
            </a:graphicData>
          </a:graphic>
        </xdr:graphicFrame>
      </mc:Choice>
      <mc:Fallback xmlns="">
        <xdr:sp macro="" textlink="">
          <xdr:nvSpPr>
            <xdr:cNvPr id="0" name=""/>
            <xdr:cNvSpPr>
              <a:spLocks noTextEdit="1"/>
            </xdr:cNvSpPr>
          </xdr:nvSpPr>
          <xdr:spPr>
            <a:xfrm>
              <a:off x="3190956" y="19970534"/>
              <a:ext cx="1839006" cy="259589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177210</xdr:colOff>
      <xdr:row>3</xdr:row>
      <xdr:rowOff>9458</xdr:rowOff>
    </xdr:from>
    <xdr:to>
      <xdr:col>27</xdr:col>
      <xdr:colOff>782806</xdr:colOff>
      <xdr:row>63</xdr:row>
      <xdr:rowOff>56444</xdr:rowOff>
    </xdr:to>
    <xdr:sp macro="" textlink="">
      <xdr:nvSpPr>
        <xdr:cNvPr id="3" name="Rectangle 2">
          <a:extLst>
            <a:ext uri="{FF2B5EF4-FFF2-40B4-BE49-F238E27FC236}">
              <a16:creationId xmlns:a16="http://schemas.microsoft.com/office/drawing/2014/main" id="{B831791C-7342-0E5A-5D64-37D45CC44B36}"/>
            </a:ext>
          </a:extLst>
        </xdr:cNvPr>
        <xdr:cNvSpPr/>
      </xdr:nvSpPr>
      <xdr:spPr>
        <a:xfrm>
          <a:off x="2675571" y="634048"/>
          <a:ext cx="20592481" cy="12538789"/>
        </a:xfrm>
        <a:prstGeom prst="rect">
          <a:avLst/>
        </a:prstGeom>
        <a:solidFill>
          <a:schemeClr val="accent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cap="none" spc="50">
            <a:ln w="0"/>
            <a:solidFill>
              <a:schemeClr val="bg2"/>
            </a:solidFill>
            <a:effectLst>
              <a:innerShdw blurRad="63500" dist="50800" dir="13500000">
                <a:srgbClr val="000000">
                  <a:alpha val="50000"/>
                </a:srgbClr>
              </a:innerShdw>
            </a:effectLst>
          </a:endParaRPr>
        </a:p>
      </xdr:txBody>
    </xdr:sp>
    <xdr:clientData/>
  </xdr:twoCellAnchor>
  <xdr:twoCellAnchor>
    <xdr:from>
      <xdr:col>7</xdr:col>
      <xdr:colOff>90029</xdr:colOff>
      <xdr:row>4</xdr:row>
      <xdr:rowOff>164526</xdr:rowOff>
    </xdr:from>
    <xdr:to>
      <xdr:col>27</xdr:col>
      <xdr:colOff>432340</xdr:colOff>
      <xdr:row>13</xdr:row>
      <xdr:rowOff>69573</xdr:rowOff>
    </xdr:to>
    <xdr:sp macro="" textlink="">
      <xdr:nvSpPr>
        <xdr:cNvPr id="4" name="Rounded Rectangle 3">
          <a:extLst>
            <a:ext uri="{FF2B5EF4-FFF2-40B4-BE49-F238E27FC236}">
              <a16:creationId xmlns:a16="http://schemas.microsoft.com/office/drawing/2014/main" id="{5EC40E08-49D9-5278-6A6E-5419134F8E49}"/>
            </a:ext>
          </a:extLst>
        </xdr:cNvPr>
        <xdr:cNvSpPr/>
      </xdr:nvSpPr>
      <xdr:spPr>
        <a:xfrm>
          <a:off x="5859072" y="975164"/>
          <a:ext cx="16825289" cy="1728983"/>
        </a:xfrm>
        <a:prstGeom prst="round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487326</xdr:colOff>
      <xdr:row>4</xdr:row>
      <xdr:rowOff>149567</xdr:rowOff>
    </xdr:from>
    <xdr:to>
      <xdr:col>6</xdr:col>
      <xdr:colOff>626754</xdr:colOff>
      <xdr:row>13</xdr:row>
      <xdr:rowOff>54614</xdr:rowOff>
    </xdr:to>
    <xdr:sp macro="" textlink="">
      <xdr:nvSpPr>
        <xdr:cNvPr id="5" name="Rounded Rectangle 4">
          <a:extLst>
            <a:ext uri="{FF2B5EF4-FFF2-40B4-BE49-F238E27FC236}">
              <a16:creationId xmlns:a16="http://schemas.microsoft.com/office/drawing/2014/main" id="{35330AD2-7F5D-CD44-961C-CB765BB17F3C}"/>
            </a:ext>
          </a:extLst>
        </xdr:cNvPr>
        <xdr:cNvSpPr/>
      </xdr:nvSpPr>
      <xdr:spPr>
        <a:xfrm>
          <a:off x="2968256" y="976544"/>
          <a:ext cx="2620358" cy="1765744"/>
        </a:xfrm>
        <a:prstGeom prst="round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315111</xdr:colOff>
      <xdr:row>9</xdr:row>
      <xdr:rowOff>20930</xdr:rowOff>
    </xdr:from>
    <xdr:to>
      <xdr:col>10</xdr:col>
      <xdr:colOff>19098</xdr:colOff>
      <xdr:row>12</xdr:row>
      <xdr:rowOff>12343</xdr:rowOff>
    </xdr:to>
    <xdr:sp macro="" textlink="KPI!A5">
      <xdr:nvSpPr>
        <xdr:cNvPr id="6" name="TextBox 5">
          <a:extLst>
            <a:ext uri="{FF2B5EF4-FFF2-40B4-BE49-F238E27FC236}">
              <a16:creationId xmlns:a16="http://schemas.microsoft.com/office/drawing/2014/main" id="{EB4B4A0F-E950-FCD7-6DA6-70F7DFBB7BB7}"/>
            </a:ext>
          </a:extLst>
        </xdr:cNvPr>
        <xdr:cNvSpPr txBox="1"/>
      </xdr:nvSpPr>
      <xdr:spPr>
        <a:xfrm>
          <a:off x="6063532" y="1825667"/>
          <a:ext cx="2167596" cy="592992"/>
        </a:xfrm>
        <a:prstGeom prst="rect">
          <a:avLst/>
        </a:prstGeom>
        <a:no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F149A3F-96DE-F94C-BF22-AF3259A561D4}" type="TxLink">
            <a:rPr lang="en-US" sz="2800" b="1" i="0" u="none" strike="noStrike">
              <a:solidFill>
                <a:schemeClr val="bg1"/>
              </a:solidFill>
              <a:latin typeface="Century Gothic" panose="020B0502020202020204" pitchFamily="34" charset="0"/>
            </a:rPr>
            <a:pPr algn="ctr"/>
            <a:t> ₱2,997,350 </a:t>
          </a:fld>
          <a:endParaRPr lang="en-US" sz="2400" b="1">
            <a:solidFill>
              <a:schemeClr val="bg1"/>
            </a:solidFill>
            <a:latin typeface="Century Gothic" panose="020B0502020202020204" pitchFamily="34" charset="0"/>
          </a:endParaRPr>
        </a:p>
      </xdr:txBody>
    </xdr:sp>
    <xdr:clientData/>
  </xdr:twoCellAnchor>
  <xdr:twoCellAnchor>
    <xdr:from>
      <xdr:col>10</xdr:col>
      <xdr:colOff>104005</xdr:colOff>
      <xdr:row>9</xdr:row>
      <xdr:rowOff>30478</xdr:rowOff>
    </xdr:from>
    <xdr:to>
      <xdr:col>12</xdr:col>
      <xdr:colOff>126354</xdr:colOff>
      <xdr:row>12</xdr:row>
      <xdr:rowOff>21891</xdr:rowOff>
    </xdr:to>
    <xdr:sp macro="" textlink="KPI!B5">
      <xdr:nvSpPr>
        <xdr:cNvPr id="7" name="TextBox 6">
          <a:extLst>
            <a:ext uri="{FF2B5EF4-FFF2-40B4-BE49-F238E27FC236}">
              <a16:creationId xmlns:a16="http://schemas.microsoft.com/office/drawing/2014/main" id="{21924181-1B25-A64A-8E3E-8D3FEA030614}"/>
            </a:ext>
          </a:extLst>
        </xdr:cNvPr>
        <xdr:cNvSpPr txBox="1"/>
      </xdr:nvSpPr>
      <xdr:spPr>
        <a:xfrm>
          <a:off x="8345494" y="1854414"/>
          <a:ext cx="1670647" cy="599392"/>
        </a:xfrm>
        <a:prstGeom prst="rect">
          <a:avLst/>
        </a:prstGeom>
        <a:no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F3B424C-C1D0-F74F-9091-9953B25D2556}" type="TxLink">
            <a:rPr lang="en-US" sz="2800" b="1" i="0" u="none" strike="noStrike">
              <a:solidFill>
                <a:schemeClr val="bg1"/>
              </a:solidFill>
              <a:latin typeface="Century Gothic" panose="020B0502020202020204" pitchFamily="34" charset="0"/>
            </a:rPr>
            <a:pPr algn="ctr"/>
            <a:t>2383</a:t>
          </a:fld>
          <a:endParaRPr lang="en-US" sz="6600" b="1">
            <a:solidFill>
              <a:schemeClr val="bg1"/>
            </a:solidFill>
            <a:latin typeface="Century Gothic" panose="020B0502020202020204" pitchFamily="34" charset="0"/>
          </a:endParaRPr>
        </a:p>
      </xdr:txBody>
    </xdr:sp>
    <xdr:clientData/>
  </xdr:twoCellAnchor>
  <xdr:twoCellAnchor>
    <xdr:from>
      <xdr:col>17</xdr:col>
      <xdr:colOff>469554</xdr:colOff>
      <xdr:row>9</xdr:row>
      <xdr:rowOff>30478</xdr:rowOff>
    </xdr:from>
    <xdr:to>
      <xdr:col>19</xdr:col>
      <xdr:colOff>491903</xdr:colOff>
      <xdr:row>12</xdr:row>
      <xdr:rowOff>21891</xdr:rowOff>
    </xdr:to>
    <xdr:sp macro="" textlink="'KPI2'!D4">
      <xdr:nvSpPr>
        <xdr:cNvPr id="10" name="TextBox 9">
          <a:extLst>
            <a:ext uri="{FF2B5EF4-FFF2-40B4-BE49-F238E27FC236}">
              <a16:creationId xmlns:a16="http://schemas.microsoft.com/office/drawing/2014/main" id="{28AB7863-490F-1E41-AB9E-B610FFE66649}"/>
            </a:ext>
          </a:extLst>
        </xdr:cNvPr>
        <xdr:cNvSpPr txBox="1"/>
      </xdr:nvSpPr>
      <xdr:spPr>
        <a:xfrm>
          <a:off x="14480086" y="1854414"/>
          <a:ext cx="1670647" cy="599392"/>
        </a:xfrm>
        <a:prstGeom prst="rect">
          <a:avLst/>
        </a:prstGeom>
        <a:no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6BF3DB7-27ED-F942-9149-7292519E19B9}" type="TxLink">
            <a:rPr lang="en-US" sz="2800" b="1" i="0" u="none" strike="noStrike">
              <a:solidFill>
                <a:schemeClr val="bg1"/>
              </a:solidFill>
              <a:latin typeface="Century Gothic" panose="020B0502020202020204" pitchFamily="34" charset="0"/>
            </a:rPr>
            <a:pPr algn="ctr"/>
            <a:t>6.09</a:t>
          </a:fld>
          <a:endParaRPr lang="en-US" sz="4800" b="1">
            <a:solidFill>
              <a:schemeClr val="bg1"/>
            </a:solidFill>
            <a:latin typeface="Century Gothic" panose="020B0502020202020204" pitchFamily="34" charset="0"/>
          </a:endParaRPr>
        </a:p>
      </xdr:txBody>
    </xdr:sp>
    <xdr:clientData/>
  </xdr:twoCellAnchor>
  <xdr:twoCellAnchor>
    <xdr:from>
      <xdr:col>20</xdr:col>
      <xdr:colOff>41971</xdr:colOff>
      <xdr:row>9</xdr:row>
      <xdr:rowOff>30478</xdr:rowOff>
    </xdr:from>
    <xdr:to>
      <xdr:col>22</xdr:col>
      <xdr:colOff>64320</xdr:colOff>
      <xdr:row>12</xdr:row>
      <xdr:rowOff>21891</xdr:rowOff>
    </xdr:to>
    <xdr:sp macro="" textlink="'KPI2'!D5">
      <xdr:nvSpPr>
        <xdr:cNvPr id="11" name="TextBox 10">
          <a:extLst>
            <a:ext uri="{FF2B5EF4-FFF2-40B4-BE49-F238E27FC236}">
              <a16:creationId xmlns:a16="http://schemas.microsoft.com/office/drawing/2014/main" id="{EEFF5677-50F7-BC42-ABFA-2856BFD03BAE}"/>
            </a:ext>
          </a:extLst>
        </xdr:cNvPr>
        <xdr:cNvSpPr txBox="1"/>
      </xdr:nvSpPr>
      <xdr:spPr>
        <a:xfrm>
          <a:off x="16524950" y="1854414"/>
          <a:ext cx="1670647" cy="599392"/>
        </a:xfrm>
        <a:prstGeom prst="rect">
          <a:avLst/>
        </a:prstGeom>
        <a:no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C875D11-3555-2245-85A6-4FF9A7BAEB32}" type="TxLink">
            <a:rPr lang="en-US" sz="2800" b="1" i="0" u="none" strike="noStrike">
              <a:solidFill>
                <a:schemeClr val="bg1"/>
              </a:solidFill>
              <a:latin typeface="Century Gothic" panose="020B0502020202020204" pitchFamily="34" charset="0"/>
            </a:rPr>
            <a:pPr algn="ctr"/>
            <a:t>5.90</a:t>
          </a:fld>
          <a:endParaRPr lang="en-US" sz="4800" b="1">
            <a:solidFill>
              <a:schemeClr val="bg1"/>
            </a:solidFill>
            <a:latin typeface="Century Gothic" panose="020B0502020202020204" pitchFamily="34" charset="0"/>
          </a:endParaRPr>
        </a:p>
      </xdr:txBody>
    </xdr:sp>
    <xdr:clientData/>
  </xdr:twoCellAnchor>
  <xdr:twoCellAnchor>
    <xdr:from>
      <xdr:col>22</xdr:col>
      <xdr:colOff>438537</xdr:colOff>
      <xdr:row>9</xdr:row>
      <xdr:rowOff>30478</xdr:rowOff>
    </xdr:from>
    <xdr:to>
      <xdr:col>24</xdr:col>
      <xdr:colOff>460887</xdr:colOff>
      <xdr:row>12</xdr:row>
      <xdr:rowOff>21891</xdr:rowOff>
    </xdr:to>
    <xdr:sp macro="" textlink="'KPI2'!D6">
      <xdr:nvSpPr>
        <xdr:cNvPr id="12" name="TextBox 11">
          <a:extLst>
            <a:ext uri="{FF2B5EF4-FFF2-40B4-BE49-F238E27FC236}">
              <a16:creationId xmlns:a16="http://schemas.microsoft.com/office/drawing/2014/main" id="{05C7B67D-3BEC-EE4E-8A93-78AD76323B99}"/>
            </a:ext>
          </a:extLst>
        </xdr:cNvPr>
        <xdr:cNvSpPr txBox="1"/>
      </xdr:nvSpPr>
      <xdr:spPr>
        <a:xfrm>
          <a:off x="18569814" y="1854414"/>
          <a:ext cx="1670647" cy="599392"/>
        </a:xfrm>
        <a:prstGeom prst="rect">
          <a:avLst/>
        </a:prstGeom>
        <a:no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BBF6BCE-896C-BC4B-AAD7-F9EE9DF48277}" type="TxLink">
            <a:rPr lang="en-US" sz="2800" b="1" i="0" u="none" strike="noStrike">
              <a:solidFill>
                <a:schemeClr val="bg1"/>
              </a:solidFill>
              <a:latin typeface="Century Gothic" panose="020B0502020202020204" pitchFamily="34" charset="0"/>
            </a:rPr>
            <a:pPr algn="ctr"/>
            <a:t>5.96</a:t>
          </a:fld>
          <a:endParaRPr lang="en-US" sz="4800" b="1">
            <a:solidFill>
              <a:schemeClr val="bg1"/>
            </a:solidFill>
            <a:latin typeface="Century Gothic" panose="020B0502020202020204" pitchFamily="34" charset="0"/>
          </a:endParaRPr>
        </a:p>
      </xdr:txBody>
    </xdr:sp>
    <xdr:clientData/>
  </xdr:twoCellAnchor>
  <xdr:twoCellAnchor>
    <xdr:from>
      <xdr:col>25</xdr:col>
      <xdr:colOff>10957</xdr:colOff>
      <xdr:row>9</xdr:row>
      <xdr:rowOff>30478</xdr:rowOff>
    </xdr:from>
    <xdr:to>
      <xdr:col>27</xdr:col>
      <xdr:colOff>33306</xdr:colOff>
      <xdr:row>12</xdr:row>
      <xdr:rowOff>21891</xdr:rowOff>
    </xdr:to>
    <xdr:sp macro="" textlink="'KPI2'!D7">
      <xdr:nvSpPr>
        <xdr:cNvPr id="13" name="TextBox 12">
          <a:extLst>
            <a:ext uri="{FF2B5EF4-FFF2-40B4-BE49-F238E27FC236}">
              <a16:creationId xmlns:a16="http://schemas.microsoft.com/office/drawing/2014/main" id="{472A7BB4-6F53-BD4B-9229-A260D863D57B}"/>
            </a:ext>
          </a:extLst>
        </xdr:cNvPr>
        <xdr:cNvSpPr txBox="1"/>
      </xdr:nvSpPr>
      <xdr:spPr>
        <a:xfrm>
          <a:off x="20614680" y="1854414"/>
          <a:ext cx="1670647" cy="599392"/>
        </a:xfrm>
        <a:prstGeom prst="rect">
          <a:avLst/>
        </a:prstGeom>
        <a:no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395B2BC-8E14-804D-99A5-E222428F956F}" type="TxLink">
            <a:rPr lang="en-US" sz="2800" b="1" i="0" u="none" strike="noStrike">
              <a:solidFill>
                <a:schemeClr val="bg1"/>
              </a:solidFill>
              <a:latin typeface="Century Gothic" panose="020B0502020202020204" pitchFamily="34" charset="0"/>
            </a:rPr>
            <a:pPr algn="ctr"/>
            <a:t>5.92</a:t>
          </a:fld>
          <a:endParaRPr lang="en-US" sz="4800" b="1">
            <a:solidFill>
              <a:schemeClr val="bg1"/>
            </a:solidFill>
            <a:latin typeface="Century Gothic" panose="020B0502020202020204" pitchFamily="34" charset="0"/>
          </a:endParaRPr>
        </a:p>
      </xdr:txBody>
    </xdr:sp>
    <xdr:clientData/>
  </xdr:twoCellAnchor>
  <xdr:twoCellAnchor>
    <xdr:from>
      <xdr:col>7</xdr:col>
      <xdr:colOff>567448</xdr:colOff>
      <xdr:row>5</xdr:row>
      <xdr:rowOff>164491</xdr:rowOff>
    </xdr:from>
    <xdr:to>
      <xdr:col>9</xdr:col>
      <xdr:colOff>592503</xdr:colOff>
      <xdr:row>8</xdr:row>
      <xdr:rowOff>160016</xdr:rowOff>
    </xdr:to>
    <xdr:sp macro="" textlink="">
      <xdr:nvSpPr>
        <xdr:cNvPr id="15" name="TextBox 14">
          <a:extLst>
            <a:ext uri="{FF2B5EF4-FFF2-40B4-BE49-F238E27FC236}">
              <a16:creationId xmlns:a16="http://schemas.microsoft.com/office/drawing/2014/main" id="{83EFEEA5-51F5-5046-9D7E-1E1EA0FD148B}"/>
            </a:ext>
          </a:extLst>
        </xdr:cNvPr>
        <xdr:cNvSpPr txBox="1">
          <a:spLocks/>
        </xdr:cNvSpPr>
      </xdr:nvSpPr>
      <xdr:spPr>
        <a:xfrm>
          <a:off x="6336491" y="1177789"/>
          <a:ext cx="1673352" cy="603504"/>
        </a:xfrm>
        <a:prstGeom prst="rect">
          <a:avLst/>
        </a:prstGeom>
        <a:no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i="0" u="none" strike="noStrike">
              <a:solidFill>
                <a:schemeClr val="bg1"/>
              </a:solidFill>
              <a:latin typeface="Century Gothic" panose="020B0502020202020204" pitchFamily="34" charset="0"/>
            </a:rPr>
            <a:t>Total</a:t>
          </a:r>
          <a:r>
            <a:rPr lang="en-US" sz="1600" b="1" i="0" u="none" strike="noStrike" baseline="0">
              <a:solidFill>
                <a:schemeClr val="bg1"/>
              </a:solidFill>
              <a:latin typeface="Century Gothic" panose="020B0502020202020204" pitchFamily="34" charset="0"/>
            </a:rPr>
            <a:t> Revenue</a:t>
          </a:r>
        </a:p>
      </xdr:txBody>
    </xdr:sp>
    <xdr:clientData/>
  </xdr:twoCellAnchor>
  <xdr:twoCellAnchor>
    <xdr:from>
      <xdr:col>10</xdr:col>
      <xdr:colOff>139905</xdr:colOff>
      <xdr:row>5</xdr:row>
      <xdr:rowOff>166547</xdr:rowOff>
    </xdr:from>
    <xdr:to>
      <xdr:col>12</xdr:col>
      <xdr:colOff>162254</xdr:colOff>
      <xdr:row>8</xdr:row>
      <xdr:rowOff>157960</xdr:rowOff>
    </xdr:to>
    <xdr:sp macro="" textlink="">
      <xdr:nvSpPr>
        <xdr:cNvPr id="24" name="TextBox 23">
          <a:extLst>
            <a:ext uri="{FF2B5EF4-FFF2-40B4-BE49-F238E27FC236}">
              <a16:creationId xmlns:a16="http://schemas.microsoft.com/office/drawing/2014/main" id="{C433C2EB-B2EF-9F4A-A886-77445CF6F32F}"/>
            </a:ext>
          </a:extLst>
        </xdr:cNvPr>
        <xdr:cNvSpPr txBox="1">
          <a:spLocks/>
        </xdr:cNvSpPr>
      </xdr:nvSpPr>
      <xdr:spPr>
        <a:xfrm>
          <a:off x="8381394" y="1179845"/>
          <a:ext cx="1670647" cy="599392"/>
        </a:xfrm>
        <a:prstGeom prst="rect">
          <a:avLst/>
        </a:prstGeom>
        <a:no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i="0" u="none" strike="noStrike">
              <a:solidFill>
                <a:schemeClr val="bg1"/>
              </a:solidFill>
              <a:latin typeface="Century Gothic" panose="020B0502020202020204" pitchFamily="34" charset="0"/>
            </a:rPr>
            <a:t>Total</a:t>
          </a:r>
          <a:r>
            <a:rPr lang="en-US" sz="1600" b="1" i="0" u="none" strike="noStrike" baseline="0">
              <a:solidFill>
                <a:schemeClr val="bg1"/>
              </a:solidFill>
              <a:latin typeface="Century Gothic" panose="020B0502020202020204" pitchFamily="34" charset="0"/>
            </a:rPr>
            <a:t> Orders</a:t>
          </a:r>
          <a:endParaRPr lang="en-US" sz="1600" b="1" i="0" u="none" strike="noStrike">
            <a:solidFill>
              <a:schemeClr val="bg1"/>
            </a:solidFill>
            <a:latin typeface="Century Gothic" panose="020B0502020202020204" pitchFamily="34" charset="0"/>
          </a:endParaRPr>
        </a:p>
      </xdr:txBody>
    </xdr:sp>
    <xdr:clientData/>
  </xdr:twoCellAnchor>
  <xdr:twoCellAnchor>
    <xdr:from>
      <xdr:col>12</xdr:col>
      <xdr:colOff>533805</xdr:colOff>
      <xdr:row>5</xdr:row>
      <xdr:rowOff>49481</xdr:rowOff>
    </xdr:from>
    <xdr:to>
      <xdr:col>14</xdr:col>
      <xdr:colOff>556154</xdr:colOff>
      <xdr:row>9</xdr:row>
      <xdr:rowOff>115454</xdr:rowOff>
    </xdr:to>
    <xdr:sp macro="" textlink="">
      <xdr:nvSpPr>
        <xdr:cNvPr id="30" name="TextBox 29">
          <a:extLst>
            <a:ext uri="{FF2B5EF4-FFF2-40B4-BE49-F238E27FC236}">
              <a16:creationId xmlns:a16="http://schemas.microsoft.com/office/drawing/2014/main" id="{ED79DD1F-815A-9C41-B2C3-95EB87F58922}"/>
            </a:ext>
          </a:extLst>
        </xdr:cNvPr>
        <xdr:cNvSpPr txBox="1">
          <a:spLocks/>
        </xdr:cNvSpPr>
      </xdr:nvSpPr>
      <xdr:spPr>
        <a:xfrm>
          <a:off x="10429909" y="1039091"/>
          <a:ext cx="1671700" cy="857662"/>
        </a:xfrm>
        <a:prstGeom prst="rect">
          <a:avLst/>
        </a:prstGeom>
        <a:no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i="0" u="none" strike="noStrike">
              <a:solidFill>
                <a:schemeClr val="bg1"/>
              </a:solidFill>
              <a:latin typeface="Century Gothic" panose="020B0502020202020204" pitchFamily="34" charset="0"/>
            </a:rPr>
            <a:t>Total</a:t>
          </a:r>
          <a:r>
            <a:rPr lang="en-US" sz="1600" b="1" i="0" u="none" strike="noStrike" baseline="0">
              <a:solidFill>
                <a:schemeClr val="bg1"/>
              </a:solidFill>
              <a:latin typeface="Century Gothic" panose="020B0502020202020204" pitchFamily="34" charset="0"/>
            </a:rPr>
            <a:t> </a:t>
          </a:r>
          <a:br>
            <a:rPr lang="en-US" sz="1600" b="1" i="0" u="none" strike="noStrike" baseline="0">
              <a:solidFill>
                <a:schemeClr val="bg1"/>
              </a:solidFill>
              <a:latin typeface="Century Gothic" panose="020B0502020202020204" pitchFamily="34" charset="0"/>
            </a:rPr>
          </a:br>
          <a:r>
            <a:rPr lang="en-US" sz="1600" b="1" i="0" u="none" strike="noStrike" baseline="0">
              <a:solidFill>
                <a:schemeClr val="bg1"/>
              </a:solidFill>
              <a:latin typeface="Century Gothic" panose="020B0502020202020204" pitchFamily="34" charset="0"/>
            </a:rPr>
            <a:t>Quantity Sold</a:t>
          </a:r>
          <a:endParaRPr lang="en-US" sz="1600" b="1" i="0" u="none" strike="noStrike">
            <a:solidFill>
              <a:schemeClr val="bg1"/>
            </a:solidFill>
            <a:latin typeface="Century Gothic" panose="020B0502020202020204" pitchFamily="34" charset="0"/>
          </a:endParaRPr>
        </a:p>
      </xdr:txBody>
    </xdr:sp>
    <xdr:clientData/>
  </xdr:twoCellAnchor>
  <xdr:twoCellAnchor>
    <xdr:from>
      <xdr:col>15</xdr:col>
      <xdr:colOff>103556</xdr:colOff>
      <xdr:row>5</xdr:row>
      <xdr:rowOff>148442</xdr:rowOff>
    </xdr:from>
    <xdr:to>
      <xdr:col>17</xdr:col>
      <xdr:colOff>125905</xdr:colOff>
      <xdr:row>10</xdr:row>
      <xdr:rowOff>115453</xdr:rowOff>
    </xdr:to>
    <xdr:sp macro="" textlink="">
      <xdr:nvSpPr>
        <xdr:cNvPr id="31" name="TextBox 30">
          <a:extLst>
            <a:ext uri="{FF2B5EF4-FFF2-40B4-BE49-F238E27FC236}">
              <a16:creationId xmlns:a16="http://schemas.microsoft.com/office/drawing/2014/main" id="{6FCB97A2-525E-504D-B19D-24A35A8B30FA}"/>
            </a:ext>
          </a:extLst>
        </xdr:cNvPr>
        <xdr:cNvSpPr txBox="1">
          <a:spLocks/>
        </xdr:cNvSpPr>
      </xdr:nvSpPr>
      <xdr:spPr>
        <a:xfrm>
          <a:off x="12473686" y="1138052"/>
          <a:ext cx="1671700" cy="956622"/>
        </a:xfrm>
        <a:prstGeom prst="rect">
          <a:avLst/>
        </a:prstGeom>
        <a:no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i="0" u="none" strike="noStrike">
              <a:solidFill>
                <a:schemeClr val="bg1"/>
              </a:solidFill>
              <a:latin typeface="Century Gothic" panose="020B0502020202020204" pitchFamily="34" charset="0"/>
            </a:rPr>
            <a:t>Average</a:t>
          </a:r>
          <a:r>
            <a:rPr lang="en-US" sz="1600" b="1" i="0" u="none" strike="noStrike" baseline="0">
              <a:solidFill>
                <a:schemeClr val="bg1"/>
              </a:solidFill>
              <a:latin typeface="Century Gothic" panose="020B0502020202020204" pitchFamily="34" charset="0"/>
            </a:rPr>
            <a:t> </a:t>
          </a:r>
          <a:br>
            <a:rPr lang="en-US" sz="1600" b="1" i="0" u="none" strike="noStrike" baseline="0">
              <a:solidFill>
                <a:schemeClr val="bg1"/>
              </a:solidFill>
              <a:latin typeface="Century Gothic" panose="020B0502020202020204" pitchFamily="34" charset="0"/>
            </a:rPr>
          </a:br>
          <a:r>
            <a:rPr lang="en-US" sz="1600" b="1" i="0" u="none" strike="noStrike" baseline="0">
              <a:solidFill>
                <a:schemeClr val="bg1"/>
              </a:solidFill>
              <a:latin typeface="Century Gothic" panose="020B0502020202020204" pitchFamily="34" charset="0"/>
            </a:rPr>
            <a:t>Order Value</a:t>
          </a:r>
        </a:p>
        <a:p>
          <a:pPr algn="ctr"/>
          <a:endParaRPr lang="en-US" sz="1600" b="1" i="0" u="none" strike="noStrike">
            <a:solidFill>
              <a:schemeClr val="bg1"/>
            </a:solidFill>
            <a:latin typeface="Century Gothic" panose="020B0502020202020204" pitchFamily="34" charset="0"/>
          </a:endParaRPr>
        </a:p>
      </xdr:txBody>
    </xdr:sp>
    <xdr:clientData/>
  </xdr:twoCellAnchor>
  <xdr:twoCellAnchor>
    <xdr:from>
      <xdr:col>17</xdr:col>
      <xdr:colOff>497456</xdr:colOff>
      <xdr:row>5</xdr:row>
      <xdr:rowOff>65974</xdr:rowOff>
    </xdr:from>
    <xdr:to>
      <xdr:col>19</xdr:col>
      <xdr:colOff>519805</xdr:colOff>
      <xdr:row>9</xdr:row>
      <xdr:rowOff>148440</xdr:rowOff>
    </xdr:to>
    <xdr:sp macro="" textlink="">
      <xdr:nvSpPr>
        <xdr:cNvPr id="32" name="TextBox 31">
          <a:extLst>
            <a:ext uri="{FF2B5EF4-FFF2-40B4-BE49-F238E27FC236}">
              <a16:creationId xmlns:a16="http://schemas.microsoft.com/office/drawing/2014/main" id="{8C71A03B-D1E0-B348-9E7A-28C7E39536E1}"/>
            </a:ext>
          </a:extLst>
        </xdr:cNvPr>
        <xdr:cNvSpPr txBox="1">
          <a:spLocks/>
        </xdr:cNvSpPr>
      </xdr:nvSpPr>
      <xdr:spPr>
        <a:xfrm>
          <a:off x="14516937" y="1055584"/>
          <a:ext cx="1671699" cy="874155"/>
        </a:xfrm>
        <a:prstGeom prst="rect">
          <a:avLst/>
        </a:prstGeom>
        <a:no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i="0" u="none" strike="noStrike">
              <a:solidFill>
                <a:schemeClr val="bg1"/>
              </a:solidFill>
              <a:latin typeface="Century Gothic" panose="020B0502020202020204" pitchFamily="34" charset="0"/>
            </a:rPr>
            <a:t>Average</a:t>
          </a:r>
          <a:r>
            <a:rPr lang="en-US" sz="1600" b="1" i="0" u="none" strike="noStrike" baseline="0">
              <a:solidFill>
                <a:schemeClr val="bg1"/>
              </a:solidFill>
              <a:latin typeface="Century Gothic" panose="020B0502020202020204" pitchFamily="34" charset="0"/>
            </a:rPr>
            <a:t> Bread Order</a:t>
          </a:r>
          <a:endParaRPr lang="en-US" sz="1600" b="1" i="0" u="none" strike="noStrike">
            <a:solidFill>
              <a:schemeClr val="bg1"/>
            </a:solidFill>
            <a:latin typeface="Century Gothic" panose="020B0502020202020204" pitchFamily="34" charset="0"/>
          </a:endParaRPr>
        </a:p>
      </xdr:txBody>
    </xdr:sp>
    <xdr:clientData/>
  </xdr:twoCellAnchor>
  <xdr:twoCellAnchor>
    <xdr:from>
      <xdr:col>20</xdr:col>
      <xdr:colOff>34220</xdr:colOff>
      <xdr:row>5</xdr:row>
      <xdr:rowOff>65974</xdr:rowOff>
    </xdr:from>
    <xdr:to>
      <xdr:col>22</xdr:col>
      <xdr:colOff>56569</xdr:colOff>
      <xdr:row>10</xdr:row>
      <xdr:rowOff>115454</xdr:rowOff>
    </xdr:to>
    <xdr:sp macro="" textlink="">
      <xdr:nvSpPr>
        <xdr:cNvPr id="33" name="TextBox 32">
          <a:extLst>
            <a:ext uri="{FF2B5EF4-FFF2-40B4-BE49-F238E27FC236}">
              <a16:creationId xmlns:a16="http://schemas.microsoft.com/office/drawing/2014/main" id="{BB1D5911-89B2-A342-B86D-D249A67D79F9}"/>
            </a:ext>
          </a:extLst>
        </xdr:cNvPr>
        <xdr:cNvSpPr txBox="1">
          <a:spLocks/>
        </xdr:cNvSpPr>
      </xdr:nvSpPr>
      <xdr:spPr>
        <a:xfrm>
          <a:off x="16527726" y="1055584"/>
          <a:ext cx="1671700" cy="10390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600" b="1" i="0" u="none" strike="noStrike">
              <a:solidFill>
                <a:schemeClr val="bg1"/>
              </a:solidFill>
              <a:latin typeface="Century Gothic" panose="020B0502020202020204" pitchFamily="34" charset="0"/>
            </a:rPr>
            <a:t>Average</a:t>
          </a:r>
          <a:r>
            <a:rPr lang="en-US" sz="1600" b="1" i="0" u="none" strike="noStrike" baseline="0">
              <a:solidFill>
                <a:schemeClr val="bg1"/>
              </a:solidFill>
              <a:latin typeface="Century Gothic" panose="020B0502020202020204" pitchFamily="34" charset="0"/>
            </a:rPr>
            <a:t> </a:t>
          </a:r>
          <a:br>
            <a:rPr lang="en-US" sz="1600" b="1" i="0" u="none" strike="noStrike" baseline="0">
              <a:solidFill>
                <a:schemeClr val="bg1"/>
              </a:solidFill>
              <a:latin typeface="Century Gothic" panose="020B0502020202020204" pitchFamily="34" charset="0"/>
            </a:rPr>
          </a:br>
          <a:r>
            <a:rPr lang="en-US" sz="1600" b="1" i="0" u="none" strike="noStrike" baseline="0">
              <a:solidFill>
                <a:schemeClr val="bg1"/>
              </a:solidFill>
              <a:latin typeface="Century Gothic" panose="020B0502020202020204" pitchFamily="34" charset="0"/>
            </a:rPr>
            <a:t>Cake Order</a:t>
          </a:r>
          <a:endParaRPr lang="en-US" sz="1600" b="1" i="0" u="none" strike="noStrike">
            <a:solidFill>
              <a:schemeClr val="bg1"/>
            </a:solidFill>
            <a:latin typeface="Century Gothic" panose="020B0502020202020204" pitchFamily="34" charset="0"/>
          </a:endParaRPr>
        </a:p>
        <a:p>
          <a:pPr algn="ctr"/>
          <a:endParaRPr lang="en-US" sz="1600" b="1" i="0" u="none" strike="noStrike">
            <a:solidFill>
              <a:schemeClr val="bg1"/>
            </a:solidFill>
            <a:latin typeface="Century Gothic" panose="020B0502020202020204" pitchFamily="34" charset="0"/>
          </a:endParaRPr>
        </a:p>
      </xdr:txBody>
    </xdr:sp>
    <xdr:clientData/>
  </xdr:twoCellAnchor>
  <xdr:twoCellAnchor>
    <xdr:from>
      <xdr:col>22</xdr:col>
      <xdr:colOff>461107</xdr:colOff>
      <xdr:row>5</xdr:row>
      <xdr:rowOff>131948</xdr:rowOff>
    </xdr:from>
    <xdr:to>
      <xdr:col>24</xdr:col>
      <xdr:colOff>495560</xdr:colOff>
      <xdr:row>9</xdr:row>
      <xdr:rowOff>181428</xdr:rowOff>
    </xdr:to>
    <xdr:sp macro="" textlink="">
      <xdr:nvSpPr>
        <xdr:cNvPr id="34" name="TextBox 33">
          <a:extLst>
            <a:ext uri="{FF2B5EF4-FFF2-40B4-BE49-F238E27FC236}">
              <a16:creationId xmlns:a16="http://schemas.microsoft.com/office/drawing/2014/main" id="{4C78C7F3-0D90-684D-861A-F61A7698EFBF}"/>
            </a:ext>
          </a:extLst>
        </xdr:cNvPr>
        <xdr:cNvSpPr txBox="1">
          <a:spLocks/>
        </xdr:cNvSpPr>
      </xdr:nvSpPr>
      <xdr:spPr>
        <a:xfrm>
          <a:off x="18603964" y="1121558"/>
          <a:ext cx="1683804" cy="841169"/>
        </a:xfrm>
        <a:prstGeom prst="rect">
          <a:avLst/>
        </a:prstGeom>
        <a:no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600" b="1" i="0" u="none" strike="noStrike">
              <a:solidFill>
                <a:schemeClr val="bg1"/>
              </a:solidFill>
              <a:latin typeface="Century Gothic" panose="020B0502020202020204" pitchFamily="34" charset="0"/>
            </a:rPr>
            <a:t>Average</a:t>
          </a:r>
          <a:r>
            <a:rPr lang="en-US" sz="1600" b="1" i="0" u="none" strike="noStrike" baseline="0">
              <a:solidFill>
                <a:schemeClr val="bg1"/>
              </a:solidFill>
              <a:latin typeface="Century Gothic" panose="020B0502020202020204" pitchFamily="34" charset="0"/>
            </a:rPr>
            <a:t> Cookies Order</a:t>
          </a:r>
          <a:endParaRPr lang="en-US" sz="1600" b="1" i="0" u="none" strike="noStrike">
            <a:solidFill>
              <a:schemeClr val="bg1"/>
            </a:solidFill>
            <a:latin typeface="Century Gothic" panose="020B0502020202020204" pitchFamily="34" charset="0"/>
          </a:endParaRPr>
        </a:p>
        <a:p>
          <a:pPr algn="ctr"/>
          <a:endParaRPr lang="en-US" sz="1600" b="1" i="0" u="none" strike="noStrike">
            <a:solidFill>
              <a:schemeClr val="bg1"/>
            </a:solidFill>
            <a:latin typeface="Century Gothic" panose="020B0502020202020204" pitchFamily="34" charset="0"/>
          </a:endParaRPr>
        </a:p>
      </xdr:txBody>
    </xdr:sp>
    <xdr:clientData/>
  </xdr:twoCellAnchor>
  <xdr:twoCellAnchor>
    <xdr:from>
      <xdr:col>25</xdr:col>
      <xdr:colOff>26472</xdr:colOff>
      <xdr:row>5</xdr:row>
      <xdr:rowOff>98961</xdr:rowOff>
    </xdr:from>
    <xdr:to>
      <xdr:col>27</xdr:col>
      <xdr:colOff>48821</xdr:colOff>
      <xdr:row>8</xdr:row>
      <xdr:rowOff>148441</xdr:rowOff>
    </xdr:to>
    <xdr:sp macro="" textlink="">
      <xdr:nvSpPr>
        <xdr:cNvPr id="35" name="TextBox 34">
          <a:extLst>
            <a:ext uri="{FF2B5EF4-FFF2-40B4-BE49-F238E27FC236}">
              <a16:creationId xmlns:a16="http://schemas.microsoft.com/office/drawing/2014/main" id="{0F7D67DD-8222-2148-8499-376DAA206ADF}"/>
            </a:ext>
          </a:extLst>
        </xdr:cNvPr>
        <xdr:cNvSpPr txBox="1">
          <a:spLocks/>
        </xdr:cNvSpPr>
      </xdr:nvSpPr>
      <xdr:spPr>
        <a:xfrm>
          <a:off x="20643355" y="1088571"/>
          <a:ext cx="1671700" cy="643247"/>
        </a:xfrm>
        <a:prstGeom prst="rect">
          <a:avLst/>
        </a:prstGeom>
        <a:no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600" b="1" i="0" u="none" strike="noStrike">
              <a:solidFill>
                <a:schemeClr val="bg1"/>
              </a:solidFill>
              <a:latin typeface="Century Gothic" panose="020B0502020202020204" pitchFamily="34" charset="0"/>
            </a:rPr>
            <a:t>Average</a:t>
          </a:r>
          <a:r>
            <a:rPr lang="en-US" sz="1600" b="1" i="0" u="none" strike="noStrike" baseline="0">
              <a:solidFill>
                <a:schemeClr val="bg1"/>
              </a:solidFill>
              <a:latin typeface="Century Gothic" panose="020B0502020202020204" pitchFamily="34" charset="0"/>
            </a:rPr>
            <a:t> Pastries Order</a:t>
          </a:r>
          <a:endParaRPr lang="en-US" sz="1600" b="1" i="0" u="none" strike="noStrike">
            <a:solidFill>
              <a:schemeClr val="bg1"/>
            </a:solidFill>
            <a:latin typeface="Century Gothic" panose="020B0502020202020204" pitchFamily="34" charset="0"/>
          </a:endParaRPr>
        </a:p>
        <a:p>
          <a:pPr algn="ctr"/>
          <a:endParaRPr lang="en-US" sz="1600" b="1" i="0" u="none" strike="noStrike">
            <a:solidFill>
              <a:schemeClr val="bg1"/>
            </a:solidFill>
            <a:latin typeface="Century Gothic" panose="020B0502020202020204" pitchFamily="34" charset="0"/>
          </a:endParaRPr>
        </a:p>
      </xdr:txBody>
    </xdr:sp>
    <xdr:clientData/>
  </xdr:twoCellAnchor>
  <xdr:twoCellAnchor>
    <xdr:from>
      <xdr:col>12</xdr:col>
      <xdr:colOff>500571</xdr:colOff>
      <xdr:row>9</xdr:row>
      <xdr:rowOff>30478</xdr:rowOff>
    </xdr:from>
    <xdr:to>
      <xdr:col>14</xdr:col>
      <xdr:colOff>522920</xdr:colOff>
      <xdr:row>12</xdr:row>
      <xdr:rowOff>21891</xdr:rowOff>
    </xdr:to>
    <xdr:sp macro="" textlink="KPI!C5">
      <xdr:nvSpPr>
        <xdr:cNvPr id="8" name="TextBox 7">
          <a:extLst>
            <a:ext uri="{FF2B5EF4-FFF2-40B4-BE49-F238E27FC236}">
              <a16:creationId xmlns:a16="http://schemas.microsoft.com/office/drawing/2014/main" id="{16E0B33B-F5CE-AC47-8335-C902ACE8DA8C}"/>
            </a:ext>
          </a:extLst>
        </xdr:cNvPr>
        <xdr:cNvSpPr txBox="1"/>
      </xdr:nvSpPr>
      <xdr:spPr>
        <a:xfrm>
          <a:off x="10390358" y="1854414"/>
          <a:ext cx="1670647" cy="599392"/>
        </a:xfrm>
        <a:prstGeom prst="rect">
          <a:avLst/>
        </a:prstGeom>
        <a:no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613FF19-7F04-7944-A77C-9022DBE86F6A}" type="TxLink">
            <a:rPr lang="en-US" sz="2800" b="1" i="0" u="none" strike="noStrike">
              <a:solidFill>
                <a:schemeClr val="bg1"/>
              </a:solidFill>
              <a:latin typeface="Century Gothic" panose="020B0502020202020204" pitchFamily="34" charset="0"/>
            </a:rPr>
            <a:pPr algn="ctr"/>
            <a:t>14223</a:t>
          </a:fld>
          <a:endParaRPr lang="en-US" sz="19900" b="1">
            <a:solidFill>
              <a:schemeClr val="bg1"/>
            </a:solidFill>
            <a:latin typeface="Century Gothic" panose="020B0502020202020204" pitchFamily="34" charset="0"/>
          </a:endParaRPr>
        </a:p>
      </xdr:txBody>
    </xdr:sp>
    <xdr:clientData/>
  </xdr:twoCellAnchor>
  <xdr:twoCellAnchor>
    <xdr:from>
      <xdr:col>15</xdr:col>
      <xdr:colOff>72988</xdr:colOff>
      <xdr:row>9</xdr:row>
      <xdr:rowOff>30478</xdr:rowOff>
    </xdr:from>
    <xdr:to>
      <xdr:col>17</xdr:col>
      <xdr:colOff>95337</xdr:colOff>
      <xdr:row>12</xdr:row>
      <xdr:rowOff>21891</xdr:rowOff>
    </xdr:to>
    <xdr:sp macro="" textlink="KPI!D4">
      <xdr:nvSpPr>
        <xdr:cNvPr id="9" name="TextBox 8">
          <a:extLst>
            <a:ext uri="{FF2B5EF4-FFF2-40B4-BE49-F238E27FC236}">
              <a16:creationId xmlns:a16="http://schemas.microsoft.com/office/drawing/2014/main" id="{EE54F862-4248-D04B-A40A-A7F78DBDC57B}"/>
            </a:ext>
          </a:extLst>
        </xdr:cNvPr>
        <xdr:cNvSpPr txBox="1"/>
      </xdr:nvSpPr>
      <xdr:spPr>
        <a:xfrm>
          <a:off x="12435222" y="1854414"/>
          <a:ext cx="1670647" cy="599392"/>
        </a:xfrm>
        <a:prstGeom prst="rect">
          <a:avLst/>
        </a:prstGeom>
        <a:no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D9E3AFB-9C54-E445-90F8-38CD5909D408}" type="TxLink">
            <a:rPr lang="en-US" sz="2800" b="1" i="0" u="none" strike="noStrike">
              <a:solidFill>
                <a:schemeClr val="bg1"/>
              </a:solidFill>
              <a:latin typeface="Century Gothic" panose="020B0502020202020204" pitchFamily="34" charset="0"/>
            </a:rPr>
            <a:pPr algn="ctr"/>
            <a:t> ₱1,258 </a:t>
          </a:fld>
          <a:endParaRPr lang="en-US" sz="4800" b="1">
            <a:solidFill>
              <a:schemeClr val="bg1"/>
            </a:solidFill>
            <a:latin typeface="Century Gothic" panose="020B0502020202020204" pitchFamily="34" charset="0"/>
          </a:endParaRPr>
        </a:p>
      </xdr:txBody>
    </xdr:sp>
    <xdr:clientData/>
  </xdr:twoCellAnchor>
  <xdr:twoCellAnchor>
    <xdr:from>
      <xdr:col>3</xdr:col>
      <xdr:colOff>398721</xdr:colOff>
      <xdr:row>4</xdr:row>
      <xdr:rowOff>164935</xdr:rowOff>
    </xdr:from>
    <xdr:to>
      <xdr:col>6</xdr:col>
      <xdr:colOff>723901</xdr:colOff>
      <xdr:row>13</xdr:row>
      <xdr:rowOff>73838</xdr:rowOff>
    </xdr:to>
    <xdr:sp macro="" textlink="">
      <xdr:nvSpPr>
        <xdr:cNvPr id="2" name="TextBox 1">
          <a:extLst>
            <a:ext uri="{FF2B5EF4-FFF2-40B4-BE49-F238E27FC236}">
              <a16:creationId xmlns:a16="http://schemas.microsoft.com/office/drawing/2014/main" id="{F4454E93-1035-20F9-09AE-CA0A6621BCEE}"/>
            </a:ext>
          </a:extLst>
        </xdr:cNvPr>
        <xdr:cNvSpPr txBox="1"/>
      </xdr:nvSpPr>
      <xdr:spPr>
        <a:xfrm>
          <a:off x="2879651" y="991912"/>
          <a:ext cx="2806110" cy="1769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scene3d>
            <a:camera prst="isometricOffAxis2Left"/>
            <a:lightRig rig="threePt" dir="t"/>
          </a:scene3d>
        </a:bodyPr>
        <a:lstStyle/>
        <a:p>
          <a:pPr algn="ctr"/>
          <a:r>
            <a:rPr lang="en-US" sz="2800" b="1">
              <a:solidFill>
                <a:schemeClr val="tx2">
                  <a:lumMod val="10000"/>
                  <a:lumOff val="90000"/>
                </a:schemeClr>
              </a:solidFill>
              <a:effectLst>
                <a:outerShdw blurRad="50800" dist="38100" dir="2700000" algn="tl" rotWithShape="0">
                  <a:schemeClr val="tx2">
                    <a:lumMod val="25000"/>
                    <a:lumOff val="75000"/>
                    <a:alpha val="40000"/>
                  </a:schemeClr>
                </a:outerShdw>
              </a:effectLst>
              <a:latin typeface="Apple Braille" pitchFamily="2" charset="0"/>
              <a:ea typeface="Cambria Math" panose="02040503050406030204" pitchFamily="18" charset="0"/>
            </a:rPr>
            <a:t>BAKERY SALES </a:t>
          </a:r>
          <a:br>
            <a:rPr lang="en-US" sz="2800" b="1">
              <a:solidFill>
                <a:schemeClr val="tx2">
                  <a:lumMod val="10000"/>
                  <a:lumOff val="90000"/>
                </a:schemeClr>
              </a:solidFill>
              <a:effectLst>
                <a:outerShdw blurRad="50800" dist="38100" dir="2700000" algn="tl" rotWithShape="0">
                  <a:schemeClr val="tx2">
                    <a:lumMod val="25000"/>
                    <a:lumOff val="75000"/>
                    <a:alpha val="40000"/>
                  </a:schemeClr>
                </a:outerShdw>
              </a:effectLst>
              <a:latin typeface="Apple Braille" pitchFamily="2" charset="0"/>
              <a:ea typeface="Cambria Math" panose="02040503050406030204" pitchFamily="18" charset="0"/>
            </a:rPr>
          </a:br>
          <a:r>
            <a:rPr lang="en-US" sz="2800" b="1">
              <a:solidFill>
                <a:schemeClr val="tx2">
                  <a:lumMod val="10000"/>
                  <a:lumOff val="90000"/>
                </a:schemeClr>
              </a:solidFill>
              <a:effectLst>
                <a:outerShdw blurRad="50800" dist="38100" dir="2700000" algn="tl" rotWithShape="0">
                  <a:schemeClr val="tx2">
                    <a:lumMod val="25000"/>
                    <a:lumOff val="75000"/>
                    <a:alpha val="40000"/>
                  </a:schemeClr>
                </a:outerShdw>
              </a:effectLst>
              <a:latin typeface="Apple Braille" pitchFamily="2" charset="0"/>
              <a:ea typeface="Cambria Math" panose="02040503050406030204" pitchFamily="18" charset="0"/>
            </a:rPr>
            <a:t>2024</a:t>
          </a:r>
        </a:p>
      </xdr:txBody>
    </xdr:sp>
    <xdr:clientData/>
  </xdr:twoCellAnchor>
  <xdr:twoCellAnchor>
    <xdr:from>
      <xdr:col>7</xdr:col>
      <xdr:colOff>101600</xdr:colOff>
      <xdr:row>14</xdr:row>
      <xdr:rowOff>116974</xdr:rowOff>
    </xdr:from>
    <xdr:to>
      <xdr:col>17</xdr:col>
      <xdr:colOff>98299</xdr:colOff>
      <xdr:row>31</xdr:row>
      <xdr:rowOff>33421</xdr:rowOff>
    </xdr:to>
    <xdr:sp macro="" textlink="">
      <xdr:nvSpPr>
        <xdr:cNvPr id="17" name="Rounded Rectangle 16">
          <a:extLst>
            <a:ext uri="{FF2B5EF4-FFF2-40B4-BE49-F238E27FC236}">
              <a16:creationId xmlns:a16="http://schemas.microsoft.com/office/drawing/2014/main" id="{B0483D1F-95A4-2277-91E4-B1E7DDF5FC26}"/>
            </a:ext>
          </a:extLst>
        </xdr:cNvPr>
        <xdr:cNvSpPr/>
      </xdr:nvSpPr>
      <xdr:spPr>
        <a:xfrm>
          <a:off x="5880100" y="2961774"/>
          <a:ext cx="8251699" cy="3370847"/>
        </a:xfrm>
        <a:prstGeom prst="round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368300</xdr:colOff>
      <xdr:row>15</xdr:row>
      <xdr:rowOff>117585</xdr:rowOff>
    </xdr:from>
    <xdr:to>
      <xdr:col>16</xdr:col>
      <xdr:colOff>444500</xdr:colOff>
      <xdr:row>30</xdr:row>
      <xdr:rowOff>0</xdr:rowOff>
    </xdr:to>
    <xdr:graphicFrame macro="">
      <xdr:nvGraphicFramePr>
        <xdr:cNvPr id="14" name="Chart 13">
          <a:extLst>
            <a:ext uri="{FF2B5EF4-FFF2-40B4-BE49-F238E27FC236}">
              <a16:creationId xmlns:a16="http://schemas.microsoft.com/office/drawing/2014/main" id="{81478B7E-F662-AD47-B2B7-3F1861193E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384342</xdr:colOff>
      <xdr:row>14</xdr:row>
      <xdr:rowOff>118979</xdr:rowOff>
    </xdr:from>
    <xdr:to>
      <xdr:col>27</xdr:col>
      <xdr:colOff>453189</xdr:colOff>
      <xdr:row>31</xdr:row>
      <xdr:rowOff>35426</xdr:rowOff>
    </xdr:to>
    <xdr:sp macro="" textlink="">
      <xdr:nvSpPr>
        <xdr:cNvPr id="19" name="Rounded Rectangle 18">
          <a:extLst>
            <a:ext uri="{FF2B5EF4-FFF2-40B4-BE49-F238E27FC236}">
              <a16:creationId xmlns:a16="http://schemas.microsoft.com/office/drawing/2014/main" id="{F0C269B4-1DAE-1E41-B86B-A734A2FFAB35}"/>
            </a:ext>
          </a:extLst>
        </xdr:cNvPr>
        <xdr:cNvSpPr/>
      </xdr:nvSpPr>
      <xdr:spPr>
        <a:xfrm>
          <a:off x="14304210" y="2926347"/>
          <a:ext cx="8257005" cy="3325395"/>
        </a:xfrm>
        <a:prstGeom prst="round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225367</xdr:colOff>
      <xdr:row>15</xdr:row>
      <xdr:rowOff>109314</xdr:rowOff>
    </xdr:from>
    <xdr:to>
      <xdr:col>26</xdr:col>
      <xdr:colOff>644338</xdr:colOff>
      <xdr:row>29</xdr:row>
      <xdr:rowOff>158750</xdr:rowOff>
    </xdr:to>
    <xdr:graphicFrame macro="">
      <xdr:nvGraphicFramePr>
        <xdr:cNvPr id="16" name="Chart 15">
          <a:extLst>
            <a:ext uri="{FF2B5EF4-FFF2-40B4-BE49-F238E27FC236}">
              <a16:creationId xmlns:a16="http://schemas.microsoft.com/office/drawing/2014/main" id="{56FD471B-1E1A-284A-BD47-70BFB8F744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472558</xdr:colOff>
      <xdr:row>14</xdr:row>
      <xdr:rowOff>130794</xdr:rowOff>
    </xdr:from>
    <xdr:to>
      <xdr:col>6</xdr:col>
      <xdr:colOff>664535</xdr:colOff>
      <xdr:row>30</xdr:row>
      <xdr:rowOff>70555</xdr:rowOff>
    </xdr:to>
    <xdr:sp macro="" textlink="">
      <xdr:nvSpPr>
        <xdr:cNvPr id="18" name="Rounded Rectangle 17">
          <a:extLst>
            <a:ext uri="{FF2B5EF4-FFF2-40B4-BE49-F238E27FC236}">
              <a16:creationId xmlns:a16="http://schemas.microsoft.com/office/drawing/2014/main" id="{4ACE5E9A-9E4B-5AB1-2203-BECE89AFD7DC}"/>
            </a:ext>
          </a:extLst>
        </xdr:cNvPr>
        <xdr:cNvSpPr/>
      </xdr:nvSpPr>
      <xdr:spPr>
        <a:xfrm>
          <a:off x="2970225" y="2896572"/>
          <a:ext cx="2689643" cy="3100650"/>
        </a:xfrm>
        <a:prstGeom prst="round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502093</xdr:colOff>
      <xdr:row>16</xdr:row>
      <xdr:rowOff>141111</xdr:rowOff>
    </xdr:from>
    <xdr:to>
      <xdr:col>6</xdr:col>
      <xdr:colOff>635000</xdr:colOff>
      <xdr:row>32</xdr:row>
      <xdr:rowOff>56444</xdr:rowOff>
    </xdr:to>
    <xdr:sp macro="" textlink="">
      <xdr:nvSpPr>
        <xdr:cNvPr id="20" name="TextBox 19">
          <a:extLst>
            <a:ext uri="{FF2B5EF4-FFF2-40B4-BE49-F238E27FC236}">
              <a16:creationId xmlns:a16="http://schemas.microsoft.com/office/drawing/2014/main" id="{44592B22-D1B0-12F9-4619-C06164E5908F}"/>
            </a:ext>
          </a:extLst>
        </xdr:cNvPr>
        <xdr:cNvSpPr txBox="1"/>
      </xdr:nvSpPr>
      <xdr:spPr>
        <a:xfrm>
          <a:off x="2999760" y="3302000"/>
          <a:ext cx="2630573" cy="30762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PH" sz="1500" b="1">
              <a:solidFill>
                <a:schemeClr val="bg1"/>
              </a:solidFill>
            </a:rPr>
            <a:t>The busiest day for orders is </a:t>
          </a:r>
          <a:r>
            <a:rPr lang="en-PH" sz="1500" b="1">
              <a:solidFill>
                <a:schemeClr val="accent2">
                  <a:lumMod val="60000"/>
                  <a:lumOff val="40000"/>
                </a:schemeClr>
              </a:solidFill>
            </a:rPr>
            <a:t>Tuesday</a:t>
          </a:r>
          <a:r>
            <a:rPr lang="en-PH" sz="1500" b="1">
              <a:solidFill>
                <a:srgbClr val="00B0F0"/>
              </a:solidFill>
            </a:rPr>
            <a:t> </a:t>
          </a:r>
          <a:r>
            <a:rPr lang="en-PH" sz="1500" b="1">
              <a:solidFill>
                <a:schemeClr val="bg1"/>
              </a:solidFill>
            </a:rPr>
            <a:t>indicating a midweek peak in customer activity. </a:t>
          </a:r>
          <a:br>
            <a:rPr lang="en-PH" sz="1500" b="1">
              <a:solidFill>
                <a:schemeClr val="bg1"/>
              </a:solidFill>
            </a:rPr>
          </a:br>
          <a:br>
            <a:rPr lang="en-PH" sz="1500" b="1">
              <a:solidFill>
                <a:schemeClr val="bg1"/>
              </a:solidFill>
            </a:rPr>
          </a:br>
          <a:r>
            <a:rPr lang="en-PH" sz="1500" b="1">
              <a:solidFill>
                <a:schemeClr val="bg1"/>
              </a:solidFill>
            </a:rPr>
            <a:t>The highest number of orders occurs around </a:t>
          </a:r>
          <a:br>
            <a:rPr lang="en-PH" sz="1500" b="1">
              <a:solidFill>
                <a:schemeClr val="bg1"/>
              </a:solidFill>
            </a:rPr>
          </a:br>
          <a:r>
            <a:rPr lang="en-PH" sz="1500" b="1">
              <a:solidFill>
                <a:schemeClr val="accent2">
                  <a:lumMod val="60000"/>
                  <a:lumOff val="40000"/>
                </a:schemeClr>
              </a:solidFill>
            </a:rPr>
            <a:t>6 PM </a:t>
          </a:r>
          <a:r>
            <a:rPr lang="en-PH" sz="1500" b="1">
              <a:solidFill>
                <a:schemeClr val="bg1"/>
              </a:solidFill>
            </a:rPr>
            <a:t>showing that customer engagement is strongest during the early evening hours.</a:t>
          </a:r>
        </a:p>
        <a:p>
          <a:endParaRPr lang="en-US" sz="1200">
            <a:solidFill>
              <a:schemeClr val="bg1"/>
            </a:solidFill>
          </a:endParaRPr>
        </a:p>
      </xdr:txBody>
    </xdr:sp>
    <xdr:clientData/>
  </xdr:twoCellAnchor>
  <xdr:twoCellAnchor>
    <xdr:from>
      <xdr:col>3</xdr:col>
      <xdr:colOff>604743</xdr:colOff>
      <xdr:row>15</xdr:row>
      <xdr:rowOff>105997</xdr:rowOff>
    </xdr:from>
    <xdr:to>
      <xdr:col>6</xdr:col>
      <xdr:colOff>515548</xdr:colOff>
      <xdr:row>18</xdr:row>
      <xdr:rowOff>117726</xdr:rowOff>
    </xdr:to>
    <xdr:sp macro="" textlink="">
      <xdr:nvSpPr>
        <xdr:cNvPr id="21" name="TextBox 20">
          <a:extLst>
            <a:ext uri="{FF2B5EF4-FFF2-40B4-BE49-F238E27FC236}">
              <a16:creationId xmlns:a16="http://schemas.microsoft.com/office/drawing/2014/main" id="{1E77149B-6611-2EF5-3300-A3F5D732212E}"/>
            </a:ext>
          </a:extLst>
        </xdr:cNvPr>
        <xdr:cNvSpPr txBox="1"/>
      </xdr:nvSpPr>
      <xdr:spPr>
        <a:xfrm>
          <a:off x="3102410" y="3069330"/>
          <a:ext cx="2408471" cy="6043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chemeClr val="accent1">
                  <a:lumMod val="60000"/>
                  <a:lumOff val="40000"/>
                </a:schemeClr>
              </a:solidFill>
              <a:effectLst>
                <a:glow rad="63500">
                  <a:schemeClr val="accent1">
                    <a:satMod val="175000"/>
                    <a:alpha val="40000"/>
                  </a:schemeClr>
                </a:glow>
              </a:effectLst>
              <a:latin typeface="Apple Braille" pitchFamily="2" charset="0"/>
            </a:rPr>
            <a:t>BUSSIEST</a:t>
          </a:r>
          <a:r>
            <a:rPr lang="en-US" sz="1600" b="1">
              <a:solidFill>
                <a:schemeClr val="accent1">
                  <a:lumMod val="60000"/>
                  <a:lumOff val="40000"/>
                </a:schemeClr>
              </a:solidFill>
              <a:effectLst>
                <a:glow rad="63500">
                  <a:schemeClr val="accent1">
                    <a:satMod val="175000"/>
                    <a:alpha val="40000"/>
                  </a:schemeClr>
                </a:glow>
                <a:outerShdw blurRad="50800" dist="38100" dir="5400000" algn="t" rotWithShape="0">
                  <a:prstClr val="black">
                    <a:alpha val="40000"/>
                  </a:prstClr>
                </a:outerShdw>
              </a:effectLst>
              <a:latin typeface="Apple Braille" pitchFamily="2" charset="0"/>
            </a:rPr>
            <a:t> DAY AND</a:t>
          </a:r>
          <a:r>
            <a:rPr lang="en-US" sz="1600" b="1" baseline="0">
              <a:solidFill>
                <a:schemeClr val="accent1">
                  <a:lumMod val="60000"/>
                  <a:lumOff val="40000"/>
                </a:schemeClr>
              </a:solidFill>
              <a:effectLst>
                <a:glow rad="63500">
                  <a:schemeClr val="accent1">
                    <a:satMod val="175000"/>
                    <a:alpha val="40000"/>
                  </a:schemeClr>
                </a:glow>
                <a:outerShdw blurRad="50800" dist="38100" dir="5400000" algn="t" rotWithShape="0">
                  <a:prstClr val="black">
                    <a:alpha val="40000"/>
                  </a:prstClr>
                </a:outerShdw>
              </a:effectLst>
              <a:latin typeface="Apple Braille" pitchFamily="2" charset="0"/>
            </a:rPr>
            <a:t> TIME </a:t>
          </a:r>
          <a:endParaRPr lang="en-US" sz="1600" b="1">
            <a:solidFill>
              <a:schemeClr val="accent1">
                <a:lumMod val="60000"/>
                <a:lumOff val="40000"/>
              </a:schemeClr>
            </a:solidFill>
            <a:effectLst>
              <a:glow rad="63500">
                <a:schemeClr val="accent1">
                  <a:satMod val="175000"/>
                  <a:alpha val="40000"/>
                </a:schemeClr>
              </a:glow>
              <a:outerShdw blurRad="50800" dist="38100" dir="5400000" algn="t" rotWithShape="0">
                <a:prstClr val="black">
                  <a:alpha val="40000"/>
                </a:prstClr>
              </a:outerShdw>
            </a:effectLst>
            <a:latin typeface="Apple Braille" pitchFamily="2" charset="0"/>
          </a:endParaRPr>
        </a:p>
      </xdr:txBody>
    </xdr:sp>
    <xdr:clientData/>
  </xdr:twoCellAnchor>
  <xdr:twoCellAnchor>
    <xdr:from>
      <xdr:col>17</xdr:col>
      <xdr:colOff>401053</xdr:colOff>
      <xdr:row>32</xdr:row>
      <xdr:rowOff>120316</xdr:rowOff>
    </xdr:from>
    <xdr:to>
      <xdr:col>27</xdr:col>
      <xdr:colOff>440268</xdr:colOff>
      <xdr:row>61</xdr:row>
      <xdr:rowOff>93578</xdr:rowOff>
    </xdr:to>
    <xdr:sp macro="" textlink="">
      <xdr:nvSpPr>
        <xdr:cNvPr id="28" name="Rounded Rectangle 27">
          <a:extLst>
            <a:ext uri="{FF2B5EF4-FFF2-40B4-BE49-F238E27FC236}">
              <a16:creationId xmlns:a16="http://schemas.microsoft.com/office/drawing/2014/main" id="{0D605959-58EF-0E8C-B5BA-BF4EDBE503AC}"/>
            </a:ext>
          </a:extLst>
        </xdr:cNvPr>
        <xdr:cNvSpPr/>
      </xdr:nvSpPr>
      <xdr:spPr>
        <a:xfrm>
          <a:off x="14470941" y="6513125"/>
          <a:ext cx="8315619" cy="5766745"/>
        </a:xfrm>
        <a:prstGeom prst="round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640782</xdr:colOff>
      <xdr:row>33</xdr:row>
      <xdr:rowOff>6159</xdr:rowOff>
    </xdr:from>
    <xdr:to>
      <xdr:col>27</xdr:col>
      <xdr:colOff>356741</xdr:colOff>
      <xdr:row>59</xdr:row>
      <xdr:rowOff>57079</xdr:rowOff>
    </xdr:to>
    <xdr:graphicFrame macro="">
      <xdr:nvGraphicFramePr>
        <xdr:cNvPr id="23" name="Chart 22">
          <a:extLst>
            <a:ext uri="{FF2B5EF4-FFF2-40B4-BE49-F238E27FC236}">
              <a16:creationId xmlns:a16="http://schemas.microsoft.com/office/drawing/2014/main" id="{CC4B227D-4411-F442-A780-EEE5F56ADF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240632</xdr:colOff>
      <xdr:row>32</xdr:row>
      <xdr:rowOff>93580</xdr:rowOff>
    </xdr:from>
    <xdr:to>
      <xdr:col>17</xdr:col>
      <xdr:colOff>120315</xdr:colOff>
      <xdr:row>46</xdr:row>
      <xdr:rowOff>66842</xdr:rowOff>
    </xdr:to>
    <xdr:sp macro="" textlink="">
      <xdr:nvSpPr>
        <xdr:cNvPr id="29" name="Rounded Rectangle 28">
          <a:extLst>
            <a:ext uri="{FF2B5EF4-FFF2-40B4-BE49-F238E27FC236}">
              <a16:creationId xmlns:a16="http://schemas.microsoft.com/office/drawing/2014/main" id="{8FCA0794-6824-3560-C0F3-7AA8A9B00033}"/>
            </a:ext>
          </a:extLst>
        </xdr:cNvPr>
        <xdr:cNvSpPr/>
      </xdr:nvSpPr>
      <xdr:spPr>
        <a:xfrm>
          <a:off x="10186737" y="6510422"/>
          <a:ext cx="4023894" cy="2780631"/>
        </a:xfrm>
        <a:prstGeom prst="round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320843</xdr:colOff>
      <xdr:row>33</xdr:row>
      <xdr:rowOff>187157</xdr:rowOff>
    </xdr:from>
    <xdr:to>
      <xdr:col>17</xdr:col>
      <xdr:colOff>147051</xdr:colOff>
      <xdr:row>44</xdr:row>
      <xdr:rowOff>106948</xdr:rowOff>
    </xdr:to>
    <xdr:graphicFrame macro="">
      <xdr:nvGraphicFramePr>
        <xdr:cNvPr id="27" name="Chart 26">
          <a:extLst>
            <a:ext uri="{FF2B5EF4-FFF2-40B4-BE49-F238E27FC236}">
              <a16:creationId xmlns:a16="http://schemas.microsoft.com/office/drawing/2014/main" id="{9C04BBE7-2907-3E4F-B547-CDFD68A017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245980</xdr:colOff>
      <xdr:row>47</xdr:row>
      <xdr:rowOff>131011</xdr:rowOff>
    </xdr:from>
    <xdr:to>
      <xdr:col>17</xdr:col>
      <xdr:colOff>125664</xdr:colOff>
      <xdr:row>61</xdr:row>
      <xdr:rowOff>104274</xdr:rowOff>
    </xdr:to>
    <xdr:sp macro="" textlink="">
      <xdr:nvSpPr>
        <xdr:cNvPr id="37" name="Rounded Rectangle 36">
          <a:extLst>
            <a:ext uri="{FF2B5EF4-FFF2-40B4-BE49-F238E27FC236}">
              <a16:creationId xmlns:a16="http://schemas.microsoft.com/office/drawing/2014/main" id="{4B373B95-64AA-4443-B246-8C09E23C7275}"/>
            </a:ext>
          </a:extLst>
        </xdr:cNvPr>
        <xdr:cNvSpPr/>
      </xdr:nvSpPr>
      <xdr:spPr>
        <a:xfrm>
          <a:off x="10192085" y="9555748"/>
          <a:ext cx="4023895" cy="2780631"/>
        </a:xfrm>
        <a:prstGeom prst="round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66842</xdr:colOff>
      <xdr:row>32</xdr:row>
      <xdr:rowOff>98927</xdr:rowOff>
    </xdr:from>
    <xdr:to>
      <xdr:col>11</xdr:col>
      <xdr:colOff>775369</xdr:colOff>
      <xdr:row>46</xdr:row>
      <xdr:rowOff>72189</xdr:rowOff>
    </xdr:to>
    <xdr:sp macro="" textlink="">
      <xdr:nvSpPr>
        <xdr:cNvPr id="36" name="Rounded Rectangle 35">
          <a:extLst>
            <a:ext uri="{FF2B5EF4-FFF2-40B4-BE49-F238E27FC236}">
              <a16:creationId xmlns:a16="http://schemas.microsoft.com/office/drawing/2014/main" id="{4AE1F650-BAAA-BE4F-BAB3-3515E6AD017F}"/>
            </a:ext>
          </a:extLst>
        </xdr:cNvPr>
        <xdr:cNvSpPr/>
      </xdr:nvSpPr>
      <xdr:spPr>
        <a:xfrm>
          <a:off x="5868737" y="6515769"/>
          <a:ext cx="4023895" cy="2780631"/>
        </a:xfrm>
        <a:prstGeom prst="round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307473</xdr:colOff>
      <xdr:row>32</xdr:row>
      <xdr:rowOff>160995</xdr:rowOff>
    </xdr:from>
    <xdr:to>
      <xdr:col>12</xdr:col>
      <xdr:colOff>133684</xdr:colOff>
      <xdr:row>46</xdr:row>
      <xdr:rowOff>93577</xdr:rowOff>
    </xdr:to>
    <xdr:graphicFrame macro="">
      <xdr:nvGraphicFramePr>
        <xdr:cNvPr id="22" name="Chart 21">
          <a:extLst>
            <a:ext uri="{FF2B5EF4-FFF2-40B4-BE49-F238E27FC236}">
              <a16:creationId xmlns:a16="http://schemas.microsoft.com/office/drawing/2014/main" id="{652351F4-2DB8-5F49-989E-C0349DA896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80210</xdr:colOff>
      <xdr:row>47</xdr:row>
      <xdr:rowOff>143143</xdr:rowOff>
    </xdr:from>
    <xdr:to>
      <xdr:col>11</xdr:col>
      <xdr:colOff>788737</xdr:colOff>
      <xdr:row>61</xdr:row>
      <xdr:rowOff>116406</xdr:rowOff>
    </xdr:to>
    <xdr:sp macro="" textlink="">
      <xdr:nvSpPr>
        <xdr:cNvPr id="38" name="Rounded Rectangle 37">
          <a:extLst>
            <a:ext uri="{FF2B5EF4-FFF2-40B4-BE49-F238E27FC236}">
              <a16:creationId xmlns:a16="http://schemas.microsoft.com/office/drawing/2014/main" id="{5F5D8AE0-739E-7342-879F-C67FE97AC1B3}"/>
            </a:ext>
          </a:extLst>
        </xdr:cNvPr>
        <xdr:cNvSpPr/>
      </xdr:nvSpPr>
      <xdr:spPr>
        <a:xfrm>
          <a:off x="5882105" y="9567880"/>
          <a:ext cx="4023895" cy="2780631"/>
        </a:xfrm>
        <a:prstGeom prst="round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187158</xdr:colOff>
      <xdr:row>47</xdr:row>
      <xdr:rowOff>160423</xdr:rowOff>
    </xdr:from>
    <xdr:to>
      <xdr:col>11</xdr:col>
      <xdr:colOff>658785</xdr:colOff>
      <xdr:row>61</xdr:row>
      <xdr:rowOff>65009</xdr:rowOff>
    </xdr:to>
    <xdr:graphicFrame macro="">
      <xdr:nvGraphicFramePr>
        <xdr:cNvPr id="25" name="Chart 24">
          <a:extLst>
            <a:ext uri="{FF2B5EF4-FFF2-40B4-BE49-F238E27FC236}">
              <a16:creationId xmlns:a16="http://schemas.microsoft.com/office/drawing/2014/main" id="{95CBD3AB-6071-4C4C-9E50-B8D8D77049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12</xdr:col>
      <xdr:colOff>320843</xdr:colOff>
      <xdr:row>48</xdr:row>
      <xdr:rowOff>40105</xdr:rowOff>
    </xdr:from>
    <xdr:to>
      <xdr:col>17</xdr:col>
      <xdr:colOff>133684</xdr:colOff>
      <xdr:row>60</xdr:row>
      <xdr:rowOff>160421</xdr:rowOff>
    </xdr:to>
    <xdr:graphicFrame macro="">
      <xdr:nvGraphicFramePr>
        <xdr:cNvPr id="26" name="Chart 25">
          <a:extLst>
            <a:ext uri="{FF2B5EF4-FFF2-40B4-BE49-F238E27FC236}">
              <a16:creationId xmlns:a16="http://schemas.microsoft.com/office/drawing/2014/main" id="{5150C343-F8B6-F343-96AF-A2DEE2F910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12</xdr:col>
      <xdr:colOff>702115</xdr:colOff>
      <xdr:row>44</xdr:row>
      <xdr:rowOff>134229</xdr:rowOff>
    </xdr:from>
    <xdr:to>
      <xdr:col>16</xdr:col>
      <xdr:colOff>474961</xdr:colOff>
      <xdr:row>46</xdr:row>
      <xdr:rowOff>30976</xdr:rowOff>
    </xdr:to>
    <xdr:sp macro="" textlink="">
      <xdr:nvSpPr>
        <xdr:cNvPr id="39" name="TextBox 38">
          <a:extLst>
            <a:ext uri="{FF2B5EF4-FFF2-40B4-BE49-F238E27FC236}">
              <a16:creationId xmlns:a16="http://schemas.microsoft.com/office/drawing/2014/main" id="{5F5464C4-6F3E-2185-4685-B450A7C42D08}"/>
            </a:ext>
          </a:extLst>
        </xdr:cNvPr>
        <xdr:cNvSpPr txBox="1"/>
      </xdr:nvSpPr>
      <xdr:spPr>
        <a:xfrm>
          <a:off x="10614310" y="9220408"/>
          <a:ext cx="3076911" cy="3097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PH" sz="1400" b="1">
              <a:solidFill>
                <a:schemeClr val="accent1">
                  <a:lumMod val="20000"/>
                  <a:lumOff val="80000"/>
                </a:schemeClr>
              </a:solidFill>
            </a:rPr>
            <a:t>Top 5 Products by Total Sales</a:t>
          </a:r>
          <a:endParaRPr lang="en-US" sz="1400" b="1">
            <a:solidFill>
              <a:schemeClr val="accent1">
                <a:lumMod val="20000"/>
                <a:lumOff val="80000"/>
              </a:schemeClr>
            </a:solidFill>
          </a:endParaRPr>
        </a:p>
      </xdr:txBody>
    </xdr:sp>
    <xdr:clientData/>
  </xdr:twoCellAnchor>
  <xdr:twoCellAnchor>
    <xdr:from>
      <xdr:col>7</xdr:col>
      <xdr:colOff>681464</xdr:colOff>
      <xdr:row>44</xdr:row>
      <xdr:rowOff>165203</xdr:rowOff>
    </xdr:from>
    <xdr:to>
      <xdr:col>11</xdr:col>
      <xdr:colOff>10325</xdr:colOff>
      <xdr:row>46</xdr:row>
      <xdr:rowOff>61952</xdr:rowOff>
    </xdr:to>
    <xdr:sp macro="" textlink="">
      <xdr:nvSpPr>
        <xdr:cNvPr id="40" name="TextBox 39">
          <a:extLst>
            <a:ext uri="{FF2B5EF4-FFF2-40B4-BE49-F238E27FC236}">
              <a16:creationId xmlns:a16="http://schemas.microsoft.com/office/drawing/2014/main" id="{A89EFD48-5586-4E04-BB99-5F14A4266F6C}"/>
            </a:ext>
          </a:extLst>
        </xdr:cNvPr>
        <xdr:cNvSpPr txBox="1"/>
      </xdr:nvSpPr>
      <xdr:spPr>
        <a:xfrm>
          <a:off x="6463578" y="9251382"/>
          <a:ext cx="2632926" cy="3097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PH" sz="1400" b="1">
              <a:solidFill>
                <a:schemeClr val="accent1">
                  <a:lumMod val="20000"/>
                  <a:lumOff val="80000"/>
                </a:schemeClr>
              </a:solidFill>
            </a:rPr>
            <a:t>Sales Performance by Category</a:t>
          </a:r>
          <a:endParaRPr lang="en-US" sz="1400" b="1">
            <a:solidFill>
              <a:schemeClr val="accent1">
                <a:lumMod val="20000"/>
                <a:lumOff val="80000"/>
              </a:schemeClr>
            </a:solidFill>
          </a:endParaRPr>
        </a:p>
      </xdr:txBody>
    </xdr:sp>
    <xdr:clientData/>
  </xdr:twoCellAnchor>
  <xdr:twoCellAnchor>
    <xdr:from>
      <xdr:col>7</xdr:col>
      <xdr:colOff>505935</xdr:colOff>
      <xdr:row>60</xdr:row>
      <xdr:rowOff>51626</xdr:rowOff>
    </xdr:from>
    <xdr:to>
      <xdr:col>11</xdr:col>
      <xdr:colOff>103252</xdr:colOff>
      <xdr:row>61</xdr:row>
      <xdr:rowOff>72276</xdr:rowOff>
    </xdr:to>
    <xdr:sp macro="" textlink="">
      <xdr:nvSpPr>
        <xdr:cNvPr id="41" name="TextBox 40">
          <a:extLst>
            <a:ext uri="{FF2B5EF4-FFF2-40B4-BE49-F238E27FC236}">
              <a16:creationId xmlns:a16="http://schemas.microsoft.com/office/drawing/2014/main" id="{CDFC6367-0313-F4D3-A557-FDD4F6229110}"/>
            </a:ext>
          </a:extLst>
        </xdr:cNvPr>
        <xdr:cNvSpPr txBox="1"/>
      </xdr:nvSpPr>
      <xdr:spPr>
        <a:xfrm>
          <a:off x="6288049" y="12441870"/>
          <a:ext cx="2901382" cy="2271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PH" sz="1400" b="1">
              <a:solidFill>
                <a:schemeClr val="accent1">
                  <a:lumMod val="20000"/>
                  <a:lumOff val="80000"/>
                </a:schemeClr>
              </a:solidFill>
            </a:rPr>
            <a:t>Top 5 Products by Quantity Sold</a:t>
          </a:r>
          <a:endParaRPr lang="en-US" sz="1400" b="1">
            <a:solidFill>
              <a:schemeClr val="accent1">
                <a:lumMod val="20000"/>
                <a:lumOff val="80000"/>
              </a:schemeClr>
            </a:solidFill>
          </a:endParaRPr>
        </a:p>
      </xdr:txBody>
    </xdr:sp>
    <xdr:clientData/>
  </xdr:twoCellAnchor>
  <xdr:twoCellAnchor>
    <xdr:from>
      <xdr:col>12</xdr:col>
      <xdr:colOff>474959</xdr:colOff>
      <xdr:row>59</xdr:row>
      <xdr:rowOff>185854</xdr:rowOff>
    </xdr:from>
    <xdr:to>
      <xdr:col>16</xdr:col>
      <xdr:colOff>629837</xdr:colOff>
      <xdr:row>61</xdr:row>
      <xdr:rowOff>72277</xdr:rowOff>
    </xdr:to>
    <xdr:sp macro="" textlink="">
      <xdr:nvSpPr>
        <xdr:cNvPr id="42" name="TextBox 41">
          <a:extLst>
            <a:ext uri="{FF2B5EF4-FFF2-40B4-BE49-F238E27FC236}">
              <a16:creationId xmlns:a16="http://schemas.microsoft.com/office/drawing/2014/main" id="{443B993D-B847-9492-D114-91DC68F7D71E}"/>
            </a:ext>
          </a:extLst>
        </xdr:cNvPr>
        <xdr:cNvSpPr txBox="1"/>
      </xdr:nvSpPr>
      <xdr:spPr>
        <a:xfrm>
          <a:off x="10387154" y="12369594"/>
          <a:ext cx="3458943" cy="2994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PH" sz="1400" b="1">
              <a:solidFill>
                <a:schemeClr val="accent1">
                  <a:lumMod val="20000"/>
                  <a:lumOff val="80000"/>
                </a:schemeClr>
              </a:solidFill>
            </a:rPr>
            <a:t>Least</a:t>
          </a:r>
          <a:r>
            <a:rPr lang="en-PH" sz="1400" b="1" baseline="0">
              <a:solidFill>
                <a:schemeClr val="accent1">
                  <a:lumMod val="20000"/>
                  <a:lumOff val="80000"/>
                </a:schemeClr>
              </a:solidFill>
            </a:rPr>
            <a:t>  </a:t>
          </a:r>
          <a:r>
            <a:rPr lang="en-PH" sz="1400" b="1">
              <a:solidFill>
                <a:schemeClr val="accent1">
                  <a:lumMod val="20000"/>
                  <a:lumOff val="80000"/>
                </a:schemeClr>
              </a:solidFill>
            </a:rPr>
            <a:t>5 Products by Quantity Sold</a:t>
          </a:r>
          <a:endParaRPr lang="en-US" sz="1400" b="1">
            <a:solidFill>
              <a:schemeClr val="accent1">
                <a:lumMod val="20000"/>
                <a:lumOff val="80000"/>
              </a:schemeClr>
            </a:solidFill>
          </a:endParaRPr>
        </a:p>
        <a:p>
          <a:endParaRPr lang="en-US" sz="1400"/>
        </a:p>
      </xdr:txBody>
    </xdr:sp>
    <xdr:clientData/>
  </xdr:twoCellAnchor>
  <xdr:twoCellAnchor>
    <xdr:from>
      <xdr:col>20</xdr:col>
      <xdr:colOff>28539</xdr:colOff>
      <xdr:row>59</xdr:row>
      <xdr:rowOff>99887</xdr:rowOff>
    </xdr:from>
    <xdr:to>
      <xdr:col>24</xdr:col>
      <xdr:colOff>670674</xdr:colOff>
      <xdr:row>60</xdr:row>
      <xdr:rowOff>185505</xdr:rowOff>
    </xdr:to>
    <xdr:sp macro="" textlink="">
      <xdr:nvSpPr>
        <xdr:cNvPr id="43" name="TextBox 42">
          <a:extLst>
            <a:ext uri="{FF2B5EF4-FFF2-40B4-BE49-F238E27FC236}">
              <a16:creationId xmlns:a16="http://schemas.microsoft.com/office/drawing/2014/main" id="{940E71B2-DBA2-7C8F-BFB5-5B8FB686A7E7}"/>
            </a:ext>
          </a:extLst>
        </xdr:cNvPr>
        <xdr:cNvSpPr txBox="1"/>
      </xdr:nvSpPr>
      <xdr:spPr>
        <a:xfrm>
          <a:off x="16581348" y="11886629"/>
          <a:ext cx="3952697" cy="2853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PH" sz="1400" b="1">
              <a:solidFill>
                <a:schemeClr val="accent1">
                  <a:lumMod val="20000"/>
                  <a:lumOff val="80000"/>
                </a:schemeClr>
              </a:solidFill>
            </a:rPr>
            <a:t>Sales Contribution per Product</a:t>
          </a:r>
          <a:endParaRPr lang="en-US" sz="1400" b="1">
            <a:solidFill>
              <a:schemeClr val="accent1">
                <a:lumMod val="20000"/>
                <a:lumOff val="80000"/>
              </a:schemeClr>
            </a:solidFill>
          </a:endParaRPr>
        </a:p>
      </xdr:txBody>
    </xdr:sp>
    <xdr:clientData/>
  </xdr:twoCellAnchor>
  <xdr:twoCellAnchor>
    <xdr:from>
      <xdr:col>3</xdr:col>
      <xdr:colOff>472558</xdr:colOff>
      <xdr:row>31</xdr:row>
      <xdr:rowOff>116171</xdr:rowOff>
    </xdr:from>
    <xdr:to>
      <xdr:col>6</xdr:col>
      <xdr:colOff>620233</xdr:colOff>
      <xdr:row>45</xdr:row>
      <xdr:rowOff>86636</xdr:rowOff>
    </xdr:to>
    <xdr:sp macro="" textlink="">
      <xdr:nvSpPr>
        <xdr:cNvPr id="44" name="Rounded Rectangle 43">
          <a:extLst>
            <a:ext uri="{FF2B5EF4-FFF2-40B4-BE49-F238E27FC236}">
              <a16:creationId xmlns:a16="http://schemas.microsoft.com/office/drawing/2014/main" id="{577CFE39-33F9-C129-DE3B-089446F74A3F}"/>
            </a:ext>
          </a:extLst>
        </xdr:cNvPr>
        <xdr:cNvSpPr/>
      </xdr:nvSpPr>
      <xdr:spPr>
        <a:xfrm>
          <a:off x="2970225" y="6240393"/>
          <a:ext cx="2645341" cy="2736243"/>
        </a:xfrm>
        <a:prstGeom prst="round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437444</xdr:colOff>
      <xdr:row>34</xdr:row>
      <xdr:rowOff>155222</xdr:rowOff>
    </xdr:from>
    <xdr:to>
      <xdr:col>6</xdr:col>
      <xdr:colOff>592667</xdr:colOff>
      <xdr:row>45</xdr:row>
      <xdr:rowOff>56444</xdr:rowOff>
    </xdr:to>
    <xdr:sp macro="" textlink="">
      <xdr:nvSpPr>
        <xdr:cNvPr id="46" name="TextBox 45">
          <a:extLst>
            <a:ext uri="{FF2B5EF4-FFF2-40B4-BE49-F238E27FC236}">
              <a16:creationId xmlns:a16="http://schemas.microsoft.com/office/drawing/2014/main" id="{3744EDD3-CF11-2958-62F4-0A2787CABFF9}"/>
            </a:ext>
          </a:extLst>
        </xdr:cNvPr>
        <xdr:cNvSpPr txBox="1"/>
      </xdr:nvSpPr>
      <xdr:spPr>
        <a:xfrm>
          <a:off x="2935111" y="6872111"/>
          <a:ext cx="2652889" cy="20743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PH" sz="1500" b="1">
              <a:ln>
                <a:noFill/>
              </a:ln>
              <a:solidFill>
                <a:schemeClr val="bg1"/>
              </a:solidFill>
            </a:rPr>
            <a:t>The </a:t>
          </a:r>
          <a:r>
            <a:rPr lang="en-PH" sz="1600" b="1">
              <a:ln>
                <a:noFill/>
              </a:ln>
              <a:solidFill>
                <a:schemeClr val="accent2">
                  <a:lumMod val="60000"/>
                  <a:lumOff val="40000"/>
                </a:schemeClr>
              </a:solidFill>
            </a:rPr>
            <a:t>Cake</a:t>
          </a:r>
          <a:r>
            <a:rPr lang="en-PH" sz="1500" b="1">
              <a:ln>
                <a:noFill/>
              </a:ln>
              <a:solidFill>
                <a:schemeClr val="bg1"/>
              </a:solidFill>
            </a:rPr>
            <a:t> category achieved the highest sales, led by </a:t>
          </a:r>
          <a:r>
            <a:rPr lang="en-PH" sz="1600" b="1">
              <a:ln>
                <a:noFill/>
              </a:ln>
              <a:solidFill>
                <a:schemeClr val="accent2">
                  <a:lumMod val="60000"/>
                  <a:lumOff val="40000"/>
                </a:schemeClr>
              </a:solidFill>
            </a:rPr>
            <a:t>Customized Cake </a:t>
          </a:r>
          <a:r>
            <a:rPr lang="en-PH" sz="1500" b="1">
              <a:ln>
                <a:noFill/>
              </a:ln>
              <a:solidFill>
                <a:schemeClr val="bg1"/>
              </a:solidFill>
            </a:rPr>
            <a:t>as the top product, while </a:t>
          </a:r>
          <a:r>
            <a:rPr lang="en-PH" sz="1600" b="1">
              <a:ln>
                <a:noFill/>
              </a:ln>
              <a:solidFill>
                <a:schemeClr val="accent2">
                  <a:lumMod val="60000"/>
                  <a:lumOff val="40000"/>
                </a:schemeClr>
              </a:solidFill>
            </a:rPr>
            <a:t>Chocolate Chip Cookie </a:t>
          </a:r>
          <a:r>
            <a:rPr lang="en-PH" sz="1500" b="1">
              <a:ln>
                <a:noFill/>
              </a:ln>
              <a:solidFill>
                <a:schemeClr val="bg1"/>
              </a:solidFill>
            </a:rPr>
            <a:t>recorded the highest quantity sold and </a:t>
          </a:r>
          <a:r>
            <a:rPr lang="en-PH" sz="1600" b="1">
              <a:ln>
                <a:noFill/>
              </a:ln>
              <a:solidFill>
                <a:schemeClr val="accent2">
                  <a:lumMod val="60000"/>
                  <a:lumOff val="40000"/>
                </a:schemeClr>
              </a:solidFill>
            </a:rPr>
            <a:t>Croissant</a:t>
          </a:r>
          <a:r>
            <a:rPr lang="en-PH" sz="1500" b="1">
              <a:ln>
                <a:noFill/>
              </a:ln>
              <a:solidFill>
                <a:schemeClr val="bg1"/>
              </a:solidFill>
            </a:rPr>
            <a:t> registered the lowest.</a:t>
          </a:r>
          <a:endParaRPr lang="en-US" sz="1500" b="1">
            <a:ln>
              <a:noFill/>
            </a:ln>
            <a:solidFill>
              <a:schemeClr val="bg1"/>
            </a:solidFill>
          </a:endParaRPr>
        </a:p>
      </xdr:txBody>
    </xdr:sp>
    <xdr:clientData/>
  </xdr:twoCellAnchor>
  <xdr:twoCellAnchor>
    <xdr:from>
      <xdr:col>3</xdr:col>
      <xdr:colOff>451556</xdr:colOff>
      <xdr:row>32</xdr:row>
      <xdr:rowOff>112890</xdr:rowOff>
    </xdr:from>
    <xdr:to>
      <xdr:col>6</xdr:col>
      <xdr:colOff>649112</xdr:colOff>
      <xdr:row>35</xdr:row>
      <xdr:rowOff>141114</xdr:rowOff>
    </xdr:to>
    <xdr:sp macro="" textlink="">
      <xdr:nvSpPr>
        <xdr:cNvPr id="49" name="TextBox 48">
          <a:extLst>
            <a:ext uri="{FF2B5EF4-FFF2-40B4-BE49-F238E27FC236}">
              <a16:creationId xmlns:a16="http://schemas.microsoft.com/office/drawing/2014/main" id="{4AE8FA57-B60A-FC47-DA63-4A0D92A8876B}"/>
            </a:ext>
          </a:extLst>
        </xdr:cNvPr>
        <xdr:cNvSpPr txBox="1"/>
      </xdr:nvSpPr>
      <xdr:spPr>
        <a:xfrm>
          <a:off x="2949223" y="6434668"/>
          <a:ext cx="2695222" cy="6208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cap="none" spc="0">
              <a:ln w="12700" cmpd="sng">
                <a:solidFill>
                  <a:schemeClr val="accent4"/>
                </a:solidFill>
                <a:prstDash val="solid"/>
              </a:ln>
              <a:gradFill>
                <a:gsLst>
                  <a:gs pos="0">
                    <a:schemeClr val="accent4"/>
                  </a:gs>
                  <a:gs pos="4000">
                    <a:schemeClr val="accent4">
                      <a:lumMod val="60000"/>
                      <a:lumOff val="40000"/>
                    </a:schemeClr>
                  </a:gs>
                  <a:gs pos="87000">
                    <a:schemeClr val="accent4">
                      <a:lumMod val="20000"/>
                      <a:lumOff val="80000"/>
                    </a:schemeClr>
                  </a:gs>
                </a:gsLst>
                <a:lin ang="5400000"/>
              </a:gradFill>
              <a:effectLst/>
              <a:latin typeface="Apple Braille" pitchFamily="2" charset="0"/>
            </a:rPr>
            <a:t>BEST</a:t>
          </a:r>
          <a:r>
            <a:rPr lang="en-US" sz="1600" b="1" cap="none" spc="0" baseline="0">
              <a:ln w="12700" cmpd="sng">
                <a:solidFill>
                  <a:schemeClr val="accent4"/>
                </a:solidFill>
                <a:prstDash val="solid"/>
              </a:ln>
              <a:gradFill>
                <a:gsLst>
                  <a:gs pos="0">
                    <a:schemeClr val="accent4"/>
                  </a:gs>
                  <a:gs pos="4000">
                    <a:schemeClr val="accent4">
                      <a:lumMod val="60000"/>
                      <a:lumOff val="40000"/>
                    </a:schemeClr>
                  </a:gs>
                  <a:gs pos="87000">
                    <a:schemeClr val="accent4">
                      <a:lumMod val="20000"/>
                      <a:lumOff val="80000"/>
                    </a:schemeClr>
                  </a:gs>
                </a:gsLst>
                <a:lin ang="5400000"/>
              </a:gradFill>
              <a:effectLst/>
              <a:latin typeface="Apple Braille" pitchFamily="2" charset="0"/>
            </a:rPr>
            <a:t> AND WORST PRODUCTS</a:t>
          </a:r>
          <a:endParaRPr lang="en-US" sz="1600" b="1" cap="none" spc="0">
            <a:ln w="12700" cmpd="sng">
              <a:solidFill>
                <a:schemeClr val="accent4"/>
              </a:solidFill>
              <a:prstDash val="solid"/>
            </a:ln>
            <a:gradFill>
              <a:gsLst>
                <a:gs pos="0">
                  <a:schemeClr val="accent4"/>
                </a:gs>
                <a:gs pos="4000">
                  <a:schemeClr val="accent4">
                    <a:lumMod val="60000"/>
                    <a:lumOff val="40000"/>
                  </a:schemeClr>
                </a:gs>
                <a:gs pos="87000">
                  <a:schemeClr val="accent4">
                    <a:lumMod val="20000"/>
                    <a:lumOff val="80000"/>
                  </a:schemeClr>
                </a:gs>
              </a:gsLst>
              <a:lin ang="5400000"/>
            </a:gradFill>
            <a:effectLst/>
            <a:latin typeface="Apple Braille" pitchFamily="2" charset="0"/>
          </a:endParaRPr>
        </a:p>
      </xdr:txBody>
    </xdr:sp>
    <xdr:clientData/>
  </xdr:twoCellAnchor>
  <xdr:twoCellAnchor>
    <xdr:from>
      <xdr:col>3</xdr:col>
      <xdr:colOff>479778</xdr:colOff>
      <xdr:row>46</xdr:row>
      <xdr:rowOff>112889</xdr:rowOff>
    </xdr:from>
    <xdr:to>
      <xdr:col>6</xdr:col>
      <xdr:colOff>620890</xdr:colOff>
      <xdr:row>61</xdr:row>
      <xdr:rowOff>141112</xdr:rowOff>
    </xdr:to>
    <xdr:sp macro="" textlink="">
      <xdr:nvSpPr>
        <xdr:cNvPr id="51" name="Rounded Rectangle 50">
          <a:extLst>
            <a:ext uri="{FF2B5EF4-FFF2-40B4-BE49-F238E27FC236}">
              <a16:creationId xmlns:a16="http://schemas.microsoft.com/office/drawing/2014/main" id="{079469C0-A31A-7B7F-E629-AA604FAE9CC3}"/>
            </a:ext>
          </a:extLst>
        </xdr:cNvPr>
        <xdr:cNvSpPr/>
      </xdr:nvSpPr>
      <xdr:spPr>
        <a:xfrm>
          <a:off x="2977445" y="9200445"/>
          <a:ext cx="2638778" cy="2991556"/>
        </a:xfrm>
        <a:prstGeom prst="round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3</xdr:col>
      <xdr:colOff>705556</xdr:colOff>
      <xdr:row>47</xdr:row>
      <xdr:rowOff>183444</xdr:rowOff>
    </xdr:from>
    <xdr:to>
      <xdr:col>6</xdr:col>
      <xdr:colOff>379590</xdr:colOff>
      <xdr:row>60</xdr:row>
      <xdr:rowOff>42334</xdr:rowOff>
    </xdr:to>
    <mc:AlternateContent xmlns:mc="http://schemas.openxmlformats.org/markup-compatibility/2006" xmlns:a14="http://schemas.microsoft.com/office/drawing/2010/main">
      <mc:Choice Requires="a14">
        <xdr:graphicFrame macro="">
          <xdr:nvGraphicFramePr>
            <xdr:cNvPr id="50" name="order_month 1">
              <a:extLst>
                <a:ext uri="{FF2B5EF4-FFF2-40B4-BE49-F238E27FC236}">
                  <a16:creationId xmlns:a16="http://schemas.microsoft.com/office/drawing/2014/main" id="{404F2A64-323F-FF41-880B-37D60AD433C4}"/>
                </a:ext>
              </a:extLst>
            </xdr:cNvPr>
            <xdr:cNvGraphicFramePr/>
          </xdr:nvGraphicFramePr>
          <xdr:xfrm>
            <a:off x="0" y="0"/>
            <a:ext cx="0" cy="0"/>
          </xdr:xfrm>
          <a:graphic>
            <a:graphicData uri="http://schemas.microsoft.com/office/drawing/2010/slicer">
              <sle:slicer xmlns:sle="http://schemas.microsoft.com/office/drawing/2010/slicer" name="order_month 1"/>
            </a:graphicData>
          </a:graphic>
        </xdr:graphicFrame>
      </mc:Choice>
      <mc:Fallback xmlns="">
        <xdr:sp macro="" textlink="">
          <xdr:nvSpPr>
            <xdr:cNvPr id="0" name=""/>
            <xdr:cNvSpPr>
              <a:spLocks noTextEdit="1"/>
            </xdr:cNvSpPr>
          </xdr:nvSpPr>
          <xdr:spPr>
            <a:xfrm>
              <a:off x="3188477" y="9572882"/>
              <a:ext cx="2156956" cy="24559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cbookair" refreshedDate="45963.516390393517" createdVersion="8" refreshedVersion="8" minRefreshableVersion="3" recordCount="4749" xr:uid="{4FA5AC15-DA70-334F-A123-D52ECDA4AFC2}">
  <cacheSource type="worksheet">
    <worksheetSource name="Table1"/>
  </cacheSource>
  <cacheFields count="15">
    <cacheField name="id" numFmtId="0">
      <sharedItems containsSemiMixedTypes="0" containsString="0" containsNumber="1" containsInteger="1" minValue="1" maxValue="4749"/>
    </cacheField>
    <cacheField name="order_id" numFmtId="0">
      <sharedItems containsSemiMixedTypes="0" containsString="0" containsNumber="1" containsInteger="1" minValue="1000" maxValue="3382"/>
    </cacheField>
    <cacheField name="total_orders" numFmtId="0">
      <sharedItems containsSemiMixedTypes="0" containsString="0" containsNumber="1" minValue="0.33333333333333331" maxValue="1"/>
    </cacheField>
    <cacheField name="order_month" numFmtId="0">
      <sharedItems count="12">
        <s v="January"/>
        <s v="February"/>
        <s v="March"/>
        <s v="April"/>
        <s v="May"/>
        <s v="June"/>
        <s v="July"/>
        <s v="August"/>
        <s v="September"/>
        <s v="October"/>
        <s v="November"/>
        <s v="December"/>
      </sharedItems>
    </cacheField>
    <cacheField name="order_date" numFmtId="14">
      <sharedItems containsSemiMixedTypes="0" containsNonDate="0" containsDate="1" containsString="0" minDate="2024-01-01T00:00:00" maxDate="2025-01-01T00:00:00"/>
    </cacheField>
    <cacheField name="order_day" numFmtId="14">
      <sharedItems count="7">
        <s v="Monday"/>
        <s v="Tuesday"/>
        <s v="Wednesday"/>
        <s v="Thursday"/>
        <s v="Friday"/>
        <s v="Saturday"/>
        <s v="Sunday"/>
      </sharedItems>
    </cacheField>
    <cacheField name="Hour" numFmtId="0">
      <sharedItems containsSemiMixedTypes="0" containsString="0" containsNumber="1" containsInteger="1" minValue="9" maxValue="20"/>
    </cacheField>
    <cacheField name="order_time" numFmtId="21">
      <sharedItems containsSemiMixedTypes="0" containsNonDate="0" containsDate="1" containsString="0" minDate="1899-12-30T09:00:01" maxDate="1899-12-30T20:59:57" count="4488">
        <d v="1899-12-30T11:06:30"/>
        <d v="1899-12-30T20:34:49"/>
        <d v="1899-12-30T14:47:00"/>
        <d v="1899-12-30T11:16:01"/>
        <d v="1899-12-30T12:05:27"/>
        <d v="1899-12-30T16:03:03"/>
        <d v="1899-12-30T18:01:16"/>
        <d v="1899-12-30T11:47:58"/>
        <d v="1899-12-30T09:23:55"/>
        <d v="1899-12-30T15:37:59"/>
        <d v="1899-12-30T19:37:06"/>
        <d v="1899-12-30T17:32:00"/>
        <d v="1899-12-30T16:21:15"/>
        <d v="1899-12-30T11:24:53"/>
        <d v="1899-12-30T12:17:39"/>
        <d v="1899-12-30T09:05:47"/>
        <d v="1899-12-30T17:23:50"/>
        <d v="1899-12-30T10:45:18"/>
        <d v="1899-12-30T15:57:31"/>
        <d v="1899-12-30T16:04:46"/>
        <d v="1899-12-30T10:30:07"/>
        <d v="1899-12-30T19:37:27"/>
        <d v="1899-12-30T09:04:49"/>
        <d v="1899-12-30T13:29:05"/>
        <d v="1899-12-30T19:20:35"/>
        <d v="1899-12-30T17:56:05"/>
        <d v="1899-12-30T19:15:56"/>
        <d v="1899-12-30T18:07:42"/>
        <d v="1899-12-30T19:15:00"/>
        <d v="1899-12-30T20:24:10"/>
        <d v="1899-12-30T15:24:05"/>
        <d v="1899-12-30T18:22:47"/>
        <d v="1899-12-30T17:39:12"/>
        <d v="1899-12-30T15:20:12"/>
        <d v="1899-12-30T13:22:01"/>
        <d v="1899-12-30T17:30:35"/>
        <d v="1899-12-30T16:19:48"/>
        <d v="1899-12-30T11:21:04"/>
        <d v="1899-12-30T18:43:05"/>
        <d v="1899-12-30T20:10:04"/>
        <d v="1899-12-30T12:34:29"/>
        <d v="1899-12-30T09:50:15"/>
        <d v="1899-12-30T16:38:50"/>
        <d v="1899-12-30T16:47:29"/>
        <d v="1899-12-30T19:06:01"/>
        <d v="1899-12-30T09:30:08"/>
        <d v="1899-12-30T20:00:12"/>
        <d v="1899-12-30T18:19:44"/>
        <d v="1899-12-30T18:32:55"/>
        <d v="1899-12-30T20:58:08"/>
        <d v="1899-12-30T18:45:16"/>
        <d v="1899-12-30T14:55:59"/>
        <d v="1899-12-30T15:47:12"/>
        <d v="1899-12-30T15:54:06"/>
        <d v="1899-12-30T09:22:27"/>
        <d v="1899-12-30T10:42:41"/>
        <d v="1899-12-30T12:44:55"/>
        <d v="1899-12-30T09:32:11"/>
        <d v="1899-12-30T20:40:11"/>
        <d v="1899-12-30T10:06:33"/>
        <d v="1899-12-30T12:42:46"/>
        <d v="1899-12-30T18:36:13"/>
        <d v="1899-12-30T12:33:51"/>
        <d v="1899-12-30T15:52:59"/>
        <d v="1899-12-30T17:09:35"/>
        <d v="1899-12-30T10:17:15"/>
        <d v="1899-12-30T11:34:15"/>
        <d v="1899-12-30T17:49:28"/>
        <d v="1899-12-30T09:29:26"/>
        <d v="1899-12-30T13:18:26"/>
        <d v="1899-12-30T12:41:22"/>
        <d v="1899-12-30T13:01:44"/>
        <d v="1899-12-30T11:36:02"/>
        <d v="1899-12-30T11:50:53"/>
        <d v="1899-12-30T18:35:02"/>
        <d v="1899-12-30T18:35:49"/>
        <d v="1899-12-30T19:43:38"/>
        <d v="1899-12-30T14:48:32"/>
        <d v="1899-12-30T09:49:15"/>
        <d v="1899-12-30T14:17:20"/>
        <d v="1899-12-30T12:41:48"/>
        <d v="1899-12-30T14:43:28"/>
        <d v="1899-12-30T10:58:30"/>
        <d v="1899-12-30T20:18:19"/>
        <d v="1899-12-30T17:42:17"/>
        <d v="1899-12-30T20:22:30"/>
        <d v="1899-12-30T09:24:07"/>
        <d v="1899-12-30T11:10:42"/>
        <d v="1899-12-30T09:24:58"/>
        <d v="1899-12-30T11:56:48"/>
        <d v="1899-12-30T19:19:18"/>
        <d v="1899-12-30T17:51:18"/>
        <d v="1899-12-30T10:31:18"/>
        <d v="1899-12-30T15:33:08"/>
        <d v="1899-12-30T18:44:43"/>
        <d v="1899-12-30T19:30:14"/>
        <d v="1899-12-30T14:39:44"/>
        <d v="1899-12-30T13:27:28"/>
        <d v="1899-12-30T13:59:00"/>
        <d v="1899-12-30T14:21:50"/>
        <d v="1899-12-30T12:12:52"/>
        <d v="1899-12-30T16:46:08"/>
        <d v="1899-12-30T15:44:14"/>
        <d v="1899-12-30T14:15:47"/>
        <d v="1899-12-30T15:57:07"/>
        <d v="1899-12-30T11:24:13"/>
        <d v="1899-12-30T16:44:50"/>
        <d v="1899-12-30T17:44:35"/>
        <d v="1899-12-30T09:23:53"/>
        <d v="1899-12-30T20:44:05"/>
        <d v="1899-12-30T11:30:10"/>
        <d v="1899-12-30T09:05:49"/>
        <d v="1899-12-30T16:51:45"/>
        <d v="1899-12-30T10:52:32"/>
        <d v="1899-12-30T19:22:57"/>
        <d v="1899-12-30T18:17:33"/>
        <d v="1899-12-30T11:29:26"/>
        <d v="1899-12-30T18:16:27"/>
        <d v="1899-12-30T17:51:44"/>
        <d v="1899-12-30T16:14:53"/>
        <d v="1899-12-30T16:07:19"/>
        <d v="1899-12-30T13:43:47"/>
        <d v="1899-12-30T17:01:28"/>
        <d v="1899-12-30T12:27:28"/>
        <d v="1899-12-30T14:22:17"/>
        <d v="1899-12-30T12:37:43"/>
        <d v="1899-12-30T13:43:06"/>
        <d v="1899-12-30T15:05:13"/>
        <d v="1899-12-30T11:15:23"/>
        <d v="1899-12-30T11:56:32"/>
        <d v="1899-12-30T14:16:46"/>
        <d v="1899-12-30T13:09:04"/>
        <d v="1899-12-30T15:45:00"/>
        <d v="1899-12-30T19:28:36"/>
        <d v="1899-12-30T19:59:12"/>
        <d v="1899-12-30T17:38:02"/>
        <d v="1899-12-30T16:42:57"/>
        <d v="1899-12-30T09:06:57"/>
        <d v="1899-12-30T13:00:32"/>
        <d v="1899-12-30T14:50:43"/>
        <d v="1899-12-30T16:18:55"/>
        <d v="1899-12-30T20:46:53"/>
        <d v="1899-12-30T09:23:19"/>
        <d v="1899-12-30T17:53:42"/>
        <d v="1899-12-30T09:48:53"/>
        <d v="1899-12-30T13:30:18"/>
        <d v="1899-12-30T17:36:47"/>
        <d v="1899-12-30T19:28:55"/>
        <d v="1899-12-30T19:32:42"/>
        <d v="1899-12-30T20:29:55"/>
        <d v="1899-12-30T17:35:55"/>
        <d v="1899-12-30T18:49:26"/>
        <d v="1899-12-30T17:43:56"/>
        <d v="1899-12-30T10:11:59"/>
        <d v="1899-12-30T11:05:52"/>
        <d v="1899-12-30T09:11:58"/>
        <d v="1899-12-30T16:41:02"/>
        <d v="1899-12-30T12:50:54"/>
        <d v="1899-12-30T09:03:24"/>
        <d v="1899-12-30T19:26:17"/>
        <d v="1899-12-30T17:54:23"/>
        <d v="1899-12-30T19:37:12"/>
        <d v="1899-12-30T20:45:46"/>
        <d v="1899-12-30T13:43:50"/>
        <d v="1899-12-30T19:24:53"/>
        <d v="1899-12-30T14:20:42"/>
        <d v="1899-12-30T18:12:26"/>
        <d v="1899-12-30T13:06:23"/>
        <d v="1899-12-30T11:10:18"/>
        <d v="1899-12-30T14:03:04"/>
        <d v="1899-12-30T12:56:47"/>
        <d v="1899-12-30T18:40:43"/>
        <d v="1899-12-30T17:57:07"/>
        <d v="1899-12-30T12:20:02"/>
        <d v="1899-12-30T18:05:25"/>
        <d v="1899-12-30T18:21:14"/>
        <d v="1899-12-30T14:39:30"/>
        <d v="1899-12-30T10:51:18"/>
        <d v="1899-12-30T20:41:39"/>
        <d v="1899-12-30T18:29:38"/>
        <d v="1899-12-30T12:01:42"/>
        <d v="1899-12-30T10:22:17"/>
        <d v="1899-12-30T09:05:42"/>
        <d v="1899-12-30T13:43:57"/>
        <d v="1899-12-30T13:42:22"/>
        <d v="1899-12-30T18:35:12"/>
        <d v="1899-12-30T15:49:23"/>
        <d v="1899-12-30T11:23:40"/>
        <d v="1899-12-30T15:22:26"/>
        <d v="1899-12-30T16:53:04"/>
        <d v="1899-12-30T13:51:17"/>
        <d v="1899-12-30T09:22:36"/>
        <d v="1899-12-30T12:15:41"/>
        <d v="1899-12-30T16:51:02"/>
        <d v="1899-12-30T17:27:55"/>
        <d v="1899-12-30T18:11:59"/>
        <d v="1899-12-30T20:22:18"/>
        <d v="1899-12-30T11:25:48"/>
        <d v="1899-12-30T17:42:16"/>
        <d v="1899-12-30T15:47:41"/>
        <d v="1899-12-30T17:16:33"/>
        <d v="1899-12-30T13:21:53"/>
        <d v="1899-12-30T16:02:21"/>
        <d v="1899-12-30T16:43:06"/>
        <d v="1899-12-30T10:10:25"/>
        <d v="1899-12-30T12:17:22"/>
        <d v="1899-12-30T13:52:13"/>
        <d v="1899-12-30T15:38:29"/>
        <d v="1899-12-30T09:45:11"/>
        <d v="1899-12-30T20:09:02"/>
        <d v="1899-12-30T14:39:33"/>
        <d v="1899-12-30T09:21:34"/>
        <d v="1899-12-30T14:05:37"/>
        <d v="1899-12-30T18:49:22"/>
        <d v="1899-12-30T20:56:50"/>
        <d v="1899-12-30T11:48:33"/>
        <d v="1899-12-30T16:56:44"/>
        <d v="1899-12-30T13:58:08"/>
        <d v="1899-12-30T11:39:40"/>
        <d v="1899-12-30T13:09:28"/>
        <d v="1899-12-30T18:54:20"/>
        <d v="1899-12-30T13:28:34"/>
        <d v="1899-12-30T15:12:34"/>
        <d v="1899-12-30T09:46:21"/>
        <d v="1899-12-30T11:06:07"/>
        <d v="1899-12-30T12:06:05"/>
        <d v="1899-12-30T15:14:57"/>
        <d v="1899-12-30T09:59:43"/>
        <d v="1899-12-30T18:54:55"/>
        <d v="1899-12-30T15:52:18"/>
        <d v="1899-12-30T20:25:36"/>
        <d v="1899-12-30T20:58:28"/>
        <d v="1899-12-30T11:44:32"/>
        <d v="1899-12-30T16:55:29"/>
        <d v="1899-12-30T15:58:52"/>
        <d v="1899-12-30T14:57:29"/>
        <d v="1899-12-30T12:15:24"/>
        <d v="1899-12-30T15:07:28"/>
        <d v="1899-12-30T15:29:36"/>
        <d v="1899-12-30T13:57:37"/>
        <d v="1899-12-30T13:18:12"/>
        <d v="1899-12-30T10:22:26"/>
        <d v="1899-12-30T16:38:49"/>
        <d v="1899-12-30T10:31:47"/>
        <d v="1899-12-30T15:47:03"/>
        <d v="1899-12-30T15:49:43"/>
        <d v="1899-12-30T20:21:02"/>
        <d v="1899-12-30T15:43:47"/>
        <d v="1899-12-30T20:56:34"/>
        <d v="1899-12-30T17:54:19"/>
        <d v="1899-12-30T16:24:00"/>
        <d v="1899-12-30T09:13:54"/>
        <d v="1899-12-30T13:08:34"/>
        <d v="1899-12-30T16:06:58"/>
        <d v="1899-12-30T12:26:24"/>
        <d v="1899-12-30T16:14:38"/>
        <d v="1899-12-30T16:57:10"/>
        <d v="1899-12-30T19:12:26"/>
        <d v="1899-12-30T13:29:44"/>
        <d v="1899-12-30T20:51:47"/>
        <d v="1899-12-30T09:57:10"/>
        <d v="1899-12-30T20:42:47"/>
        <d v="1899-12-30T20:16:52"/>
        <d v="1899-12-30T20:16:38"/>
        <d v="1899-12-30T13:34:45"/>
        <d v="1899-12-30T17:40:04"/>
        <d v="1899-12-30T10:35:15"/>
        <d v="1899-12-30T16:00:14"/>
        <d v="1899-12-30T15:48:26"/>
        <d v="1899-12-30T12:41:53"/>
        <d v="1899-12-30T10:38:34"/>
        <d v="1899-12-30T18:25:44"/>
        <d v="1899-12-30T10:04:02"/>
        <d v="1899-12-30T18:28:55"/>
        <d v="1899-12-30T20:41:48"/>
        <d v="1899-12-30T13:49:17"/>
        <d v="1899-12-30T15:40:41"/>
        <d v="1899-12-30T15:12:20"/>
        <d v="1899-12-30T12:36:59"/>
        <d v="1899-12-30T13:50:32"/>
        <d v="1899-12-30T13:55:43"/>
        <d v="1899-12-30T13:48:37"/>
        <d v="1899-12-30T10:52:13"/>
        <d v="1899-12-30T20:14:21"/>
        <d v="1899-12-30T14:50:58"/>
        <d v="1899-12-30T12:41:03"/>
        <d v="1899-12-30T10:49:17"/>
        <d v="1899-12-30T11:53:18"/>
        <d v="1899-12-30T12:27:13"/>
        <d v="1899-12-30T11:33:58"/>
        <d v="1899-12-30T18:37:27"/>
        <d v="1899-12-30T12:48:59"/>
        <d v="1899-12-30T19:15:25"/>
        <d v="1899-12-30T20:46:40"/>
        <d v="1899-12-30T19:02:53"/>
        <d v="1899-12-30T10:54:27"/>
        <d v="1899-12-30T15:11:07"/>
        <d v="1899-12-30T14:28:05"/>
        <d v="1899-12-30T18:08:52"/>
        <d v="1899-12-30T09:24:32"/>
        <d v="1899-12-30T16:02:09"/>
        <d v="1899-12-30T20:20:56"/>
        <d v="1899-12-30T16:25:40"/>
        <d v="1899-12-30T09:49:43"/>
        <d v="1899-12-30T18:27:29"/>
        <d v="1899-12-30T19:58:20"/>
        <d v="1899-12-30T15:44:43"/>
        <d v="1899-12-30T20:43:05"/>
        <d v="1899-12-30T11:12:01"/>
        <d v="1899-12-30T15:32:18"/>
        <d v="1899-12-30T10:26:38"/>
        <d v="1899-12-30T09:13:46"/>
        <d v="1899-12-30T15:09:32"/>
        <d v="1899-12-30T13:08:18"/>
        <d v="1899-12-30T19:27:33"/>
        <d v="1899-12-30T13:50:15"/>
        <d v="1899-12-30T14:33:28"/>
        <d v="1899-12-30T15:24:59"/>
        <d v="1899-12-30T11:39:13"/>
        <d v="1899-12-30T12:30:00"/>
        <d v="1899-12-30T15:54:17"/>
        <d v="1899-12-30T17:54:10"/>
        <d v="1899-12-30T13:57:47"/>
        <d v="1899-12-30T11:35:15"/>
        <d v="1899-12-30T10:03:37"/>
        <d v="1899-12-30T09:22:49"/>
        <d v="1899-12-30T18:32:14"/>
        <d v="1899-12-30T15:52:03"/>
        <d v="1899-12-30T20:14:36"/>
        <d v="1899-12-30T15:50:00"/>
        <d v="1899-12-30T09:37:32"/>
        <d v="1899-12-30T20:52:54"/>
        <d v="1899-12-30T17:41:00"/>
        <d v="1899-12-30T12:16:28"/>
        <d v="1899-12-30T17:02:16"/>
        <d v="1899-12-30T13:22:50"/>
        <d v="1899-12-30T14:32:11"/>
        <d v="1899-12-30T09:35:28"/>
        <d v="1899-12-30T11:06:41"/>
        <d v="1899-12-30T16:24:49"/>
        <d v="1899-12-30T10:35:59"/>
        <d v="1899-12-30T14:46:31"/>
        <d v="1899-12-30T19:31:57"/>
        <d v="1899-12-30T09:20:25"/>
        <d v="1899-12-30T15:57:11"/>
        <d v="1899-12-30T09:11:49"/>
        <d v="1899-12-30T12:21:30"/>
        <d v="1899-12-30T16:57:13"/>
        <d v="1899-12-30T10:07:40"/>
        <d v="1899-12-30T17:27:05"/>
        <d v="1899-12-30T18:32:54"/>
        <d v="1899-12-30T17:43:22"/>
        <d v="1899-12-30T16:47:26"/>
        <d v="1899-12-30T19:03:32"/>
        <d v="1899-12-30T10:01:23"/>
        <d v="1899-12-30T12:14:44"/>
        <d v="1899-12-30T20:15:09"/>
        <d v="1899-12-30T13:12:44"/>
        <d v="1899-12-30T10:27:08"/>
        <d v="1899-12-30T20:39:53"/>
        <d v="1899-12-30T14:04:07"/>
        <d v="1899-12-30T16:53:07"/>
        <d v="1899-12-30T20:20:39"/>
        <d v="1899-12-30T11:41:47"/>
        <d v="1899-12-30T10:33:47"/>
        <d v="1899-12-30T17:14:43"/>
        <d v="1899-12-30T11:27:41"/>
        <d v="1899-12-30T14:42:35"/>
        <d v="1899-12-30T14:41:19"/>
        <d v="1899-12-30T11:54:00"/>
        <d v="1899-12-30T11:32:31"/>
        <d v="1899-12-30T15:28:20"/>
        <d v="1899-12-30T17:04:19"/>
        <d v="1899-12-30T19:19:52"/>
        <d v="1899-12-30T16:13:12"/>
        <d v="1899-12-30T10:38:40"/>
        <d v="1899-12-30T17:36:03"/>
        <d v="1899-12-30T11:50:29"/>
        <d v="1899-12-30T10:36:08"/>
        <d v="1899-12-30T18:27:05"/>
        <d v="1899-12-30T11:43:56"/>
        <d v="1899-12-30T09:24:10"/>
        <d v="1899-12-30T10:40:42"/>
        <d v="1899-12-30T15:09:16"/>
        <d v="1899-12-30T11:53:39"/>
        <d v="1899-12-30T15:59:22"/>
        <d v="1899-12-30T16:03:59"/>
        <d v="1899-12-30T16:03:04"/>
        <d v="1899-12-30T14:14:58"/>
        <d v="1899-12-30T17:16:44"/>
        <d v="1899-12-30T10:30:41"/>
        <d v="1899-12-30T20:41:25"/>
        <d v="1899-12-30T17:05:32"/>
        <d v="1899-12-30T10:23:35"/>
        <d v="1899-12-30T11:15:38"/>
        <d v="1899-12-30T17:41:29"/>
        <d v="1899-12-30T14:54:25"/>
        <d v="1899-12-30T09:16:57"/>
        <d v="1899-12-30T09:27:41"/>
        <d v="1899-12-30T14:51:37"/>
        <d v="1899-12-30T16:58:00"/>
        <d v="1899-12-30T15:54:13"/>
        <d v="1899-12-30T16:40:18"/>
        <d v="1899-12-30T17:12:28"/>
        <d v="1899-12-30T10:46:55"/>
        <d v="1899-12-30T10:09:25"/>
        <d v="1899-12-30T20:44:58"/>
        <d v="1899-12-30T18:10:57"/>
        <d v="1899-12-30T10:14:18"/>
        <d v="1899-12-30T16:27:14"/>
        <d v="1899-12-30T15:08:32"/>
        <d v="1899-12-30T12:07:37"/>
        <d v="1899-12-30T18:04:12"/>
        <d v="1899-12-30T19:27:15"/>
        <d v="1899-12-30T17:55:44"/>
        <d v="1899-12-30T19:39:57"/>
        <d v="1899-12-30T12:36:07"/>
        <d v="1899-12-30T11:35:33"/>
        <d v="1899-12-30T11:45:44"/>
        <d v="1899-12-30T12:56:33"/>
        <d v="1899-12-30T14:18:51"/>
        <d v="1899-12-30T16:20:22"/>
        <d v="1899-12-30T10:58:12"/>
        <d v="1899-12-30T11:46:41"/>
        <d v="1899-12-30T10:17:43"/>
        <d v="1899-12-30T17:29:32"/>
        <d v="1899-12-30T20:13:44"/>
        <d v="1899-12-30T13:53:49"/>
        <d v="1899-12-30T16:38:18"/>
        <d v="1899-12-30T16:13:29"/>
        <d v="1899-12-30T14:12:28"/>
        <d v="1899-12-30T16:46:07"/>
        <d v="1899-12-30T18:20:59"/>
        <d v="1899-12-30T18:10:59"/>
        <d v="1899-12-30T11:22:45"/>
        <d v="1899-12-30T20:59:03"/>
        <d v="1899-12-30T09:32:59"/>
        <d v="1899-12-30T20:38:30"/>
        <d v="1899-12-30T10:13:55"/>
        <d v="1899-12-30T11:27:53"/>
        <d v="1899-12-30T18:08:16"/>
        <d v="1899-12-30T20:58:36"/>
        <d v="1899-12-30T09:18:42"/>
        <d v="1899-12-30T14:02:51"/>
        <d v="1899-12-30T18:17:38"/>
        <d v="1899-12-30T14:26:40"/>
        <d v="1899-12-30T10:01:42"/>
        <d v="1899-12-30T10:31:51"/>
        <d v="1899-12-30T12:28:09"/>
        <d v="1899-12-30T20:16:00"/>
        <d v="1899-12-30T16:23:42"/>
        <d v="1899-12-30T14:47:54"/>
        <d v="1899-12-30T13:13:47"/>
        <d v="1899-12-30T11:33:34"/>
        <d v="1899-12-30T09:37:29"/>
        <d v="1899-12-30T15:35:50"/>
        <d v="1899-12-30T20:22:31"/>
        <d v="1899-12-30T09:43:28"/>
        <d v="1899-12-30T17:26:52"/>
        <d v="1899-12-30T17:16:06"/>
        <d v="1899-12-30T20:54:39"/>
        <d v="1899-12-30T09:26:18"/>
        <d v="1899-12-30T15:41:27"/>
        <d v="1899-12-30T12:26:49"/>
        <d v="1899-12-30T20:05:46"/>
        <d v="1899-12-30T18:25:12"/>
        <d v="1899-12-30T19:47:09"/>
        <d v="1899-12-30T14:06:40"/>
        <d v="1899-12-30T14:41:50"/>
        <d v="1899-12-30T11:37:41"/>
        <d v="1899-12-30T17:12:27"/>
        <d v="1899-12-30T10:08:14"/>
        <d v="1899-12-30T11:53:20"/>
        <d v="1899-12-30T19:05:34"/>
        <d v="1899-12-30T09:30:13"/>
        <d v="1899-12-30T11:05:08"/>
        <d v="1899-12-30T14:08:52"/>
        <d v="1899-12-30T09:28:51"/>
        <d v="1899-12-30T09:46:22"/>
        <d v="1899-12-30T18:05:04"/>
        <d v="1899-12-30T17:01:32"/>
        <d v="1899-12-30T14:01:42"/>
        <d v="1899-12-30T11:46:54"/>
        <d v="1899-12-30T11:57:32"/>
        <d v="1899-12-30T17:11:25"/>
        <d v="1899-12-30T18:31:15"/>
        <d v="1899-12-30T18:06:18"/>
        <d v="1899-12-30T18:05:02"/>
        <d v="1899-12-30T13:07:16"/>
        <d v="1899-12-30T15:04:02"/>
        <d v="1899-12-30T13:34:46"/>
        <d v="1899-12-30T11:29:21"/>
        <d v="1899-12-30T16:39:39"/>
        <d v="1899-12-30T12:43:12"/>
        <d v="1899-12-30T09:51:49"/>
        <d v="1899-12-30T12:22:46"/>
        <d v="1899-12-30T09:40:59"/>
        <d v="1899-12-30T17:35:04"/>
        <d v="1899-12-30T16:05:30"/>
        <d v="1899-12-30T16:27:57"/>
        <d v="1899-12-30T09:54:51"/>
        <d v="1899-12-30T13:11:49"/>
        <d v="1899-12-30T20:46:22"/>
        <d v="1899-12-30T10:20:39"/>
        <d v="1899-12-30T19:54:35"/>
        <d v="1899-12-30T18:00:03"/>
        <d v="1899-12-30T14:03:47"/>
        <d v="1899-12-30T13:19:59"/>
        <d v="1899-12-30T13:17:26"/>
        <d v="1899-12-30T11:26:49"/>
        <d v="1899-12-30T10:37:44"/>
        <d v="1899-12-30T12:12:17"/>
        <d v="1899-12-30T14:57:11"/>
        <d v="1899-12-30T16:43:29"/>
        <d v="1899-12-30T17:39:38"/>
        <d v="1899-12-30T09:03:05"/>
        <d v="1899-12-30T12:52:58"/>
        <d v="1899-12-30T17:30:42"/>
        <d v="1899-12-30T12:03:36"/>
        <d v="1899-12-30T11:52:20"/>
        <d v="1899-12-30T18:41:00"/>
        <d v="1899-12-30T18:49:17"/>
        <d v="1899-12-30T09:21:56"/>
        <d v="1899-12-30T14:47:23"/>
        <d v="1899-12-30T19:35:16"/>
        <d v="1899-12-30T13:56:07"/>
        <d v="1899-12-30T10:26:43"/>
        <d v="1899-12-30T12:31:36"/>
        <d v="1899-12-30T18:54:00"/>
        <d v="1899-12-30T09:07:43"/>
        <d v="1899-12-30T17:27:18"/>
        <d v="1899-12-30T14:47:49"/>
        <d v="1899-12-30T12:05:15"/>
        <d v="1899-12-30T10:54:22"/>
        <d v="1899-12-30T12:52:30"/>
        <d v="1899-12-30T13:35:32"/>
        <d v="1899-12-30T15:34:09"/>
        <d v="1899-12-30T11:45:50"/>
        <d v="1899-12-30T11:03:30"/>
        <d v="1899-12-30T14:45:51"/>
        <d v="1899-12-30T10:46:48"/>
        <d v="1899-12-30T14:01:51"/>
        <d v="1899-12-30T14:50:32"/>
        <d v="1899-12-30T20:09:54"/>
        <d v="1899-12-30T10:07:00"/>
        <d v="1899-12-30T12:05:14"/>
        <d v="1899-12-30T18:03:37"/>
        <d v="1899-12-30T20:07:30"/>
        <d v="1899-12-30T17:05:33"/>
        <d v="1899-12-30T09:26:04"/>
        <d v="1899-12-30T20:03:57"/>
        <d v="1899-12-30T18:12:39"/>
        <d v="1899-12-30T11:53:53"/>
        <d v="1899-12-30T12:17:59"/>
        <d v="1899-12-30T13:03:11"/>
        <d v="1899-12-30T18:05:03"/>
        <d v="1899-12-30T16:20:53"/>
        <d v="1899-12-30T14:31:37"/>
        <d v="1899-12-30T17:27:48"/>
        <d v="1899-12-30T09:29:46"/>
        <d v="1899-12-30T14:56:18"/>
        <d v="1899-12-30T10:07:08"/>
        <d v="1899-12-30T16:41:08"/>
        <d v="1899-12-30T16:26:05"/>
        <d v="1899-12-30T16:30:41"/>
        <d v="1899-12-30T12:06:01"/>
        <d v="1899-12-30T14:12:05"/>
        <d v="1899-12-30T17:08:49"/>
        <d v="1899-12-30T16:07:44"/>
        <d v="1899-12-30T13:26:27"/>
        <d v="1899-12-30T13:02:18"/>
        <d v="1899-12-30T19:03:13"/>
        <d v="1899-12-30T12:27:19"/>
        <d v="1899-12-30T10:10:52"/>
        <d v="1899-12-30T17:46:54"/>
        <d v="1899-12-30T14:22:30"/>
        <d v="1899-12-30T10:44:39"/>
        <d v="1899-12-30T17:58:15"/>
        <d v="1899-12-30T11:36:28"/>
        <d v="1899-12-30T11:49:01"/>
        <d v="1899-12-30T12:23:01"/>
        <d v="1899-12-30T15:33:48"/>
        <d v="1899-12-30T18:09:31"/>
        <d v="1899-12-30T16:17:18"/>
        <d v="1899-12-30T14:28:07"/>
        <d v="1899-12-30T18:48:27"/>
        <d v="1899-12-30T16:43:25"/>
        <d v="1899-12-30T20:11:57"/>
        <d v="1899-12-30T10:31:05"/>
        <d v="1899-12-30T11:41:35"/>
        <d v="1899-12-30T12:53:11"/>
        <d v="1899-12-30T09:19:10"/>
        <d v="1899-12-30T16:07:10"/>
        <d v="1899-12-30T12:05:24"/>
        <d v="1899-12-30T15:50:35"/>
        <d v="1899-12-30T18:40:38"/>
        <d v="1899-12-30T14:12:08"/>
        <d v="1899-12-30T17:30:44"/>
        <d v="1899-12-30T17:19:07"/>
        <d v="1899-12-30T13:26:52"/>
        <d v="1899-12-30T17:00:53"/>
        <d v="1899-12-30T16:02:44"/>
        <d v="1899-12-30T18:13:34"/>
        <d v="1899-12-30T10:01:48"/>
        <d v="1899-12-30T14:02:35"/>
        <d v="1899-12-30T10:25:15"/>
        <d v="1899-12-30T13:39:32"/>
        <d v="1899-12-30T14:10:52"/>
        <d v="1899-12-30T10:29:23"/>
        <d v="1899-12-30T19:15:20"/>
        <d v="1899-12-30T10:09:30"/>
        <d v="1899-12-30T12:12:56"/>
        <d v="1899-12-30T12:53:37"/>
        <d v="1899-12-30T17:43:07"/>
        <d v="1899-12-30T13:57:41"/>
        <d v="1899-12-30T13:14:48"/>
        <d v="1899-12-30T17:57:46"/>
        <d v="1899-12-30T12:42:31"/>
        <d v="1899-12-30T14:24:30"/>
        <d v="1899-12-30T13:57:09"/>
        <d v="1899-12-30T15:18:59"/>
        <d v="1899-12-30T12:41:15"/>
        <d v="1899-12-30T19:24:02"/>
        <d v="1899-12-30T11:42:28"/>
        <d v="1899-12-30T16:41:56"/>
        <d v="1899-12-30T13:43:17"/>
        <d v="1899-12-30T09:39:52"/>
        <d v="1899-12-30T20:47:36"/>
        <d v="1899-12-30T13:07:51"/>
        <d v="1899-12-30T18:31:23"/>
        <d v="1899-12-30T12:09:01"/>
        <d v="1899-12-30T13:39:35"/>
        <d v="1899-12-30T11:39:14"/>
        <d v="1899-12-30T17:23:53"/>
        <d v="1899-12-30T20:38:19"/>
        <d v="1899-12-30T11:50:38"/>
        <d v="1899-12-30T11:27:35"/>
        <d v="1899-12-30T12:51:16"/>
        <d v="1899-12-30T19:22:23"/>
        <d v="1899-12-30T17:21:05"/>
        <d v="1899-12-30T10:06:55"/>
        <d v="1899-12-30T10:09:55"/>
        <d v="1899-12-30T20:47:39"/>
        <d v="1899-12-30T16:02:22"/>
        <d v="1899-12-30T18:41:05"/>
        <d v="1899-12-30T12:23:25"/>
        <d v="1899-12-30T09:07:13"/>
        <d v="1899-12-30T10:48:49"/>
        <d v="1899-12-30T10:57:14"/>
        <d v="1899-12-30T19:40:41"/>
        <d v="1899-12-30T10:29:14"/>
        <d v="1899-12-30T09:51:25"/>
        <d v="1899-12-30T12:00:48"/>
        <d v="1899-12-30T18:26:51"/>
        <d v="1899-12-30T20:39:32"/>
        <d v="1899-12-30T17:06:36"/>
        <d v="1899-12-30T10:01:08"/>
        <d v="1899-12-30T17:55:12"/>
        <d v="1899-12-30T12:09:59"/>
        <d v="1899-12-30T11:39:46"/>
        <d v="1899-12-30T12:55:43"/>
        <d v="1899-12-30T12:46:48"/>
        <d v="1899-12-30T12:10:15"/>
        <d v="1899-12-30T15:24:19"/>
        <d v="1899-12-30T10:47:24"/>
        <d v="1899-12-30T14:38:55"/>
        <d v="1899-12-30T14:59:59"/>
        <d v="1899-12-30T18:01:03"/>
        <d v="1899-12-30T16:00:12"/>
        <d v="1899-12-30T09:47:00"/>
        <d v="1899-12-30T10:12:44"/>
        <d v="1899-12-30T12:07:56"/>
        <d v="1899-12-30T17:33:33"/>
        <d v="1899-12-30T18:45:00"/>
        <d v="1899-12-30T17:56:53"/>
        <d v="1899-12-30T10:27:02"/>
        <d v="1899-12-30T11:47:53"/>
        <d v="1899-12-30T10:08:54"/>
        <d v="1899-12-30T14:48:06"/>
        <d v="1899-12-30T20:38:31"/>
        <d v="1899-12-30T19:01:18"/>
        <d v="1899-12-30T16:43:54"/>
        <d v="1899-12-30T19:52:15"/>
        <d v="1899-12-30T13:21:12"/>
        <d v="1899-12-30T12:24:20"/>
        <d v="1899-12-30T10:16:56"/>
        <d v="1899-12-30T09:30:24"/>
        <d v="1899-12-30T16:58:23"/>
        <d v="1899-12-30T17:14:05"/>
        <d v="1899-12-30T15:00:51"/>
        <d v="1899-12-30T15:45:32"/>
        <d v="1899-12-30T16:12:29"/>
        <d v="1899-12-30T16:23:34"/>
        <d v="1899-12-30T15:13:38"/>
        <d v="1899-12-30T12:50:32"/>
        <d v="1899-12-30T18:20:52"/>
        <d v="1899-12-30T19:13:59"/>
        <d v="1899-12-30T15:08:13"/>
        <d v="1899-12-30T13:58:48"/>
        <d v="1899-12-30T13:04:01"/>
        <d v="1899-12-30T12:57:00"/>
        <d v="1899-12-30T16:28:26"/>
        <d v="1899-12-30T19:40:09"/>
        <d v="1899-12-30T12:19:11"/>
        <d v="1899-12-30T13:15:39"/>
        <d v="1899-12-30T12:45:06"/>
        <d v="1899-12-30T15:27:33"/>
        <d v="1899-12-30T19:55:46"/>
        <d v="1899-12-30T14:07:40"/>
        <d v="1899-12-30T19:45:44"/>
        <d v="1899-12-30T13:31:51"/>
        <d v="1899-12-30T16:24:27"/>
        <d v="1899-12-30T11:58:27"/>
        <d v="1899-12-30T11:35:10"/>
        <d v="1899-12-30T13:45:34"/>
        <d v="1899-12-30T14:29:24"/>
        <d v="1899-12-30T19:35:10"/>
        <d v="1899-12-30T16:42:24"/>
        <d v="1899-12-30T20:47:43"/>
        <d v="1899-12-30T11:43:16"/>
        <d v="1899-12-30T15:47:23"/>
        <d v="1899-12-30T19:31:40"/>
        <d v="1899-12-30T15:50:31"/>
        <d v="1899-12-30T11:46:47"/>
        <d v="1899-12-30T13:12:12"/>
        <d v="1899-12-30T09:46:01"/>
        <d v="1899-12-30T14:56:12"/>
        <d v="1899-12-30T17:19:03"/>
        <d v="1899-12-30T09:59:51"/>
        <d v="1899-12-30T17:07:03"/>
        <d v="1899-12-30T18:34:23"/>
        <d v="1899-12-30T16:57:46"/>
        <d v="1899-12-30T11:40:39"/>
        <d v="1899-12-30T10:25:22"/>
        <d v="1899-12-30T14:55:55"/>
        <d v="1899-12-30T16:02:17"/>
        <d v="1899-12-30T14:09:15"/>
        <d v="1899-12-30T16:51:03"/>
        <d v="1899-12-30T17:21:17"/>
        <d v="1899-12-30T19:38:13"/>
        <d v="1899-12-30T19:13:32"/>
        <d v="1899-12-30T14:53:19"/>
        <d v="1899-12-30T09:25:09"/>
        <d v="1899-12-30T15:03:08"/>
        <d v="1899-12-30T16:15:30"/>
        <d v="1899-12-30T09:15:05"/>
        <d v="1899-12-30T16:45:38"/>
        <d v="1899-12-30T19:27:01"/>
        <d v="1899-12-30T18:48:15"/>
        <d v="1899-12-30T13:36:12"/>
        <d v="1899-12-30T20:38:04"/>
        <d v="1899-12-30T18:02:11"/>
        <d v="1899-12-30T19:11:08"/>
        <d v="1899-12-30T16:56:19"/>
        <d v="1899-12-30T20:22:40"/>
        <d v="1899-12-30T09:14:26"/>
        <d v="1899-12-30T19:05:45"/>
        <d v="1899-12-30T12:07:15"/>
        <d v="1899-12-30T12:18:20"/>
        <d v="1899-12-30T12:11:47"/>
        <d v="1899-12-30T18:17:26"/>
        <d v="1899-12-30T15:35:07"/>
        <d v="1899-12-30T16:19:41"/>
        <d v="1899-12-30T13:36:06"/>
        <d v="1899-12-30T09:42:46"/>
        <d v="1899-12-30T16:54:03"/>
        <d v="1899-12-30T20:39:33"/>
        <d v="1899-12-30T17:37:57"/>
        <d v="1899-12-30T16:03:26"/>
        <d v="1899-12-30T15:52:21"/>
        <d v="1899-12-30T11:53:07"/>
        <d v="1899-12-30T13:50:41"/>
        <d v="1899-12-30T20:35:26"/>
        <d v="1899-12-30T14:25:04"/>
        <d v="1899-12-30T11:21:26"/>
        <d v="1899-12-30T14:04:27"/>
        <d v="1899-12-30T11:24:58"/>
        <d v="1899-12-30T11:52:33"/>
        <d v="1899-12-30T15:37:31"/>
        <d v="1899-12-30T15:33:04"/>
        <d v="1899-12-30T19:17:17"/>
        <d v="1899-12-30T19:35:02"/>
        <d v="1899-12-30T11:39:05"/>
        <d v="1899-12-30T10:06:08"/>
        <d v="1899-12-30T17:59:46"/>
        <d v="1899-12-30T12:25:40"/>
        <d v="1899-12-30T10:49:14"/>
        <d v="1899-12-30T15:01:29"/>
        <d v="1899-12-30T18:21:57"/>
        <d v="1899-12-30T19:15:34"/>
        <d v="1899-12-30T11:59:39"/>
        <d v="1899-12-30T11:54:14"/>
        <d v="1899-12-30T18:44:28"/>
        <d v="1899-12-30T20:40:43"/>
        <d v="1899-12-30T09:24:42"/>
        <d v="1899-12-30T18:21:55"/>
        <d v="1899-12-30T13:22:53"/>
        <d v="1899-12-30T19:48:36"/>
        <d v="1899-12-30T10:00:28"/>
        <d v="1899-12-30T16:26:53"/>
        <d v="1899-12-30T12:00:56"/>
        <d v="1899-12-30T09:53:48"/>
        <d v="1899-12-30T19:53:38"/>
        <d v="1899-12-30T11:52:17"/>
        <d v="1899-12-30T15:11:53"/>
        <d v="1899-12-30T17:50:02"/>
        <d v="1899-12-30T10:52:36"/>
        <d v="1899-12-30T16:31:09"/>
        <d v="1899-12-30T14:41:03"/>
        <d v="1899-12-30T14:14:17"/>
        <d v="1899-12-30T15:43:56"/>
        <d v="1899-12-30T10:29:08"/>
        <d v="1899-12-30T19:39:54"/>
        <d v="1899-12-30T19:05:44"/>
        <d v="1899-12-30T18:33:07"/>
        <d v="1899-12-30T14:36:11"/>
        <d v="1899-12-30T13:26:51"/>
        <d v="1899-12-30T15:52:26"/>
        <d v="1899-12-30T14:29:02"/>
        <d v="1899-12-30T18:10:03"/>
        <d v="1899-12-30T17:58:44"/>
        <d v="1899-12-30T14:42:57"/>
        <d v="1899-12-30T14:30:10"/>
        <d v="1899-12-30T10:41:14"/>
        <d v="1899-12-30T16:24:31"/>
        <d v="1899-12-30T16:10:22"/>
        <d v="1899-12-30T20:23:04"/>
        <d v="1899-12-30T18:38:06"/>
        <d v="1899-12-30T17:11:46"/>
        <d v="1899-12-30T10:13:43"/>
        <d v="1899-12-30T14:58:33"/>
        <d v="1899-12-30T18:05:10"/>
        <d v="1899-12-30T19:37:14"/>
        <d v="1899-12-30T15:14:33"/>
        <d v="1899-12-30T14:46:17"/>
        <d v="1899-12-30T15:24:11"/>
        <d v="1899-12-30T16:14:25"/>
        <d v="1899-12-30T17:04:21"/>
        <d v="1899-12-30T20:50:29"/>
        <d v="1899-12-30T17:11:26"/>
        <d v="1899-12-30T15:16:57"/>
        <d v="1899-12-30T12:04:03"/>
        <d v="1899-12-30T15:35:38"/>
        <d v="1899-12-30T16:20:28"/>
        <d v="1899-12-30T18:04:11"/>
        <d v="1899-12-30T18:06:43"/>
        <d v="1899-12-30T16:36:16"/>
        <d v="1899-12-30T09:04:42"/>
        <d v="1899-12-30T15:33:55"/>
        <d v="1899-12-30T16:51:10"/>
        <d v="1899-12-30T11:55:33"/>
        <d v="1899-12-30T11:12:02"/>
        <d v="1899-12-30T20:37:18"/>
        <d v="1899-12-30T10:47:20"/>
        <d v="1899-12-30T19:15:36"/>
        <d v="1899-12-30T19:44:37"/>
        <d v="1899-12-30T13:02:07"/>
        <d v="1899-12-30T19:58:06"/>
        <d v="1899-12-30T11:18:36"/>
        <d v="1899-12-30T18:45:27"/>
        <d v="1899-12-30T13:39:04"/>
        <d v="1899-12-30T20:29:41"/>
        <d v="1899-12-30T16:17:47"/>
        <d v="1899-12-30T12:58:00"/>
        <d v="1899-12-30T20:57:31"/>
        <d v="1899-12-30T20:43:08"/>
        <d v="1899-12-30T15:47:32"/>
        <d v="1899-12-30T11:34:31"/>
        <d v="1899-12-30T19:28:59"/>
        <d v="1899-12-30T17:54:46"/>
        <d v="1899-12-30T10:55:13"/>
        <d v="1899-12-30T11:20:35"/>
        <d v="1899-12-30T15:50:58"/>
        <d v="1899-12-30T10:13:10"/>
        <d v="1899-12-30T10:12:26"/>
        <d v="1899-12-30T19:46:09"/>
        <d v="1899-12-30T09:54:33"/>
        <d v="1899-12-30T20:06:32"/>
        <d v="1899-12-30T18:58:01"/>
        <d v="1899-12-30T14:59:44"/>
        <d v="1899-12-30T10:22:47"/>
        <d v="1899-12-30T16:40:46"/>
        <d v="1899-12-30T09:19:03"/>
        <d v="1899-12-30T11:12:24"/>
        <d v="1899-12-30T18:39:59"/>
        <d v="1899-12-30T09:30:14"/>
        <d v="1899-12-30T20:25:29"/>
        <d v="1899-12-30T18:27:50"/>
        <d v="1899-12-30T11:25:24"/>
        <d v="1899-12-30T10:27:50"/>
        <d v="1899-12-30T18:31:02"/>
        <d v="1899-12-30T10:51:08"/>
        <d v="1899-12-30T10:49:39"/>
        <d v="1899-12-30T11:29:14"/>
        <d v="1899-12-30T12:53:16"/>
        <d v="1899-12-30T11:27:31"/>
        <d v="1899-12-30T17:54:17"/>
        <d v="1899-12-30T17:22:59"/>
        <d v="1899-12-30T15:06:08"/>
        <d v="1899-12-30T16:00:06"/>
        <d v="1899-12-30T19:54:53"/>
        <d v="1899-12-30T20:44:23"/>
        <d v="1899-12-30T10:46:09"/>
        <d v="1899-12-30T12:13:45"/>
        <d v="1899-12-30T20:42:37"/>
        <d v="1899-12-30T15:57:52"/>
        <d v="1899-12-30T14:04:05"/>
        <d v="1899-12-30T09:37:46"/>
        <d v="1899-12-30T20:09:30"/>
        <d v="1899-12-30T19:58:22"/>
        <d v="1899-12-30T20:40:40"/>
        <d v="1899-12-30T13:10:27"/>
        <d v="1899-12-30T12:01:05"/>
        <d v="1899-12-30T19:08:31"/>
        <d v="1899-12-30T09:59:29"/>
        <d v="1899-12-30T15:27:16"/>
        <d v="1899-12-30T15:01:41"/>
        <d v="1899-12-30T10:14:05"/>
        <d v="1899-12-30T15:58:49"/>
        <d v="1899-12-30T20:55:31"/>
        <d v="1899-12-30T14:07:12"/>
        <d v="1899-12-30T18:37:03"/>
        <d v="1899-12-30T09:25:35"/>
        <d v="1899-12-30T19:21:55"/>
        <d v="1899-12-30T19:25:53"/>
        <d v="1899-12-30T11:14:30"/>
        <d v="1899-12-30T20:53:40"/>
        <d v="1899-12-30T09:10:30"/>
        <d v="1899-12-30T13:54:03"/>
        <d v="1899-12-30T14:38:47"/>
        <d v="1899-12-30T16:54:44"/>
        <d v="1899-12-30T16:40:50"/>
        <d v="1899-12-30T13:02:47"/>
        <d v="1899-12-30T10:23:33"/>
        <d v="1899-12-30T13:46:01"/>
        <d v="1899-12-30T14:48:54"/>
        <d v="1899-12-30T14:31:26"/>
        <d v="1899-12-30T15:40:15"/>
        <d v="1899-12-30T17:51:07"/>
        <d v="1899-12-30T13:49:12"/>
        <d v="1899-12-30T20:20:05"/>
        <d v="1899-12-30T09:40:11"/>
        <d v="1899-12-30T19:21:58"/>
        <d v="1899-12-30T18:10:26"/>
        <d v="1899-12-30T13:57:45"/>
        <d v="1899-12-30T19:04:54"/>
        <d v="1899-12-30T20:24:23"/>
        <d v="1899-12-30T15:39:09"/>
        <d v="1899-12-30T12:52:43"/>
        <d v="1899-12-30T16:17:05"/>
        <d v="1899-12-30T16:27:31"/>
        <d v="1899-12-30T16:51:04"/>
        <d v="1899-12-30T12:57:38"/>
        <d v="1899-12-30T17:03:32"/>
        <d v="1899-12-30T20:14:20"/>
        <d v="1899-12-30T13:11:29"/>
        <d v="1899-12-30T10:38:05"/>
        <d v="1899-12-30T14:50:41"/>
        <d v="1899-12-30T12:40:08"/>
        <d v="1899-12-30T15:26:25"/>
        <d v="1899-12-30T17:57:20"/>
        <d v="1899-12-30T20:09:32"/>
        <d v="1899-12-30T10:53:04"/>
        <d v="1899-12-30T10:22:02"/>
        <d v="1899-12-30T14:23:55"/>
        <d v="1899-12-30T20:28:42"/>
        <d v="1899-12-30T13:58:22"/>
        <d v="1899-12-30T20:27:32"/>
        <d v="1899-12-30T20:43:16"/>
        <d v="1899-12-30T09:21:45"/>
        <d v="1899-12-30T13:46:47"/>
        <d v="1899-12-30T16:09:52"/>
        <d v="1899-12-30T11:13:04"/>
        <d v="1899-12-30T15:14:26"/>
        <d v="1899-12-30T18:20:23"/>
        <d v="1899-12-30T16:21:52"/>
        <d v="1899-12-30T16:02:52"/>
        <d v="1899-12-30T17:44:18"/>
        <d v="1899-12-30T20:59:57"/>
        <d v="1899-12-30T09:45:53"/>
        <d v="1899-12-30T12:24:05"/>
        <d v="1899-12-30T12:31:16"/>
        <d v="1899-12-30T09:39:26"/>
        <d v="1899-12-30T20:45:31"/>
        <d v="1899-12-30T10:23:23"/>
        <d v="1899-12-30T20:12:36"/>
        <d v="1899-12-30T13:57:26"/>
        <d v="1899-12-30T16:32:50"/>
        <d v="1899-12-30T18:21:07"/>
        <d v="1899-12-30T18:39:49"/>
        <d v="1899-12-30T09:54:13"/>
        <d v="1899-12-30T11:46:44"/>
        <d v="1899-12-30T10:23:54"/>
        <d v="1899-12-30T15:30:59"/>
        <d v="1899-12-30T19:35:58"/>
        <d v="1899-12-30T13:05:03"/>
        <d v="1899-12-30T09:30:41"/>
        <d v="1899-12-30T20:27:31"/>
        <d v="1899-12-30T17:21:22"/>
        <d v="1899-12-30T12:16:12"/>
        <d v="1899-12-30T19:03:03"/>
        <d v="1899-12-30T19:02:21"/>
        <d v="1899-12-30T18:17:15"/>
        <d v="1899-12-30T14:03:27"/>
        <d v="1899-12-30T14:13:36"/>
        <d v="1899-12-30T18:41:43"/>
        <d v="1899-12-30T10:51:23"/>
        <d v="1899-12-30T13:50:06"/>
        <d v="1899-12-30T15:53:18"/>
        <d v="1899-12-30T14:18:03"/>
        <d v="1899-12-30T10:17:32"/>
        <d v="1899-12-30T18:51:40"/>
        <d v="1899-12-30T10:30:30"/>
        <d v="1899-12-30T16:15:07"/>
        <d v="1899-12-30T10:06:21"/>
        <d v="1899-12-30T15:47:38"/>
        <d v="1899-12-30T14:23:06"/>
        <d v="1899-12-30T12:40:54"/>
        <d v="1899-12-30T18:18:06"/>
        <d v="1899-12-30T19:50:30"/>
        <d v="1899-12-30T13:20:15"/>
        <d v="1899-12-30T15:16:09"/>
        <d v="1899-12-30T12:32:49"/>
        <d v="1899-12-30T12:07:09"/>
        <d v="1899-12-30T13:16:08"/>
        <d v="1899-12-30T11:30:45"/>
        <d v="1899-12-30T13:27:16"/>
        <d v="1899-12-30T18:08:55"/>
        <d v="1899-12-30T11:40:00"/>
        <d v="1899-12-30T19:06:18"/>
        <d v="1899-12-30T19:45:31"/>
        <d v="1899-12-30T13:20:12"/>
        <d v="1899-12-30T20:07:57"/>
        <d v="1899-12-30T13:44:00"/>
        <d v="1899-12-30T18:58:14"/>
        <d v="1899-12-30T10:30:09"/>
        <d v="1899-12-30T17:55:16"/>
        <d v="1899-12-30T09:20:16"/>
        <d v="1899-12-30T11:10:45"/>
        <d v="1899-12-30T12:09:28"/>
        <d v="1899-12-30T19:40:42"/>
        <d v="1899-12-30T18:57:13"/>
        <d v="1899-12-30T19:17:39"/>
        <d v="1899-12-30T11:54:20"/>
        <d v="1899-12-30T19:18:49"/>
        <d v="1899-12-30T16:04:24"/>
        <d v="1899-12-30T10:18:22"/>
        <d v="1899-12-30T15:02:20"/>
        <d v="1899-12-30T14:22:34"/>
        <d v="1899-12-30T10:46:57"/>
        <d v="1899-12-30T16:29:43"/>
        <d v="1899-12-30T18:22:50"/>
        <d v="1899-12-30T10:07:48"/>
        <d v="1899-12-30T12:09:47"/>
        <d v="1899-12-30T10:57:58"/>
        <d v="1899-12-30T14:05:48"/>
        <d v="1899-12-30T19:01:09"/>
        <d v="1899-12-30T11:27:20"/>
        <d v="1899-12-30T16:18:51"/>
        <d v="1899-12-30T14:16:33"/>
        <d v="1899-12-30T12:55:59"/>
        <d v="1899-12-30T15:26:26"/>
        <d v="1899-12-30T14:54:13"/>
        <d v="1899-12-30T11:56:56"/>
        <d v="1899-12-30T15:17:49"/>
        <d v="1899-12-30T19:19:27"/>
        <d v="1899-12-30T12:09:23"/>
        <d v="1899-12-30T11:42:41"/>
        <d v="1899-12-30T11:26:38"/>
        <d v="1899-12-30T09:38:39"/>
        <d v="1899-12-30T16:57:56"/>
        <d v="1899-12-30T09:04:08"/>
        <d v="1899-12-30T09:30:23"/>
        <d v="1899-12-30T16:08:43"/>
        <d v="1899-12-30T18:39:14"/>
        <d v="1899-12-30T14:32:30"/>
        <d v="1899-12-30T09:22:14"/>
        <d v="1899-12-30T16:29:58"/>
        <d v="1899-12-30T19:52:12"/>
        <d v="1899-12-30T17:53:02"/>
        <d v="1899-12-30T10:45:36"/>
        <d v="1899-12-30T09:05:11"/>
        <d v="1899-12-30T11:11:12"/>
        <d v="1899-12-30T09:59:34"/>
        <d v="1899-12-30T15:09:24"/>
        <d v="1899-12-30T19:14:25"/>
        <d v="1899-12-30T17:54:30"/>
        <d v="1899-12-30T14:36:46"/>
        <d v="1899-12-30T17:14:24"/>
        <d v="1899-12-30T17:58:33"/>
        <d v="1899-12-30T11:01:28"/>
        <d v="1899-12-30T20:33:48"/>
        <d v="1899-12-30T10:40:11"/>
        <d v="1899-12-30T09:57:01"/>
        <d v="1899-12-30T18:44:50"/>
        <d v="1899-12-30T09:42:11"/>
        <d v="1899-12-30T12:55:15"/>
        <d v="1899-12-30T12:40:25"/>
        <d v="1899-12-30T11:32:52"/>
        <d v="1899-12-30T12:40:24"/>
        <d v="1899-12-30T19:39:33"/>
        <d v="1899-12-30T11:47:35"/>
        <d v="1899-12-30T09:27:59"/>
        <d v="1899-12-30T20:29:04"/>
        <d v="1899-12-30T19:44:22"/>
        <d v="1899-12-30T10:56:49"/>
        <d v="1899-12-30T16:12:49"/>
        <d v="1899-12-30T15:51:51"/>
        <d v="1899-12-30T15:18:24"/>
        <d v="1899-12-30T17:44:48"/>
        <d v="1899-12-30T16:54:38"/>
        <d v="1899-12-30T14:54:55"/>
        <d v="1899-12-30T17:32:08"/>
        <d v="1899-12-30T16:02:18"/>
        <d v="1899-12-30T17:59:48"/>
        <d v="1899-12-30T12:15:57"/>
        <d v="1899-12-30T10:25:31"/>
        <d v="1899-12-30T16:08:58"/>
        <d v="1899-12-30T14:05:12"/>
        <d v="1899-12-30T14:09:38"/>
        <d v="1899-12-30T18:55:10"/>
        <d v="1899-12-30T19:55:55"/>
        <d v="1899-12-30T18:43:08"/>
        <d v="1899-12-30T20:00:13"/>
        <d v="1899-12-30T10:53:41"/>
        <d v="1899-12-30T20:25:06"/>
        <d v="1899-12-30T18:56:34"/>
        <d v="1899-12-30T12:50:52"/>
        <d v="1899-12-30T12:03:34"/>
        <d v="1899-12-30T12:57:43"/>
        <d v="1899-12-30T11:46:06"/>
        <d v="1899-12-30T09:51:18"/>
        <d v="1899-12-30T15:04:29"/>
        <d v="1899-12-30T18:15:15"/>
        <d v="1899-12-30T14:16:08"/>
        <d v="1899-12-30T20:30:43"/>
        <d v="1899-12-30T11:51:07"/>
        <d v="1899-12-30T15:23:41"/>
        <d v="1899-12-30T16:27:09"/>
        <d v="1899-12-30T15:13:55"/>
        <d v="1899-12-30T13:11:05"/>
        <d v="1899-12-30T10:54:16"/>
        <d v="1899-12-30T14:21:32"/>
        <d v="1899-12-30T10:44:08"/>
        <d v="1899-12-30T15:06:38"/>
        <d v="1899-12-30T12:50:29"/>
        <d v="1899-12-30T19:30:38"/>
        <d v="1899-12-30T11:48:47"/>
        <d v="1899-12-30T16:53:01"/>
        <d v="1899-12-30T11:22:44"/>
        <d v="1899-12-30T12:51:45"/>
        <d v="1899-12-30T14:23:58"/>
        <d v="1899-12-30T17:36:39"/>
        <d v="1899-12-30T16:07:13"/>
        <d v="1899-12-30T17:33:01"/>
        <d v="1899-12-30T10:42:08"/>
        <d v="1899-12-30T18:42:44"/>
        <d v="1899-12-30T09:45:50"/>
        <d v="1899-12-30T16:17:26"/>
        <d v="1899-12-30T09:12:18"/>
        <d v="1899-12-30T12:46:38"/>
        <d v="1899-12-30T12:23:23"/>
        <d v="1899-12-30T09:34:21"/>
        <d v="1899-12-30T16:28:06"/>
        <d v="1899-12-30T13:33:36"/>
        <d v="1899-12-30T11:09:45"/>
        <d v="1899-12-30T15:14:06"/>
        <d v="1899-12-30T18:39:26"/>
        <d v="1899-12-30T09:52:18"/>
        <d v="1899-12-30T10:51:58"/>
        <d v="1899-12-30T16:49:13"/>
        <d v="1899-12-30T19:33:52"/>
        <d v="1899-12-30T14:42:10"/>
        <d v="1899-12-30T18:03:12"/>
        <d v="1899-12-30T16:49:11"/>
        <d v="1899-12-30T09:29:15"/>
        <d v="1899-12-30T18:01:58"/>
        <d v="1899-12-30T13:25:39"/>
        <d v="1899-12-30T19:35:52"/>
        <d v="1899-12-30T14:45:44"/>
        <d v="1899-12-30T19:40:31"/>
        <d v="1899-12-30T16:56:41"/>
        <d v="1899-12-30T20:14:26"/>
        <d v="1899-12-30T14:58:45"/>
        <d v="1899-12-30T09:06:34"/>
        <d v="1899-12-30T16:44:05"/>
        <d v="1899-12-30T10:23:14"/>
        <d v="1899-12-30T11:44:31"/>
        <d v="1899-12-30T15:25:11"/>
        <d v="1899-12-30T16:08:16"/>
        <d v="1899-12-30T15:30:16"/>
        <d v="1899-12-30T10:27:09"/>
        <d v="1899-12-30T15:43:22"/>
        <d v="1899-12-30T14:59:28"/>
        <d v="1899-12-30T11:53:54"/>
        <d v="1899-12-30T15:53:20"/>
        <d v="1899-12-30T09:47:42"/>
        <d v="1899-12-30T20:17:12"/>
        <d v="1899-12-30T11:56:42"/>
        <d v="1899-12-30T18:45:13"/>
        <d v="1899-12-30T19:52:11"/>
        <d v="1899-12-30T13:16:35"/>
        <d v="1899-12-30T17:37:00"/>
        <d v="1899-12-30T15:12:31"/>
        <d v="1899-12-30T17:51:37"/>
        <d v="1899-12-30T18:43:45"/>
        <d v="1899-12-30T13:40:21"/>
        <d v="1899-12-30T13:03:51"/>
        <d v="1899-12-30T09:55:23"/>
        <d v="1899-12-30T18:47:56"/>
        <d v="1899-12-30T10:35:41"/>
        <d v="1899-12-30T12:47:12"/>
        <d v="1899-12-30T13:17:01"/>
        <d v="1899-12-30T17:15:15"/>
        <d v="1899-12-30T19:33:31"/>
        <d v="1899-12-30T20:33:03"/>
        <d v="1899-12-30T17:38:44"/>
        <d v="1899-12-30T10:18:33"/>
        <d v="1899-12-30T14:04:22"/>
        <d v="1899-12-30T13:25:19"/>
        <d v="1899-12-30T12:03:02"/>
        <d v="1899-12-30T18:06:38"/>
        <d v="1899-12-30T19:17:28"/>
        <d v="1899-12-30T19:42:29"/>
        <d v="1899-12-30T13:49:28"/>
        <d v="1899-12-30T09:12:29"/>
        <d v="1899-12-30T10:37:57"/>
        <d v="1899-12-30T18:29:01"/>
        <d v="1899-12-30T10:01:32"/>
        <d v="1899-12-30T20:04:14"/>
        <d v="1899-12-30T16:33:18"/>
        <d v="1899-12-30T11:08:04"/>
        <d v="1899-12-30T15:39:41"/>
        <d v="1899-12-30T15:55:01"/>
        <d v="1899-12-30T13:05:44"/>
        <d v="1899-12-30T13:05:59"/>
        <d v="1899-12-30T14:44:50"/>
        <d v="1899-12-30T17:42:04"/>
        <d v="1899-12-30T20:55:19"/>
        <d v="1899-12-30T13:31:53"/>
        <d v="1899-12-30T19:52:51"/>
        <d v="1899-12-30T09:30:46"/>
        <d v="1899-12-30T15:22:04"/>
        <d v="1899-12-30T16:42:10"/>
        <d v="1899-12-30T19:53:20"/>
        <d v="1899-12-30T11:20:46"/>
        <d v="1899-12-30T10:20:11"/>
        <d v="1899-12-30T16:54:54"/>
        <d v="1899-12-30T12:57:48"/>
        <d v="1899-12-30T10:24:35"/>
        <d v="1899-12-30T12:21:33"/>
        <d v="1899-12-30T14:09:19"/>
        <d v="1899-12-30T14:29:41"/>
        <d v="1899-12-30T11:04:48"/>
        <d v="1899-12-30T16:39:50"/>
        <d v="1899-12-30T09:03:21"/>
        <d v="1899-12-30T10:56:21"/>
        <d v="1899-12-30T20:39:05"/>
        <d v="1899-12-30T15:22:21"/>
        <d v="1899-12-30T09:11:41"/>
        <d v="1899-12-30T20:25:50"/>
        <d v="1899-12-30T09:19:08"/>
        <d v="1899-12-30T11:56:17"/>
        <d v="1899-12-30T17:18:32"/>
        <d v="1899-12-30T12:25:30"/>
        <d v="1899-12-30T17:39:15"/>
        <d v="1899-12-30T14:57:47"/>
        <d v="1899-12-30T12:10:24"/>
        <d v="1899-12-30T13:14:06"/>
        <d v="1899-12-30T20:56:59"/>
        <d v="1899-12-30T15:41:21"/>
        <d v="1899-12-30T10:41:44"/>
        <d v="1899-12-30T09:33:47"/>
        <d v="1899-12-30T18:31:39"/>
        <d v="1899-12-30T11:36:16"/>
        <d v="1899-12-30T11:25:32"/>
        <d v="1899-12-30T14:03:06"/>
        <d v="1899-12-30T13:28:54"/>
        <d v="1899-12-30T15:56:40"/>
        <d v="1899-12-30T12:27:27"/>
        <d v="1899-12-30T17:00:07"/>
        <d v="1899-12-30T12:36:01"/>
        <d v="1899-12-30T20:03:42"/>
        <d v="1899-12-30T14:39:21"/>
        <d v="1899-12-30T17:34:35"/>
        <d v="1899-12-30T16:10:04"/>
        <d v="1899-12-30T10:35:50"/>
        <d v="1899-12-30T17:08:37"/>
        <d v="1899-12-30T09:51:50"/>
        <d v="1899-12-30T13:14:08"/>
        <d v="1899-12-30T15:14:50"/>
        <d v="1899-12-30T20:31:26"/>
        <d v="1899-12-30T12:32:06"/>
        <d v="1899-12-30T13:58:13"/>
        <d v="1899-12-30T14:20:51"/>
        <d v="1899-12-30T17:14:23"/>
        <d v="1899-12-30T20:59:16"/>
        <d v="1899-12-30T16:40:53"/>
        <d v="1899-12-30T18:31:36"/>
        <d v="1899-12-30T11:59:11"/>
        <d v="1899-12-30T19:00:42"/>
        <d v="1899-12-30T17:34:38"/>
        <d v="1899-12-30T19:47:27"/>
        <d v="1899-12-30T11:03:27"/>
        <d v="1899-12-30T13:06:56"/>
        <d v="1899-12-30T14:12:57"/>
        <d v="1899-12-30T15:12:42"/>
        <d v="1899-12-30T15:46:18"/>
        <d v="1899-12-30T17:21:45"/>
        <d v="1899-12-30T17:46:42"/>
        <d v="1899-12-30T18:05:28"/>
        <d v="1899-12-30T19:34:27"/>
        <d v="1899-12-30T17:03:36"/>
        <d v="1899-12-30T14:21:44"/>
        <d v="1899-12-30T19:12:31"/>
        <d v="1899-12-30T09:11:47"/>
        <d v="1899-12-30T17:24:18"/>
        <d v="1899-12-30T11:31:30"/>
        <d v="1899-12-30T18:14:43"/>
        <d v="1899-12-30T19:16:37"/>
        <d v="1899-12-30T20:20:28"/>
        <d v="1899-12-30T18:41:14"/>
        <d v="1899-12-30T10:34:22"/>
        <d v="1899-12-30T14:48:31"/>
        <d v="1899-12-30T16:55:01"/>
        <d v="1899-12-30T16:52:17"/>
        <d v="1899-12-30T16:39:11"/>
        <d v="1899-12-30T14:12:15"/>
        <d v="1899-12-30T12:01:44"/>
        <d v="1899-12-30T11:59:59"/>
        <d v="1899-12-30T15:52:58"/>
        <d v="1899-12-30T20:23:51"/>
        <d v="1899-12-30T17:27:09"/>
        <d v="1899-12-30T15:13:37"/>
        <d v="1899-12-30T13:11:08"/>
        <d v="1899-12-30T09:37:53"/>
        <d v="1899-12-30T15:48:49"/>
        <d v="1899-12-30T13:35:13"/>
        <d v="1899-12-30T09:54:23"/>
        <d v="1899-12-30T15:00:04"/>
        <d v="1899-12-30T11:35:24"/>
        <d v="1899-12-30T20:34:01"/>
        <d v="1899-12-30T14:44:44"/>
        <d v="1899-12-30T16:06:29"/>
        <d v="1899-12-30T14:54:02"/>
        <d v="1899-12-30T16:08:08"/>
        <d v="1899-12-30T19:18:50"/>
        <d v="1899-12-30T15:22:31"/>
        <d v="1899-12-30T14:33:05"/>
        <d v="1899-12-30T13:44:17"/>
        <d v="1899-12-30T20:10:14"/>
        <d v="1899-12-30T16:35:57"/>
        <d v="1899-12-30T09:53:16"/>
        <d v="1899-12-30T16:54:46"/>
        <d v="1899-12-30T18:22:58"/>
        <d v="1899-12-30T10:47:38"/>
        <d v="1899-12-30T14:50:51"/>
        <d v="1899-12-30T10:40:12"/>
        <d v="1899-12-30T09:49:45"/>
        <d v="1899-12-30T16:58:38"/>
        <d v="1899-12-30T18:21:50"/>
        <d v="1899-12-30T19:57:24"/>
        <d v="1899-12-30T12:20:47"/>
        <d v="1899-12-30T17:54:20"/>
        <d v="1899-12-30T10:04:49"/>
        <d v="1899-12-30T16:14:55"/>
        <d v="1899-12-30T16:59:49"/>
        <d v="1899-12-30T10:07:21"/>
        <d v="1899-12-30T12:32:55"/>
        <d v="1899-12-30T17:07:04"/>
        <d v="1899-12-30T15:44:50"/>
        <d v="1899-12-30T15:48:24"/>
        <d v="1899-12-30T17:12:29"/>
        <d v="1899-12-30T09:51:28"/>
        <d v="1899-12-30T09:12:05"/>
        <d v="1899-12-30T16:12:41"/>
        <d v="1899-12-30T18:26:16"/>
        <d v="1899-12-30T11:30:50"/>
        <d v="1899-12-30T16:48:08"/>
        <d v="1899-12-30T19:12:21"/>
        <d v="1899-12-30T09:39:33"/>
        <d v="1899-12-30T20:25:31"/>
        <d v="1899-12-30T16:22:43"/>
        <d v="1899-12-30T11:50:47"/>
        <d v="1899-12-30T09:12:17"/>
        <d v="1899-12-30T12:34:26"/>
        <d v="1899-12-30T17:12:03"/>
        <d v="1899-12-30T19:40:08"/>
        <d v="1899-12-30T15:57:02"/>
        <d v="1899-12-30T19:51:18"/>
        <d v="1899-12-30T11:55:34"/>
        <d v="1899-12-30T13:28:18"/>
        <d v="1899-12-30T16:37:10"/>
        <d v="1899-12-30T12:36:20"/>
        <d v="1899-12-30T17:38:14"/>
        <d v="1899-12-30T11:44:17"/>
        <d v="1899-12-30T17:25:15"/>
        <d v="1899-12-30T15:39:49"/>
        <d v="1899-12-30T16:46:54"/>
        <d v="1899-12-30T16:44:38"/>
        <d v="1899-12-30T17:51:02"/>
        <d v="1899-12-30T15:22:09"/>
        <d v="1899-12-30T17:52:24"/>
        <d v="1899-12-30T10:03:21"/>
        <d v="1899-12-30T13:51:59"/>
        <d v="1899-12-30T10:47:00"/>
        <d v="1899-12-30T17:15:20"/>
        <d v="1899-12-30T12:22:08"/>
        <d v="1899-12-30T12:58:42"/>
        <d v="1899-12-30T09:27:45"/>
        <d v="1899-12-30T11:23:00"/>
        <d v="1899-12-30T11:55:25"/>
        <d v="1899-12-30T20:34:45"/>
        <d v="1899-12-30T15:41:36"/>
        <d v="1899-12-30T11:47:12"/>
        <d v="1899-12-30T15:44:21"/>
        <d v="1899-12-30T18:46:30"/>
        <d v="1899-12-30T11:01:54"/>
        <d v="1899-12-30T11:07:25"/>
        <d v="1899-12-30T13:42:43"/>
        <d v="1899-12-30T12:35:36"/>
        <d v="1899-12-30T13:58:52"/>
        <d v="1899-12-30T12:20:18"/>
        <d v="1899-12-30T15:49:51"/>
        <d v="1899-12-30T11:37:46"/>
        <d v="1899-12-30T18:01:55"/>
        <d v="1899-12-30T15:13:13"/>
        <d v="1899-12-30T17:56:01"/>
        <d v="1899-12-30T09:40:49"/>
        <d v="1899-12-30T19:12:04"/>
        <d v="1899-12-30T19:15:44"/>
        <d v="1899-12-30T11:14:37"/>
        <d v="1899-12-30T17:37:16"/>
        <d v="1899-12-30T14:52:05"/>
        <d v="1899-12-30T17:43:21"/>
        <d v="1899-12-30T09:50:49"/>
        <d v="1899-12-30T12:09:08"/>
        <d v="1899-12-30T18:01:56"/>
        <d v="1899-12-30T15:19:18"/>
        <d v="1899-12-30T19:54:14"/>
        <d v="1899-12-30T12:44:08"/>
        <d v="1899-12-30T18:00:07"/>
        <d v="1899-12-30T17:19:41"/>
        <d v="1899-12-30T09:24:29"/>
        <d v="1899-12-30T15:35:47"/>
        <d v="1899-12-30T16:08:26"/>
        <d v="1899-12-30T09:27:34"/>
        <d v="1899-12-30T16:49:56"/>
        <d v="1899-12-30T12:52:46"/>
        <d v="1899-12-30T09:46:48"/>
        <d v="1899-12-30T18:32:08"/>
        <d v="1899-12-30T18:47:23"/>
        <d v="1899-12-30T14:26:25"/>
        <d v="1899-12-30T14:51:52"/>
        <d v="1899-12-30T14:24:22"/>
        <d v="1899-12-30T09:23:15"/>
        <d v="1899-12-30T10:00:52"/>
        <d v="1899-12-30T19:59:01"/>
        <d v="1899-12-30T18:51:50"/>
        <d v="1899-12-30T13:55:26"/>
        <d v="1899-12-30T15:57:29"/>
        <d v="1899-12-30T18:15:59"/>
        <d v="1899-12-30T14:53:31"/>
        <d v="1899-12-30T16:16:11"/>
        <d v="1899-12-30T11:41:20"/>
        <d v="1899-12-30T18:34:18"/>
        <d v="1899-12-30T12:58:47"/>
        <d v="1899-12-30T16:35:53"/>
        <d v="1899-12-30T11:27:48"/>
        <d v="1899-12-30T17:35:08"/>
        <d v="1899-12-30T12:06:19"/>
        <d v="1899-12-30T14:09:02"/>
        <d v="1899-12-30T20:54:33"/>
        <d v="1899-12-30T19:26:36"/>
        <d v="1899-12-30T17:11:56"/>
        <d v="1899-12-30T15:31:42"/>
        <d v="1899-12-30T15:04:24"/>
        <d v="1899-12-30T10:29:59"/>
        <d v="1899-12-30T15:27:59"/>
        <d v="1899-12-30T11:10:56"/>
        <d v="1899-12-30T13:19:19"/>
        <d v="1899-12-30T18:46:48"/>
        <d v="1899-12-30T20:23:59"/>
        <d v="1899-12-30T16:49:00"/>
        <d v="1899-12-30T19:44:19"/>
        <d v="1899-12-30T15:07:16"/>
        <d v="1899-12-30T11:06:53"/>
        <d v="1899-12-30T09:19:52"/>
        <d v="1899-12-30T10:00:03"/>
        <d v="1899-12-30T09:29:24"/>
        <d v="1899-12-30T13:47:56"/>
        <d v="1899-12-30T09:56:03"/>
        <d v="1899-12-30T13:22:06"/>
        <d v="1899-12-30T16:50:08"/>
        <d v="1899-12-30T18:34:04"/>
        <d v="1899-12-30T13:51:55"/>
        <d v="1899-12-30T17:47:15"/>
        <d v="1899-12-30T14:31:19"/>
        <d v="1899-12-30T12:13:58"/>
        <d v="1899-12-30T12:14:16"/>
        <d v="1899-12-30T12:35:34"/>
        <d v="1899-12-30T18:16:24"/>
        <d v="1899-12-30T17:56:49"/>
        <d v="1899-12-30T13:41:51"/>
        <d v="1899-12-30T12:05:20"/>
        <d v="1899-12-30T15:31:41"/>
        <d v="1899-12-30T19:27:52"/>
        <d v="1899-12-30T18:18:52"/>
        <d v="1899-12-30T19:11:50"/>
        <d v="1899-12-30T18:37:34"/>
        <d v="1899-12-30T18:18:33"/>
        <d v="1899-12-30T15:48:56"/>
        <d v="1899-12-30T13:17:31"/>
        <d v="1899-12-30T19:29:31"/>
        <d v="1899-12-30T19:17:21"/>
        <d v="1899-12-30T10:16:02"/>
        <d v="1899-12-30T10:58:32"/>
        <d v="1899-12-30T13:52:01"/>
        <d v="1899-12-30T11:38:14"/>
        <d v="1899-12-30T20:31:12"/>
        <d v="1899-12-30T11:07:32"/>
        <d v="1899-12-30T19:14:08"/>
        <d v="1899-12-30T18:04:29"/>
        <d v="1899-12-30T14:41:10"/>
        <d v="1899-12-30T10:33:51"/>
        <d v="1899-12-30T20:00:40"/>
        <d v="1899-12-30T19:08:01"/>
        <d v="1899-12-30T12:58:25"/>
        <d v="1899-12-30T17:55:10"/>
        <d v="1899-12-30T17:11:59"/>
        <d v="1899-12-30T09:46:36"/>
        <d v="1899-12-30T13:02:28"/>
        <d v="1899-12-30T17:46:48"/>
        <d v="1899-12-30T13:13:10"/>
        <d v="1899-12-30T16:13:07"/>
        <d v="1899-12-30T19:56:52"/>
        <d v="1899-12-30T18:41:49"/>
        <d v="1899-12-30T19:35:30"/>
        <d v="1899-12-30T16:22:32"/>
        <d v="1899-12-30T14:53:03"/>
        <d v="1899-12-30T12:06:27"/>
        <d v="1899-12-30T14:39:57"/>
        <d v="1899-12-30T16:21:12"/>
        <d v="1899-12-30T19:40:40"/>
        <d v="1899-12-30T19:18:22"/>
        <d v="1899-12-30T11:53:33"/>
        <d v="1899-12-30T17:11:09"/>
        <d v="1899-12-30T09:13:12"/>
        <d v="1899-12-30T16:22:40"/>
        <d v="1899-12-30T16:49:34"/>
        <d v="1899-12-30T13:21:17"/>
        <d v="1899-12-30T16:40:55"/>
        <d v="1899-12-30T19:51:57"/>
        <d v="1899-12-30T20:46:06"/>
        <d v="1899-12-30T12:22:24"/>
        <d v="1899-12-30T17:42:57"/>
        <d v="1899-12-30T09:25:59"/>
        <d v="1899-12-30T09:34:52"/>
        <d v="1899-12-30T17:20:58"/>
        <d v="1899-12-30T19:08:13"/>
        <d v="1899-12-30T15:50:14"/>
        <d v="1899-12-30T20:01:05"/>
        <d v="1899-12-30T11:04:16"/>
        <d v="1899-12-30T17:41:40"/>
        <d v="1899-12-30T19:37:16"/>
        <d v="1899-12-30T18:09:41"/>
        <d v="1899-12-30T17:21:44"/>
        <d v="1899-12-30T11:41:13"/>
        <d v="1899-12-30T19:44:47"/>
        <d v="1899-12-30T10:09:19"/>
        <d v="1899-12-30T17:46:52"/>
        <d v="1899-12-30T20:46:38"/>
        <d v="1899-12-30T17:03:26"/>
        <d v="1899-12-30T16:56:12"/>
        <d v="1899-12-30T20:21:35"/>
        <d v="1899-12-30T12:11:43"/>
        <d v="1899-12-30T20:00:47"/>
        <d v="1899-12-30T14:27:32"/>
        <d v="1899-12-30T18:33:49"/>
        <d v="1899-12-30T20:30:11"/>
        <d v="1899-12-30T18:11:14"/>
        <d v="1899-12-30T10:34:19"/>
        <d v="1899-12-30T19:28:12"/>
        <d v="1899-12-30T19:16:40"/>
        <d v="1899-12-30T19:33:46"/>
        <d v="1899-12-30T15:37:38"/>
        <d v="1899-12-30T18:24:01"/>
        <d v="1899-12-30T13:57:59"/>
        <d v="1899-12-30T14:44:09"/>
        <d v="1899-12-30T11:43:19"/>
        <d v="1899-12-30T17:52:04"/>
        <d v="1899-12-30T10:03:57"/>
        <d v="1899-12-30T11:24:03"/>
        <d v="1899-12-30T20:29:20"/>
        <d v="1899-12-30T11:10:52"/>
        <d v="1899-12-30T15:31:28"/>
        <d v="1899-12-30T12:00:45"/>
        <d v="1899-12-30T20:42:50"/>
        <d v="1899-12-30T12:59:13"/>
        <d v="1899-12-30T18:06:15"/>
        <d v="1899-12-30T14:29:10"/>
        <d v="1899-12-30T16:53:35"/>
        <d v="1899-12-30T16:24:11"/>
        <d v="1899-12-30T11:25:52"/>
        <d v="1899-12-30T13:26:04"/>
        <d v="1899-12-30T10:56:47"/>
        <d v="1899-12-30T10:16:58"/>
        <d v="1899-12-30T19:43:36"/>
        <d v="1899-12-30T11:09:33"/>
        <d v="1899-12-30T18:51:32"/>
        <d v="1899-12-30T16:09:47"/>
        <d v="1899-12-30T17:46:59"/>
        <d v="1899-12-30T18:27:23"/>
        <d v="1899-12-30T16:01:15"/>
        <d v="1899-12-30T18:38:05"/>
        <d v="1899-12-30T12:39:28"/>
        <d v="1899-12-30T12:00:35"/>
        <d v="1899-12-30T09:57:06"/>
        <d v="1899-12-30T10:22:04"/>
        <d v="1899-12-30T17:35:57"/>
        <d v="1899-12-30T12:10:47"/>
        <d v="1899-12-30T18:04:15"/>
        <d v="1899-12-30T12:28:17"/>
        <d v="1899-12-30T15:49:58"/>
        <d v="1899-12-30T09:34:05"/>
        <d v="1899-12-30T17:50:54"/>
        <d v="1899-12-30T16:28:23"/>
        <d v="1899-12-30T11:54:10"/>
        <d v="1899-12-30T11:16:41"/>
        <d v="1899-12-30T18:20:30"/>
        <d v="1899-12-30T16:07:59"/>
        <d v="1899-12-30T14:07:55"/>
        <d v="1899-12-30T16:58:07"/>
        <d v="1899-12-30T10:29:03"/>
        <d v="1899-12-30T10:13:20"/>
        <d v="1899-12-30T15:37:56"/>
        <d v="1899-12-30T20:45:34"/>
        <d v="1899-12-30T11:40:40"/>
        <d v="1899-12-30T13:40:55"/>
        <d v="1899-12-30T19:35:28"/>
        <d v="1899-12-30T13:56:33"/>
        <d v="1899-12-30T18:53:50"/>
        <d v="1899-12-30T15:34:26"/>
        <d v="1899-12-30T10:54:59"/>
        <d v="1899-12-30T17:59:25"/>
        <d v="1899-12-30T09:15:20"/>
        <d v="1899-12-30T10:51:54"/>
        <d v="1899-12-30T15:41:01"/>
        <d v="1899-12-30T16:42:51"/>
        <d v="1899-12-30T15:01:02"/>
        <d v="1899-12-30T09:58:01"/>
        <d v="1899-12-30T18:57:14"/>
        <d v="1899-12-30T15:37:44"/>
        <d v="1899-12-30T18:06:51"/>
        <d v="1899-12-30T20:42:48"/>
        <d v="1899-12-30T10:26:34"/>
        <d v="1899-12-30T11:06:20"/>
        <d v="1899-12-30T18:13:21"/>
        <d v="1899-12-30T09:57:11"/>
        <d v="1899-12-30T19:23:00"/>
        <d v="1899-12-30T18:38:49"/>
        <d v="1899-12-30T11:22:22"/>
        <d v="1899-12-30T13:38:10"/>
        <d v="1899-12-30T14:32:42"/>
        <d v="1899-12-30T11:31:57"/>
        <d v="1899-12-30T19:43:44"/>
        <d v="1899-12-30T19:55:14"/>
        <d v="1899-12-30T10:07:53"/>
        <d v="1899-12-30T16:26:52"/>
        <d v="1899-12-30T13:21:13"/>
        <d v="1899-12-30T20:15:22"/>
        <d v="1899-12-30T16:02:49"/>
        <d v="1899-12-30T19:02:12"/>
        <d v="1899-12-30T12:25:13"/>
        <d v="1899-12-30T09:20:03"/>
        <d v="1899-12-30T10:57:50"/>
        <d v="1899-12-30T13:55:22"/>
        <d v="1899-12-30T11:22:56"/>
        <d v="1899-12-30T19:41:08"/>
        <d v="1899-12-30T12:11:59"/>
        <d v="1899-12-30T18:08:56"/>
        <d v="1899-12-30T09:08:11"/>
        <d v="1899-12-30T18:45:31"/>
        <d v="1899-12-30T18:15:38"/>
        <d v="1899-12-30T18:26:22"/>
        <d v="1899-12-30T18:58:22"/>
        <d v="1899-12-30T18:43:33"/>
        <d v="1899-12-30T12:56:56"/>
        <d v="1899-12-30T18:09:50"/>
        <d v="1899-12-30T20:10:06"/>
        <d v="1899-12-30T11:05:49"/>
        <d v="1899-12-30T19:03:18"/>
        <d v="1899-12-30T15:00:12"/>
        <d v="1899-12-30T12:43:00"/>
        <d v="1899-12-30T19:11:01"/>
        <d v="1899-12-30T11:03:01"/>
        <d v="1899-12-30T15:38:13"/>
        <d v="1899-12-30T13:15:33"/>
        <d v="1899-12-30T12:00:22"/>
        <d v="1899-12-30T15:08:31"/>
        <d v="1899-12-30T20:37:31"/>
        <d v="1899-12-30T14:08:29"/>
        <d v="1899-12-30T15:31:49"/>
        <d v="1899-12-30T10:14:37"/>
        <d v="1899-12-30T09:14:31"/>
        <d v="1899-12-30T13:15:04"/>
        <d v="1899-12-30T12:37:33"/>
        <d v="1899-12-30T18:23:15"/>
        <d v="1899-12-30T17:59:37"/>
        <d v="1899-12-30T13:00:50"/>
        <d v="1899-12-30T17:00:11"/>
        <d v="1899-12-30T11:48:03"/>
        <d v="1899-12-30T15:17:59"/>
        <d v="1899-12-30T14:36:54"/>
        <d v="1899-12-30T16:52:02"/>
        <d v="1899-12-30T17:29:00"/>
        <d v="1899-12-30T17:35:33"/>
        <d v="1899-12-30T18:16:00"/>
        <d v="1899-12-30T18:34:44"/>
        <d v="1899-12-30T14:40:24"/>
        <d v="1899-12-30T13:43:18"/>
        <d v="1899-12-30T14:23:26"/>
        <d v="1899-12-30T19:28:08"/>
        <d v="1899-12-30T16:08:29"/>
        <d v="1899-12-30T19:11:29"/>
        <d v="1899-12-30T18:16:59"/>
        <d v="1899-12-30T12:20:14"/>
        <d v="1899-12-30T20:32:18"/>
        <d v="1899-12-30T20:44:31"/>
        <d v="1899-12-30T20:04:43"/>
        <d v="1899-12-30T19:32:29"/>
        <d v="1899-12-30T09:27:18"/>
        <d v="1899-12-30T11:22:43"/>
        <d v="1899-12-30T17:34:59"/>
        <d v="1899-12-30T13:34:40"/>
        <d v="1899-12-30T13:04:44"/>
        <d v="1899-12-30T20:11:09"/>
        <d v="1899-12-30T18:05:15"/>
        <d v="1899-12-30T20:49:39"/>
        <d v="1899-12-30T17:26:27"/>
        <d v="1899-12-30T19:37:26"/>
        <d v="1899-12-30T15:45:23"/>
        <d v="1899-12-30T12:28:35"/>
        <d v="1899-12-30T20:28:59"/>
        <d v="1899-12-30T18:57:30"/>
        <d v="1899-12-30T10:33:46"/>
        <d v="1899-12-30T12:13:30"/>
        <d v="1899-12-30T11:45:26"/>
        <d v="1899-12-30T20:33:07"/>
        <d v="1899-12-30T14:42:46"/>
        <d v="1899-12-30T20:25:08"/>
        <d v="1899-12-30T11:52:45"/>
        <d v="1899-12-30T14:45:39"/>
        <d v="1899-12-30T19:15:58"/>
        <d v="1899-12-30T18:58:46"/>
        <d v="1899-12-30T14:33:09"/>
        <d v="1899-12-30T13:14:19"/>
        <d v="1899-12-30T14:03:03"/>
        <d v="1899-12-30T10:03:12"/>
        <d v="1899-12-30T18:19:48"/>
        <d v="1899-12-30T13:37:18"/>
        <d v="1899-12-30T13:38:53"/>
        <d v="1899-12-30T12:25:39"/>
        <d v="1899-12-30T12:49:55"/>
        <d v="1899-12-30T12:18:04"/>
        <d v="1899-12-30T19:06:29"/>
        <d v="1899-12-30T11:18:20"/>
        <d v="1899-12-30T09:06:10"/>
        <d v="1899-12-30T11:53:02"/>
        <d v="1899-12-30T16:49:02"/>
        <d v="1899-12-30T14:10:07"/>
        <d v="1899-12-30T16:07:30"/>
        <d v="1899-12-30T19:25:44"/>
        <d v="1899-12-30T15:35:34"/>
        <d v="1899-12-30T13:48:20"/>
        <d v="1899-12-30T20:26:59"/>
        <d v="1899-12-30T19:42:46"/>
        <d v="1899-12-30T17:40:51"/>
        <d v="1899-12-30T10:51:48"/>
        <d v="1899-12-30T14:49:18"/>
        <d v="1899-12-30T10:05:44"/>
        <d v="1899-12-30T20:50:18"/>
        <d v="1899-12-30T12:57:51"/>
        <d v="1899-12-30T16:38:45"/>
        <d v="1899-12-30T20:13:14"/>
        <d v="1899-12-30T16:25:28"/>
        <d v="1899-12-30T18:13:48"/>
        <d v="1899-12-30T16:27:53"/>
        <d v="1899-12-30T15:37:47"/>
        <d v="1899-12-30T09:22:18"/>
        <d v="1899-12-30T12:22:31"/>
        <d v="1899-12-30T19:21:06"/>
        <d v="1899-12-30T13:18:04"/>
        <d v="1899-12-30T19:11:46"/>
        <d v="1899-12-30T11:25:14"/>
        <d v="1899-12-30T17:49:03"/>
        <d v="1899-12-30T18:38:32"/>
        <d v="1899-12-30T17:44:05"/>
        <d v="1899-12-30T10:00:20"/>
        <d v="1899-12-30T15:32:29"/>
        <d v="1899-12-30T09:30:50"/>
        <d v="1899-12-30T10:03:38"/>
        <d v="1899-12-30T10:07:17"/>
        <d v="1899-12-30T18:57:32"/>
        <d v="1899-12-30T12:39:33"/>
        <d v="1899-12-30T15:38:00"/>
        <d v="1899-12-30T18:27:02"/>
        <d v="1899-12-30T11:43:54"/>
        <d v="1899-12-30T14:13:29"/>
        <d v="1899-12-30T16:44:02"/>
        <d v="1899-12-30T19:20:01"/>
        <d v="1899-12-30T15:39:25"/>
        <d v="1899-12-30T15:31:46"/>
        <d v="1899-12-30T12:54:00"/>
        <d v="1899-12-30T18:31:08"/>
        <d v="1899-12-30T20:27:13"/>
        <d v="1899-12-30T15:32:36"/>
        <d v="1899-12-30T13:32:49"/>
        <d v="1899-12-30T19:01:27"/>
        <d v="1899-12-30T14:00:00"/>
        <d v="1899-12-30T13:13:56"/>
        <d v="1899-12-30T14:58:00"/>
        <d v="1899-12-30T14:42:12"/>
        <d v="1899-12-30T11:21:21"/>
        <d v="1899-12-30T10:47:28"/>
        <d v="1899-12-30T10:49:33"/>
        <d v="1899-12-30T16:43:36"/>
        <d v="1899-12-30T14:44:42"/>
        <d v="1899-12-30T13:43:46"/>
        <d v="1899-12-30T13:48:45"/>
        <d v="1899-12-30T12:58:36"/>
        <d v="1899-12-30T17:05:45"/>
        <d v="1899-12-30T13:52:19"/>
        <d v="1899-12-30T13:41:11"/>
        <d v="1899-12-30T19:04:10"/>
        <d v="1899-12-30T18:48:45"/>
        <d v="1899-12-30T15:09:34"/>
        <d v="1899-12-30T19:02:02"/>
        <d v="1899-12-30T18:02:04"/>
        <d v="1899-12-30T16:01:41"/>
        <d v="1899-12-30T17:09:09"/>
        <d v="1899-12-30T11:56:21"/>
        <d v="1899-12-30T17:23:56"/>
        <d v="1899-12-30T18:54:14"/>
        <d v="1899-12-30T19:25:00"/>
        <d v="1899-12-30T11:42:25"/>
        <d v="1899-12-30T18:07:17"/>
        <d v="1899-12-30T18:52:23"/>
        <d v="1899-12-30T10:29:10"/>
        <d v="1899-12-30T12:27:44"/>
        <d v="1899-12-30T12:24:14"/>
        <d v="1899-12-30T16:58:30"/>
        <d v="1899-12-30T10:07:34"/>
        <d v="1899-12-30T17:37:54"/>
        <d v="1899-12-30T18:06:34"/>
        <d v="1899-12-30T09:03:54"/>
        <d v="1899-12-30T12:01:11"/>
        <d v="1899-12-30T16:48:53"/>
        <d v="1899-12-30T14:40:14"/>
        <d v="1899-12-30T15:17:50"/>
        <d v="1899-12-30T12:31:04"/>
        <d v="1899-12-30T14:04:01"/>
        <d v="1899-12-30T14:16:34"/>
        <d v="1899-12-30T09:50:51"/>
        <d v="1899-12-30T11:43:20"/>
        <d v="1899-12-30T10:28:30"/>
        <d v="1899-12-30T13:29:40"/>
        <d v="1899-12-30T11:08:20"/>
        <d v="1899-12-30T16:21:39"/>
        <d v="1899-12-30T19:37:02"/>
        <d v="1899-12-30T12:26:56"/>
        <d v="1899-12-30T16:01:29"/>
        <d v="1899-12-30T16:13:36"/>
        <d v="1899-12-30T11:08:58"/>
        <d v="1899-12-30T15:09:43"/>
        <d v="1899-12-30T10:25:38"/>
        <d v="1899-12-30T16:00:15"/>
        <d v="1899-12-30T18:30:33"/>
        <d v="1899-12-30T14:45:02"/>
        <d v="1899-12-30T19:47:24"/>
        <d v="1899-12-30T18:17:58"/>
        <d v="1899-12-30T09:36:42"/>
        <d v="1899-12-30T14:32:40"/>
        <d v="1899-12-30T11:22:03"/>
        <d v="1899-12-30T09:09:03"/>
        <d v="1899-12-30T09:20:13"/>
        <d v="1899-12-30T17:07:13"/>
        <d v="1899-12-30T14:55:09"/>
        <d v="1899-12-30T15:05:02"/>
        <d v="1899-12-30T17:26:11"/>
        <d v="1899-12-30T14:04:15"/>
        <d v="1899-12-30T18:25:52"/>
        <d v="1899-12-30T13:41:39"/>
        <d v="1899-12-30T09:13:18"/>
        <d v="1899-12-30T10:22:22"/>
        <d v="1899-12-30T10:25:36"/>
        <d v="1899-12-30T18:50:55"/>
        <d v="1899-12-30T13:20:16"/>
        <d v="1899-12-30T13:46:55"/>
        <d v="1899-12-30T13:03:41"/>
        <d v="1899-12-30T10:59:55"/>
        <d v="1899-12-30T09:54:00"/>
        <d v="1899-12-30T17:38:51"/>
        <d v="1899-12-30T10:35:02"/>
        <d v="1899-12-30T14:23:27"/>
        <d v="1899-12-30T10:56:26"/>
        <d v="1899-12-30T11:40:16"/>
        <d v="1899-12-30T09:28:27"/>
        <d v="1899-12-30T17:57:32"/>
        <d v="1899-12-30T18:15:39"/>
        <d v="1899-12-30T11:20:59"/>
        <d v="1899-12-30T11:10:07"/>
        <d v="1899-12-30T20:13:51"/>
        <d v="1899-12-30T13:20:11"/>
        <d v="1899-12-30T11:48:39"/>
        <d v="1899-12-30T13:48:06"/>
        <d v="1899-12-30T12:32:18"/>
        <d v="1899-12-30T10:44:32"/>
        <d v="1899-12-30T18:01:15"/>
        <d v="1899-12-30T18:03:41"/>
        <d v="1899-12-30T12:36:12"/>
        <d v="1899-12-30T11:46:48"/>
        <d v="1899-12-30T10:04:23"/>
        <d v="1899-12-30T19:11:59"/>
        <d v="1899-12-30T14:34:08"/>
        <d v="1899-12-30T10:45:24"/>
        <d v="1899-12-30T19:13:33"/>
        <d v="1899-12-30T12:43:59"/>
        <d v="1899-12-30T13:48:31"/>
        <d v="1899-12-30T14:53:48"/>
        <d v="1899-12-30T11:38:52"/>
        <d v="1899-12-30T11:32:56"/>
        <d v="1899-12-30T18:05:29"/>
        <d v="1899-12-30T20:33:11"/>
        <d v="1899-12-30T16:37:21"/>
        <d v="1899-12-30T16:52:25"/>
        <d v="1899-12-30T10:45:28"/>
        <d v="1899-12-30T10:22:53"/>
        <d v="1899-12-30T11:18:34"/>
        <d v="1899-12-30T17:50:07"/>
        <d v="1899-12-30T18:43:23"/>
        <d v="1899-12-30T19:17:20"/>
        <d v="1899-12-30T11:24:16"/>
        <d v="1899-12-30T19:59:36"/>
        <d v="1899-12-30T13:27:59"/>
        <d v="1899-12-30T13:03:46"/>
        <d v="1899-12-30T13:20:17"/>
        <d v="1899-12-30T18:03:15"/>
        <d v="1899-12-30T18:16:28"/>
        <d v="1899-12-30T11:25:49"/>
        <d v="1899-12-30T19:59:02"/>
        <d v="1899-12-30T11:28:46"/>
        <d v="1899-12-30T17:16:49"/>
        <d v="1899-12-30T17:48:55"/>
        <d v="1899-12-30T12:07:35"/>
        <d v="1899-12-30T10:44:48"/>
        <d v="1899-12-30T10:17:52"/>
        <d v="1899-12-30T15:09:40"/>
        <d v="1899-12-30T20:06:35"/>
        <d v="1899-12-30T16:46:35"/>
        <d v="1899-12-30T15:18:10"/>
        <d v="1899-12-30T14:07:37"/>
        <d v="1899-12-30T20:59:42"/>
        <d v="1899-12-30T20:45:18"/>
        <d v="1899-12-30T19:03:14"/>
        <d v="1899-12-30T17:05:06"/>
        <d v="1899-12-30T09:19:01"/>
        <d v="1899-12-30T16:19:32"/>
        <d v="1899-12-30T10:46:43"/>
        <d v="1899-12-30T16:58:15"/>
        <d v="1899-12-30T15:43:14"/>
        <d v="1899-12-30T14:32:04"/>
        <d v="1899-12-30T15:42:58"/>
        <d v="1899-12-30T20:16:04"/>
        <d v="1899-12-30T15:17:35"/>
        <d v="1899-12-30T17:41:18"/>
        <d v="1899-12-30T13:21:03"/>
        <d v="1899-12-30T12:32:27"/>
        <d v="1899-12-30T11:26:21"/>
        <d v="1899-12-30T12:06:21"/>
        <d v="1899-12-30T10:09:24"/>
        <d v="1899-12-30T17:23:01"/>
        <d v="1899-12-30T10:00:18"/>
        <d v="1899-12-30T20:15:19"/>
        <d v="1899-12-30T12:23:39"/>
        <d v="1899-12-30T14:08:22"/>
        <d v="1899-12-30T11:20:34"/>
        <d v="1899-12-30T10:04:40"/>
        <d v="1899-12-30T13:46:32"/>
        <d v="1899-12-30T10:22:40"/>
        <d v="1899-12-30T11:04:49"/>
        <d v="1899-12-30T14:29:40"/>
        <d v="1899-12-30T09:01:26"/>
        <d v="1899-12-30T12:27:35"/>
        <d v="1899-12-30T09:10:55"/>
        <d v="1899-12-30T11:15:20"/>
        <d v="1899-12-30T15:15:51"/>
        <d v="1899-12-30T15:03:28"/>
        <d v="1899-12-30T17:54:07"/>
        <d v="1899-12-30T15:06:12"/>
        <d v="1899-12-30T16:41:20"/>
        <d v="1899-12-30T11:17:50"/>
        <d v="1899-12-30T13:25:23"/>
        <d v="1899-12-30T14:30:05"/>
        <d v="1899-12-30T20:23:12"/>
        <d v="1899-12-30T13:01:33"/>
        <d v="1899-12-30T11:30:39"/>
        <d v="1899-12-30T09:39:55"/>
        <d v="1899-12-30T20:04:19"/>
        <d v="1899-12-30T13:03:33"/>
        <d v="1899-12-30T15:07:32"/>
        <d v="1899-12-30T11:17:56"/>
        <d v="1899-12-30T11:41:02"/>
        <d v="1899-12-30T09:33:10"/>
        <d v="1899-12-30T19:20:08"/>
        <d v="1899-12-30T10:51:44"/>
        <d v="1899-12-30T12:15:35"/>
        <d v="1899-12-30T19:34:16"/>
        <d v="1899-12-30T09:06:29"/>
        <d v="1899-12-30T19:03:44"/>
        <d v="1899-12-30T16:03:43"/>
        <d v="1899-12-30T18:49:47"/>
        <d v="1899-12-30T13:40:57"/>
        <d v="1899-12-30T15:11:36"/>
        <d v="1899-12-30T13:45:21"/>
        <d v="1899-12-30T18:10:25"/>
        <d v="1899-12-30T13:00:18"/>
        <d v="1899-12-30T19:15:51"/>
        <d v="1899-12-30T14:57:17"/>
        <d v="1899-12-30T18:29:45"/>
        <d v="1899-12-30T15:33:22"/>
        <d v="1899-12-30T20:09:20"/>
        <d v="1899-12-30T12:16:34"/>
        <d v="1899-12-30T15:34:03"/>
        <d v="1899-12-30T09:42:39"/>
        <d v="1899-12-30T15:23:12"/>
        <d v="1899-12-30T14:36:26"/>
        <d v="1899-12-30T12:14:19"/>
        <d v="1899-12-30T20:15:18"/>
        <d v="1899-12-30T12:29:21"/>
        <d v="1899-12-30T15:32:23"/>
        <d v="1899-12-30T10:24:41"/>
        <d v="1899-12-30T13:24:35"/>
        <d v="1899-12-30T16:25:25"/>
        <d v="1899-12-30T18:32:17"/>
        <d v="1899-12-30T11:49:49"/>
        <d v="1899-12-30T16:19:33"/>
        <d v="1899-12-30T11:19:27"/>
        <d v="1899-12-30T18:32:06"/>
        <d v="1899-12-30T14:17:11"/>
        <d v="1899-12-30T09:03:45"/>
        <d v="1899-12-30T12:21:49"/>
        <d v="1899-12-30T16:29:11"/>
        <d v="1899-12-30T14:28:37"/>
        <d v="1899-12-30T11:03:08"/>
        <d v="1899-12-30T10:31:14"/>
        <d v="1899-12-30T10:09:16"/>
        <d v="1899-12-30T09:44:00"/>
        <d v="1899-12-30T18:23:33"/>
        <d v="1899-12-30T15:44:55"/>
        <d v="1899-12-30T14:51:57"/>
        <d v="1899-12-30T14:29:11"/>
        <d v="1899-12-30T16:36:07"/>
        <d v="1899-12-30T10:26:31"/>
        <d v="1899-12-30T18:56:37"/>
        <d v="1899-12-30T14:19:35"/>
        <d v="1899-12-30T19:45:15"/>
        <d v="1899-12-30T14:25:03"/>
        <d v="1899-12-30T13:58:25"/>
        <d v="1899-12-30T10:35:22"/>
        <d v="1899-12-30T16:03:13"/>
        <d v="1899-12-30T18:29:55"/>
        <d v="1899-12-30T17:40:56"/>
        <d v="1899-12-30T17:26:57"/>
        <d v="1899-12-30T12:27:38"/>
        <d v="1899-12-30T19:21:51"/>
        <d v="1899-12-30T09:13:57"/>
        <d v="1899-12-30T09:19:34"/>
        <d v="1899-12-30T19:05:15"/>
        <d v="1899-12-30T12:33:27"/>
        <d v="1899-12-30T11:13:50"/>
        <d v="1899-12-30T18:12:31"/>
        <d v="1899-12-30T10:29:25"/>
        <d v="1899-12-30T20:57:06"/>
        <d v="1899-12-30T10:26:17"/>
        <d v="1899-12-30T18:44:29"/>
        <d v="1899-12-30T17:01:27"/>
        <d v="1899-12-30T17:37:05"/>
        <d v="1899-12-30T11:04:38"/>
        <d v="1899-12-30T15:09:52"/>
        <d v="1899-12-30T14:48:01"/>
        <d v="1899-12-30T20:18:42"/>
        <d v="1899-12-30T18:23:31"/>
        <d v="1899-12-30T10:04:41"/>
        <d v="1899-12-30T10:21:14"/>
        <d v="1899-12-30T10:16:37"/>
        <d v="1899-12-30T11:13:23"/>
        <d v="1899-12-30T20:30:52"/>
        <d v="1899-12-30T20:17:53"/>
        <d v="1899-12-30T16:43:57"/>
        <d v="1899-12-30T16:44:08"/>
        <d v="1899-12-30T15:18:33"/>
        <d v="1899-12-30T14:04:31"/>
        <d v="1899-12-30T20:20:48"/>
        <d v="1899-12-30T11:13:40"/>
        <d v="1899-12-30T13:06:16"/>
        <d v="1899-12-30T10:47:52"/>
        <d v="1899-12-30T11:16:00"/>
        <d v="1899-12-30T11:08:43"/>
        <d v="1899-12-30T15:17:19"/>
        <d v="1899-12-30T12:01:37"/>
        <d v="1899-12-30T18:20:35"/>
        <d v="1899-12-30T09:59:25"/>
        <d v="1899-12-30T14:04:21"/>
        <d v="1899-12-30T19:36:09"/>
        <d v="1899-12-30T11:33:32"/>
        <d v="1899-12-30T19:08:58"/>
        <d v="1899-12-30T14:48:56"/>
        <d v="1899-12-30T18:43:32"/>
        <d v="1899-12-30T18:43:17"/>
        <d v="1899-12-30T10:00:56"/>
        <d v="1899-12-30T18:59:30"/>
        <d v="1899-12-30T13:57:58"/>
        <d v="1899-12-30T11:42:09"/>
        <d v="1899-12-30T15:53:43"/>
        <d v="1899-12-30T18:31:37"/>
        <d v="1899-12-30T17:55:59"/>
        <d v="1899-12-30T12:54:23"/>
        <d v="1899-12-30T20:05:20"/>
        <d v="1899-12-30T14:44:29"/>
        <d v="1899-12-30T14:29:20"/>
        <d v="1899-12-30T10:47:23"/>
        <d v="1899-12-30T14:04:11"/>
        <d v="1899-12-30T20:03:09"/>
        <d v="1899-12-30T16:54:41"/>
        <d v="1899-12-30T16:33:46"/>
        <d v="1899-12-30T19:03:38"/>
        <d v="1899-12-30T16:14:10"/>
        <d v="1899-12-30T16:57:22"/>
        <d v="1899-12-30T20:45:33"/>
        <d v="1899-12-30T18:36:52"/>
        <d v="1899-12-30T13:35:12"/>
        <d v="1899-12-30T20:33:17"/>
        <d v="1899-12-30T11:28:32"/>
        <d v="1899-12-30T09:08:45"/>
        <d v="1899-12-30T17:18:30"/>
        <d v="1899-12-30T15:30:14"/>
        <d v="1899-12-30T18:09:07"/>
        <d v="1899-12-30T17:13:52"/>
        <d v="1899-12-30T10:27:37"/>
        <d v="1899-12-30T12:16:05"/>
        <d v="1899-12-30T19:27:53"/>
        <d v="1899-12-30T09:09:06"/>
        <d v="1899-12-30T18:35:08"/>
        <d v="1899-12-30T10:30:26"/>
        <d v="1899-12-30T19:39:01"/>
        <d v="1899-12-30T19:50:14"/>
        <d v="1899-12-30T14:14:23"/>
        <d v="1899-12-30T18:46:23"/>
        <d v="1899-12-30T20:48:44"/>
        <d v="1899-12-30T09:40:26"/>
        <d v="1899-12-30T18:11:54"/>
        <d v="1899-12-30T12:39:52"/>
        <d v="1899-12-30T10:02:24"/>
        <d v="1899-12-30T20:14:40"/>
        <d v="1899-12-30T12:42:10"/>
        <d v="1899-12-30T12:44:31"/>
        <d v="1899-12-30T15:44:54"/>
        <d v="1899-12-30T11:24:30"/>
        <d v="1899-12-30T10:54:25"/>
        <d v="1899-12-30T18:58:24"/>
        <d v="1899-12-30T18:40:31"/>
        <d v="1899-12-30T13:13:36"/>
        <d v="1899-12-30T15:44:03"/>
        <d v="1899-12-30T10:00:22"/>
        <d v="1899-12-30T10:40:55"/>
        <d v="1899-12-30T19:12:40"/>
        <d v="1899-12-30T11:35:14"/>
        <d v="1899-12-30T11:41:17"/>
        <d v="1899-12-30T14:10:45"/>
        <d v="1899-12-30T13:53:33"/>
        <d v="1899-12-30T18:37:13"/>
        <d v="1899-12-30T20:39:41"/>
        <d v="1899-12-30T18:41:36"/>
        <d v="1899-12-30T09:20:19"/>
        <d v="1899-12-30T11:47:18"/>
        <d v="1899-12-30T20:35:11"/>
        <d v="1899-12-30T11:21:23"/>
        <d v="1899-12-30T15:50:46"/>
        <d v="1899-12-30T11:53:28"/>
        <d v="1899-12-30T11:07:15"/>
        <d v="1899-12-30T15:27:01"/>
        <d v="1899-12-30T12:04:26"/>
        <d v="1899-12-30T13:53:03"/>
        <d v="1899-12-30T13:57:06"/>
        <d v="1899-12-30T16:07:12"/>
        <d v="1899-12-30T18:13:33"/>
        <d v="1899-12-30T16:52:01"/>
        <d v="1899-12-30T19:34:54"/>
        <d v="1899-12-30T15:12:23"/>
        <d v="1899-12-30T20:44:04"/>
        <d v="1899-12-30T13:07:20"/>
        <d v="1899-12-30T10:32:30"/>
        <d v="1899-12-30T17:52:10"/>
        <d v="1899-12-30T20:23:58"/>
        <d v="1899-12-30T13:00:45"/>
        <d v="1899-12-30T15:08:56"/>
        <d v="1899-12-30T17:31:17"/>
        <d v="1899-12-30T10:12:13"/>
        <d v="1899-12-30T15:54:01"/>
        <d v="1899-12-30T10:59:26"/>
        <d v="1899-12-30T12:57:40"/>
        <d v="1899-12-30T11:39:37"/>
        <d v="1899-12-30T10:33:43"/>
        <d v="1899-12-30T09:39:28"/>
        <d v="1899-12-30T12:53:20"/>
        <d v="1899-12-30T12:47:06"/>
        <d v="1899-12-30T16:29:23"/>
        <d v="1899-12-30T14:58:41"/>
        <d v="1899-12-30T19:17:43"/>
        <d v="1899-12-30T09:25:36"/>
        <d v="1899-12-30T12:46:33"/>
        <d v="1899-12-30T13:31:47"/>
        <d v="1899-12-30T17:00:52"/>
        <d v="1899-12-30T13:35:23"/>
        <d v="1899-12-30T20:58:24"/>
        <d v="1899-12-30T14:45:20"/>
        <d v="1899-12-30T09:47:06"/>
        <d v="1899-12-30T15:14:51"/>
        <d v="1899-12-30T14:26:45"/>
        <d v="1899-12-30T19:05:53"/>
        <d v="1899-12-30T20:34:26"/>
        <d v="1899-12-30T18:19:07"/>
        <d v="1899-12-30T17:04:17"/>
        <d v="1899-12-30T10:42:07"/>
        <d v="1899-12-30T19:19:46"/>
        <d v="1899-12-30T10:26:19"/>
        <d v="1899-12-30T09:40:46"/>
        <d v="1899-12-30T14:06:37"/>
        <d v="1899-12-30T13:45:17"/>
        <d v="1899-12-30T14:53:35"/>
        <d v="1899-12-30T17:08:44"/>
        <d v="1899-12-30T14:37:31"/>
        <d v="1899-12-30T14:02:07"/>
        <d v="1899-12-30T09:08:27"/>
        <d v="1899-12-30T16:29:56"/>
        <d v="1899-12-30T18:11:03"/>
        <d v="1899-12-30T15:15:28"/>
        <d v="1899-12-30T18:54:19"/>
        <d v="1899-12-30T12:54:24"/>
        <d v="1899-12-30T15:10:51"/>
        <d v="1899-12-30T11:08:38"/>
        <d v="1899-12-30T18:49:15"/>
        <d v="1899-12-30T14:06:13"/>
        <d v="1899-12-30T11:55:01"/>
        <d v="1899-12-30T18:58:16"/>
        <d v="1899-12-30T14:19:40"/>
        <d v="1899-12-30T13:05:06"/>
        <d v="1899-12-30T13:52:26"/>
        <d v="1899-12-30T09:24:36"/>
        <d v="1899-12-30T20:55:00"/>
        <d v="1899-12-30T16:20:00"/>
        <d v="1899-12-30T14:23:31"/>
        <d v="1899-12-30T17:54:28"/>
        <d v="1899-12-30T16:46:47"/>
        <d v="1899-12-30T20:15:23"/>
        <d v="1899-12-30T11:39:26"/>
        <d v="1899-12-30T18:41:37"/>
        <d v="1899-12-30T10:31:44"/>
        <d v="1899-12-30T17:27:31"/>
        <d v="1899-12-30T18:39:25"/>
        <d v="1899-12-30T09:01:35"/>
        <d v="1899-12-30T14:47:34"/>
        <d v="1899-12-30T09:26:42"/>
        <d v="1899-12-30T09:15:57"/>
        <d v="1899-12-30T09:02:41"/>
        <d v="1899-12-30T10:23:09"/>
        <d v="1899-12-30T20:05:09"/>
        <d v="1899-12-30T09:38:18"/>
        <d v="1899-12-30T09:34:31"/>
        <d v="1899-12-30T09:59:10"/>
        <d v="1899-12-30T14:43:48"/>
        <d v="1899-12-30T15:09:55"/>
        <d v="1899-12-30T11:48:35"/>
        <d v="1899-12-30T15:22:50"/>
        <d v="1899-12-30T14:12:51"/>
        <d v="1899-12-30T12:00:11"/>
        <d v="1899-12-30T10:25:53"/>
        <d v="1899-12-30T20:19:26"/>
        <d v="1899-12-30T09:48:42"/>
        <d v="1899-12-30T17:23:43"/>
        <d v="1899-12-30T12:32:12"/>
        <d v="1899-12-30T15:15:23"/>
        <d v="1899-12-30T14:34:17"/>
        <d v="1899-12-30T15:11:00"/>
        <d v="1899-12-30T15:59:31"/>
        <d v="1899-12-30T19:11:06"/>
        <d v="1899-12-30T16:52:16"/>
        <d v="1899-12-30T13:46:58"/>
        <d v="1899-12-30T19:11:23"/>
        <d v="1899-12-30T17:21:01"/>
        <d v="1899-12-30T18:00:39"/>
        <d v="1899-12-30T11:24:15"/>
        <d v="1899-12-30T18:37:01"/>
        <d v="1899-12-30T13:35:48"/>
        <d v="1899-12-30T12:38:02"/>
        <d v="1899-12-30T10:57:34"/>
        <d v="1899-12-30T16:03:12"/>
        <d v="1899-12-30T17:53:48"/>
        <d v="1899-12-30T13:16:58"/>
        <d v="1899-12-30T19:48:57"/>
        <d v="1899-12-30T11:20:31"/>
        <d v="1899-12-30T19:08:06"/>
        <d v="1899-12-30T17:10:59"/>
        <d v="1899-12-30T20:56:02"/>
        <d v="1899-12-30T19:32:49"/>
        <d v="1899-12-30T11:15:21"/>
        <d v="1899-12-30T13:12:26"/>
        <d v="1899-12-30T14:24:08"/>
        <d v="1899-12-30T14:21:13"/>
        <d v="1899-12-30T13:55:19"/>
        <d v="1899-12-30T17:33:12"/>
        <d v="1899-12-30T16:06:52"/>
        <d v="1899-12-30T16:29:05"/>
        <d v="1899-12-30T13:02:25"/>
        <d v="1899-12-30T11:12:23"/>
        <d v="1899-12-30T13:48:02"/>
        <d v="1899-12-30T11:05:45"/>
        <d v="1899-12-30T12:21:47"/>
        <d v="1899-12-30T17:14:45"/>
        <d v="1899-12-30T18:06:03"/>
        <d v="1899-12-30T17:55:23"/>
        <d v="1899-12-30T10:43:39"/>
        <d v="1899-12-30T15:53:37"/>
        <d v="1899-12-30T12:16:31"/>
        <d v="1899-12-30T13:27:50"/>
        <d v="1899-12-30T19:41:03"/>
        <d v="1899-12-30T15:04:54"/>
        <d v="1899-12-30T15:28:01"/>
        <d v="1899-12-30T17:08:25"/>
        <d v="1899-12-30T19:26:50"/>
        <d v="1899-12-30T19:22:02"/>
        <d v="1899-12-30T15:10:05"/>
        <d v="1899-12-30T20:43:20"/>
        <d v="1899-12-30T15:32:50"/>
        <d v="1899-12-30T09:28:04"/>
        <d v="1899-12-30T14:07:06"/>
        <d v="1899-12-30T13:54:44"/>
        <d v="1899-12-30T11:34:52"/>
        <d v="1899-12-30T12:57:44"/>
        <d v="1899-12-30T10:29:24"/>
        <d v="1899-12-30T18:05:43"/>
        <d v="1899-12-30T14:17:02"/>
        <d v="1899-12-30T18:56:12"/>
        <d v="1899-12-30T09:03:15"/>
        <d v="1899-12-30T18:12:07"/>
        <d v="1899-12-30T11:05:27"/>
        <d v="1899-12-30T10:05:23"/>
        <d v="1899-12-30T18:09:34"/>
        <d v="1899-12-30T18:57:24"/>
        <d v="1899-12-30T10:13:04"/>
        <d v="1899-12-30T11:20:03"/>
        <d v="1899-12-30T19:11:05"/>
        <d v="1899-12-30T20:34:55"/>
        <d v="1899-12-30T20:50:10"/>
        <d v="1899-12-30T13:56:53"/>
        <d v="1899-12-30T13:58:15"/>
        <d v="1899-12-30T11:20:37"/>
        <d v="1899-12-30T11:58:44"/>
        <d v="1899-12-30T20:39:11"/>
        <d v="1899-12-30T17:41:41"/>
        <d v="1899-12-30T18:35:44"/>
        <d v="1899-12-30T20:47:05"/>
        <d v="1899-12-30T12:59:48"/>
        <d v="1899-12-30T12:23:06"/>
        <d v="1899-12-30T17:23:04"/>
        <d v="1899-12-30T19:13:23"/>
        <d v="1899-12-30T13:04:22"/>
        <d v="1899-12-30T15:06:28"/>
        <d v="1899-12-30T15:12:50"/>
        <d v="1899-12-30T16:06:45"/>
        <d v="1899-12-30T09:00:25"/>
        <d v="1899-12-30T11:24:51"/>
        <d v="1899-12-30T17:49:07"/>
        <d v="1899-12-30T17:45:32"/>
        <d v="1899-12-30T20:01:41"/>
        <d v="1899-12-30T14:10:12"/>
        <d v="1899-12-30T19:56:01"/>
        <d v="1899-12-30T18:00:52"/>
        <d v="1899-12-30T13:39:15"/>
        <d v="1899-12-30T11:08:05"/>
        <d v="1899-12-30T10:06:02"/>
        <d v="1899-12-30T18:21:59"/>
        <d v="1899-12-30T14:38:50"/>
        <d v="1899-12-30T10:45:17"/>
        <d v="1899-12-30T11:57:41"/>
        <d v="1899-12-30T17:37:09"/>
        <d v="1899-12-30T13:31:46"/>
        <d v="1899-12-30T18:42:46"/>
        <d v="1899-12-30T18:59:39"/>
        <d v="1899-12-30T18:28:25"/>
        <d v="1899-12-30T09:28:25"/>
        <d v="1899-12-30T14:43:35"/>
        <d v="1899-12-30T14:08:59"/>
        <d v="1899-12-30T12:48:55"/>
        <d v="1899-12-30T19:52:45"/>
        <d v="1899-12-30T19:21:14"/>
        <d v="1899-12-30T15:29:49"/>
        <d v="1899-12-30T12:53:08"/>
        <d v="1899-12-30T14:00:34"/>
        <d v="1899-12-30T11:57:29"/>
        <d v="1899-12-30T15:09:26"/>
        <d v="1899-12-30T14:27:42"/>
        <d v="1899-12-30T18:36:46"/>
        <d v="1899-12-30T18:29:49"/>
        <d v="1899-12-30T19:33:09"/>
        <d v="1899-12-30T09:10:49"/>
        <d v="1899-12-30T20:39:28"/>
        <d v="1899-12-30T17:36:55"/>
        <d v="1899-12-30T19:02:34"/>
        <d v="1899-12-30T17:37:37"/>
        <d v="1899-12-30T19:46:01"/>
        <d v="1899-12-30T09:34:20"/>
        <d v="1899-12-30T13:55:09"/>
        <d v="1899-12-30T19:24:22"/>
        <d v="1899-12-30T15:57:14"/>
        <d v="1899-12-30T20:42:40"/>
        <d v="1899-12-30T11:54:28"/>
        <d v="1899-12-30T14:23:53"/>
        <d v="1899-12-30T16:17:35"/>
        <d v="1899-12-30T11:48:52"/>
        <d v="1899-12-30T10:38:33"/>
        <d v="1899-12-30T09:24:21"/>
        <d v="1899-12-30T18:49:27"/>
        <d v="1899-12-30T11:52:55"/>
        <d v="1899-12-30T17:25:56"/>
        <d v="1899-12-30T10:57:38"/>
        <d v="1899-12-30T16:04:30"/>
        <d v="1899-12-30T18:24:29"/>
        <d v="1899-12-30T15:50:48"/>
        <d v="1899-12-30T13:27:58"/>
        <d v="1899-12-30T17:14:04"/>
        <d v="1899-12-30T14:14:10"/>
        <d v="1899-12-30T19:15:02"/>
        <d v="1899-12-30T09:27:31"/>
        <d v="1899-12-30T11:23:05"/>
        <d v="1899-12-30T19:26:24"/>
        <d v="1899-12-30T19:23:55"/>
        <d v="1899-12-30T18:29:44"/>
        <d v="1899-12-30T19:49:56"/>
        <d v="1899-12-30T13:42:42"/>
        <d v="1899-12-30T13:19:55"/>
        <d v="1899-12-30T19:03:00"/>
        <d v="1899-12-30T09:31:49"/>
        <d v="1899-12-30T17:25:05"/>
        <d v="1899-12-30T17:30:38"/>
        <d v="1899-12-30T19:16:35"/>
        <d v="1899-12-30T10:12:30"/>
        <d v="1899-12-30T16:01:14"/>
        <d v="1899-12-30T13:04:07"/>
        <d v="1899-12-30T15:44:02"/>
        <d v="1899-12-30T16:39:28"/>
        <d v="1899-12-30T09:49:21"/>
        <d v="1899-12-30T09:22:02"/>
        <d v="1899-12-30T09:02:04"/>
        <d v="1899-12-30T20:25:11"/>
        <d v="1899-12-30T18:38:00"/>
        <d v="1899-12-30T09:37:03"/>
        <d v="1899-12-30T11:26:47"/>
        <d v="1899-12-30T13:21:02"/>
        <d v="1899-12-30T18:43:18"/>
        <d v="1899-12-30T11:08:00"/>
        <d v="1899-12-30T18:41:53"/>
        <d v="1899-12-30T15:57:16"/>
        <d v="1899-12-30T20:52:30"/>
        <d v="1899-12-30T16:53:51"/>
        <d v="1899-12-30T19:26:58"/>
        <d v="1899-12-30T13:44:20"/>
        <d v="1899-12-30T16:41:05"/>
        <d v="1899-12-30T20:06:31"/>
        <d v="1899-12-30T11:43:53"/>
        <d v="1899-12-30T19:07:23"/>
        <d v="1899-12-30T19:18:21"/>
        <d v="1899-12-30T13:43:01"/>
        <d v="1899-12-30T16:21:37"/>
        <d v="1899-12-30T19:26:44"/>
        <d v="1899-12-30T12:39:21"/>
        <d v="1899-12-30T15:01:06"/>
        <d v="1899-12-30T18:47:45"/>
        <d v="1899-12-30T14:15:28"/>
        <d v="1899-12-30T11:01:53"/>
        <d v="1899-12-30T18:37:57"/>
        <d v="1899-12-30T09:35:00"/>
        <d v="1899-12-30T11:41:42"/>
        <d v="1899-12-30T19:44:46"/>
        <d v="1899-12-30T12:38:44"/>
        <d v="1899-12-30T19:52:21"/>
        <d v="1899-12-30T19:37:21"/>
        <d v="1899-12-30T09:11:51"/>
        <d v="1899-12-30T20:26:18"/>
        <d v="1899-12-30T13:37:39"/>
        <d v="1899-12-30T13:23:12"/>
        <d v="1899-12-30T19:46:17"/>
        <d v="1899-12-30T12:33:09"/>
        <d v="1899-12-30T11:28:22"/>
        <d v="1899-12-30T09:29:36"/>
        <d v="1899-12-30T10:44:14"/>
        <d v="1899-12-30T18:52:10"/>
        <d v="1899-12-30T15:47:43"/>
        <d v="1899-12-30T16:10:14"/>
        <d v="1899-12-30T17:21:47"/>
        <d v="1899-12-30T10:06:52"/>
        <d v="1899-12-30T14:33:46"/>
        <d v="1899-12-30T15:34:33"/>
        <d v="1899-12-30T20:29:19"/>
        <d v="1899-12-30T11:18:29"/>
        <d v="1899-12-30T20:05:51"/>
        <d v="1899-12-30T09:57:03"/>
        <d v="1899-12-30T14:06:29"/>
        <d v="1899-12-30T13:39:19"/>
        <d v="1899-12-30T09:45:43"/>
        <d v="1899-12-30T17:19:46"/>
        <d v="1899-12-30T11:51:32"/>
        <d v="1899-12-30T10:35:36"/>
        <d v="1899-12-30T16:49:08"/>
        <d v="1899-12-30T12:25:00"/>
        <d v="1899-12-30T17:48:49"/>
        <d v="1899-12-30T16:37:18"/>
        <d v="1899-12-30T11:08:01"/>
        <d v="1899-12-30T09:29:10"/>
        <d v="1899-12-30T14:53:32"/>
        <d v="1899-12-30T12:54:50"/>
        <d v="1899-12-30T20:58:16"/>
        <d v="1899-12-30T09:51:21"/>
        <d v="1899-12-30T18:53:00"/>
        <d v="1899-12-30T20:54:44"/>
        <d v="1899-12-30T12:54:53"/>
        <d v="1899-12-30T18:11:56"/>
        <d v="1899-12-30T20:58:43"/>
        <d v="1899-12-30T17:41:08"/>
        <d v="1899-12-30T09:03:09"/>
        <d v="1899-12-30T19:05:13"/>
        <d v="1899-12-30T14:06:59"/>
        <d v="1899-12-30T15:41:43"/>
        <d v="1899-12-30T15:27:00"/>
        <d v="1899-12-30T19:42:08"/>
        <d v="1899-12-30T16:31:06"/>
        <d v="1899-12-30T11:46:15"/>
        <d v="1899-12-30T18:32:20"/>
        <d v="1899-12-30T20:43:55"/>
        <d v="1899-12-30T12:04:56"/>
        <d v="1899-12-30T14:49:28"/>
        <d v="1899-12-30T20:31:19"/>
        <d v="1899-12-30T09:23:28"/>
        <d v="1899-12-30T12:16:08"/>
        <d v="1899-12-30T11:40:20"/>
        <d v="1899-12-30T14:19:50"/>
        <d v="1899-12-30T20:57:00"/>
        <d v="1899-12-30T12:16:53"/>
        <d v="1899-12-30T11:48:32"/>
        <d v="1899-12-30T15:00:10"/>
        <d v="1899-12-30T09:52:20"/>
        <d v="1899-12-30T16:42:52"/>
        <d v="1899-12-30T10:33:35"/>
        <d v="1899-12-30T10:03:43"/>
        <d v="1899-12-30T09:10:52"/>
        <d v="1899-12-30T12:23:44"/>
        <d v="1899-12-30T17:22:52"/>
        <d v="1899-12-30T11:05:16"/>
        <d v="1899-12-30T17:45:50"/>
        <d v="1899-12-30T10:01:49"/>
        <d v="1899-12-30T15:28:15"/>
        <d v="1899-12-30T19:00:33"/>
        <d v="1899-12-30T16:44:17"/>
        <d v="1899-12-30T10:23:27"/>
        <d v="1899-12-30T09:46:58"/>
        <d v="1899-12-30T14:29:44"/>
        <d v="1899-12-30T17:06:56"/>
        <d v="1899-12-30T10:50:18"/>
        <d v="1899-12-30T18:25:17"/>
        <d v="1899-12-30T14:39:06"/>
        <d v="1899-12-30T14:10:58"/>
        <d v="1899-12-30T19:12:47"/>
        <d v="1899-12-30T10:12:32"/>
        <d v="1899-12-30T12:04:40"/>
        <d v="1899-12-30T16:14:21"/>
        <d v="1899-12-30T16:07:56"/>
        <d v="1899-12-30T11:55:07"/>
        <d v="1899-12-30T09:57:50"/>
        <d v="1899-12-30T18:21:12"/>
        <d v="1899-12-30T18:48:30"/>
        <d v="1899-12-30T17:53:38"/>
        <d v="1899-12-30T14:52:27"/>
        <d v="1899-12-30T18:52:35"/>
        <d v="1899-12-30T10:19:35"/>
        <d v="1899-12-30T09:48:43"/>
        <d v="1899-12-30T14:44:30"/>
        <d v="1899-12-30T11:52:31"/>
        <d v="1899-12-30T14:19:58"/>
        <d v="1899-12-30T16:35:43"/>
        <d v="1899-12-30T19:00:31"/>
        <d v="1899-12-30T20:35:48"/>
        <d v="1899-12-30T15:20:36"/>
        <d v="1899-12-30T13:40:32"/>
        <d v="1899-12-30T16:16:08"/>
        <d v="1899-12-30T10:23:50"/>
        <d v="1899-12-30T14:57:43"/>
        <d v="1899-12-30T16:44:11"/>
        <d v="1899-12-30T15:32:51"/>
        <d v="1899-12-30T11:17:07"/>
        <d v="1899-12-30T17:37:55"/>
        <d v="1899-12-30T09:25:31"/>
        <d v="1899-12-30T15:08:17"/>
        <d v="1899-12-30T12:40:59"/>
        <d v="1899-12-30T16:13:14"/>
        <d v="1899-12-30T09:52:09"/>
        <d v="1899-12-30T10:34:10"/>
        <d v="1899-12-30T14:28:31"/>
        <d v="1899-12-30T14:15:50"/>
        <d v="1899-12-30T17:49:24"/>
        <d v="1899-12-30T10:52:54"/>
        <d v="1899-12-30T20:26:34"/>
        <d v="1899-12-30T17:41:12"/>
        <d v="1899-12-30T10:37:21"/>
        <d v="1899-12-30T12:00:03"/>
        <d v="1899-12-30T15:19:16"/>
        <d v="1899-12-30T15:35:37"/>
        <d v="1899-12-30T11:42:52"/>
        <d v="1899-12-30T20:13:58"/>
        <d v="1899-12-30T19:15:42"/>
        <d v="1899-12-30T14:45:31"/>
        <d v="1899-12-30T17:13:44"/>
        <d v="1899-12-30T10:04:54"/>
        <d v="1899-12-30T11:03:55"/>
        <d v="1899-12-30T15:06:04"/>
        <d v="1899-12-30T17:35:43"/>
        <d v="1899-12-30T10:23:34"/>
        <d v="1899-12-30T20:00:10"/>
        <d v="1899-12-30T17:02:50"/>
        <d v="1899-12-30T20:52:57"/>
        <d v="1899-12-30T15:27:24"/>
        <d v="1899-12-30T12:29:59"/>
        <d v="1899-12-30T12:46:37"/>
        <d v="1899-12-30T19:51:24"/>
        <d v="1899-12-30T19:34:11"/>
        <d v="1899-12-30T16:42:43"/>
        <d v="1899-12-30T17:33:11"/>
        <d v="1899-12-30T12:41:52"/>
        <d v="1899-12-30T11:01:30"/>
        <d v="1899-12-30T10:17:45"/>
        <d v="1899-12-30T20:59:08"/>
        <d v="1899-12-30T09:33:36"/>
        <d v="1899-12-30T19:06:23"/>
        <d v="1899-12-30T19:34:50"/>
        <d v="1899-12-30T09:26:34"/>
        <d v="1899-12-30T13:15:40"/>
        <d v="1899-12-30T11:15:22"/>
        <d v="1899-12-30T18:40:02"/>
        <d v="1899-12-30T14:56:06"/>
        <d v="1899-12-30T13:31:28"/>
        <d v="1899-12-30T19:27:25"/>
        <d v="1899-12-30T18:33:42"/>
        <d v="1899-12-30T19:00:13"/>
        <d v="1899-12-30T13:24:32"/>
        <d v="1899-12-30T20:08:28"/>
        <d v="1899-12-30T18:51:25"/>
        <d v="1899-12-30T16:52:53"/>
        <d v="1899-12-30T19:50:12"/>
        <d v="1899-12-30T11:37:39"/>
        <d v="1899-12-30T15:15:41"/>
        <d v="1899-12-30T16:04:11"/>
        <d v="1899-12-30T15:07:38"/>
        <d v="1899-12-30T15:07:39"/>
        <d v="1899-12-30T17:29:51"/>
        <d v="1899-12-30T19:37:36"/>
        <d v="1899-12-30T09:21:54"/>
        <d v="1899-12-30T13:08:28"/>
        <d v="1899-12-30T19:41:28"/>
        <d v="1899-12-30T10:48:29"/>
        <d v="1899-12-30T14:56:25"/>
        <d v="1899-12-30T16:47:48"/>
        <d v="1899-12-30T13:59:34"/>
        <d v="1899-12-30T18:00:56"/>
        <d v="1899-12-30T11:23:06"/>
        <d v="1899-12-30T15:02:10"/>
        <d v="1899-12-30T11:02:04"/>
        <d v="1899-12-30T09:40:56"/>
        <d v="1899-12-30T18:59:12"/>
        <d v="1899-12-30T20:39:55"/>
        <d v="1899-12-30T12:15:09"/>
        <d v="1899-12-30T09:09:51"/>
        <d v="1899-12-30T20:20:10"/>
        <d v="1899-12-30T09:02:24"/>
        <d v="1899-12-30T16:19:47"/>
        <d v="1899-12-30T20:27:38"/>
        <d v="1899-12-30T09:55:47"/>
        <d v="1899-12-30T18:45:38"/>
        <d v="1899-12-30T09:43:35"/>
        <d v="1899-12-30T15:46:55"/>
        <d v="1899-12-30T11:52:43"/>
        <d v="1899-12-30T12:36:33"/>
        <d v="1899-12-30T14:14:28"/>
        <d v="1899-12-30T20:11:24"/>
        <d v="1899-12-30T17:22:26"/>
        <d v="1899-12-30T19:00:26"/>
        <d v="1899-12-30T16:38:03"/>
        <d v="1899-12-30T14:28:15"/>
        <d v="1899-12-30T13:07:13"/>
        <d v="1899-12-30T10:26:11"/>
        <d v="1899-12-30T19:49:54"/>
        <d v="1899-12-30T12:43:47"/>
        <d v="1899-12-30T14:09:49"/>
        <d v="1899-12-30T11:41:03"/>
        <d v="1899-12-30T19:31:12"/>
        <d v="1899-12-30T20:07:15"/>
        <d v="1899-12-30T20:24:14"/>
        <d v="1899-12-30T09:51:57"/>
        <d v="1899-12-30T20:55:27"/>
        <d v="1899-12-30T11:30:47"/>
        <d v="1899-12-30T09:45:10"/>
        <d v="1899-12-30T19:14:33"/>
        <d v="1899-12-30T19:02:13"/>
        <d v="1899-12-30T09:35:03"/>
        <d v="1899-12-30T17:56:10"/>
        <d v="1899-12-30T17:53:58"/>
        <d v="1899-12-30T10:57:18"/>
        <d v="1899-12-30T18:53:10"/>
        <d v="1899-12-30T09:51:05"/>
        <d v="1899-12-30T18:22:59"/>
        <d v="1899-12-30T17:30:03"/>
        <d v="1899-12-30T19:19:10"/>
        <d v="1899-12-30T17:42:12"/>
        <d v="1899-12-30T16:04:44"/>
        <d v="1899-12-30T13:50:39"/>
        <d v="1899-12-30T13:54:09"/>
        <d v="1899-12-30T13:31:11"/>
        <d v="1899-12-30T11:11:57"/>
        <d v="1899-12-30T20:18:14"/>
        <d v="1899-12-30T19:02:16"/>
        <d v="1899-12-30T13:06:57"/>
        <d v="1899-12-30T17:45:51"/>
        <d v="1899-12-30T12:14:49"/>
        <d v="1899-12-30T14:07:35"/>
        <d v="1899-12-30T11:43:34"/>
        <d v="1899-12-30T09:20:14"/>
        <d v="1899-12-30T19:57:21"/>
        <d v="1899-12-30T15:35:19"/>
        <d v="1899-12-30T15:08:46"/>
        <d v="1899-12-30T20:12:54"/>
        <d v="1899-12-30T12:40:18"/>
        <d v="1899-12-30T16:42:40"/>
        <d v="1899-12-30T11:37:23"/>
        <d v="1899-12-30T20:20:17"/>
        <d v="1899-12-30T10:35:11"/>
        <d v="1899-12-30T20:55:58"/>
        <d v="1899-12-30T15:06:53"/>
        <d v="1899-12-30T15:02:40"/>
        <d v="1899-12-30T15:31:18"/>
        <d v="1899-12-30T17:32:03"/>
        <d v="1899-12-30T20:10:22"/>
        <d v="1899-12-30T17:01:55"/>
        <d v="1899-12-30T18:47:21"/>
        <d v="1899-12-30T12:22:54"/>
        <d v="1899-12-30T14:42:30"/>
        <d v="1899-12-30T12:49:51"/>
        <d v="1899-12-30T19:26:08"/>
        <d v="1899-12-30T13:23:28"/>
        <d v="1899-12-30T11:20:58"/>
        <d v="1899-12-30T10:36:43"/>
        <d v="1899-12-30T10:27:00"/>
        <d v="1899-12-30T13:42:21"/>
        <d v="1899-12-30T15:07:41"/>
        <d v="1899-12-30T10:03:55"/>
        <d v="1899-12-30T15:43:07"/>
        <d v="1899-12-30T10:03:20"/>
        <d v="1899-12-30T12:40:29"/>
        <d v="1899-12-30T18:19:40"/>
        <d v="1899-12-30T09:12:26"/>
        <d v="1899-12-30T12:09:35"/>
        <d v="1899-12-30T18:17:45"/>
        <d v="1899-12-30T15:36:40"/>
        <d v="1899-12-30T18:51:06"/>
        <d v="1899-12-30T11:30:44"/>
        <d v="1899-12-30T10:24:51"/>
        <d v="1899-12-30T19:43:56"/>
        <d v="1899-12-30T10:24:10"/>
        <d v="1899-12-30T12:00:01"/>
        <d v="1899-12-30T17:48:10"/>
        <d v="1899-12-30T18:24:32"/>
        <d v="1899-12-30T13:37:25"/>
        <d v="1899-12-30T17:16:58"/>
        <d v="1899-12-30T10:55:38"/>
        <d v="1899-12-30T18:19:08"/>
        <d v="1899-12-30T09:00:48"/>
        <d v="1899-12-30T11:39:55"/>
        <d v="1899-12-30T14:38:19"/>
        <d v="1899-12-30T18:44:35"/>
        <d v="1899-12-30T10:02:21"/>
        <d v="1899-12-30T20:10:38"/>
        <d v="1899-12-30T11:15:46"/>
        <d v="1899-12-30T14:56:19"/>
        <d v="1899-12-30T17:03:13"/>
        <d v="1899-12-30T14:55:51"/>
        <d v="1899-12-30T20:01:46"/>
        <d v="1899-12-30T19:30:20"/>
        <d v="1899-12-30T15:56:05"/>
        <d v="1899-12-30T17:08:14"/>
        <d v="1899-12-30T09:44:16"/>
        <d v="1899-12-30T11:46:51"/>
        <d v="1899-12-30T18:22:18"/>
        <d v="1899-12-30T17:16:09"/>
        <d v="1899-12-30T19:25:47"/>
        <d v="1899-12-30T10:53:12"/>
        <d v="1899-12-30T16:25:42"/>
        <d v="1899-12-30T14:38:00"/>
        <d v="1899-12-30T10:00:13"/>
        <d v="1899-12-30T18:17:13"/>
        <d v="1899-12-30T18:32:53"/>
        <d v="1899-12-30T16:49:41"/>
        <d v="1899-12-30T16:32:32"/>
        <d v="1899-12-30T11:25:56"/>
        <d v="1899-12-30T09:54:52"/>
        <d v="1899-12-30T13:19:09"/>
        <d v="1899-12-30T09:52:12"/>
        <d v="1899-12-30T10:50:09"/>
        <d v="1899-12-30T12:42:56"/>
        <d v="1899-12-30T19:59:49"/>
        <d v="1899-12-30T15:51:03"/>
        <d v="1899-12-30T20:50:55"/>
        <d v="1899-12-30T11:21:16"/>
        <d v="1899-12-30T17:50:37"/>
        <d v="1899-12-30T16:50:25"/>
        <d v="1899-12-30T15:10:22"/>
        <d v="1899-12-30T16:43:09"/>
        <d v="1899-12-30T19:43:37"/>
        <d v="1899-12-30T14:14:02"/>
        <d v="1899-12-30T10:41:56"/>
        <d v="1899-12-30T15:15:56"/>
        <d v="1899-12-30T16:00:56"/>
        <d v="1899-12-30T13:03:29"/>
        <d v="1899-12-30T16:13:20"/>
        <d v="1899-12-30T18:12:42"/>
        <d v="1899-12-30T20:32:53"/>
        <d v="1899-12-30T13:44:24"/>
        <d v="1899-12-30T20:45:24"/>
        <d v="1899-12-30T19:35:36"/>
        <d v="1899-12-30T17:44:00"/>
        <d v="1899-12-30T17:37:49"/>
        <d v="1899-12-30T19:58:04"/>
        <d v="1899-12-30T17:25:02"/>
        <d v="1899-12-30T20:31:20"/>
        <d v="1899-12-30T09:18:49"/>
        <d v="1899-12-30T20:34:23"/>
        <d v="1899-12-30T10:15:39"/>
        <d v="1899-12-30T16:03:47"/>
        <d v="1899-12-30T15:24:37"/>
        <d v="1899-12-30T18:52:29"/>
        <d v="1899-12-30T11:25:38"/>
        <d v="1899-12-30T20:23:08"/>
        <d v="1899-12-30T19:42:01"/>
        <d v="1899-12-30T10:44:58"/>
        <d v="1899-12-30T17:56:37"/>
        <d v="1899-12-30T15:42:56"/>
        <d v="1899-12-30T18:34:52"/>
        <d v="1899-12-30T16:58:53"/>
        <d v="1899-12-30T15:10:07"/>
        <d v="1899-12-30T14:32:39"/>
        <d v="1899-12-30T10:53:21"/>
        <d v="1899-12-30T12:58:45"/>
        <d v="1899-12-30T19:29:09"/>
        <d v="1899-12-30T15:05:08"/>
        <d v="1899-12-30T13:04:21"/>
        <d v="1899-12-30T16:09:30"/>
        <d v="1899-12-30T20:33:39"/>
        <d v="1899-12-30T11:57:58"/>
        <d v="1899-12-30T13:03:32"/>
        <d v="1899-12-30T20:02:01"/>
        <d v="1899-12-30T14:48:45"/>
        <d v="1899-12-30T13:37:57"/>
        <d v="1899-12-30T13:07:30"/>
        <d v="1899-12-30T20:33:31"/>
        <d v="1899-12-30T18:15:56"/>
        <d v="1899-12-30T11:02:37"/>
        <d v="1899-12-30T13:48:50"/>
        <d v="1899-12-30T13:43:19"/>
        <d v="1899-12-30T10:11:35"/>
        <d v="1899-12-30T10:19:12"/>
        <d v="1899-12-30T16:16:32"/>
        <d v="1899-12-30T16:10:03"/>
        <d v="1899-12-30T11:29:56"/>
        <d v="1899-12-30T20:26:40"/>
        <d v="1899-12-30T09:41:03"/>
        <d v="1899-12-30T17:15:57"/>
        <d v="1899-12-30T20:33:00"/>
        <d v="1899-12-30T17:08:32"/>
        <d v="1899-12-30T11:12:21"/>
        <d v="1899-12-30T10:22:57"/>
        <d v="1899-12-30T18:10:32"/>
        <d v="1899-12-30T11:13:54"/>
        <d v="1899-12-30T13:14:04"/>
        <d v="1899-12-30T10:26:13"/>
        <d v="1899-12-30T18:39:28"/>
        <d v="1899-12-30T16:20:16"/>
        <d v="1899-12-30T17:00:39"/>
        <d v="1899-12-30T19:56:00"/>
        <d v="1899-12-30T17:07:19"/>
        <d v="1899-12-30T12:35:43"/>
        <d v="1899-12-30T14:52:40"/>
        <d v="1899-12-30T12:59:21"/>
        <d v="1899-12-30T18:27:56"/>
        <d v="1899-12-30T10:35:26"/>
        <d v="1899-12-30T10:28:31"/>
        <d v="1899-12-30T09:39:43"/>
        <d v="1899-12-30T20:58:30"/>
        <d v="1899-12-30T14:48:41"/>
        <d v="1899-12-30T11:25:51"/>
        <d v="1899-12-30T11:35:52"/>
        <d v="1899-12-30T16:39:40"/>
        <d v="1899-12-30T19:46:58"/>
        <d v="1899-12-30T14:03:01"/>
        <d v="1899-12-30T09:02:11"/>
        <d v="1899-12-30T12:35:55"/>
        <d v="1899-12-30T09:26:33"/>
        <d v="1899-12-30T16:15:27"/>
        <d v="1899-12-30T13:59:22"/>
        <d v="1899-12-30T12:01:06"/>
        <d v="1899-12-30T12:01:53"/>
        <d v="1899-12-30T13:32:07"/>
        <d v="1899-12-30T16:48:10"/>
        <d v="1899-12-30T15:05:54"/>
        <d v="1899-12-30T12:57:24"/>
        <d v="1899-12-30T14:35:22"/>
        <d v="1899-12-30T13:33:55"/>
        <d v="1899-12-30T09:54:50"/>
        <d v="1899-12-30T11:42:55"/>
        <d v="1899-12-30T10:26:45"/>
        <d v="1899-12-30T09:09:19"/>
        <d v="1899-12-30T14:25:32"/>
        <d v="1899-12-30T17:02:25"/>
        <d v="1899-12-30T11:50:37"/>
        <d v="1899-12-30T13:05:15"/>
        <d v="1899-12-30T11:39:06"/>
        <d v="1899-12-30T15:59:18"/>
        <d v="1899-12-30T14:59:51"/>
        <d v="1899-12-30T17:16:04"/>
        <d v="1899-12-30T11:40:03"/>
        <d v="1899-12-30T10:48:08"/>
        <d v="1899-12-30T12:33:29"/>
        <d v="1899-12-30T17:36:57"/>
        <d v="1899-12-30T11:21:02"/>
        <d v="1899-12-30T19:58:46"/>
        <d v="1899-12-30T14:48:30"/>
        <d v="1899-12-30T09:48:17"/>
        <d v="1899-12-30T17:37:36"/>
        <d v="1899-12-30T10:01:43"/>
        <d v="1899-12-30T19:44:51"/>
        <d v="1899-12-30T13:12:18"/>
        <d v="1899-12-30T12:52:49"/>
        <d v="1899-12-30T19:49:58"/>
        <d v="1899-12-30T13:44:44"/>
        <d v="1899-12-30T14:23:48"/>
        <d v="1899-12-30T14:23:00"/>
        <d v="1899-12-30T13:04:06"/>
        <d v="1899-12-30T19:55:05"/>
        <d v="1899-12-30T18:10:11"/>
        <d v="1899-12-30T15:10:38"/>
        <d v="1899-12-30T17:14:22"/>
        <d v="1899-12-30T18:20:29"/>
        <d v="1899-12-30T17:47:23"/>
        <d v="1899-12-30T12:43:50"/>
        <d v="1899-12-30T11:38:58"/>
        <d v="1899-12-30T18:01:17"/>
        <d v="1899-12-30T18:40:19"/>
        <d v="1899-12-30T11:52:14"/>
        <d v="1899-12-30T10:15:08"/>
        <d v="1899-12-30T17:35:26"/>
        <d v="1899-12-30T15:26:33"/>
        <d v="1899-12-30T20:32:07"/>
        <d v="1899-12-30T10:11:10"/>
        <d v="1899-12-30T20:58:49"/>
        <d v="1899-12-30T15:36:03"/>
        <d v="1899-12-30T20:19:44"/>
        <d v="1899-12-30T18:16:19"/>
        <d v="1899-12-30T09:26:28"/>
        <d v="1899-12-30T19:02:23"/>
        <d v="1899-12-30T15:49:56"/>
        <d v="1899-12-30T19:35:29"/>
        <d v="1899-12-30T09:43:53"/>
        <d v="1899-12-30T13:48:48"/>
        <d v="1899-12-30T13:02:04"/>
        <d v="1899-12-30T18:02:44"/>
        <d v="1899-12-30T14:32:03"/>
        <d v="1899-12-30T12:06:32"/>
        <d v="1899-12-30T09:48:00"/>
        <d v="1899-12-30T12:39:41"/>
        <d v="1899-12-30T09:45:26"/>
        <d v="1899-12-30T19:48:07"/>
        <d v="1899-12-30T19:40:14"/>
        <d v="1899-12-30T12:30:22"/>
        <d v="1899-12-30T20:06:53"/>
        <d v="1899-12-30T09:39:37"/>
        <d v="1899-12-30T14:56:29"/>
        <d v="1899-12-30T10:03:11"/>
        <d v="1899-12-30T15:36:06"/>
        <d v="1899-12-30T10:03:26"/>
        <d v="1899-12-30T15:55:37"/>
        <d v="1899-12-30T14:45:33"/>
        <d v="1899-12-30T17:37:18"/>
        <d v="1899-12-30T10:32:22"/>
        <d v="1899-12-30T16:24:45"/>
        <d v="1899-12-30T19:00:20"/>
        <d v="1899-12-30T15:42:47"/>
        <d v="1899-12-30T14:13:18"/>
        <d v="1899-12-30T13:08:27"/>
        <d v="1899-12-30T16:26:33"/>
        <d v="1899-12-30T16:35:11"/>
        <d v="1899-12-30T13:07:48"/>
        <d v="1899-12-30T13:58:36"/>
        <d v="1899-12-30T17:15:19"/>
        <d v="1899-12-30T10:34:14"/>
        <d v="1899-12-30T13:39:58"/>
        <d v="1899-12-30T15:00:43"/>
        <d v="1899-12-30T09:07:12"/>
        <d v="1899-12-30T12:36:49"/>
        <d v="1899-12-30T09:15:23"/>
        <d v="1899-12-30T19:29:35"/>
        <d v="1899-12-30T19:45:52"/>
        <d v="1899-12-30T10:20:42"/>
        <d v="1899-12-30T09:43:24"/>
        <d v="1899-12-30T15:17:31"/>
        <d v="1899-12-30T12:18:46"/>
        <d v="1899-12-30T17:20:18"/>
        <d v="1899-12-30T19:21:53"/>
        <d v="1899-12-30T15:03:27"/>
        <d v="1899-12-30T18:33:40"/>
        <d v="1899-12-30T14:39:11"/>
        <d v="1899-12-30T17:21:39"/>
        <d v="1899-12-30T14:07:04"/>
        <d v="1899-12-30T14:05:20"/>
        <d v="1899-12-30T11:59:48"/>
        <d v="1899-12-30T18:49:12"/>
        <d v="1899-12-30T18:24:54"/>
        <d v="1899-12-30T15:52:43"/>
        <d v="1899-12-30T17:32:23"/>
        <d v="1899-12-30T18:18:56"/>
        <d v="1899-12-30T10:33:33"/>
        <d v="1899-12-30T09:57:49"/>
        <d v="1899-12-30T14:16:22"/>
        <d v="1899-12-30T17:28:03"/>
        <d v="1899-12-30T14:04:09"/>
        <d v="1899-12-30T12:23:28"/>
        <d v="1899-12-30T13:41:28"/>
        <d v="1899-12-30T17:52:22"/>
        <d v="1899-12-30T20:10:08"/>
        <d v="1899-12-30T13:52:06"/>
        <d v="1899-12-30T10:40:58"/>
        <d v="1899-12-30T16:58:14"/>
        <d v="1899-12-30T14:57:51"/>
        <d v="1899-12-30T10:02:45"/>
        <d v="1899-12-30T09:18:20"/>
        <d v="1899-12-30T09:10:20"/>
        <d v="1899-12-30T14:18:44"/>
        <d v="1899-12-30T10:29:06"/>
        <d v="1899-12-30T14:04:41"/>
        <d v="1899-12-30T20:06:30"/>
        <d v="1899-12-30T16:52:05"/>
        <d v="1899-12-30T18:38:09"/>
        <d v="1899-12-30T18:52:34"/>
        <d v="1899-12-30T12:13:03"/>
        <d v="1899-12-30T16:49:25"/>
        <d v="1899-12-30T14:08:45"/>
        <d v="1899-12-30T16:39:27"/>
        <d v="1899-12-30T09:05:52"/>
        <d v="1899-12-30T11:41:37"/>
        <d v="1899-12-30T20:38:35"/>
        <d v="1899-12-30T18:32:36"/>
        <d v="1899-12-30T09:23:08"/>
        <d v="1899-12-30T09:47:56"/>
        <d v="1899-12-30T13:57:13"/>
        <d v="1899-12-30T09:32:35"/>
        <d v="1899-12-30T10:21:31"/>
        <d v="1899-12-30T09:48:49"/>
        <d v="1899-12-30T11:09:38"/>
        <d v="1899-12-30T12:32:25"/>
        <d v="1899-12-30T12:20:35"/>
        <d v="1899-12-30T11:03:36"/>
        <d v="1899-12-30T13:17:27"/>
        <d v="1899-12-30T11:19:21"/>
        <d v="1899-12-30T09:32:55"/>
        <d v="1899-12-30T17:02:29"/>
        <d v="1899-12-30T14:49:41"/>
        <d v="1899-12-30T09:14:59"/>
        <d v="1899-12-30T14:56:23"/>
        <d v="1899-12-30T16:24:04"/>
        <d v="1899-12-30T16:29:42"/>
        <d v="1899-12-30T19:47:38"/>
        <d v="1899-12-30T13:26:01"/>
        <d v="1899-12-30T14:01:56"/>
        <d v="1899-12-30T11:21:00"/>
        <d v="1899-12-30T15:45:33"/>
        <d v="1899-12-30T16:49:03"/>
        <d v="1899-12-30T19:46:23"/>
        <d v="1899-12-30T18:43:58"/>
        <d v="1899-12-30T12:11:48"/>
        <d v="1899-12-30T16:53:10"/>
        <d v="1899-12-30T19:31:13"/>
        <d v="1899-12-30T13:35:18"/>
        <d v="1899-12-30T14:13:19"/>
        <d v="1899-12-30T16:46:57"/>
        <d v="1899-12-30T13:29:28"/>
        <d v="1899-12-30T20:16:18"/>
        <d v="1899-12-30T18:19:51"/>
        <d v="1899-12-30T20:50:31"/>
        <d v="1899-12-30T14:23:38"/>
        <d v="1899-12-30T13:06:15"/>
        <d v="1899-12-30T10:03:27"/>
        <d v="1899-12-30T15:36:13"/>
        <d v="1899-12-30T15:43:18"/>
        <d v="1899-12-30T19:42:21"/>
        <d v="1899-12-30T11:42:01"/>
        <d v="1899-12-30T13:51:46"/>
        <d v="1899-12-30T18:26:07"/>
        <d v="1899-12-30T13:45:33"/>
        <d v="1899-12-30T13:04:49"/>
        <d v="1899-12-30T15:20:43"/>
        <d v="1899-12-30T09:23:30"/>
        <d v="1899-12-30T13:05:21"/>
        <d v="1899-12-30T18:07:21"/>
        <d v="1899-12-30T11:46:38"/>
        <d v="1899-12-30T20:23:42"/>
        <d v="1899-12-30T10:04:24"/>
        <d v="1899-12-30T20:33:38"/>
        <d v="1899-12-30T18:07:51"/>
        <d v="1899-12-30T09:03:19"/>
        <d v="1899-12-30T19:00:55"/>
        <d v="1899-12-30T20:32:09"/>
        <d v="1899-12-30T09:46:50"/>
        <d v="1899-12-30T16:17:57"/>
        <d v="1899-12-30T14:10:10"/>
        <d v="1899-12-30T10:20:25"/>
        <d v="1899-12-30T18:14:47"/>
        <d v="1899-12-30T14:51:58"/>
        <d v="1899-12-30T12:02:06"/>
        <d v="1899-12-30T12:47:55"/>
        <d v="1899-12-30T19:48:47"/>
        <d v="1899-12-30T17:19:24"/>
        <d v="1899-12-30T16:26:01"/>
        <d v="1899-12-30T16:23:38"/>
        <d v="1899-12-30T20:39:10"/>
        <d v="1899-12-30T19:41:42"/>
        <d v="1899-12-30T09:22:17"/>
        <d v="1899-12-30T11:37:59"/>
        <d v="1899-12-30T09:23:34"/>
        <d v="1899-12-30T17:08:43"/>
        <d v="1899-12-30T15:01:09"/>
        <d v="1899-12-30T10:30:45"/>
        <d v="1899-12-30T18:24:09"/>
        <d v="1899-12-30T20:51:44"/>
        <d v="1899-12-30T14:02:28"/>
        <d v="1899-12-30T20:19:08"/>
        <d v="1899-12-30T13:19:44"/>
        <d v="1899-12-30T20:45:07"/>
        <d v="1899-12-30T09:32:56"/>
        <d v="1899-12-30T10:41:06"/>
        <d v="1899-12-30T14:32:59"/>
        <d v="1899-12-30T18:41:25"/>
        <d v="1899-12-30T14:02:39"/>
        <d v="1899-12-30T10:39:34"/>
        <d v="1899-12-30T15:05:31"/>
        <d v="1899-12-30T16:02:08"/>
        <d v="1899-12-30T14:36:08"/>
        <d v="1899-12-30T13:02:11"/>
        <d v="1899-12-30T20:57:13"/>
        <d v="1899-12-30T09:32:42"/>
        <d v="1899-12-30T13:02:55"/>
        <d v="1899-12-30T19:57:59"/>
        <d v="1899-12-30T16:24:53"/>
        <d v="1899-12-30T19:37:58"/>
        <d v="1899-12-30T20:48:42"/>
        <d v="1899-12-30T19:49:44"/>
        <d v="1899-12-30T15:24:25"/>
        <d v="1899-12-30T15:14:42"/>
        <d v="1899-12-30T11:38:28"/>
        <d v="1899-12-30T20:52:09"/>
        <d v="1899-12-30T19:19:32"/>
        <d v="1899-12-30T11:59:27"/>
        <d v="1899-12-30T13:01:52"/>
        <d v="1899-12-30T15:34:12"/>
        <d v="1899-12-30T11:07:42"/>
        <d v="1899-12-30T13:00:10"/>
        <d v="1899-12-30T13:14:09"/>
        <d v="1899-12-30T18:40:10"/>
        <d v="1899-12-30T19:09:24"/>
        <d v="1899-12-30T15:41:29"/>
        <d v="1899-12-30T19:57:33"/>
        <d v="1899-12-30T19:09:38"/>
        <d v="1899-12-30T12:44:43"/>
        <d v="1899-12-30T12:47:58"/>
        <d v="1899-12-30T14:23:49"/>
        <d v="1899-12-30T10:47:05"/>
        <d v="1899-12-30T09:00:10"/>
        <d v="1899-12-30T18:13:38"/>
        <d v="1899-12-30T15:19:51"/>
        <d v="1899-12-30T19:51:01"/>
        <d v="1899-12-30T11:51:40"/>
        <d v="1899-12-30T12:17:00"/>
        <d v="1899-12-30T16:42:08"/>
        <d v="1899-12-30T10:51:02"/>
        <d v="1899-12-30T09:40:27"/>
        <d v="1899-12-30T12:32:40"/>
        <d v="1899-12-30T12:23:57"/>
        <d v="1899-12-30T17:53:49"/>
        <d v="1899-12-30T13:11:38"/>
        <d v="1899-12-30T16:22:27"/>
        <d v="1899-12-30T10:07:23"/>
        <d v="1899-12-30T13:57:38"/>
        <d v="1899-12-30T09:34:35"/>
        <d v="1899-12-30T15:15:16"/>
        <d v="1899-12-30T12:07:57"/>
        <d v="1899-12-30T20:13:28"/>
        <d v="1899-12-30T09:46:17"/>
        <d v="1899-12-30T19:08:39"/>
        <d v="1899-12-30T16:30:56"/>
        <d v="1899-12-30T12:05:30"/>
        <d v="1899-12-30T16:57:31"/>
        <d v="1899-12-30T17:41:57"/>
        <d v="1899-12-30T17:09:49"/>
        <d v="1899-12-30T09:54:40"/>
        <d v="1899-12-30T13:32:47"/>
        <d v="1899-12-30T14:14:39"/>
        <d v="1899-12-30T12:09:49"/>
        <d v="1899-12-30T12:00:09"/>
        <d v="1899-12-30T14:11:09"/>
        <d v="1899-12-30T18:45:42"/>
        <d v="1899-12-30T20:05:34"/>
        <d v="1899-12-30T18:30:50"/>
        <d v="1899-12-30T10:03:46"/>
        <d v="1899-12-30T18:35:21"/>
        <d v="1899-12-30T12:33:35"/>
        <d v="1899-12-30T11:57:02"/>
        <d v="1899-12-30T15:01:12"/>
        <d v="1899-12-30T15:55:04"/>
        <d v="1899-12-30T11:50:46"/>
        <d v="1899-12-30T15:38:24"/>
        <d v="1899-12-30T09:10:13"/>
        <d v="1899-12-30T15:00:00"/>
        <d v="1899-12-30T13:37:10"/>
        <d v="1899-12-30T20:45:42"/>
        <d v="1899-12-30T19:50:03"/>
        <d v="1899-12-30T14:49:02"/>
        <d v="1899-12-30T12:00:06"/>
        <d v="1899-12-30T09:50:22"/>
        <d v="1899-12-30T16:20:15"/>
        <d v="1899-12-30T19:56:10"/>
        <d v="1899-12-30T18:06:08"/>
        <d v="1899-12-30T11:19:36"/>
        <d v="1899-12-30T18:25:07"/>
        <d v="1899-12-30T19:50:34"/>
        <d v="1899-12-30T12:52:39"/>
        <d v="1899-12-30T15:07:11"/>
        <d v="1899-12-30T15:08:58"/>
        <d v="1899-12-30T09:28:07"/>
        <d v="1899-12-30T10:57:31"/>
        <d v="1899-12-30T15:59:29"/>
        <d v="1899-12-30T14:49:31"/>
        <d v="1899-12-30T16:47:02"/>
        <d v="1899-12-30T11:49:28"/>
        <d v="1899-12-30T19:58:36"/>
        <d v="1899-12-30T13:49:59"/>
        <d v="1899-12-30T11:46:34"/>
        <d v="1899-12-30T09:02:38"/>
        <d v="1899-12-30T17:51:58"/>
        <d v="1899-12-30T16:38:44"/>
        <d v="1899-12-30T15:15:46"/>
        <d v="1899-12-30T12:10:22"/>
        <d v="1899-12-30T19:29:17"/>
        <d v="1899-12-30T20:21:23"/>
        <d v="1899-12-30T19:48:59"/>
        <d v="1899-12-30T15:05:29"/>
        <d v="1899-12-30T17:28:40"/>
        <d v="1899-12-30T19:37:54"/>
        <d v="1899-12-30T16:21:30"/>
        <d v="1899-12-30T13:34:43"/>
        <d v="1899-12-30T12:48:03"/>
        <d v="1899-12-30T19:07:31"/>
        <d v="1899-12-30T11:29:09"/>
        <d v="1899-12-30T13:42:31"/>
        <d v="1899-12-30T16:51:35"/>
        <d v="1899-12-30T19:16:29"/>
        <d v="1899-12-30T18:59:06"/>
        <d v="1899-12-30T19:16:48"/>
        <d v="1899-12-30T11:44:35"/>
        <d v="1899-12-30T17:32:27"/>
        <d v="1899-12-30T12:54:17"/>
        <d v="1899-12-30T12:57:41"/>
        <d v="1899-12-30T17:31:44"/>
        <d v="1899-12-30T14:36:58"/>
        <d v="1899-12-30T18:50:45"/>
        <d v="1899-12-30T16:22:34"/>
        <d v="1899-12-30T18:15:19"/>
        <d v="1899-12-30T09:49:56"/>
        <d v="1899-12-30T19:00:39"/>
        <d v="1899-12-30T18:01:44"/>
        <d v="1899-12-30T14:48:18"/>
        <d v="1899-12-30T15:42:00"/>
        <d v="1899-12-30T11:55:27"/>
        <d v="1899-12-30T15:32:53"/>
        <d v="1899-12-30T13:26:23"/>
        <d v="1899-12-30T16:56:09"/>
        <d v="1899-12-30T14:24:45"/>
        <d v="1899-12-30T13:13:38"/>
        <d v="1899-12-30T15:26:03"/>
        <d v="1899-12-30T20:59:26"/>
        <d v="1899-12-30T09:25:17"/>
        <d v="1899-12-30T20:48:52"/>
        <d v="1899-12-30T15:36:14"/>
        <d v="1899-12-30T18:06:45"/>
        <d v="1899-12-30T10:16:46"/>
        <d v="1899-12-30T14:20:50"/>
        <d v="1899-12-30T12:33:13"/>
        <d v="1899-12-30T18:52:33"/>
        <d v="1899-12-30T16:30:03"/>
        <d v="1899-12-30T18:14:09"/>
        <d v="1899-12-30T14:29:27"/>
        <d v="1899-12-30T15:17:15"/>
        <d v="1899-12-30T16:46:21"/>
        <d v="1899-12-30T10:29:05"/>
        <d v="1899-12-30T13:45:38"/>
        <d v="1899-12-30T11:54:47"/>
        <d v="1899-12-30T14:44:13"/>
        <d v="1899-12-30T18:38:03"/>
        <d v="1899-12-30T20:07:48"/>
        <d v="1899-12-30T10:00:35"/>
        <d v="1899-12-30T19:01:22"/>
        <d v="1899-12-30T12:31:12"/>
        <d v="1899-12-30T15:37:23"/>
        <d v="1899-12-30T16:45:00"/>
        <d v="1899-12-30T16:47:14"/>
        <d v="1899-12-30T13:39:31"/>
        <d v="1899-12-30T13:36:40"/>
        <d v="1899-12-30T20:06:26"/>
        <d v="1899-12-30T18:59:55"/>
        <d v="1899-12-30T16:34:35"/>
        <d v="1899-12-30T15:43:26"/>
        <d v="1899-12-30T19:59:10"/>
        <d v="1899-12-30T17:50:42"/>
        <d v="1899-12-30T19:48:18"/>
        <d v="1899-12-30T09:34:33"/>
        <d v="1899-12-30T18:05:41"/>
        <d v="1899-12-30T20:12:01"/>
        <d v="1899-12-30T16:37:16"/>
        <d v="1899-12-30T09:02:49"/>
        <d v="1899-12-30T14:38:27"/>
        <d v="1899-12-30T13:50:52"/>
        <d v="1899-12-30T11:13:13"/>
        <d v="1899-12-30T13:12:49"/>
        <d v="1899-12-30T18:43:27"/>
        <d v="1899-12-30T14:08:36"/>
        <d v="1899-12-30T10:47:51"/>
        <d v="1899-12-30T11:27:17"/>
        <d v="1899-12-30T10:44:11"/>
        <d v="1899-12-30T13:27:13"/>
        <d v="1899-12-30T13:21:34"/>
        <d v="1899-12-30T17:36:59"/>
        <d v="1899-12-30T15:45:18"/>
        <d v="1899-12-30T13:43:30"/>
        <d v="1899-12-30T20:55:43"/>
        <d v="1899-12-30T14:30:44"/>
        <d v="1899-12-30T12:01:47"/>
        <d v="1899-12-30T16:33:20"/>
        <d v="1899-12-30T13:01:53"/>
        <d v="1899-12-30T20:04:31"/>
        <d v="1899-12-30T10:35:32"/>
        <d v="1899-12-30T10:28:09"/>
        <d v="1899-12-30T19:49:48"/>
        <d v="1899-12-30T10:38:21"/>
        <d v="1899-12-30T19:44:30"/>
        <d v="1899-12-30T09:13:13"/>
        <d v="1899-12-30T09:23:29"/>
        <d v="1899-12-30T10:18:03"/>
        <d v="1899-12-30T18:22:27"/>
        <d v="1899-12-30T17:53:18"/>
        <d v="1899-12-30T09:09:33"/>
        <d v="1899-12-30T17:34:48"/>
        <d v="1899-12-30T16:54:08"/>
        <d v="1899-12-30T19:58:41"/>
        <d v="1899-12-30T14:41:15"/>
        <d v="1899-12-30T11:43:01"/>
        <d v="1899-12-30T17:06:35"/>
        <d v="1899-12-30T11:48:38"/>
        <d v="1899-12-30T15:54:56"/>
        <d v="1899-12-30T13:44:41"/>
        <d v="1899-12-30T19:35:41"/>
        <d v="1899-12-30T15:35:54"/>
        <d v="1899-12-30T20:55:05"/>
        <d v="1899-12-30T18:21:20"/>
        <d v="1899-12-30T10:34:06"/>
        <d v="1899-12-30T15:16:42"/>
        <d v="1899-12-30T17:38:39"/>
        <d v="1899-12-30T16:31:15"/>
        <d v="1899-12-30T11:11:33"/>
        <d v="1899-12-30T10:55:22"/>
        <d v="1899-12-30T10:29:45"/>
        <d v="1899-12-30T11:56:55"/>
        <d v="1899-12-30T10:28:28"/>
        <d v="1899-12-30T09:25:19"/>
        <d v="1899-12-30T11:01:13"/>
        <d v="1899-12-30T13:37:45"/>
        <d v="1899-12-30T16:53:33"/>
        <d v="1899-12-30T19:13:07"/>
        <d v="1899-12-30T19:06:45"/>
        <d v="1899-12-30T20:14:37"/>
        <d v="1899-12-30T09:52:50"/>
        <d v="1899-12-30T09:58:49"/>
        <d v="1899-12-30T15:42:25"/>
        <d v="1899-12-30T20:20:27"/>
        <d v="1899-12-30T18:40:54"/>
        <d v="1899-12-30T17:43:11"/>
        <d v="1899-12-30T09:56:23"/>
        <d v="1899-12-30T19:25:12"/>
        <d v="1899-12-30T11:43:22"/>
        <d v="1899-12-30T12:30:01"/>
        <d v="1899-12-30T12:05:43"/>
        <d v="1899-12-30T19:48:02"/>
        <d v="1899-12-30T09:56:56"/>
        <d v="1899-12-30T15:47:08"/>
        <d v="1899-12-30T14:03:59"/>
        <d v="1899-12-30T20:33:08"/>
        <d v="1899-12-30T19:45:32"/>
        <d v="1899-12-30T15:39:37"/>
        <d v="1899-12-30T12:38:30"/>
        <d v="1899-12-30T09:34:38"/>
        <d v="1899-12-30T17:36:23"/>
        <d v="1899-12-30T13:22:12"/>
        <d v="1899-12-30T12:52:56"/>
        <d v="1899-12-30T13:26:55"/>
        <d v="1899-12-30T09:46:23"/>
        <d v="1899-12-30T20:36:47"/>
        <d v="1899-12-30T20:15:50"/>
        <d v="1899-12-30T11:19:10"/>
        <d v="1899-12-30T18:46:34"/>
        <d v="1899-12-30T10:39:22"/>
        <d v="1899-12-30T14:44:48"/>
        <d v="1899-12-30T14:25:24"/>
        <d v="1899-12-30T20:39:24"/>
        <d v="1899-12-30T15:42:40"/>
        <d v="1899-12-30T16:28:38"/>
        <d v="1899-12-30T09:12:08"/>
        <d v="1899-12-30T15:12:30"/>
        <d v="1899-12-30T18:45:33"/>
        <d v="1899-12-30T11:57:45"/>
        <d v="1899-12-30T10:59:30"/>
        <d v="1899-12-30T16:38:31"/>
        <d v="1899-12-30T11:40:30"/>
        <d v="1899-12-30T12:55:58"/>
        <d v="1899-12-30T09:05:34"/>
        <d v="1899-12-30T11:03:34"/>
        <d v="1899-12-30T11:06:39"/>
        <d v="1899-12-30T10:25:41"/>
        <d v="1899-12-30T18:26:55"/>
        <d v="1899-12-30T18:15:08"/>
        <d v="1899-12-30T19:16:53"/>
        <d v="1899-12-30T20:16:07"/>
        <d v="1899-12-30T10:19:29"/>
        <d v="1899-12-30T20:33:01"/>
        <d v="1899-12-30T12:32:15"/>
        <d v="1899-12-30T13:31:07"/>
        <d v="1899-12-30T18:39:33"/>
        <d v="1899-12-30T16:09:22"/>
        <d v="1899-12-30T19:45:51"/>
        <d v="1899-12-30T09:54:21"/>
        <d v="1899-12-30T17:37:47"/>
        <d v="1899-12-30T15:57:48"/>
        <d v="1899-12-30T15:34:14"/>
        <d v="1899-12-30T17:21:02"/>
        <d v="1899-12-30T14:39:02"/>
        <d v="1899-12-30T10:22:05"/>
        <d v="1899-12-30T20:45:49"/>
        <d v="1899-12-30T16:58:54"/>
        <d v="1899-12-30T17:56:44"/>
        <d v="1899-12-30T14:41:32"/>
        <d v="1899-12-30T13:48:23"/>
        <d v="1899-12-30T17:37:34"/>
        <d v="1899-12-30T14:33:50"/>
        <d v="1899-12-30T14:58:50"/>
        <d v="1899-12-30T15:50:15"/>
        <d v="1899-12-30T10:08:55"/>
        <d v="1899-12-30T16:26:41"/>
        <d v="1899-12-30T20:35:09"/>
        <d v="1899-12-30T20:17:54"/>
        <d v="1899-12-30T15:14:14"/>
        <d v="1899-12-30T20:40:31"/>
        <d v="1899-12-30T18:13:42"/>
        <d v="1899-12-30T12:12:02"/>
        <d v="1899-12-30T13:36:48"/>
        <d v="1899-12-30T13:17:02"/>
        <d v="1899-12-30T10:57:42"/>
        <d v="1899-12-30T20:46:45"/>
        <d v="1899-12-30T20:35:10"/>
        <d v="1899-12-30T11:23:51"/>
        <d v="1899-12-30T15:38:38"/>
        <d v="1899-12-30T19:18:52"/>
        <d v="1899-12-30T17:06:23"/>
        <d v="1899-12-30T09:02:05"/>
        <d v="1899-12-30T19:37:46"/>
        <d v="1899-12-30T13:50:14"/>
        <d v="1899-12-30T19:17:04"/>
        <d v="1899-12-30T12:57:23"/>
        <d v="1899-12-30T09:28:12"/>
        <d v="1899-12-30T14:43:26"/>
        <d v="1899-12-30T18:18:41"/>
        <d v="1899-12-30T11:32:35"/>
        <d v="1899-12-30T17:04:28"/>
        <d v="1899-12-30T16:22:28"/>
        <d v="1899-12-30T12:10:04"/>
        <d v="1899-12-30T12:45:28"/>
        <d v="1899-12-30T19:33:12"/>
        <d v="1899-12-30T13:20:04"/>
        <d v="1899-12-30T18:04:20"/>
        <d v="1899-12-30T12:44:51"/>
        <d v="1899-12-30T10:19:10"/>
        <d v="1899-12-30T18:38:33"/>
        <d v="1899-12-30T11:09:16"/>
        <d v="1899-12-30T12:18:16"/>
        <d v="1899-12-30T16:07:11"/>
        <d v="1899-12-30T14:13:42"/>
        <d v="1899-12-30T11:18:54"/>
        <d v="1899-12-30T13:03:58"/>
        <d v="1899-12-30T19:53:28"/>
        <d v="1899-12-30T16:03:22"/>
        <d v="1899-12-30T09:22:29"/>
        <d v="1899-12-30T18:41:54"/>
        <d v="1899-12-30T20:36:33"/>
        <d v="1899-12-30T20:08:56"/>
        <d v="1899-12-30T17:55:55"/>
        <d v="1899-12-30T09:05:32"/>
        <d v="1899-12-30T15:40:18"/>
        <d v="1899-12-30T18:32:02"/>
        <d v="1899-12-30T10:14:41"/>
        <d v="1899-12-30T12:00:43"/>
        <d v="1899-12-30T18:46:56"/>
        <d v="1899-12-30T10:22:46"/>
        <d v="1899-12-30T09:14:35"/>
        <d v="1899-12-30T11:41:26"/>
        <d v="1899-12-30T12:52:24"/>
        <d v="1899-12-30T14:36:36"/>
        <d v="1899-12-30T19:54:00"/>
        <d v="1899-12-30T16:49:21"/>
        <d v="1899-12-30T09:20:15"/>
        <d v="1899-12-30T11:08:36"/>
        <d v="1899-12-30T11:06:50"/>
        <d v="1899-12-30T16:05:12"/>
        <d v="1899-12-30T10:10:38"/>
        <d v="1899-12-30T15:11:20"/>
        <d v="1899-12-30T19:33:06"/>
        <d v="1899-12-30T16:29:04"/>
        <d v="1899-12-30T09:43:37"/>
        <d v="1899-12-30T09:59:28"/>
        <d v="1899-12-30T16:13:05"/>
        <d v="1899-12-30T11:35:20"/>
        <d v="1899-12-30T10:22:34"/>
        <d v="1899-12-30T10:01:57"/>
        <d v="1899-12-30T15:29:50"/>
        <d v="1899-12-30T16:38:39"/>
        <d v="1899-12-30T20:22:56"/>
        <d v="1899-12-30T16:18:41"/>
        <d v="1899-12-30T17:21:34"/>
        <d v="1899-12-30T14:30:18"/>
        <d v="1899-12-30T16:44:55"/>
        <d v="1899-12-30T10:48:16"/>
        <d v="1899-12-30T19:59:50"/>
        <d v="1899-12-30T15:18:32"/>
        <d v="1899-12-30T15:31:38"/>
        <d v="1899-12-30T17:18:09"/>
        <d v="1899-12-30T15:43:37"/>
        <d v="1899-12-30T09:03:04"/>
        <d v="1899-12-30T09:06:11"/>
        <d v="1899-12-30T13:40:59"/>
        <d v="1899-12-30T14:37:36"/>
        <d v="1899-12-30T09:58:12"/>
        <d v="1899-12-30T10:14:09"/>
        <d v="1899-12-30T15:44:47"/>
        <d v="1899-12-30T12:23:07"/>
        <d v="1899-12-30T18:38:19"/>
        <d v="1899-12-30T12:55:49"/>
        <d v="1899-12-30T13:09:10"/>
        <d v="1899-12-30T19:47:10"/>
        <d v="1899-12-30T15:21:00"/>
        <d v="1899-12-30T15:44:42"/>
        <d v="1899-12-30T18:37:45"/>
        <d v="1899-12-30T15:54:22"/>
        <d v="1899-12-30T19:21:30"/>
        <d v="1899-12-30T16:37:30"/>
        <d v="1899-12-30T18:24:03"/>
        <d v="1899-12-30T19:27:07"/>
        <d v="1899-12-30T16:46:00"/>
        <d v="1899-12-30T15:48:22"/>
        <d v="1899-12-30T12:12:49"/>
        <d v="1899-12-30T19:51:28"/>
        <d v="1899-12-30T18:53:28"/>
        <d v="1899-12-30T18:34:06"/>
        <d v="1899-12-30T13:09:03"/>
        <d v="1899-12-30T16:20:43"/>
        <d v="1899-12-30T17:19:08"/>
        <d v="1899-12-30T10:27:21"/>
        <d v="1899-12-30T10:36:25"/>
        <d v="1899-12-30T14:53:13"/>
        <d v="1899-12-30T20:24:54"/>
        <d v="1899-12-30T14:50:18"/>
        <d v="1899-12-30T17:39:09"/>
        <d v="1899-12-30T17:43:00"/>
        <d v="1899-12-30T20:18:51"/>
        <d v="1899-12-30T10:55:07"/>
        <d v="1899-12-30T18:23:32"/>
        <d v="1899-12-30T16:01:37"/>
        <d v="1899-12-30T11:45:38"/>
        <d v="1899-12-30T11:13:00"/>
        <d v="1899-12-30T19:18:14"/>
        <d v="1899-12-30T18:14:30"/>
        <d v="1899-12-30T09:44:35"/>
        <d v="1899-12-30T17:49:13"/>
        <d v="1899-12-30T20:54:25"/>
        <d v="1899-12-30T13:35:01"/>
        <d v="1899-12-30T14:46:56"/>
        <d v="1899-12-30T11:45:25"/>
        <d v="1899-12-30T15:26:06"/>
        <d v="1899-12-30T11:14:44"/>
        <d v="1899-12-30T18:02:10"/>
        <d v="1899-12-30T14:02:04"/>
        <d v="1899-12-30T13:00:51"/>
        <d v="1899-12-30T12:29:08"/>
        <d v="1899-12-30T13:09:52"/>
        <d v="1899-12-30T15:57:37"/>
        <d v="1899-12-30T19:34:03"/>
        <d v="1899-12-30T09:25:29"/>
        <d v="1899-12-30T15:12:37"/>
        <d v="1899-12-30T15:16:52"/>
        <d v="1899-12-30T19:34:07"/>
        <d v="1899-12-30T20:00:07"/>
        <d v="1899-12-30T17:02:53"/>
        <d v="1899-12-30T19:02:22"/>
        <d v="1899-12-30T13:33:58"/>
        <d v="1899-12-30T20:04:56"/>
        <d v="1899-12-30T16:10:20"/>
        <d v="1899-12-30T10:27:32"/>
        <d v="1899-12-30T12:55:06"/>
        <d v="1899-12-30T10:21:23"/>
        <d v="1899-12-30T17:25:26"/>
        <d v="1899-12-30T09:11:12"/>
        <d v="1899-12-30T11:35:50"/>
        <d v="1899-12-30T20:50:52"/>
        <d v="1899-12-30T19:37:19"/>
        <d v="1899-12-30T14:57:59"/>
        <d v="1899-12-30T14:41:02"/>
        <d v="1899-12-30T11:31:29"/>
        <d v="1899-12-30T10:06:10"/>
        <d v="1899-12-30T12:25:26"/>
        <d v="1899-12-30T13:07:06"/>
        <d v="1899-12-30T15:16:08"/>
        <d v="1899-12-30T20:49:07"/>
        <d v="1899-12-30T17:50:59"/>
        <d v="1899-12-30T11:18:02"/>
        <d v="1899-12-30T11:55:24"/>
        <d v="1899-12-30T12:30:50"/>
        <d v="1899-12-30T09:25:45"/>
        <d v="1899-12-30T19:13:55"/>
        <d v="1899-12-30T16:14:02"/>
        <d v="1899-12-30T13:26:50"/>
        <d v="1899-12-30T12:19:34"/>
        <d v="1899-12-30T13:23:01"/>
        <d v="1899-12-30T13:45:55"/>
        <d v="1899-12-30T11:17:00"/>
        <d v="1899-12-30T18:53:59"/>
        <d v="1899-12-30T17:57:57"/>
        <d v="1899-12-30T20:32:47"/>
        <d v="1899-12-30T17:59:10"/>
        <d v="1899-12-30T11:14:26"/>
        <d v="1899-12-30T19:10:20"/>
        <d v="1899-12-30T10:48:17"/>
        <d v="1899-12-30T20:56:55"/>
        <d v="1899-12-30T19:00:24"/>
        <d v="1899-12-30T18:39:04"/>
        <d v="1899-12-30T10:48:06"/>
        <d v="1899-12-30T20:03:47"/>
        <d v="1899-12-30T13:07:55"/>
        <d v="1899-12-30T19:52:43"/>
        <d v="1899-12-30T16:47:54"/>
        <d v="1899-12-30T11:11:06"/>
        <d v="1899-12-30T19:10:06"/>
        <d v="1899-12-30T13:31:42"/>
        <d v="1899-12-30T17:13:23"/>
        <d v="1899-12-30T11:42:23"/>
        <d v="1899-12-30T09:35:26"/>
        <d v="1899-12-30T18:36:00"/>
        <d v="1899-12-30T18:19:13"/>
        <d v="1899-12-30T13:28:05"/>
        <d v="1899-12-30T10:20:06"/>
        <d v="1899-12-30T20:09:46"/>
        <d v="1899-12-30T09:07:11"/>
        <d v="1899-12-30T09:38:59"/>
        <d v="1899-12-30T11:58:59"/>
        <d v="1899-12-30T20:25:15"/>
        <d v="1899-12-30T17:29:37"/>
        <d v="1899-12-30T18:37:06"/>
        <d v="1899-12-30T18:04:27"/>
        <d v="1899-12-30T17:12:09"/>
        <d v="1899-12-30T17:08:53"/>
        <d v="1899-12-30T12:43:18"/>
        <d v="1899-12-30T09:19:28"/>
        <d v="1899-12-30T19:35:05"/>
        <d v="1899-12-30T09:12:09"/>
        <d v="1899-12-30T13:12:14"/>
        <d v="1899-12-30T14:26:32"/>
        <d v="1899-12-30T12:16:30"/>
        <d v="1899-12-30T13:27:11"/>
        <d v="1899-12-30T09:21:53"/>
        <d v="1899-12-30T16:08:32"/>
        <d v="1899-12-30T09:33:15"/>
        <d v="1899-12-30T18:05:38"/>
        <d v="1899-12-30T20:30:49"/>
        <d v="1899-12-30T16:16:58"/>
        <d v="1899-12-30T12:49:06"/>
        <d v="1899-12-30T16:56:36"/>
        <d v="1899-12-30T09:27:40"/>
        <d v="1899-12-30T12:22:06"/>
        <d v="1899-12-30T15:44:18"/>
        <d v="1899-12-30T13:59:14"/>
        <d v="1899-12-30T10:41:59"/>
        <d v="1899-12-30T11:40:12"/>
        <d v="1899-12-30T10:18:13"/>
        <d v="1899-12-30T17:47:58"/>
        <d v="1899-12-30T19:05:21"/>
        <d v="1899-12-30T09:19:54"/>
        <d v="1899-12-30T18:21:54"/>
        <d v="1899-12-30T16:20:23"/>
        <d v="1899-12-30T14:16:03"/>
        <d v="1899-12-30T10:46:47"/>
        <d v="1899-12-30T11:16:38"/>
        <d v="1899-12-30T10:23:37"/>
        <d v="1899-12-30T15:05:25"/>
        <d v="1899-12-30T11:31:55"/>
        <d v="1899-12-30T10:34:20"/>
        <d v="1899-12-30T18:03:26"/>
        <d v="1899-12-30T10:11:07"/>
        <d v="1899-12-30T19:24:54"/>
        <d v="1899-12-30T20:07:04"/>
        <d v="1899-12-30T12:38:48"/>
        <d v="1899-12-30T09:27:57"/>
        <d v="1899-12-30T15:14:19"/>
        <d v="1899-12-30T18:22:20"/>
        <d v="1899-12-30T19:53:48"/>
        <d v="1899-12-30T09:12:47"/>
        <d v="1899-12-30T19:29:13"/>
        <d v="1899-12-30T14:26:30"/>
        <d v="1899-12-30T15:22:49"/>
        <d v="1899-12-30T18:59:59"/>
        <d v="1899-12-30T11:28:41"/>
        <d v="1899-12-30T14:50:47"/>
        <d v="1899-12-30T20:26:49"/>
        <d v="1899-12-30T17:32:45"/>
        <d v="1899-12-30T18:42:04"/>
        <d v="1899-12-30T13:37:04"/>
        <d v="1899-12-30T15:33:53"/>
        <d v="1899-12-30T14:53:28"/>
        <d v="1899-12-30T18:47:32"/>
        <d v="1899-12-30T17:13:32"/>
        <d v="1899-12-30T20:37:47"/>
        <d v="1899-12-30T14:55:46"/>
        <d v="1899-12-30T17:51:19"/>
        <d v="1899-12-30T19:00:30"/>
        <d v="1899-12-30T12:17:50"/>
        <d v="1899-12-30T19:29:41"/>
        <d v="1899-12-30T16:12:44"/>
        <d v="1899-12-30T19:10:34"/>
        <d v="1899-12-30T15:28:18"/>
        <d v="1899-12-30T11:22:06"/>
        <d v="1899-12-30T18:32:30"/>
        <d v="1899-12-30T18:52:32"/>
        <d v="1899-12-30T15:22:20"/>
        <d v="1899-12-30T17:23:14"/>
        <d v="1899-12-30T17:54:27"/>
        <d v="1899-12-30T13:53:56"/>
        <d v="1899-12-30T18:23:13"/>
        <d v="1899-12-30T16:12:31"/>
        <d v="1899-12-30T13:08:23"/>
        <d v="1899-12-30T09:58:10"/>
        <d v="1899-12-30T17:31:30"/>
        <d v="1899-12-30T14:37:54"/>
        <d v="1899-12-30T12:17:11"/>
        <d v="1899-12-30T16:19:50"/>
        <d v="1899-12-30T15:57:26"/>
        <d v="1899-12-30T12:21:45"/>
        <d v="1899-12-30T11:33:36"/>
        <d v="1899-12-30T16:45:25"/>
        <d v="1899-12-30T19:31:45"/>
        <d v="1899-12-30T09:40:47"/>
        <d v="1899-12-30T14:51:28"/>
        <d v="1899-12-30T15:54:35"/>
        <d v="1899-12-30T11:28:13"/>
        <d v="1899-12-30T15:48:21"/>
        <d v="1899-12-30T17:21:30"/>
        <d v="1899-12-30T12:16:40"/>
        <d v="1899-12-30T10:38:39"/>
        <d v="1899-12-30T12:56:52"/>
        <d v="1899-12-30T13:16:53"/>
        <d v="1899-12-30T18:10:42"/>
        <d v="1899-12-30T10:35:48"/>
        <d v="1899-12-30T18:48:42"/>
        <d v="1899-12-30T20:06:44"/>
        <d v="1899-12-30T10:50:01"/>
        <d v="1899-12-30T13:28:38"/>
        <d v="1899-12-30T12:37:08"/>
        <d v="1899-12-30T18:51:22"/>
        <d v="1899-12-30T15:57:36"/>
        <d v="1899-12-30T18:43:38"/>
        <d v="1899-12-30T10:24:04"/>
        <d v="1899-12-30T17:43:54"/>
        <d v="1899-12-30T12:54:22"/>
        <d v="1899-12-30T20:07:09"/>
        <d v="1899-12-30T19:44:13"/>
        <d v="1899-12-30T19:34:28"/>
        <d v="1899-12-30T14:48:24"/>
        <d v="1899-12-30T09:32:27"/>
        <d v="1899-12-30T11:21:44"/>
        <d v="1899-12-30T12:12:19"/>
        <d v="1899-12-30T17:36:06"/>
        <d v="1899-12-30T09:54:43"/>
        <d v="1899-12-30T16:34:27"/>
        <d v="1899-12-30T17:39:43"/>
        <d v="1899-12-30T16:04:29"/>
        <d v="1899-12-30T15:32:16"/>
        <d v="1899-12-30T17:10:17"/>
        <d v="1899-12-30T19:26:34"/>
        <d v="1899-12-30T10:10:31"/>
        <d v="1899-12-30T14:53:53"/>
        <d v="1899-12-30T09:17:53"/>
        <d v="1899-12-30T10:45:20"/>
        <d v="1899-12-30T18:57:44"/>
        <d v="1899-12-30T17:57:58"/>
        <d v="1899-12-30T10:50:07"/>
        <d v="1899-12-30T16:09:51"/>
        <d v="1899-12-30T13:15:03"/>
        <d v="1899-12-30T10:25:59"/>
        <d v="1899-12-30T19:37:31"/>
        <d v="1899-12-30T18:38:31"/>
        <d v="1899-12-30T16:08:19"/>
        <d v="1899-12-30T14:08:12"/>
        <d v="1899-12-30T16:06:01"/>
        <d v="1899-12-30T14:47:26"/>
        <d v="1899-12-30T17:21:09"/>
        <d v="1899-12-30T12:22:13"/>
        <d v="1899-12-30T11:52:54"/>
        <d v="1899-12-30T19:12:18"/>
        <d v="1899-12-30T12:36:36"/>
        <d v="1899-12-30T12:23:14"/>
        <d v="1899-12-30T15:40:38"/>
        <d v="1899-12-30T09:57:04"/>
        <d v="1899-12-30T09:53:55"/>
        <d v="1899-12-30T18:28:57"/>
        <d v="1899-12-30T14:11:31"/>
        <d v="1899-12-30T19:11:41"/>
        <d v="1899-12-30T11:12:31"/>
        <d v="1899-12-30T17:34:47"/>
        <d v="1899-12-30T09:52:27"/>
        <d v="1899-12-30T19:13:44"/>
        <d v="1899-12-30T18:16:56"/>
        <d v="1899-12-30T20:27:47"/>
        <d v="1899-12-30T20:53:34"/>
        <d v="1899-12-30T19:38:23"/>
        <d v="1899-12-30T15:25:06"/>
        <d v="1899-12-30T17:47:48"/>
        <d v="1899-12-30T17:40:09"/>
        <d v="1899-12-30T14:54:57"/>
        <d v="1899-12-30T11:54:51"/>
        <d v="1899-12-30T17:45:43"/>
        <d v="1899-12-30T10:58:09"/>
        <d v="1899-12-30T12:32:07"/>
        <d v="1899-12-30T20:03:38"/>
        <d v="1899-12-30T12:12:06"/>
        <d v="1899-12-30T20:35:00"/>
        <d v="1899-12-30T17:38:15"/>
        <d v="1899-12-30T13:23:40"/>
        <d v="1899-12-30T10:45:49"/>
        <d v="1899-12-30T17:53:22"/>
        <d v="1899-12-30T20:46:29"/>
        <d v="1899-12-30T15:17:07"/>
        <d v="1899-12-30T17:25:18"/>
        <d v="1899-12-30T19:10:37"/>
        <d v="1899-12-30T09:28:36"/>
        <d v="1899-12-30T18:00:08"/>
        <d v="1899-12-30T09:38:50"/>
        <d v="1899-12-30T20:22:08"/>
        <d v="1899-12-30T20:56:01"/>
        <d v="1899-12-30T10:50:13"/>
        <d v="1899-12-30T19:15:15"/>
        <d v="1899-12-30T14:43:45"/>
        <d v="1899-12-30T18:24:45"/>
        <d v="1899-12-30T12:53:51"/>
        <d v="1899-12-30T09:00:01"/>
        <d v="1899-12-30T12:22:09"/>
        <d v="1899-12-30T20:12:20"/>
        <d v="1899-12-30T18:06:26"/>
        <d v="1899-12-30T18:33:56"/>
        <d v="1899-12-30T10:22:08"/>
        <d v="1899-12-30T13:00:46"/>
        <d v="1899-12-30T19:49:29"/>
        <d v="1899-12-30T18:45:47"/>
        <d v="1899-12-30T15:31:05"/>
        <d v="1899-12-30T16:34:49"/>
        <d v="1899-12-30T20:42:15"/>
        <d v="1899-12-30T17:49:01"/>
        <d v="1899-12-30T18:47:08"/>
        <d v="1899-12-30T19:23:49"/>
        <d v="1899-12-30T11:48:44"/>
        <d v="1899-12-30T16:57:38"/>
        <d v="1899-12-30T09:09:10"/>
        <d v="1899-12-30T16:16:29"/>
        <d v="1899-12-30T19:08:53"/>
        <d v="1899-12-30T12:34:16"/>
        <d v="1899-12-30T20:46:42"/>
        <d v="1899-12-30T16:47:00"/>
        <d v="1899-12-30T17:23:36"/>
        <d v="1899-12-30T15:51:14"/>
        <d v="1899-12-30T10:04:39"/>
        <d v="1899-12-30T10:55:54"/>
        <d v="1899-12-30T19:57:15"/>
        <d v="1899-12-30T19:42:06"/>
        <d v="1899-12-30T11:15:31"/>
        <d v="1899-12-30T15:31:19"/>
        <d v="1899-12-30T20:27:28"/>
        <d v="1899-12-30T17:39:18"/>
        <d v="1899-12-30T20:24:19"/>
        <d v="1899-12-30T11:24:26"/>
        <d v="1899-12-30T18:26:32"/>
        <d v="1899-12-30T11:14:14"/>
        <d v="1899-12-30T16:55:14"/>
        <d v="1899-12-30T19:59:55"/>
        <d v="1899-12-30T15:35:05"/>
        <d v="1899-12-30T15:32:41"/>
        <d v="1899-12-30T15:41:35"/>
        <d v="1899-12-30T14:24:56"/>
        <d v="1899-12-30T12:34:35"/>
        <d v="1899-12-30T16:36:59"/>
        <d v="1899-12-30T20:17:38"/>
        <d v="1899-12-30T12:20:27"/>
        <d v="1899-12-30T09:09:21"/>
        <d v="1899-12-30T10:30:37"/>
        <d v="1899-12-30T11:42:39"/>
        <d v="1899-12-30T16:19:29"/>
        <d v="1899-12-30T16:23:57"/>
        <d v="1899-12-30T13:11:17"/>
        <d v="1899-12-30T20:48:19"/>
        <d v="1899-12-30T13:36:29"/>
        <d v="1899-12-30T09:50:16"/>
        <d v="1899-12-30T11:58:48"/>
        <d v="1899-12-30T10:19:33"/>
        <d v="1899-12-30T10:54:35"/>
        <d v="1899-12-30T19:56:55"/>
        <d v="1899-12-30T20:02:47"/>
        <d v="1899-12-30T11:39:56"/>
        <d v="1899-12-30T19:50:58"/>
        <d v="1899-12-30T11:43:11"/>
        <d v="1899-12-30T18:55:45"/>
        <d v="1899-12-30T14:54:14"/>
        <d v="1899-12-30T10:58:34"/>
        <d v="1899-12-30T11:19:57"/>
        <d v="1899-12-30T19:20:45"/>
        <d v="1899-12-30T13:48:38"/>
        <d v="1899-12-30T13:18:20"/>
        <d v="1899-12-30T17:16:21"/>
        <d v="1899-12-30T18:06:17"/>
        <d v="1899-12-30T19:24:16"/>
        <d v="1899-12-30T10:26:04"/>
        <d v="1899-12-30T18:30:49"/>
        <d v="1899-12-30T11:17:19"/>
        <d v="1899-12-30T12:03:35"/>
        <d v="1899-12-30T14:59:49"/>
        <d v="1899-12-30T20:13:30"/>
        <d v="1899-12-30T11:43:14"/>
        <d v="1899-12-30T18:09:21"/>
        <d v="1899-12-30T13:27:24"/>
        <d v="1899-12-30T20:32:50"/>
        <d v="1899-12-30T19:20:58"/>
        <d v="1899-12-30T12:47:23"/>
        <d v="1899-12-30T14:32:00"/>
        <d v="1899-12-30T13:31:27"/>
        <d v="1899-12-30T17:26:12"/>
        <d v="1899-12-30T11:07:53"/>
        <d v="1899-12-30T14:42:40"/>
        <d v="1899-12-30T15:32:34"/>
        <d v="1899-12-30T18:47:43"/>
        <d v="1899-12-30T19:50:07"/>
        <d v="1899-12-30T20:18:29"/>
        <d v="1899-12-30T18:38:45"/>
        <d v="1899-12-30T15:44:19"/>
        <d v="1899-12-30T17:10:56"/>
        <d v="1899-12-30T13:39:16"/>
        <d v="1899-12-30T15:30:13"/>
        <d v="1899-12-30T11:07:36"/>
        <d v="1899-12-30T16:11:47"/>
        <d v="1899-12-30T09:08:38"/>
        <d v="1899-12-30T11:08:44"/>
        <d v="1899-12-30T13:24:47"/>
        <d v="1899-12-30T16:23:01"/>
        <d v="1899-12-30T20:08:59"/>
        <d v="1899-12-30T10:17:05"/>
        <d v="1899-12-30T12:51:56"/>
        <d v="1899-12-30T10:29:49"/>
        <d v="1899-12-30T12:39:05"/>
        <d v="1899-12-30T17:49:40"/>
        <d v="1899-12-30T12:47:26"/>
        <d v="1899-12-30T12:02:45"/>
        <d v="1899-12-30T16:16:47"/>
        <d v="1899-12-30T12:33:14"/>
        <d v="1899-12-30T20:45:00"/>
        <d v="1899-12-30T15:44:20"/>
        <d v="1899-12-30T10:33:13"/>
        <d v="1899-12-30T18:27:55"/>
        <d v="1899-12-30T10:00:30"/>
        <d v="1899-12-30T11:21:45"/>
        <d v="1899-12-30T09:10:31"/>
        <d v="1899-12-30T17:39:42"/>
        <d v="1899-12-30T17:00:12"/>
        <d v="1899-12-30T17:56:41"/>
        <d v="1899-12-30T17:35:37"/>
        <d v="1899-12-30T16:07:33"/>
        <d v="1899-12-30T20:05:19"/>
        <d v="1899-12-30T09:35:54"/>
        <d v="1899-12-30T19:40:58"/>
        <d v="1899-12-30T10:04:33"/>
        <d v="1899-12-30T20:13:34"/>
        <d v="1899-12-30T20:32:03"/>
        <d v="1899-12-30T14:02:13"/>
        <d v="1899-12-30T19:53:05"/>
        <d v="1899-12-30T09:25:25"/>
        <d v="1899-12-30T14:34:07"/>
        <d v="1899-12-30T11:13:55"/>
        <d v="1899-12-30T09:23:51"/>
        <d v="1899-12-30T11:45:09"/>
        <d v="1899-12-30T17:56:42"/>
        <d v="1899-12-30T11:00:23"/>
        <d v="1899-12-30T16:30:49"/>
        <d v="1899-12-30T19:37:42"/>
        <d v="1899-12-30T11:52:36"/>
        <d v="1899-12-30T20:58:19"/>
        <d v="1899-12-30T15:53:32"/>
        <d v="1899-12-30T20:46:49"/>
        <d v="1899-12-30T15:41:56"/>
        <d v="1899-12-30T09:51:51"/>
        <d v="1899-12-30T19:53:29"/>
        <d v="1899-12-30T14:58:27"/>
        <d v="1899-12-30T17:13:11"/>
        <d v="1899-12-30T13:18:22"/>
        <d v="1899-12-30T10:12:12"/>
        <d v="1899-12-30T16:49:51"/>
        <d v="1899-12-30T20:52:36"/>
        <d v="1899-12-30T20:02:56"/>
        <d v="1899-12-30T16:53:55"/>
        <d v="1899-12-30T10:03:06"/>
        <d v="1899-12-30T09:33:09"/>
        <d v="1899-12-30T11:28:08"/>
        <d v="1899-12-30T14:50:48"/>
        <d v="1899-12-30T12:40:47"/>
        <d v="1899-12-30T12:13:40"/>
        <d v="1899-12-30T12:52:00"/>
        <d v="1899-12-30T10:43:05"/>
        <d v="1899-12-30T17:47:33"/>
        <d v="1899-12-30T15:18:39"/>
        <d v="1899-12-30T11:20:11"/>
        <d v="1899-12-30T12:06:31"/>
        <d v="1899-12-30T11:56:50"/>
        <d v="1899-12-30T19:05:37"/>
        <d v="1899-12-30T11:16:32"/>
        <d v="1899-12-30T10:59:41"/>
        <d v="1899-12-30T12:54:37"/>
        <d v="1899-12-30T09:31:44"/>
        <d v="1899-12-30T11:15:16"/>
        <d v="1899-12-30T19:53:07"/>
        <d v="1899-12-30T14:33:20"/>
        <d v="1899-12-30T17:03:16"/>
        <d v="1899-12-30T19:18:09"/>
        <d v="1899-12-30T12:36:00"/>
        <d v="1899-12-30T11:01:00"/>
        <d v="1899-12-30T11:23:29"/>
        <d v="1899-12-30T11:07:02"/>
        <d v="1899-12-30T12:32:57"/>
        <d v="1899-12-30T20:53:23"/>
        <d v="1899-12-30T14:15:23"/>
        <d v="1899-12-30T15:30:05"/>
        <d v="1899-12-30T20:20:21"/>
        <d v="1899-12-30T13:36:39"/>
        <d v="1899-12-30T10:02:42"/>
        <d v="1899-12-30T09:33:28"/>
        <d v="1899-12-30T19:48:33"/>
        <d v="1899-12-30T16:12:35"/>
        <d v="1899-12-30T19:33:35"/>
        <d v="1899-12-30T14:46:15"/>
        <d v="1899-12-30T15:12:52"/>
        <d v="1899-12-30T09:44:45"/>
        <d v="1899-12-30T16:57:05"/>
        <d v="1899-12-30T14:08:32"/>
        <d v="1899-12-30T12:56:15"/>
        <d v="1899-12-30T19:20:12"/>
        <d v="1899-12-30T14:26:29"/>
        <d v="1899-12-30T15:13:10"/>
        <d v="1899-12-30T11:44:54"/>
        <d v="1899-12-30T17:58:45"/>
        <d v="1899-12-30T20:08:08"/>
        <d v="1899-12-30T13:05:32"/>
        <d v="1899-12-30T13:09:24"/>
        <d v="1899-12-30T18:33:55"/>
        <d v="1899-12-30T09:04:30"/>
        <d v="1899-12-30T13:11:15"/>
        <d v="1899-12-30T20:48:49"/>
        <d v="1899-12-30T09:47:41"/>
        <d v="1899-12-30T12:59:50"/>
        <d v="1899-12-30T18:00:11"/>
        <d v="1899-12-30T19:37:53"/>
        <d v="1899-12-30T18:27:38"/>
        <d v="1899-12-30T14:12:34"/>
        <d v="1899-12-30T10:39:30"/>
        <d v="1899-12-30T17:09:15"/>
        <d v="1899-12-30T12:01:14"/>
        <d v="1899-12-30T10:32:04"/>
        <d v="1899-12-30T19:03:22"/>
        <d v="1899-12-30T12:35:04"/>
        <d v="1899-12-30T15:40:36"/>
        <d v="1899-12-30T12:44:25"/>
        <d v="1899-12-30T14:20:57"/>
        <d v="1899-12-30T17:45:56"/>
        <d v="1899-12-30T17:27:15"/>
        <d v="1899-12-30T10:32:14"/>
        <d v="1899-12-30T19:01:59"/>
        <d v="1899-12-30T18:32:19"/>
        <d v="1899-12-30T15:05:38"/>
        <d v="1899-12-30T11:58:30"/>
        <d v="1899-12-30T20:33:55"/>
        <d v="1899-12-30T12:59:20"/>
        <d v="1899-12-30T14:14:38"/>
        <d v="1899-12-30T17:23:37"/>
        <d v="1899-12-30T13:29:14"/>
        <d v="1899-12-30T16:12:01"/>
        <d v="1899-12-30T14:23:40"/>
        <d v="1899-12-30T15:15:40"/>
        <d v="1899-12-30T15:11:21"/>
        <d v="1899-12-30T11:36:58"/>
        <d v="1899-12-30T17:38:52"/>
        <d v="1899-12-30T13:20:23"/>
        <d v="1899-12-30T11:02:03"/>
        <d v="1899-12-30T09:31:02"/>
        <d v="1899-12-30T17:33:05"/>
        <d v="1899-12-30T11:29:37"/>
        <d v="1899-12-30T11:21:22"/>
        <d v="1899-12-30T13:12:16"/>
        <d v="1899-12-30T18:53:42"/>
        <d v="1899-12-30T18:13:40"/>
        <d v="1899-12-30T14:41:09"/>
        <d v="1899-12-30T16:08:42"/>
        <d v="1899-12-30T13:54:45"/>
        <d v="1899-12-30T16:53:50"/>
        <d v="1899-12-30T16:18:54"/>
        <d v="1899-12-30T19:47:08"/>
        <d v="1899-12-30T18:04:07"/>
        <d v="1899-12-30T17:14:49"/>
        <d v="1899-12-30T18:22:38"/>
        <d v="1899-12-30T17:57:28"/>
        <d v="1899-12-30T20:07:05"/>
        <d v="1899-12-30T11:37:28"/>
        <d v="1899-12-30T18:28:47"/>
        <d v="1899-12-30T16:51:05"/>
        <d v="1899-12-30T09:37:51"/>
        <d v="1899-12-30T12:46:00"/>
        <d v="1899-12-30T10:37:06"/>
        <d v="1899-12-30T15:20:59"/>
        <d v="1899-12-30T18:34:25"/>
        <d v="1899-12-30T09:28:02"/>
        <d v="1899-12-30T11:43:00"/>
        <d v="1899-12-30T16:18:52"/>
        <d v="1899-12-30T18:14:20"/>
        <d v="1899-12-30T17:48:08"/>
        <d v="1899-12-30T14:35:35"/>
        <d v="1899-12-30T20:17:28"/>
        <d v="1899-12-30T16:03:08"/>
        <d v="1899-12-30T10:54:01"/>
        <d v="1899-12-30T17:38:25"/>
        <d v="1899-12-30T19:23:04"/>
        <d v="1899-12-30T10:17:23"/>
        <d v="1899-12-30T20:58:42"/>
        <d v="1899-12-30T20:26:06"/>
        <d v="1899-12-30T11:56:22"/>
        <d v="1899-12-30T14:35:58"/>
        <d v="1899-12-30T18:44:09"/>
        <d v="1899-12-30T17:50:12"/>
        <d v="1899-12-30T15:15:20"/>
        <d v="1899-12-30T18:32:58"/>
        <d v="1899-12-30T20:16:35"/>
        <d v="1899-12-30T17:27:03"/>
        <d v="1899-12-30T10:09:34"/>
        <d v="1899-12-30T17:17:03"/>
        <d v="1899-12-30T16:15:44"/>
        <d v="1899-12-30T11:19:14"/>
        <d v="1899-12-30T15:00:47"/>
        <d v="1899-12-30T14:35:52"/>
        <d v="1899-12-30T17:59:58"/>
        <d v="1899-12-30T12:47:33"/>
        <d v="1899-12-30T16:25:29"/>
        <d v="1899-12-30T13:13:14"/>
        <d v="1899-12-30T13:31:43"/>
        <d v="1899-12-30T17:01:01"/>
        <d v="1899-12-30T11:11:18"/>
        <d v="1899-12-30T18:34:45"/>
        <d v="1899-12-30T09:31:50"/>
        <d v="1899-12-30T12:45:49"/>
        <d v="1899-12-30T11:49:00"/>
        <d v="1899-12-30T12:42:35"/>
        <d v="1899-12-30T18:33:15"/>
        <d v="1899-12-30T17:54:50"/>
        <d v="1899-12-30T10:54:09"/>
        <d v="1899-12-30T16:54:26"/>
        <d v="1899-12-30T09:10:23"/>
        <d v="1899-12-30T15:19:00"/>
        <d v="1899-12-30T18:03:58"/>
        <d v="1899-12-30T09:43:11"/>
        <d v="1899-12-30T13:27:55"/>
        <d v="1899-12-30T10:08:32"/>
        <d v="1899-12-30T20:09:07"/>
        <d v="1899-12-30T11:22:11"/>
        <d v="1899-12-30T15:12:54"/>
        <d v="1899-12-30T10:30:03"/>
        <d v="1899-12-30T14:29:46"/>
        <d v="1899-12-30T18:41:56"/>
        <d v="1899-12-30T15:17:08"/>
        <d v="1899-12-30T14:47:59"/>
        <d v="1899-12-30T15:26:29"/>
        <d v="1899-12-30T17:59:44"/>
        <d v="1899-12-30T11:10:05"/>
        <d v="1899-12-30T14:08:26"/>
        <d v="1899-12-30T12:01:25"/>
        <d v="1899-12-30T20:20:57"/>
        <d v="1899-12-30T20:21:22"/>
        <d v="1899-12-30T11:29:42"/>
        <d v="1899-12-30T14:41:20"/>
        <d v="1899-12-30T09:01:04"/>
        <d v="1899-12-30T14:27:18"/>
        <d v="1899-12-30T15:28:47"/>
        <d v="1899-12-30T14:26:18"/>
        <d v="1899-12-30T17:25:59"/>
        <d v="1899-12-30T10:16:57"/>
        <d v="1899-12-30T09:46:11"/>
        <d v="1899-12-30T10:35:13"/>
        <d v="1899-12-30T16:13:35"/>
        <d v="1899-12-30T19:02:48"/>
        <d v="1899-12-30T12:09:16"/>
        <d v="1899-12-30T20:49:17"/>
        <d v="1899-12-30T17:03:47"/>
        <d v="1899-12-30T12:30:36"/>
        <d v="1899-12-30T19:50:56"/>
        <d v="1899-12-30T19:55:26"/>
        <d v="1899-12-30T17:21:07"/>
        <d v="1899-12-30T10:48:41"/>
        <d v="1899-12-30T09:28:32"/>
        <d v="1899-12-30T19:48:25"/>
        <d v="1899-12-30T12:56:59"/>
        <d v="1899-12-30T12:33:53"/>
        <d v="1899-12-30T11:36:29"/>
        <d v="1899-12-30T13:19:05"/>
        <d v="1899-12-30T20:55:47"/>
        <d v="1899-12-30T14:14:26"/>
        <d v="1899-12-30T11:58:31"/>
        <d v="1899-12-30T16:55:23"/>
        <d v="1899-12-30T20:30:55"/>
        <d v="1899-12-30T10:16:30"/>
        <d v="1899-12-30T19:17:47"/>
        <d v="1899-12-30T19:28:48"/>
        <d v="1899-12-30T13:21:42"/>
        <d v="1899-12-30T12:05:28"/>
        <d v="1899-12-30T17:12:24"/>
        <d v="1899-12-30T18:27:33"/>
        <d v="1899-12-30T15:15:45"/>
        <d v="1899-12-30T19:39:50"/>
        <d v="1899-12-30T12:04:24"/>
        <d v="1899-12-30T09:16:54"/>
        <d v="1899-12-30T13:03:55"/>
        <d v="1899-12-30T13:24:10"/>
        <d v="1899-12-30T12:33:00"/>
        <d v="1899-12-30T16:23:33"/>
        <d v="1899-12-30T16:24:28"/>
        <d v="1899-12-30T12:07:13"/>
        <d v="1899-12-30T16:32:23"/>
        <d v="1899-12-30T13:33:42"/>
        <d v="1899-12-30T17:50:44"/>
        <d v="1899-12-30T14:20:17"/>
        <d v="1899-12-30T13:56:42"/>
        <d v="1899-12-30T14:23:45"/>
        <d v="1899-12-30T16:53:44"/>
        <d v="1899-12-30T19:09:48"/>
        <d v="1899-12-30T09:23:06"/>
        <d v="1899-12-30T14:13:22"/>
        <d v="1899-12-30T14:08:20"/>
        <d v="1899-12-30T18:27:12"/>
        <d v="1899-12-30T09:36:34"/>
        <d v="1899-12-30T20:04:59"/>
        <d v="1899-12-30T12:28:13"/>
        <d v="1899-12-30T09:57:13"/>
        <d v="1899-12-30T10:44:38"/>
        <d v="1899-12-30T12:00:07"/>
        <d v="1899-12-30T10:52:35"/>
        <d v="1899-12-30T10:22:41"/>
        <d v="1899-12-30T10:21:56"/>
        <d v="1899-12-30T16:46:05"/>
        <d v="1899-12-30T19:38:51"/>
        <d v="1899-12-30T15:34:25"/>
        <d v="1899-12-30T18:19:46"/>
        <d v="1899-12-30T20:31:43"/>
        <d v="1899-12-30T19:57:00"/>
        <d v="1899-12-30T09:33:53"/>
        <d v="1899-12-30T09:02:37"/>
        <d v="1899-12-30T18:38:46"/>
        <d v="1899-12-30T13:06:00"/>
        <d v="1899-12-30T12:13:07"/>
        <d v="1899-12-30T14:35:44"/>
        <d v="1899-12-30T17:39:26"/>
        <d v="1899-12-30T20:36:18"/>
        <d v="1899-12-30T20:27:08"/>
        <d v="1899-12-30T13:16:07"/>
        <d v="1899-12-30T11:41:49"/>
        <d v="1899-12-30T16:40:49"/>
        <d v="1899-12-30T14:36:24"/>
        <d v="1899-12-30T14:54:40"/>
        <d v="1899-12-30T20:53:42"/>
        <d v="1899-12-30T13:55:33"/>
        <d v="1899-12-30T15:26:58"/>
        <d v="1899-12-30T14:45:46"/>
        <d v="1899-12-30T13:36:21"/>
        <d v="1899-12-30T13:10:19"/>
        <d v="1899-12-30T12:35:16"/>
        <d v="1899-12-30T09:55:03"/>
        <d v="1899-12-30T17:53:09"/>
        <d v="1899-12-30T18:02:56"/>
        <d v="1899-12-30T10:47:39"/>
        <d v="1899-12-30T17:10:03"/>
        <d v="1899-12-30T09:59:48"/>
        <d v="1899-12-30T19:40:12"/>
        <d v="1899-12-30T17:26:02"/>
        <d v="1899-12-30T18:26:30"/>
        <d v="1899-12-30T15:17:40"/>
        <d v="1899-12-30T16:11:03"/>
        <d v="1899-12-30T11:44:29"/>
        <d v="1899-12-30T09:37:49"/>
        <d v="1899-12-30T16:19:28"/>
        <d v="1899-12-30T13:56:49"/>
        <d v="1899-12-30T20:23:34"/>
        <d v="1899-12-30T15:02:03"/>
        <d v="1899-12-30T14:04:33"/>
        <d v="1899-12-30T14:01:31"/>
        <d v="1899-12-30T10:34:05"/>
        <d v="1899-12-30T11:27:49"/>
        <d v="1899-12-30T16:36:58"/>
        <d v="1899-12-30T12:00:47"/>
        <d v="1899-12-30T14:28:21"/>
        <d v="1899-12-30T09:12:06"/>
        <d v="1899-12-30T20:51:46"/>
        <d v="1899-12-30T12:34:57"/>
        <d v="1899-12-30T13:58:10"/>
        <d v="1899-12-30T17:19:23"/>
        <d v="1899-12-30T20:38:48"/>
        <d v="1899-12-30T16:12:21"/>
        <d v="1899-12-30T17:54:58"/>
        <d v="1899-12-30T12:15:52"/>
        <d v="1899-12-30T14:07:10"/>
        <d v="1899-12-30T16:34:42"/>
        <d v="1899-12-30T16:19:49"/>
        <d v="1899-12-30T09:54:39"/>
        <d v="1899-12-30T12:20:53"/>
        <d v="1899-12-30T15:41:05"/>
        <d v="1899-12-30T14:21:51"/>
        <d v="1899-12-30T17:17:05"/>
        <d v="1899-12-30T16:15:22"/>
        <d v="1899-12-30T16:29:36"/>
        <d v="1899-12-30T10:49:48"/>
        <d v="1899-12-30T14:28:56"/>
        <d v="1899-12-30T19:45:18"/>
        <d v="1899-12-30T13:58:55"/>
        <d v="1899-12-30T10:16:53"/>
        <d v="1899-12-30T18:09:53"/>
        <d v="1899-12-30T19:08:33"/>
        <d v="1899-12-30T16:42:23"/>
        <d v="1899-12-30T16:46:03"/>
        <d v="1899-12-30T13:54:07"/>
        <d v="1899-12-30T09:06:43"/>
        <d v="1899-12-30T14:48:39"/>
        <d v="1899-12-30T16:57:48"/>
        <d v="1899-12-30T16:34:20"/>
        <d v="1899-12-30T18:29:48"/>
        <d v="1899-12-30T17:36:53"/>
        <d v="1899-12-30T14:47:45"/>
        <d v="1899-12-30T20:52:46"/>
        <d v="1899-12-30T20:59:41"/>
        <d v="1899-12-30T09:17:31"/>
        <d v="1899-12-30T15:44:30"/>
        <d v="1899-12-30T20:40:24"/>
        <d v="1899-12-30T18:40:11"/>
        <d v="1899-12-30T12:51:18"/>
        <d v="1899-12-30T13:38:42"/>
        <d v="1899-12-30T19:44:27"/>
        <d v="1899-12-30T14:47:57"/>
        <d v="1899-12-30T18:59:21"/>
        <d v="1899-12-30T10:28:36"/>
        <d v="1899-12-30T11:43:29"/>
        <d v="1899-12-30T15:21:28"/>
        <d v="1899-12-30T19:28:29"/>
        <d v="1899-12-30T17:41:28"/>
        <d v="1899-12-30T09:25:00"/>
        <d v="1899-12-30T09:38:56"/>
        <d v="1899-12-30T12:52:23"/>
        <d v="1899-12-30T17:31:58"/>
        <d v="1899-12-30T11:04:09"/>
        <d v="1899-12-30T13:06:47"/>
        <d v="1899-12-30T13:32:13"/>
        <d v="1899-12-30T10:13:37"/>
        <d v="1899-12-30T13:44:48"/>
        <d v="1899-12-30T18:30:16"/>
        <d v="1899-12-30T11:37:27"/>
        <d v="1899-12-30T20:15:39"/>
        <d v="1899-12-30T11:04:27"/>
        <d v="1899-12-30T10:58:24"/>
        <d v="1899-12-30T12:32:59"/>
        <d v="1899-12-30T15:04:00"/>
        <d v="1899-12-30T15:38:09"/>
        <d v="1899-12-30T20:48:15"/>
        <d v="1899-12-30T20:30:24"/>
        <d v="1899-12-30T18:55:34"/>
        <d v="1899-12-30T13:45:41"/>
        <d v="1899-12-30T10:23:44"/>
        <d v="1899-12-30T18:23:17"/>
        <d v="1899-12-30T18:01:12"/>
        <d v="1899-12-30T10:19:17"/>
        <d v="1899-12-30T14:32:37"/>
        <d v="1899-12-30T16:33:50"/>
        <d v="1899-12-30T13:55:27"/>
        <d v="1899-12-30T17:02:35"/>
        <d v="1899-12-30T14:10:40"/>
        <d v="1899-12-30T16:26:29"/>
        <d v="1899-12-30T20:48:59"/>
        <d v="1899-12-30T15:44:24"/>
        <d v="1899-12-30T18:31:34"/>
        <d v="1899-12-30T16:39:26"/>
        <d v="1899-12-30T14:28:33"/>
        <d v="1899-12-30T19:24:41"/>
        <d v="1899-12-30T17:39:55"/>
        <d v="1899-12-30T17:04:00"/>
        <d v="1899-12-30T19:25:42"/>
        <d v="1899-12-30T15:52:53"/>
        <d v="1899-12-30T15:35:01"/>
        <d v="1899-12-30T13:30:55"/>
        <d v="1899-12-30T15:11:58"/>
        <d v="1899-12-30T12:23:50"/>
        <d v="1899-12-30T16:01:46"/>
        <d v="1899-12-30T13:23:00"/>
        <d v="1899-12-30T09:18:25"/>
        <d v="1899-12-30T14:20:58"/>
        <d v="1899-12-30T13:44:04"/>
        <d v="1899-12-30T09:50:48"/>
        <d v="1899-12-30T16:52:38"/>
        <d v="1899-12-30T16:17:59"/>
        <d v="1899-12-30T20:04:48"/>
        <d v="1899-12-30T09:37:21"/>
        <d v="1899-12-30T13:51:16"/>
        <d v="1899-12-30T19:10:51"/>
        <d v="1899-12-30T14:05:41"/>
        <d v="1899-12-30T14:36:27"/>
        <d v="1899-12-30T15:47:17"/>
        <d v="1899-12-30T19:38:59"/>
        <d v="1899-12-30T09:12:38"/>
        <d v="1899-12-30T20:46:09"/>
        <d v="1899-12-30T13:28:33"/>
        <d v="1899-12-30T18:47:25"/>
        <d v="1899-12-30T09:34:25"/>
        <d v="1899-12-30T15:27:36"/>
        <d v="1899-12-30T16:01:00"/>
        <d v="1899-12-30T17:54:36"/>
        <d v="1899-12-30T16:58:35"/>
        <d v="1899-12-30T17:55:53"/>
        <d v="1899-12-30T19:26:15"/>
        <d v="1899-12-30T09:36:46"/>
        <d v="1899-12-30T15:35:42"/>
        <d v="1899-12-30T09:27:07"/>
        <d v="1899-12-30T17:32:40"/>
      </sharedItems>
      <fieldGroup par="14"/>
    </cacheField>
    <cacheField name="category" numFmtId="0">
      <sharedItems count="4">
        <s v="Bread"/>
        <s v="Cake"/>
        <s v="Cookies"/>
        <s v="Pastry"/>
      </sharedItems>
    </cacheField>
    <cacheField name="product_name" numFmtId="0">
      <sharedItems count="19">
        <s v="Cheese Bread"/>
        <s v="Strawberry Cake"/>
        <s v="Ube Cake"/>
        <s v="Chocolate Cake"/>
        <s v="Classic Cake"/>
        <s v="Butter Cookie"/>
        <s v="Danish"/>
        <s v="Ensaymada"/>
        <s v="Monay"/>
        <s v="Spanish Bread"/>
        <s v="Chocolate Chip Cookie"/>
        <s v="Peanut Butter Cookie"/>
        <s v="Customized Cake"/>
        <s v="Croissant"/>
        <s v="Brownie"/>
        <s v="Oatmeal Cookie"/>
        <s v="Pandesal"/>
        <s v="Cinnamon Roll"/>
        <s v="Muffin"/>
      </sharedItems>
    </cacheField>
    <cacheField name="quantity" numFmtId="0">
      <sharedItems containsSemiMixedTypes="0" containsString="0" containsNumber="1" containsInteger="1" minValue="1" maxValue="5"/>
    </cacheField>
    <cacheField name="unit_price" numFmtId="0">
      <sharedItems containsSemiMixedTypes="0" containsString="0" containsNumber="1" containsInteger="1" minValue="5" maxValue="1000"/>
    </cacheField>
    <cacheField name="total_price" numFmtId="0">
      <sharedItems containsSemiMixedTypes="0" containsString="0" containsNumber="1" containsInteger="1" minValue="5" maxValue="5000"/>
    </cacheField>
    <cacheField name="unique_order" numFmtId="0">
      <sharedItems containsSemiMixedTypes="0" containsString="0" containsNumber="1" containsInteger="1" minValue="0" maxValue="1"/>
    </cacheField>
    <cacheField name="Hours (order_time)" numFmtId="0" databaseField="0">
      <fieldGroup base="7">
        <rangePr groupBy="hours" startDate="1899-12-30T09:00:01" endDate="1899-12-30T20:59:57"/>
        <groupItems count="26">
          <s v="&lt;1/0/00"/>
          <s v="12 AM"/>
          <s v="1 AM"/>
          <s v="2 AM"/>
          <s v="3 AM"/>
          <s v="4 AM"/>
          <s v="5 AM"/>
          <s v="6 AM"/>
          <s v="7 AM"/>
          <s v="8 AM"/>
          <s v="9 AM"/>
          <s v="10 AM"/>
          <s v="11 AM"/>
          <s v="12 PM"/>
          <s v="1 PM"/>
          <s v="2 PM"/>
          <s v="3 PM"/>
          <s v="4 PM"/>
          <s v="5 PM"/>
          <s v="6 PM"/>
          <s v="7 PM"/>
          <s v="8 PM"/>
          <s v="9 PM"/>
          <s v="10 PM"/>
          <s v="11 PM"/>
          <s v="&gt;1/0/00"/>
        </groupItems>
      </fieldGroup>
    </cacheField>
  </cacheFields>
  <extLst>
    <ext xmlns:x14="http://schemas.microsoft.com/office/spreadsheetml/2009/9/main" uri="{725AE2AE-9491-48be-B2B4-4EB974FC3084}">
      <x14:pivotCacheDefinition pivotCacheId="165625279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749">
  <r>
    <n v="1"/>
    <n v="1000"/>
    <n v="1"/>
    <x v="0"/>
    <d v="2024-01-01T00:00:00"/>
    <x v="0"/>
    <n v="11"/>
    <x v="0"/>
    <x v="0"/>
    <x v="0"/>
    <n v="3"/>
    <n v="20"/>
    <n v="60"/>
    <n v="1"/>
  </r>
  <r>
    <n v="2"/>
    <n v="1001"/>
    <n v="0.33333333333333331"/>
    <x v="0"/>
    <d v="2024-01-01T00:00:00"/>
    <x v="0"/>
    <n v="20"/>
    <x v="1"/>
    <x v="1"/>
    <x v="1"/>
    <n v="3"/>
    <n v="650"/>
    <n v="1950"/>
    <n v="1"/>
  </r>
  <r>
    <n v="3"/>
    <n v="1001"/>
    <n v="0.33333333333333331"/>
    <x v="0"/>
    <d v="2024-01-01T00:00:00"/>
    <x v="0"/>
    <n v="14"/>
    <x v="2"/>
    <x v="1"/>
    <x v="2"/>
    <n v="3"/>
    <n v="680"/>
    <n v="2040"/>
    <n v="0"/>
  </r>
  <r>
    <n v="4"/>
    <n v="1001"/>
    <n v="0.33333333333333331"/>
    <x v="0"/>
    <d v="2024-01-01T00:00:00"/>
    <x v="0"/>
    <n v="11"/>
    <x v="3"/>
    <x v="1"/>
    <x v="3"/>
    <n v="4"/>
    <n v="700"/>
    <n v="2800"/>
    <n v="0"/>
  </r>
  <r>
    <n v="5"/>
    <n v="1002"/>
    <n v="0.5"/>
    <x v="0"/>
    <d v="2024-01-01T00:00:00"/>
    <x v="0"/>
    <n v="12"/>
    <x v="4"/>
    <x v="1"/>
    <x v="4"/>
    <n v="4"/>
    <n v="600"/>
    <n v="2400"/>
    <n v="1"/>
  </r>
  <r>
    <n v="6"/>
    <n v="1002"/>
    <n v="0.5"/>
    <x v="0"/>
    <d v="2024-01-01T00:00:00"/>
    <x v="0"/>
    <n v="16"/>
    <x v="5"/>
    <x v="2"/>
    <x v="5"/>
    <n v="1"/>
    <n v="20"/>
    <n v="20"/>
    <n v="0"/>
  </r>
  <r>
    <n v="7"/>
    <n v="1003"/>
    <n v="1"/>
    <x v="0"/>
    <d v="2024-01-01T00:00:00"/>
    <x v="0"/>
    <n v="18"/>
    <x v="6"/>
    <x v="3"/>
    <x v="6"/>
    <n v="4"/>
    <n v="50"/>
    <n v="200"/>
    <n v="1"/>
  </r>
  <r>
    <n v="8"/>
    <n v="1004"/>
    <n v="0.5"/>
    <x v="0"/>
    <d v="2024-01-01T00:00:00"/>
    <x v="0"/>
    <n v="11"/>
    <x v="7"/>
    <x v="1"/>
    <x v="1"/>
    <n v="1"/>
    <n v="650"/>
    <n v="650"/>
    <n v="1"/>
  </r>
  <r>
    <n v="9"/>
    <n v="1004"/>
    <n v="0.5"/>
    <x v="0"/>
    <d v="2024-01-01T00:00:00"/>
    <x v="0"/>
    <n v="9"/>
    <x v="8"/>
    <x v="0"/>
    <x v="7"/>
    <n v="4"/>
    <n v="25"/>
    <n v="100"/>
    <n v="0"/>
  </r>
  <r>
    <n v="10"/>
    <n v="1005"/>
    <n v="0.33333333333333331"/>
    <x v="0"/>
    <d v="2024-01-01T00:00:00"/>
    <x v="0"/>
    <n v="15"/>
    <x v="9"/>
    <x v="0"/>
    <x v="8"/>
    <n v="3"/>
    <n v="10"/>
    <n v="30"/>
    <n v="1"/>
  </r>
  <r>
    <n v="11"/>
    <n v="1005"/>
    <n v="0.33333333333333331"/>
    <x v="0"/>
    <d v="2024-01-01T00:00:00"/>
    <x v="0"/>
    <n v="19"/>
    <x v="10"/>
    <x v="0"/>
    <x v="9"/>
    <n v="5"/>
    <n v="15"/>
    <n v="75"/>
    <n v="0"/>
  </r>
  <r>
    <n v="12"/>
    <n v="1005"/>
    <n v="0.33333333333333331"/>
    <x v="0"/>
    <d v="2024-01-01T00:00:00"/>
    <x v="0"/>
    <n v="17"/>
    <x v="11"/>
    <x v="2"/>
    <x v="10"/>
    <n v="5"/>
    <n v="30"/>
    <n v="150"/>
    <n v="0"/>
  </r>
  <r>
    <n v="13"/>
    <n v="1006"/>
    <n v="1"/>
    <x v="0"/>
    <d v="2024-01-02T00:00:00"/>
    <x v="1"/>
    <n v="16"/>
    <x v="12"/>
    <x v="1"/>
    <x v="1"/>
    <n v="1"/>
    <n v="650"/>
    <n v="650"/>
    <n v="1"/>
  </r>
  <r>
    <n v="14"/>
    <n v="1007"/>
    <n v="1"/>
    <x v="0"/>
    <d v="2024-01-02T00:00:00"/>
    <x v="1"/>
    <n v="11"/>
    <x v="13"/>
    <x v="2"/>
    <x v="11"/>
    <n v="2"/>
    <n v="35"/>
    <n v="70"/>
    <n v="1"/>
  </r>
  <r>
    <n v="15"/>
    <n v="1008"/>
    <n v="0.33333333333333331"/>
    <x v="0"/>
    <d v="2024-01-02T00:00:00"/>
    <x v="1"/>
    <n v="12"/>
    <x v="14"/>
    <x v="2"/>
    <x v="11"/>
    <n v="4"/>
    <n v="35"/>
    <n v="140"/>
    <n v="1"/>
  </r>
  <r>
    <n v="16"/>
    <n v="1008"/>
    <n v="0.33333333333333331"/>
    <x v="0"/>
    <d v="2024-01-02T00:00:00"/>
    <x v="1"/>
    <n v="9"/>
    <x v="15"/>
    <x v="1"/>
    <x v="12"/>
    <n v="4"/>
    <n v="1000"/>
    <n v="4000"/>
    <n v="0"/>
  </r>
  <r>
    <n v="17"/>
    <n v="1008"/>
    <n v="0.33333333333333331"/>
    <x v="0"/>
    <d v="2024-01-02T00:00:00"/>
    <x v="1"/>
    <n v="17"/>
    <x v="16"/>
    <x v="1"/>
    <x v="4"/>
    <n v="1"/>
    <n v="600"/>
    <n v="600"/>
    <n v="0"/>
  </r>
  <r>
    <n v="18"/>
    <n v="1009"/>
    <n v="0.33333333333333331"/>
    <x v="0"/>
    <d v="2024-01-02T00:00:00"/>
    <x v="1"/>
    <n v="10"/>
    <x v="17"/>
    <x v="1"/>
    <x v="3"/>
    <n v="5"/>
    <n v="700"/>
    <n v="3500"/>
    <n v="1"/>
  </r>
  <r>
    <n v="19"/>
    <n v="1009"/>
    <n v="0.33333333333333331"/>
    <x v="0"/>
    <d v="2024-01-02T00:00:00"/>
    <x v="1"/>
    <n v="15"/>
    <x v="18"/>
    <x v="2"/>
    <x v="5"/>
    <n v="1"/>
    <n v="20"/>
    <n v="20"/>
    <n v="0"/>
  </r>
  <r>
    <n v="20"/>
    <n v="1009"/>
    <n v="0.33333333333333331"/>
    <x v="0"/>
    <d v="2024-01-02T00:00:00"/>
    <x v="1"/>
    <n v="16"/>
    <x v="19"/>
    <x v="3"/>
    <x v="13"/>
    <n v="2"/>
    <n v="55"/>
    <n v="110"/>
    <n v="0"/>
  </r>
  <r>
    <n v="21"/>
    <n v="1010"/>
    <n v="0.33333333333333331"/>
    <x v="0"/>
    <d v="2024-01-02T00:00:00"/>
    <x v="1"/>
    <n v="10"/>
    <x v="20"/>
    <x v="1"/>
    <x v="1"/>
    <n v="4"/>
    <n v="650"/>
    <n v="2600"/>
    <n v="1"/>
  </r>
  <r>
    <n v="22"/>
    <n v="1010"/>
    <n v="0.33333333333333331"/>
    <x v="0"/>
    <d v="2024-01-02T00:00:00"/>
    <x v="1"/>
    <n v="19"/>
    <x v="21"/>
    <x v="2"/>
    <x v="11"/>
    <n v="1"/>
    <n v="35"/>
    <n v="35"/>
    <n v="0"/>
  </r>
  <r>
    <n v="23"/>
    <n v="1010"/>
    <n v="0.33333333333333331"/>
    <x v="0"/>
    <d v="2024-01-02T00:00:00"/>
    <x v="1"/>
    <n v="9"/>
    <x v="22"/>
    <x v="3"/>
    <x v="14"/>
    <n v="2"/>
    <n v="40"/>
    <n v="80"/>
    <n v="0"/>
  </r>
  <r>
    <n v="24"/>
    <n v="1011"/>
    <n v="0.5"/>
    <x v="0"/>
    <d v="2024-01-02T00:00:00"/>
    <x v="1"/>
    <n v="13"/>
    <x v="23"/>
    <x v="1"/>
    <x v="12"/>
    <n v="3"/>
    <n v="1000"/>
    <n v="3000"/>
    <n v="1"/>
  </r>
  <r>
    <n v="25"/>
    <n v="1011"/>
    <n v="0.5"/>
    <x v="0"/>
    <d v="2024-01-02T00:00:00"/>
    <x v="1"/>
    <n v="19"/>
    <x v="24"/>
    <x v="3"/>
    <x v="6"/>
    <n v="2"/>
    <n v="50"/>
    <n v="100"/>
    <n v="0"/>
  </r>
  <r>
    <n v="26"/>
    <n v="1012"/>
    <n v="1"/>
    <x v="0"/>
    <d v="2024-01-02T00:00:00"/>
    <x v="1"/>
    <n v="17"/>
    <x v="25"/>
    <x v="2"/>
    <x v="15"/>
    <n v="3"/>
    <n v="25"/>
    <n v="75"/>
    <n v="1"/>
  </r>
  <r>
    <n v="27"/>
    <n v="1013"/>
    <n v="1"/>
    <x v="0"/>
    <d v="2024-01-02T00:00:00"/>
    <x v="1"/>
    <n v="19"/>
    <x v="26"/>
    <x v="0"/>
    <x v="16"/>
    <n v="3"/>
    <n v="5"/>
    <n v="15"/>
    <n v="1"/>
  </r>
  <r>
    <n v="28"/>
    <n v="1014"/>
    <n v="0.5"/>
    <x v="0"/>
    <d v="2024-01-02T00:00:00"/>
    <x v="1"/>
    <n v="18"/>
    <x v="27"/>
    <x v="3"/>
    <x v="17"/>
    <n v="4"/>
    <n v="60"/>
    <n v="240"/>
    <n v="1"/>
  </r>
  <r>
    <n v="29"/>
    <n v="1014"/>
    <n v="0.5"/>
    <x v="0"/>
    <d v="2024-01-02T00:00:00"/>
    <x v="1"/>
    <n v="19"/>
    <x v="28"/>
    <x v="1"/>
    <x v="1"/>
    <n v="5"/>
    <n v="650"/>
    <n v="3250"/>
    <n v="0"/>
  </r>
  <r>
    <n v="30"/>
    <n v="1015"/>
    <n v="0.5"/>
    <x v="0"/>
    <d v="2024-01-02T00:00:00"/>
    <x v="1"/>
    <n v="20"/>
    <x v="29"/>
    <x v="0"/>
    <x v="8"/>
    <n v="4"/>
    <n v="10"/>
    <n v="40"/>
    <n v="1"/>
  </r>
  <r>
    <n v="31"/>
    <n v="1015"/>
    <n v="0.5"/>
    <x v="0"/>
    <d v="2024-01-02T00:00:00"/>
    <x v="1"/>
    <n v="15"/>
    <x v="30"/>
    <x v="1"/>
    <x v="4"/>
    <n v="3"/>
    <n v="600"/>
    <n v="1800"/>
    <n v="0"/>
  </r>
  <r>
    <n v="32"/>
    <n v="1016"/>
    <n v="1"/>
    <x v="0"/>
    <d v="2024-01-03T00:00:00"/>
    <x v="2"/>
    <n v="18"/>
    <x v="31"/>
    <x v="0"/>
    <x v="7"/>
    <n v="1"/>
    <n v="25"/>
    <n v="25"/>
    <n v="1"/>
  </r>
  <r>
    <n v="33"/>
    <n v="1017"/>
    <n v="0.33333333333333331"/>
    <x v="0"/>
    <d v="2024-01-03T00:00:00"/>
    <x v="2"/>
    <n v="17"/>
    <x v="32"/>
    <x v="0"/>
    <x v="7"/>
    <n v="1"/>
    <n v="25"/>
    <n v="25"/>
    <n v="1"/>
  </r>
  <r>
    <n v="34"/>
    <n v="1017"/>
    <n v="0.33333333333333331"/>
    <x v="0"/>
    <d v="2024-01-03T00:00:00"/>
    <x v="2"/>
    <n v="15"/>
    <x v="33"/>
    <x v="3"/>
    <x v="18"/>
    <n v="5"/>
    <n v="45"/>
    <n v="225"/>
    <n v="0"/>
  </r>
  <r>
    <n v="35"/>
    <n v="1017"/>
    <n v="0.33333333333333331"/>
    <x v="0"/>
    <d v="2024-01-03T00:00:00"/>
    <x v="2"/>
    <n v="13"/>
    <x v="34"/>
    <x v="2"/>
    <x v="11"/>
    <n v="1"/>
    <n v="35"/>
    <n v="35"/>
    <n v="0"/>
  </r>
  <r>
    <n v="36"/>
    <n v="1018"/>
    <n v="0.33333333333333331"/>
    <x v="0"/>
    <d v="2024-01-03T00:00:00"/>
    <x v="2"/>
    <n v="17"/>
    <x v="35"/>
    <x v="0"/>
    <x v="8"/>
    <n v="1"/>
    <n v="10"/>
    <n v="10"/>
    <n v="1"/>
  </r>
  <r>
    <n v="37"/>
    <n v="1018"/>
    <n v="0.33333333333333331"/>
    <x v="0"/>
    <d v="2024-01-03T00:00:00"/>
    <x v="2"/>
    <n v="16"/>
    <x v="36"/>
    <x v="1"/>
    <x v="4"/>
    <n v="2"/>
    <n v="600"/>
    <n v="1200"/>
    <n v="0"/>
  </r>
  <r>
    <n v="38"/>
    <n v="1018"/>
    <n v="0.33333333333333331"/>
    <x v="0"/>
    <d v="2024-01-03T00:00:00"/>
    <x v="2"/>
    <n v="11"/>
    <x v="37"/>
    <x v="3"/>
    <x v="14"/>
    <n v="1"/>
    <n v="40"/>
    <n v="40"/>
    <n v="0"/>
  </r>
  <r>
    <n v="39"/>
    <n v="1019"/>
    <n v="1"/>
    <x v="0"/>
    <d v="2024-01-04T00:00:00"/>
    <x v="3"/>
    <n v="18"/>
    <x v="38"/>
    <x v="2"/>
    <x v="10"/>
    <n v="5"/>
    <n v="30"/>
    <n v="150"/>
    <n v="1"/>
  </r>
  <r>
    <n v="40"/>
    <n v="1020"/>
    <n v="1"/>
    <x v="0"/>
    <d v="2024-01-04T00:00:00"/>
    <x v="3"/>
    <n v="20"/>
    <x v="39"/>
    <x v="1"/>
    <x v="4"/>
    <n v="3"/>
    <n v="600"/>
    <n v="1800"/>
    <n v="1"/>
  </r>
  <r>
    <n v="41"/>
    <n v="1021"/>
    <n v="1"/>
    <x v="0"/>
    <d v="2024-01-04T00:00:00"/>
    <x v="3"/>
    <n v="12"/>
    <x v="40"/>
    <x v="0"/>
    <x v="8"/>
    <n v="2"/>
    <n v="10"/>
    <n v="20"/>
    <n v="1"/>
  </r>
  <r>
    <n v="42"/>
    <n v="1022"/>
    <n v="1"/>
    <x v="0"/>
    <d v="2024-01-04T00:00:00"/>
    <x v="3"/>
    <n v="9"/>
    <x v="41"/>
    <x v="0"/>
    <x v="16"/>
    <n v="4"/>
    <n v="5"/>
    <n v="20"/>
    <n v="1"/>
  </r>
  <r>
    <n v="43"/>
    <n v="1023"/>
    <n v="0.33333333333333331"/>
    <x v="0"/>
    <d v="2024-01-04T00:00:00"/>
    <x v="3"/>
    <n v="16"/>
    <x v="42"/>
    <x v="3"/>
    <x v="18"/>
    <n v="5"/>
    <n v="45"/>
    <n v="225"/>
    <n v="1"/>
  </r>
  <r>
    <n v="44"/>
    <n v="1023"/>
    <n v="0.33333333333333331"/>
    <x v="0"/>
    <d v="2024-01-04T00:00:00"/>
    <x v="3"/>
    <n v="16"/>
    <x v="43"/>
    <x v="1"/>
    <x v="2"/>
    <n v="2"/>
    <n v="680"/>
    <n v="1360"/>
    <n v="0"/>
  </r>
  <r>
    <n v="45"/>
    <n v="1023"/>
    <n v="0.33333333333333331"/>
    <x v="0"/>
    <d v="2024-01-04T00:00:00"/>
    <x v="3"/>
    <n v="19"/>
    <x v="44"/>
    <x v="1"/>
    <x v="2"/>
    <n v="3"/>
    <n v="680"/>
    <n v="2040"/>
    <n v="0"/>
  </r>
  <r>
    <n v="46"/>
    <n v="1024"/>
    <n v="0.33333333333333331"/>
    <x v="0"/>
    <d v="2024-01-04T00:00:00"/>
    <x v="3"/>
    <n v="9"/>
    <x v="45"/>
    <x v="1"/>
    <x v="3"/>
    <n v="2"/>
    <n v="700"/>
    <n v="1400"/>
    <n v="1"/>
  </r>
  <r>
    <n v="47"/>
    <n v="1024"/>
    <n v="0.33333333333333331"/>
    <x v="0"/>
    <d v="2024-01-04T00:00:00"/>
    <x v="3"/>
    <n v="20"/>
    <x v="46"/>
    <x v="1"/>
    <x v="12"/>
    <n v="3"/>
    <n v="1000"/>
    <n v="3000"/>
    <n v="0"/>
  </r>
  <r>
    <n v="48"/>
    <n v="1024"/>
    <n v="0.33333333333333331"/>
    <x v="0"/>
    <d v="2024-01-04T00:00:00"/>
    <x v="3"/>
    <n v="18"/>
    <x v="47"/>
    <x v="2"/>
    <x v="11"/>
    <n v="3"/>
    <n v="35"/>
    <n v="105"/>
    <n v="0"/>
  </r>
  <r>
    <n v="49"/>
    <n v="1025"/>
    <n v="1"/>
    <x v="0"/>
    <d v="2024-01-04T00:00:00"/>
    <x v="3"/>
    <n v="18"/>
    <x v="48"/>
    <x v="3"/>
    <x v="6"/>
    <n v="1"/>
    <n v="50"/>
    <n v="50"/>
    <n v="1"/>
  </r>
  <r>
    <n v="50"/>
    <n v="1026"/>
    <n v="0.33333333333333331"/>
    <x v="0"/>
    <d v="2024-01-05T00:00:00"/>
    <x v="4"/>
    <n v="20"/>
    <x v="49"/>
    <x v="1"/>
    <x v="3"/>
    <n v="2"/>
    <n v="700"/>
    <n v="1400"/>
    <n v="1"/>
  </r>
  <r>
    <n v="51"/>
    <n v="1026"/>
    <n v="0.33333333333333331"/>
    <x v="0"/>
    <d v="2024-01-05T00:00:00"/>
    <x v="4"/>
    <n v="18"/>
    <x v="50"/>
    <x v="1"/>
    <x v="3"/>
    <n v="3"/>
    <n v="700"/>
    <n v="2100"/>
    <n v="0"/>
  </r>
  <r>
    <n v="52"/>
    <n v="1026"/>
    <n v="0.33333333333333331"/>
    <x v="0"/>
    <d v="2024-01-05T00:00:00"/>
    <x v="4"/>
    <n v="14"/>
    <x v="51"/>
    <x v="3"/>
    <x v="6"/>
    <n v="5"/>
    <n v="50"/>
    <n v="250"/>
    <n v="0"/>
  </r>
  <r>
    <n v="53"/>
    <n v="1027"/>
    <n v="1"/>
    <x v="0"/>
    <d v="2024-01-05T00:00:00"/>
    <x v="4"/>
    <n v="15"/>
    <x v="52"/>
    <x v="1"/>
    <x v="4"/>
    <n v="2"/>
    <n v="600"/>
    <n v="1200"/>
    <n v="1"/>
  </r>
  <r>
    <n v="54"/>
    <n v="1028"/>
    <n v="1"/>
    <x v="0"/>
    <d v="2024-01-05T00:00:00"/>
    <x v="4"/>
    <n v="15"/>
    <x v="53"/>
    <x v="1"/>
    <x v="3"/>
    <n v="5"/>
    <n v="700"/>
    <n v="3500"/>
    <n v="1"/>
  </r>
  <r>
    <n v="55"/>
    <n v="1029"/>
    <n v="1"/>
    <x v="0"/>
    <d v="2024-01-05T00:00:00"/>
    <x v="4"/>
    <n v="9"/>
    <x v="54"/>
    <x v="3"/>
    <x v="6"/>
    <n v="2"/>
    <n v="50"/>
    <n v="100"/>
    <n v="1"/>
  </r>
  <r>
    <n v="56"/>
    <n v="1030"/>
    <n v="1"/>
    <x v="0"/>
    <d v="2024-01-05T00:00:00"/>
    <x v="4"/>
    <n v="10"/>
    <x v="55"/>
    <x v="3"/>
    <x v="13"/>
    <n v="1"/>
    <n v="55"/>
    <n v="55"/>
    <n v="1"/>
  </r>
  <r>
    <n v="57"/>
    <n v="1031"/>
    <n v="0.33333333333333331"/>
    <x v="0"/>
    <d v="2024-01-05T00:00:00"/>
    <x v="4"/>
    <n v="12"/>
    <x v="56"/>
    <x v="3"/>
    <x v="14"/>
    <n v="2"/>
    <n v="40"/>
    <n v="80"/>
    <n v="1"/>
  </r>
  <r>
    <n v="58"/>
    <n v="1031"/>
    <n v="0.33333333333333331"/>
    <x v="0"/>
    <d v="2024-01-05T00:00:00"/>
    <x v="4"/>
    <n v="9"/>
    <x v="57"/>
    <x v="2"/>
    <x v="11"/>
    <n v="5"/>
    <n v="35"/>
    <n v="175"/>
    <n v="0"/>
  </r>
  <r>
    <n v="59"/>
    <n v="1031"/>
    <n v="0.33333333333333331"/>
    <x v="0"/>
    <d v="2024-01-05T00:00:00"/>
    <x v="4"/>
    <n v="20"/>
    <x v="58"/>
    <x v="0"/>
    <x v="9"/>
    <n v="3"/>
    <n v="15"/>
    <n v="45"/>
    <n v="0"/>
  </r>
  <r>
    <n v="60"/>
    <n v="1032"/>
    <n v="0.33333333333333331"/>
    <x v="0"/>
    <d v="2024-01-05T00:00:00"/>
    <x v="4"/>
    <n v="10"/>
    <x v="59"/>
    <x v="3"/>
    <x v="13"/>
    <n v="1"/>
    <n v="55"/>
    <n v="55"/>
    <n v="1"/>
  </r>
  <r>
    <n v="61"/>
    <n v="1032"/>
    <n v="0.33333333333333331"/>
    <x v="0"/>
    <d v="2024-01-05T00:00:00"/>
    <x v="4"/>
    <n v="12"/>
    <x v="60"/>
    <x v="0"/>
    <x v="8"/>
    <n v="5"/>
    <n v="10"/>
    <n v="50"/>
    <n v="0"/>
  </r>
  <r>
    <n v="62"/>
    <n v="1032"/>
    <n v="0.33333333333333331"/>
    <x v="0"/>
    <d v="2024-01-05T00:00:00"/>
    <x v="4"/>
    <n v="18"/>
    <x v="61"/>
    <x v="0"/>
    <x v="8"/>
    <n v="4"/>
    <n v="10"/>
    <n v="40"/>
    <n v="0"/>
  </r>
  <r>
    <n v="63"/>
    <n v="1033"/>
    <n v="1"/>
    <x v="0"/>
    <d v="2024-01-06T00:00:00"/>
    <x v="5"/>
    <n v="12"/>
    <x v="62"/>
    <x v="0"/>
    <x v="8"/>
    <n v="1"/>
    <n v="10"/>
    <n v="10"/>
    <n v="1"/>
  </r>
  <r>
    <n v="64"/>
    <n v="1034"/>
    <n v="0.33333333333333331"/>
    <x v="0"/>
    <d v="2024-01-06T00:00:00"/>
    <x v="5"/>
    <n v="15"/>
    <x v="63"/>
    <x v="0"/>
    <x v="8"/>
    <n v="5"/>
    <n v="10"/>
    <n v="50"/>
    <n v="1"/>
  </r>
  <r>
    <n v="65"/>
    <n v="1034"/>
    <n v="0.33333333333333331"/>
    <x v="0"/>
    <d v="2024-01-06T00:00:00"/>
    <x v="5"/>
    <n v="17"/>
    <x v="64"/>
    <x v="0"/>
    <x v="9"/>
    <n v="1"/>
    <n v="15"/>
    <n v="15"/>
    <n v="0"/>
  </r>
  <r>
    <n v="66"/>
    <n v="1034"/>
    <n v="0.33333333333333331"/>
    <x v="0"/>
    <d v="2024-01-06T00:00:00"/>
    <x v="5"/>
    <n v="10"/>
    <x v="65"/>
    <x v="2"/>
    <x v="10"/>
    <n v="5"/>
    <n v="30"/>
    <n v="150"/>
    <n v="0"/>
  </r>
  <r>
    <n v="67"/>
    <n v="1035"/>
    <n v="1"/>
    <x v="0"/>
    <d v="2024-01-06T00:00:00"/>
    <x v="5"/>
    <n v="11"/>
    <x v="66"/>
    <x v="1"/>
    <x v="12"/>
    <n v="4"/>
    <n v="1000"/>
    <n v="4000"/>
    <n v="1"/>
  </r>
  <r>
    <n v="68"/>
    <n v="1036"/>
    <n v="0.5"/>
    <x v="0"/>
    <d v="2024-01-06T00:00:00"/>
    <x v="5"/>
    <n v="17"/>
    <x v="67"/>
    <x v="0"/>
    <x v="0"/>
    <n v="5"/>
    <n v="20"/>
    <n v="100"/>
    <n v="1"/>
  </r>
  <r>
    <n v="69"/>
    <n v="1036"/>
    <n v="0.5"/>
    <x v="0"/>
    <d v="2024-01-06T00:00:00"/>
    <x v="5"/>
    <n v="9"/>
    <x v="68"/>
    <x v="2"/>
    <x v="11"/>
    <n v="5"/>
    <n v="35"/>
    <n v="175"/>
    <n v="0"/>
  </r>
  <r>
    <n v="70"/>
    <n v="1037"/>
    <n v="0.33333333333333331"/>
    <x v="0"/>
    <d v="2024-01-06T00:00:00"/>
    <x v="5"/>
    <n v="13"/>
    <x v="69"/>
    <x v="2"/>
    <x v="10"/>
    <n v="2"/>
    <n v="30"/>
    <n v="60"/>
    <n v="1"/>
  </r>
  <r>
    <n v="71"/>
    <n v="1037"/>
    <n v="0.33333333333333331"/>
    <x v="0"/>
    <d v="2024-01-06T00:00:00"/>
    <x v="5"/>
    <n v="12"/>
    <x v="70"/>
    <x v="1"/>
    <x v="3"/>
    <n v="2"/>
    <n v="700"/>
    <n v="1400"/>
    <n v="0"/>
  </r>
  <r>
    <n v="72"/>
    <n v="1037"/>
    <n v="0.33333333333333331"/>
    <x v="0"/>
    <d v="2024-01-06T00:00:00"/>
    <x v="5"/>
    <n v="13"/>
    <x v="71"/>
    <x v="2"/>
    <x v="5"/>
    <n v="5"/>
    <n v="20"/>
    <n v="100"/>
    <n v="0"/>
  </r>
  <r>
    <n v="73"/>
    <n v="1038"/>
    <n v="0.33333333333333331"/>
    <x v="0"/>
    <d v="2024-01-06T00:00:00"/>
    <x v="5"/>
    <n v="11"/>
    <x v="72"/>
    <x v="3"/>
    <x v="14"/>
    <n v="1"/>
    <n v="40"/>
    <n v="40"/>
    <n v="1"/>
  </r>
  <r>
    <n v="74"/>
    <n v="1038"/>
    <n v="0.33333333333333331"/>
    <x v="0"/>
    <d v="2024-01-06T00:00:00"/>
    <x v="5"/>
    <n v="11"/>
    <x v="73"/>
    <x v="2"/>
    <x v="5"/>
    <n v="3"/>
    <n v="20"/>
    <n v="60"/>
    <n v="0"/>
  </r>
  <r>
    <n v="75"/>
    <n v="1038"/>
    <n v="0.33333333333333331"/>
    <x v="0"/>
    <d v="2024-01-06T00:00:00"/>
    <x v="5"/>
    <n v="18"/>
    <x v="74"/>
    <x v="3"/>
    <x v="17"/>
    <n v="5"/>
    <n v="60"/>
    <n v="300"/>
    <n v="0"/>
  </r>
  <r>
    <n v="76"/>
    <n v="1039"/>
    <n v="0.5"/>
    <x v="0"/>
    <d v="2024-01-07T00:00:00"/>
    <x v="6"/>
    <n v="18"/>
    <x v="75"/>
    <x v="2"/>
    <x v="11"/>
    <n v="5"/>
    <n v="35"/>
    <n v="175"/>
    <n v="1"/>
  </r>
  <r>
    <n v="77"/>
    <n v="1039"/>
    <n v="0.5"/>
    <x v="0"/>
    <d v="2024-01-07T00:00:00"/>
    <x v="6"/>
    <n v="19"/>
    <x v="76"/>
    <x v="3"/>
    <x v="14"/>
    <n v="2"/>
    <n v="40"/>
    <n v="80"/>
    <n v="0"/>
  </r>
  <r>
    <n v="78"/>
    <n v="1040"/>
    <n v="1"/>
    <x v="0"/>
    <d v="2024-01-07T00:00:00"/>
    <x v="6"/>
    <n v="14"/>
    <x v="77"/>
    <x v="1"/>
    <x v="12"/>
    <n v="4"/>
    <n v="1000"/>
    <n v="4000"/>
    <n v="1"/>
  </r>
  <r>
    <n v="79"/>
    <n v="1041"/>
    <n v="0.5"/>
    <x v="0"/>
    <d v="2024-01-07T00:00:00"/>
    <x v="6"/>
    <n v="9"/>
    <x v="78"/>
    <x v="2"/>
    <x v="10"/>
    <n v="3"/>
    <n v="30"/>
    <n v="90"/>
    <n v="1"/>
  </r>
  <r>
    <n v="80"/>
    <n v="1041"/>
    <n v="0.5"/>
    <x v="0"/>
    <d v="2024-01-07T00:00:00"/>
    <x v="6"/>
    <n v="14"/>
    <x v="79"/>
    <x v="1"/>
    <x v="12"/>
    <n v="3"/>
    <n v="1000"/>
    <n v="3000"/>
    <n v="0"/>
  </r>
  <r>
    <n v="81"/>
    <n v="1042"/>
    <n v="1"/>
    <x v="0"/>
    <d v="2024-01-07T00:00:00"/>
    <x v="6"/>
    <n v="12"/>
    <x v="80"/>
    <x v="2"/>
    <x v="11"/>
    <n v="5"/>
    <n v="35"/>
    <n v="175"/>
    <n v="1"/>
  </r>
  <r>
    <n v="82"/>
    <n v="1043"/>
    <n v="0.5"/>
    <x v="0"/>
    <d v="2024-01-08T00:00:00"/>
    <x v="0"/>
    <n v="14"/>
    <x v="81"/>
    <x v="3"/>
    <x v="6"/>
    <n v="3"/>
    <n v="50"/>
    <n v="150"/>
    <n v="1"/>
  </r>
  <r>
    <n v="83"/>
    <n v="1043"/>
    <n v="0.5"/>
    <x v="0"/>
    <d v="2024-01-08T00:00:00"/>
    <x v="0"/>
    <n v="10"/>
    <x v="82"/>
    <x v="0"/>
    <x v="8"/>
    <n v="1"/>
    <n v="10"/>
    <n v="10"/>
    <n v="0"/>
  </r>
  <r>
    <n v="84"/>
    <n v="1044"/>
    <n v="0.5"/>
    <x v="0"/>
    <d v="2024-01-08T00:00:00"/>
    <x v="0"/>
    <n v="20"/>
    <x v="83"/>
    <x v="2"/>
    <x v="11"/>
    <n v="1"/>
    <n v="35"/>
    <n v="35"/>
    <n v="1"/>
  </r>
  <r>
    <n v="85"/>
    <n v="1044"/>
    <n v="0.5"/>
    <x v="0"/>
    <d v="2024-01-08T00:00:00"/>
    <x v="0"/>
    <n v="17"/>
    <x v="84"/>
    <x v="2"/>
    <x v="11"/>
    <n v="3"/>
    <n v="35"/>
    <n v="105"/>
    <n v="0"/>
  </r>
  <r>
    <n v="86"/>
    <n v="1045"/>
    <n v="0.33333333333333331"/>
    <x v="0"/>
    <d v="2024-01-08T00:00:00"/>
    <x v="0"/>
    <n v="20"/>
    <x v="85"/>
    <x v="0"/>
    <x v="8"/>
    <n v="5"/>
    <n v="10"/>
    <n v="50"/>
    <n v="1"/>
  </r>
  <r>
    <n v="87"/>
    <n v="1045"/>
    <n v="0.33333333333333331"/>
    <x v="0"/>
    <d v="2024-01-08T00:00:00"/>
    <x v="0"/>
    <n v="9"/>
    <x v="86"/>
    <x v="0"/>
    <x v="16"/>
    <n v="4"/>
    <n v="5"/>
    <n v="20"/>
    <n v="0"/>
  </r>
  <r>
    <n v="88"/>
    <n v="1045"/>
    <n v="0.33333333333333331"/>
    <x v="0"/>
    <d v="2024-01-08T00:00:00"/>
    <x v="0"/>
    <n v="11"/>
    <x v="87"/>
    <x v="0"/>
    <x v="0"/>
    <n v="1"/>
    <n v="20"/>
    <n v="20"/>
    <n v="0"/>
  </r>
  <r>
    <n v="89"/>
    <n v="1046"/>
    <n v="1"/>
    <x v="0"/>
    <d v="2024-01-08T00:00:00"/>
    <x v="0"/>
    <n v="9"/>
    <x v="88"/>
    <x v="1"/>
    <x v="12"/>
    <n v="4"/>
    <n v="1000"/>
    <n v="4000"/>
    <n v="1"/>
  </r>
  <r>
    <n v="90"/>
    <n v="1047"/>
    <n v="0.5"/>
    <x v="0"/>
    <d v="2024-01-08T00:00:00"/>
    <x v="0"/>
    <n v="11"/>
    <x v="89"/>
    <x v="1"/>
    <x v="3"/>
    <n v="2"/>
    <n v="700"/>
    <n v="1400"/>
    <n v="1"/>
  </r>
  <r>
    <n v="91"/>
    <n v="1047"/>
    <n v="0.5"/>
    <x v="0"/>
    <d v="2024-01-08T00:00:00"/>
    <x v="0"/>
    <n v="19"/>
    <x v="90"/>
    <x v="1"/>
    <x v="4"/>
    <n v="5"/>
    <n v="600"/>
    <n v="3000"/>
    <n v="0"/>
  </r>
  <r>
    <n v="92"/>
    <n v="1048"/>
    <n v="0.5"/>
    <x v="0"/>
    <d v="2024-01-09T00:00:00"/>
    <x v="1"/>
    <n v="17"/>
    <x v="91"/>
    <x v="0"/>
    <x v="0"/>
    <n v="5"/>
    <n v="20"/>
    <n v="100"/>
    <n v="1"/>
  </r>
  <r>
    <n v="93"/>
    <n v="1048"/>
    <n v="0.5"/>
    <x v="0"/>
    <d v="2024-01-09T00:00:00"/>
    <x v="1"/>
    <n v="10"/>
    <x v="92"/>
    <x v="2"/>
    <x v="10"/>
    <n v="5"/>
    <n v="30"/>
    <n v="150"/>
    <n v="0"/>
  </r>
  <r>
    <n v="94"/>
    <n v="1049"/>
    <n v="0.5"/>
    <x v="0"/>
    <d v="2024-01-09T00:00:00"/>
    <x v="1"/>
    <n v="15"/>
    <x v="93"/>
    <x v="2"/>
    <x v="5"/>
    <n v="4"/>
    <n v="20"/>
    <n v="80"/>
    <n v="1"/>
  </r>
  <r>
    <n v="95"/>
    <n v="1049"/>
    <n v="0.5"/>
    <x v="0"/>
    <d v="2024-01-09T00:00:00"/>
    <x v="1"/>
    <n v="18"/>
    <x v="94"/>
    <x v="2"/>
    <x v="15"/>
    <n v="4"/>
    <n v="25"/>
    <n v="100"/>
    <n v="0"/>
  </r>
  <r>
    <n v="96"/>
    <n v="1050"/>
    <n v="1"/>
    <x v="0"/>
    <d v="2024-01-09T00:00:00"/>
    <x v="1"/>
    <n v="19"/>
    <x v="95"/>
    <x v="0"/>
    <x v="8"/>
    <n v="5"/>
    <n v="10"/>
    <n v="50"/>
    <n v="1"/>
  </r>
  <r>
    <n v="97"/>
    <n v="1051"/>
    <n v="0.33333333333333331"/>
    <x v="0"/>
    <d v="2024-01-09T00:00:00"/>
    <x v="1"/>
    <n v="14"/>
    <x v="96"/>
    <x v="0"/>
    <x v="9"/>
    <n v="4"/>
    <n v="15"/>
    <n v="60"/>
    <n v="1"/>
  </r>
  <r>
    <n v="98"/>
    <n v="1051"/>
    <n v="0.33333333333333331"/>
    <x v="0"/>
    <d v="2024-01-09T00:00:00"/>
    <x v="1"/>
    <n v="13"/>
    <x v="97"/>
    <x v="0"/>
    <x v="7"/>
    <n v="4"/>
    <n v="25"/>
    <n v="100"/>
    <n v="0"/>
  </r>
  <r>
    <n v="99"/>
    <n v="1051"/>
    <n v="0.33333333333333331"/>
    <x v="0"/>
    <d v="2024-01-09T00:00:00"/>
    <x v="1"/>
    <n v="13"/>
    <x v="98"/>
    <x v="1"/>
    <x v="1"/>
    <n v="2"/>
    <n v="650"/>
    <n v="1300"/>
    <n v="0"/>
  </r>
  <r>
    <n v="100"/>
    <n v="1052"/>
    <n v="0.33333333333333331"/>
    <x v="0"/>
    <d v="2024-01-09T00:00:00"/>
    <x v="1"/>
    <n v="14"/>
    <x v="99"/>
    <x v="2"/>
    <x v="10"/>
    <n v="3"/>
    <n v="30"/>
    <n v="90"/>
    <n v="1"/>
  </r>
  <r>
    <n v="101"/>
    <n v="1052"/>
    <n v="0.33333333333333331"/>
    <x v="0"/>
    <d v="2024-01-09T00:00:00"/>
    <x v="1"/>
    <n v="12"/>
    <x v="100"/>
    <x v="0"/>
    <x v="16"/>
    <n v="2"/>
    <n v="5"/>
    <n v="10"/>
    <n v="0"/>
  </r>
  <r>
    <n v="102"/>
    <n v="1052"/>
    <n v="0.33333333333333331"/>
    <x v="0"/>
    <d v="2024-01-09T00:00:00"/>
    <x v="1"/>
    <n v="16"/>
    <x v="101"/>
    <x v="1"/>
    <x v="1"/>
    <n v="1"/>
    <n v="650"/>
    <n v="650"/>
    <n v="0"/>
  </r>
  <r>
    <n v="103"/>
    <n v="1053"/>
    <n v="0.33333333333333331"/>
    <x v="0"/>
    <d v="2024-01-09T00:00:00"/>
    <x v="1"/>
    <n v="15"/>
    <x v="102"/>
    <x v="2"/>
    <x v="5"/>
    <n v="5"/>
    <n v="20"/>
    <n v="100"/>
    <n v="1"/>
  </r>
  <r>
    <n v="104"/>
    <n v="1053"/>
    <n v="0.33333333333333331"/>
    <x v="0"/>
    <d v="2024-01-09T00:00:00"/>
    <x v="1"/>
    <n v="14"/>
    <x v="103"/>
    <x v="0"/>
    <x v="8"/>
    <n v="5"/>
    <n v="10"/>
    <n v="50"/>
    <n v="0"/>
  </r>
  <r>
    <n v="105"/>
    <n v="1053"/>
    <n v="0.33333333333333331"/>
    <x v="0"/>
    <d v="2024-01-09T00:00:00"/>
    <x v="1"/>
    <n v="15"/>
    <x v="104"/>
    <x v="1"/>
    <x v="4"/>
    <n v="2"/>
    <n v="600"/>
    <n v="1200"/>
    <n v="0"/>
  </r>
  <r>
    <n v="106"/>
    <n v="1054"/>
    <n v="1"/>
    <x v="0"/>
    <d v="2024-01-10T00:00:00"/>
    <x v="2"/>
    <n v="11"/>
    <x v="105"/>
    <x v="1"/>
    <x v="12"/>
    <n v="3"/>
    <n v="1000"/>
    <n v="3000"/>
    <n v="1"/>
  </r>
  <r>
    <n v="107"/>
    <n v="1055"/>
    <n v="1"/>
    <x v="0"/>
    <d v="2024-01-10T00:00:00"/>
    <x v="2"/>
    <n v="16"/>
    <x v="106"/>
    <x v="3"/>
    <x v="13"/>
    <n v="1"/>
    <n v="55"/>
    <n v="55"/>
    <n v="1"/>
  </r>
  <r>
    <n v="108"/>
    <n v="1056"/>
    <n v="0.33333333333333331"/>
    <x v="0"/>
    <d v="2024-01-10T00:00:00"/>
    <x v="2"/>
    <n v="17"/>
    <x v="107"/>
    <x v="1"/>
    <x v="2"/>
    <n v="4"/>
    <n v="680"/>
    <n v="2720"/>
    <n v="1"/>
  </r>
  <r>
    <n v="109"/>
    <n v="1056"/>
    <n v="0.33333333333333331"/>
    <x v="0"/>
    <d v="2024-01-10T00:00:00"/>
    <x v="2"/>
    <n v="9"/>
    <x v="108"/>
    <x v="1"/>
    <x v="2"/>
    <n v="2"/>
    <n v="680"/>
    <n v="1360"/>
    <n v="0"/>
  </r>
  <r>
    <n v="110"/>
    <n v="1056"/>
    <n v="0.33333333333333331"/>
    <x v="0"/>
    <d v="2024-01-10T00:00:00"/>
    <x v="2"/>
    <n v="20"/>
    <x v="109"/>
    <x v="1"/>
    <x v="1"/>
    <n v="1"/>
    <n v="650"/>
    <n v="650"/>
    <n v="0"/>
  </r>
  <r>
    <n v="111"/>
    <n v="1057"/>
    <n v="0.33333333333333331"/>
    <x v="0"/>
    <d v="2024-01-11T00:00:00"/>
    <x v="3"/>
    <n v="11"/>
    <x v="110"/>
    <x v="2"/>
    <x v="11"/>
    <n v="5"/>
    <n v="35"/>
    <n v="175"/>
    <n v="1"/>
  </r>
  <r>
    <n v="112"/>
    <n v="1057"/>
    <n v="0.33333333333333331"/>
    <x v="0"/>
    <d v="2024-01-11T00:00:00"/>
    <x v="3"/>
    <n v="9"/>
    <x v="111"/>
    <x v="2"/>
    <x v="15"/>
    <n v="3"/>
    <n v="25"/>
    <n v="75"/>
    <n v="0"/>
  </r>
  <r>
    <n v="113"/>
    <n v="1057"/>
    <n v="0.33333333333333331"/>
    <x v="0"/>
    <d v="2024-01-11T00:00:00"/>
    <x v="3"/>
    <n v="16"/>
    <x v="112"/>
    <x v="0"/>
    <x v="0"/>
    <n v="5"/>
    <n v="20"/>
    <n v="100"/>
    <n v="0"/>
  </r>
  <r>
    <n v="114"/>
    <n v="1058"/>
    <n v="0.5"/>
    <x v="0"/>
    <d v="2024-01-11T00:00:00"/>
    <x v="3"/>
    <n v="10"/>
    <x v="113"/>
    <x v="1"/>
    <x v="4"/>
    <n v="5"/>
    <n v="600"/>
    <n v="3000"/>
    <n v="1"/>
  </r>
  <r>
    <n v="115"/>
    <n v="1058"/>
    <n v="0.5"/>
    <x v="0"/>
    <d v="2024-01-11T00:00:00"/>
    <x v="3"/>
    <n v="19"/>
    <x v="114"/>
    <x v="3"/>
    <x v="14"/>
    <n v="1"/>
    <n v="40"/>
    <n v="40"/>
    <n v="0"/>
  </r>
  <r>
    <n v="116"/>
    <n v="1059"/>
    <n v="0.33333333333333331"/>
    <x v="0"/>
    <d v="2024-01-11T00:00:00"/>
    <x v="3"/>
    <n v="18"/>
    <x v="115"/>
    <x v="0"/>
    <x v="9"/>
    <n v="1"/>
    <n v="15"/>
    <n v="15"/>
    <n v="1"/>
  </r>
  <r>
    <n v="117"/>
    <n v="1059"/>
    <n v="0.33333333333333331"/>
    <x v="0"/>
    <d v="2024-01-11T00:00:00"/>
    <x v="3"/>
    <n v="11"/>
    <x v="116"/>
    <x v="3"/>
    <x v="18"/>
    <n v="5"/>
    <n v="45"/>
    <n v="225"/>
    <n v="0"/>
  </r>
  <r>
    <n v="118"/>
    <n v="1059"/>
    <n v="0.33333333333333331"/>
    <x v="0"/>
    <d v="2024-01-11T00:00:00"/>
    <x v="3"/>
    <n v="18"/>
    <x v="117"/>
    <x v="3"/>
    <x v="17"/>
    <n v="2"/>
    <n v="60"/>
    <n v="120"/>
    <n v="0"/>
  </r>
  <r>
    <n v="119"/>
    <n v="1060"/>
    <n v="1"/>
    <x v="0"/>
    <d v="2024-01-11T00:00:00"/>
    <x v="3"/>
    <n v="17"/>
    <x v="118"/>
    <x v="1"/>
    <x v="2"/>
    <n v="1"/>
    <n v="680"/>
    <n v="680"/>
    <n v="1"/>
  </r>
  <r>
    <n v="120"/>
    <n v="1061"/>
    <n v="0.33333333333333331"/>
    <x v="0"/>
    <d v="2024-01-12T00:00:00"/>
    <x v="4"/>
    <n v="16"/>
    <x v="119"/>
    <x v="3"/>
    <x v="17"/>
    <n v="3"/>
    <n v="60"/>
    <n v="180"/>
    <n v="1"/>
  </r>
  <r>
    <n v="121"/>
    <n v="1061"/>
    <n v="0.33333333333333331"/>
    <x v="0"/>
    <d v="2024-01-12T00:00:00"/>
    <x v="4"/>
    <n v="16"/>
    <x v="120"/>
    <x v="2"/>
    <x v="5"/>
    <n v="3"/>
    <n v="20"/>
    <n v="60"/>
    <n v="0"/>
  </r>
  <r>
    <n v="122"/>
    <n v="1061"/>
    <n v="0.33333333333333331"/>
    <x v="0"/>
    <d v="2024-01-12T00:00:00"/>
    <x v="4"/>
    <n v="13"/>
    <x v="121"/>
    <x v="2"/>
    <x v="15"/>
    <n v="4"/>
    <n v="25"/>
    <n v="100"/>
    <n v="0"/>
  </r>
  <r>
    <n v="123"/>
    <n v="1062"/>
    <n v="0.5"/>
    <x v="0"/>
    <d v="2024-01-12T00:00:00"/>
    <x v="4"/>
    <n v="17"/>
    <x v="122"/>
    <x v="3"/>
    <x v="13"/>
    <n v="5"/>
    <n v="55"/>
    <n v="275"/>
    <n v="1"/>
  </r>
  <r>
    <n v="124"/>
    <n v="1062"/>
    <n v="0.5"/>
    <x v="0"/>
    <d v="2024-01-12T00:00:00"/>
    <x v="4"/>
    <n v="12"/>
    <x v="123"/>
    <x v="0"/>
    <x v="9"/>
    <n v="2"/>
    <n v="15"/>
    <n v="30"/>
    <n v="0"/>
  </r>
  <r>
    <n v="125"/>
    <n v="1063"/>
    <n v="0.33333333333333331"/>
    <x v="0"/>
    <d v="2024-01-12T00:00:00"/>
    <x v="4"/>
    <n v="14"/>
    <x v="124"/>
    <x v="0"/>
    <x v="9"/>
    <n v="1"/>
    <n v="15"/>
    <n v="15"/>
    <n v="1"/>
  </r>
  <r>
    <n v="126"/>
    <n v="1063"/>
    <n v="0.33333333333333331"/>
    <x v="0"/>
    <d v="2024-01-12T00:00:00"/>
    <x v="4"/>
    <n v="12"/>
    <x v="125"/>
    <x v="3"/>
    <x v="6"/>
    <n v="4"/>
    <n v="50"/>
    <n v="200"/>
    <n v="0"/>
  </r>
  <r>
    <n v="127"/>
    <n v="1063"/>
    <n v="0.33333333333333331"/>
    <x v="0"/>
    <d v="2024-01-12T00:00:00"/>
    <x v="4"/>
    <n v="13"/>
    <x v="126"/>
    <x v="2"/>
    <x v="11"/>
    <n v="1"/>
    <n v="35"/>
    <n v="35"/>
    <n v="0"/>
  </r>
  <r>
    <n v="128"/>
    <n v="1064"/>
    <n v="0.5"/>
    <x v="0"/>
    <d v="2024-01-12T00:00:00"/>
    <x v="4"/>
    <n v="15"/>
    <x v="127"/>
    <x v="1"/>
    <x v="12"/>
    <n v="5"/>
    <n v="1000"/>
    <n v="5000"/>
    <n v="1"/>
  </r>
  <r>
    <n v="129"/>
    <n v="1064"/>
    <n v="0.5"/>
    <x v="0"/>
    <d v="2024-01-12T00:00:00"/>
    <x v="4"/>
    <n v="11"/>
    <x v="128"/>
    <x v="2"/>
    <x v="5"/>
    <n v="2"/>
    <n v="20"/>
    <n v="40"/>
    <n v="0"/>
  </r>
  <r>
    <n v="130"/>
    <n v="1065"/>
    <n v="0.33333333333333331"/>
    <x v="0"/>
    <d v="2024-01-12T00:00:00"/>
    <x v="4"/>
    <n v="11"/>
    <x v="129"/>
    <x v="0"/>
    <x v="7"/>
    <n v="2"/>
    <n v="25"/>
    <n v="50"/>
    <n v="1"/>
  </r>
  <r>
    <n v="131"/>
    <n v="1065"/>
    <n v="0.33333333333333331"/>
    <x v="0"/>
    <d v="2024-01-12T00:00:00"/>
    <x v="4"/>
    <n v="14"/>
    <x v="130"/>
    <x v="2"/>
    <x v="11"/>
    <n v="3"/>
    <n v="35"/>
    <n v="105"/>
    <n v="0"/>
  </r>
  <r>
    <n v="132"/>
    <n v="1065"/>
    <n v="0.33333333333333331"/>
    <x v="0"/>
    <d v="2024-01-12T00:00:00"/>
    <x v="4"/>
    <n v="13"/>
    <x v="131"/>
    <x v="1"/>
    <x v="4"/>
    <n v="1"/>
    <n v="600"/>
    <n v="600"/>
    <n v="0"/>
  </r>
  <r>
    <n v="133"/>
    <n v="1066"/>
    <n v="1"/>
    <x v="0"/>
    <d v="2024-01-12T00:00:00"/>
    <x v="4"/>
    <n v="15"/>
    <x v="132"/>
    <x v="2"/>
    <x v="5"/>
    <n v="4"/>
    <n v="20"/>
    <n v="80"/>
    <n v="1"/>
  </r>
  <r>
    <n v="134"/>
    <n v="1067"/>
    <n v="1"/>
    <x v="0"/>
    <d v="2024-01-12T00:00:00"/>
    <x v="4"/>
    <n v="19"/>
    <x v="133"/>
    <x v="2"/>
    <x v="11"/>
    <n v="4"/>
    <n v="35"/>
    <n v="140"/>
    <n v="1"/>
  </r>
  <r>
    <n v="135"/>
    <n v="1068"/>
    <n v="1"/>
    <x v="0"/>
    <d v="2024-01-12T00:00:00"/>
    <x v="4"/>
    <n v="19"/>
    <x v="134"/>
    <x v="3"/>
    <x v="14"/>
    <n v="5"/>
    <n v="40"/>
    <n v="200"/>
    <n v="1"/>
  </r>
  <r>
    <n v="136"/>
    <n v="1069"/>
    <n v="0.5"/>
    <x v="0"/>
    <d v="2024-01-12T00:00:00"/>
    <x v="4"/>
    <n v="17"/>
    <x v="135"/>
    <x v="0"/>
    <x v="7"/>
    <n v="5"/>
    <n v="25"/>
    <n v="125"/>
    <n v="1"/>
  </r>
  <r>
    <n v="137"/>
    <n v="1069"/>
    <n v="0.5"/>
    <x v="0"/>
    <d v="2024-01-12T00:00:00"/>
    <x v="4"/>
    <n v="16"/>
    <x v="136"/>
    <x v="2"/>
    <x v="15"/>
    <n v="1"/>
    <n v="25"/>
    <n v="25"/>
    <n v="0"/>
  </r>
  <r>
    <n v="138"/>
    <n v="1070"/>
    <n v="0.33333333333333331"/>
    <x v="0"/>
    <d v="2024-01-13T00:00:00"/>
    <x v="5"/>
    <n v="9"/>
    <x v="137"/>
    <x v="3"/>
    <x v="18"/>
    <n v="1"/>
    <n v="45"/>
    <n v="45"/>
    <n v="1"/>
  </r>
  <r>
    <n v="139"/>
    <n v="1070"/>
    <n v="0.33333333333333331"/>
    <x v="0"/>
    <d v="2024-01-13T00:00:00"/>
    <x v="5"/>
    <n v="13"/>
    <x v="138"/>
    <x v="3"/>
    <x v="14"/>
    <n v="2"/>
    <n v="40"/>
    <n v="80"/>
    <n v="0"/>
  </r>
  <r>
    <n v="140"/>
    <n v="1070"/>
    <n v="0.33333333333333331"/>
    <x v="0"/>
    <d v="2024-01-13T00:00:00"/>
    <x v="5"/>
    <n v="14"/>
    <x v="139"/>
    <x v="3"/>
    <x v="13"/>
    <n v="5"/>
    <n v="55"/>
    <n v="275"/>
    <n v="0"/>
  </r>
  <r>
    <n v="141"/>
    <n v="1071"/>
    <n v="1"/>
    <x v="0"/>
    <d v="2024-01-13T00:00:00"/>
    <x v="5"/>
    <n v="16"/>
    <x v="140"/>
    <x v="2"/>
    <x v="5"/>
    <n v="4"/>
    <n v="20"/>
    <n v="80"/>
    <n v="1"/>
  </r>
  <r>
    <n v="142"/>
    <n v="1072"/>
    <n v="0.5"/>
    <x v="0"/>
    <d v="2024-01-13T00:00:00"/>
    <x v="5"/>
    <n v="20"/>
    <x v="141"/>
    <x v="1"/>
    <x v="2"/>
    <n v="2"/>
    <n v="680"/>
    <n v="1360"/>
    <n v="1"/>
  </r>
  <r>
    <n v="143"/>
    <n v="1072"/>
    <n v="0.5"/>
    <x v="0"/>
    <d v="2024-01-13T00:00:00"/>
    <x v="5"/>
    <n v="9"/>
    <x v="142"/>
    <x v="3"/>
    <x v="6"/>
    <n v="3"/>
    <n v="50"/>
    <n v="150"/>
    <n v="0"/>
  </r>
  <r>
    <n v="144"/>
    <n v="1073"/>
    <n v="0.33333333333333331"/>
    <x v="0"/>
    <d v="2024-01-13T00:00:00"/>
    <x v="5"/>
    <n v="17"/>
    <x v="143"/>
    <x v="2"/>
    <x v="11"/>
    <n v="5"/>
    <n v="35"/>
    <n v="175"/>
    <n v="1"/>
  </r>
  <r>
    <n v="145"/>
    <n v="1073"/>
    <n v="0.33333333333333331"/>
    <x v="0"/>
    <d v="2024-01-13T00:00:00"/>
    <x v="5"/>
    <n v="9"/>
    <x v="144"/>
    <x v="1"/>
    <x v="12"/>
    <n v="5"/>
    <n v="1000"/>
    <n v="5000"/>
    <n v="0"/>
  </r>
  <r>
    <n v="146"/>
    <n v="1073"/>
    <n v="0.33333333333333331"/>
    <x v="0"/>
    <d v="2024-01-13T00:00:00"/>
    <x v="5"/>
    <n v="13"/>
    <x v="145"/>
    <x v="1"/>
    <x v="12"/>
    <n v="3"/>
    <n v="1000"/>
    <n v="3000"/>
    <n v="0"/>
  </r>
  <r>
    <n v="147"/>
    <n v="1074"/>
    <n v="1"/>
    <x v="0"/>
    <d v="2024-01-13T00:00:00"/>
    <x v="5"/>
    <n v="17"/>
    <x v="146"/>
    <x v="0"/>
    <x v="16"/>
    <n v="2"/>
    <n v="5"/>
    <n v="10"/>
    <n v="1"/>
  </r>
  <r>
    <n v="148"/>
    <n v="1075"/>
    <n v="1"/>
    <x v="0"/>
    <d v="2024-01-13T00:00:00"/>
    <x v="5"/>
    <n v="19"/>
    <x v="147"/>
    <x v="3"/>
    <x v="17"/>
    <n v="2"/>
    <n v="60"/>
    <n v="120"/>
    <n v="1"/>
  </r>
  <r>
    <n v="149"/>
    <n v="1076"/>
    <n v="0.5"/>
    <x v="0"/>
    <d v="2024-01-14T00:00:00"/>
    <x v="6"/>
    <n v="19"/>
    <x v="148"/>
    <x v="3"/>
    <x v="17"/>
    <n v="2"/>
    <n v="60"/>
    <n v="120"/>
    <n v="1"/>
  </r>
  <r>
    <n v="150"/>
    <n v="1076"/>
    <n v="0.5"/>
    <x v="0"/>
    <d v="2024-01-14T00:00:00"/>
    <x v="6"/>
    <n v="20"/>
    <x v="149"/>
    <x v="0"/>
    <x v="16"/>
    <n v="2"/>
    <n v="5"/>
    <n v="10"/>
    <n v="0"/>
  </r>
  <r>
    <n v="151"/>
    <n v="1077"/>
    <n v="1"/>
    <x v="0"/>
    <d v="2024-01-14T00:00:00"/>
    <x v="6"/>
    <n v="17"/>
    <x v="150"/>
    <x v="1"/>
    <x v="12"/>
    <n v="2"/>
    <n v="1000"/>
    <n v="2000"/>
    <n v="1"/>
  </r>
  <r>
    <n v="152"/>
    <n v="1078"/>
    <n v="0.5"/>
    <x v="0"/>
    <d v="2024-01-14T00:00:00"/>
    <x v="6"/>
    <n v="18"/>
    <x v="151"/>
    <x v="0"/>
    <x v="8"/>
    <n v="4"/>
    <n v="10"/>
    <n v="40"/>
    <n v="1"/>
  </r>
  <r>
    <n v="153"/>
    <n v="1078"/>
    <n v="0.5"/>
    <x v="0"/>
    <d v="2024-01-14T00:00:00"/>
    <x v="6"/>
    <n v="17"/>
    <x v="152"/>
    <x v="1"/>
    <x v="2"/>
    <n v="2"/>
    <n v="680"/>
    <n v="1360"/>
    <n v="0"/>
  </r>
  <r>
    <n v="154"/>
    <n v="1079"/>
    <n v="0.5"/>
    <x v="0"/>
    <d v="2024-01-14T00:00:00"/>
    <x v="6"/>
    <n v="10"/>
    <x v="153"/>
    <x v="3"/>
    <x v="14"/>
    <n v="3"/>
    <n v="40"/>
    <n v="120"/>
    <n v="1"/>
  </r>
  <r>
    <n v="155"/>
    <n v="1079"/>
    <n v="0.5"/>
    <x v="0"/>
    <d v="2024-01-14T00:00:00"/>
    <x v="6"/>
    <n v="11"/>
    <x v="154"/>
    <x v="3"/>
    <x v="13"/>
    <n v="4"/>
    <n v="55"/>
    <n v="220"/>
    <n v="0"/>
  </r>
  <r>
    <n v="156"/>
    <n v="1080"/>
    <n v="0.33333333333333331"/>
    <x v="0"/>
    <d v="2024-01-15T00:00:00"/>
    <x v="0"/>
    <n v="9"/>
    <x v="155"/>
    <x v="0"/>
    <x v="0"/>
    <n v="4"/>
    <n v="20"/>
    <n v="80"/>
    <n v="1"/>
  </r>
  <r>
    <n v="157"/>
    <n v="1080"/>
    <n v="0.33333333333333331"/>
    <x v="0"/>
    <d v="2024-01-15T00:00:00"/>
    <x v="0"/>
    <n v="16"/>
    <x v="156"/>
    <x v="3"/>
    <x v="6"/>
    <n v="3"/>
    <n v="50"/>
    <n v="150"/>
    <n v="0"/>
  </r>
  <r>
    <n v="158"/>
    <n v="1080"/>
    <n v="0.33333333333333331"/>
    <x v="0"/>
    <d v="2024-01-15T00:00:00"/>
    <x v="0"/>
    <n v="12"/>
    <x v="157"/>
    <x v="3"/>
    <x v="6"/>
    <n v="1"/>
    <n v="50"/>
    <n v="50"/>
    <n v="0"/>
  </r>
  <r>
    <n v="159"/>
    <n v="1081"/>
    <n v="0.33333333333333331"/>
    <x v="0"/>
    <d v="2024-01-15T00:00:00"/>
    <x v="0"/>
    <n v="9"/>
    <x v="158"/>
    <x v="3"/>
    <x v="14"/>
    <n v="5"/>
    <n v="40"/>
    <n v="200"/>
    <n v="1"/>
  </r>
  <r>
    <n v="160"/>
    <n v="1081"/>
    <n v="0.33333333333333331"/>
    <x v="0"/>
    <d v="2024-01-15T00:00:00"/>
    <x v="0"/>
    <n v="19"/>
    <x v="159"/>
    <x v="1"/>
    <x v="4"/>
    <n v="5"/>
    <n v="600"/>
    <n v="3000"/>
    <n v="0"/>
  </r>
  <r>
    <n v="161"/>
    <n v="1081"/>
    <n v="0.33333333333333331"/>
    <x v="0"/>
    <d v="2024-01-15T00:00:00"/>
    <x v="0"/>
    <n v="17"/>
    <x v="160"/>
    <x v="3"/>
    <x v="18"/>
    <n v="2"/>
    <n v="45"/>
    <n v="90"/>
    <n v="0"/>
  </r>
  <r>
    <n v="162"/>
    <n v="1082"/>
    <n v="0.5"/>
    <x v="0"/>
    <d v="2024-01-15T00:00:00"/>
    <x v="0"/>
    <n v="19"/>
    <x v="161"/>
    <x v="1"/>
    <x v="4"/>
    <n v="4"/>
    <n v="600"/>
    <n v="2400"/>
    <n v="1"/>
  </r>
  <r>
    <n v="163"/>
    <n v="1082"/>
    <n v="0.5"/>
    <x v="0"/>
    <d v="2024-01-15T00:00:00"/>
    <x v="0"/>
    <n v="20"/>
    <x v="162"/>
    <x v="3"/>
    <x v="13"/>
    <n v="1"/>
    <n v="55"/>
    <n v="55"/>
    <n v="0"/>
  </r>
  <r>
    <n v="164"/>
    <n v="1083"/>
    <n v="0.33333333333333331"/>
    <x v="0"/>
    <d v="2024-01-15T00:00:00"/>
    <x v="0"/>
    <n v="13"/>
    <x v="163"/>
    <x v="3"/>
    <x v="6"/>
    <n v="3"/>
    <n v="50"/>
    <n v="150"/>
    <n v="1"/>
  </r>
  <r>
    <n v="165"/>
    <n v="1083"/>
    <n v="0.33333333333333331"/>
    <x v="0"/>
    <d v="2024-01-15T00:00:00"/>
    <x v="0"/>
    <n v="19"/>
    <x v="164"/>
    <x v="0"/>
    <x v="9"/>
    <n v="1"/>
    <n v="15"/>
    <n v="15"/>
    <n v="0"/>
  </r>
  <r>
    <n v="166"/>
    <n v="1083"/>
    <n v="0.33333333333333331"/>
    <x v="0"/>
    <d v="2024-01-15T00:00:00"/>
    <x v="0"/>
    <n v="14"/>
    <x v="165"/>
    <x v="0"/>
    <x v="16"/>
    <n v="5"/>
    <n v="5"/>
    <n v="25"/>
    <n v="0"/>
  </r>
  <r>
    <n v="167"/>
    <n v="1084"/>
    <n v="0.5"/>
    <x v="0"/>
    <d v="2024-01-15T00:00:00"/>
    <x v="0"/>
    <n v="18"/>
    <x v="166"/>
    <x v="0"/>
    <x v="0"/>
    <n v="1"/>
    <n v="20"/>
    <n v="20"/>
    <n v="1"/>
  </r>
  <r>
    <n v="168"/>
    <n v="1084"/>
    <n v="0.5"/>
    <x v="0"/>
    <d v="2024-01-15T00:00:00"/>
    <x v="0"/>
    <n v="13"/>
    <x v="167"/>
    <x v="1"/>
    <x v="4"/>
    <n v="4"/>
    <n v="600"/>
    <n v="2400"/>
    <n v="0"/>
  </r>
  <r>
    <n v="169"/>
    <n v="1085"/>
    <n v="1"/>
    <x v="0"/>
    <d v="2024-01-15T00:00:00"/>
    <x v="0"/>
    <n v="11"/>
    <x v="168"/>
    <x v="0"/>
    <x v="8"/>
    <n v="2"/>
    <n v="10"/>
    <n v="20"/>
    <n v="1"/>
  </r>
  <r>
    <n v="170"/>
    <n v="1086"/>
    <n v="1"/>
    <x v="0"/>
    <d v="2024-01-15T00:00:00"/>
    <x v="0"/>
    <n v="14"/>
    <x v="169"/>
    <x v="3"/>
    <x v="6"/>
    <n v="5"/>
    <n v="50"/>
    <n v="250"/>
    <n v="1"/>
  </r>
  <r>
    <n v="171"/>
    <n v="1087"/>
    <n v="1"/>
    <x v="0"/>
    <d v="2024-01-15T00:00:00"/>
    <x v="0"/>
    <n v="12"/>
    <x v="170"/>
    <x v="3"/>
    <x v="6"/>
    <n v="2"/>
    <n v="50"/>
    <n v="100"/>
    <n v="1"/>
  </r>
  <r>
    <n v="172"/>
    <n v="1088"/>
    <n v="0.33333333333333331"/>
    <x v="0"/>
    <d v="2024-01-16T00:00:00"/>
    <x v="1"/>
    <n v="18"/>
    <x v="171"/>
    <x v="0"/>
    <x v="9"/>
    <n v="5"/>
    <n v="15"/>
    <n v="75"/>
    <n v="1"/>
  </r>
  <r>
    <n v="173"/>
    <n v="1088"/>
    <n v="0.33333333333333331"/>
    <x v="0"/>
    <d v="2024-01-16T00:00:00"/>
    <x v="1"/>
    <n v="17"/>
    <x v="172"/>
    <x v="3"/>
    <x v="18"/>
    <n v="3"/>
    <n v="45"/>
    <n v="135"/>
    <n v="0"/>
  </r>
  <r>
    <n v="174"/>
    <n v="1088"/>
    <n v="0.33333333333333331"/>
    <x v="0"/>
    <d v="2024-01-16T00:00:00"/>
    <x v="1"/>
    <n v="12"/>
    <x v="173"/>
    <x v="1"/>
    <x v="1"/>
    <n v="4"/>
    <n v="650"/>
    <n v="2600"/>
    <n v="0"/>
  </r>
  <r>
    <n v="175"/>
    <n v="1089"/>
    <n v="1"/>
    <x v="0"/>
    <d v="2024-01-16T00:00:00"/>
    <x v="1"/>
    <n v="18"/>
    <x v="174"/>
    <x v="3"/>
    <x v="13"/>
    <n v="3"/>
    <n v="55"/>
    <n v="165"/>
    <n v="1"/>
  </r>
  <r>
    <n v="176"/>
    <n v="1090"/>
    <n v="1"/>
    <x v="0"/>
    <d v="2024-01-16T00:00:00"/>
    <x v="1"/>
    <n v="18"/>
    <x v="175"/>
    <x v="0"/>
    <x v="16"/>
    <n v="5"/>
    <n v="5"/>
    <n v="25"/>
    <n v="1"/>
  </r>
  <r>
    <n v="177"/>
    <n v="1091"/>
    <n v="0.33333333333333331"/>
    <x v="0"/>
    <d v="2024-01-16T00:00:00"/>
    <x v="1"/>
    <n v="14"/>
    <x v="176"/>
    <x v="3"/>
    <x v="13"/>
    <n v="1"/>
    <n v="55"/>
    <n v="55"/>
    <n v="1"/>
  </r>
  <r>
    <n v="178"/>
    <n v="1091"/>
    <n v="0.33333333333333331"/>
    <x v="0"/>
    <d v="2024-01-16T00:00:00"/>
    <x v="1"/>
    <n v="10"/>
    <x v="177"/>
    <x v="1"/>
    <x v="1"/>
    <n v="5"/>
    <n v="650"/>
    <n v="3250"/>
    <n v="0"/>
  </r>
  <r>
    <n v="179"/>
    <n v="1091"/>
    <n v="0.33333333333333331"/>
    <x v="0"/>
    <d v="2024-01-16T00:00:00"/>
    <x v="1"/>
    <n v="20"/>
    <x v="178"/>
    <x v="3"/>
    <x v="17"/>
    <n v="1"/>
    <n v="60"/>
    <n v="60"/>
    <n v="0"/>
  </r>
  <r>
    <n v="180"/>
    <n v="1092"/>
    <n v="0.33333333333333331"/>
    <x v="0"/>
    <d v="2024-01-16T00:00:00"/>
    <x v="1"/>
    <n v="18"/>
    <x v="179"/>
    <x v="1"/>
    <x v="4"/>
    <n v="5"/>
    <n v="600"/>
    <n v="3000"/>
    <n v="1"/>
  </r>
  <r>
    <n v="181"/>
    <n v="1092"/>
    <n v="0.33333333333333331"/>
    <x v="0"/>
    <d v="2024-01-16T00:00:00"/>
    <x v="1"/>
    <n v="12"/>
    <x v="180"/>
    <x v="0"/>
    <x v="7"/>
    <n v="4"/>
    <n v="25"/>
    <n v="100"/>
    <n v="0"/>
  </r>
  <r>
    <n v="182"/>
    <n v="1092"/>
    <n v="0.33333333333333331"/>
    <x v="0"/>
    <d v="2024-01-16T00:00:00"/>
    <x v="1"/>
    <n v="10"/>
    <x v="181"/>
    <x v="0"/>
    <x v="8"/>
    <n v="1"/>
    <n v="10"/>
    <n v="10"/>
    <n v="0"/>
  </r>
  <r>
    <n v="183"/>
    <n v="1093"/>
    <n v="0.33333333333333331"/>
    <x v="0"/>
    <d v="2024-01-17T00:00:00"/>
    <x v="2"/>
    <n v="9"/>
    <x v="182"/>
    <x v="0"/>
    <x v="7"/>
    <n v="4"/>
    <n v="25"/>
    <n v="100"/>
    <n v="1"/>
  </r>
  <r>
    <n v="184"/>
    <n v="1093"/>
    <n v="0.33333333333333331"/>
    <x v="0"/>
    <d v="2024-01-17T00:00:00"/>
    <x v="2"/>
    <n v="13"/>
    <x v="183"/>
    <x v="1"/>
    <x v="4"/>
    <n v="1"/>
    <n v="600"/>
    <n v="600"/>
    <n v="0"/>
  </r>
  <r>
    <n v="185"/>
    <n v="1093"/>
    <n v="0.33333333333333331"/>
    <x v="0"/>
    <d v="2024-01-17T00:00:00"/>
    <x v="2"/>
    <n v="13"/>
    <x v="184"/>
    <x v="3"/>
    <x v="13"/>
    <n v="4"/>
    <n v="55"/>
    <n v="220"/>
    <n v="0"/>
  </r>
  <r>
    <n v="186"/>
    <n v="1094"/>
    <n v="0.5"/>
    <x v="0"/>
    <d v="2024-01-17T00:00:00"/>
    <x v="2"/>
    <n v="18"/>
    <x v="185"/>
    <x v="3"/>
    <x v="13"/>
    <n v="1"/>
    <n v="55"/>
    <n v="55"/>
    <n v="1"/>
  </r>
  <r>
    <n v="187"/>
    <n v="1094"/>
    <n v="0.5"/>
    <x v="0"/>
    <d v="2024-01-17T00:00:00"/>
    <x v="2"/>
    <n v="15"/>
    <x v="186"/>
    <x v="3"/>
    <x v="14"/>
    <n v="2"/>
    <n v="40"/>
    <n v="80"/>
    <n v="0"/>
  </r>
  <r>
    <n v="188"/>
    <n v="1095"/>
    <n v="1"/>
    <x v="0"/>
    <d v="2024-01-17T00:00:00"/>
    <x v="2"/>
    <n v="11"/>
    <x v="187"/>
    <x v="3"/>
    <x v="18"/>
    <n v="4"/>
    <n v="45"/>
    <n v="180"/>
    <n v="1"/>
  </r>
  <r>
    <n v="189"/>
    <n v="1096"/>
    <n v="0.33333333333333331"/>
    <x v="0"/>
    <d v="2024-01-17T00:00:00"/>
    <x v="2"/>
    <n v="15"/>
    <x v="188"/>
    <x v="3"/>
    <x v="13"/>
    <n v="3"/>
    <n v="55"/>
    <n v="165"/>
    <n v="1"/>
  </r>
  <r>
    <n v="190"/>
    <n v="1096"/>
    <n v="0.33333333333333331"/>
    <x v="0"/>
    <d v="2024-01-17T00:00:00"/>
    <x v="2"/>
    <n v="16"/>
    <x v="189"/>
    <x v="2"/>
    <x v="10"/>
    <n v="4"/>
    <n v="30"/>
    <n v="120"/>
    <n v="0"/>
  </r>
  <r>
    <n v="191"/>
    <n v="1096"/>
    <n v="0.33333333333333331"/>
    <x v="0"/>
    <d v="2024-01-17T00:00:00"/>
    <x v="2"/>
    <n v="13"/>
    <x v="190"/>
    <x v="3"/>
    <x v="14"/>
    <n v="5"/>
    <n v="40"/>
    <n v="200"/>
    <n v="0"/>
  </r>
  <r>
    <n v="192"/>
    <n v="1097"/>
    <n v="0.33333333333333331"/>
    <x v="0"/>
    <d v="2024-01-17T00:00:00"/>
    <x v="2"/>
    <n v="9"/>
    <x v="191"/>
    <x v="0"/>
    <x v="16"/>
    <n v="2"/>
    <n v="5"/>
    <n v="10"/>
    <n v="1"/>
  </r>
  <r>
    <n v="193"/>
    <n v="1097"/>
    <n v="0.33333333333333331"/>
    <x v="0"/>
    <d v="2024-01-17T00:00:00"/>
    <x v="2"/>
    <n v="12"/>
    <x v="192"/>
    <x v="2"/>
    <x v="15"/>
    <n v="3"/>
    <n v="25"/>
    <n v="75"/>
    <n v="0"/>
  </r>
  <r>
    <n v="194"/>
    <n v="1097"/>
    <n v="0.33333333333333331"/>
    <x v="0"/>
    <d v="2024-01-17T00:00:00"/>
    <x v="2"/>
    <n v="16"/>
    <x v="193"/>
    <x v="3"/>
    <x v="17"/>
    <n v="5"/>
    <n v="60"/>
    <n v="300"/>
    <n v="0"/>
  </r>
  <r>
    <n v="195"/>
    <n v="1098"/>
    <n v="0.5"/>
    <x v="0"/>
    <d v="2024-01-17T00:00:00"/>
    <x v="2"/>
    <n v="17"/>
    <x v="194"/>
    <x v="3"/>
    <x v="13"/>
    <n v="4"/>
    <n v="55"/>
    <n v="220"/>
    <n v="1"/>
  </r>
  <r>
    <n v="196"/>
    <n v="1098"/>
    <n v="0.5"/>
    <x v="0"/>
    <d v="2024-01-17T00:00:00"/>
    <x v="2"/>
    <n v="18"/>
    <x v="195"/>
    <x v="2"/>
    <x v="11"/>
    <n v="1"/>
    <n v="35"/>
    <n v="35"/>
    <n v="0"/>
  </r>
  <r>
    <n v="197"/>
    <n v="1099"/>
    <n v="0.33333333333333331"/>
    <x v="0"/>
    <d v="2024-01-18T00:00:00"/>
    <x v="3"/>
    <n v="20"/>
    <x v="196"/>
    <x v="3"/>
    <x v="6"/>
    <n v="5"/>
    <n v="50"/>
    <n v="250"/>
    <n v="1"/>
  </r>
  <r>
    <n v="198"/>
    <n v="1099"/>
    <n v="0.33333333333333331"/>
    <x v="0"/>
    <d v="2024-01-18T00:00:00"/>
    <x v="3"/>
    <n v="11"/>
    <x v="197"/>
    <x v="0"/>
    <x v="0"/>
    <n v="1"/>
    <n v="20"/>
    <n v="20"/>
    <n v="0"/>
  </r>
  <r>
    <n v="199"/>
    <n v="1099"/>
    <n v="0.33333333333333331"/>
    <x v="0"/>
    <d v="2024-01-18T00:00:00"/>
    <x v="3"/>
    <n v="17"/>
    <x v="198"/>
    <x v="0"/>
    <x v="7"/>
    <n v="4"/>
    <n v="25"/>
    <n v="100"/>
    <n v="0"/>
  </r>
  <r>
    <n v="200"/>
    <n v="1100"/>
    <n v="0.5"/>
    <x v="0"/>
    <d v="2024-01-18T00:00:00"/>
    <x v="3"/>
    <n v="15"/>
    <x v="199"/>
    <x v="0"/>
    <x v="16"/>
    <n v="3"/>
    <n v="5"/>
    <n v="15"/>
    <n v="1"/>
  </r>
  <r>
    <n v="201"/>
    <n v="1100"/>
    <n v="0.5"/>
    <x v="0"/>
    <d v="2024-01-18T00:00:00"/>
    <x v="3"/>
    <n v="17"/>
    <x v="200"/>
    <x v="3"/>
    <x v="6"/>
    <n v="3"/>
    <n v="50"/>
    <n v="150"/>
    <n v="0"/>
  </r>
  <r>
    <n v="202"/>
    <n v="1101"/>
    <n v="1"/>
    <x v="0"/>
    <d v="2024-01-18T00:00:00"/>
    <x v="3"/>
    <n v="13"/>
    <x v="201"/>
    <x v="0"/>
    <x v="7"/>
    <n v="1"/>
    <n v="25"/>
    <n v="25"/>
    <n v="1"/>
  </r>
  <r>
    <n v="203"/>
    <n v="1102"/>
    <n v="0.33333333333333331"/>
    <x v="0"/>
    <d v="2024-01-19T00:00:00"/>
    <x v="4"/>
    <n v="16"/>
    <x v="202"/>
    <x v="2"/>
    <x v="10"/>
    <n v="3"/>
    <n v="30"/>
    <n v="90"/>
    <n v="1"/>
  </r>
  <r>
    <n v="204"/>
    <n v="1102"/>
    <n v="0.33333333333333331"/>
    <x v="0"/>
    <d v="2024-01-19T00:00:00"/>
    <x v="4"/>
    <n v="16"/>
    <x v="203"/>
    <x v="2"/>
    <x v="5"/>
    <n v="5"/>
    <n v="20"/>
    <n v="100"/>
    <n v="0"/>
  </r>
  <r>
    <n v="205"/>
    <n v="1102"/>
    <n v="0.33333333333333331"/>
    <x v="0"/>
    <d v="2024-01-19T00:00:00"/>
    <x v="4"/>
    <n v="10"/>
    <x v="204"/>
    <x v="2"/>
    <x v="15"/>
    <n v="5"/>
    <n v="25"/>
    <n v="125"/>
    <n v="0"/>
  </r>
  <r>
    <n v="206"/>
    <n v="1103"/>
    <n v="0.33333333333333331"/>
    <x v="0"/>
    <d v="2024-01-19T00:00:00"/>
    <x v="4"/>
    <n v="12"/>
    <x v="205"/>
    <x v="0"/>
    <x v="0"/>
    <n v="2"/>
    <n v="20"/>
    <n v="40"/>
    <n v="1"/>
  </r>
  <r>
    <n v="207"/>
    <n v="1103"/>
    <n v="0.33333333333333331"/>
    <x v="0"/>
    <d v="2024-01-19T00:00:00"/>
    <x v="4"/>
    <n v="13"/>
    <x v="206"/>
    <x v="3"/>
    <x v="6"/>
    <n v="5"/>
    <n v="50"/>
    <n v="250"/>
    <n v="0"/>
  </r>
  <r>
    <n v="208"/>
    <n v="1103"/>
    <n v="0.33333333333333331"/>
    <x v="0"/>
    <d v="2024-01-19T00:00:00"/>
    <x v="4"/>
    <n v="15"/>
    <x v="207"/>
    <x v="0"/>
    <x v="8"/>
    <n v="2"/>
    <n v="10"/>
    <n v="20"/>
    <n v="0"/>
  </r>
  <r>
    <n v="209"/>
    <n v="1104"/>
    <n v="0.33333333333333331"/>
    <x v="0"/>
    <d v="2024-01-19T00:00:00"/>
    <x v="4"/>
    <n v="9"/>
    <x v="208"/>
    <x v="3"/>
    <x v="6"/>
    <n v="1"/>
    <n v="50"/>
    <n v="50"/>
    <n v="1"/>
  </r>
  <r>
    <n v="210"/>
    <n v="1104"/>
    <n v="0.33333333333333331"/>
    <x v="0"/>
    <d v="2024-01-19T00:00:00"/>
    <x v="4"/>
    <n v="20"/>
    <x v="209"/>
    <x v="0"/>
    <x v="8"/>
    <n v="3"/>
    <n v="10"/>
    <n v="30"/>
    <n v="0"/>
  </r>
  <r>
    <n v="211"/>
    <n v="1104"/>
    <n v="0.33333333333333331"/>
    <x v="0"/>
    <d v="2024-01-19T00:00:00"/>
    <x v="4"/>
    <n v="14"/>
    <x v="210"/>
    <x v="1"/>
    <x v="2"/>
    <n v="3"/>
    <n v="680"/>
    <n v="2040"/>
    <n v="0"/>
  </r>
  <r>
    <n v="212"/>
    <n v="1105"/>
    <n v="1"/>
    <x v="0"/>
    <d v="2024-01-19T00:00:00"/>
    <x v="4"/>
    <n v="9"/>
    <x v="211"/>
    <x v="3"/>
    <x v="17"/>
    <n v="3"/>
    <n v="60"/>
    <n v="180"/>
    <n v="1"/>
  </r>
  <r>
    <n v="213"/>
    <n v="1106"/>
    <n v="0.5"/>
    <x v="0"/>
    <d v="2024-01-19T00:00:00"/>
    <x v="4"/>
    <n v="14"/>
    <x v="212"/>
    <x v="2"/>
    <x v="5"/>
    <n v="5"/>
    <n v="20"/>
    <n v="100"/>
    <n v="1"/>
  </r>
  <r>
    <n v="214"/>
    <n v="1106"/>
    <n v="0.5"/>
    <x v="0"/>
    <d v="2024-01-19T00:00:00"/>
    <x v="4"/>
    <n v="18"/>
    <x v="213"/>
    <x v="2"/>
    <x v="5"/>
    <n v="2"/>
    <n v="20"/>
    <n v="40"/>
    <n v="0"/>
  </r>
  <r>
    <n v="215"/>
    <n v="1107"/>
    <n v="0.5"/>
    <x v="0"/>
    <d v="2024-01-20T00:00:00"/>
    <x v="5"/>
    <n v="20"/>
    <x v="214"/>
    <x v="1"/>
    <x v="3"/>
    <n v="5"/>
    <n v="700"/>
    <n v="3500"/>
    <n v="1"/>
  </r>
  <r>
    <n v="216"/>
    <n v="1107"/>
    <n v="0.5"/>
    <x v="0"/>
    <d v="2024-01-20T00:00:00"/>
    <x v="5"/>
    <n v="14"/>
    <x v="79"/>
    <x v="3"/>
    <x v="13"/>
    <n v="5"/>
    <n v="55"/>
    <n v="275"/>
    <n v="0"/>
  </r>
  <r>
    <n v="217"/>
    <n v="1108"/>
    <n v="0.5"/>
    <x v="0"/>
    <d v="2024-01-20T00:00:00"/>
    <x v="5"/>
    <n v="11"/>
    <x v="215"/>
    <x v="1"/>
    <x v="12"/>
    <n v="1"/>
    <n v="1000"/>
    <n v="1000"/>
    <n v="1"/>
  </r>
  <r>
    <n v="218"/>
    <n v="1108"/>
    <n v="0.5"/>
    <x v="0"/>
    <d v="2024-01-20T00:00:00"/>
    <x v="5"/>
    <n v="16"/>
    <x v="216"/>
    <x v="3"/>
    <x v="13"/>
    <n v="1"/>
    <n v="55"/>
    <n v="55"/>
    <n v="0"/>
  </r>
  <r>
    <n v="219"/>
    <n v="1109"/>
    <n v="0.33333333333333331"/>
    <x v="0"/>
    <d v="2024-01-20T00:00:00"/>
    <x v="5"/>
    <n v="13"/>
    <x v="217"/>
    <x v="1"/>
    <x v="12"/>
    <n v="3"/>
    <n v="1000"/>
    <n v="3000"/>
    <n v="1"/>
  </r>
  <r>
    <n v="220"/>
    <n v="1109"/>
    <n v="0.33333333333333331"/>
    <x v="0"/>
    <d v="2024-01-20T00:00:00"/>
    <x v="5"/>
    <n v="11"/>
    <x v="218"/>
    <x v="3"/>
    <x v="18"/>
    <n v="2"/>
    <n v="45"/>
    <n v="90"/>
    <n v="0"/>
  </r>
  <r>
    <n v="221"/>
    <n v="1109"/>
    <n v="0.33333333333333331"/>
    <x v="0"/>
    <d v="2024-01-20T00:00:00"/>
    <x v="5"/>
    <n v="13"/>
    <x v="219"/>
    <x v="1"/>
    <x v="12"/>
    <n v="4"/>
    <n v="1000"/>
    <n v="4000"/>
    <n v="0"/>
  </r>
  <r>
    <n v="222"/>
    <n v="1110"/>
    <n v="0.33333333333333331"/>
    <x v="0"/>
    <d v="2024-01-21T00:00:00"/>
    <x v="6"/>
    <n v="18"/>
    <x v="220"/>
    <x v="3"/>
    <x v="13"/>
    <n v="3"/>
    <n v="55"/>
    <n v="165"/>
    <n v="1"/>
  </r>
  <r>
    <n v="223"/>
    <n v="1110"/>
    <n v="0.33333333333333331"/>
    <x v="0"/>
    <d v="2024-01-21T00:00:00"/>
    <x v="6"/>
    <n v="13"/>
    <x v="221"/>
    <x v="1"/>
    <x v="4"/>
    <n v="5"/>
    <n v="600"/>
    <n v="3000"/>
    <n v="0"/>
  </r>
  <r>
    <n v="224"/>
    <n v="1110"/>
    <n v="0.33333333333333331"/>
    <x v="0"/>
    <d v="2024-01-21T00:00:00"/>
    <x v="6"/>
    <n v="15"/>
    <x v="222"/>
    <x v="2"/>
    <x v="5"/>
    <n v="1"/>
    <n v="20"/>
    <n v="20"/>
    <n v="0"/>
  </r>
  <r>
    <n v="225"/>
    <n v="1111"/>
    <n v="0.33333333333333331"/>
    <x v="0"/>
    <d v="2024-01-21T00:00:00"/>
    <x v="6"/>
    <n v="9"/>
    <x v="223"/>
    <x v="3"/>
    <x v="18"/>
    <n v="1"/>
    <n v="45"/>
    <n v="45"/>
    <n v="1"/>
  </r>
  <r>
    <n v="226"/>
    <n v="1111"/>
    <n v="0.33333333333333331"/>
    <x v="0"/>
    <d v="2024-01-21T00:00:00"/>
    <x v="6"/>
    <n v="11"/>
    <x v="224"/>
    <x v="3"/>
    <x v="17"/>
    <n v="1"/>
    <n v="60"/>
    <n v="60"/>
    <n v="0"/>
  </r>
  <r>
    <n v="227"/>
    <n v="1111"/>
    <n v="0.33333333333333331"/>
    <x v="0"/>
    <d v="2024-01-21T00:00:00"/>
    <x v="6"/>
    <n v="12"/>
    <x v="225"/>
    <x v="1"/>
    <x v="2"/>
    <n v="2"/>
    <n v="680"/>
    <n v="1360"/>
    <n v="0"/>
  </r>
  <r>
    <n v="228"/>
    <n v="1112"/>
    <n v="0.5"/>
    <x v="0"/>
    <d v="2024-01-21T00:00:00"/>
    <x v="6"/>
    <n v="15"/>
    <x v="226"/>
    <x v="2"/>
    <x v="5"/>
    <n v="3"/>
    <n v="20"/>
    <n v="60"/>
    <n v="1"/>
  </r>
  <r>
    <n v="229"/>
    <n v="1112"/>
    <n v="0.5"/>
    <x v="0"/>
    <d v="2024-01-21T00:00:00"/>
    <x v="6"/>
    <n v="9"/>
    <x v="227"/>
    <x v="2"/>
    <x v="15"/>
    <n v="1"/>
    <n v="25"/>
    <n v="25"/>
    <n v="0"/>
  </r>
  <r>
    <n v="230"/>
    <n v="1113"/>
    <n v="0.5"/>
    <x v="0"/>
    <d v="2024-01-21T00:00:00"/>
    <x v="6"/>
    <n v="18"/>
    <x v="228"/>
    <x v="3"/>
    <x v="6"/>
    <n v="3"/>
    <n v="50"/>
    <n v="150"/>
    <n v="1"/>
  </r>
  <r>
    <n v="231"/>
    <n v="1113"/>
    <n v="0.5"/>
    <x v="0"/>
    <d v="2024-01-21T00:00:00"/>
    <x v="6"/>
    <n v="15"/>
    <x v="229"/>
    <x v="0"/>
    <x v="16"/>
    <n v="3"/>
    <n v="5"/>
    <n v="15"/>
    <n v="0"/>
  </r>
  <r>
    <n v="232"/>
    <n v="1114"/>
    <n v="1"/>
    <x v="0"/>
    <d v="2024-01-21T00:00:00"/>
    <x v="6"/>
    <n v="20"/>
    <x v="230"/>
    <x v="2"/>
    <x v="5"/>
    <n v="3"/>
    <n v="20"/>
    <n v="60"/>
    <n v="1"/>
  </r>
  <r>
    <n v="233"/>
    <n v="1115"/>
    <n v="0.5"/>
    <x v="0"/>
    <d v="2024-01-21T00:00:00"/>
    <x v="6"/>
    <n v="20"/>
    <x v="231"/>
    <x v="0"/>
    <x v="0"/>
    <n v="4"/>
    <n v="20"/>
    <n v="80"/>
    <n v="1"/>
  </r>
  <r>
    <n v="234"/>
    <n v="1115"/>
    <n v="0.5"/>
    <x v="0"/>
    <d v="2024-01-21T00:00:00"/>
    <x v="6"/>
    <n v="11"/>
    <x v="232"/>
    <x v="3"/>
    <x v="17"/>
    <n v="5"/>
    <n v="60"/>
    <n v="300"/>
    <n v="0"/>
  </r>
  <r>
    <n v="235"/>
    <n v="1116"/>
    <n v="1"/>
    <x v="0"/>
    <d v="2024-01-21T00:00:00"/>
    <x v="6"/>
    <n v="16"/>
    <x v="233"/>
    <x v="2"/>
    <x v="15"/>
    <n v="3"/>
    <n v="25"/>
    <n v="75"/>
    <n v="1"/>
  </r>
  <r>
    <n v="236"/>
    <n v="1117"/>
    <n v="0.5"/>
    <x v="0"/>
    <d v="2024-01-21T00:00:00"/>
    <x v="6"/>
    <n v="15"/>
    <x v="234"/>
    <x v="0"/>
    <x v="7"/>
    <n v="1"/>
    <n v="25"/>
    <n v="25"/>
    <n v="1"/>
  </r>
  <r>
    <n v="237"/>
    <n v="1117"/>
    <n v="0.5"/>
    <x v="0"/>
    <d v="2024-01-21T00:00:00"/>
    <x v="6"/>
    <n v="14"/>
    <x v="235"/>
    <x v="1"/>
    <x v="2"/>
    <n v="4"/>
    <n v="680"/>
    <n v="2720"/>
    <n v="0"/>
  </r>
  <r>
    <n v="238"/>
    <n v="1118"/>
    <n v="0.5"/>
    <x v="0"/>
    <d v="2024-01-21T00:00:00"/>
    <x v="6"/>
    <n v="12"/>
    <x v="236"/>
    <x v="1"/>
    <x v="4"/>
    <n v="4"/>
    <n v="600"/>
    <n v="2400"/>
    <n v="1"/>
  </r>
  <r>
    <n v="239"/>
    <n v="1118"/>
    <n v="0.5"/>
    <x v="0"/>
    <d v="2024-01-21T00:00:00"/>
    <x v="6"/>
    <n v="15"/>
    <x v="237"/>
    <x v="1"/>
    <x v="3"/>
    <n v="5"/>
    <n v="700"/>
    <n v="3500"/>
    <n v="0"/>
  </r>
  <r>
    <n v="240"/>
    <n v="1119"/>
    <n v="1"/>
    <x v="0"/>
    <d v="2024-01-22T00:00:00"/>
    <x v="0"/>
    <n v="15"/>
    <x v="238"/>
    <x v="0"/>
    <x v="7"/>
    <n v="5"/>
    <n v="25"/>
    <n v="125"/>
    <n v="1"/>
  </r>
  <r>
    <n v="241"/>
    <n v="1120"/>
    <n v="0.5"/>
    <x v="0"/>
    <d v="2024-01-22T00:00:00"/>
    <x v="0"/>
    <n v="13"/>
    <x v="239"/>
    <x v="3"/>
    <x v="18"/>
    <n v="2"/>
    <n v="45"/>
    <n v="90"/>
    <n v="1"/>
  </r>
  <r>
    <n v="242"/>
    <n v="1120"/>
    <n v="0.5"/>
    <x v="0"/>
    <d v="2024-01-22T00:00:00"/>
    <x v="0"/>
    <n v="13"/>
    <x v="240"/>
    <x v="2"/>
    <x v="15"/>
    <n v="2"/>
    <n v="25"/>
    <n v="50"/>
    <n v="0"/>
  </r>
  <r>
    <n v="243"/>
    <n v="1121"/>
    <n v="0.5"/>
    <x v="0"/>
    <d v="2024-01-22T00:00:00"/>
    <x v="0"/>
    <n v="10"/>
    <x v="241"/>
    <x v="3"/>
    <x v="18"/>
    <n v="3"/>
    <n v="45"/>
    <n v="135"/>
    <n v="1"/>
  </r>
  <r>
    <n v="244"/>
    <n v="1121"/>
    <n v="0.5"/>
    <x v="0"/>
    <d v="2024-01-22T00:00:00"/>
    <x v="0"/>
    <n v="16"/>
    <x v="242"/>
    <x v="3"/>
    <x v="18"/>
    <n v="2"/>
    <n v="45"/>
    <n v="90"/>
    <n v="0"/>
  </r>
  <r>
    <n v="245"/>
    <n v="1122"/>
    <n v="0.5"/>
    <x v="0"/>
    <d v="2024-01-22T00:00:00"/>
    <x v="0"/>
    <n v="10"/>
    <x v="243"/>
    <x v="2"/>
    <x v="11"/>
    <n v="3"/>
    <n v="35"/>
    <n v="105"/>
    <n v="1"/>
  </r>
  <r>
    <n v="246"/>
    <n v="1122"/>
    <n v="0.5"/>
    <x v="0"/>
    <d v="2024-01-22T00:00:00"/>
    <x v="0"/>
    <n v="15"/>
    <x v="244"/>
    <x v="3"/>
    <x v="6"/>
    <n v="2"/>
    <n v="50"/>
    <n v="100"/>
    <n v="0"/>
  </r>
  <r>
    <n v="247"/>
    <n v="1123"/>
    <n v="1"/>
    <x v="0"/>
    <d v="2024-01-23T00:00:00"/>
    <x v="1"/>
    <n v="15"/>
    <x v="245"/>
    <x v="2"/>
    <x v="11"/>
    <n v="4"/>
    <n v="35"/>
    <n v="140"/>
    <n v="1"/>
  </r>
  <r>
    <n v="248"/>
    <n v="1124"/>
    <n v="1"/>
    <x v="0"/>
    <d v="2024-01-23T00:00:00"/>
    <x v="1"/>
    <n v="20"/>
    <x v="246"/>
    <x v="1"/>
    <x v="1"/>
    <n v="3"/>
    <n v="650"/>
    <n v="1950"/>
    <n v="1"/>
  </r>
  <r>
    <n v="249"/>
    <n v="1125"/>
    <n v="1"/>
    <x v="0"/>
    <d v="2024-01-23T00:00:00"/>
    <x v="1"/>
    <n v="15"/>
    <x v="247"/>
    <x v="1"/>
    <x v="12"/>
    <n v="1"/>
    <n v="1000"/>
    <n v="1000"/>
    <n v="1"/>
  </r>
  <r>
    <n v="250"/>
    <n v="1126"/>
    <n v="0.33333333333333331"/>
    <x v="0"/>
    <d v="2024-01-23T00:00:00"/>
    <x v="1"/>
    <n v="20"/>
    <x v="248"/>
    <x v="1"/>
    <x v="3"/>
    <n v="5"/>
    <n v="700"/>
    <n v="3500"/>
    <n v="1"/>
  </r>
  <r>
    <n v="251"/>
    <n v="1126"/>
    <n v="0.33333333333333331"/>
    <x v="0"/>
    <d v="2024-01-23T00:00:00"/>
    <x v="1"/>
    <n v="17"/>
    <x v="249"/>
    <x v="0"/>
    <x v="7"/>
    <n v="1"/>
    <n v="25"/>
    <n v="25"/>
    <n v="0"/>
  </r>
  <r>
    <n v="252"/>
    <n v="1126"/>
    <n v="0.33333333333333331"/>
    <x v="0"/>
    <d v="2024-01-23T00:00:00"/>
    <x v="1"/>
    <n v="16"/>
    <x v="250"/>
    <x v="2"/>
    <x v="5"/>
    <n v="5"/>
    <n v="20"/>
    <n v="100"/>
    <n v="0"/>
  </r>
  <r>
    <n v="253"/>
    <n v="1127"/>
    <n v="0.5"/>
    <x v="0"/>
    <d v="2024-01-24T00:00:00"/>
    <x v="2"/>
    <n v="9"/>
    <x v="251"/>
    <x v="2"/>
    <x v="5"/>
    <n v="4"/>
    <n v="20"/>
    <n v="80"/>
    <n v="1"/>
  </r>
  <r>
    <n v="254"/>
    <n v="1127"/>
    <n v="0.5"/>
    <x v="0"/>
    <d v="2024-01-24T00:00:00"/>
    <x v="2"/>
    <n v="13"/>
    <x v="252"/>
    <x v="2"/>
    <x v="15"/>
    <n v="2"/>
    <n v="25"/>
    <n v="50"/>
    <n v="0"/>
  </r>
  <r>
    <n v="255"/>
    <n v="1128"/>
    <n v="0.5"/>
    <x v="0"/>
    <d v="2024-01-24T00:00:00"/>
    <x v="2"/>
    <n v="16"/>
    <x v="253"/>
    <x v="2"/>
    <x v="15"/>
    <n v="2"/>
    <n v="25"/>
    <n v="50"/>
    <n v="1"/>
  </r>
  <r>
    <n v="256"/>
    <n v="1128"/>
    <n v="0.5"/>
    <x v="0"/>
    <d v="2024-01-24T00:00:00"/>
    <x v="2"/>
    <n v="12"/>
    <x v="254"/>
    <x v="3"/>
    <x v="13"/>
    <n v="4"/>
    <n v="55"/>
    <n v="220"/>
    <n v="0"/>
  </r>
  <r>
    <n v="257"/>
    <n v="1129"/>
    <n v="0.33333333333333331"/>
    <x v="0"/>
    <d v="2024-01-24T00:00:00"/>
    <x v="2"/>
    <n v="16"/>
    <x v="255"/>
    <x v="1"/>
    <x v="2"/>
    <n v="4"/>
    <n v="680"/>
    <n v="2720"/>
    <n v="1"/>
  </r>
  <r>
    <n v="258"/>
    <n v="1129"/>
    <n v="0.33333333333333331"/>
    <x v="0"/>
    <d v="2024-01-24T00:00:00"/>
    <x v="2"/>
    <n v="16"/>
    <x v="256"/>
    <x v="0"/>
    <x v="7"/>
    <n v="1"/>
    <n v="25"/>
    <n v="25"/>
    <n v="0"/>
  </r>
  <r>
    <n v="259"/>
    <n v="1129"/>
    <n v="0.33333333333333331"/>
    <x v="0"/>
    <d v="2024-01-24T00:00:00"/>
    <x v="2"/>
    <n v="19"/>
    <x v="257"/>
    <x v="2"/>
    <x v="11"/>
    <n v="2"/>
    <n v="35"/>
    <n v="70"/>
    <n v="0"/>
  </r>
  <r>
    <n v="260"/>
    <n v="1130"/>
    <n v="0.5"/>
    <x v="0"/>
    <d v="2024-01-24T00:00:00"/>
    <x v="2"/>
    <n v="13"/>
    <x v="258"/>
    <x v="2"/>
    <x v="11"/>
    <n v="1"/>
    <n v="35"/>
    <n v="35"/>
    <n v="1"/>
  </r>
  <r>
    <n v="261"/>
    <n v="1130"/>
    <n v="0.5"/>
    <x v="0"/>
    <d v="2024-01-24T00:00:00"/>
    <x v="2"/>
    <n v="20"/>
    <x v="259"/>
    <x v="2"/>
    <x v="11"/>
    <n v="3"/>
    <n v="35"/>
    <n v="105"/>
    <n v="0"/>
  </r>
  <r>
    <n v="262"/>
    <n v="1131"/>
    <n v="0.5"/>
    <x v="0"/>
    <d v="2024-01-24T00:00:00"/>
    <x v="2"/>
    <n v="9"/>
    <x v="260"/>
    <x v="0"/>
    <x v="7"/>
    <n v="3"/>
    <n v="25"/>
    <n v="75"/>
    <n v="1"/>
  </r>
  <r>
    <n v="263"/>
    <n v="1131"/>
    <n v="0.5"/>
    <x v="0"/>
    <d v="2024-01-24T00:00:00"/>
    <x v="2"/>
    <n v="20"/>
    <x v="261"/>
    <x v="3"/>
    <x v="14"/>
    <n v="1"/>
    <n v="40"/>
    <n v="40"/>
    <n v="0"/>
  </r>
  <r>
    <n v="264"/>
    <n v="1132"/>
    <n v="1"/>
    <x v="0"/>
    <d v="2024-01-24T00:00:00"/>
    <x v="2"/>
    <n v="20"/>
    <x v="262"/>
    <x v="3"/>
    <x v="17"/>
    <n v="5"/>
    <n v="60"/>
    <n v="300"/>
    <n v="1"/>
  </r>
  <r>
    <n v="265"/>
    <n v="1133"/>
    <n v="0.5"/>
    <x v="0"/>
    <d v="2024-01-24T00:00:00"/>
    <x v="2"/>
    <n v="20"/>
    <x v="263"/>
    <x v="2"/>
    <x v="15"/>
    <n v="3"/>
    <n v="25"/>
    <n v="75"/>
    <n v="1"/>
  </r>
  <r>
    <n v="266"/>
    <n v="1133"/>
    <n v="0.5"/>
    <x v="0"/>
    <d v="2024-01-24T00:00:00"/>
    <x v="2"/>
    <n v="13"/>
    <x v="264"/>
    <x v="0"/>
    <x v="7"/>
    <n v="4"/>
    <n v="25"/>
    <n v="100"/>
    <n v="0"/>
  </r>
  <r>
    <n v="267"/>
    <n v="1134"/>
    <n v="1"/>
    <x v="0"/>
    <d v="2024-01-24T00:00:00"/>
    <x v="2"/>
    <n v="17"/>
    <x v="265"/>
    <x v="2"/>
    <x v="10"/>
    <n v="3"/>
    <n v="30"/>
    <n v="90"/>
    <n v="1"/>
  </r>
  <r>
    <n v="268"/>
    <n v="1135"/>
    <n v="0.33333333333333331"/>
    <x v="0"/>
    <d v="2024-01-25T00:00:00"/>
    <x v="3"/>
    <n v="10"/>
    <x v="266"/>
    <x v="1"/>
    <x v="2"/>
    <n v="5"/>
    <n v="680"/>
    <n v="3400"/>
    <n v="1"/>
  </r>
  <r>
    <n v="269"/>
    <n v="1135"/>
    <n v="0.33333333333333331"/>
    <x v="0"/>
    <d v="2024-01-25T00:00:00"/>
    <x v="3"/>
    <n v="16"/>
    <x v="267"/>
    <x v="3"/>
    <x v="18"/>
    <n v="1"/>
    <n v="45"/>
    <n v="45"/>
    <n v="0"/>
  </r>
  <r>
    <n v="270"/>
    <n v="1135"/>
    <n v="0.33333333333333331"/>
    <x v="0"/>
    <d v="2024-01-25T00:00:00"/>
    <x v="3"/>
    <n v="15"/>
    <x v="268"/>
    <x v="3"/>
    <x v="13"/>
    <n v="3"/>
    <n v="55"/>
    <n v="165"/>
    <n v="0"/>
  </r>
  <r>
    <n v="271"/>
    <n v="1136"/>
    <n v="0.5"/>
    <x v="0"/>
    <d v="2024-01-25T00:00:00"/>
    <x v="3"/>
    <n v="12"/>
    <x v="269"/>
    <x v="0"/>
    <x v="0"/>
    <n v="2"/>
    <n v="20"/>
    <n v="40"/>
    <n v="1"/>
  </r>
  <r>
    <n v="272"/>
    <n v="1136"/>
    <n v="0.5"/>
    <x v="0"/>
    <d v="2024-01-25T00:00:00"/>
    <x v="3"/>
    <n v="10"/>
    <x v="270"/>
    <x v="0"/>
    <x v="8"/>
    <n v="3"/>
    <n v="10"/>
    <n v="30"/>
    <n v="0"/>
  </r>
  <r>
    <n v="273"/>
    <n v="1137"/>
    <n v="1"/>
    <x v="0"/>
    <d v="2024-01-25T00:00:00"/>
    <x v="3"/>
    <n v="18"/>
    <x v="271"/>
    <x v="2"/>
    <x v="10"/>
    <n v="4"/>
    <n v="30"/>
    <n v="120"/>
    <n v="1"/>
  </r>
  <r>
    <n v="274"/>
    <n v="1138"/>
    <n v="0.5"/>
    <x v="0"/>
    <d v="2024-01-26T00:00:00"/>
    <x v="4"/>
    <n v="10"/>
    <x v="272"/>
    <x v="1"/>
    <x v="2"/>
    <n v="5"/>
    <n v="680"/>
    <n v="3400"/>
    <n v="1"/>
  </r>
  <r>
    <n v="275"/>
    <n v="1138"/>
    <n v="0.5"/>
    <x v="0"/>
    <d v="2024-01-26T00:00:00"/>
    <x v="4"/>
    <n v="18"/>
    <x v="273"/>
    <x v="3"/>
    <x v="13"/>
    <n v="5"/>
    <n v="55"/>
    <n v="275"/>
    <n v="0"/>
  </r>
  <r>
    <n v="276"/>
    <n v="1139"/>
    <n v="0.5"/>
    <x v="0"/>
    <d v="2024-01-26T00:00:00"/>
    <x v="4"/>
    <n v="20"/>
    <x v="274"/>
    <x v="2"/>
    <x v="15"/>
    <n v="5"/>
    <n v="25"/>
    <n v="125"/>
    <n v="1"/>
  </r>
  <r>
    <n v="277"/>
    <n v="1139"/>
    <n v="0.5"/>
    <x v="0"/>
    <d v="2024-01-26T00:00:00"/>
    <x v="4"/>
    <n v="13"/>
    <x v="275"/>
    <x v="0"/>
    <x v="0"/>
    <n v="1"/>
    <n v="20"/>
    <n v="20"/>
    <n v="0"/>
  </r>
  <r>
    <n v="278"/>
    <n v="1140"/>
    <n v="1"/>
    <x v="0"/>
    <d v="2024-01-26T00:00:00"/>
    <x v="4"/>
    <n v="15"/>
    <x v="276"/>
    <x v="2"/>
    <x v="10"/>
    <n v="4"/>
    <n v="30"/>
    <n v="120"/>
    <n v="1"/>
  </r>
  <r>
    <n v="279"/>
    <n v="1141"/>
    <n v="0.33333333333333331"/>
    <x v="0"/>
    <d v="2024-01-26T00:00:00"/>
    <x v="4"/>
    <n v="15"/>
    <x v="277"/>
    <x v="0"/>
    <x v="9"/>
    <n v="1"/>
    <n v="15"/>
    <n v="15"/>
    <n v="1"/>
  </r>
  <r>
    <n v="280"/>
    <n v="1141"/>
    <n v="0.33333333333333331"/>
    <x v="0"/>
    <d v="2024-01-26T00:00:00"/>
    <x v="4"/>
    <n v="12"/>
    <x v="278"/>
    <x v="1"/>
    <x v="12"/>
    <n v="3"/>
    <n v="1000"/>
    <n v="3000"/>
    <n v="0"/>
  </r>
  <r>
    <n v="281"/>
    <n v="1141"/>
    <n v="0.33333333333333331"/>
    <x v="0"/>
    <d v="2024-01-26T00:00:00"/>
    <x v="4"/>
    <n v="13"/>
    <x v="279"/>
    <x v="2"/>
    <x v="10"/>
    <n v="1"/>
    <n v="30"/>
    <n v="30"/>
    <n v="0"/>
  </r>
  <r>
    <n v="282"/>
    <n v="1142"/>
    <n v="1"/>
    <x v="0"/>
    <d v="2024-01-26T00:00:00"/>
    <x v="4"/>
    <n v="13"/>
    <x v="280"/>
    <x v="0"/>
    <x v="0"/>
    <n v="4"/>
    <n v="20"/>
    <n v="80"/>
    <n v="1"/>
  </r>
  <r>
    <n v="283"/>
    <n v="1143"/>
    <n v="0.5"/>
    <x v="0"/>
    <d v="2024-01-27T00:00:00"/>
    <x v="5"/>
    <n v="13"/>
    <x v="281"/>
    <x v="1"/>
    <x v="4"/>
    <n v="2"/>
    <n v="600"/>
    <n v="1200"/>
    <n v="1"/>
  </r>
  <r>
    <n v="284"/>
    <n v="1143"/>
    <n v="0.5"/>
    <x v="0"/>
    <d v="2024-01-27T00:00:00"/>
    <x v="5"/>
    <n v="10"/>
    <x v="282"/>
    <x v="3"/>
    <x v="18"/>
    <n v="4"/>
    <n v="45"/>
    <n v="180"/>
    <n v="0"/>
  </r>
  <r>
    <n v="285"/>
    <n v="1144"/>
    <n v="0.33333333333333331"/>
    <x v="0"/>
    <d v="2024-01-27T00:00:00"/>
    <x v="5"/>
    <n v="20"/>
    <x v="283"/>
    <x v="3"/>
    <x v="14"/>
    <n v="5"/>
    <n v="40"/>
    <n v="200"/>
    <n v="1"/>
  </r>
  <r>
    <n v="286"/>
    <n v="1144"/>
    <n v="0.33333333333333331"/>
    <x v="0"/>
    <d v="2024-01-27T00:00:00"/>
    <x v="5"/>
    <n v="14"/>
    <x v="284"/>
    <x v="1"/>
    <x v="3"/>
    <n v="3"/>
    <n v="700"/>
    <n v="2100"/>
    <n v="0"/>
  </r>
  <r>
    <n v="287"/>
    <n v="1144"/>
    <n v="0.33333333333333331"/>
    <x v="0"/>
    <d v="2024-01-27T00:00:00"/>
    <x v="5"/>
    <n v="12"/>
    <x v="285"/>
    <x v="0"/>
    <x v="0"/>
    <n v="4"/>
    <n v="20"/>
    <n v="80"/>
    <n v="0"/>
  </r>
  <r>
    <n v="288"/>
    <n v="1145"/>
    <n v="1"/>
    <x v="0"/>
    <d v="2024-01-27T00:00:00"/>
    <x v="5"/>
    <n v="10"/>
    <x v="286"/>
    <x v="1"/>
    <x v="1"/>
    <n v="4"/>
    <n v="650"/>
    <n v="2600"/>
    <n v="1"/>
  </r>
  <r>
    <n v="289"/>
    <n v="1146"/>
    <n v="0.33333333333333331"/>
    <x v="0"/>
    <d v="2024-01-27T00:00:00"/>
    <x v="5"/>
    <n v="11"/>
    <x v="287"/>
    <x v="1"/>
    <x v="2"/>
    <n v="5"/>
    <n v="680"/>
    <n v="3400"/>
    <n v="1"/>
  </r>
  <r>
    <n v="290"/>
    <n v="1146"/>
    <n v="0.33333333333333331"/>
    <x v="0"/>
    <d v="2024-01-27T00:00:00"/>
    <x v="5"/>
    <n v="12"/>
    <x v="288"/>
    <x v="1"/>
    <x v="2"/>
    <n v="4"/>
    <n v="680"/>
    <n v="2720"/>
    <n v="0"/>
  </r>
  <r>
    <n v="291"/>
    <n v="1146"/>
    <n v="0.33333333333333331"/>
    <x v="0"/>
    <d v="2024-01-27T00:00:00"/>
    <x v="5"/>
    <n v="11"/>
    <x v="289"/>
    <x v="0"/>
    <x v="0"/>
    <n v="1"/>
    <n v="20"/>
    <n v="20"/>
    <n v="0"/>
  </r>
  <r>
    <n v="292"/>
    <n v="1147"/>
    <n v="1"/>
    <x v="0"/>
    <d v="2024-01-27T00:00:00"/>
    <x v="5"/>
    <n v="18"/>
    <x v="290"/>
    <x v="2"/>
    <x v="15"/>
    <n v="4"/>
    <n v="25"/>
    <n v="100"/>
    <n v="1"/>
  </r>
  <r>
    <n v="293"/>
    <n v="1148"/>
    <n v="1"/>
    <x v="0"/>
    <d v="2024-01-27T00:00:00"/>
    <x v="5"/>
    <n v="12"/>
    <x v="291"/>
    <x v="0"/>
    <x v="7"/>
    <n v="2"/>
    <n v="25"/>
    <n v="50"/>
    <n v="1"/>
  </r>
  <r>
    <n v="294"/>
    <n v="1149"/>
    <n v="1"/>
    <x v="0"/>
    <d v="2024-01-27T00:00:00"/>
    <x v="5"/>
    <n v="19"/>
    <x v="292"/>
    <x v="1"/>
    <x v="2"/>
    <n v="5"/>
    <n v="680"/>
    <n v="3400"/>
    <n v="1"/>
  </r>
  <r>
    <n v="295"/>
    <n v="1150"/>
    <n v="0.33333333333333331"/>
    <x v="0"/>
    <d v="2024-01-27T00:00:00"/>
    <x v="5"/>
    <n v="20"/>
    <x v="293"/>
    <x v="1"/>
    <x v="2"/>
    <n v="1"/>
    <n v="680"/>
    <n v="680"/>
    <n v="1"/>
  </r>
  <r>
    <n v="296"/>
    <n v="1150"/>
    <n v="0.33333333333333331"/>
    <x v="0"/>
    <d v="2024-01-27T00:00:00"/>
    <x v="5"/>
    <n v="19"/>
    <x v="294"/>
    <x v="0"/>
    <x v="16"/>
    <n v="3"/>
    <n v="5"/>
    <n v="15"/>
    <n v="0"/>
  </r>
  <r>
    <n v="297"/>
    <n v="1150"/>
    <n v="0.33333333333333331"/>
    <x v="0"/>
    <d v="2024-01-27T00:00:00"/>
    <x v="5"/>
    <n v="10"/>
    <x v="295"/>
    <x v="3"/>
    <x v="17"/>
    <n v="2"/>
    <n v="60"/>
    <n v="120"/>
    <n v="0"/>
  </r>
  <r>
    <n v="298"/>
    <n v="1151"/>
    <n v="1"/>
    <x v="0"/>
    <d v="2024-01-27T00:00:00"/>
    <x v="5"/>
    <n v="15"/>
    <x v="296"/>
    <x v="3"/>
    <x v="6"/>
    <n v="3"/>
    <n v="50"/>
    <n v="150"/>
    <n v="1"/>
  </r>
  <r>
    <n v="299"/>
    <n v="1152"/>
    <n v="1"/>
    <x v="0"/>
    <d v="2024-01-27T00:00:00"/>
    <x v="5"/>
    <n v="14"/>
    <x v="297"/>
    <x v="1"/>
    <x v="1"/>
    <n v="2"/>
    <n v="650"/>
    <n v="1300"/>
    <n v="1"/>
  </r>
  <r>
    <n v="300"/>
    <n v="1153"/>
    <n v="1"/>
    <x v="0"/>
    <d v="2024-01-28T00:00:00"/>
    <x v="6"/>
    <n v="18"/>
    <x v="298"/>
    <x v="1"/>
    <x v="2"/>
    <n v="3"/>
    <n v="680"/>
    <n v="2040"/>
    <n v="1"/>
  </r>
  <r>
    <n v="301"/>
    <n v="1154"/>
    <n v="1"/>
    <x v="0"/>
    <d v="2024-01-28T00:00:00"/>
    <x v="6"/>
    <n v="9"/>
    <x v="299"/>
    <x v="3"/>
    <x v="18"/>
    <n v="4"/>
    <n v="45"/>
    <n v="180"/>
    <n v="1"/>
  </r>
  <r>
    <n v="302"/>
    <n v="1155"/>
    <n v="1"/>
    <x v="0"/>
    <d v="2024-01-28T00:00:00"/>
    <x v="6"/>
    <n v="16"/>
    <x v="300"/>
    <x v="2"/>
    <x v="15"/>
    <n v="5"/>
    <n v="25"/>
    <n v="125"/>
    <n v="1"/>
  </r>
  <r>
    <n v="303"/>
    <n v="1156"/>
    <n v="0.5"/>
    <x v="0"/>
    <d v="2024-01-28T00:00:00"/>
    <x v="6"/>
    <n v="20"/>
    <x v="301"/>
    <x v="1"/>
    <x v="2"/>
    <n v="3"/>
    <n v="680"/>
    <n v="2040"/>
    <n v="1"/>
  </r>
  <r>
    <n v="304"/>
    <n v="1156"/>
    <n v="0.5"/>
    <x v="0"/>
    <d v="2024-01-28T00:00:00"/>
    <x v="6"/>
    <n v="16"/>
    <x v="302"/>
    <x v="3"/>
    <x v="13"/>
    <n v="1"/>
    <n v="55"/>
    <n v="55"/>
    <n v="0"/>
  </r>
  <r>
    <n v="305"/>
    <n v="1157"/>
    <n v="0.33333333333333331"/>
    <x v="0"/>
    <d v="2024-01-28T00:00:00"/>
    <x v="6"/>
    <n v="9"/>
    <x v="303"/>
    <x v="0"/>
    <x v="7"/>
    <n v="1"/>
    <n v="25"/>
    <n v="25"/>
    <n v="1"/>
  </r>
  <r>
    <n v="306"/>
    <n v="1157"/>
    <n v="0.33333333333333331"/>
    <x v="0"/>
    <d v="2024-01-28T00:00:00"/>
    <x v="6"/>
    <n v="18"/>
    <x v="304"/>
    <x v="2"/>
    <x v="10"/>
    <n v="5"/>
    <n v="30"/>
    <n v="150"/>
    <n v="0"/>
  </r>
  <r>
    <n v="307"/>
    <n v="1157"/>
    <n v="0.33333333333333331"/>
    <x v="0"/>
    <d v="2024-01-28T00:00:00"/>
    <x v="6"/>
    <n v="19"/>
    <x v="305"/>
    <x v="1"/>
    <x v="3"/>
    <n v="2"/>
    <n v="700"/>
    <n v="1400"/>
    <n v="0"/>
  </r>
  <r>
    <n v="308"/>
    <n v="1158"/>
    <n v="0.5"/>
    <x v="0"/>
    <d v="2024-01-29T00:00:00"/>
    <x v="0"/>
    <n v="15"/>
    <x v="306"/>
    <x v="1"/>
    <x v="2"/>
    <n v="1"/>
    <n v="680"/>
    <n v="680"/>
    <n v="1"/>
  </r>
  <r>
    <n v="309"/>
    <n v="1158"/>
    <n v="0.5"/>
    <x v="0"/>
    <d v="2024-01-29T00:00:00"/>
    <x v="0"/>
    <n v="12"/>
    <x v="236"/>
    <x v="0"/>
    <x v="0"/>
    <n v="4"/>
    <n v="20"/>
    <n v="80"/>
    <n v="0"/>
  </r>
  <r>
    <n v="310"/>
    <n v="1159"/>
    <n v="1"/>
    <x v="0"/>
    <d v="2024-01-29T00:00:00"/>
    <x v="0"/>
    <n v="20"/>
    <x v="307"/>
    <x v="2"/>
    <x v="10"/>
    <n v="1"/>
    <n v="30"/>
    <n v="30"/>
    <n v="1"/>
  </r>
  <r>
    <n v="311"/>
    <n v="1160"/>
    <n v="1"/>
    <x v="0"/>
    <d v="2024-01-29T00:00:00"/>
    <x v="0"/>
    <n v="11"/>
    <x v="308"/>
    <x v="3"/>
    <x v="6"/>
    <n v="1"/>
    <n v="50"/>
    <n v="50"/>
    <n v="1"/>
  </r>
  <r>
    <n v="312"/>
    <n v="1161"/>
    <n v="1"/>
    <x v="0"/>
    <d v="2024-01-29T00:00:00"/>
    <x v="0"/>
    <n v="15"/>
    <x v="309"/>
    <x v="2"/>
    <x v="11"/>
    <n v="2"/>
    <n v="35"/>
    <n v="70"/>
    <n v="1"/>
  </r>
  <r>
    <n v="313"/>
    <n v="1162"/>
    <n v="0.5"/>
    <x v="0"/>
    <d v="2024-01-29T00:00:00"/>
    <x v="0"/>
    <n v="10"/>
    <x v="310"/>
    <x v="3"/>
    <x v="13"/>
    <n v="5"/>
    <n v="55"/>
    <n v="275"/>
    <n v="1"/>
  </r>
  <r>
    <n v="314"/>
    <n v="1162"/>
    <n v="0.5"/>
    <x v="0"/>
    <d v="2024-01-29T00:00:00"/>
    <x v="0"/>
    <n v="9"/>
    <x v="311"/>
    <x v="0"/>
    <x v="9"/>
    <n v="3"/>
    <n v="15"/>
    <n v="45"/>
    <n v="0"/>
  </r>
  <r>
    <n v="315"/>
    <n v="1163"/>
    <n v="0.33333333333333331"/>
    <x v="0"/>
    <d v="2024-01-29T00:00:00"/>
    <x v="0"/>
    <n v="15"/>
    <x v="312"/>
    <x v="1"/>
    <x v="1"/>
    <n v="1"/>
    <n v="650"/>
    <n v="650"/>
    <n v="1"/>
  </r>
  <r>
    <n v="316"/>
    <n v="1163"/>
    <n v="0.33333333333333331"/>
    <x v="0"/>
    <d v="2024-01-29T00:00:00"/>
    <x v="0"/>
    <n v="13"/>
    <x v="313"/>
    <x v="1"/>
    <x v="12"/>
    <n v="1"/>
    <n v="1000"/>
    <n v="1000"/>
    <n v="0"/>
  </r>
  <r>
    <n v="317"/>
    <n v="1163"/>
    <n v="0.33333333333333331"/>
    <x v="0"/>
    <d v="2024-01-29T00:00:00"/>
    <x v="0"/>
    <n v="19"/>
    <x v="314"/>
    <x v="1"/>
    <x v="4"/>
    <n v="1"/>
    <n v="600"/>
    <n v="600"/>
    <n v="0"/>
  </r>
  <r>
    <n v="318"/>
    <n v="1164"/>
    <n v="0.33333333333333331"/>
    <x v="0"/>
    <d v="2024-01-30T00:00:00"/>
    <x v="1"/>
    <n v="13"/>
    <x v="315"/>
    <x v="3"/>
    <x v="13"/>
    <n v="1"/>
    <n v="55"/>
    <n v="55"/>
    <n v="1"/>
  </r>
  <r>
    <n v="319"/>
    <n v="1164"/>
    <n v="0.33333333333333331"/>
    <x v="0"/>
    <d v="2024-01-30T00:00:00"/>
    <x v="1"/>
    <n v="14"/>
    <x v="316"/>
    <x v="2"/>
    <x v="11"/>
    <n v="5"/>
    <n v="35"/>
    <n v="175"/>
    <n v="0"/>
  </r>
  <r>
    <n v="320"/>
    <n v="1164"/>
    <n v="0.33333333333333331"/>
    <x v="0"/>
    <d v="2024-01-30T00:00:00"/>
    <x v="1"/>
    <n v="15"/>
    <x v="317"/>
    <x v="3"/>
    <x v="6"/>
    <n v="3"/>
    <n v="50"/>
    <n v="150"/>
    <n v="0"/>
  </r>
  <r>
    <n v="321"/>
    <n v="1165"/>
    <n v="0.5"/>
    <x v="0"/>
    <d v="2024-01-30T00:00:00"/>
    <x v="1"/>
    <n v="11"/>
    <x v="318"/>
    <x v="2"/>
    <x v="11"/>
    <n v="5"/>
    <n v="35"/>
    <n v="175"/>
    <n v="1"/>
  </r>
  <r>
    <n v="322"/>
    <n v="1165"/>
    <n v="0.5"/>
    <x v="0"/>
    <d v="2024-01-30T00:00:00"/>
    <x v="1"/>
    <n v="12"/>
    <x v="319"/>
    <x v="0"/>
    <x v="16"/>
    <n v="4"/>
    <n v="5"/>
    <n v="20"/>
    <n v="0"/>
  </r>
  <r>
    <n v="323"/>
    <n v="1166"/>
    <n v="1"/>
    <x v="0"/>
    <d v="2024-01-30T00:00:00"/>
    <x v="1"/>
    <n v="15"/>
    <x v="320"/>
    <x v="2"/>
    <x v="11"/>
    <n v="3"/>
    <n v="35"/>
    <n v="105"/>
    <n v="1"/>
  </r>
  <r>
    <n v="324"/>
    <n v="1167"/>
    <n v="1"/>
    <x v="0"/>
    <d v="2024-01-30T00:00:00"/>
    <x v="1"/>
    <n v="17"/>
    <x v="321"/>
    <x v="1"/>
    <x v="4"/>
    <n v="5"/>
    <n v="600"/>
    <n v="3000"/>
    <n v="1"/>
  </r>
  <r>
    <n v="325"/>
    <n v="1168"/>
    <n v="0.5"/>
    <x v="0"/>
    <d v="2024-01-30T00:00:00"/>
    <x v="1"/>
    <n v="13"/>
    <x v="322"/>
    <x v="2"/>
    <x v="10"/>
    <n v="3"/>
    <n v="30"/>
    <n v="90"/>
    <n v="1"/>
  </r>
  <r>
    <n v="326"/>
    <n v="1168"/>
    <n v="0.5"/>
    <x v="0"/>
    <d v="2024-01-30T00:00:00"/>
    <x v="1"/>
    <n v="11"/>
    <x v="323"/>
    <x v="1"/>
    <x v="3"/>
    <n v="3"/>
    <n v="700"/>
    <n v="2100"/>
    <n v="0"/>
  </r>
  <r>
    <n v="327"/>
    <n v="1169"/>
    <n v="0.5"/>
    <x v="0"/>
    <d v="2024-01-30T00:00:00"/>
    <x v="1"/>
    <n v="10"/>
    <x v="324"/>
    <x v="2"/>
    <x v="5"/>
    <n v="2"/>
    <n v="20"/>
    <n v="40"/>
    <n v="1"/>
  </r>
  <r>
    <n v="328"/>
    <n v="1169"/>
    <n v="0.5"/>
    <x v="0"/>
    <d v="2024-01-30T00:00:00"/>
    <x v="1"/>
    <n v="9"/>
    <x v="325"/>
    <x v="1"/>
    <x v="1"/>
    <n v="5"/>
    <n v="650"/>
    <n v="3250"/>
    <n v="0"/>
  </r>
  <r>
    <n v="329"/>
    <n v="1170"/>
    <n v="0.33333333333333331"/>
    <x v="0"/>
    <d v="2024-01-31T00:00:00"/>
    <x v="2"/>
    <n v="18"/>
    <x v="326"/>
    <x v="2"/>
    <x v="5"/>
    <n v="5"/>
    <n v="20"/>
    <n v="100"/>
    <n v="1"/>
  </r>
  <r>
    <n v="330"/>
    <n v="1170"/>
    <n v="0.33333333333333331"/>
    <x v="0"/>
    <d v="2024-01-31T00:00:00"/>
    <x v="2"/>
    <n v="15"/>
    <x v="327"/>
    <x v="0"/>
    <x v="16"/>
    <n v="5"/>
    <n v="5"/>
    <n v="25"/>
    <n v="0"/>
  </r>
  <r>
    <n v="331"/>
    <n v="1170"/>
    <n v="0.33333333333333331"/>
    <x v="0"/>
    <d v="2024-01-31T00:00:00"/>
    <x v="2"/>
    <n v="20"/>
    <x v="328"/>
    <x v="0"/>
    <x v="7"/>
    <n v="3"/>
    <n v="25"/>
    <n v="75"/>
    <n v="0"/>
  </r>
  <r>
    <n v="332"/>
    <n v="1171"/>
    <n v="1"/>
    <x v="0"/>
    <d v="2024-01-31T00:00:00"/>
    <x v="2"/>
    <n v="15"/>
    <x v="329"/>
    <x v="1"/>
    <x v="2"/>
    <n v="4"/>
    <n v="680"/>
    <n v="2720"/>
    <n v="1"/>
  </r>
  <r>
    <n v="333"/>
    <n v="1172"/>
    <n v="1"/>
    <x v="0"/>
    <d v="2024-01-31T00:00:00"/>
    <x v="2"/>
    <n v="9"/>
    <x v="330"/>
    <x v="1"/>
    <x v="1"/>
    <n v="4"/>
    <n v="650"/>
    <n v="2600"/>
    <n v="1"/>
  </r>
  <r>
    <n v="334"/>
    <n v="1173"/>
    <n v="1"/>
    <x v="0"/>
    <d v="2024-01-31T00:00:00"/>
    <x v="2"/>
    <n v="20"/>
    <x v="331"/>
    <x v="2"/>
    <x v="5"/>
    <n v="3"/>
    <n v="20"/>
    <n v="60"/>
    <n v="1"/>
  </r>
  <r>
    <n v="335"/>
    <n v="1174"/>
    <n v="0.33333333333333331"/>
    <x v="0"/>
    <d v="2024-01-31T00:00:00"/>
    <x v="2"/>
    <n v="17"/>
    <x v="332"/>
    <x v="1"/>
    <x v="1"/>
    <n v="2"/>
    <n v="650"/>
    <n v="1300"/>
    <n v="1"/>
  </r>
  <r>
    <n v="336"/>
    <n v="1174"/>
    <n v="0.33333333333333331"/>
    <x v="0"/>
    <d v="2024-01-31T00:00:00"/>
    <x v="2"/>
    <n v="12"/>
    <x v="333"/>
    <x v="1"/>
    <x v="1"/>
    <n v="4"/>
    <n v="650"/>
    <n v="2600"/>
    <n v="0"/>
  </r>
  <r>
    <n v="337"/>
    <n v="1174"/>
    <n v="0.33333333333333331"/>
    <x v="0"/>
    <d v="2024-01-31T00:00:00"/>
    <x v="2"/>
    <n v="17"/>
    <x v="334"/>
    <x v="0"/>
    <x v="7"/>
    <n v="4"/>
    <n v="25"/>
    <n v="100"/>
    <n v="0"/>
  </r>
  <r>
    <n v="338"/>
    <n v="1175"/>
    <n v="0.5"/>
    <x v="0"/>
    <d v="2024-01-31T00:00:00"/>
    <x v="2"/>
    <n v="13"/>
    <x v="335"/>
    <x v="0"/>
    <x v="0"/>
    <n v="3"/>
    <n v="20"/>
    <n v="60"/>
    <n v="1"/>
  </r>
  <r>
    <n v="339"/>
    <n v="1175"/>
    <n v="0.5"/>
    <x v="0"/>
    <d v="2024-01-31T00:00:00"/>
    <x v="2"/>
    <n v="14"/>
    <x v="336"/>
    <x v="3"/>
    <x v="18"/>
    <n v="2"/>
    <n v="45"/>
    <n v="90"/>
    <n v="0"/>
  </r>
  <r>
    <n v="340"/>
    <n v="1176"/>
    <n v="0.5"/>
    <x v="0"/>
    <d v="2024-01-31T00:00:00"/>
    <x v="2"/>
    <n v="9"/>
    <x v="337"/>
    <x v="0"/>
    <x v="0"/>
    <n v="5"/>
    <n v="20"/>
    <n v="100"/>
    <n v="1"/>
  </r>
  <r>
    <n v="341"/>
    <n v="1176"/>
    <n v="0.5"/>
    <x v="0"/>
    <d v="2024-01-31T00:00:00"/>
    <x v="2"/>
    <n v="11"/>
    <x v="338"/>
    <x v="1"/>
    <x v="3"/>
    <n v="5"/>
    <n v="700"/>
    <n v="3500"/>
    <n v="0"/>
  </r>
  <r>
    <n v="342"/>
    <n v="1177"/>
    <n v="1"/>
    <x v="1"/>
    <d v="2024-02-01T00:00:00"/>
    <x v="3"/>
    <n v="16"/>
    <x v="339"/>
    <x v="0"/>
    <x v="0"/>
    <n v="5"/>
    <n v="20"/>
    <n v="100"/>
    <n v="1"/>
  </r>
  <r>
    <n v="343"/>
    <n v="1178"/>
    <n v="0.33333333333333331"/>
    <x v="1"/>
    <d v="2024-02-01T00:00:00"/>
    <x v="3"/>
    <n v="10"/>
    <x v="340"/>
    <x v="2"/>
    <x v="5"/>
    <n v="4"/>
    <n v="20"/>
    <n v="80"/>
    <n v="1"/>
  </r>
  <r>
    <n v="344"/>
    <n v="1178"/>
    <n v="0.33333333333333331"/>
    <x v="1"/>
    <d v="2024-02-01T00:00:00"/>
    <x v="3"/>
    <n v="14"/>
    <x v="341"/>
    <x v="1"/>
    <x v="4"/>
    <n v="4"/>
    <n v="600"/>
    <n v="2400"/>
    <n v="0"/>
  </r>
  <r>
    <n v="345"/>
    <n v="1178"/>
    <n v="0.33333333333333331"/>
    <x v="1"/>
    <d v="2024-02-01T00:00:00"/>
    <x v="3"/>
    <n v="19"/>
    <x v="342"/>
    <x v="0"/>
    <x v="0"/>
    <n v="1"/>
    <n v="20"/>
    <n v="20"/>
    <n v="0"/>
  </r>
  <r>
    <n v="346"/>
    <n v="1179"/>
    <n v="0.33333333333333331"/>
    <x v="1"/>
    <d v="2024-02-01T00:00:00"/>
    <x v="3"/>
    <n v="9"/>
    <x v="343"/>
    <x v="2"/>
    <x v="5"/>
    <n v="1"/>
    <n v="20"/>
    <n v="20"/>
    <n v="1"/>
  </r>
  <r>
    <n v="347"/>
    <n v="1179"/>
    <n v="0.33333333333333331"/>
    <x v="1"/>
    <d v="2024-02-01T00:00:00"/>
    <x v="3"/>
    <n v="15"/>
    <x v="344"/>
    <x v="2"/>
    <x v="15"/>
    <n v="2"/>
    <n v="25"/>
    <n v="50"/>
    <n v="0"/>
  </r>
  <r>
    <n v="348"/>
    <n v="1179"/>
    <n v="0.33333333333333331"/>
    <x v="1"/>
    <d v="2024-02-01T00:00:00"/>
    <x v="3"/>
    <n v="9"/>
    <x v="345"/>
    <x v="1"/>
    <x v="2"/>
    <n v="2"/>
    <n v="680"/>
    <n v="1360"/>
    <n v="0"/>
  </r>
  <r>
    <n v="349"/>
    <n v="1180"/>
    <n v="0.5"/>
    <x v="1"/>
    <d v="2024-02-01T00:00:00"/>
    <x v="3"/>
    <n v="12"/>
    <x v="346"/>
    <x v="2"/>
    <x v="11"/>
    <n v="3"/>
    <n v="35"/>
    <n v="105"/>
    <n v="1"/>
  </r>
  <r>
    <n v="350"/>
    <n v="1180"/>
    <n v="0.5"/>
    <x v="1"/>
    <d v="2024-02-01T00:00:00"/>
    <x v="3"/>
    <n v="16"/>
    <x v="347"/>
    <x v="2"/>
    <x v="11"/>
    <n v="4"/>
    <n v="35"/>
    <n v="140"/>
    <n v="0"/>
  </r>
  <r>
    <n v="351"/>
    <n v="1181"/>
    <n v="0.5"/>
    <x v="1"/>
    <d v="2024-02-01T00:00:00"/>
    <x v="3"/>
    <n v="10"/>
    <x v="348"/>
    <x v="0"/>
    <x v="9"/>
    <n v="2"/>
    <n v="15"/>
    <n v="30"/>
    <n v="1"/>
  </r>
  <r>
    <n v="352"/>
    <n v="1181"/>
    <n v="0.5"/>
    <x v="1"/>
    <d v="2024-02-01T00:00:00"/>
    <x v="3"/>
    <n v="17"/>
    <x v="349"/>
    <x v="3"/>
    <x v="17"/>
    <n v="3"/>
    <n v="60"/>
    <n v="180"/>
    <n v="0"/>
  </r>
  <r>
    <n v="353"/>
    <n v="1182"/>
    <n v="0.5"/>
    <x v="1"/>
    <d v="2024-02-01T00:00:00"/>
    <x v="3"/>
    <n v="18"/>
    <x v="350"/>
    <x v="1"/>
    <x v="2"/>
    <n v="5"/>
    <n v="680"/>
    <n v="3400"/>
    <n v="1"/>
  </r>
  <r>
    <n v="354"/>
    <n v="1182"/>
    <n v="0.5"/>
    <x v="1"/>
    <d v="2024-02-01T00:00:00"/>
    <x v="3"/>
    <n v="17"/>
    <x v="351"/>
    <x v="1"/>
    <x v="3"/>
    <n v="1"/>
    <n v="700"/>
    <n v="700"/>
    <n v="0"/>
  </r>
  <r>
    <n v="355"/>
    <n v="1183"/>
    <n v="0.33333333333333331"/>
    <x v="1"/>
    <d v="2024-02-02T00:00:00"/>
    <x v="4"/>
    <n v="16"/>
    <x v="352"/>
    <x v="2"/>
    <x v="15"/>
    <n v="2"/>
    <n v="25"/>
    <n v="50"/>
    <n v="1"/>
  </r>
  <r>
    <n v="356"/>
    <n v="1183"/>
    <n v="0.33333333333333331"/>
    <x v="1"/>
    <d v="2024-02-02T00:00:00"/>
    <x v="4"/>
    <n v="19"/>
    <x v="353"/>
    <x v="3"/>
    <x v="18"/>
    <n v="5"/>
    <n v="45"/>
    <n v="225"/>
    <n v="0"/>
  </r>
  <r>
    <n v="357"/>
    <n v="1183"/>
    <n v="0.33333333333333331"/>
    <x v="1"/>
    <d v="2024-02-02T00:00:00"/>
    <x v="4"/>
    <n v="10"/>
    <x v="354"/>
    <x v="3"/>
    <x v="6"/>
    <n v="4"/>
    <n v="50"/>
    <n v="200"/>
    <n v="0"/>
  </r>
  <r>
    <n v="358"/>
    <n v="1184"/>
    <n v="0.33333333333333331"/>
    <x v="1"/>
    <d v="2024-02-02T00:00:00"/>
    <x v="4"/>
    <n v="12"/>
    <x v="355"/>
    <x v="2"/>
    <x v="10"/>
    <n v="2"/>
    <n v="30"/>
    <n v="60"/>
    <n v="1"/>
  </r>
  <r>
    <n v="359"/>
    <n v="1184"/>
    <n v="0.33333333333333331"/>
    <x v="1"/>
    <d v="2024-02-02T00:00:00"/>
    <x v="4"/>
    <n v="20"/>
    <x v="356"/>
    <x v="0"/>
    <x v="0"/>
    <n v="4"/>
    <n v="20"/>
    <n v="80"/>
    <n v="0"/>
  </r>
  <r>
    <n v="360"/>
    <n v="1184"/>
    <n v="0.33333333333333331"/>
    <x v="1"/>
    <d v="2024-02-02T00:00:00"/>
    <x v="4"/>
    <n v="13"/>
    <x v="357"/>
    <x v="2"/>
    <x v="15"/>
    <n v="2"/>
    <n v="25"/>
    <n v="50"/>
    <n v="0"/>
  </r>
  <r>
    <n v="361"/>
    <n v="1185"/>
    <n v="0.5"/>
    <x v="1"/>
    <d v="2024-02-02T00:00:00"/>
    <x v="4"/>
    <n v="10"/>
    <x v="358"/>
    <x v="1"/>
    <x v="12"/>
    <n v="1"/>
    <n v="1000"/>
    <n v="1000"/>
    <n v="1"/>
  </r>
  <r>
    <n v="362"/>
    <n v="1185"/>
    <n v="0.5"/>
    <x v="1"/>
    <d v="2024-02-02T00:00:00"/>
    <x v="4"/>
    <n v="20"/>
    <x v="359"/>
    <x v="1"/>
    <x v="12"/>
    <n v="4"/>
    <n v="1000"/>
    <n v="4000"/>
    <n v="0"/>
  </r>
  <r>
    <n v="363"/>
    <n v="1186"/>
    <n v="0.33333333333333331"/>
    <x v="1"/>
    <d v="2024-02-02T00:00:00"/>
    <x v="4"/>
    <n v="14"/>
    <x v="360"/>
    <x v="2"/>
    <x v="10"/>
    <n v="5"/>
    <n v="30"/>
    <n v="150"/>
    <n v="1"/>
  </r>
  <r>
    <n v="364"/>
    <n v="1186"/>
    <n v="0.33333333333333331"/>
    <x v="1"/>
    <d v="2024-02-02T00:00:00"/>
    <x v="4"/>
    <n v="16"/>
    <x v="361"/>
    <x v="1"/>
    <x v="2"/>
    <n v="4"/>
    <n v="680"/>
    <n v="2720"/>
    <n v="0"/>
  </r>
  <r>
    <n v="365"/>
    <n v="1186"/>
    <n v="0.33333333333333331"/>
    <x v="1"/>
    <d v="2024-02-02T00:00:00"/>
    <x v="4"/>
    <n v="20"/>
    <x v="362"/>
    <x v="2"/>
    <x v="15"/>
    <n v="1"/>
    <n v="25"/>
    <n v="25"/>
    <n v="0"/>
  </r>
  <r>
    <n v="366"/>
    <n v="1187"/>
    <n v="0.33333333333333331"/>
    <x v="1"/>
    <d v="2024-02-03T00:00:00"/>
    <x v="5"/>
    <n v="11"/>
    <x v="363"/>
    <x v="0"/>
    <x v="8"/>
    <n v="4"/>
    <n v="10"/>
    <n v="40"/>
    <n v="1"/>
  </r>
  <r>
    <n v="367"/>
    <n v="1187"/>
    <n v="0.33333333333333331"/>
    <x v="1"/>
    <d v="2024-02-03T00:00:00"/>
    <x v="5"/>
    <n v="10"/>
    <x v="364"/>
    <x v="2"/>
    <x v="11"/>
    <n v="1"/>
    <n v="35"/>
    <n v="35"/>
    <n v="0"/>
  </r>
  <r>
    <n v="368"/>
    <n v="1187"/>
    <n v="0.33333333333333331"/>
    <x v="1"/>
    <d v="2024-02-03T00:00:00"/>
    <x v="5"/>
    <n v="17"/>
    <x v="365"/>
    <x v="0"/>
    <x v="8"/>
    <n v="2"/>
    <n v="10"/>
    <n v="20"/>
    <n v="0"/>
  </r>
  <r>
    <n v="369"/>
    <n v="1188"/>
    <n v="0.33333333333333331"/>
    <x v="1"/>
    <d v="2024-02-03T00:00:00"/>
    <x v="5"/>
    <n v="11"/>
    <x v="366"/>
    <x v="1"/>
    <x v="3"/>
    <n v="1"/>
    <n v="700"/>
    <n v="700"/>
    <n v="1"/>
  </r>
  <r>
    <n v="370"/>
    <n v="1188"/>
    <n v="0.33333333333333331"/>
    <x v="1"/>
    <d v="2024-02-03T00:00:00"/>
    <x v="5"/>
    <n v="14"/>
    <x v="367"/>
    <x v="0"/>
    <x v="8"/>
    <n v="2"/>
    <n v="10"/>
    <n v="20"/>
    <n v="0"/>
  </r>
  <r>
    <n v="371"/>
    <n v="1188"/>
    <n v="0.33333333333333331"/>
    <x v="1"/>
    <d v="2024-02-03T00:00:00"/>
    <x v="5"/>
    <n v="14"/>
    <x v="368"/>
    <x v="2"/>
    <x v="5"/>
    <n v="2"/>
    <n v="20"/>
    <n v="40"/>
    <n v="0"/>
  </r>
  <r>
    <n v="372"/>
    <n v="1189"/>
    <n v="1"/>
    <x v="1"/>
    <d v="2024-02-03T00:00:00"/>
    <x v="5"/>
    <n v="11"/>
    <x v="369"/>
    <x v="1"/>
    <x v="12"/>
    <n v="3"/>
    <n v="1000"/>
    <n v="3000"/>
    <n v="1"/>
  </r>
  <r>
    <n v="373"/>
    <n v="1190"/>
    <n v="0.5"/>
    <x v="1"/>
    <d v="2024-02-03T00:00:00"/>
    <x v="5"/>
    <n v="11"/>
    <x v="370"/>
    <x v="1"/>
    <x v="3"/>
    <n v="5"/>
    <n v="700"/>
    <n v="3500"/>
    <n v="1"/>
  </r>
  <r>
    <n v="374"/>
    <n v="1190"/>
    <n v="0.5"/>
    <x v="1"/>
    <d v="2024-02-03T00:00:00"/>
    <x v="5"/>
    <n v="15"/>
    <x v="371"/>
    <x v="2"/>
    <x v="11"/>
    <n v="3"/>
    <n v="35"/>
    <n v="105"/>
    <n v="0"/>
  </r>
  <r>
    <n v="375"/>
    <n v="1191"/>
    <n v="1"/>
    <x v="1"/>
    <d v="2024-02-03T00:00:00"/>
    <x v="5"/>
    <n v="17"/>
    <x v="372"/>
    <x v="2"/>
    <x v="11"/>
    <n v="5"/>
    <n v="35"/>
    <n v="175"/>
    <n v="1"/>
  </r>
  <r>
    <n v="376"/>
    <n v="1192"/>
    <n v="0.5"/>
    <x v="1"/>
    <d v="2024-02-03T00:00:00"/>
    <x v="5"/>
    <n v="19"/>
    <x v="373"/>
    <x v="3"/>
    <x v="18"/>
    <n v="2"/>
    <n v="45"/>
    <n v="90"/>
    <n v="1"/>
  </r>
  <r>
    <n v="377"/>
    <n v="1192"/>
    <n v="0.5"/>
    <x v="1"/>
    <d v="2024-02-03T00:00:00"/>
    <x v="5"/>
    <n v="16"/>
    <x v="374"/>
    <x v="0"/>
    <x v="9"/>
    <n v="2"/>
    <n v="15"/>
    <n v="30"/>
    <n v="0"/>
  </r>
  <r>
    <n v="378"/>
    <n v="1193"/>
    <n v="0.5"/>
    <x v="1"/>
    <d v="2024-02-04T00:00:00"/>
    <x v="6"/>
    <n v="10"/>
    <x v="375"/>
    <x v="1"/>
    <x v="4"/>
    <n v="5"/>
    <n v="600"/>
    <n v="3000"/>
    <n v="1"/>
  </r>
  <r>
    <n v="379"/>
    <n v="1193"/>
    <n v="0.5"/>
    <x v="1"/>
    <d v="2024-02-04T00:00:00"/>
    <x v="6"/>
    <n v="17"/>
    <x v="376"/>
    <x v="1"/>
    <x v="3"/>
    <n v="3"/>
    <n v="700"/>
    <n v="2100"/>
    <n v="0"/>
  </r>
  <r>
    <n v="380"/>
    <n v="1194"/>
    <n v="1"/>
    <x v="1"/>
    <d v="2024-02-04T00:00:00"/>
    <x v="6"/>
    <n v="11"/>
    <x v="377"/>
    <x v="0"/>
    <x v="8"/>
    <n v="3"/>
    <n v="10"/>
    <n v="30"/>
    <n v="1"/>
  </r>
  <r>
    <n v="381"/>
    <n v="1195"/>
    <n v="1"/>
    <x v="1"/>
    <d v="2024-02-04T00:00:00"/>
    <x v="6"/>
    <n v="10"/>
    <x v="378"/>
    <x v="1"/>
    <x v="12"/>
    <n v="5"/>
    <n v="1000"/>
    <n v="5000"/>
    <n v="1"/>
  </r>
  <r>
    <n v="382"/>
    <n v="1196"/>
    <n v="1"/>
    <x v="1"/>
    <d v="2024-02-04T00:00:00"/>
    <x v="6"/>
    <n v="15"/>
    <x v="63"/>
    <x v="1"/>
    <x v="2"/>
    <n v="5"/>
    <n v="680"/>
    <n v="3400"/>
    <n v="1"/>
  </r>
  <r>
    <n v="383"/>
    <n v="1197"/>
    <n v="0.5"/>
    <x v="1"/>
    <d v="2024-02-04T00:00:00"/>
    <x v="6"/>
    <n v="18"/>
    <x v="379"/>
    <x v="1"/>
    <x v="12"/>
    <n v="2"/>
    <n v="1000"/>
    <n v="2000"/>
    <n v="1"/>
  </r>
  <r>
    <n v="384"/>
    <n v="1197"/>
    <n v="0.5"/>
    <x v="1"/>
    <d v="2024-02-04T00:00:00"/>
    <x v="6"/>
    <n v="11"/>
    <x v="380"/>
    <x v="3"/>
    <x v="13"/>
    <n v="3"/>
    <n v="55"/>
    <n v="165"/>
    <n v="0"/>
  </r>
  <r>
    <n v="385"/>
    <n v="1198"/>
    <n v="1"/>
    <x v="1"/>
    <d v="2024-02-05T00:00:00"/>
    <x v="0"/>
    <n v="9"/>
    <x v="381"/>
    <x v="0"/>
    <x v="16"/>
    <n v="5"/>
    <n v="5"/>
    <n v="25"/>
    <n v="1"/>
  </r>
  <r>
    <n v="386"/>
    <n v="1199"/>
    <n v="0.5"/>
    <x v="1"/>
    <d v="2024-02-05T00:00:00"/>
    <x v="0"/>
    <n v="10"/>
    <x v="382"/>
    <x v="2"/>
    <x v="5"/>
    <n v="2"/>
    <n v="20"/>
    <n v="40"/>
    <n v="1"/>
  </r>
  <r>
    <n v="387"/>
    <n v="1199"/>
    <n v="0.5"/>
    <x v="1"/>
    <d v="2024-02-05T00:00:00"/>
    <x v="0"/>
    <n v="15"/>
    <x v="383"/>
    <x v="3"/>
    <x v="6"/>
    <n v="3"/>
    <n v="50"/>
    <n v="150"/>
    <n v="0"/>
  </r>
  <r>
    <n v="388"/>
    <n v="1200"/>
    <n v="0.5"/>
    <x v="1"/>
    <d v="2024-02-05T00:00:00"/>
    <x v="0"/>
    <n v="11"/>
    <x v="384"/>
    <x v="3"/>
    <x v="14"/>
    <n v="4"/>
    <n v="40"/>
    <n v="160"/>
    <n v="1"/>
  </r>
  <r>
    <n v="389"/>
    <n v="1200"/>
    <n v="0.5"/>
    <x v="1"/>
    <d v="2024-02-05T00:00:00"/>
    <x v="0"/>
    <n v="15"/>
    <x v="385"/>
    <x v="3"/>
    <x v="13"/>
    <n v="4"/>
    <n v="55"/>
    <n v="220"/>
    <n v="0"/>
  </r>
  <r>
    <n v="390"/>
    <n v="1201"/>
    <n v="0.5"/>
    <x v="1"/>
    <d v="2024-02-05T00:00:00"/>
    <x v="0"/>
    <n v="16"/>
    <x v="386"/>
    <x v="1"/>
    <x v="2"/>
    <n v="4"/>
    <n v="680"/>
    <n v="2720"/>
    <n v="1"/>
  </r>
  <r>
    <n v="391"/>
    <n v="1201"/>
    <n v="0.5"/>
    <x v="1"/>
    <d v="2024-02-05T00:00:00"/>
    <x v="0"/>
    <n v="16"/>
    <x v="387"/>
    <x v="3"/>
    <x v="14"/>
    <n v="1"/>
    <n v="40"/>
    <n v="40"/>
    <n v="0"/>
  </r>
  <r>
    <n v="392"/>
    <n v="1202"/>
    <n v="1"/>
    <x v="1"/>
    <d v="2024-02-05T00:00:00"/>
    <x v="0"/>
    <n v="14"/>
    <x v="388"/>
    <x v="1"/>
    <x v="3"/>
    <n v="4"/>
    <n v="700"/>
    <n v="2800"/>
    <n v="1"/>
  </r>
  <r>
    <n v="393"/>
    <n v="1203"/>
    <n v="0.33333333333333331"/>
    <x v="1"/>
    <d v="2024-02-05T00:00:00"/>
    <x v="0"/>
    <n v="17"/>
    <x v="389"/>
    <x v="3"/>
    <x v="17"/>
    <n v="4"/>
    <n v="60"/>
    <n v="240"/>
    <n v="1"/>
  </r>
  <r>
    <n v="394"/>
    <n v="1203"/>
    <n v="0.33333333333333331"/>
    <x v="1"/>
    <d v="2024-02-05T00:00:00"/>
    <x v="0"/>
    <n v="10"/>
    <x v="390"/>
    <x v="3"/>
    <x v="14"/>
    <n v="1"/>
    <n v="40"/>
    <n v="40"/>
    <n v="0"/>
  </r>
  <r>
    <n v="395"/>
    <n v="1203"/>
    <n v="0.33333333333333331"/>
    <x v="1"/>
    <d v="2024-02-05T00:00:00"/>
    <x v="0"/>
    <n v="20"/>
    <x v="391"/>
    <x v="0"/>
    <x v="8"/>
    <n v="3"/>
    <n v="10"/>
    <n v="30"/>
    <n v="0"/>
  </r>
  <r>
    <n v="396"/>
    <n v="1204"/>
    <n v="0.33333333333333331"/>
    <x v="1"/>
    <d v="2024-02-05T00:00:00"/>
    <x v="0"/>
    <n v="17"/>
    <x v="392"/>
    <x v="0"/>
    <x v="16"/>
    <n v="4"/>
    <n v="5"/>
    <n v="20"/>
    <n v="1"/>
  </r>
  <r>
    <n v="397"/>
    <n v="1204"/>
    <n v="0.33333333333333331"/>
    <x v="1"/>
    <d v="2024-02-05T00:00:00"/>
    <x v="0"/>
    <n v="10"/>
    <x v="393"/>
    <x v="2"/>
    <x v="5"/>
    <n v="5"/>
    <n v="20"/>
    <n v="100"/>
    <n v="0"/>
  </r>
  <r>
    <n v="398"/>
    <n v="1204"/>
    <n v="0.33333333333333331"/>
    <x v="1"/>
    <d v="2024-02-05T00:00:00"/>
    <x v="0"/>
    <n v="11"/>
    <x v="394"/>
    <x v="0"/>
    <x v="8"/>
    <n v="4"/>
    <n v="10"/>
    <n v="40"/>
    <n v="0"/>
  </r>
  <r>
    <n v="399"/>
    <n v="1205"/>
    <n v="1"/>
    <x v="1"/>
    <d v="2024-02-05T00:00:00"/>
    <x v="0"/>
    <n v="17"/>
    <x v="395"/>
    <x v="2"/>
    <x v="5"/>
    <n v="1"/>
    <n v="20"/>
    <n v="20"/>
    <n v="1"/>
  </r>
  <r>
    <n v="400"/>
    <n v="1206"/>
    <n v="1"/>
    <x v="1"/>
    <d v="2024-02-05T00:00:00"/>
    <x v="0"/>
    <n v="14"/>
    <x v="396"/>
    <x v="1"/>
    <x v="2"/>
    <n v="1"/>
    <n v="680"/>
    <n v="680"/>
    <n v="1"/>
  </r>
  <r>
    <n v="401"/>
    <n v="1207"/>
    <n v="1"/>
    <x v="1"/>
    <d v="2024-02-05T00:00:00"/>
    <x v="0"/>
    <n v="9"/>
    <x v="397"/>
    <x v="0"/>
    <x v="16"/>
    <n v="1"/>
    <n v="5"/>
    <n v="5"/>
    <n v="1"/>
  </r>
  <r>
    <n v="402"/>
    <n v="1208"/>
    <n v="0.33333333333333331"/>
    <x v="1"/>
    <d v="2024-02-06T00:00:00"/>
    <x v="1"/>
    <n v="9"/>
    <x v="398"/>
    <x v="0"/>
    <x v="8"/>
    <n v="3"/>
    <n v="10"/>
    <n v="30"/>
    <n v="1"/>
  </r>
  <r>
    <n v="403"/>
    <n v="1208"/>
    <n v="0.33333333333333331"/>
    <x v="1"/>
    <d v="2024-02-06T00:00:00"/>
    <x v="1"/>
    <n v="14"/>
    <x v="399"/>
    <x v="1"/>
    <x v="2"/>
    <n v="5"/>
    <n v="680"/>
    <n v="3400"/>
    <n v="0"/>
  </r>
  <r>
    <n v="404"/>
    <n v="1208"/>
    <n v="0.33333333333333331"/>
    <x v="1"/>
    <d v="2024-02-06T00:00:00"/>
    <x v="1"/>
    <n v="16"/>
    <x v="400"/>
    <x v="0"/>
    <x v="16"/>
    <n v="2"/>
    <n v="5"/>
    <n v="10"/>
    <n v="0"/>
  </r>
  <r>
    <n v="405"/>
    <n v="1209"/>
    <n v="0.33333333333333331"/>
    <x v="1"/>
    <d v="2024-02-06T00:00:00"/>
    <x v="1"/>
    <n v="15"/>
    <x v="401"/>
    <x v="2"/>
    <x v="10"/>
    <n v="3"/>
    <n v="30"/>
    <n v="90"/>
    <n v="1"/>
  </r>
  <r>
    <n v="406"/>
    <n v="1209"/>
    <n v="0.33333333333333331"/>
    <x v="1"/>
    <d v="2024-02-06T00:00:00"/>
    <x v="1"/>
    <n v="16"/>
    <x v="402"/>
    <x v="0"/>
    <x v="16"/>
    <n v="2"/>
    <n v="5"/>
    <n v="10"/>
    <n v="0"/>
  </r>
  <r>
    <n v="407"/>
    <n v="1209"/>
    <n v="0.33333333333333331"/>
    <x v="1"/>
    <d v="2024-02-06T00:00:00"/>
    <x v="1"/>
    <n v="17"/>
    <x v="403"/>
    <x v="3"/>
    <x v="6"/>
    <n v="4"/>
    <n v="50"/>
    <n v="200"/>
    <n v="0"/>
  </r>
  <r>
    <n v="408"/>
    <n v="1210"/>
    <n v="0.33333333333333331"/>
    <x v="1"/>
    <d v="2024-02-06T00:00:00"/>
    <x v="1"/>
    <n v="10"/>
    <x v="404"/>
    <x v="2"/>
    <x v="15"/>
    <n v="2"/>
    <n v="25"/>
    <n v="50"/>
    <n v="1"/>
  </r>
  <r>
    <n v="409"/>
    <n v="1210"/>
    <n v="0.33333333333333331"/>
    <x v="1"/>
    <d v="2024-02-06T00:00:00"/>
    <x v="1"/>
    <n v="10"/>
    <x v="405"/>
    <x v="1"/>
    <x v="2"/>
    <n v="1"/>
    <n v="680"/>
    <n v="680"/>
    <n v="0"/>
  </r>
  <r>
    <n v="410"/>
    <n v="1210"/>
    <n v="0.33333333333333331"/>
    <x v="1"/>
    <d v="2024-02-06T00:00:00"/>
    <x v="1"/>
    <n v="20"/>
    <x v="406"/>
    <x v="0"/>
    <x v="0"/>
    <n v="4"/>
    <n v="20"/>
    <n v="80"/>
    <n v="0"/>
  </r>
  <r>
    <n v="411"/>
    <n v="1211"/>
    <n v="1"/>
    <x v="1"/>
    <d v="2024-02-06T00:00:00"/>
    <x v="1"/>
    <n v="18"/>
    <x v="407"/>
    <x v="3"/>
    <x v="14"/>
    <n v="4"/>
    <n v="40"/>
    <n v="160"/>
    <n v="1"/>
  </r>
  <r>
    <n v="412"/>
    <n v="1212"/>
    <n v="1"/>
    <x v="1"/>
    <d v="2024-02-06T00:00:00"/>
    <x v="1"/>
    <n v="10"/>
    <x v="408"/>
    <x v="2"/>
    <x v="15"/>
    <n v="1"/>
    <n v="25"/>
    <n v="25"/>
    <n v="1"/>
  </r>
  <r>
    <n v="413"/>
    <n v="1213"/>
    <n v="1"/>
    <x v="1"/>
    <d v="2024-02-06T00:00:00"/>
    <x v="1"/>
    <n v="16"/>
    <x v="409"/>
    <x v="0"/>
    <x v="0"/>
    <n v="5"/>
    <n v="20"/>
    <n v="100"/>
    <n v="1"/>
  </r>
  <r>
    <n v="414"/>
    <n v="1214"/>
    <n v="1"/>
    <x v="1"/>
    <d v="2024-02-06T00:00:00"/>
    <x v="1"/>
    <n v="15"/>
    <x v="410"/>
    <x v="3"/>
    <x v="18"/>
    <n v="5"/>
    <n v="45"/>
    <n v="225"/>
    <n v="1"/>
  </r>
  <r>
    <n v="415"/>
    <n v="1215"/>
    <n v="1"/>
    <x v="1"/>
    <d v="2024-02-06T00:00:00"/>
    <x v="1"/>
    <n v="12"/>
    <x v="411"/>
    <x v="0"/>
    <x v="8"/>
    <n v="1"/>
    <n v="10"/>
    <n v="10"/>
    <n v="1"/>
  </r>
  <r>
    <n v="416"/>
    <n v="1216"/>
    <n v="0.5"/>
    <x v="1"/>
    <d v="2024-02-06T00:00:00"/>
    <x v="1"/>
    <n v="18"/>
    <x v="412"/>
    <x v="1"/>
    <x v="1"/>
    <n v="3"/>
    <n v="650"/>
    <n v="1950"/>
    <n v="1"/>
  </r>
  <r>
    <n v="417"/>
    <n v="1216"/>
    <n v="0.5"/>
    <x v="1"/>
    <d v="2024-02-06T00:00:00"/>
    <x v="1"/>
    <n v="19"/>
    <x v="413"/>
    <x v="1"/>
    <x v="12"/>
    <n v="2"/>
    <n v="1000"/>
    <n v="2000"/>
    <n v="0"/>
  </r>
  <r>
    <n v="418"/>
    <n v="1217"/>
    <n v="0.5"/>
    <x v="1"/>
    <d v="2024-02-06T00:00:00"/>
    <x v="1"/>
    <n v="17"/>
    <x v="414"/>
    <x v="1"/>
    <x v="2"/>
    <n v="5"/>
    <n v="680"/>
    <n v="3400"/>
    <n v="1"/>
  </r>
  <r>
    <n v="419"/>
    <n v="1217"/>
    <n v="0.5"/>
    <x v="1"/>
    <d v="2024-02-06T00:00:00"/>
    <x v="1"/>
    <n v="19"/>
    <x v="415"/>
    <x v="3"/>
    <x v="17"/>
    <n v="3"/>
    <n v="60"/>
    <n v="180"/>
    <n v="0"/>
  </r>
  <r>
    <n v="420"/>
    <n v="1218"/>
    <n v="0.33333333333333331"/>
    <x v="1"/>
    <d v="2024-02-07T00:00:00"/>
    <x v="2"/>
    <n v="12"/>
    <x v="416"/>
    <x v="2"/>
    <x v="10"/>
    <n v="2"/>
    <n v="30"/>
    <n v="60"/>
    <n v="1"/>
  </r>
  <r>
    <n v="421"/>
    <n v="1218"/>
    <n v="0.33333333333333331"/>
    <x v="1"/>
    <d v="2024-02-07T00:00:00"/>
    <x v="2"/>
    <n v="11"/>
    <x v="417"/>
    <x v="2"/>
    <x v="15"/>
    <n v="2"/>
    <n v="25"/>
    <n v="50"/>
    <n v="0"/>
  </r>
  <r>
    <n v="422"/>
    <n v="1218"/>
    <n v="0.33333333333333331"/>
    <x v="1"/>
    <d v="2024-02-07T00:00:00"/>
    <x v="2"/>
    <n v="11"/>
    <x v="418"/>
    <x v="3"/>
    <x v="6"/>
    <n v="5"/>
    <n v="50"/>
    <n v="250"/>
    <n v="0"/>
  </r>
  <r>
    <n v="423"/>
    <n v="1219"/>
    <n v="0.5"/>
    <x v="1"/>
    <d v="2024-02-07T00:00:00"/>
    <x v="2"/>
    <n v="12"/>
    <x v="419"/>
    <x v="1"/>
    <x v="3"/>
    <n v="1"/>
    <n v="700"/>
    <n v="700"/>
    <n v="1"/>
  </r>
  <r>
    <n v="424"/>
    <n v="1219"/>
    <n v="0.5"/>
    <x v="1"/>
    <d v="2024-02-07T00:00:00"/>
    <x v="2"/>
    <n v="14"/>
    <x v="420"/>
    <x v="2"/>
    <x v="10"/>
    <n v="3"/>
    <n v="30"/>
    <n v="90"/>
    <n v="0"/>
  </r>
  <r>
    <n v="425"/>
    <n v="1220"/>
    <n v="0.5"/>
    <x v="1"/>
    <d v="2024-02-07T00:00:00"/>
    <x v="2"/>
    <n v="16"/>
    <x v="421"/>
    <x v="0"/>
    <x v="0"/>
    <n v="3"/>
    <n v="20"/>
    <n v="60"/>
    <n v="1"/>
  </r>
  <r>
    <n v="426"/>
    <n v="1220"/>
    <n v="0.5"/>
    <x v="1"/>
    <d v="2024-02-07T00:00:00"/>
    <x v="2"/>
    <n v="10"/>
    <x v="422"/>
    <x v="3"/>
    <x v="6"/>
    <n v="3"/>
    <n v="50"/>
    <n v="150"/>
    <n v="0"/>
  </r>
  <r>
    <n v="427"/>
    <n v="1221"/>
    <n v="0.5"/>
    <x v="1"/>
    <d v="2024-02-07T00:00:00"/>
    <x v="2"/>
    <n v="11"/>
    <x v="423"/>
    <x v="0"/>
    <x v="7"/>
    <n v="1"/>
    <n v="25"/>
    <n v="25"/>
    <n v="1"/>
  </r>
  <r>
    <n v="428"/>
    <n v="1221"/>
    <n v="0.5"/>
    <x v="1"/>
    <d v="2024-02-07T00:00:00"/>
    <x v="2"/>
    <n v="10"/>
    <x v="424"/>
    <x v="1"/>
    <x v="12"/>
    <n v="5"/>
    <n v="1000"/>
    <n v="5000"/>
    <n v="0"/>
  </r>
  <r>
    <n v="429"/>
    <n v="1222"/>
    <n v="1"/>
    <x v="1"/>
    <d v="2024-02-08T00:00:00"/>
    <x v="3"/>
    <n v="17"/>
    <x v="425"/>
    <x v="2"/>
    <x v="10"/>
    <n v="4"/>
    <n v="30"/>
    <n v="120"/>
    <n v="1"/>
  </r>
  <r>
    <n v="430"/>
    <n v="1223"/>
    <n v="0.33333333333333331"/>
    <x v="1"/>
    <d v="2024-02-08T00:00:00"/>
    <x v="3"/>
    <n v="20"/>
    <x v="426"/>
    <x v="2"/>
    <x v="11"/>
    <n v="3"/>
    <n v="35"/>
    <n v="105"/>
    <n v="1"/>
  </r>
  <r>
    <n v="431"/>
    <n v="1223"/>
    <n v="0.33333333333333331"/>
    <x v="1"/>
    <d v="2024-02-08T00:00:00"/>
    <x v="3"/>
    <n v="13"/>
    <x v="427"/>
    <x v="2"/>
    <x v="10"/>
    <n v="1"/>
    <n v="30"/>
    <n v="30"/>
    <n v="0"/>
  </r>
  <r>
    <n v="432"/>
    <n v="1223"/>
    <n v="0.33333333333333331"/>
    <x v="1"/>
    <d v="2024-02-08T00:00:00"/>
    <x v="3"/>
    <n v="16"/>
    <x v="428"/>
    <x v="1"/>
    <x v="3"/>
    <n v="3"/>
    <n v="700"/>
    <n v="2100"/>
    <n v="0"/>
  </r>
  <r>
    <n v="433"/>
    <n v="1224"/>
    <n v="1"/>
    <x v="1"/>
    <d v="2024-02-08T00:00:00"/>
    <x v="3"/>
    <n v="16"/>
    <x v="429"/>
    <x v="2"/>
    <x v="5"/>
    <n v="2"/>
    <n v="20"/>
    <n v="40"/>
    <n v="1"/>
  </r>
  <r>
    <n v="434"/>
    <n v="1225"/>
    <n v="1"/>
    <x v="1"/>
    <d v="2024-02-08T00:00:00"/>
    <x v="3"/>
    <n v="14"/>
    <x v="430"/>
    <x v="3"/>
    <x v="14"/>
    <n v="5"/>
    <n v="40"/>
    <n v="200"/>
    <n v="1"/>
  </r>
  <r>
    <n v="435"/>
    <n v="1226"/>
    <n v="0.5"/>
    <x v="1"/>
    <d v="2024-02-09T00:00:00"/>
    <x v="4"/>
    <n v="16"/>
    <x v="431"/>
    <x v="1"/>
    <x v="3"/>
    <n v="5"/>
    <n v="700"/>
    <n v="3500"/>
    <n v="1"/>
  </r>
  <r>
    <n v="436"/>
    <n v="1226"/>
    <n v="0.5"/>
    <x v="1"/>
    <d v="2024-02-09T00:00:00"/>
    <x v="4"/>
    <n v="18"/>
    <x v="432"/>
    <x v="3"/>
    <x v="6"/>
    <n v="4"/>
    <n v="50"/>
    <n v="200"/>
    <n v="0"/>
  </r>
  <r>
    <n v="437"/>
    <n v="1227"/>
    <n v="1"/>
    <x v="1"/>
    <d v="2024-02-09T00:00:00"/>
    <x v="4"/>
    <n v="18"/>
    <x v="433"/>
    <x v="1"/>
    <x v="1"/>
    <n v="4"/>
    <n v="650"/>
    <n v="2600"/>
    <n v="1"/>
  </r>
  <r>
    <n v="438"/>
    <n v="1228"/>
    <n v="1"/>
    <x v="1"/>
    <d v="2024-02-09T00:00:00"/>
    <x v="4"/>
    <n v="11"/>
    <x v="434"/>
    <x v="0"/>
    <x v="8"/>
    <n v="1"/>
    <n v="10"/>
    <n v="10"/>
    <n v="1"/>
  </r>
  <r>
    <n v="439"/>
    <n v="1229"/>
    <n v="0.33333333333333331"/>
    <x v="1"/>
    <d v="2024-02-09T00:00:00"/>
    <x v="4"/>
    <n v="20"/>
    <x v="435"/>
    <x v="1"/>
    <x v="1"/>
    <n v="3"/>
    <n v="650"/>
    <n v="1950"/>
    <n v="1"/>
  </r>
  <r>
    <n v="440"/>
    <n v="1229"/>
    <n v="0.33333333333333331"/>
    <x v="1"/>
    <d v="2024-02-09T00:00:00"/>
    <x v="4"/>
    <n v="9"/>
    <x v="436"/>
    <x v="3"/>
    <x v="18"/>
    <n v="4"/>
    <n v="45"/>
    <n v="180"/>
    <n v="0"/>
  </r>
  <r>
    <n v="441"/>
    <n v="1229"/>
    <n v="0.33333333333333331"/>
    <x v="1"/>
    <d v="2024-02-09T00:00:00"/>
    <x v="4"/>
    <n v="20"/>
    <x v="437"/>
    <x v="1"/>
    <x v="1"/>
    <n v="5"/>
    <n v="650"/>
    <n v="3250"/>
    <n v="0"/>
  </r>
  <r>
    <n v="442"/>
    <n v="1230"/>
    <n v="1"/>
    <x v="1"/>
    <d v="2024-02-09T00:00:00"/>
    <x v="4"/>
    <n v="10"/>
    <x v="438"/>
    <x v="2"/>
    <x v="5"/>
    <n v="1"/>
    <n v="20"/>
    <n v="20"/>
    <n v="1"/>
  </r>
  <r>
    <n v="443"/>
    <n v="1231"/>
    <n v="0.5"/>
    <x v="1"/>
    <d v="2024-02-10T00:00:00"/>
    <x v="5"/>
    <n v="11"/>
    <x v="439"/>
    <x v="2"/>
    <x v="11"/>
    <n v="5"/>
    <n v="35"/>
    <n v="175"/>
    <n v="1"/>
  </r>
  <r>
    <n v="444"/>
    <n v="1231"/>
    <n v="0.5"/>
    <x v="1"/>
    <d v="2024-02-10T00:00:00"/>
    <x v="5"/>
    <n v="18"/>
    <x v="440"/>
    <x v="3"/>
    <x v="14"/>
    <n v="4"/>
    <n v="40"/>
    <n v="160"/>
    <n v="0"/>
  </r>
  <r>
    <n v="445"/>
    <n v="1232"/>
    <n v="0.5"/>
    <x v="1"/>
    <d v="2024-02-10T00:00:00"/>
    <x v="5"/>
    <n v="20"/>
    <x v="441"/>
    <x v="0"/>
    <x v="16"/>
    <n v="3"/>
    <n v="5"/>
    <n v="15"/>
    <n v="1"/>
  </r>
  <r>
    <n v="446"/>
    <n v="1232"/>
    <n v="0.5"/>
    <x v="1"/>
    <d v="2024-02-10T00:00:00"/>
    <x v="5"/>
    <n v="9"/>
    <x v="442"/>
    <x v="3"/>
    <x v="13"/>
    <n v="5"/>
    <n v="55"/>
    <n v="275"/>
    <n v="0"/>
  </r>
  <r>
    <n v="447"/>
    <n v="1233"/>
    <n v="0.5"/>
    <x v="1"/>
    <d v="2024-02-10T00:00:00"/>
    <x v="5"/>
    <n v="14"/>
    <x v="443"/>
    <x v="2"/>
    <x v="5"/>
    <n v="1"/>
    <n v="20"/>
    <n v="20"/>
    <n v="1"/>
  </r>
  <r>
    <n v="448"/>
    <n v="1233"/>
    <n v="0.5"/>
    <x v="1"/>
    <d v="2024-02-10T00:00:00"/>
    <x v="5"/>
    <n v="18"/>
    <x v="444"/>
    <x v="1"/>
    <x v="4"/>
    <n v="3"/>
    <n v="600"/>
    <n v="1800"/>
    <n v="0"/>
  </r>
  <r>
    <n v="449"/>
    <n v="1234"/>
    <n v="1"/>
    <x v="1"/>
    <d v="2024-02-10T00:00:00"/>
    <x v="5"/>
    <n v="14"/>
    <x v="445"/>
    <x v="2"/>
    <x v="10"/>
    <n v="2"/>
    <n v="30"/>
    <n v="60"/>
    <n v="1"/>
  </r>
  <r>
    <n v="450"/>
    <n v="1235"/>
    <n v="1"/>
    <x v="1"/>
    <d v="2024-02-10T00:00:00"/>
    <x v="5"/>
    <n v="10"/>
    <x v="446"/>
    <x v="2"/>
    <x v="10"/>
    <n v="4"/>
    <n v="30"/>
    <n v="120"/>
    <n v="1"/>
  </r>
  <r>
    <n v="451"/>
    <n v="1236"/>
    <n v="0.5"/>
    <x v="1"/>
    <d v="2024-02-10T00:00:00"/>
    <x v="5"/>
    <n v="10"/>
    <x v="447"/>
    <x v="0"/>
    <x v="16"/>
    <n v="5"/>
    <n v="5"/>
    <n v="25"/>
    <n v="1"/>
  </r>
  <r>
    <n v="452"/>
    <n v="1236"/>
    <n v="0.5"/>
    <x v="1"/>
    <d v="2024-02-10T00:00:00"/>
    <x v="5"/>
    <n v="12"/>
    <x v="448"/>
    <x v="0"/>
    <x v="8"/>
    <n v="3"/>
    <n v="10"/>
    <n v="30"/>
    <n v="0"/>
  </r>
  <r>
    <n v="453"/>
    <n v="1237"/>
    <n v="0.33333333333333331"/>
    <x v="1"/>
    <d v="2024-02-10T00:00:00"/>
    <x v="5"/>
    <n v="20"/>
    <x v="449"/>
    <x v="0"/>
    <x v="7"/>
    <n v="4"/>
    <n v="25"/>
    <n v="100"/>
    <n v="1"/>
  </r>
  <r>
    <n v="454"/>
    <n v="1237"/>
    <n v="0.33333333333333331"/>
    <x v="1"/>
    <d v="2024-02-10T00:00:00"/>
    <x v="5"/>
    <n v="16"/>
    <x v="450"/>
    <x v="1"/>
    <x v="2"/>
    <n v="5"/>
    <n v="680"/>
    <n v="3400"/>
    <n v="0"/>
  </r>
  <r>
    <n v="455"/>
    <n v="1237"/>
    <n v="0.33333333333333331"/>
    <x v="1"/>
    <d v="2024-02-10T00:00:00"/>
    <x v="5"/>
    <n v="14"/>
    <x v="451"/>
    <x v="3"/>
    <x v="13"/>
    <n v="1"/>
    <n v="55"/>
    <n v="55"/>
    <n v="0"/>
  </r>
  <r>
    <n v="456"/>
    <n v="1238"/>
    <n v="0.5"/>
    <x v="1"/>
    <d v="2024-02-10T00:00:00"/>
    <x v="5"/>
    <n v="13"/>
    <x v="452"/>
    <x v="1"/>
    <x v="4"/>
    <n v="4"/>
    <n v="600"/>
    <n v="2400"/>
    <n v="1"/>
  </r>
  <r>
    <n v="457"/>
    <n v="1238"/>
    <n v="0.5"/>
    <x v="1"/>
    <d v="2024-02-10T00:00:00"/>
    <x v="5"/>
    <n v="11"/>
    <x v="453"/>
    <x v="3"/>
    <x v="18"/>
    <n v="5"/>
    <n v="45"/>
    <n v="225"/>
    <n v="0"/>
  </r>
  <r>
    <n v="458"/>
    <n v="1239"/>
    <n v="1"/>
    <x v="1"/>
    <d v="2024-02-10T00:00:00"/>
    <x v="5"/>
    <n v="9"/>
    <x v="454"/>
    <x v="2"/>
    <x v="11"/>
    <n v="1"/>
    <n v="35"/>
    <n v="35"/>
    <n v="1"/>
  </r>
  <r>
    <n v="459"/>
    <n v="1240"/>
    <n v="0.5"/>
    <x v="1"/>
    <d v="2024-02-10T00:00:00"/>
    <x v="5"/>
    <n v="15"/>
    <x v="455"/>
    <x v="0"/>
    <x v="8"/>
    <n v="5"/>
    <n v="10"/>
    <n v="50"/>
    <n v="1"/>
  </r>
  <r>
    <n v="460"/>
    <n v="1240"/>
    <n v="0.5"/>
    <x v="1"/>
    <d v="2024-02-10T00:00:00"/>
    <x v="5"/>
    <n v="20"/>
    <x v="456"/>
    <x v="3"/>
    <x v="18"/>
    <n v="4"/>
    <n v="45"/>
    <n v="180"/>
    <n v="0"/>
  </r>
  <r>
    <n v="461"/>
    <n v="1241"/>
    <n v="0.33333333333333331"/>
    <x v="1"/>
    <d v="2024-02-11T00:00:00"/>
    <x v="6"/>
    <n v="9"/>
    <x v="457"/>
    <x v="2"/>
    <x v="15"/>
    <n v="2"/>
    <n v="25"/>
    <n v="50"/>
    <n v="1"/>
  </r>
  <r>
    <n v="462"/>
    <n v="1241"/>
    <n v="0.33333333333333331"/>
    <x v="1"/>
    <d v="2024-02-11T00:00:00"/>
    <x v="6"/>
    <n v="17"/>
    <x v="458"/>
    <x v="1"/>
    <x v="3"/>
    <n v="4"/>
    <n v="700"/>
    <n v="2800"/>
    <n v="0"/>
  </r>
  <r>
    <n v="463"/>
    <n v="1241"/>
    <n v="0.33333333333333331"/>
    <x v="1"/>
    <d v="2024-02-11T00:00:00"/>
    <x v="6"/>
    <n v="17"/>
    <x v="459"/>
    <x v="0"/>
    <x v="7"/>
    <n v="3"/>
    <n v="25"/>
    <n v="75"/>
    <n v="0"/>
  </r>
  <r>
    <n v="464"/>
    <n v="1242"/>
    <n v="0.33333333333333331"/>
    <x v="1"/>
    <d v="2024-02-11T00:00:00"/>
    <x v="6"/>
    <n v="20"/>
    <x v="460"/>
    <x v="3"/>
    <x v="13"/>
    <n v="1"/>
    <n v="55"/>
    <n v="55"/>
    <n v="1"/>
  </r>
  <r>
    <n v="465"/>
    <n v="1242"/>
    <n v="0.33333333333333331"/>
    <x v="1"/>
    <d v="2024-02-11T00:00:00"/>
    <x v="6"/>
    <n v="9"/>
    <x v="461"/>
    <x v="3"/>
    <x v="6"/>
    <n v="2"/>
    <n v="50"/>
    <n v="100"/>
    <n v="0"/>
  </r>
  <r>
    <n v="466"/>
    <n v="1242"/>
    <n v="0.33333333333333331"/>
    <x v="1"/>
    <d v="2024-02-11T00:00:00"/>
    <x v="6"/>
    <n v="15"/>
    <x v="462"/>
    <x v="2"/>
    <x v="15"/>
    <n v="1"/>
    <n v="25"/>
    <n v="25"/>
    <n v="0"/>
  </r>
  <r>
    <n v="467"/>
    <n v="1243"/>
    <n v="0.5"/>
    <x v="1"/>
    <d v="2024-02-11T00:00:00"/>
    <x v="6"/>
    <n v="12"/>
    <x v="463"/>
    <x v="3"/>
    <x v="18"/>
    <n v="5"/>
    <n v="45"/>
    <n v="225"/>
    <n v="1"/>
  </r>
  <r>
    <n v="468"/>
    <n v="1243"/>
    <n v="0.5"/>
    <x v="1"/>
    <d v="2024-02-11T00:00:00"/>
    <x v="6"/>
    <n v="20"/>
    <x v="464"/>
    <x v="0"/>
    <x v="8"/>
    <n v="3"/>
    <n v="10"/>
    <n v="30"/>
    <n v="0"/>
  </r>
  <r>
    <n v="469"/>
    <n v="1244"/>
    <n v="1"/>
    <x v="1"/>
    <d v="2024-02-11T00:00:00"/>
    <x v="6"/>
    <n v="18"/>
    <x v="465"/>
    <x v="3"/>
    <x v="18"/>
    <n v="2"/>
    <n v="45"/>
    <n v="90"/>
    <n v="1"/>
  </r>
  <r>
    <n v="470"/>
    <n v="1245"/>
    <n v="1"/>
    <x v="1"/>
    <d v="2024-02-12T00:00:00"/>
    <x v="0"/>
    <n v="19"/>
    <x v="466"/>
    <x v="2"/>
    <x v="5"/>
    <n v="5"/>
    <n v="20"/>
    <n v="100"/>
    <n v="1"/>
  </r>
  <r>
    <n v="471"/>
    <n v="1246"/>
    <n v="0.33333333333333331"/>
    <x v="1"/>
    <d v="2024-02-12T00:00:00"/>
    <x v="0"/>
    <n v="14"/>
    <x v="467"/>
    <x v="0"/>
    <x v="9"/>
    <n v="1"/>
    <n v="15"/>
    <n v="15"/>
    <n v="1"/>
  </r>
  <r>
    <n v="472"/>
    <n v="1246"/>
    <n v="0.33333333333333331"/>
    <x v="1"/>
    <d v="2024-02-12T00:00:00"/>
    <x v="0"/>
    <n v="14"/>
    <x v="468"/>
    <x v="3"/>
    <x v="6"/>
    <n v="4"/>
    <n v="50"/>
    <n v="200"/>
    <n v="0"/>
  </r>
  <r>
    <n v="473"/>
    <n v="1246"/>
    <n v="0.33333333333333331"/>
    <x v="1"/>
    <d v="2024-02-12T00:00:00"/>
    <x v="0"/>
    <n v="11"/>
    <x v="469"/>
    <x v="0"/>
    <x v="7"/>
    <n v="4"/>
    <n v="25"/>
    <n v="100"/>
    <n v="0"/>
  </r>
  <r>
    <n v="474"/>
    <n v="1247"/>
    <n v="0.33333333333333331"/>
    <x v="1"/>
    <d v="2024-02-12T00:00:00"/>
    <x v="0"/>
    <n v="17"/>
    <x v="470"/>
    <x v="3"/>
    <x v="17"/>
    <n v="4"/>
    <n v="60"/>
    <n v="240"/>
    <n v="1"/>
  </r>
  <r>
    <n v="475"/>
    <n v="1247"/>
    <n v="0.33333333333333331"/>
    <x v="1"/>
    <d v="2024-02-12T00:00:00"/>
    <x v="0"/>
    <n v="10"/>
    <x v="471"/>
    <x v="3"/>
    <x v="14"/>
    <n v="5"/>
    <n v="40"/>
    <n v="200"/>
    <n v="0"/>
  </r>
  <r>
    <n v="476"/>
    <n v="1247"/>
    <n v="0.33333333333333331"/>
    <x v="1"/>
    <d v="2024-02-12T00:00:00"/>
    <x v="0"/>
    <n v="11"/>
    <x v="472"/>
    <x v="0"/>
    <x v="0"/>
    <n v="2"/>
    <n v="20"/>
    <n v="40"/>
    <n v="0"/>
  </r>
  <r>
    <n v="477"/>
    <n v="1248"/>
    <n v="0.5"/>
    <x v="1"/>
    <d v="2024-02-13T00:00:00"/>
    <x v="1"/>
    <n v="19"/>
    <x v="473"/>
    <x v="0"/>
    <x v="16"/>
    <n v="1"/>
    <n v="5"/>
    <n v="5"/>
    <n v="1"/>
  </r>
  <r>
    <n v="478"/>
    <n v="1248"/>
    <n v="0.5"/>
    <x v="1"/>
    <d v="2024-02-13T00:00:00"/>
    <x v="1"/>
    <n v="9"/>
    <x v="474"/>
    <x v="0"/>
    <x v="9"/>
    <n v="2"/>
    <n v="15"/>
    <n v="30"/>
    <n v="0"/>
  </r>
  <r>
    <n v="479"/>
    <n v="1249"/>
    <n v="0.33333333333333331"/>
    <x v="1"/>
    <d v="2024-02-13T00:00:00"/>
    <x v="1"/>
    <n v="11"/>
    <x v="475"/>
    <x v="0"/>
    <x v="16"/>
    <n v="2"/>
    <n v="5"/>
    <n v="10"/>
    <n v="1"/>
  </r>
  <r>
    <n v="480"/>
    <n v="1249"/>
    <n v="0.33333333333333331"/>
    <x v="1"/>
    <d v="2024-02-13T00:00:00"/>
    <x v="1"/>
    <n v="14"/>
    <x v="476"/>
    <x v="1"/>
    <x v="1"/>
    <n v="4"/>
    <n v="650"/>
    <n v="2600"/>
    <n v="0"/>
  </r>
  <r>
    <n v="481"/>
    <n v="1249"/>
    <n v="0.33333333333333331"/>
    <x v="1"/>
    <d v="2024-02-13T00:00:00"/>
    <x v="1"/>
    <n v="9"/>
    <x v="477"/>
    <x v="0"/>
    <x v="16"/>
    <n v="1"/>
    <n v="5"/>
    <n v="5"/>
    <n v="0"/>
  </r>
  <r>
    <n v="482"/>
    <n v="1250"/>
    <n v="0.33333333333333331"/>
    <x v="1"/>
    <d v="2024-02-13T00:00:00"/>
    <x v="1"/>
    <n v="9"/>
    <x v="478"/>
    <x v="1"/>
    <x v="3"/>
    <n v="2"/>
    <n v="700"/>
    <n v="1400"/>
    <n v="1"/>
  </r>
  <r>
    <n v="483"/>
    <n v="1250"/>
    <n v="0.33333333333333331"/>
    <x v="1"/>
    <d v="2024-02-13T00:00:00"/>
    <x v="1"/>
    <n v="18"/>
    <x v="479"/>
    <x v="0"/>
    <x v="16"/>
    <n v="5"/>
    <n v="5"/>
    <n v="25"/>
    <n v="0"/>
  </r>
  <r>
    <n v="484"/>
    <n v="1250"/>
    <n v="0.33333333333333331"/>
    <x v="1"/>
    <d v="2024-02-13T00:00:00"/>
    <x v="1"/>
    <n v="17"/>
    <x v="480"/>
    <x v="2"/>
    <x v="10"/>
    <n v="3"/>
    <n v="30"/>
    <n v="90"/>
    <n v="0"/>
  </r>
  <r>
    <n v="485"/>
    <n v="1251"/>
    <n v="0.5"/>
    <x v="1"/>
    <d v="2024-02-13T00:00:00"/>
    <x v="1"/>
    <n v="14"/>
    <x v="481"/>
    <x v="0"/>
    <x v="16"/>
    <n v="1"/>
    <n v="5"/>
    <n v="5"/>
    <n v="1"/>
  </r>
  <r>
    <n v="486"/>
    <n v="1251"/>
    <n v="0.5"/>
    <x v="1"/>
    <d v="2024-02-13T00:00:00"/>
    <x v="1"/>
    <n v="11"/>
    <x v="482"/>
    <x v="1"/>
    <x v="4"/>
    <n v="2"/>
    <n v="600"/>
    <n v="1200"/>
    <n v="0"/>
  </r>
  <r>
    <n v="487"/>
    <n v="1252"/>
    <n v="0.5"/>
    <x v="1"/>
    <d v="2024-02-13T00:00:00"/>
    <x v="1"/>
    <n v="11"/>
    <x v="483"/>
    <x v="0"/>
    <x v="16"/>
    <n v="1"/>
    <n v="5"/>
    <n v="5"/>
    <n v="1"/>
  </r>
  <r>
    <n v="488"/>
    <n v="1252"/>
    <n v="0.5"/>
    <x v="1"/>
    <d v="2024-02-13T00:00:00"/>
    <x v="1"/>
    <n v="17"/>
    <x v="484"/>
    <x v="2"/>
    <x v="5"/>
    <n v="1"/>
    <n v="20"/>
    <n v="20"/>
    <n v="0"/>
  </r>
  <r>
    <n v="489"/>
    <n v="1253"/>
    <n v="1"/>
    <x v="1"/>
    <d v="2024-02-14T00:00:00"/>
    <x v="2"/>
    <n v="18"/>
    <x v="485"/>
    <x v="3"/>
    <x v="18"/>
    <n v="1"/>
    <n v="45"/>
    <n v="45"/>
    <n v="1"/>
  </r>
  <r>
    <n v="490"/>
    <n v="1254"/>
    <n v="0.33333333333333331"/>
    <x v="1"/>
    <d v="2024-02-14T00:00:00"/>
    <x v="2"/>
    <n v="18"/>
    <x v="486"/>
    <x v="0"/>
    <x v="7"/>
    <n v="5"/>
    <n v="25"/>
    <n v="125"/>
    <n v="1"/>
  </r>
  <r>
    <n v="491"/>
    <n v="1254"/>
    <n v="0.33333333333333331"/>
    <x v="1"/>
    <d v="2024-02-14T00:00:00"/>
    <x v="2"/>
    <n v="18"/>
    <x v="487"/>
    <x v="3"/>
    <x v="14"/>
    <n v="1"/>
    <n v="40"/>
    <n v="40"/>
    <n v="0"/>
  </r>
  <r>
    <n v="492"/>
    <n v="1254"/>
    <n v="0.33333333333333331"/>
    <x v="1"/>
    <d v="2024-02-14T00:00:00"/>
    <x v="2"/>
    <n v="13"/>
    <x v="488"/>
    <x v="1"/>
    <x v="3"/>
    <n v="1"/>
    <n v="700"/>
    <n v="700"/>
    <n v="0"/>
  </r>
  <r>
    <n v="493"/>
    <n v="1255"/>
    <n v="0.5"/>
    <x v="1"/>
    <d v="2024-02-14T00:00:00"/>
    <x v="2"/>
    <n v="15"/>
    <x v="489"/>
    <x v="0"/>
    <x v="7"/>
    <n v="3"/>
    <n v="25"/>
    <n v="75"/>
    <n v="1"/>
  </r>
  <r>
    <n v="494"/>
    <n v="1255"/>
    <n v="0.5"/>
    <x v="1"/>
    <d v="2024-02-14T00:00:00"/>
    <x v="2"/>
    <n v="13"/>
    <x v="490"/>
    <x v="1"/>
    <x v="12"/>
    <n v="2"/>
    <n v="1000"/>
    <n v="2000"/>
    <n v="0"/>
  </r>
  <r>
    <n v="495"/>
    <n v="1256"/>
    <n v="1"/>
    <x v="1"/>
    <d v="2024-02-14T00:00:00"/>
    <x v="2"/>
    <n v="11"/>
    <x v="491"/>
    <x v="1"/>
    <x v="12"/>
    <n v="1"/>
    <n v="1000"/>
    <n v="1000"/>
    <n v="1"/>
  </r>
  <r>
    <n v="496"/>
    <n v="1257"/>
    <n v="1"/>
    <x v="1"/>
    <d v="2024-02-14T00:00:00"/>
    <x v="2"/>
    <n v="16"/>
    <x v="492"/>
    <x v="2"/>
    <x v="15"/>
    <n v="3"/>
    <n v="25"/>
    <n v="75"/>
    <n v="1"/>
  </r>
  <r>
    <n v="497"/>
    <n v="1258"/>
    <n v="0.33333333333333331"/>
    <x v="1"/>
    <d v="2024-02-14T00:00:00"/>
    <x v="2"/>
    <n v="12"/>
    <x v="493"/>
    <x v="0"/>
    <x v="0"/>
    <n v="2"/>
    <n v="20"/>
    <n v="40"/>
    <n v="1"/>
  </r>
  <r>
    <n v="498"/>
    <n v="1258"/>
    <n v="0.33333333333333331"/>
    <x v="1"/>
    <d v="2024-02-14T00:00:00"/>
    <x v="2"/>
    <n v="9"/>
    <x v="494"/>
    <x v="1"/>
    <x v="2"/>
    <n v="3"/>
    <n v="680"/>
    <n v="2040"/>
    <n v="0"/>
  </r>
  <r>
    <n v="499"/>
    <n v="1258"/>
    <n v="0.33333333333333331"/>
    <x v="1"/>
    <d v="2024-02-14T00:00:00"/>
    <x v="2"/>
    <n v="12"/>
    <x v="495"/>
    <x v="0"/>
    <x v="7"/>
    <n v="5"/>
    <n v="25"/>
    <n v="125"/>
    <n v="0"/>
  </r>
  <r>
    <n v="500"/>
    <n v="1259"/>
    <n v="0.5"/>
    <x v="1"/>
    <d v="2024-02-14T00:00:00"/>
    <x v="2"/>
    <n v="9"/>
    <x v="496"/>
    <x v="3"/>
    <x v="14"/>
    <n v="3"/>
    <n v="40"/>
    <n v="120"/>
    <n v="1"/>
  </r>
  <r>
    <n v="501"/>
    <n v="1259"/>
    <n v="0.5"/>
    <x v="1"/>
    <d v="2024-02-14T00:00:00"/>
    <x v="2"/>
    <n v="17"/>
    <x v="497"/>
    <x v="1"/>
    <x v="12"/>
    <n v="3"/>
    <n v="1000"/>
    <n v="3000"/>
    <n v="0"/>
  </r>
  <r>
    <n v="502"/>
    <n v="1260"/>
    <n v="1"/>
    <x v="1"/>
    <d v="2024-02-14T00:00:00"/>
    <x v="2"/>
    <n v="16"/>
    <x v="498"/>
    <x v="1"/>
    <x v="3"/>
    <n v="4"/>
    <n v="700"/>
    <n v="2800"/>
    <n v="1"/>
  </r>
  <r>
    <n v="503"/>
    <n v="1261"/>
    <n v="1"/>
    <x v="1"/>
    <d v="2024-02-14T00:00:00"/>
    <x v="2"/>
    <n v="16"/>
    <x v="499"/>
    <x v="2"/>
    <x v="11"/>
    <n v="3"/>
    <n v="35"/>
    <n v="105"/>
    <n v="1"/>
  </r>
  <r>
    <n v="504"/>
    <n v="1262"/>
    <n v="0.5"/>
    <x v="1"/>
    <d v="2024-02-14T00:00:00"/>
    <x v="2"/>
    <n v="9"/>
    <x v="500"/>
    <x v="3"/>
    <x v="14"/>
    <n v="1"/>
    <n v="40"/>
    <n v="40"/>
    <n v="1"/>
  </r>
  <r>
    <n v="505"/>
    <n v="1262"/>
    <n v="0.5"/>
    <x v="1"/>
    <d v="2024-02-14T00:00:00"/>
    <x v="2"/>
    <n v="13"/>
    <x v="501"/>
    <x v="2"/>
    <x v="10"/>
    <n v="1"/>
    <n v="30"/>
    <n v="30"/>
    <n v="0"/>
  </r>
  <r>
    <n v="506"/>
    <n v="1263"/>
    <n v="1"/>
    <x v="1"/>
    <d v="2024-02-15T00:00:00"/>
    <x v="3"/>
    <n v="20"/>
    <x v="502"/>
    <x v="0"/>
    <x v="7"/>
    <n v="2"/>
    <n v="25"/>
    <n v="50"/>
    <n v="1"/>
  </r>
  <r>
    <n v="507"/>
    <n v="1264"/>
    <n v="1"/>
    <x v="1"/>
    <d v="2024-02-15T00:00:00"/>
    <x v="3"/>
    <n v="10"/>
    <x v="503"/>
    <x v="2"/>
    <x v="15"/>
    <n v="5"/>
    <n v="25"/>
    <n v="125"/>
    <n v="1"/>
  </r>
  <r>
    <n v="508"/>
    <n v="1265"/>
    <n v="0.5"/>
    <x v="1"/>
    <d v="2024-02-15T00:00:00"/>
    <x v="3"/>
    <n v="19"/>
    <x v="504"/>
    <x v="0"/>
    <x v="16"/>
    <n v="4"/>
    <n v="5"/>
    <n v="20"/>
    <n v="1"/>
  </r>
  <r>
    <n v="509"/>
    <n v="1265"/>
    <n v="0.5"/>
    <x v="1"/>
    <d v="2024-02-15T00:00:00"/>
    <x v="3"/>
    <n v="18"/>
    <x v="505"/>
    <x v="2"/>
    <x v="10"/>
    <n v="4"/>
    <n v="30"/>
    <n v="120"/>
    <n v="0"/>
  </r>
  <r>
    <n v="510"/>
    <n v="1266"/>
    <n v="1"/>
    <x v="1"/>
    <d v="2024-02-16T00:00:00"/>
    <x v="4"/>
    <n v="14"/>
    <x v="506"/>
    <x v="1"/>
    <x v="2"/>
    <n v="3"/>
    <n v="680"/>
    <n v="2040"/>
    <n v="1"/>
  </r>
  <r>
    <n v="511"/>
    <n v="1267"/>
    <n v="0.5"/>
    <x v="1"/>
    <d v="2024-02-16T00:00:00"/>
    <x v="4"/>
    <n v="13"/>
    <x v="507"/>
    <x v="1"/>
    <x v="12"/>
    <n v="1"/>
    <n v="1000"/>
    <n v="1000"/>
    <n v="1"/>
  </r>
  <r>
    <n v="512"/>
    <n v="1267"/>
    <n v="0.5"/>
    <x v="1"/>
    <d v="2024-02-16T00:00:00"/>
    <x v="4"/>
    <n v="13"/>
    <x v="508"/>
    <x v="1"/>
    <x v="1"/>
    <n v="5"/>
    <n v="650"/>
    <n v="3250"/>
    <n v="0"/>
  </r>
  <r>
    <n v="513"/>
    <n v="1268"/>
    <n v="0.33333333333333331"/>
    <x v="1"/>
    <d v="2024-02-16T00:00:00"/>
    <x v="4"/>
    <n v="11"/>
    <x v="509"/>
    <x v="3"/>
    <x v="14"/>
    <n v="4"/>
    <n v="40"/>
    <n v="160"/>
    <n v="1"/>
  </r>
  <r>
    <n v="514"/>
    <n v="1268"/>
    <n v="0.33333333333333331"/>
    <x v="1"/>
    <d v="2024-02-16T00:00:00"/>
    <x v="4"/>
    <n v="10"/>
    <x v="510"/>
    <x v="3"/>
    <x v="18"/>
    <n v="3"/>
    <n v="45"/>
    <n v="135"/>
    <n v="0"/>
  </r>
  <r>
    <n v="515"/>
    <n v="1268"/>
    <n v="0.33333333333333331"/>
    <x v="1"/>
    <d v="2024-02-16T00:00:00"/>
    <x v="4"/>
    <n v="12"/>
    <x v="511"/>
    <x v="0"/>
    <x v="9"/>
    <n v="5"/>
    <n v="15"/>
    <n v="75"/>
    <n v="0"/>
  </r>
  <r>
    <n v="516"/>
    <n v="1269"/>
    <n v="0.33333333333333331"/>
    <x v="1"/>
    <d v="2024-02-16T00:00:00"/>
    <x v="4"/>
    <n v="14"/>
    <x v="512"/>
    <x v="1"/>
    <x v="4"/>
    <n v="3"/>
    <n v="600"/>
    <n v="1800"/>
    <n v="1"/>
  </r>
  <r>
    <n v="517"/>
    <n v="1269"/>
    <n v="0.33333333333333331"/>
    <x v="1"/>
    <d v="2024-02-16T00:00:00"/>
    <x v="4"/>
    <n v="16"/>
    <x v="513"/>
    <x v="3"/>
    <x v="14"/>
    <n v="4"/>
    <n v="40"/>
    <n v="160"/>
    <n v="0"/>
  </r>
  <r>
    <n v="518"/>
    <n v="1269"/>
    <n v="0.33333333333333331"/>
    <x v="1"/>
    <d v="2024-02-16T00:00:00"/>
    <x v="4"/>
    <n v="17"/>
    <x v="514"/>
    <x v="0"/>
    <x v="9"/>
    <n v="3"/>
    <n v="15"/>
    <n v="45"/>
    <n v="0"/>
  </r>
  <r>
    <n v="519"/>
    <n v="1270"/>
    <n v="0.33333333333333331"/>
    <x v="1"/>
    <d v="2024-02-16T00:00:00"/>
    <x v="4"/>
    <n v="9"/>
    <x v="515"/>
    <x v="2"/>
    <x v="10"/>
    <n v="4"/>
    <n v="30"/>
    <n v="120"/>
    <n v="1"/>
  </r>
  <r>
    <n v="520"/>
    <n v="1270"/>
    <n v="0.33333333333333331"/>
    <x v="1"/>
    <d v="2024-02-16T00:00:00"/>
    <x v="4"/>
    <n v="12"/>
    <x v="516"/>
    <x v="3"/>
    <x v="13"/>
    <n v="1"/>
    <n v="55"/>
    <n v="55"/>
    <n v="0"/>
  </r>
  <r>
    <n v="521"/>
    <n v="1270"/>
    <n v="0.33333333333333331"/>
    <x v="1"/>
    <d v="2024-02-16T00:00:00"/>
    <x v="4"/>
    <n v="17"/>
    <x v="517"/>
    <x v="2"/>
    <x v="11"/>
    <n v="1"/>
    <n v="35"/>
    <n v="35"/>
    <n v="0"/>
  </r>
  <r>
    <n v="522"/>
    <n v="1271"/>
    <n v="0.33333333333333331"/>
    <x v="1"/>
    <d v="2024-02-16T00:00:00"/>
    <x v="4"/>
    <n v="12"/>
    <x v="518"/>
    <x v="2"/>
    <x v="15"/>
    <n v="5"/>
    <n v="25"/>
    <n v="125"/>
    <n v="1"/>
  </r>
  <r>
    <n v="523"/>
    <n v="1271"/>
    <n v="0.33333333333333331"/>
    <x v="1"/>
    <d v="2024-02-16T00:00:00"/>
    <x v="4"/>
    <n v="11"/>
    <x v="519"/>
    <x v="0"/>
    <x v="7"/>
    <n v="4"/>
    <n v="25"/>
    <n v="100"/>
    <n v="0"/>
  </r>
  <r>
    <n v="524"/>
    <n v="1271"/>
    <n v="0.33333333333333331"/>
    <x v="1"/>
    <d v="2024-02-16T00:00:00"/>
    <x v="4"/>
    <n v="18"/>
    <x v="520"/>
    <x v="1"/>
    <x v="4"/>
    <n v="1"/>
    <n v="600"/>
    <n v="600"/>
    <n v="0"/>
  </r>
  <r>
    <n v="525"/>
    <n v="1272"/>
    <n v="0.5"/>
    <x v="1"/>
    <d v="2024-02-16T00:00:00"/>
    <x v="4"/>
    <n v="18"/>
    <x v="521"/>
    <x v="3"/>
    <x v="17"/>
    <n v="1"/>
    <n v="60"/>
    <n v="60"/>
    <n v="1"/>
  </r>
  <r>
    <n v="526"/>
    <n v="1272"/>
    <n v="0.5"/>
    <x v="1"/>
    <d v="2024-02-16T00:00:00"/>
    <x v="4"/>
    <n v="9"/>
    <x v="522"/>
    <x v="2"/>
    <x v="11"/>
    <n v="4"/>
    <n v="35"/>
    <n v="140"/>
    <n v="0"/>
  </r>
  <r>
    <n v="527"/>
    <n v="1273"/>
    <n v="1"/>
    <x v="1"/>
    <d v="2024-02-16T00:00:00"/>
    <x v="4"/>
    <n v="14"/>
    <x v="523"/>
    <x v="2"/>
    <x v="10"/>
    <n v="2"/>
    <n v="30"/>
    <n v="60"/>
    <n v="1"/>
  </r>
  <r>
    <n v="528"/>
    <n v="1274"/>
    <n v="0.33333333333333331"/>
    <x v="1"/>
    <d v="2024-02-17T00:00:00"/>
    <x v="5"/>
    <n v="19"/>
    <x v="524"/>
    <x v="2"/>
    <x v="15"/>
    <n v="4"/>
    <n v="25"/>
    <n v="100"/>
    <n v="1"/>
  </r>
  <r>
    <n v="529"/>
    <n v="1274"/>
    <n v="0.33333333333333331"/>
    <x v="1"/>
    <d v="2024-02-17T00:00:00"/>
    <x v="5"/>
    <n v="13"/>
    <x v="525"/>
    <x v="0"/>
    <x v="7"/>
    <n v="1"/>
    <n v="25"/>
    <n v="25"/>
    <n v="0"/>
  </r>
  <r>
    <n v="530"/>
    <n v="1274"/>
    <n v="0.33333333333333331"/>
    <x v="1"/>
    <d v="2024-02-17T00:00:00"/>
    <x v="5"/>
    <n v="10"/>
    <x v="526"/>
    <x v="0"/>
    <x v="9"/>
    <n v="3"/>
    <n v="15"/>
    <n v="45"/>
    <n v="0"/>
  </r>
  <r>
    <n v="531"/>
    <n v="1275"/>
    <n v="1"/>
    <x v="1"/>
    <d v="2024-02-17T00:00:00"/>
    <x v="5"/>
    <n v="12"/>
    <x v="527"/>
    <x v="2"/>
    <x v="11"/>
    <n v="2"/>
    <n v="35"/>
    <n v="70"/>
    <n v="1"/>
  </r>
  <r>
    <n v="532"/>
    <n v="1276"/>
    <n v="0.33333333333333331"/>
    <x v="1"/>
    <d v="2024-02-17T00:00:00"/>
    <x v="5"/>
    <n v="18"/>
    <x v="528"/>
    <x v="2"/>
    <x v="15"/>
    <n v="1"/>
    <n v="25"/>
    <n v="25"/>
    <n v="1"/>
  </r>
  <r>
    <n v="533"/>
    <n v="1276"/>
    <n v="0.33333333333333331"/>
    <x v="1"/>
    <d v="2024-02-17T00:00:00"/>
    <x v="5"/>
    <n v="9"/>
    <x v="529"/>
    <x v="1"/>
    <x v="1"/>
    <n v="2"/>
    <n v="650"/>
    <n v="1300"/>
    <n v="0"/>
  </r>
  <r>
    <n v="534"/>
    <n v="1276"/>
    <n v="0.33333333333333331"/>
    <x v="1"/>
    <d v="2024-02-17T00:00:00"/>
    <x v="5"/>
    <n v="17"/>
    <x v="530"/>
    <x v="3"/>
    <x v="17"/>
    <n v="1"/>
    <n v="60"/>
    <n v="60"/>
    <n v="0"/>
  </r>
  <r>
    <n v="535"/>
    <n v="1277"/>
    <n v="0.5"/>
    <x v="1"/>
    <d v="2024-02-17T00:00:00"/>
    <x v="5"/>
    <n v="14"/>
    <x v="531"/>
    <x v="0"/>
    <x v="0"/>
    <n v="5"/>
    <n v="20"/>
    <n v="100"/>
    <n v="1"/>
  </r>
  <r>
    <n v="536"/>
    <n v="1277"/>
    <n v="0.5"/>
    <x v="1"/>
    <d v="2024-02-17T00:00:00"/>
    <x v="5"/>
    <n v="12"/>
    <x v="532"/>
    <x v="1"/>
    <x v="4"/>
    <n v="2"/>
    <n v="600"/>
    <n v="1200"/>
    <n v="0"/>
  </r>
  <r>
    <n v="537"/>
    <n v="1278"/>
    <n v="0.5"/>
    <x v="1"/>
    <d v="2024-02-17T00:00:00"/>
    <x v="5"/>
    <n v="10"/>
    <x v="533"/>
    <x v="1"/>
    <x v="3"/>
    <n v="4"/>
    <n v="700"/>
    <n v="2800"/>
    <n v="1"/>
  </r>
  <r>
    <n v="538"/>
    <n v="1278"/>
    <n v="0.5"/>
    <x v="1"/>
    <d v="2024-02-17T00:00:00"/>
    <x v="5"/>
    <n v="12"/>
    <x v="534"/>
    <x v="2"/>
    <x v="5"/>
    <n v="1"/>
    <n v="20"/>
    <n v="20"/>
    <n v="0"/>
  </r>
  <r>
    <n v="539"/>
    <n v="1279"/>
    <n v="0.5"/>
    <x v="1"/>
    <d v="2024-02-18T00:00:00"/>
    <x v="6"/>
    <n v="13"/>
    <x v="535"/>
    <x v="0"/>
    <x v="16"/>
    <n v="4"/>
    <n v="5"/>
    <n v="20"/>
    <n v="1"/>
  </r>
  <r>
    <n v="540"/>
    <n v="1279"/>
    <n v="0.5"/>
    <x v="1"/>
    <d v="2024-02-18T00:00:00"/>
    <x v="6"/>
    <n v="15"/>
    <x v="536"/>
    <x v="3"/>
    <x v="18"/>
    <n v="2"/>
    <n v="45"/>
    <n v="90"/>
    <n v="0"/>
  </r>
  <r>
    <n v="541"/>
    <n v="1280"/>
    <n v="1"/>
    <x v="1"/>
    <d v="2024-02-18T00:00:00"/>
    <x v="6"/>
    <n v="11"/>
    <x v="537"/>
    <x v="0"/>
    <x v="9"/>
    <n v="1"/>
    <n v="15"/>
    <n v="15"/>
    <n v="1"/>
  </r>
  <r>
    <n v="542"/>
    <n v="1281"/>
    <n v="1"/>
    <x v="1"/>
    <d v="2024-02-18T00:00:00"/>
    <x v="6"/>
    <n v="11"/>
    <x v="538"/>
    <x v="1"/>
    <x v="1"/>
    <n v="4"/>
    <n v="650"/>
    <n v="2600"/>
    <n v="1"/>
  </r>
  <r>
    <n v="543"/>
    <n v="1282"/>
    <n v="0.33333333333333331"/>
    <x v="1"/>
    <d v="2024-02-18T00:00:00"/>
    <x v="6"/>
    <n v="14"/>
    <x v="539"/>
    <x v="2"/>
    <x v="11"/>
    <n v="5"/>
    <n v="35"/>
    <n v="175"/>
    <n v="1"/>
  </r>
  <r>
    <n v="544"/>
    <n v="1282"/>
    <n v="0.33333333333333331"/>
    <x v="1"/>
    <d v="2024-02-18T00:00:00"/>
    <x v="6"/>
    <n v="10"/>
    <x v="540"/>
    <x v="2"/>
    <x v="5"/>
    <n v="4"/>
    <n v="20"/>
    <n v="80"/>
    <n v="0"/>
  </r>
  <r>
    <n v="545"/>
    <n v="1282"/>
    <n v="0.33333333333333331"/>
    <x v="1"/>
    <d v="2024-02-18T00:00:00"/>
    <x v="6"/>
    <n v="14"/>
    <x v="541"/>
    <x v="2"/>
    <x v="11"/>
    <n v="2"/>
    <n v="35"/>
    <n v="70"/>
    <n v="0"/>
  </r>
  <r>
    <n v="546"/>
    <n v="1283"/>
    <n v="0.5"/>
    <x v="1"/>
    <d v="2024-02-19T00:00:00"/>
    <x v="0"/>
    <n v="14"/>
    <x v="542"/>
    <x v="2"/>
    <x v="15"/>
    <n v="4"/>
    <n v="25"/>
    <n v="100"/>
    <n v="1"/>
  </r>
  <r>
    <n v="547"/>
    <n v="1283"/>
    <n v="0.5"/>
    <x v="1"/>
    <d v="2024-02-19T00:00:00"/>
    <x v="0"/>
    <n v="20"/>
    <x v="543"/>
    <x v="2"/>
    <x v="5"/>
    <n v="5"/>
    <n v="20"/>
    <n v="100"/>
    <n v="0"/>
  </r>
  <r>
    <n v="548"/>
    <n v="1284"/>
    <n v="0.33333333333333331"/>
    <x v="1"/>
    <d v="2024-02-19T00:00:00"/>
    <x v="0"/>
    <n v="10"/>
    <x v="544"/>
    <x v="3"/>
    <x v="13"/>
    <n v="3"/>
    <n v="55"/>
    <n v="165"/>
    <n v="1"/>
  </r>
  <r>
    <n v="549"/>
    <n v="1284"/>
    <n v="0.33333333333333331"/>
    <x v="1"/>
    <d v="2024-02-19T00:00:00"/>
    <x v="0"/>
    <n v="12"/>
    <x v="545"/>
    <x v="0"/>
    <x v="7"/>
    <n v="5"/>
    <n v="25"/>
    <n v="125"/>
    <n v="0"/>
  </r>
  <r>
    <n v="550"/>
    <n v="1284"/>
    <n v="0.33333333333333331"/>
    <x v="1"/>
    <d v="2024-02-19T00:00:00"/>
    <x v="0"/>
    <n v="18"/>
    <x v="546"/>
    <x v="1"/>
    <x v="2"/>
    <n v="1"/>
    <n v="680"/>
    <n v="680"/>
    <n v="0"/>
  </r>
  <r>
    <n v="551"/>
    <n v="1285"/>
    <n v="0.33333333333333331"/>
    <x v="1"/>
    <d v="2024-02-19T00:00:00"/>
    <x v="0"/>
    <n v="20"/>
    <x v="547"/>
    <x v="3"/>
    <x v="14"/>
    <n v="4"/>
    <n v="40"/>
    <n v="160"/>
    <n v="1"/>
  </r>
  <r>
    <n v="552"/>
    <n v="1285"/>
    <n v="0.33333333333333331"/>
    <x v="1"/>
    <d v="2024-02-19T00:00:00"/>
    <x v="0"/>
    <n v="17"/>
    <x v="548"/>
    <x v="2"/>
    <x v="5"/>
    <n v="5"/>
    <n v="20"/>
    <n v="100"/>
    <n v="0"/>
  </r>
  <r>
    <n v="553"/>
    <n v="1285"/>
    <n v="0.33333333333333331"/>
    <x v="1"/>
    <d v="2024-02-19T00:00:00"/>
    <x v="0"/>
    <n v="9"/>
    <x v="549"/>
    <x v="3"/>
    <x v="14"/>
    <n v="4"/>
    <n v="40"/>
    <n v="160"/>
    <n v="0"/>
  </r>
  <r>
    <n v="554"/>
    <n v="1286"/>
    <n v="1"/>
    <x v="1"/>
    <d v="2024-02-20T00:00:00"/>
    <x v="1"/>
    <n v="20"/>
    <x v="550"/>
    <x v="3"/>
    <x v="17"/>
    <n v="3"/>
    <n v="60"/>
    <n v="180"/>
    <n v="1"/>
  </r>
  <r>
    <n v="555"/>
    <n v="1287"/>
    <n v="0.5"/>
    <x v="1"/>
    <d v="2024-02-20T00:00:00"/>
    <x v="1"/>
    <n v="18"/>
    <x v="551"/>
    <x v="1"/>
    <x v="12"/>
    <n v="3"/>
    <n v="1000"/>
    <n v="3000"/>
    <n v="1"/>
  </r>
  <r>
    <n v="556"/>
    <n v="1287"/>
    <n v="0.5"/>
    <x v="1"/>
    <d v="2024-02-20T00:00:00"/>
    <x v="1"/>
    <n v="11"/>
    <x v="552"/>
    <x v="0"/>
    <x v="7"/>
    <n v="5"/>
    <n v="25"/>
    <n v="125"/>
    <n v="0"/>
  </r>
  <r>
    <n v="557"/>
    <n v="1288"/>
    <n v="0.5"/>
    <x v="1"/>
    <d v="2024-02-20T00:00:00"/>
    <x v="1"/>
    <n v="12"/>
    <x v="553"/>
    <x v="1"/>
    <x v="4"/>
    <n v="5"/>
    <n v="600"/>
    <n v="3000"/>
    <n v="1"/>
  </r>
  <r>
    <n v="558"/>
    <n v="1288"/>
    <n v="0.5"/>
    <x v="1"/>
    <d v="2024-02-20T00:00:00"/>
    <x v="1"/>
    <n v="13"/>
    <x v="554"/>
    <x v="1"/>
    <x v="3"/>
    <n v="2"/>
    <n v="700"/>
    <n v="1400"/>
    <n v="0"/>
  </r>
  <r>
    <n v="559"/>
    <n v="1289"/>
    <n v="0.33333333333333331"/>
    <x v="1"/>
    <d v="2024-02-20T00:00:00"/>
    <x v="1"/>
    <n v="18"/>
    <x v="555"/>
    <x v="1"/>
    <x v="3"/>
    <n v="5"/>
    <n v="700"/>
    <n v="3500"/>
    <n v="1"/>
  </r>
  <r>
    <n v="560"/>
    <n v="1289"/>
    <n v="0.33333333333333331"/>
    <x v="1"/>
    <d v="2024-02-20T00:00:00"/>
    <x v="1"/>
    <n v="16"/>
    <x v="556"/>
    <x v="2"/>
    <x v="11"/>
    <n v="1"/>
    <n v="35"/>
    <n v="35"/>
    <n v="0"/>
  </r>
  <r>
    <n v="561"/>
    <n v="1289"/>
    <n v="0.33333333333333331"/>
    <x v="1"/>
    <d v="2024-02-20T00:00:00"/>
    <x v="1"/>
    <n v="14"/>
    <x v="557"/>
    <x v="2"/>
    <x v="11"/>
    <n v="2"/>
    <n v="35"/>
    <n v="70"/>
    <n v="0"/>
  </r>
  <r>
    <n v="562"/>
    <n v="1290"/>
    <n v="1"/>
    <x v="1"/>
    <d v="2024-02-20T00:00:00"/>
    <x v="1"/>
    <n v="17"/>
    <x v="558"/>
    <x v="3"/>
    <x v="18"/>
    <n v="1"/>
    <n v="45"/>
    <n v="45"/>
    <n v="1"/>
  </r>
  <r>
    <n v="563"/>
    <n v="1291"/>
    <n v="0.33333333333333331"/>
    <x v="1"/>
    <d v="2024-02-20T00:00:00"/>
    <x v="1"/>
    <n v="9"/>
    <x v="559"/>
    <x v="3"/>
    <x v="6"/>
    <n v="1"/>
    <n v="50"/>
    <n v="50"/>
    <n v="1"/>
  </r>
  <r>
    <n v="564"/>
    <n v="1291"/>
    <n v="0.33333333333333331"/>
    <x v="1"/>
    <d v="2024-02-20T00:00:00"/>
    <x v="1"/>
    <n v="14"/>
    <x v="560"/>
    <x v="3"/>
    <x v="18"/>
    <n v="4"/>
    <n v="45"/>
    <n v="180"/>
    <n v="0"/>
  </r>
  <r>
    <n v="565"/>
    <n v="1291"/>
    <n v="0.33333333333333331"/>
    <x v="1"/>
    <d v="2024-02-20T00:00:00"/>
    <x v="1"/>
    <n v="10"/>
    <x v="561"/>
    <x v="3"/>
    <x v="14"/>
    <n v="1"/>
    <n v="40"/>
    <n v="40"/>
    <n v="0"/>
  </r>
  <r>
    <n v="566"/>
    <n v="1292"/>
    <n v="0.5"/>
    <x v="1"/>
    <d v="2024-02-20T00:00:00"/>
    <x v="1"/>
    <n v="16"/>
    <x v="562"/>
    <x v="3"/>
    <x v="18"/>
    <n v="5"/>
    <n v="45"/>
    <n v="225"/>
    <n v="1"/>
  </r>
  <r>
    <n v="567"/>
    <n v="1292"/>
    <n v="0.5"/>
    <x v="1"/>
    <d v="2024-02-20T00:00:00"/>
    <x v="1"/>
    <n v="16"/>
    <x v="563"/>
    <x v="3"/>
    <x v="17"/>
    <n v="5"/>
    <n v="60"/>
    <n v="300"/>
    <n v="0"/>
  </r>
  <r>
    <n v="568"/>
    <n v="1293"/>
    <n v="0.33333333333333331"/>
    <x v="1"/>
    <d v="2024-02-20T00:00:00"/>
    <x v="1"/>
    <n v="16"/>
    <x v="564"/>
    <x v="3"/>
    <x v="17"/>
    <n v="5"/>
    <n v="60"/>
    <n v="300"/>
    <n v="1"/>
  </r>
  <r>
    <n v="569"/>
    <n v="1293"/>
    <n v="0.33333333333333331"/>
    <x v="1"/>
    <d v="2024-02-20T00:00:00"/>
    <x v="1"/>
    <n v="12"/>
    <x v="565"/>
    <x v="2"/>
    <x v="10"/>
    <n v="1"/>
    <n v="30"/>
    <n v="30"/>
    <n v="0"/>
  </r>
  <r>
    <n v="570"/>
    <n v="1293"/>
    <n v="0.33333333333333331"/>
    <x v="1"/>
    <d v="2024-02-20T00:00:00"/>
    <x v="1"/>
    <n v="14"/>
    <x v="566"/>
    <x v="2"/>
    <x v="15"/>
    <n v="3"/>
    <n v="25"/>
    <n v="75"/>
    <n v="0"/>
  </r>
  <r>
    <n v="571"/>
    <n v="1294"/>
    <n v="1"/>
    <x v="1"/>
    <d v="2024-02-20T00:00:00"/>
    <x v="1"/>
    <n v="17"/>
    <x v="567"/>
    <x v="1"/>
    <x v="2"/>
    <n v="1"/>
    <n v="680"/>
    <n v="680"/>
    <n v="1"/>
  </r>
  <r>
    <n v="572"/>
    <n v="1295"/>
    <n v="0.5"/>
    <x v="1"/>
    <d v="2024-02-20T00:00:00"/>
    <x v="1"/>
    <n v="16"/>
    <x v="568"/>
    <x v="1"/>
    <x v="1"/>
    <n v="2"/>
    <n v="650"/>
    <n v="1300"/>
    <n v="1"/>
  </r>
  <r>
    <n v="573"/>
    <n v="1295"/>
    <n v="0.5"/>
    <x v="1"/>
    <d v="2024-02-20T00:00:00"/>
    <x v="1"/>
    <n v="13"/>
    <x v="569"/>
    <x v="0"/>
    <x v="7"/>
    <n v="5"/>
    <n v="25"/>
    <n v="125"/>
    <n v="0"/>
  </r>
  <r>
    <n v="574"/>
    <n v="1296"/>
    <n v="0.5"/>
    <x v="1"/>
    <d v="2024-02-21T00:00:00"/>
    <x v="2"/>
    <n v="13"/>
    <x v="570"/>
    <x v="2"/>
    <x v="5"/>
    <n v="5"/>
    <n v="20"/>
    <n v="100"/>
    <n v="1"/>
  </r>
  <r>
    <n v="575"/>
    <n v="1296"/>
    <n v="0.5"/>
    <x v="1"/>
    <d v="2024-02-21T00:00:00"/>
    <x v="2"/>
    <n v="19"/>
    <x v="571"/>
    <x v="3"/>
    <x v="18"/>
    <n v="1"/>
    <n v="45"/>
    <n v="45"/>
    <n v="0"/>
  </r>
  <r>
    <n v="576"/>
    <n v="1297"/>
    <n v="0.5"/>
    <x v="1"/>
    <d v="2024-02-21T00:00:00"/>
    <x v="2"/>
    <n v="12"/>
    <x v="572"/>
    <x v="1"/>
    <x v="12"/>
    <n v="4"/>
    <n v="1000"/>
    <n v="4000"/>
    <n v="1"/>
  </r>
  <r>
    <n v="577"/>
    <n v="1297"/>
    <n v="0.5"/>
    <x v="1"/>
    <d v="2024-02-21T00:00:00"/>
    <x v="2"/>
    <n v="10"/>
    <x v="573"/>
    <x v="1"/>
    <x v="2"/>
    <n v="4"/>
    <n v="680"/>
    <n v="2720"/>
    <n v="0"/>
  </r>
  <r>
    <n v="578"/>
    <n v="1298"/>
    <n v="1"/>
    <x v="1"/>
    <d v="2024-02-21T00:00:00"/>
    <x v="2"/>
    <n v="17"/>
    <x v="574"/>
    <x v="3"/>
    <x v="17"/>
    <n v="5"/>
    <n v="60"/>
    <n v="300"/>
    <n v="1"/>
  </r>
  <r>
    <n v="579"/>
    <n v="1299"/>
    <n v="0.5"/>
    <x v="1"/>
    <d v="2024-02-21T00:00:00"/>
    <x v="2"/>
    <n v="14"/>
    <x v="575"/>
    <x v="2"/>
    <x v="5"/>
    <n v="1"/>
    <n v="20"/>
    <n v="20"/>
    <n v="1"/>
  </r>
  <r>
    <n v="580"/>
    <n v="1299"/>
    <n v="0.5"/>
    <x v="1"/>
    <d v="2024-02-21T00:00:00"/>
    <x v="2"/>
    <n v="10"/>
    <x v="576"/>
    <x v="3"/>
    <x v="13"/>
    <n v="2"/>
    <n v="55"/>
    <n v="110"/>
    <n v="0"/>
  </r>
  <r>
    <n v="581"/>
    <n v="1300"/>
    <n v="1"/>
    <x v="1"/>
    <d v="2024-02-21T00:00:00"/>
    <x v="2"/>
    <n v="17"/>
    <x v="577"/>
    <x v="3"/>
    <x v="18"/>
    <n v="4"/>
    <n v="45"/>
    <n v="180"/>
    <n v="1"/>
  </r>
  <r>
    <n v="582"/>
    <n v="1301"/>
    <n v="0.33333333333333331"/>
    <x v="1"/>
    <d v="2024-02-21T00:00:00"/>
    <x v="2"/>
    <n v="11"/>
    <x v="578"/>
    <x v="0"/>
    <x v="9"/>
    <n v="5"/>
    <n v="15"/>
    <n v="75"/>
    <n v="1"/>
  </r>
  <r>
    <n v="583"/>
    <n v="1301"/>
    <n v="0.33333333333333331"/>
    <x v="1"/>
    <d v="2024-02-21T00:00:00"/>
    <x v="2"/>
    <n v="11"/>
    <x v="579"/>
    <x v="2"/>
    <x v="11"/>
    <n v="2"/>
    <n v="35"/>
    <n v="70"/>
    <n v="0"/>
  </r>
  <r>
    <n v="584"/>
    <n v="1301"/>
    <n v="0.33333333333333331"/>
    <x v="1"/>
    <d v="2024-02-21T00:00:00"/>
    <x v="2"/>
    <n v="12"/>
    <x v="580"/>
    <x v="2"/>
    <x v="10"/>
    <n v="1"/>
    <n v="30"/>
    <n v="30"/>
    <n v="0"/>
  </r>
  <r>
    <n v="585"/>
    <n v="1302"/>
    <n v="0.33333333333333331"/>
    <x v="1"/>
    <d v="2024-02-21T00:00:00"/>
    <x v="2"/>
    <n v="15"/>
    <x v="581"/>
    <x v="3"/>
    <x v="6"/>
    <n v="4"/>
    <n v="50"/>
    <n v="200"/>
    <n v="1"/>
  </r>
  <r>
    <n v="586"/>
    <n v="1302"/>
    <n v="0.33333333333333331"/>
    <x v="1"/>
    <d v="2024-02-21T00:00:00"/>
    <x v="2"/>
    <n v="18"/>
    <x v="582"/>
    <x v="1"/>
    <x v="12"/>
    <n v="3"/>
    <n v="1000"/>
    <n v="3000"/>
    <n v="0"/>
  </r>
  <r>
    <n v="587"/>
    <n v="1302"/>
    <n v="0.33333333333333331"/>
    <x v="1"/>
    <d v="2024-02-21T00:00:00"/>
    <x v="2"/>
    <n v="16"/>
    <x v="583"/>
    <x v="3"/>
    <x v="14"/>
    <n v="4"/>
    <n v="40"/>
    <n v="160"/>
    <n v="0"/>
  </r>
  <r>
    <n v="588"/>
    <n v="1303"/>
    <n v="0.5"/>
    <x v="1"/>
    <d v="2024-02-21T00:00:00"/>
    <x v="2"/>
    <n v="14"/>
    <x v="584"/>
    <x v="3"/>
    <x v="6"/>
    <n v="3"/>
    <n v="50"/>
    <n v="150"/>
    <n v="1"/>
  </r>
  <r>
    <n v="589"/>
    <n v="1303"/>
    <n v="0.5"/>
    <x v="1"/>
    <d v="2024-02-21T00:00:00"/>
    <x v="2"/>
    <n v="18"/>
    <x v="585"/>
    <x v="1"/>
    <x v="3"/>
    <n v="3"/>
    <n v="700"/>
    <n v="2100"/>
    <n v="0"/>
  </r>
  <r>
    <n v="590"/>
    <n v="1304"/>
    <n v="0.33333333333333331"/>
    <x v="1"/>
    <d v="2024-02-21T00:00:00"/>
    <x v="2"/>
    <n v="16"/>
    <x v="586"/>
    <x v="1"/>
    <x v="2"/>
    <n v="2"/>
    <n v="680"/>
    <n v="1360"/>
    <n v="1"/>
  </r>
  <r>
    <n v="591"/>
    <n v="1304"/>
    <n v="0.33333333333333331"/>
    <x v="1"/>
    <d v="2024-02-21T00:00:00"/>
    <x v="2"/>
    <n v="20"/>
    <x v="587"/>
    <x v="0"/>
    <x v="0"/>
    <n v="1"/>
    <n v="20"/>
    <n v="20"/>
    <n v="0"/>
  </r>
  <r>
    <n v="592"/>
    <n v="1304"/>
    <n v="0.33333333333333331"/>
    <x v="1"/>
    <d v="2024-02-21T00:00:00"/>
    <x v="2"/>
    <n v="10"/>
    <x v="588"/>
    <x v="0"/>
    <x v="7"/>
    <n v="4"/>
    <n v="25"/>
    <n v="100"/>
    <n v="0"/>
  </r>
  <r>
    <n v="593"/>
    <n v="1305"/>
    <n v="0.33333333333333331"/>
    <x v="1"/>
    <d v="2024-02-22T00:00:00"/>
    <x v="3"/>
    <n v="11"/>
    <x v="589"/>
    <x v="1"/>
    <x v="3"/>
    <n v="3"/>
    <n v="700"/>
    <n v="2100"/>
    <n v="1"/>
  </r>
  <r>
    <n v="594"/>
    <n v="1305"/>
    <n v="0.33333333333333331"/>
    <x v="1"/>
    <d v="2024-02-22T00:00:00"/>
    <x v="3"/>
    <n v="12"/>
    <x v="590"/>
    <x v="3"/>
    <x v="18"/>
    <n v="4"/>
    <n v="45"/>
    <n v="180"/>
    <n v="0"/>
  </r>
  <r>
    <n v="595"/>
    <n v="1305"/>
    <n v="0.33333333333333331"/>
    <x v="1"/>
    <d v="2024-02-22T00:00:00"/>
    <x v="3"/>
    <n v="9"/>
    <x v="591"/>
    <x v="1"/>
    <x v="2"/>
    <n v="1"/>
    <n v="680"/>
    <n v="680"/>
    <n v="0"/>
  </r>
  <r>
    <n v="596"/>
    <n v="1306"/>
    <n v="0.33333333333333331"/>
    <x v="1"/>
    <d v="2024-02-22T00:00:00"/>
    <x v="3"/>
    <n v="16"/>
    <x v="592"/>
    <x v="1"/>
    <x v="3"/>
    <n v="3"/>
    <n v="700"/>
    <n v="2100"/>
    <n v="1"/>
  </r>
  <r>
    <n v="597"/>
    <n v="1306"/>
    <n v="0.33333333333333331"/>
    <x v="1"/>
    <d v="2024-02-22T00:00:00"/>
    <x v="3"/>
    <n v="12"/>
    <x v="593"/>
    <x v="0"/>
    <x v="16"/>
    <n v="4"/>
    <n v="5"/>
    <n v="20"/>
    <n v="0"/>
  </r>
  <r>
    <n v="598"/>
    <n v="1306"/>
    <n v="0.33333333333333331"/>
    <x v="1"/>
    <d v="2024-02-22T00:00:00"/>
    <x v="3"/>
    <n v="15"/>
    <x v="594"/>
    <x v="0"/>
    <x v="8"/>
    <n v="1"/>
    <n v="10"/>
    <n v="10"/>
    <n v="0"/>
  </r>
  <r>
    <n v="599"/>
    <n v="1307"/>
    <n v="1"/>
    <x v="1"/>
    <d v="2024-02-22T00:00:00"/>
    <x v="3"/>
    <n v="18"/>
    <x v="595"/>
    <x v="1"/>
    <x v="1"/>
    <n v="2"/>
    <n v="650"/>
    <n v="1300"/>
    <n v="1"/>
  </r>
  <r>
    <n v="600"/>
    <n v="1308"/>
    <n v="0.5"/>
    <x v="1"/>
    <d v="2024-02-22T00:00:00"/>
    <x v="3"/>
    <n v="14"/>
    <x v="596"/>
    <x v="2"/>
    <x v="11"/>
    <n v="4"/>
    <n v="35"/>
    <n v="140"/>
    <n v="1"/>
  </r>
  <r>
    <n v="601"/>
    <n v="1308"/>
    <n v="0.5"/>
    <x v="1"/>
    <d v="2024-02-22T00:00:00"/>
    <x v="3"/>
    <n v="17"/>
    <x v="597"/>
    <x v="3"/>
    <x v="18"/>
    <n v="1"/>
    <n v="45"/>
    <n v="45"/>
    <n v="0"/>
  </r>
  <r>
    <n v="602"/>
    <n v="1309"/>
    <n v="0.5"/>
    <x v="1"/>
    <d v="2024-02-22T00:00:00"/>
    <x v="3"/>
    <n v="17"/>
    <x v="598"/>
    <x v="0"/>
    <x v="0"/>
    <n v="5"/>
    <n v="20"/>
    <n v="100"/>
    <n v="1"/>
  </r>
  <r>
    <n v="603"/>
    <n v="1309"/>
    <n v="0.5"/>
    <x v="1"/>
    <d v="2024-02-22T00:00:00"/>
    <x v="3"/>
    <n v="13"/>
    <x v="599"/>
    <x v="1"/>
    <x v="12"/>
    <n v="2"/>
    <n v="1000"/>
    <n v="2000"/>
    <n v="0"/>
  </r>
  <r>
    <n v="604"/>
    <n v="1310"/>
    <n v="0.5"/>
    <x v="1"/>
    <d v="2024-02-22T00:00:00"/>
    <x v="3"/>
    <n v="17"/>
    <x v="600"/>
    <x v="0"/>
    <x v="16"/>
    <n v="5"/>
    <n v="5"/>
    <n v="25"/>
    <n v="1"/>
  </r>
  <r>
    <n v="605"/>
    <n v="1310"/>
    <n v="0.5"/>
    <x v="1"/>
    <d v="2024-02-22T00:00:00"/>
    <x v="3"/>
    <n v="16"/>
    <x v="601"/>
    <x v="3"/>
    <x v="17"/>
    <n v="4"/>
    <n v="60"/>
    <n v="240"/>
    <n v="0"/>
  </r>
  <r>
    <n v="606"/>
    <n v="1311"/>
    <n v="1"/>
    <x v="1"/>
    <d v="2024-02-22T00:00:00"/>
    <x v="3"/>
    <n v="18"/>
    <x v="602"/>
    <x v="2"/>
    <x v="10"/>
    <n v="4"/>
    <n v="30"/>
    <n v="120"/>
    <n v="1"/>
  </r>
  <r>
    <n v="607"/>
    <n v="1312"/>
    <n v="0.5"/>
    <x v="1"/>
    <d v="2024-02-22T00:00:00"/>
    <x v="3"/>
    <n v="10"/>
    <x v="603"/>
    <x v="2"/>
    <x v="15"/>
    <n v="5"/>
    <n v="25"/>
    <n v="125"/>
    <n v="1"/>
  </r>
  <r>
    <n v="608"/>
    <n v="1312"/>
    <n v="0.5"/>
    <x v="1"/>
    <d v="2024-02-22T00:00:00"/>
    <x v="3"/>
    <n v="9"/>
    <x v="227"/>
    <x v="2"/>
    <x v="15"/>
    <n v="4"/>
    <n v="25"/>
    <n v="100"/>
    <n v="0"/>
  </r>
  <r>
    <n v="609"/>
    <n v="1313"/>
    <n v="0.5"/>
    <x v="1"/>
    <d v="2024-02-22T00:00:00"/>
    <x v="3"/>
    <n v="14"/>
    <x v="604"/>
    <x v="3"/>
    <x v="13"/>
    <n v="5"/>
    <n v="55"/>
    <n v="275"/>
    <n v="1"/>
  </r>
  <r>
    <n v="610"/>
    <n v="1313"/>
    <n v="0.5"/>
    <x v="1"/>
    <d v="2024-02-22T00:00:00"/>
    <x v="3"/>
    <n v="10"/>
    <x v="605"/>
    <x v="3"/>
    <x v="6"/>
    <n v="4"/>
    <n v="50"/>
    <n v="200"/>
    <n v="0"/>
  </r>
  <r>
    <n v="611"/>
    <n v="1314"/>
    <n v="1"/>
    <x v="1"/>
    <d v="2024-02-23T00:00:00"/>
    <x v="4"/>
    <n v="13"/>
    <x v="606"/>
    <x v="1"/>
    <x v="3"/>
    <n v="4"/>
    <n v="700"/>
    <n v="2800"/>
    <n v="1"/>
  </r>
  <r>
    <n v="612"/>
    <n v="1315"/>
    <n v="0.5"/>
    <x v="1"/>
    <d v="2024-02-23T00:00:00"/>
    <x v="4"/>
    <n v="14"/>
    <x v="607"/>
    <x v="0"/>
    <x v="16"/>
    <n v="4"/>
    <n v="5"/>
    <n v="20"/>
    <n v="1"/>
  </r>
  <r>
    <n v="613"/>
    <n v="1315"/>
    <n v="0.5"/>
    <x v="1"/>
    <d v="2024-02-23T00:00:00"/>
    <x v="4"/>
    <n v="10"/>
    <x v="608"/>
    <x v="1"/>
    <x v="4"/>
    <n v="1"/>
    <n v="600"/>
    <n v="600"/>
    <n v="0"/>
  </r>
  <r>
    <n v="614"/>
    <n v="1316"/>
    <n v="0.5"/>
    <x v="1"/>
    <d v="2024-02-23T00:00:00"/>
    <x v="4"/>
    <n v="19"/>
    <x v="609"/>
    <x v="0"/>
    <x v="0"/>
    <n v="5"/>
    <n v="20"/>
    <n v="100"/>
    <n v="1"/>
  </r>
  <r>
    <n v="615"/>
    <n v="1316"/>
    <n v="0.5"/>
    <x v="1"/>
    <d v="2024-02-23T00:00:00"/>
    <x v="4"/>
    <n v="10"/>
    <x v="610"/>
    <x v="2"/>
    <x v="10"/>
    <n v="3"/>
    <n v="30"/>
    <n v="90"/>
    <n v="0"/>
  </r>
  <r>
    <n v="616"/>
    <n v="1317"/>
    <n v="0.5"/>
    <x v="1"/>
    <d v="2024-02-23T00:00:00"/>
    <x v="4"/>
    <n v="12"/>
    <x v="611"/>
    <x v="0"/>
    <x v="16"/>
    <n v="3"/>
    <n v="5"/>
    <n v="15"/>
    <n v="1"/>
  </r>
  <r>
    <n v="617"/>
    <n v="1317"/>
    <n v="0.5"/>
    <x v="1"/>
    <d v="2024-02-23T00:00:00"/>
    <x v="4"/>
    <n v="12"/>
    <x v="612"/>
    <x v="2"/>
    <x v="15"/>
    <n v="5"/>
    <n v="25"/>
    <n v="125"/>
    <n v="0"/>
  </r>
  <r>
    <n v="618"/>
    <n v="1318"/>
    <n v="1"/>
    <x v="1"/>
    <d v="2024-02-23T00:00:00"/>
    <x v="4"/>
    <n v="17"/>
    <x v="613"/>
    <x v="0"/>
    <x v="9"/>
    <n v="2"/>
    <n v="15"/>
    <n v="30"/>
    <n v="1"/>
  </r>
  <r>
    <n v="619"/>
    <n v="1319"/>
    <n v="0.33333333333333331"/>
    <x v="1"/>
    <d v="2024-02-23T00:00:00"/>
    <x v="4"/>
    <n v="13"/>
    <x v="614"/>
    <x v="0"/>
    <x v="8"/>
    <n v="4"/>
    <n v="10"/>
    <n v="40"/>
    <n v="1"/>
  </r>
  <r>
    <n v="620"/>
    <n v="1319"/>
    <n v="0.33333333333333331"/>
    <x v="1"/>
    <d v="2024-02-23T00:00:00"/>
    <x v="4"/>
    <n v="13"/>
    <x v="615"/>
    <x v="0"/>
    <x v="16"/>
    <n v="4"/>
    <n v="5"/>
    <n v="20"/>
    <n v="0"/>
  </r>
  <r>
    <n v="621"/>
    <n v="1319"/>
    <n v="0.33333333333333331"/>
    <x v="1"/>
    <d v="2024-02-23T00:00:00"/>
    <x v="4"/>
    <n v="17"/>
    <x v="616"/>
    <x v="3"/>
    <x v="14"/>
    <n v="2"/>
    <n v="40"/>
    <n v="80"/>
    <n v="0"/>
  </r>
  <r>
    <n v="622"/>
    <n v="1320"/>
    <n v="0.33333333333333331"/>
    <x v="1"/>
    <d v="2024-02-23T00:00:00"/>
    <x v="4"/>
    <n v="12"/>
    <x v="617"/>
    <x v="1"/>
    <x v="1"/>
    <n v="2"/>
    <n v="650"/>
    <n v="1300"/>
    <n v="1"/>
  </r>
  <r>
    <n v="623"/>
    <n v="1320"/>
    <n v="0.33333333333333331"/>
    <x v="1"/>
    <d v="2024-02-23T00:00:00"/>
    <x v="4"/>
    <n v="14"/>
    <x v="618"/>
    <x v="2"/>
    <x v="10"/>
    <n v="2"/>
    <n v="30"/>
    <n v="60"/>
    <n v="0"/>
  </r>
  <r>
    <n v="624"/>
    <n v="1320"/>
    <n v="0.33333333333333331"/>
    <x v="1"/>
    <d v="2024-02-23T00:00:00"/>
    <x v="4"/>
    <n v="13"/>
    <x v="619"/>
    <x v="3"/>
    <x v="18"/>
    <n v="3"/>
    <n v="45"/>
    <n v="135"/>
    <n v="0"/>
  </r>
  <r>
    <n v="625"/>
    <n v="1321"/>
    <n v="0.5"/>
    <x v="1"/>
    <d v="2024-02-24T00:00:00"/>
    <x v="5"/>
    <n v="15"/>
    <x v="620"/>
    <x v="3"/>
    <x v="6"/>
    <n v="2"/>
    <n v="50"/>
    <n v="100"/>
    <n v="1"/>
  </r>
  <r>
    <n v="626"/>
    <n v="1321"/>
    <n v="0.5"/>
    <x v="1"/>
    <d v="2024-02-24T00:00:00"/>
    <x v="5"/>
    <n v="12"/>
    <x v="621"/>
    <x v="2"/>
    <x v="15"/>
    <n v="5"/>
    <n v="25"/>
    <n v="125"/>
    <n v="0"/>
  </r>
  <r>
    <n v="627"/>
    <n v="1322"/>
    <n v="1"/>
    <x v="1"/>
    <d v="2024-02-24T00:00:00"/>
    <x v="5"/>
    <n v="19"/>
    <x v="622"/>
    <x v="1"/>
    <x v="1"/>
    <n v="2"/>
    <n v="650"/>
    <n v="1300"/>
    <n v="1"/>
  </r>
  <r>
    <n v="628"/>
    <n v="1323"/>
    <n v="0.33333333333333331"/>
    <x v="1"/>
    <d v="2024-02-24T00:00:00"/>
    <x v="5"/>
    <n v="11"/>
    <x v="623"/>
    <x v="3"/>
    <x v="6"/>
    <n v="2"/>
    <n v="50"/>
    <n v="100"/>
    <n v="1"/>
  </r>
  <r>
    <n v="629"/>
    <n v="1323"/>
    <n v="0.33333333333333331"/>
    <x v="1"/>
    <d v="2024-02-24T00:00:00"/>
    <x v="5"/>
    <n v="16"/>
    <x v="624"/>
    <x v="1"/>
    <x v="2"/>
    <n v="1"/>
    <n v="680"/>
    <n v="680"/>
    <n v="0"/>
  </r>
  <r>
    <n v="630"/>
    <n v="1323"/>
    <n v="0.33333333333333331"/>
    <x v="1"/>
    <d v="2024-02-24T00:00:00"/>
    <x v="5"/>
    <n v="13"/>
    <x v="625"/>
    <x v="1"/>
    <x v="12"/>
    <n v="2"/>
    <n v="1000"/>
    <n v="2000"/>
    <n v="0"/>
  </r>
  <r>
    <n v="631"/>
    <n v="1324"/>
    <n v="0.33333333333333331"/>
    <x v="1"/>
    <d v="2024-02-24T00:00:00"/>
    <x v="5"/>
    <n v="9"/>
    <x v="626"/>
    <x v="0"/>
    <x v="7"/>
    <n v="2"/>
    <n v="25"/>
    <n v="50"/>
    <n v="1"/>
  </r>
  <r>
    <n v="632"/>
    <n v="1324"/>
    <n v="0.33333333333333331"/>
    <x v="1"/>
    <d v="2024-02-24T00:00:00"/>
    <x v="5"/>
    <n v="20"/>
    <x v="627"/>
    <x v="0"/>
    <x v="8"/>
    <n v="1"/>
    <n v="10"/>
    <n v="10"/>
    <n v="0"/>
  </r>
  <r>
    <n v="633"/>
    <n v="1324"/>
    <n v="0.33333333333333331"/>
    <x v="1"/>
    <d v="2024-02-24T00:00:00"/>
    <x v="5"/>
    <n v="13"/>
    <x v="628"/>
    <x v="3"/>
    <x v="17"/>
    <n v="2"/>
    <n v="60"/>
    <n v="120"/>
    <n v="0"/>
  </r>
  <r>
    <n v="634"/>
    <n v="1325"/>
    <n v="1"/>
    <x v="1"/>
    <d v="2024-02-24T00:00:00"/>
    <x v="5"/>
    <n v="18"/>
    <x v="629"/>
    <x v="2"/>
    <x v="15"/>
    <n v="3"/>
    <n v="25"/>
    <n v="75"/>
    <n v="1"/>
  </r>
  <r>
    <n v="635"/>
    <n v="1326"/>
    <n v="1"/>
    <x v="1"/>
    <d v="2024-02-24T00:00:00"/>
    <x v="5"/>
    <n v="12"/>
    <x v="630"/>
    <x v="3"/>
    <x v="18"/>
    <n v="5"/>
    <n v="45"/>
    <n v="225"/>
    <n v="1"/>
  </r>
  <r>
    <n v="636"/>
    <n v="1327"/>
    <n v="0.33333333333333331"/>
    <x v="1"/>
    <d v="2024-02-24T00:00:00"/>
    <x v="5"/>
    <n v="13"/>
    <x v="631"/>
    <x v="3"/>
    <x v="18"/>
    <n v="4"/>
    <n v="45"/>
    <n v="180"/>
    <n v="1"/>
  </r>
  <r>
    <n v="637"/>
    <n v="1327"/>
    <n v="0.33333333333333331"/>
    <x v="1"/>
    <d v="2024-02-24T00:00:00"/>
    <x v="5"/>
    <n v="11"/>
    <x v="632"/>
    <x v="0"/>
    <x v="16"/>
    <n v="5"/>
    <n v="5"/>
    <n v="25"/>
    <n v="0"/>
  </r>
  <r>
    <n v="638"/>
    <n v="1327"/>
    <n v="0.33333333333333331"/>
    <x v="1"/>
    <d v="2024-02-24T00:00:00"/>
    <x v="5"/>
    <n v="17"/>
    <x v="633"/>
    <x v="2"/>
    <x v="11"/>
    <n v="4"/>
    <n v="35"/>
    <n v="140"/>
    <n v="0"/>
  </r>
  <r>
    <n v="639"/>
    <n v="1328"/>
    <n v="0.5"/>
    <x v="1"/>
    <d v="2024-02-25T00:00:00"/>
    <x v="6"/>
    <n v="20"/>
    <x v="634"/>
    <x v="1"/>
    <x v="3"/>
    <n v="3"/>
    <n v="700"/>
    <n v="2100"/>
    <n v="1"/>
  </r>
  <r>
    <n v="640"/>
    <n v="1328"/>
    <n v="0.5"/>
    <x v="1"/>
    <d v="2024-02-25T00:00:00"/>
    <x v="6"/>
    <n v="11"/>
    <x v="635"/>
    <x v="1"/>
    <x v="3"/>
    <n v="3"/>
    <n v="700"/>
    <n v="2100"/>
    <n v="0"/>
  </r>
  <r>
    <n v="641"/>
    <n v="1329"/>
    <n v="0.33333333333333331"/>
    <x v="1"/>
    <d v="2024-02-25T00:00:00"/>
    <x v="6"/>
    <n v="11"/>
    <x v="636"/>
    <x v="2"/>
    <x v="15"/>
    <n v="4"/>
    <n v="25"/>
    <n v="100"/>
    <n v="1"/>
  </r>
  <r>
    <n v="642"/>
    <n v="1329"/>
    <n v="0.33333333333333331"/>
    <x v="1"/>
    <d v="2024-02-25T00:00:00"/>
    <x v="6"/>
    <n v="12"/>
    <x v="637"/>
    <x v="3"/>
    <x v="6"/>
    <n v="2"/>
    <n v="50"/>
    <n v="100"/>
    <n v="0"/>
  </r>
  <r>
    <n v="643"/>
    <n v="1329"/>
    <n v="0.33333333333333331"/>
    <x v="1"/>
    <d v="2024-02-25T00:00:00"/>
    <x v="6"/>
    <n v="19"/>
    <x v="638"/>
    <x v="3"/>
    <x v="6"/>
    <n v="4"/>
    <n v="50"/>
    <n v="200"/>
    <n v="0"/>
  </r>
  <r>
    <n v="644"/>
    <n v="1330"/>
    <n v="0.33333333333333331"/>
    <x v="1"/>
    <d v="2024-02-25T00:00:00"/>
    <x v="6"/>
    <n v="17"/>
    <x v="639"/>
    <x v="2"/>
    <x v="15"/>
    <n v="4"/>
    <n v="25"/>
    <n v="100"/>
    <n v="1"/>
  </r>
  <r>
    <n v="645"/>
    <n v="1330"/>
    <n v="0.33333333333333331"/>
    <x v="1"/>
    <d v="2024-02-25T00:00:00"/>
    <x v="6"/>
    <n v="10"/>
    <x v="640"/>
    <x v="3"/>
    <x v="18"/>
    <n v="2"/>
    <n v="45"/>
    <n v="90"/>
    <n v="0"/>
  </r>
  <r>
    <n v="646"/>
    <n v="1330"/>
    <n v="0.33333333333333331"/>
    <x v="1"/>
    <d v="2024-02-25T00:00:00"/>
    <x v="6"/>
    <n v="10"/>
    <x v="641"/>
    <x v="2"/>
    <x v="5"/>
    <n v="2"/>
    <n v="20"/>
    <n v="40"/>
    <n v="0"/>
  </r>
  <r>
    <n v="647"/>
    <n v="1331"/>
    <n v="0.5"/>
    <x v="1"/>
    <d v="2024-02-25T00:00:00"/>
    <x v="6"/>
    <n v="20"/>
    <x v="642"/>
    <x v="1"/>
    <x v="3"/>
    <n v="4"/>
    <n v="700"/>
    <n v="2800"/>
    <n v="1"/>
  </r>
  <r>
    <n v="648"/>
    <n v="1331"/>
    <n v="0.5"/>
    <x v="1"/>
    <d v="2024-02-25T00:00:00"/>
    <x v="6"/>
    <n v="16"/>
    <x v="643"/>
    <x v="2"/>
    <x v="11"/>
    <n v="3"/>
    <n v="35"/>
    <n v="105"/>
    <n v="0"/>
  </r>
  <r>
    <n v="649"/>
    <n v="1332"/>
    <n v="1"/>
    <x v="1"/>
    <d v="2024-02-26T00:00:00"/>
    <x v="0"/>
    <n v="18"/>
    <x v="644"/>
    <x v="2"/>
    <x v="10"/>
    <n v="3"/>
    <n v="30"/>
    <n v="90"/>
    <n v="1"/>
  </r>
  <r>
    <n v="650"/>
    <n v="1333"/>
    <n v="0.33333333333333331"/>
    <x v="1"/>
    <d v="2024-02-26T00:00:00"/>
    <x v="0"/>
    <n v="12"/>
    <x v="645"/>
    <x v="3"/>
    <x v="6"/>
    <n v="2"/>
    <n v="50"/>
    <n v="100"/>
    <n v="1"/>
  </r>
  <r>
    <n v="651"/>
    <n v="1333"/>
    <n v="0.33333333333333331"/>
    <x v="1"/>
    <d v="2024-02-26T00:00:00"/>
    <x v="0"/>
    <n v="9"/>
    <x v="646"/>
    <x v="3"/>
    <x v="17"/>
    <n v="3"/>
    <n v="60"/>
    <n v="180"/>
    <n v="0"/>
  </r>
  <r>
    <n v="652"/>
    <n v="1333"/>
    <n v="0.33333333333333331"/>
    <x v="1"/>
    <d v="2024-02-26T00:00:00"/>
    <x v="0"/>
    <n v="10"/>
    <x v="647"/>
    <x v="1"/>
    <x v="12"/>
    <n v="3"/>
    <n v="1000"/>
    <n v="3000"/>
    <n v="0"/>
  </r>
  <r>
    <n v="653"/>
    <n v="1334"/>
    <n v="1"/>
    <x v="1"/>
    <d v="2024-02-26T00:00:00"/>
    <x v="0"/>
    <n v="10"/>
    <x v="648"/>
    <x v="3"/>
    <x v="17"/>
    <n v="1"/>
    <n v="60"/>
    <n v="60"/>
    <n v="1"/>
  </r>
  <r>
    <n v="654"/>
    <n v="1335"/>
    <n v="0.5"/>
    <x v="1"/>
    <d v="2024-02-26T00:00:00"/>
    <x v="0"/>
    <n v="19"/>
    <x v="649"/>
    <x v="3"/>
    <x v="6"/>
    <n v="1"/>
    <n v="50"/>
    <n v="50"/>
    <n v="1"/>
  </r>
  <r>
    <n v="655"/>
    <n v="1335"/>
    <n v="0.5"/>
    <x v="1"/>
    <d v="2024-02-26T00:00:00"/>
    <x v="0"/>
    <n v="10"/>
    <x v="650"/>
    <x v="3"/>
    <x v="6"/>
    <n v="1"/>
    <n v="50"/>
    <n v="50"/>
    <n v="0"/>
  </r>
  <r>
    <n v="656"/>
    <n v="1336"/>
    <n v="0.33333333333333331"/>
    <x v="1"/>
    <d v="2024-02-26T00:00:00"/>
    <x v="0"/>
    <n v="9"/>
    <x v="651"/>
    <x v="3"/>
    <x v="6"/>
    <n v="4"/>
    <n v="50"/>
    <n v="200"/>
    <n v="1"/>
  </r>
  <r>
    <n v="657"/>
    <n v="1336"/>
    <n v="0.33333333333333331"/>
    <x v="1"/>
    <d v="2024-02-26T00:00:00"/>
    <x v="0"/>
    <n v="12"/>
    <x v="652"/>
    <x v="2"/>
    <x v="11"/>
    <n v="4"/>
    <n v="35"/>
    <n v="140"/>
    <n v="0"/>
  </r>
  <r>
    <n v="658"/>
    <n v="1336"/>
    <n v="0.33333333333333331"/>
    <x v="1"/>
    <d v="2024-02-26T00:00:00"/>
    <x v="0"/>
    <n v="18"/>
    <x v="653"/>
    <x v="2"/>
    <x v="10"/>
    <n v="5"/>
    <n v="30"/>
    <n v="150"/>
    <n v="0"/>
  </r>
  <r>
    <n v="659"/>
    <n v="1337"/>
    <n v="0.5"/>
    <x v="1"/>
    <d v="2024-02-26T00:00:00"/>
    <x v="0"/>
    <n v="20"/>
    <x v="654"/>
    <x v="2"/>
    <x v="15"/>
    <n v="5"/>
    <n v="25"/>
    <n v="125"/>
    <n v="1"/>
  </r>
  <r>
    <n v="660"/>
    <n v="1337"/>
    <n v="0.5"/>
    <x v="1"/>
    <d v="2024-02-26T00:00:00"/>
    <x v="0"/>
    <n v="17"/>
    <x v="655"/>
    <x v="2"/>
    <x v="5"/>
    <n v="4"/>
    <n v="20"/>
    <n v="80"/>
    <n v="0"/>
  </r>
  <r>
    <n v="661"/>
    <n v="1338"/>
    <n v="1"/>
    <x v="1"/>
    <d v="2024-02-26T00:00:00"/>
    <x v="0"/>
    <n v="10"/>
    <x v="656"/>
    <x v="1"/>
    <x v="12"/>
    <n v="1"/>
    <n v="1000"/>
    <n v="1000"/>
    <n v="1"/>
  </r>
  <r>
    <n v="662"/>
    <n v="1339"/>
    <n v="0.33333333333333331"/>
    <x v="1"/>
    <d v="2024-02-26T00:00:00"/>
    <x v="0"/>
    <n v="17"/>
    <x v="657"/>
    <x v="1"/>
    <x v="12"/>
    <n v="2"/>
    <n v="1000"/>
    <n v="2000"/>
    <n v="1"/>
  </r>
  <r>
    <n v="663"/>
    <n v="1339"/>
    <n v="0.33333333333333331"/>
    <x v="1"/>
    <d v="2024-02-26T00:00:00"/>
    <x v="0"/>
    <n v="12"/>
    <x v="658"/>
    <x v="1"/>
    <x v="4"/>
    <n v="5"/>
    <n v="600"/>
    <n v="3000"/>
    <n v="0"/>
  </r>
  <r>
    <n v="664"/>
    <n v="1339"/>
    <n v="0.33333333333333331"/>
    <x v="1"/>
    <d v="2024-02-26T00:00:00"/>
    <x v="0"/>
    <n v="11"/>
    <x v="659"/>
    <x v="2"/>
    <x v="5"/>
    <n v="2"/>
    <n v="20"/>
    <n v="40"/>
    <n v="0"/>
  </r>
  <r>
    <n v="665"/>
    <n v="1340"/>
    <n v="0.5"/>
    <x v="1"/>
    <d v="2024-02-26T00:00:00"/>
    <x v="0"/>
    <n v="12"/>
    <x v="660"/>
    <x v="1"/>
    <x v="12"/>
    <n v="4"/>
    <n v="1000"/>
    <n v="4000"/>
    <n v="1"/>
  </r>
  <r>
    <n v="666"/>
    <n v="1340"/>
    <n v="0.5"/>
    <x v="1"/>
    <d v="2024-02-26T00:00:00"/>
    <x v="0"/>
    <n v="12"/>
    <x v="661"/>
    <x v="3"/>
    <x v="13"/>
    <n v="1"/>
    <n v="55"/>
    <n v="55"/>
    <n v="0"/>
  </r>
  <r>
    <n v="667"/>
    <n v="1341"/>
    <n v="1"/>
    <x v="1"/>
    <d v="2024-02-26T00:00:00"/>
    <x v="0"/>
    <n v="12"/>
    <x v="662"/>
    <x v="2"/>
    <x v="5"/>
    <n v="2"/>
    <n v="20"/>
    <n v="40"/>
    <n v="1"/>
  </r>
  <r>
    <n v="668"/>
    <n v="1342"/>
    <n v="0.33333333333333331"/>
    <x v="1"/>
    <d v="2024-02-27T00:00:00"/>
    <x v="1"/>
    <n v="15"/>
    <x v="663"/>
    <x v="0"/>
    <x v="16"/>
    <n v="5"/>
    <n v="5"/>
    <n v="25"/>
    <n v="1"/>
  </r>
  <r>
    <n v="669"/>
    <n v="1342"/>
    <n v="0.33333333333333331"/>
    <x v="1"/>
    <d v="2024-02-27T00:00:00"/>
    <x v="1"/>
    <n v="10"/>
    <x v="664"/>
    <x v="0"/>
    <x v="16"/>
    <n v="3"/>
    <n v="5"/>
    <n v="15"/>
    <n v="0"/>
  </r>
  <r>
    <n v="670"/>
    <n v="1342"/>
    <n v="0.33333333333333331"/>
    <x v="1"/>
    <d v="2024-02-27T00:00:00"/>
    <x v="1"/>
    <n v="14"/>
    <x v="665"/>
    <x v="1"/>
    <x v="3"/>
    <n v="4"/>
    <n v="700"/>
    <n v="2800"/>
    <n v="0"/>
  </r>
  <r>
    <n v="671"/>
    <n v="1343"/>
    <n v="1"/>
    <x v="1"/>
    <d v="2024-02-27T00:00:00"/>
    <x v="1"/>
    <n v="14"/>
    <x v="666"/>
    <x v="3"/>
    <x v="18"/>
    <n v="4"/>
    <n v="45"/>
    <n v="180"/>
    <n v="1"/>
  </r>
  <r>
    <n v="672"/>
    <n v="1344"/>
    <n v="0.33333333333333331"/>
    <x v="1"/>
    <d v="2024-02-27T00:00:00"/>
    <x v="1"/>
    <n v="18"/>
    <x v="667"/>
    <x v="2"/>
    <x v="15"/>
    <n v="4"/>
    <n v="25"/>
    <n v="100"/>
    <n v="1"/>
  </r>
  <r>
    <n v="673"/>
    <n v="1344"/>
    <n v="0.33333333333333331"/>
    <x v="1"/>
    <d v="2024-02-27T00:00:00"/>
    <x v="1"/>
    <n v="16"/>
    <x v="668"/>
    <x v="0"/>
    <x v="16"/>
    <n v="3"/>
    <n v="5"/>
    <n v="15"/>
    <n v="0"/>
  </r>
  <r>
    <n v="674"/>
    <n v="1344"/>
    <n v="0.33333333333333331"/>
    <x v="1"/>
    <d v="2024-02-27T00:00:00"/>
    <x v="1"/>
    <n v="9"/>
    <x v="669"/>
    <x v="3"/>
    <x v="6"/>
    <n v="4"/>
    <n v="50"/>
    <n v="200"/>
    <n v="0"/>
  </r>
  <r>
    <n v="675"/>
    <n v="1345"/>
    <n v="0.33333333333333331"/>
    <x v="1"/>
    <d v="2024-02-27T00:00:00"/>
    <x v="1"/>
    <n v="10"/>
    <x v="670"/>
    <x v="1"/>
    <x v="1"/>
    <n v="5"/>
    <n v="650"/>
    <n v="3250"/>
    <n v="1"/>
  </r>
  <r>
    <n v="676"/>
    <n v="1345"/>
    <n v="0.33333333333333331"/>
    <x v="1"/>
    <d v="2024-02-27T00:00:00"/>
    <x v="1"/>
    <n v="12"/>
    <x v="671"/>
    <x v="1"/>
    <x v="12"/>
    <n v="4"/>
    <n v="1000"/>
    <n v="4000"/>
    <n v="0"/>
  </r>
  <r>
    <n v="677"/>
    <n v="1345"/>
    <n v="0.33333333333333331"/>
    <x v="1"/>
    <d v="2024-02-27T00:00:00"/>
    <x v="1"/>
    <n v="17"/>
    <x v="672"/>
    <x v="0"/>
    <x v="0"/>
    <n v="2"/>
    <n v="20"/>
    <n v="40"/>
    <n v="0"/>
  </r>
  <r>
    <n v="678"/>
    <n v="1346"/>
    <n v="0.33333333333333331"/>
    <x v="1"/>
    <d v="2024-02-27T00:00:00"/>
    <x v="1"/>
    <n v="18"/>
    <x v="673"/>
    <x v="3"/>
    <x v="13"/>
    <n v="2"/>
    <n v="55"/>
    <n v="110"/>
    <n v="1"/>
  </r>
  <r>
    <n v="679"/>
    <n v="1346"/>
    <n v="0.33333333333333331"/>
    <x v="1"/>
    <d v="2024-02-27T00:00:00"/>
    <x v="1"/>
    <n v="17"/>
    <x v="674"/>
    <x v="1"/>
    <x v="3"/>
    <n v="2"/>
    <n v="700"/>
    <n v="1400"/>
    <n v="0"/>
  </r>
  <r>
    <n v="680"/>
    <n v="1346"/>
    <n v="0.33333333333333331"/>
    <x v="1"/>
    <d v="2024-02-27T00:00:00"/>
    <x v="1"/>
    <n v="10"/>
    <x v="675"/>
    <x v="3"/>
    <x v="6"/>
    <n v="4"/>
    <n v="50"/>
    <n v="200"/>
    <n v="0"/>
  </r>
  <r>
    <n v="681"/>
    <n v="1347"/>
    <n v="1"/>
    <x v="1"/>
    <d v="2024-02-27T00:00:00"/>
    <x v="1"/>
    <n v="11"/>
    <x v="676"/>
    <x v="0"/>
    <x v="8"/>
    <n v="4"/>
    <n v="10"/>
    <n v="40"/>
    <n v="1"/>
  </r>
  <r>
    <n v="682"/>
    <n v="1348"/>
    <n v="0.33333333333333331"/>
    <x v="1"/>
    <d v="2024-02-27T00:00:00"/>
    <x v="1"/>
    <n v="10"/>
    <x v="677"/>
    <x v="3"/>
    <x v="18"/>
    <n v="2"/>
    <n v="45"/>
    <n v="90"/>
    <n v="1"/>
  </r>
  <r>
    <n v="683"/>
    <n v="1348"/>
    <n v="0.33333333333333331"/>
    <x v="1"/>
    <d v="2024-02-27T00:00:00"/>
    <x v="1"/>
    <n v="14"/>
    <x v="678"/>
    <x v="0"/>
    <x v="16"/>
    <n v="1"/>
    <n v="5"/>
    <n v="5"/>
    <n v="0"/>
  </r>
  <r>
    <n v="684"/>
    <n v="1348"/>
    <n v="0.33333333333333331"/>
    <x v="1"/>
    <d v="2024-02-27T00:00:00"/>
    <x v="1"/>
    <n v="20"/>
    <x v="679"/>
    <x v="0"/>
    <x v="7"/>
    <n v="1"/>
    <n v="25"/>
    <n v="25"/>
    <n v="0"/>
  </r>
  <r>
    <n v="685"/>
    <n v="1349"/>
    <n v="0.33333333333333331"/>
    <x v="1"/>
    <d v="2024-02-27T00:00:00"/>
    <x v="1"/>
    <n v="19"/>
    <x v="680"/>
    <x v="1"/>
    <x v="12"/>
    <n v="4"/>
    <n v="1000"/>
    <n v="4000"/>
    <n v="1"/>
  </r>
  <r>
    <n v="686"/>
    <n v="1349"/>
    <n v="0.33333333333333331"/>
    <x v="1"/>
    <d v="2024-02-27T00:00:00"/>
    <x v="1"/>
    <n v="16"/>
    <x v="681"/>
    <x v="3"/>
    <x v="13"/>
    <n v="5"/>
    <n v="55"/>
    <n v="275"/>
    <n v="0"/>
  </r>
  <r>
    <n v="687"/>
    <n v="1349"/>
    <n v="0.33333333333333331"/>
    <x v="1"/>
    <d v="2024-02-27T00:00:00"/>
    <x v="1"/>
    <n v="19"/>
    <x v="682"/>
    <x v="2"/>
    <x v="11"/>
    <n v="4"/>
    <n v="35"/>
    <n v="140"/>
    <n v="0"/>
  </r>
  <r>
    <n v="688"/>
    <n v="1350"/>
    <n v="1"/>
    <x v="1"/>
    <d v="2024-02-27T00:00:00"/>
    <x v="1"/>
    <n v="13"/>
    <x v="683"/>
    <x v="0"/>
    <x v="16"/>
    <n v="5"/>
    <n v="5"/>
    <n v="25"/>
    <n v="1"/>
  </r>
  <r>
    <n v="689"/>
    <n v="1351"/>
    <n v="0.33333333333333331"/>
    <x v="1"/>
    <d v="2024-02-28T00:00:00"/>
    <x v="2"/>
    <n v="12"/>
    <x v="684"/>
    <x v="1"/>
    <x v="1"/>
    <n v="2"/>
    <n v="650"/>
    <n v="1300"/>
    <n v="1"/>
  </r>
  <r>
    <n v="690"/>
    <n v="1351"/>
    <n v="0.33333333333333331"/>
    <x v="1"/>
    <d v="2024-02-28T00:00:00"/>
    <x v="2"/>
    <n v="10"/>
    <x v="685"/>
    <x v="3"/>
    <x v="6"/>
    <n v="4"/>
    <n v="50"/>
    <n v="200"/>
    <n v="0"/>
  </r>
  <r>
    <n v="691"/>
    <n v="1351"/>
    <n v="0.33333333333333331"/>
    <x v="1"/>
    <d v="2024-02-28T00:00:00"/>
    <x v="2"/>
    <n v="9"/>
    <x v="686"/>
    <x v="2"/>
    <x v="15"/>
    <n v="3"/>
    <n v="25"/>
    <n v="75"/>
    <n v="0"/>
  </r>
  <r>
    <n v="692"/>
    <n v="1352"/>
    <n v="1"/>
    <x v="1"/>
    <d v="2024-02-28T00:00:00"/>
    <x v="2"/>
    <n v="16"/>
    <x v="687"/>
    <x v="3"/>
    <x v="6"/>
    <n v="2"/>
    <n v="50"/>
    <n v="100"/>
    <n v="1"/>
  </r>
  <r>
    <n v="693"/>
    <n v="1353"/>
    <n v="1"/>
    <x v="1"/>
    <d v="2024-02-28T00:00:00"/>
    <x v="2"/>
    <n v="17"/>
    <x v="688"/>
    <x v="1"/>
    <x v="3"/>
    <n v="3"/>
    <n v="700"/>
    <n v="2100"/>
    <n v="1"/>
  </r>
  <r>
    <n v="694"/>
    <n v="1354"/>
    <n v="0.5"/>
    <x v="1"/>
    <d v="2024-02-28T00:00:00"/>
    <x v="2"/>
    <n v="15"/>
    <x v="689"/>
    <x v="1"/>
    <x v="12"/>
    <n v="2"/>
    <n v="1000"/>
    <n v="2000"/>
    <n v="1"/>
  </r>
  <r>
    <n v="695"/>
    <n v="1354"/>
    <n v="0.5"/>
    <x v="1"/>
    <d v="2024-02-28T00:00:00"/>
    <x v="2"/>
    <n v="15"/>
    <x v="690"/>
    <x v="0"/>
    <x v="7"/>
    <n v="1"/>
    <n v="25"/>
    <n v="25"/>
    <n v="0"/>
  </r>
  <r>
    <n v="696"/>
    <n v="1355"/>
    <n v="0.33333333333333331"/>
    <x v="1"/>
    <d v="2024-02-29T00:00:00"/>
    <x v="3"/>
    <n v="16"/>
    <x v="691"/>
    <x v="2"/>
    <x v="15"/>
    <n v="1"/>
    <n v="25"/>
    <n v="25"/>
    <n v="1"/>
  </r>
  <r>
    <n v="697"/>
    <n v="1355"/>
    <n v="0.33333333333333331"/>
    <x v="1"/>
    <d v="2024-02-29T00:00:00"/>
    <x v="3"/>
    <n v="16"/>
    <x v="692"/>
    <x v="3"/>
    <x v="6"/>
    <n v="3"/>
    <n v="50"/>
    <n v="150"/>
    <n v="0"/>
  </r>
  <r>
    <n v="698"/>
    <n v="1355"/>
    <n v="0.33333333333333331"/>
    <x v="1"/>
    <d v="2024-02-29T00:00:00"/>
    <x v="3"/>
    <n v="15"/>
    <x v="693"/>
    <x v="1"/>
    <x v="12"/>
    <n v="2"/>
    <n v="1000"/>
    <n v="2000"/>
    <n v="0"/>
  </r>
  <r>
    <n v="699"/>
    <n v="1356"/>
    <n v="1"/>
    <x v="1"/>
    <d v="2024-02-29T00:00:00"/>
    <x v="3"/>
    <n v="12"/>
    <x v="694"/>
    <x v="2"/>
    <x v="10"/>
    <n v="1"/>
    <n v="30"/>
    <n v="30"/>
    <n v="1"/>
  </r>
  <r>
    <n v="700"/>
    <n v="1357"/>
    <n v="0.33333333333333331"/>
    <x v="1"/>
    <d v="2024-02-29T00:00:00"/>
    <x v="3"/>
    <n v="18"/>
    <x v="695"/>
    <x v="0"/>
    <x v="16"/>
    <n v="2"/>
    <n v="5"/>
    <n v="10"/>
    <n v="1"/>
  </r>
  <r>
    <n v="701"/>
    <n v="1357"/>
    <n v="0.33333333333333331"/>
    <x v="1"/>
    <d v="2024-02-29T00:00:00"/>
    <x v="3"/>
    <n v="19"/>
    <x v="696"/>
    <x v="2"/>
    <x v="15"/>
    <n v="2"/>
    <n v="25"/>
    <n v="50"/>
    <n v="0"/>
  </r>
  <r>
    <n v="702"/>
    <n v="1357"/>
    <n v="0.33333333333333331"/>
    <x v="1"/>
    <d v="2024-02-29T00:00:00"/>
    <x v="3"/>
    <n v="15"/>
    <x v="697"/>
    <x v="3"/>
    <x v="17"/>
    <n v="5"/>
    <n v="60"/>
    <n v="300"/>
    <n v="0"/>
  </r>
  <r>
    <n v="703"/>
    <n v="1358"/>
    <n v="0.5"/>
    <x v="1"/>
    <d v="2024-02-29T00:00:00"/>
    <x v="3"/>
    <n v="13"/>
    <x v="698"/>
    <x v="3"/>
    <x v="6"/>
    <n v="2"/>
    <n v="50"/>
    <n v="100"/>
    <n v="1"/>
  </r>
  <r>
    <n v="704"/>
    <n v="1358"/>
    <n v="0.5"/>
    <x v="1"/>
    <d v="2024-02-29T00:00:00"/>
    <x v="3"/>
    <n v="13"/>
    <x v="699"/>
    <x v="3"/>
    <x v="6"/>
    <n v="4"/>
    <n v="50"/>
    <n v="200"/>
    <n v="0"/>
  </r>
  <r>
    <n v="705"/>
    <n v="1359"/>
    <n v="1"/>
    <x v="1"/>
    <d v="2024-02-29T00:00:00"/>
    <x v="3"/>
    <n v="12"/>
    <x v="700"/>
    <x v="1"/>
    <x v="3"/>
    <n v="2"/>
    <n v="700"/>
    <n v="1400"/>
    <n v="1"/>
  </r>
  <r>
    <n v="706"/>
    <n v="1360"/>
    <n v="0.5"/>
    <x v="1"/>
    <d v="2024-02-29T00:00:00"/>
    <x v="3"/>
    <n v="16"/>
    <x v="701"/>
    <x v="2"/>
    <x v="11"/>
    <n v="3"/>
    <n v="35"/>
    <n v="105"/>
    <n v="1"/>
  </r>
  <r>
    <n v="707"/>
    <n v="1360"/>
    <n v="0.5"/>
    <x v="1"/>
    <d v="2024-02-29T00:00:00"/>
    <x v="3"/>
    <n v="19"/>
    <x v="702"/>
    <x v="0"/>
    <x v="7"/>
    <n v="1"/>
    <n v="25"/>
    <n v="25"/>
    <n v="0"/>
  </r>
  <r>
    <n v="708"/>
    <n v="1361"/>
    <n v="0.5"/>
    <x v="1"/>
    <d v="2024-02-29T00:00:00"/>
    <x v="3"/>
    <n v="12"/>
    <x v="703"/>
    <x v="0"/>
    <x v="7"/>
    <n v="3"/>
    <n v="25"/>
    <n v="75"/>
    <n v="1"/>
  </r>
  <r>
    <n v="709"/>
    <n v="1361"/>
    <n v="0.5"/>
    <x v="1"/>
    <d v="2024-02-29T00:00:00"/>
    <x v="3"/>
    <n v="13"/>
    <x v="704"/>
    <x v="0"/>
    <x v="16"/>
    <n v="5"/>
    <n v="5"/>
    <n v="25"/>
    <n v="0"/>
  </r>
  <r>
    <n v="710"/>
    <n v="1362"/>
    <n v="0.33333333333333331"/>
    <x v="1"/>
    <d v="2024-02-29T00:00:00"/>
    <x v="3"/>
    <n v="12"/>
    <x v="705"/>
    <x v="3"/>
    <x v="18"/>
    <n v="1"/>
    <n v="45"/>
    <n v="45"/>
    <n v="1"/>
  </r>
  <r>
    <n v="711"/>
    <n v="1362"/>
    <n v="0.33333333333333331"/>
    <x v="1"/>
    <d v="2024-02-29T00:00:00"/>
    <x v="3"/>
    <n v="15"/>
    <x v="706"/>
    <x v="2"/>
    <x v="11"/>
    <n v="3"/>
    <n v="35"/>
    <n v="105"/>
    <n v="0"/>
  </r>
  <r>
    <n v="712"/>
    <n v="1362"/>
    <n v="0.33333333333333331"/>
    <x v="1"/>
    <d v="2024-02-29T00:00:00"/>
    <x v="3"/>
    <n v="19"/>
    <x v="707"/>
    <x v="0"/>
    <x v="9"/>
    <n v="4"/>
    <n v="15"/>
    <n v="60"/>
    <n v="0"/>
  </r>
  <r>
    <n v="713"/>
    <n v="1363"/>
    <n v="0.33333333333333331"/>
    <x v="1"/>
    <d v="2024-02-29T00:00:00"/>
    <x v="3"/>
    <n v="14"/>
    <x v="708"/>
    <x v="2"/>
    <x v="5"/>
    <n v="5"/>
    <n v="20"/>
    <n v="100"/>
    <n v="1"/>
  </r>
  <r>
    <n v="714"/>
    <n v="1363"/>
    <n v="0.33333333333333331"/>
    <x v="1"/>
    <d v="2024-02-29T00:00:00"/>
    <x v="3"/>
    <n v="19"/>
    <x v="709"/>
    <x v="0"/>
    <x v="7"/>
    <n v="4"/>
    <n v="25"/>
    <n v="100"/>
    <n v="0"/>
  </r>
  <r>
    <n v="715"/>
    <n v="1363"/>
    <n v="0.33333333333333331"/>
    <x v="1"/>
    <d v="2024-02-29T00:00:00"/>
    <x v="3"/>
    <n v="13"/>
    <x v="710"/>
    <x v="2"/>
    <x v="10"/>
    <n v="2"/>
    <n v="30"/>
    <n v="60"/>
    <n v="0"/>
  </r>
  <r>
    <n v="716"/>
    <n v="1364"/>
    <n v="0.33333333333333331"/>
    <x v="1"/>
    <d v="2024-02-29T00:00:00"/>
    <x v="3"/>
    <n v="16"/>
    <x v="711"/>
    <x v="2"/>
    <x v="5"/>
    <n v="5"/>
    <n v="20"/>
    <n v="100"/>
    <n v="1"/>
  </r>
  <r>
    <n v="717"/>
    <n v="1364"/>
    <n v="0.33333333333333331"/>
    <x v="1"/>
    <d v="2024-02-29T00:00:00"/>
    <x v="3"/>
    <n v="11"/>
    <x v="712"/>
    <x v="1"/>
    <x v="2"/>
    <n v="5"/>
    <n v="680"/>
    <n v="3400"/>
    <n v="0"/>
  </r>
  <r>
    <n v="718"/>
    <n v="1364"/>
    <n v="0.33333333333333331"/>
    <x v="1"/>
    <d v="2024-02-29T00:00:00"/>
    <x v="3"/>
    <n v="11"/>
    <x v="713"/>
    <x v="1"/>
    <x v="12"/>
    <n v="1"/>
    <n v="1000"/>
    <n v="1000"/>
    <n v="0"/>
  </r>
  <r>
    <n v="719"/>
    <n v="1365"/>
    <n v="0.5"/>
    <x v="2"/>
    <d v="2024-03-01T00:00:00"/>
    <x v="4"/>
    <n v="13"/>
    <x v="714"/>
    <x v="1"/>
    <x v="2"/>
    <n v="5"/>
    <n v="680"/>
    <n v="3400"/>
    <n v="1"/>
  </r>
  <r>
    <n v="720"/>
    <n v="1365"/>
    <n v="0.5"/>
    <x v="2"/>
    <d v="2024-03-01T00:00:00"/>
    <x v="4"/>
    <n v="14"/>
    <x v="715"/>
    <x v="3"/>
    <x v="17"/>
    <n v="3"/>
    <n v="60"/>
    <n v="180"/>
    <n v="0"/>
  </r>
  <r>
    <n v="721"/>
    <n v="1366"/>
    <n v="1"/>
    <x v="2"/>
    <d v="2024-03-01T00:00:00"/>
    <x v="4"/>
    <n v="19"/>
    <x v="716"/>
    <x v="1"/>
    <x v="3"/>
    <n v="4"/>
    <n v="700"/>
    <n v="2800"/>
    <n v="1"/>
  </r>
  <r>
    <n v="722"/>
    <n v="1367"/>
    <n v="1"/>
    <x v="2"/>
    <d v="2024-03-01T00:00:00"/>
    <x v="4"/>
    <n v="16"/>
    <x v="717"/>
    <x v="0"/>
    <x v="16"/>
    <n v="2"/>
    <n v="5"/>
    <n v="10"/>
    <n v="1"/>
  </r>
  <r>
    <n v="723"/>
    <n v="1368"/>
    <n v="0.33333333333333331"/>
    <x v="2"/>
    <d v="2024-03-01T00:00:00"/>
    <x v="4"/>
    <n v="20"/>
    <x v="718"/>
    <x v="3"/>
    <x v="17"/>
    <n v="2"/>
    <n v="60"/>
    <n v="120"/>
    <n v="1"/>
  </r>
  <r>
    <n v="724"/>
    <n v="1368"/>
    <n v="0.33333333333333331"/>
    <x v="2"/>
    <d v="2024-03-01T00:00:00"/>
    <x v="4"/>
    <n v="11"/>
    <x v="719"/>
    <x v="0"/>
    <x v="9"/>
    <n v="4"/>
    <n v="15"/>
    <n v="60"/>
    <n v="0"/>
  </r>
  <r>
    <n v="725"/>
    <n v="1368"/>
    <n v="0.33333333333333331"/>
    <x v="2"/>
    <d v="2024-03-01T00:00:00"/>
    <x v="4"/>
    <n v="15"/>
    <x v="720"/>
    <x v="3"/>
    <x v="13"/>
    <n v="3"/>
    <n v="55"/>
    <n v="165"/>
    <n v="0"/>
  </r>
  <r>
    <n v="726"/>
    <n v="1369"/>
    <n v="1"/>
    <x v="2"/>
    <d v="2024-03-01T00:00:00"/>
    <x v="4"/>
    <n v="19"/>
    <x v="721"/>
    <x v="1"/>
    <x v="1"/>
    <n v="1"/>
    <n v="650"/>
    <n v="650"/>
    <n v="1"/>
  </r>
  <r>
    <n v="727"/>
    <n v="1370"/>
    <n v="1"/>
    <x v="2"/>
    <d v="2024-03-01T00:00:00"/>
    <x v="4"/>
    <n v="15"/>
    <x v="722"/>
    <x v="1"/>
    <x v="2"/>
    <n v="2"/>
    <n v="680"/>
    <n v="1360"/>
    <n v="1"/>
  </r>
  <r>
    <n v="728"/>
    <n v="1371"/>
    <n v="0.5"/>
    <x v="2"/>
    <d v="2024-03-01T00:00:00"/>
    <x v="4"/>
    <n v="11"/>
    <x v="723"/>
    <x v="3"/>
    <x v="13"/>
    <n v="1"/>
    <n v="55"/>
    <n v="55"/>
    <n v="1"/>
  </r>
  <r>
    <n v="729"/>
    <n v="1371"/>
    <n v="0.5"/>
    <x v="2"/>
    <d v="2024-03-01T00:00:00"/>
    <x v="4"/>
    <n v="13"/>
    <x v="724"/>
    <x v="0"/>
    <x v="9"/>
    <n v="1"/>
    <n v="15"/>
    <n v="15"/>
    <n v="0"/>
  </r>
  <r>
    <n v="730"/>
    <n v="1372"/>
    <n v="1"/>
    <x v="2"/>
    <d v="2024-03-01T00:00:00"/>
    <x v="4"/>
    <n v="9"/>
    <x v="725"/>
    <x v="2"/>
    <x v="11"/>
    <n v="5"/>
    <n v="35"/>
    <n v="175"/>
    <n v="1"/>
  </r>
  <r>
    <n v="731"/>
    <n v="1373"/>
    <n v="0.33333333333333331"/>
    <x v="2"/>
    <d v="2024-03-01T00:00:00"/>
    <x v="4"/>
    <n v="14"/>
    <x v="726"/>
    <x v="0"/>
    <x v="9"/>
    <n v="1"/>
    <n v="15"/>
    <n v="15"/>
    <n v="1"/>
  </r>
  <r>
    <n v="732"/>
    <n v="1373"/>
    <n v="0.33333333333333331"/>
    <x v="2"/>
    <d v="2024-03-01T00:00:00"/>
    <x v="4"/>
    <n v="17"/>
    <x v="727"/>
    <x v="3"/>
    <x v="6"/>
    <n v="5"/>
    <n v="50"/>
    <n v="250"/>
    <n v="0"/>
  </r>
  <r>
    <n v="733"/>
    <n v="1373"/>
    <n v="0.33333333333333331"/>
    <x v="2"/>
    <d v="2024-03-01T00:00:00"/>
    <x v="4"/>
    <n v="9"/>
    <x v="728"/>
    <x v="1"/>
    <x v="3"/>
    <n v="3"/>
    <n v="700"/>
    <n v="2100"/>
    <n v="0"/>
  </r>
  <r>
    <n v="734"/>
    <n v="1374"/>
    <n v="0.5"/>
    <x v="2"/>
    <d v="2024-03-01T00:00:00"/>
    <x v="4"/>
    <n v="17"/>
    <x v="729"/>
    <x v="3"/>
    <x v="14"/>
    <n v="1"/>
    <n v="40"/>
    <n v="40"/>
    <n v="1"/>
  </r>
  <r>
    <n v="735"/>
    <n v="1374"/>
    <n v="0.5"/>
    <x v="2"/>
    <d v="2024-03-01T00:00:00"/>
    <x v="4"/>
    <n v="18"/>
    <x v="730"/>
    <x v="2"/>
    <x v="15"/>
    <n v="1"/>
    <n v="25"/>
    <n v="25"/>
    <n v="0"/>
  </r>
  <r>
    <n v="736"/>
    <n v="1375"/>
    <n v="0.5"/>
    <x v="2"/>
    <d v="2024-03-02T00:00:00"/>
    <x v="5"/>
    <n v="16"/>
    <x v="731"/>
    <x v="0"/>
    <x v="7"/>
    <n v="4"/>
    <n v="25"/>
    <n v="100"/>
    <n v="1"/>
  </r>
  <r>
    <n v="737"/>
    <n v="1375"/>
    <n v="0.5"/>
    <x v="2"/>
    <d v="2024-03-02T00:00:00"/>
    <x v="5"/>
    <n v="11"/>
    <x v="732"/>
    <x v="2"/>
    <x v="5"/>
    <n v="4"/>
    <n v="20"/>
    <n v="80"/>
    <n v="0"/>
  </r>
  <r>
    <n v="738"/>
    <n v="1376"/>
    <n v="0.33333333333333331"/>
    <x v="2"/>
    <d v="2024-03-02T00:00:00"/>
    <x v="5"/>
    <n v="10"/>
    <x v="733"/>
    <x v="0"/>
    <x v="7"/>
    <n v="3"/>
    <n v="25"/>
    <n v="75"/>
    <n v="1"/>
  </r>
  <r>
    <n v="739"/>
    <n v="1376"/>
    <n v="0.33333333333333331"/>
    <x v="2"/>
    <d v="2024-03-02T00:00:00"/>
    <x v="5"/>
    <n v="14"/>
    <x v="734"/>
    <x v="0"/>
    <x v="9"/>
    <n v="4"/>
    <n v="15"/>
    <n v="60"/>
    <n v="0"/>
  </r>
  <r>
    <n v="740"/>
    <n v="1376"/>
    <n v="0.33333333333333331"/>
    <x v="2"/>
    <d v="2024-03-02T00:00:00"/>
    <x v="5"/>
    <n v="16"/>
    <x v="735"/>
    <x v="1"/>
    <x v="2"/>
    <n v="2"/>
    <n v="680"/>
    <n v="1360"/>
    <n v="0"/>
  </r>
  <r>
    <n v="741"/>
    <n v="1377"/>
    <n v="1"/>
    <x v="2"/>
    <d v="2024-03-02T00:00:00"/>
    <x v="5"/>
    <n v="14"/>
    <x v="736"/>
    <x v="0"/>
    <x v="0"/>
    <n v="1"/>
    <n v="20"/>
    <n v="20"/>
    <n v="1"/>
  </r>
  <r>
    <n v="742"/>
    <n v="1378"/>
    <n v="0.33333333333333331"/>
    <x v="2"/>
    <d v="2024-03-02T00:00:00"/>
    <x v="5"/>
    <n v="16"/>
    <x v="737"/>
    <x v="2"/>
    <x v="11"/>
    <n v="5"/>
    <n v="35"/>
    <n v="175"/>
    <n v="1"/>
  </r>
  <r>
    <n v="743"/>
    <n v="1378"/>
    <n v="0.33333333333333331"/>
    <x v="2"/>
    <d v="2024-03-02T00:00:00"/>
    <x v="5"/>
    <n v="17"/>
    <x v="738"/>
    <x v="0"/>
    <x v="16"/>
    <n v="5"/>
    <n v="5"/>
    <n v="25"/>
    <n v="0"/>
  </r>
  <r>
    <n v="744"/>
    <n v="1378"/>
    <n v="0.33333333333333331"/>
    <x v="2"/>
    <d v="2024-03-02T00:00:00"/>
    <x v="5"/>
    <n v="19"/>
    <x v="739"/>
    <x v="1"/>
    <x v="4"/>
    <n v="4"/>
    <n v="600"/>
    <n v="2400"/>
    <n v="0"/>
  </r>
  <r>
    <n v="745"/>
    <n v="1379"/>
    <n v="0.5"/>
    <x v="2"/>
    <d v="2024-03-02T00:00:00"/>
    <x v="5"/>
    <n v="19"/>
    <x v="740"/>
    <x v="2"/>
    <x v="11"/>
    <n v="2"/>
    <n v="35"/>
    <n v="70"/>
    <n v="1"/>
  </r>
  <r>
    <n v="746"/>
    <n v="1379"/>
    <n v="0.5"/>
    <x v="2"/>
    <d v="2024-03-02T00:00:00"/>
    <x v="5"/>
    <n v="14"/>
    <x v="741"/>
    <x v="0"/>
    <x v="9"/>
    <n v="2"/>
    <n v="15"/>
    <n v="30"/>
    <n v="0"/>
  </r>
  <r>
    <n v="747"/>
    <n v="1380"/>
    <n v="0.33333333333333331"/>
    <x v="2"/>
    <d v="2024-03-02T00:00:00"/>
    <x v="5"/>
    <n v="9"/>
    <x v="742"/>
    <x v="3"/>
    <x v="6"/>
    <n v="4"/>
    <n v="50"/>
    <n v="200"/>
    <n v="1"/>
  </r>
  <r>
    <n v="748"/>
    <n v="1380"/>
    <n v="0.33333333333333331"/>
    <x v="2"/>
    <d v="2024-03-02T00:00:00"/>
    <x v="5"/>
    <n v="15"/>
    <x v="743"/>
    <x v="0"/>
    <x v="9"/>
    <n v="4"/>
    <n v="15"/>
    <n v="60"/>
    <n v="0"/>
  </r>
  <r>
    <n v="749"/>
    <n v="1380"/>
    <n v="0.33333333333333331"/>
    <x v="2"/>
    <d v="2024-03-02T00:00:00"/>
    <x v="5"/>
    <n v="16"/>
    <x v="744"/>
    <x v="0"/>
    <x v="7"/>
    <n v="1"/>
    <n v="25"/>
    <n v="25"/>
    <n v="0"/>
  </r>
  <r>
    <n v="750"/>
    <n v="1381"/>
    <n v="1"/>
    <x v="2"/>
    <d v="2024-03-02T00:00:00"/>
    <x v="5"/>
    <n v="9"/>
    <x v="745"/>
    <x v="2"/>
    <x v="11"/>
    <n v="5"/>
    <n v="35"/>
    <n v="175"/>
    <n v="1"/>
  </r>
  <r>
    <n v="751"/>
    <n v="1382"/>
    <n v="0.33333333333333331"/>
    <x v="2"/>
    <d v="2024-03-03T00:00:00"/>
    <x v="6"/>
    <n v="16"/>
    <x v="746"/>
    <x v="2"/>
    <x v="11"/>
    <n v="1"/>
    <n v="35"/>
    <n v="35"/>
    <n v="1"/>
  </r>
  <r>
    <n v="752"/>
    <n v="1382"/>
    <n v="0.33333333333333331"/>
    <x v="2"/>
    <d v="2024-03-03T00:00:00"/>
    <x v="6"/>
    <n v="19"/>
    <x v="747"/>
    <x v="0"/>
    <x v="0"/>
    <n v="4"/>
    <n v="20"/>
    <n v="80"/>
    <n v="0"/>
  </r>
  <r>
    <n v="753"/>
    <n v="1382"/>
    <n v="0.33333333333333331"/>
    <x v="2"/>
    <d v="2024-03-03T00:00:00"/>
    <x v="6"/>
    <n v="18"/>
    <x v="748"/>
    <x v="0"/>
    <x v="0"/>
    <n v="3"/>
    <n v="20"/>
    <n v="60"/>
    <n v="0"/>
  </r>
  <r>
    <n v="754"/>
    <n v="1383"/>
    <n v="0.33333333333333331"/>
    <x v="2"/>
    <d v="2024-03-03T00:00:00"/>
    <x v="6"/>
    <n v="13"/>
    <x v="749"/>
    <x v="0"/>
    <x v="8"/>
    <n v="5"/>
    <n v="10"/>
    <n v="50"/>
    <n v="1"/>
  </r>
  <r>
    <n v="755"/>
    <n v="1383"/>
    <n v="0.33333333333333331"/>
    <x v="2"/>
    <d v="2024-03-03T00:00:00"/>
    <x v="6"/>
    <n v="20"/>
    <x v="750"/>
    <x v="1"/>
    <x v="3"/>
    <n v="5"/>
    <n v="700"/>
    <n v="3500"/>
    <n v="0"/>
  </r>
  <r>
    <n v="756"/>
    <n v="1383"/>
    <n v="0.33333333333333331"/>
    <x v="2"/>
    <d v="2024-03-03T00:00:00"/>
    <x v="6"/>
    <n v="18"/>
    <x v="751"/>
    <x v="2"/>
    <x v="10"/>
    <n v="3"/>
    <n v="30"/>
    <n v="90"/>
    <n v="0"/>
  </r>
  <r>
    <n v="757"/>
    <n v="1384"/>
    <n v="0.33333333333333331"/>
    <x v="2"/>
    <d v="2024-03-03T00:00:00"/>
    <x v="6"/>
    <n v="19"/>
    <x v="752"/>
    <x v="2"/>
    <x v="15"/>
    <n v="4"/>
    <n v="25"/>
    <n v="100"/>
    <n v="1"/>
  </r>
  <r>
    <n v="758"/>
    <n v="1384"/>
    <n v="0.33333333333333331"/>
    <x v="2"/>
    <d v="2024-03-03T00:00:00"/>
    <x v="6"/>
    <n v="16"/>
    <x v="753"/>
    <x v="1"/>
    <x v="3"/>
    <n v="3"/>
    <n v="700"/>
    <n v="2100"/>
    <n v="0"/>
  </r>
  <r>
    <n v="759"/>
    <n v="1384"/>
    <n v="0.33333333333333331"/>
    <x v="2"/>
    <d v="2024-03-03T00:00:00"/>
    <x v="6"/>
    <n v="20"/>
    <x v="754"/>
    <x v="0"/>
    <x v="8"/>
    <n v="3"/>
    <n v="10"/>
    <n v="30"/>
    <n v="0"/>
  </r>
  <r>
    <n v="760"/>
    <n v="1385"/>
    <n v="1"/>
    <x v="2"/>
    <d v="2024-03-03T00:00:00"/>
    <x v="6"/>
    <n v="9"/>
    <x v="755"/>
    <x v="0"/>
    <x v="7"/>
    <n v="4"/>
    <n v="25"/>
    <n v="100"/>
    <n v="1"/>
  </r>
  <r>
    <n v="761"/>
    <n v="1386"/>
    <n v="1"/>
    <x v="2"/>
    <d v="2024-03-03T00:00:00"/>
    <x v="6"/>
    <n v="19"/>
    <x v="756"/>
    <x v="1"/>
    <x v="4"/>
    <n v="5"/>
    <n v="600"/>
    <n v="3000"/>
    <n v="1"/>
  </r>
  <r>
    <n v="762"/>
    <n v="1387"/>
    <n v="0.5"/>
    <x v="2"/>
    <d v="2024-03-03T00:00:00"/>
    <x v="6"/>
    <n v="12"/>
    <x v="757"/>
    <x v="0"/>
    <x v="7"/>
    <n v="5"/>
    <n v="25"/>
    <n v="125"/>
    <n v="1"/>
  </r>
  <r>
    <n v="763"/>
    <n v="1387"/>
    <n v="0.5"/>
    <x v="2"/>
    <d v="2024-03-03T00:00:00"/>
    <x v="6"/>
    <n v="12"/>
    <x v="758"/>
    <x v="3"/>
    <x v="6"/>
    <n v="4"/>
    <n v="50"/>
    <n v="200"/>
    <n v="0"/>
  </r>
  <r>
    <n v="764"/>
    <n v="1388"/>
    <n v="1"/>
    <x v="2"/>
    <d v="2024-03-03T00:00:00"/>
    <x v="6"/>
    <n v="12"/>
    <x v="759"/>
    <x v="0"/>
    <x v="0"/>
    <n v="2"/>
    <n v="20"/>
    <n v="40"/>
    <n v="1"/>
  </r>
  <r>
    <n v="765"/>
    <n v="1389"/>
    <n v="0.5"/>
    <x v="2"/>
    <d v="2024-03-03T00:00:00"/>
    <x v="6"/>
    <n v="14"/>
    <x v="542"/>
    <x v="1"/>
    <x v="3"/>
    <n v="3"/>
    <n v="700"/>
    <n v="2100"/>
    <n v="1"/>
  </r>
  <r>
    <n v="766"/>
    <n v="1389"/>
    <n v="0.5"/>
    <x v="2"/>
    <d v="2024-03-03T00:00:00"/>
    <x v="6"/>
    <n v="18"/>
    <x v="760"/>
    <x v="0"/>
    <x v="7"/>
    <n v="3"/>
    <n v="25"/>
    <n v="75"/>
    <n v="0"/>
  </r>
  <r>
    <n v="767"/>
    <n v="1390"/>
    <n v="1"/>
    <x v="2"/>
    <d v="2024-03-03T00:00:00"/>
    <x v="6"/>
    <n v="15"/>
    <x v="761"/>
    <x v="1"/>
    <x v="1"/>
    <n v="5"/>
    <n v="650"/>
    <n v="3250"/>
    <n v="1"/>
  </r>
  <r>
    <n v="768"/>
    <n v="1391"/>
    <n v="0.33333333333333331"/>
    <x v="2"/>
    <d v="2024-03-04T00:00:00"/>
    <x v="0"/>
    <n v="16"/>
    <x v="762"/>
    <x v="0"/>
    <x v="0"/>
    <n v="4"/>
    <n v="20"/>
    <n v="80"/>
    <n v="1"/>
  </r>
  <r>
    <n v="769"/>
    <n v="1391"/>
    <n v="0.33333333333333331"/>
    <x v="2"/>
    <d v="2024-03-04T00:00:00"/>
    <x v="0"/>
    <n v="13"/>
    <x v="763"/>
    <x v="0"/>
    <x v="7"/>
    <n v="5"/>
    <n v="25"/>
    <n v="125"/>
    <n v="0"/>
  </r>
  <r>
    <n v="770"/>
    <n v="1391"/>
    <n v="0.33333333333333331"/>
    <x v="2"/>
    <d v="2024-03-04T00:00:00"/>
    <x v="0"/>
    <n v="9"/>
    <x v="764"/>
    <x v="2"/>
    <x v="10"/>
    <n v="4"/>
    <n v="30"/>
    <n v="120"/>
    <n v="0"/>
  </r>
  <r>
    <n v="771"/>
    <n v="1392"/>
    <n v="0.33333333333333331"/>
    <x v="2"/>
    <d v="2024-03-04T00:00:00"/>
    <x v="0"/>
    <n v="16"/>
    <x v="765"/>
    <x v="0"/>
    <x v="9"/>
    <n v="3"/>
    <n v="15"/>
    <n v="45"/>
    <n v="1"/>
  </r>
  <r>
    <n v="772"/>
    <n v="1392"/>
    <n v="0.33333333333333331"/>
    <x v="2"/>
    <d v="2024-03-04T00:00:00"/>
    <x v="0"/>
    <n v="20"/>
    <x v="766"/>
    <x v="2"/>
    <x v="10"/>
    <n v="2"/>
    <n v="30"/>
    <n v="60"/>
    <n v="0"/>
  </r>
  <r>
    <n v="773"/>
    <n v="1392"/>
    <n v="0.33333333333333331"/>
    <x v="2"/>
    <d v="2024-03-04T00:00:00"/>
    <x v="0"/>
    <n v="17"/>
    <x v="767"/>
    <x v="3"/>
    <x v="6"/>
    <n v="3"/>
    <n v="50"/>
    <n v="150"/>
    <n v="0"/>
  </r>
  <r>
    <n v="774"/>
    <n v="1393"/>
    <n v="0.33333333333333331"/>
    <x v="2"/>
    <d v="2024-03-04T00:00:00"/>
    <x v="0"/>
    <n v="16"/>
    <x v="768"/>
    <x v="2"/>
    <x v="10"/>
    <n v="3"/>
    <n v="30"/>
    <n v="90"/>
    <n v="1"/>
  </r>
  <r>
    <n v="775"/>
    <n v="1393"/>
    <n v="0.33333333333333331"/>
    <x v="2"/>
    <d v="2024-03-04T00:00:00"/>
    <x v="0"/>
    <n v="15"/>
    <x v="769"/>
    <x v="2"/>
    <x v="5"/>
    <n v="5"/>
    <n v="20"/>
    <n v="100"/>
    <n v="0"/>
  </r>
  <r>
    <n v="776"/>
    <n v="1393"/>
    <n v="0.33333333333333331"/>
    <x v="2"/>
    <d v="2024-03-04T00:00:00"/>
    <x v="0"/>
    <n v="11"/>
    <x v="770"/>
    <x v="0"/>
    <x v="16"/>
    <n v="1"/>
    <n v="5"/>
    <n v="5"/>
    <n v="0"/>
  </r>
  <r>
    <n v="777"/>
    <n v="1394"/>
    <n v="0.33333333333333331"/>
    <x v="2"/>
    <d v="2024-03-04T00:00:00"/>
    <x v="0"/>
    <n v="13"/>
    <x v="771"/>
    <x v="2"/>
    <x v="11"/>
    <n v="4"/>
    <n v="35"/>
    <n v="140"/>
    <n v="1"/>
  </r>
  <r>
    <n v="778"/>
    <n v="1394"/>
    <n v="0.33333333333333331"/>
    <x v="2"/>
    <d v="2024-03-04T00:00:00"/>
    <x v="0"/>
    <n v="20"/>
    <x v="772"/>
    <x v="2"/>
    <x v="10"/>
    <n v="3"/>
    <n v="30"/>
    <n v="90"/>
    <n v="0"/>
  </r>
  <r>
    <n v="779"/>
    <n v="1394"/>
    <n v="0.33333333333333331"/>
    <x v="2"/>
    <d v="2024-03-04T00:00:00"/>
    <x v="0"/>
    <n v="14"/>
    <x v="773"/>
    <x v="0"/>
    <x v="16"/>
    <n v="4"/>
    <n v="5"/>
    <n v="20"/>
    <n v="0"/>
  </r>
  <r>
    <n v="780"/>
    <n v="1395"/>
    <n v="1"/>
    <x v="2"/>
    <d v="2024-03-04T00:00:00"/>
    <x v="0"/>
    <n v="11"/>
    <x v="774"/>
    <x v="1"/>
    <x v="2"/>
    <n v="4"/>
    <n v="680"/>
    <n v="2720"/>
    <n v="1"/>
  </r>
  <r>
    <n v="781"/>
    <n v="1396"/>
    <n v="0.33333333333333331"/>
    <x v="2"/>
    <d v="2024-03-04T00:00:00"/>
    <x v="0"/>
    <n v="14"/>
    <x v="775"/>
    <x v="1"/>
    <x v="4"/>
    <n v="2"/>
    <n v="600"/>
    <n v="1200"/>
    <n v="1"/>
  </r>
  <r>
    <n v="782"/>
    <n v="1396"/>
    <n v="0.33333333333333331"/>
    <x v="2"/>
    <d v="2024-03-04T00:00:00"/>
    <x v="0"/>
    <n v="11"/>
    <x v="776"/>
    <x v="3"/>
    <x v="18"/>
    <n v="1"/>
    <n v="45"/>
    <n v="45"/>
    <n v="0"/>
  </r>
  <r>
    <n v="783"/>
    <n v="1396"/>
    <n v="0.33333333333333331"/>
    <x v="2"/>
    <d v="2024-03-04T00:00:00"/>
    <x v="0"/>
    <n v="11"/>
    <x v="777"/>
    <x v="0"/>
    <x v="0"/>
    <n v="2"/>
    <n v="20"/>
    <n v="40"/>
    <n v="0"/>
  </r>
  <r>
    <n v="784"/>
    <n v="1397"/>
    <n v="0.33333333333333331"/>
    <x v="2"/>
    <d v="2024-03-04T00:00:00"/>
    <x v="0"/>
    <n v="15"/>
    <x v="778"/>
    <x v="1"/>
    <x v="2"/>
    <n v="3"/>
    <n v="680"/>
    <n v="2040"/>
    <n v="1"/>
  </r>
  <r>
    <n v="785"/>
    <n v="1397"/>
    <n v="0.33333333333333331"/>
    <x v="2"/>
    <d v="2024-03-04T00:00:00"/>
    <x v="0"/>
    <n v="15"/>
    <x v="779"/>
    <x v="1"/>
    <x v="4"/>
    <n v="2"/>
    <n v="600"/>
    <n v="1200"/>
    <n v="0"/>
  </r>
  <r>
    <n v="786"/>
    <n v="1397"/>
    <n v="0.33333333333333331"/>
    <x v="2"/>
    <d v="2024-03-04T00:00:00"/>
    <x v="0"/>
    <n v="19"/>
    <x v="780"/>
    <x v="1"/>
    <x v="12"/>
    <n v="1"/>
    <n v="1000"/>
    <n v="1000"/>
    <n v="0"/>
  </r>
  <r>
    <n v="787"/>
    <n v="1398"/>
    <n v="0.33333333333333331"/>
    <x v="2"/>
    <d v="2024-03-04T00:00:00"/>
    <x v="0"/>
    <n v="19"/>
    <x v="781"/>
    <x v="2"/>
    <x v="15"/>
    <n v="3"/>
    <n v="25"/>
    <n v="75"/>
    <n v="1"/>
  </r>
  <r>
    <n v="788"/>
    <n v="1398"/>
    <n v="0.33333333333333331"/>
    <x v="2"/>
    <d v="2024-03-04T00:00:00"/>
    <x v="0"/>
    <n v="11"/>
    <x v="782"/>
    <x v="0"/>
    <x v="9"/>
    <n v="4"/>
    <n v="15"/>
    <n v="60"/>
    <n v="0"/>
  </r>
  <r>
    <n v="789"/>
    <n v="1398"/>
    <n v="0.33333333333333331"/>
    <x v="2"/>
    <d v="2024-03-04T00:00:00"/>
    <x v="0"/>
    <n v="10"/>
    <x v="783"/>
    <x v="2"/>
    <x v="10"/>
    <n v="3"/>
    <n v="30"/>
    <n v="90"/>
    <n v="0"/>
  </r>
  <r>
    <n v="790"/>
    <n v="1399"/>
    <n v="1"/>
    <x v="2"/>
    <d v="2024-03-05T00:00:00"/>
    <x v="1"/>
    <n v="17"/>
    <x v="784"/>
    <x v="0"/>
    <x v="0"/>
    <n v="5"/>
    <n v="20"/>
    <n v="100"/>
    <n v="1"/>
  </r>
  <r>
    <n v="791"/>
    <n v="1400"/>
    <n v="0.33333333333333331"/>
    <x v="2"/>
    <d v="2024-03-05T00:00:00"/>
    <x v="1"/>
    <n v="12"/>
    <x v="785"/>
    <x v="1"/>
    <x v="4"/>
    <n v="5"/>
    <n v="600"/>
    <n v="3000"/>
    <n v="1"/>
  </r>
  <r>
    <n v="792"/>
    <n v="1400"/>
    <n v="0.33333333333333331"/>
    <x v="2"/>
    <d v="2024-03-05T00:00:00"/>
    <x v="1"/>
    <n v="10"/>
    <x v="786"/>
    <x v="3"/>
    <x v="14"/>
    <n v="2"/>
    <n v="40"/>
    <n v="80"/>
    <n v="0"/>
  </r>
  <r>
    <n v="793"/>
    <n v="1400"/>
    <n v="0.33333333333333331"/>
    <x v="2"/>
    <d v="2024-03-05T00:00:00"/>
    <x v="1"/>
    <n v="15"/>
    <x v="787"/>
    <x v="1"/>
    <x v="12"/>
    <n v="3"/>
    <n v="1000"/>
    <n v="3000"/>
    <n v="0"/>
  </r>
  <r>
    <n v="794"/>
    <n v="1401"/>
    <n v="0.33333333333333331"/>
    <x v="2"/>
    <d v="2024-03-05T00:00:00"/>
    <x v="1"/>
    <n v="18"/>
    <x v="788"/>
    <x v="0"/>
    <x v="8"/>
    <n v="2"/>
    <n v="10"/>
    <n v="20"/>
    <n v="1"/>
  </r>
  <r>
    <n v="795"/>
    <n v="1401"/>
    <n v="0.33333333333333331"/>
    <x v="2"/>
    <d v="2024-03-05T00:00:00"/>
    <x v="1"/>
    <n v="19"/>
    <x v="789"/>
    <x v="3"/>
    <x v="13"/>
    <n v="5"/>
    <n v="55"/>
    <n v="275"/>
    <n v="0"/>
  </r>
  <r>
    <n v="796"/>
    <n v="1401"/>
    <n v="0.33333333333333331"/>
    <x v="2"/>
    <d v="2024-03-05T00:00:00"/>
    <x v="1"/>
    <n v="11"/>
    <x v="790"/>
    <x v="1"/>
    <x v="1"/>
    <n v="2"/>
    <n v="650"/>
    <n v="1300"/>
    <n v="0"/>
  </r>
  <r>
    <n v="797"/>
    <n v="1402"/>
    <n v="1"/>
    <x v="2"/>
    <d v="2024-03-05T00:00:00"/>
    <x v="1"/>
    <n v="11"/>
    <x v="791"/>
    <x v="0"/>
    <x v="16"/>
    <n v="3"/>
    <n v="5"/>
    <n v="15"/>
    <n v="1"/>
  </r>
  <r>
    <n v="798"/>
    <n v="1403"/>
    <n v="1"/>
    <x v="2"/>
    <d v="2024-03-06T00:00:00"/>
    <x v="2"/>
    <n v="18"/>
    <x v="792"/>
    <x v="1"/>
    <x v="3"/>
    <n v="4"/>
    <n v="700"/>
    <n v="2800"/>
    <n v="1"/>
  </r>
  <r>
    <n v="799"/>
    <n v="1404"/>
    <n v="0.33333333333333331"/>
    <x v="2"/>
    <d v="2024-03-06T00:00:00"/>
    <x v="2"/>
    <n v="20"/>
    <x v="793"/>
    <x v="0"/>
    <x v="0"/>
    <n v="5"/>
    <n v="20"/>
    <n v="100"/>
    <n v="1"/>
  </r>
  <r>
    <n v="800"/>
    <n v="1404"/>
    <n v="0.33333333333333331"/>
    <x v="2"/>
    <d v="2024-03-06T00:00:00"/>
    <x v="2"/>
    <n v="9"/>
    <x v="794"/>
    <x v="3"/>
    <x v="13"/>
    <n v="2"/>
    <n v="55"/>
    <n v="110"/>
    <n v="0"/>
  </r>
  <r>
    <n v="801"/>
    <n v="1404"/>
    <n v="0.33333333333333331"/>
    <x v="2"/>
    <d v="2024-03-06T00:00:00"/>
    <x v="2"/>
    <n v="18"/>
    <x v="795"/>
    <x v="0"/>
    <x v="0"/>
    <n v="2"/>
    <n v="20"/>
    <n v="40"/>
    <n v="0"/>
  </r>
  <r>
    <n v="802"/>
    <n v="1405"/>
    <n v="0.5"/>
    <x v="2"/>
    <d v="2024-03-06T00:00:00"/>
    <x v="2"/>
    <n v="13"/>
    <x v="796"/>
    <x v="3"/>
    <x v="6"/>
    <n v="5"/>
    <n v="50"/>
    <n v="250"/>
    <n v="1"/>
  </r>
  <r>
    <n v="803"/>
    <n v="1405"/>
    <n v="0.5"/>
    <x v="2"/>
    <d v="2024-03-06T00:00:00"/>
    <x v="2"/>
    <n v="19"/>
    <x v="797"/>
    <x v="0"/>
    <x v="9"/>
    <n v="5"/>
    <n v="15"/>
    <n v="75"/>
    <n v="0"/>
  </r>
  <r>
    <n v="804"/>
    <n v="1406"/>
    <n v="1"/>
    <x v="2"/>
    <d v="2024-03-06T00:00:00"/>
    <x v="2"/>
    <n v="10"/>
    <x v="798"/>
    <x v="2"/>
    <x v="5"/>
    <n v="2"/>
    <n v="20"/>
    <n v="40"/>
    <n v="1"/>
  </r>
  <r>
    <n v="805"/>
    <n v="1407"/>
    <n v="0.33333333333333331"/>
    <x v="2"/>
    <d v="2024-03-07T00:00:00"/>
    <x v="3"/>
    <n v="16"/>
    <x v="799"/>
    <x v="0"/>
    <x v="0"/>
    <n v="5"/>
    <n v="20"/>
    <n v="100"/>
    <n v="1"/>
  </r>
  <r>
    <n v="806"/>
    <n v="1407"/>
    <n v="0.33333333333333331"/>
    <x v="2"/>
    <d v="2024-03-07T00:00:00"/>
    <x v="3"/>
    <n v="12"/>
    <x v="800"/>
    <x v="1"/>
    <x v="1"/>
    <n v="4"/>
    <n v="650"/>
    <n v="2600"/>
    <n v="0"/>
  </r>
  <r>
    <n v="807"/>
    <n v="1407"/>
    <n v="0.33333333333333331"/>
    <x v="2"/>
    <d v="2024-03-07T00:00:00"/>
    <x v="3"/>
    <n v="9"/>
    <x v="801"/>
    <x v="0"/>
    <x v="8"/>
    <n v="2"/>
    <n v="10"/>
    <n v="20"/>
    <n v="0"/>
  </r>
  <r>
    <n v="808"/>
    <n v="1408"/>
    <n v="1"/>
    <x v="2"/>
    <d v="2024-03-07T00:00:00"/>
    <x v="3"/>
    <n v="19"/>
    <x v="802"/>
    <x v="2"/>
    <x v="10"/>
    <n v="4"/>
    <n v="30"/>
    <n v="120"/>
    <n v="1"/>
  </r>
  <r>
    <n v="809"/>
    <n v="1409"/>
    <n v="0.33333333333333331"/>
    <x v="2"/>
    <d v="2024-03-07T00:00:00"/>
    <x v="3"/>
    <n v="11"/>
    <x v="803"/>
    <x v="3"/>
    <x v="6"/>
    <n v="5"/>
    <n v="50"/>
    <n v="250"/>
    <n v="1"/>
  </r>
  <r>
    <n v="810"/>
    <n v="1409"/>
    <n v="0.33333333333333331"/>
    <x v="2"/>
    <d v="2024-03-07T00:00:00"/>
    <x v="3"/>
    <n v="15"/>
    <x v="804"/>
    <x v="0"/>
    <x v="16"/>
    <n v="1"/>
    <n v="5"/>
    <n v="5"/>
    <n v="0"/>
  </r>
  <r>
    <n v="811"/>
    <n v="1409"/>
    <n v="0.33333333333333331"/>
    <x v="2"/>
    <d v="2024-03-07T00:00:00"/>
    <x v="3"/>
    <n v="17"/>
    <x v="805"/>
    <x v="0"/>
    <x v="16"/>
    <n v="4"/>
    <n v="5"/>
    <n v="20"/>
    <n v="0"/>
  </r>
  <r>
    <n v="812"/>
    <n v="1410"/>
    <n v="0.5"/>
    <x v="2"/>
    <d v="2024-03-07T00:00:00"/>
    <x v="3"/>
    <n v="10"/>
    <x v="806"/>
    <x v="3"/>
    <x v="6"/>
    <n v="5"/>
    <n v="50"/>
    <n v="250"/>
    <n v="1"/>
  </r>
  <r>
    <n v="813"/>
    <n v="1410"/>
    <n v="0.5"/>
    <x v="2"/>
    <d v="2024-03-07T00:00:00"/>
    <x v="3"/>
    <n v="16"/>
    <x v="807"/>
    <x v="2"/>
    <x v="5"/>
    <n v="1"/>
    <n v="20"/>
    <n v="20"/>
    <n v="0"/>
  </r>
  <r>
    <n v="814"/>
    <n v="1411"/>
    <n v="1"/>
    <x v="2"/>
    <d v="2024-03-07T00:00:00"/>
    <x v="3"/>
    <n v="14"/>
    <x v="808"/>
    <x v="0"/>
    <x v="7"/>
    <n v="4"/>
    <n v="25"/>
    <n v="100"/>
    <n v="1"/>
  </r>
  <r>
    <n v="815"/>
    <n v="1412"/>
    <n v="0.33333333333333331"/>
    <x v="2"/>
    <d v="2024-03-07T00:00:00"/>
    <x v="3"/>
    <n v="14"/>
    <x v="809"/>
    <x v="1"/>
    <x v="2"/>
    <n v="3"/>
    <n v="680"/>
    <n v="2040"/>
    <n v="1"/>
  </r>
  <r>
    <n v="816"/>
    <n v="1412"/>
    <n v="0.33333333333333331"/>
    <x v="2"/>
    <d v="2024-03-07T00:00:00"/>
    <x v="3"/>
    <n v="15"/>
    <x v="810"/>
    <x v="0"/>
    <x v="16"/>
    <n v="2"/>
    <n v="5"/>
    <n v="10"/>
    <n v="0"/>
  </r>
  <r>
    <n v="817"/>
    <n v="1412"/>
    <n v="0.33333333333333331"/>
    <x v="2"/>
    <d v="2024-03-07T00:00:00"/>
    <x v="3"/>
    <n v="10"/>
    <x v="811"/>
    <x v="2"/>
    <x v="10"/>
    <n v="4"/>
    <n v="30"/>
    <n v="120"/>
    <n v="0"/>
  </r>
  <r>
    <n v="818"/>
    <n v="1413"/>
    <n v="0.5"/>
    <x v="2"/>
    <d v="2024-03-07T00:00:00"/>
    <x v="3"/>
    <n v="19"/>
    <x v="812"/>
    <x v="2"/>
    <x v="5"/>
    <n v="2"/>
    <n v="20"/>
    <n v="40"/>
    <n v="1"/>
  </r>
  <r>
    <n v="819"/>
    <n v="1413"/>
    <n v="0.5"/>
    <x v="2"/>
    <d v="2024-03-07T00:00:00"/>
    <x v="3"/>
    <n v="19"/>
    <x v="813"/>
    <x v="1"/>
    <x v="3"/>
    <n v="2"/>
    <n v="700"/>
    <n v="1400"/>
    <n v="0"/>
  </r>
  <r>
    <n v="820"/>
    <n v="1414"/>
    <n v="1"/>
    <x v="2"/>
    <d v="2024-03-08T00:00:00"/>
    <x v="4"/>
    <n v="18"/>
    <x v="814"/>
    <x v="0"/>
    <x v="8"/>
    <n v="4"/>
    <n v="10"/>
    <n v="40"/>
    <n v="1"/>
  </r>
  <r>
    <n v="821"/>
    <n v="1415"/>
    <n v="0.5"/>
    <x v="2"/>
    <d v="2024-03-08T00:00:00"/>
    <x v="4"/>
    <n v="14"/>
    <x v="815"/>
    <x v="3"/>
    <x v="13"/>
    <n v="5"/>
    <n v="55"/>
    <n v="275"/>
    <n v="1"/>
  </r>
  <r>
    <n v="822"/>
    <n v="1415"/>
    <n v="0.5"/>
    <x v="2"/>
    <d v="2024-03-08T00:00:00"/>
    <x v="4"/>
    <n v="13"/>
    <x v="625"/>
    <x v="3"/>
    <x v="13"/>
    <n v="1"/>
    <n v="55"/>
    <n v="55"/>
    <n v="0"/>
  </r>
  <r>
    <n v="823"/>
    <n v="1416"/>
    <n v="0.33333333333333331"/>
    <x v="2"/>
    <d v="2024-03-08T00:00:00"/>
    <x v="4"/>
    <n v="13"/>
    <x v="816"/>
    <x v="3"/>
    <x v="6"/>
    <n v="5"/>
    <n v="50"/>
    <n v="250"/>
    <n v="1"/>
  </r>
  <r>
    <n v="824"/>
    <n v="1416"/>
    <n v="0.33333333333333331"/>
    <x v="2"/>
    <d v="2024-03-08T00:00:00"/>
    <x v="4"/>
    <n v="15"/>
    <x v="817"/>
    <x v="2"/>
    <x v="11"/>
    <n v="1"/>
    <n v="35"/>
    <n v="35"/>
    <n v="0"/>
  </r>
  <r>
    <n v="825"/>
    <n v="1416"/>
    <n v="0.33333333333333331"/>
    <x v="2"/>
    <d v="2024-03-08T00:00:00"/>
    <x v="4"/>
    <n v="14"/>
    <x v="818"/>
    <x v="0"/>
    <x v="16"/>
    <n v="5"/>
    <n v="5"/>
    <n v="25"/>
    <n v="0"/>
  </r>
  <r>
    <n v="826"/>
    <n v="1417"/>
    <n v="0.33333333333333331"/>
    <x v="2"/>
    <d v="2024-03-08T00:00:00"/>
    <x v="4"/>
    <n v="18"/>
    <x v="819"/>
    <x v="0"/>
    <x v="16"/>
    <n v="1"/>
    <n v="5"/>
    <n v="5"/>
    <n v="1"/>
  </r>
  <r>
    <n v="827"/>
    <n v="1417"/>
    <n v="0.33333333333333331"/>
    <x v="2"/>
    <d v="2024-03-08T00:00:00"/>
    <x v="4"/>
    <n v="17"/>
    <x v="820"/>
    <x v="2"/>
    <x v="15"/>
    <n v="4"/>
    <n v="25"/>
    <n v="100"/>
    <n v="0"/>
  </r>
  <r>
    <n v="828"/>
    <n v="1417"/>
    <n v="0.33333333333333331"/>
    <x v="2"/>
    <d v="2024-03-08T00:00:00"/>
    <x v="4"/>
    <n v="14"/>
    <x v="821"/>
    <x v="2"/>
    <x v="11"/>
    <n v="3"/>
    <n v="35"/>
    <n v="105"/>
    <n v="0"/>
  </r>
  <r>
    <n v="829"/>
    <n v="1418"/>
    <n v="0.5"/>
    <x v="2"/>
    <d v="2024-03-08T00:00:00"/>
    <x v="4"/>
    <n v="14"/>
    <x v="822"/>
    <x v="0"/>
    <x v="8"/>
    <n v="3"/>
    <n v="10"/>
    <n v="30"/>
    <n v="1"/>
  </r>
  <r>
    <n v="830"/>
    <n v="1418"/>
    <n v="0.5"/>
    <x v="2"/>
    <d v="2024-03-08T00:00:00"/>
    <x v="4"/>
    <n v="10"/>
    <x v="823"/>
    <x v="0"/>
    <x v="9"/>
    <n v="3"/>
    <n v="15"/>
    <n v="45"/>
    <n v="0"/>
  </r>
  <r>
    <n v="831"/>
    <n v="1419"/>
    <n v="0.33333333333333331"/>
    <x v="2"/>
    <d v="2024-03-08T00:00:00"/>
    <x v="4"/>
    <n v="16"/>
    <x v="824"/>
    <x v="2"/>
    <x v="5"/>
    <n v="1"/>
    <n v="20"/>
    <n v="20"/>
    <n v="1"/>
  </r>
  <r>
    <n v="832"/>
    <n v="1419"/>
    <n v="0.33333333333333331"/>
    <x v="2"/>
    <d v="2024-03-08T00:00:00"/>
    <x v="4"/>
    <n v="16"/>
    <x v="825"/>
    <x v="3"/>
    <x v="14"/>
    <n v="2"/>
    <n v="40"/>
    <n v="80"/>
    <n v="0"/>
  </r>
  <r>
    <n v="833"/>
    <n v="1419"/>
    <n v="0.33333333333333331"/>
    <x v="2"/>
    <d v="2024-03-08T00:00:00"/>
    <x v="4"/>
    <n v="14"/>
    <x v="96"/>
    <x v="0"/>
    <x v="7"/>
    <n v="2"/>
    <n v="25"/>
    <n v="50"/>
    <n v="0"/>
  </r>
  <r>
    <n v="834"/>
    <n v="1420"/>
    <n v="1"/>
    <x v="2"/>
    <d v="2024-03-08T00:00:00"/>
    <x v="4"/>
    <n v="20"/>
    <x v="826"/>
    <x v="0"/>
    <x v="9"/>
    <n v="1"/>
    <n v="15"/>
    <n v="15"/>
    <n v="1"/>
  </r>
  <r>
    <n v="835"/>
    <n v="1421"/>
    <n v="0.33333333333333331"/>
    <x v="2"/>
    <d v="2024-03-08T00:00:00"/>
    <x v="4"/>
    <n v="18"/>
    <x v="827"/>
    <x v="0"/>
    <x v="16"/>
    <n v="5"/>
    <n v="5"/>
    <n v="25"/>
    <n v="1"/>
  </r>
  <r>
    <n v="836"/>
    <n v="1421"/>
    <n v="0.33333333333333331"/>
    <x v="2"/>
    <d v="2024-03-08T00:00:00"/>
    <x v="4"/>
    <n v="17"/>
    <x v="828"/>
    <x v="3"/>
    <x v="18"/>
    <n v="5"/>
    <n v="45"/>
    <n v="225"/>
    <n v="0"/>
  </r>
  <r>
    <n v="837"/>
    <n v="1421"/>
    <n v="0.33333333333333331"/>
    <x v="2"/>
    <d v="2024-03-08T00:00:00"/>
    <x v="4"/>
    <n v="10"/>
    <x v="829"/>
    <x v="1"/>
    <x v="12"/>
    <n v="4"/>
    <n v="1000"/>
    <n v="4000"/>
    <n v="0"/>
  </r>
  <r>
    <n v="838"/>
    <n v="1422"/>
    <n v="1"/>
    <x v="2"/>
    <d v="2024-03-08T00:00:00"/>
    <x v="4"/>
    <n v="14"/>
    <x v="830"/>
    <x v="0"/>
    <x v="16"/>
    <n v="2"/>
    <n v="5"/>
    <n v="10"/>
    <n v="1"/>
  </r>
  <r>
    <n v="839"/>
    <n v="1423"/>
    <n v="0.5"/>
    <x v="2"/>
    <d v="2024-03-09T00:00:00"/>
    <x v="5"/>
    <n v="18"/>
    <x v="831"/>
    <x v="2"/>
    <x v="10"/>
    <n v="1"/>
    <n v="30"/>
    <n v="30"/>
    <n v="1"/>
  </r>
  <r>
    <n v="840"/>
    <n v="1423"/>
    <n v="0.5"/>
    <x v="2"/>
    <d v="2024-03-09T00:00:00"/>
    <x v="5"/>
    <n v="19"/>
    <x v="832"/>
    <x v="0"/>
    <x v="0"/>
    <n v="3"/>
    <n v="20"/>
    <n v="60"/>
    <n v="0"/>
  </r>
  <r>
    <n v="841"/>
    <n v="1424"/>
    <n v="0.33333333333333331"/>
    <x v="2"/>
    <d v="2024-03-09T00:00:00"/>
    <x v="5"/>
    <n v="15"/>
    <x v="833"/>
    <x v="2"/>
    <x v="5"/>
    <n v="5"/>
    <n v="20"/>
    <n v="100"/>
    <n v="1"/>
  </r>
  <r>
    <n v="842"/>
    <n v="1424"/>
    <n v="0.33333333333333331"/>
    <x v="2"/>
    <d v="2024-03-09T00:00:00"/>
    <x v="5"/>
    <n v="14"/>
    <x v="834"/>
    <x v="1"/>
    <x v="3"/>
    <n v="2"/>
    <n v="700"/>
    <n v="1400"/>
    <n v="0"/>
  </r>
  <r>
    <n v="843"/>
    <n v="1424"/>
    <n v="0.33333333333333331"/>
    <x v="2"/>
    <d v="2024-03-09T00:00:00"/>
    <x v="5"/>
    <n v="15"/>
    <x v="835"/>
    <x v="2"/>
    <x v="10"/>
    <n v="5"/>
    <n v="30"/>
    <n v="150"/>
    <n v="0"/>
  </r>
  <r>
    <n v="844"/>
    <n v="1425"/>
    <n v="1"/>
    <x v="2"/>
    <d v="2024-03-09T00:00:00"/>
    <x v="5"/>
    <n v="16"/>
    <x v="836"/>
    <x v="0"/>
    <x v="16"/>
    <n v="2"/>
    <n v="5"/>
    <n v="10"/>
    <n v="1"/>
  </r>
  <r>
    <n v="845"/>
    <n v="1426"/>
    <n v="0.5"/>
    <x v="2"/>
    <d v="2024-03-10T00:00:00"/>
    <x v="6"/>
    <n v="17"/>
    <x v="837"/>
    <x v="1"/>
    <x v="2"/>
    <n v="1"/>
    <n v="680"/>
    <n v="680"/>
    <n v="1"/>
  </r>
  <r>
    <n v="846"/>
    <n v="1426"/>
    <n v="0.5"/>
    <x v="2"/>
    <d v="2024-03-10T00:00:00"/>
    <x v="6"/>
    <n v="20"/>
    <x v="838"/>
    <x v="0"/>
    <x v="8"/>
    <n v="1"/>
    <n v="10"/>
    <n v="10"/>
    <n v="0"/>
  </r>
  <r>
    <n v="847"/>
    <n v="1427"/>
    <n v="0.5"/>
    <x v="2"/>
    <d v="2024-03-10T00:00:00"/>
    <x v="6"/>
    <n v="17"/>
    <x v="839"/>
    <x v="3"/>
    <x v="6"/>
    <n v="4"/>
    <n v="50"/>
    <n v="200"/>
    <n v="1"/>
  </r>
  <r>
    <n v="848"/>
    <n v="1427"/>
    <n v="0.5"/>
    <x v="2"/>
    <d v="2024-03-10T00:00:00"/>
    <x v="6"/>
    <n v="15"/>
    <x v="840"/>
    <x v="0"/>
    <x v="0"/>
    <n v="3"/>
    <n v="20"/>
    <n v="60"/>
    <n v="0"/>
  </r>
  <r>
    <n v="849"/>
    <n v="1428"/>
    <n v="0.5"/>
    <x v="2"/>
    <d v="2024-03-10T00:00:00"/>
    <x v="6"/>
    <n v="12"/>
    <x v="841"/>
    <x v="1"/>
    <x v="2"/>
    <n v="3"/>
    <n v="680"/>
    <n v="2040"/>
    <n v="1"/>
  </r>
  <r>
    <n v="850"/>
    <n v="1428"/>
    <n v="0.5"/>
    <x v="2"/>
    <d v="2024-03-10T00:00:00"/>
    <x v="6"/>
    <n v="15"/>
    <x v="842"/>
    <x v="0"/>
    <x v="9"/>
    <n v="4"/>
    <n v="15"/>
    <n v="60"/>
    <n v="0"/>
  </r>
  <r>
    <n v="851"/>
    <n v="1429"/>
    <n v="0.33333333333333331"/>
    <x v="2"/>
    <d v="2024-03-10T00:00:00"/>
    <x v="6"/>
    <n v="16"/>
    <x v="843"/>
    <x v="2"/>
    <x v="5"/>
    <n v="2"/>
    <n v="20"/>
    <n v="40"/>
    <n v="1"/>
  </r>
  <r>
    <n v="852"/>
    <n v="1429"/>
    <n v="0.33333333333333331"/>
    <x v="2"/>
    <d v="2024-03-10T00:00:00"/>
    <x v="6"/>
    <n v="18"/>
    <x v="844"/>
    <x v="0"/>
    <x v="0"/>
    <n v="5"/>
    <n v="20"/>
    <n v="100"/>
    <n v="0"/>
  </r>
  <r>
    <n v="853"/>
    <n v="1429"/>
    <n v="0.33333333333333331"/>
    <x v="2"/>
    <d v="2024-03-10T00:00:00"/>
    <x v="6"/>
    <n v="18"/>
    <x v="845"/>
    <x v="1"/>
    <x v="3"/>
    <n v="2"/>
    <n v="700"/>
    <n v="1400"/>
    <n v="0"/>
  </r>
  <r>
    <n v="854"/>
    <n v="1430"/>
    <n v="0.5"/>
    <x v="2"/>
    <d v="2024-03-10T00:00:00"/>
    <x v="6"/>
    <n v="16"/>
    <x v="846"/>
    <x v="1"/>
    <x v="1"/>
    <n v="5"/>
    <n v="650"/>
    <n v="3250"/>
    <n v="1"/>
  </r>
  <r>
    <n v="855"/>
    <n v="1430"/>
    <n v="0.5"/>
    <x v="2"/>
    <d v="2024-03-10T00:00:00"/>
    <x v="6"/>
    <n v="9"/>
    <x v="847"/>
    <x v="1"/>
    <x v="2"/>
    <n v="3"/>
    <n v="680"/>
    <n v="2040"/>
    <n v="0"/>
  </r>
  <r>
    <n v="856"/>
    <n v="1431"/>
    <n v="0.33333333333333331"/>
    <x v="2"/>
    <d v="2024-03-10T00:00:00"/>
    <x v="6"/>
    <n v="15"/>
    <x v="848"/>
    <x v="1"/>
    <x v="12"/>
    <n v="4"/>
    <n v="1000"/>
    <n v="4000"/>
    <n v="1"/>
  </r>
  <r>
    <n v="857"/>
    <n v="1431"/>
    <n v="0.33333333333333331"/>
    <x v="2"/>
    <d v="2024-03-10T00:00:00"/>
    <x v="6"/>
    <n v="16"/>
    <x v="849"/>
    <x v="1"/>
    <x v="12"/>
    <n v="2"/>
    <n v="1000"/>
    <n v="2000"/>
    <n v="0"/>
  </r>
  <r>
    <n v="858"/>
    <n v="1431"/>
    <n v="0.33333333333333331"/>
    <x v="2"/>
    <d v="2024-03-10T00:00:00"/>
    <x v="6"/>
    <n v="11"/>
    <x v="850"/>
    <x v="1"/>
    <x v="3"/>
    <n v="3"/>
    <n v="700"/>
    <n v="2100"/>
    <n v="0"/>
  </r>
  <r>
    <n v="859"/>
    <n v="1432"/>
    <n v="0.33333333333333331"/>
    <x v="2"/>
    <d v="2024-03-11T00:00:00"/>
    <x v="0"/>
    <n v="11"/>
    <x v="851"/>
    <x v="3"/>
    <x v="17"/>
    <n v="1"/>
    <n v="60"/>
    <n v="60"/>
    <n v="1"/>
  </r>
  <r>
    <n v="860"/>
    <n v="1432"/>
    <n v="0.33333333333333331"/>
    <x v="2"/>
    <d v="2024-03-11T00:00:00"/>
    <x v="0"/>
    <n v="20"/>
    <x v="852"/>
    <x v="0"/>
    <x v="9"/>
    <n v="2"/>
    <n v="15"/>
    <n v="30"/>
    <n v="0"/>
  </r>
  <r>
    <n v="861"/>
    <n v="1432"/>
    <n v="0.33333333333333331"/>
    <x v="2"/>
    <d v="2024-03-11T00:00:00"/>
    <x v="0"/>
    <n v="10"/>
    <x v="853"/>
    <x v="3"/>
    <x v="18"/>
    <n v="4"/>
    <n v="45"/>
    <n v="180"/>
    <n v="0"/>
  </r>
  <r>
    <n v="862"/>
    <n v="1433"/>
    <n v="1"/>
    <x v="2"/>
    <d v="2024-03-11T00:00:00"/>
    <x v="0"/>
    <n v="19"/>
    <x v="854"/>
    <x v="0"/>
    <x v="16"/>
    <n v="2"/>
    <n v="5"/>
    <n v="10"/>
    <n v="1"/>
  </r>
  <r>
    <n v="863"/>
    <n v="1434"/>
    <n v="0.5"/>
    <x v="2"/>
    <d v="2024-03-11T00:00:00"/>
    <x v="0"/>
    <n v="19"/>
    <x v="855"/>
    <x v="0"/>
    <x v="0"/>
    <n v="2"/>
    <n v="20"/>
    <n v="40"/>
    <n v="1"/>
  </r>
  <r>
    <n v="864"/>
    <n v="1434"/>
    <n v="0.5"/>
    <x v="2"/>
    <d v="2024-03-11T00:00:00"/>
    <x v="0"/>
    <n v="13"/>
    <x v="856"/>
    <x v="0"/>
    <x v="16"/>
    <n v="5"/>
    <n v="5"/>
    <n v="25"/>
    <n v="0"/>
  </r>
  <r>
    <n v="865"/>
    <n v="1435"/>
    <n v="0.5"/>
    <x v="2"/>
    <d v="2024-03-11T00:00:00"/>
    <x v="0"/>
    <n v="19"/>
    <x v="857"/>
    <x v="2"/>
    <x v="5"/>
    <n v="5"/>
    <n v="20"/>
    <n v="100"/>
    <n v="1"/>
  </r>
  <r>
    <n v="866"/>
    <n v="1435"/>
    <n v="0.5"/>
    <x v="2"/>
    <d v="2024-03-11T00:00:00"/>
    <x v="0"/>
    <n v="11"/>
    <x v="858"/>
    <x v="3"/>
    <x v="18"/>
    <n v="2"/>
    <n v="45"/>
    <n v="90"/>
    <n v="0"/>
  </r>
  <r>
    <n v="867"/>
    <n v="1436"/>
    <n v="0.5"/>
    <x v="2"/>
    <d v="2024-03-11T00:00:00"/>
    <x v="0"/>
    <n v="18"/>
    <x v="859"/>
    <x v="0"/>
    <x v="16"/>
    <n v="1"/>
    <n v="5"/>
    <n v="5"/>
    <n v="1"/>
  </r>
  <r>
    <n v="868"/>
    <n v="1436"/>
    <n v="0.5"/>
    <x v="2"/>
    <d v="2024-03-11T00:00:00"/>
    <x v="0"/>
    <n v="13"/>
    <x v="860"/>
    <x v="2"/>
    <x v="10"/>
    <n v="2"/>
    <n v="30"/>
    <n v="60"/>
    <n v="0"/>
  </r>
  <r>
    <n v="869"/>
    <n v="1437"/>
    <n v="1"/>
    <x v="2"/>
    <d v="2024-03-11T00:00:00"/>
    <x v="0"/>
    <n v="20"/>
    <x v="861"/>
    <x v="2"/>
    <x v="15"/>
    <n v="3"/>
    <n v="25"/>
    <n v="75"/>
    <n v="1"/>
  </r>
  <r>
    <n v="870"/>
    <n v="1438"/>
    <n v="0.5"/>
    <x v="2"/>
    <d v="2024-03-12T00:00:00"/>
    <x v="1"/>
    <n v="16"/>
    <x v="862"/>
    <x v="2"/>
    <x v="15"/>
    <n v="5"/>
    <n v="25"/>
    <n v="125"/>
    <n v="1"/>
  </r>
  <r>
    <n v="871"/>
    <n v="1438"/>
    <n v="0.5"/>
    <x v="2"/>
    <d v="2024-03-12T00:00:00"/>
    <x v="1"/>
    <n v="12"/>
    <x v="863"/>
    <x v="2"/>
    <x v="11"/>
    <n v="5"/>
    <n v="35"/>
    <n v="175"/>
    <n v="0"/>
  </r>
  <r>
    <n v="872"/>
    <n v="1439"/>
    <n v="0.33333333333333331"/>
    <x v="2"/>
    <d v="2024-03-12T00:00:00"/>
    <x v="1"/>
    <n v="20"/>
    <x v="864"/>
    <x v="2"/>
    <x v="15"/>
    <n v="1"/>
    <n v="25"/>
    <n v="25"/>
    <n v="1"/>
  </r>
  <r>
    <n v="873"/>
    <n v="1439"/>
    <n v="0.33333333333333331"/>
    <x v="2"/>
    <d v="2024-03-12T00:00:00"/>
    <x v="1"/>
    <n v="20"/>
    <x v="865"/>
    <x v="3"/>
    <x v="13"/>
    <n v="5"/>
    <n v="55"/>
    <n v="275"/>
    <n v="0"/>
  </r>
  <r>
    <n v="874"/>
    <n v="1439"/>
    <n v="0.33333333333333331"/>
    <x v="2"/>
    <d v="2024-03-12T00:00:00"/>
    <x v="1"/>
    <n v="15"/>
    <x v="866"/>
    <x v="2"/>
    <x v="10"/>
    <n v="1"/>
    <n v="30"/>
    <n v="30"/>
    <n v="0"/>
  </r>
  <r>
    <n v="875"/>
    <n v="1440"/>
    <n v="0.33333333333333331"/>
    <x v="2"/>
    <d v="2024-03-12T00:00:00"/>
    <x v="1"/>
    <n v="11"/>
    <x v="867"/>
    <x v="1"/>
    <x v="2"/>
    <n v="3"/>
    <n v="680"/>
    <n v="2040"/>
    <n v="1"/>
  </r>
  <r>
    <n v="876"/>
    <n v="1440"/>
    <n v="0.33333333333333331"/>
    <x v="2"/>
    <d v="2024-03-12T00:00:00"/>
    <x v="1"/>
    <n v="19"/>
    <x v="868"/>
    <x v="3"/>
    <x v="17"/>
    <n v="3"/>
    <n v="60"/>
    <n v="180"/>
    <n v="0"/>
  </r>
  <r>
    <n v="877"/>
    <n v="1440"/>
    <n v="0.33333333333333331"/>
    <x v="2"/>
    <d v="2024-03-12T00:00:00"/>
    <x v="1"/>
    <n v="17"/>
    <x v="869"/>
    <x v="2"/>
    <x v="15"/>
    <n v="3"/>
    <n v="25"/>
    <n v="75"/>
    <n v="0"/>
  </r>
  <r>
    <n v="878"/>
    <n v="1441"/>
    <n v="0.5"/>
    <x v="2"/>
    <d v="2024-03-12T00:00:00"/>
    <x v="1"/>
    <n v="10"/>
    <x v="870"/>
    <x v="3"/>
    <x v="13"/>
    <n v="1"/>
    <n v="55"/>
    <n v="55"/>
    <n v="1"/>
  </r>
  <r>
    <n v="879"/>
    <n v="1441"/>
    <n v="0.5"/>
    <x v="2"/>
    <d v="2024-03-12T00:00:00"/>
    <x v="1"/>
    <n v="11"/>
    <x v="871"/>
    <x v="1"/>
    <x v="3"/>
    <n v="5"/>
    <n v="700"/>
    <n v="3500"/>
    <n v="0"/>
  </r>
  <r>
    <n v="880"/>
    <n v="1442"/>
    <n v="0.5"/>
    <x v="2"/>
    <d v="2024-03-12T00:00:00"/>
    <x v="1"/>
    <n v="15"/>
    <x v="872"/>
    <x v="2"/>
    <x v="5"/>
    <n v="3"/>
    <n v="20"/>
    <n v="60"/>
    <n v="1"/>
  </r>
  <r>
    <n v="881"/>
    <n v="1442"/>
    <n v="0.5"/>
    <x v="2"/>
    <d v="2024-03-12T00:00:00"/>
    <x v="1"/>
    <n v="10"/>
    <x v="873"/>
    <x v="1"/>
    <x v="3"/>
    <n v="2"/>
    <n v="700"/>
    <n v="1400"/>
    <n v="0"/>
  </r>
  <r>
    <n v="882"/>
    <n v="1443"/>
    <n v="0.33333333333333331"/>
    <x v="2"/>
    <d v="2024-03-12T00:00:00"/>
    <x v="1"/>
    <n v="10"/>
    <x v="874"/>
    <x v="0"/>
    <x v="0"/>
    <n v="4"/>
    <n v="20"/>
    <n v="80"/>
    <n v="1"/>
  </r>
  <r>
    <n v="883"/>
    <n v="1443"/>
    <n v="0.33333333333333331"/>
    <x v="2"/>
    <d v="2024-03-12T00:00:00"/>
    <x v="1"/>
    <n v="19"/>
    <x v="875"/>
    <x v="3"/>
    <x v="6"/>
    <n v="2"/>
    <n v="50"/>
    <n v="100"/>
    <n v="0"/>
  </r>
  <r>
    <n v="884"/>
    <n v="1443"/>
    <n v="0.33333333333333331"/>
    <x v="2"/>
    <d v="2024-03-12T00:00:00"/>
    <x v="1"/>
    <n v="9"/>
    <x v="876"/>
    <x v="0"/>
    <x v="0"/>
    <n v="4"/>
    <n v="20"/>
    <n v="80"/>
    <n v="0"/>
  </r>
  <r>
    <n v="885"/>
    <n v="1444"/>
    <n v="0.5"/>
    <x v="2"/>
    <d v="2024-03-12T00:00:00"/>
    <x v="1"/>
    <n v="9"/>
    <x v="45"/>
    <x v="2"/>
    <x v="11"/>
    <n v="3"/>
    <n v="35"/>
    <n v="105"/>
    <n v="1"/>
  </r>
  <r>
    <n v="886"/>
    <n v="1444"/>
    <n v="0.5"/>
    <x v="2"/>
    <d v="2024-03-12T00:00:00"/>
    <x v="1"/>
    <n v="20"/>
    <x v="877"/>
    <x v="1"/>
    <x v="12"/>
    <n v="1"/>
    <n v="1000"/>
    <n v="1000"/>
    <n v="0"/>
  </r>
  <r>
    <n v="887"/>
    <n v="1445"/>
    <n v="0.5"/>
    <x v="2"/>
    <d v="2024-03-12T00:00:00"/>
    <x v="1"/>
    <n v="18"/>
    <x v="878"/>
    <x v="2"/>
    <x v="10"/>
    <n v="4"/>
    <n v="30"/>
    <n v="120"/>
    <n v="1"/>
  </r>
  <r>
    <n v="888"/>
    <n v="1445"/>
    <n v="0.5"/>
    <x v="2"/>
    <d v="2024-03-12T00:00:00"/>
    <x v="1"/>
    <n v="14"/>
    <x v="879"/>
    <x v="1"/>
    <x v="12"/>
    <n v="1"/>
    <n v="1000"/>
    <n v="1000"/>
    <n v="0"/>
  </r>
  <r>
    <n v="889"/>
    <n v="1446"/>
    <n v="1"/>
    <x v="2"/>
    <d v="2024-03-12T00:00:00"/>
    <x v="1"/>
    <n v="10"/>
    <x v="880"/>
    <x v="2"/>
    <x v="11"/>
    <n v="1"/>
    <n v="35"/>
    <n v="35"/>
    <n v="1"/>
  </r>
  <r>
    <n v="890"/>
    <n v="1447"/>
    <n v="1"/>
    <x v="2"/>
    <d v="2024-03-12T00:00:00"/>
    <x v="1"/>
    <n v="16"/>
    <x v="881"/>
    <x v="2"/>
    <x v="5"/>
    <n v="1"/>
    <n v="20"/>
    <n v="20"/>
    <n v="1"/>
  </r>
  <r>
    <n v="891"/>
    <n v="1448"/>
    <n v="0.5"/>
    <x v="2"/>
    <d v="2024-03-13T00:00:00"/>
    <x v="2"/>
    <n v="9"/>
    <x v="882"/>
    <x v="0"/>
    <x v="9"/>
    <n v="2"/>
    <n v="15"/>
    <n v="30"/>
    <n v="1"/>
  </r>
  <r>
    <n v="892"/>
    <n v="1448"/>
    <n v="0.5"/>
    <x v="2"/>
    <d v="2024-03-13T00:00:00"/>
    <x v="2"/>
    <n v="11"/>
    <x v="883"/>
    <x v="2"/>
    <x v="15"/>
    <n v="2"/>
    <n v="25"/>
    <n v="50"/>
    <n v="0"/>
  </r>
  <r>
    <n v="893"/>
    <n v="1449"/>
    <n v="1"/>
    <x v="2"/>
    <d v="2024-03-13T00:00:00"/>
    <x v="2"/>
    <n v="18"/>
    <x v="884"/>
    <x v="0"/>
    <x v="8"/>
    <n v="4"/>
    <n v="10"/>
    <n v="40"/>
    <n v="1"/>
  </r>
  <r>
    <n v="894"/>
    <n v="1450"/>
    <n v="1"/>
    <x v="2"/>
    <d v="2024-03-13T00:00:00"/>
    <x v="2"/>
    <n v="9"/>
    <x v="885"/>
    <x v="0"/>
    <x v="16"/>
    <n v="2"/>
    <n v="5"/>
    <n v="10"/>
    <n v="1"/>
  </r>
  <r>
    <n v="895"/>
    <n v="1451"/>
    <n v="0.5"/>
    <x v="2"/>
    <d v="2024-03-13T00:00:00"/>
    <x v="2"/>
    <n v="20"/>
    <x v="886"/>
    <x v="2"/>
    <x v="10"/>
    <n v="5"/>
    <n v="30"/>
    <n v="150"/>
    <n v="1"/>
  </r>
  <r>
    <n v="896"/>
    <n v="1451"/>
    <n v="0.5"/>
    <x v="2"/>
    <d v="2024-03-13T00:00:00"/>
    <x v="2"/>
    <n v="18"/>
    <x v="887"/>
    <x v="0"/>
    <x v="8"/>
    <n v="4"/>
    <n v="10"/>
    <n v="40"/>
    <n v="0"/>
  </r>
  <r>
    <n v="897"/>
    <n v="1452"/>
    <n v="0.33333333333333331"/>
    <x v="2"/>
    <d v="2024-03-13T00:00:00"/>
    <x v="2"/>
    <n v="11"/>
    <x v="888"/>
    <x v="2"/>
    <x v="10"/>
    <n v="4"/>
    <n v="30"/>
    <n v="120"/>
    <n v="1"/>
  </r>
  <r>
    <n v="898"/>
    <n v="1452"/>
    <n v="0.33333333333333331"/>
    <x v="2"/>
    <d v="2024-03-13T00:00:00"/>
    <x v="2"/>
    <n v="10"/>
    <x v="889"/>
    <x v="2"/>
    <x v="10"/>
    <n v="3"/>
    <n v="30"/>
    <n v="90"/>
    <n v="0"/>
  </r>
  <r>
    <n v="899"/>
    <n v="1452"/>
    <n v="0.33333333333333331"/>
    <x v="2"/>
    <d v="2024-03-13T00:00:00"/>
    <x v="2"/>
    <n v="18"/>
    <x v="890"/>
    <x v="3"/>
    <x v="14"/>
    <n v="3"/>
    <n v="40"/>
    <n v="120"/>
    <n v="0"/>
  </r>
  <r>
    <n v="900"/>
    <n v="1453"/>
    <n v="1"/>
    <x v="2"/>
    <d v="2024-03-13T00:00:00"/>
    <x v="2"/>
    <n v="10"/>
    <x v="891"/>
    <x v="2"/>
    <x v="15"/>
    <n v="2"/>
    <n v="25"/>
    <n v="50"/>
    <n v="1"/>
  </r>
  <r>
    <n v="901"/>
    <n v="1454"/>
    <n v="1"/>
    <x v="2"/>
    <d v="2024-03-14T00:00:00"/>
    <x v="3"/>
    <n v="10"/>
    <x v="892"/>
    <x v="3"/>
    <x v="13"/>
    <n v="3"/>
    <n v="55"/>
    <n v="165"/>
    <n v="1"/>
  </r>
  <r>
    <n v="902"/>
    <n v="1455"/>
    <n v="0.5"/>
    <x v="2"/>
    <d v="2024-03-14T00:00:00"/>
    <x v="3"/>
    <n v="11"/>
    <x v="893"/>
    <x v="0"/>
    <x v="8"/>
    <n v="4"/>
    <n v="10"/>
    <n v="40"/>
    <n v="1"/>
  </r>
  <r>
    <n v="903"/>
    <n v="1455"/>
    <n v="0.5"/>
    <x v="2"/>
    <d v="2024-03-14T00:00:00"/>
    <x v="3"/>
    <n v="12"/>
    <x v="894"/>
    <x v="0"/>
    <x v="7"/>
    <n v="4"/>
    <n v="25"/>
    <n v="100"/>
    <n v="0"/>
  </r>
  <r>
    <n v="904"/>
    <n v="1456"/>
    <n v="0.33333333333333331"/>
    <x v="2"/>
    <d v="2024-03-14T00:00:00"/>
    <x v="3"/>
    <n v="11"/>
    <x v="895"/>
    <x v="3"/>
    <x v="18"/>
    <n v="3"/>
    <n v="45"/>
    <n v="135"/>
    <n v="1"/>
  </r>
  <r>
    <n v="905"/>
    <n v="1456"/>
    <n v="0.33333333333333331"/>
    <x v="2"/>
    <d v="2024-03-14T00:00:00"/>
    <x v="3"/>
    <n v="17"/>
    <x v="896"/>
    <x v="2"/>
    <x v="10"/>
    <n v="4"/>
    <n v="30"/>
    <n v="120"/>
    <n v="0"/>
  </r>
  <r>
    <n v="906"/>
    <n v="1456"/>
    <n v="0.33333333333333331"/>
    <x v="2"/>
    <d v="2024-03-14T00:00:00"/>
    <x v="3"/>
    <n v="17"/>
    <x v="897"/>
    <x v="0"/>
    <x v="0"/>
    <n v="3"/>
    <n v="20"/>
    <n v="60"/>
    <n v="0"/>
  </r>
  <r>
    <n v="907"/>
    <n v="1457"/>
    <n v="0.33333333333333331"/>
    <x v="2"/>
    <d v="2024-03-14T00:00:00"/>
    <x v="3"/>
    <n v="15"/>
    <x v="898"/>
    <x v="0"/>
    <x v="9"/>
    <n v="1"/>
    <n v="15"/>
    <n v="15"/>
    <n v="1"/>
  </r>
  <r>
    <n v="908"/>
    <n v="1457"/>
    <n v="0.33333333333333331"/>
    <x v="2"/>
    <d v="2024-03-14T00:00:00"/>
    <x v="3"/>
    <n v="16"/>
    <x v="899"/>
    <x v="2"/>
    <x v="11"/>
    <n v="2"/>
    <n v="35"/>
    <n v="70"/>
    <n v="0"/>
  </r>
  <r>
    <n v="909"/>
    <n v="1457"/>
    <n v="0.33333333333333331"/>
    <x v="2"/>
    <d v="2024-03-14T00:00:00"/>
    <x v="3"/>
    <n v="19"/>
    <x v="900"/>
    <x v="1"/>
    <x v="3"/>
    <n v="5"/>
    <n v="700"/>
    <n v="3500"/>
    <n v="0"/>
  </r>
  <r>
    <n v="910"/>
    <n v="1458"/>
    <n v="0.33333333333333331"/>
    <x v="2"/>
    <d v="2024-03-14T00:00:00"/>
    <x v="3"/>
    <n v="20"/>
    <x v="901"/>
    <x v="2"/>
    <x v="11"/>
    <n v="1"/>
    <n v="35"/>
    <n v="35"/>
    <n v="1"/>
  </r>
  <r>
    <n v="911"/>
    <n v="1458"/>
    <n v="0.33333333333333331"/>
    <x v="2"/>
    <d v="2024-03-14T00:00:00"/>
    <x v="3"/>
    <n v="10"/>
    <x v="902"/>
    <x v="3"/>
    <x v="14"/>
    <n v="5"/>
    <n v="40"/>
    <n v="200"/>
    <n v="0"/>
  </r>
  <r>
    <n v="912"/>
    <n v="1458"/>
    <n v="0.33333333333333331"/>
    <x v="2"/>
    <d v="2024-03-14T00:00:00"/>
    <x v="3"/>
    <n v="12"/>
    <x v="903"/>
    <x v="1"/>
    <x v="12"/>
    <n v="5"/>
    <n v="1000"/>
    <n v="5000"/>
    <n v="0"/>
  </r>
  <r>
    <n v="913"/>
    <n v="1459"/>
    <n v="0.33333333333333331"/>
    <x v="2"/>
    <d v="2024-03-14T00:00:00"/>
    <x v="3"/>
    <n v="20"/>
    <x v="904"/>
    <x v="0"/>
    <x v="8"/>
    <n v="4"/>
    <n v="10"/>
    <n v="40"/>
    <n v="1"/>
  </r>
  <r>
    <n v="914"/>
    <n v="1459"/>
    <n v="0.33333333333333331"/>
    <x v="2"/>
    <d v="2024-03-14T00:00:00"/>
    <x v="3"/>
    <n v="15"/>
    <x v="905"/>
    <x v="3"/>
    <x v="14"/>
    <n v="5"/>
    <n v="40"/>
    <n v="200"/>
    <n v="0"/>
  </r>
  <r>
    <n v="915"/>
    <n v="1459"/>
    <n v="0.33333333333333331"/>
    <x v="2"/>
    <d v="2024-03-14T00:00:00"/>
    <x v="3"/>
    <n v="14"/>
    <x v="906"/>
    <x v="1"/>
    <x v="1"/>
    <n v="1"/>
    <n v="650"/>
    <n v="650"/>
    <n v="0"/>
  </r>
  <r>
    <n v="916"/>
    <n v="1460"/>
    <n v="0.33333333333333331"/>
    <x v="2"/>
    <d v="2024-03-14T00:00:00"/>
    <x v="3"/>
    <n v="9"/>
    <x v="907"/>
    <x v="3"/>
    <x v="14"/>
    <n v="1"/>
    <n v="40"/>
    <n v="40"/>
    <n v="1"/>
  </r>
  <r>
    <n v="917"/>
    <n v="1460"/>
    <n v="0.33333333333333331"/>
    <x v="2"/>
    <d v="2024-03-14T00:00:00"/>
    <x v="3"/>
    <n v="20"/>
    <x v="908"/>
    <x v="0"/>
    <x v="9"/>
    <n v="5"/>
    <n v="15"/>
    <n v="75"/>
    <n v="0"/>
  </r>
  <r>
    <n v="918"/>
    <n v="1460"/>
    <n v="0.33333333333333331"/>
    <x v="2"/>
    <d v="2024-03-14T00:00:00"/>
    <x v="3"/>
    <n v="19"/>
    <x v="909"/>
    <x v="2"/>
    <x v="5"/>
    <n v="4"/>
    <n v="20"/>
    <n v="80"/>
    <n v="0"/>
  </r>
  <r>
    <n v="919"/>
    <n v="1461"/>
    <n v="1"/>
    <x v="2"/>
    <d v="2024-03-14T00:00:00"/>
    <x v="3"/>
    <n v="20"/>
    <x v="910"/>
    <x v="3"/>
    <x v="14"/>
    <n v="4"/>
    <n v="40"/>
    <n v="160"/>
    <n v="1"/>
  </r>
  <r>
    <n v="920"/>
    <n v="1462"/>
    <n v="0.5"/>
    <x v="2"/>
    <d v="2024-03-14T00:00:00"/>
    <x v="3"/>
    <n v="13"/>
    <x v="911"/>
    <x v="3"/>
    <x v="6"/>
    <n v="4"/>
    <n v="50"/>
    <n v="200"/>
    <n v="1"/>
  </r>
  <r>
    <n v="921"/>
    <n v="1462"/>
    <n v="0.5"/>
    <x v="2"/>
    <d v="2024-03-14T00:00:00"/>
    <x v="3"/>
    <n v="12"/>
    <x v="912"/>
    <x v="2"/>
    <x v="11"/>
    <n v="4"/>
    <n v="35"/>
    <n v="140"/>
    <n v="0"/>
  </r>
  <r>
    <n v="922"/>
    <n v="1463"/>
    <n v="0.5"/>
    <x v="2"/>
    <d v="2024-03-14T00:00:00"/>
    <x v="3"/>
    <n v="19"/>
    <x v="913"/>
    <x v="3"/>
    <x v="6"/>
    <n v="3"/>
    <n v="50"/>
    <n v="150"/>
    <n v="1"/>
  </r>
  <r>
    <n v="923"/>
    <n v="1463"/>
    <n v="0.5"/>
    <x v="2"/>
    <d v="2024-03-14T00:00:00"/>
    <x v="3"/>
    <n v="9"/>
    <x v="914"/>
    <x v="1"/>
    <x v="1"/>
    <n v="3"/>
    <n v="650"/>
    <n v="1950"/>
    <n v="0"/>
  </r>
  <r>
    <n v="924"/>
    <n v="1464"/>
    <n v="0.33333333333333331"/>
    <x v="2"/>
    <d v="2024-03-15T00:00:00"/>
    <x v="4"/>
    <n v="15"/>
    <x v="915"/>
    <x v="2"/>
    <x v="15"/>
    <n v="4"/>
    <n v="25"/>
    <n v="100"/>
    <n v="1"/>
  </r>
  <r>
    <n v="925"/>
    <n v="1464"/>
    <n v="0.33333333333333331"/>
    <x v="2"/>
    <d v="2024-03-15T00:00:00"/>
    <x v="4"/>
    <n v="15"/>
    <x v="916"/>
    <x v="2"/>
    <x v="5"/>
    <n v="5"/>
    <n v="20"/>
    <n v="100"/>
    <n v="0"/>
  </r>
  <r>
    <n v="926"/>
    <n v="1464"/>
    <n v="0.33333333333333331"/>
    <x v="2"/>
    <d v="2024-03-15T00:00:00"/>
    <x v="4"/>
    <n v="10"/>
    <x v="917"/>
    <x v="1"/>
    <x v="2"/>
    <n v="3"/>
    <n v="680"/>
    <n v="2040"/>
    <n v="0"/>
  </r>
  <r>
    <n v="927"/>
    <n v="1465"/>
    <n v="0.33333333333333331"/>
    <x v="2"/>
    <d v="2024-03-15T00:00:00"/>
    <x v="4"/>
    <n v="15"/>
    <x v="918"/>
    <x v="0"/>
    <x v="7"/>
    <n v="4"/>
    <n v="25"/>
    <n v="100"/>
    <n v="1"/>
  </r>
  <r>
    <n v="928"/>
    <n v="1465"/>
    <n v="0.33333333333333331"/>
    <x v="2"/>
    <d v="2024-03-15T00:00:00"/>
    <x v="4"/>
    <n v="20"/>
    <x v="919"/>
    <x v="0"/>
    <x v="9"/>
    <n v="5"/>
    <n v="15"/>
    <n v="75"/>
    <n v="0"/>
  </r>
  <r>
    <n v="929"/>
    <n v="1465"/>
    <n v="0.33333333333333331"/>
    <x v="2"/>
    <d v="2024-03-15T00:00:00"/>
    <x v="4"/>
    <n v="14"/>
    <x v="920"/>
    <x v="3"/>
    <x v="18"/>
    <n v="3"/>
    <n v="45"/>
    <n v="135"/>
    <n v="0"/>
  </r>
  <r>
    <n v="930"/>
    <n v="1466"/>
    <n v="0.33333333333333331"/>
    <x v="2"/>
    <d v="2024-03-15T00:00:00"/>
    <x v="4"/>
    <n v="18"/>
    <x v="921"/>
    <x v="1"/>
    <x v="2"/>
    <n v="1"/>
    <n v="680"/>
    <n v="680"/>
    <n v="1"/>
  </r>
  <r>
    <n v="931"/>
    <n v="1466"/>
    <n v="0.33333333333333331"/>
    <x v="2"/>
    <d v="2024-03-15T00:00:00"/>
    <x v="4"/>
    <n v="9"/>
    <x v="922"/>
    <x v="0"/>
    <x v="0"/>
    <n v="5"/>
    <n v="20"/>
    <n v="100"/>
    <n v="0"/>
  </r>
  <r>
    <n v="932"/>
    <n v="1466"/>
    <n v="0.33333333333333331"/>
    <x v="2"/>
    <d v="2024-03-15T00:00:00"/>
    <x v="4"/>
    <n v="19"/>
    <x v="923"/>
    <x v="0"/>
    <x v="16"/>
    <n v="4"/>
    <n v="5"/>
    <n v="20"/>
    <n v="0"/>
  </r>
  <r>
    <n v="933"/>
    <n v="1467"/>
    <n v="0.33333333333333331"/>
    <x v="2"/>
    <d v="2024-03-15T00:00:00"/>
    <x v="4"/>
    <n v="19"/>
    <x v="924"/>
    <x v="1"/>
    <x v="4"/>
    <n v="2"/>
    <n v="600"/>
    <n v="1200"/>
    <n v="1"/>
  </r>
  <r>
    <n v="934"/>
    <n v="1467"/>
    <n v="0.33333333333333331"/>
    <x v="2"/>
    <d v="2024-03-15T00:00:00"/>
    <x v="4"/>
    <n v="11"/>
    <x v="925"/>
    <x v="3"/>
    <x v="6"/>
    <n v="4"/>
    <n v="50"/>
    <n v="200"/>
    <n v="0"/>
  </r>
  <r>
    <n v="935"/>
    <n v="1467"/>
    <n v="0.33333333333333331"/>
    <x v="2"/>
    <d v="2024-03-15T00:00:00"/>
    <x v="4"/>
    <n v="20"/>
    <x v="926"/>
    <x v="1"/>
    <x v="4"/>
    <n v="3"/>
    <n v="600"/>
    <n v="1800"/>
    <n v="0"/>
  </r>
  <r>
    <n v="936"/>
    <n v="1468"/>
    <n v="1"/>
    <x v="2"/>
    <d v="2024-03-16T00:00:00"/>
    <x v="5"/>
    <n v="9"/>
    <x v="927"/>
    <x v="3"/>
    <x v="6"/>
    <n v="4"/>
    <n v="50"/>
    <n v="200"/>
    <n v="1"/>
  </r>
  <r>
    <n v="937"/>
    <n v="1469"/>
    <n v="0.33333333333333331"/>
    <x v="2"/>
    <d v="2024-03-16T00:00:00"/>
    <x v="5"/>
    <n v="13"/>
    <x v="928"/>
    <x v="1"/>
    <x v="2"/>
    <n v="2"/>
    <n v="680"/>
    <n v="1360"/>
    <n v="1"/>
  </r>
  <r>
    <n v="938"/>
    <n v="1469"/>
    <n v="0.33333333333333331"/>
    <x v="2"/>
    <d v="2024-03-16T00:00:00"/>
    <x v="5"/>
    <n v="14"/>
    <x v="929"/>
    <x v="2"/>
    <x v="15"/>
    <n v="4"/>
    <n v="25"/>
    <n v="100"/>
    <n v="0"/>
  </r>
  <r>
    <n v="939"/>
    <n v="1469"/>
    <n v="0.33333333333333331"/>
    <x v="2"/>
    <d v="2024-03-16T00:00:00"/>
    <x v="5"/>
    <n v="16"/>
    <x v="930"/>
    <x v="1"/>
    <x v="3"/>
    <n v="5"/>
    <n v="700"/>
    <n v="3500"/>
    <n v="0"/>
  </r>
  <r>
    <n v="940"/>
    <n v="1470"/>
    <n v="1"/>
    <x v="2"/>
    <d v="2024-03-16T00:00:00"/>
    <x v="5"/>
    <n v="16"/>
    <x v="931"/>
    <x v="3"/>
    <x v="6"/>
    <n v="1"/>
    <n v="50"/>
    <n v="50"/>
    <n v="1"/>
  </r>
  <r>
    <n v="941"/>
    <n v="1471"/>
    <n v="1"/>
    <x v="2"/>
    <d v="2024-03-16T00:00:00"/>
    <x v="5"/>
    <n v="13"/>
    <x v="932"/>
    <x v="0"/>
    <x v="0"/>
    <n v="4"/>
    <n v="20"/>
    <n v="80"/>
    <n v="1"/>
  </r>
  <r>
    <n v="942"/>
    <n v="1472"/>
    <n v="1"/>
    <x v="2"/>
    <d v="2024-03-16T00:00:00"/>
    <x v="5"/>
    <n v="10"/>
    <x v="933"/>
    <x v="2"/>
    <x v="11"/>
    <n v="3"/>
    <n v="35"/>
    <n v="105"/>
    <n v="1"/>
  </r>
  <r>
    <n v="943"/>
    <n v="1473"/>
    <n v="0.5"/>
    <x v="2"/>
    <d v="2024-03-16T00:00:00"/>
    <x v="5"/>
    <n v="13"/>
    <x v="934"/>
    <x v="2"/>
    <x v="5"/>
    <n v="2"/>
    <n v="20"/>
    <n v="40"/>
    <n v="1"/>
  </r>
  <r>
    <n v="944"/>
    <n v="1473"/>
    <n v="0.5"/>
    <x v="2"/>
    <d v="2024-03-16T00:00:00"/>
    <x v="5"/>
    <n v="14"/>
    <x v="935"/>
    <x v="2"/>
    <x v="5"/>
    <n v="1"/>
    <n v="20"/>
    <n v="20"/>
    <n v="0"/>
  </r>
  <r>
    <n v="945"/>
    <n v="1474"/>
    <n v="0.33333333333333331"/>
    <x v="2"/>
    <d v="2024-03-16T00:00:00"/>
    <x v="5"/>
    <n v="14"/>
    <x v="936"/>
    <x v="1"/>
    <x v="4"/>
    <n v="4"/>
    <n v="600"/>
    <n v="2400"/>
    <n v="1"/>
  </r>
  <r>
    <n v="946"/>
    <n v="1474"/>
    <n v="0.33333333333333331"/>
    <x v="2"/>
    <d v="2024-03-16T00:00:00"/>
    <x v="5"/>
    <n v="15"/>
    <x v="937"/>
    <x v="1"/>
    <x v="3"/>
    <n v="5"/>
    <n v="700"/>
    <n v="3500"/>
    <n v="0"/>
  </r>
  <r>
    <n v="947"/>
    <n v="1474"/>
    <n v="0.33333333333333331"/>
    <x v="2"/>
    <d v="2024-03-16T00:00:00"/>
    <x v="5"/>
    <n v="17"/>
    <x v="938"/>
    <x v="3"/>
    <x v="13"/>
    <n v="3"/>
    <n v="55"/>
    <n v="165"/>
    <n v="0"/>
  </r>
  <r>
    <n v="948"/>
    <n v="1475"/>
    <n v="0.5"/>
    <x v="2"/>
    <d v="2024-03-17T00:00:00"/>
    <x v="6"/>
    <n v="13"/>
    <x v="939"/>
    <x v="3"/>
    <x v="17"/>
    <n v="1"/>
    <n v="60"/>
    <n v="60"/>
    <n v="1"/>
  </r>
  <r>
    <n v="949"/>
    <n v="1475"/>
    <n v="0.5"/>
    <x v="2"/>
    <d v="2024-03-17T00:00:00"/>
    <x v="6"/>
    <n v="20"/>
    <x v="940"/>
    <x v="2"/>
    <x v="5"/>
    <n v="3"/>
    <n v="20"/>
    <n v="60"/>
    <n v="0"/>
  </r>
  <r>
    <n v="950"/>
    <n v="1476"/>
    <n v="0.33333333333333331"/>
    <x v="2"/>
    <d v="2024-03-17T00:00:00"/>
    <x v="6"/>
    <n v="9"/>
    <x v="941"/>
    <x v="0"/>
    <x v="7"/>
    <n v="1"/>
    <n v="25"/>
    <n v="25"/>
    <n v="1"/>
  </r>
  <r>
    <n v="951"/>
    <n v="1476"/>
    <n v="0.33333333333333331"/>
    <x v="2"/>
    <d v="2024-03-17T00:00:00"/>
    <x v="6"/>
    <n v="19"/>
    <x v="942"/>
    <x v="3"/>
    <x v="6"/>
    <n v="4"/>
    <n v="50"/>
    <n v="200"/>
    <n v="0"/>
  </r>
  <r>
    <n v="952"/>
    <n v="1476"/>
    <n v="0.33333333333333331"/>
    <x v="2"/>
    <d v="2024-03-17T00:00:00"/>
    <x v="6"/>
    <n v="18"/>
    <x v="943"/>
    <x v="2"/>
    <x v="11"/>
    <n v="5"/>
    <n v="35"/>
    <n v="175"/>
    <n v="0"/>
  </r>
  <r>
    <n v="953"/>
    <n v="1477"/>
    <n v="0.5"/>
    <x v="2"/>
    <d v="2024-03-17T00:00:00"/>
    <x v="6"/>
    <n v="13"/>
    <x v="944"/>
    <x v="3"/>
    <x v="17"/>
    <n v="2"/>
    <n v="60"/>
    <n v="120"/>
    <n v="1"/>
  </r>
  <r>
    <n v="954"/>
    <n v="1477"/>
    <n v="0.5"/>
    <x v="2"/>
    <d v="2024-03-17T00:00:00"/>
    <x v="6"/>
    <n v="19"/>
    <x v="945"/>
    <x v="0"/>
    <x v="7"/>
    <n v="5"/>
    <n v="25"/>
    <n v="125"/>
    <n v="0"/>
  </r>
  <r>
    <n v="955"/>
    <n v="1478"/>
    <n v="0.5"/>
    <x v="2"/>
    <d v="2024-03-17T00:00:00"/>
    <x v="6"/>
    <n v="20"/>
    <x v="946"/>
    <x v="0"/>
    <x v="8"/>
    <n v="5"/>
    <n v="10"/>
    <n v="50"/>
    <n v="1"/>
  </r>
  <r>
    <n v="956"/>
    <n v="1478"/>
    <n v="0.5"/>
    <x v="2"/>
    <d v="2024-03-17T00:00:00"/>
    <x v="6"/>
    <n v="15"/>
    <x v="947"/>
    <x v="2"/>
    <x v="10"/>
    <n v="3"/>
    <n v="30"/>
    <n v="90"/>
    <n v="0"/>
  </r>
  <r>
    <n v="957"/>
    <n v="1479"/>
    <n v="0.33333333333333331"/>
    <x v="2"/>
    <d v="2024-03-17T00:00:00"/>
    <x v="6"/>
    <n v="12"/>
    <x v="948"/>
    <x v="0"/>
    <x v="16"/>
    <n v="5"/>
    <n v="5"/>
    <n v="25"/>
    <n v="1"/>
  </r>
  <r>
    <n v="958"/>
    <n v="1479"/>
    <n v="0.33333333333333331"/>
    <x v="2"/>
    <d v="2024-03-17T00:00:00"/>
    <x v="6"/>
    <n v="16"/>
    <x v="949"/>
    <x v="2"/>
    <x v="11"/>
    <n v="3"/>
    <n v="35"/>
    <n v="105"/>
    <n v="0"/>
  </r>
  <r>
    <n v="959"/>
    <n v="1479"/>
    <n v="0.33333333333333331"/>
    <x v="2"/>
    <d v="2024-03-17T00:00:00"/>
    <x v="6"/>
    <n v="16"/>
    <x v="950"/>
    <x v="3"/>
    <x v="6"/>
    <n v="5"/>
    <n v="50"/>
    <n v="250"/>
    <n v="0"/>
  </r>
  <r>
    <n v="960"/>
    <n v="1480"/>
    <n v="1"/>
    <x v="2"/>
    <d v="2024-03-17T00:00:00"/>
    <x v="6"/>
    <n v="16"/>
    <x v="951"/>
    <x v="1"/>
    <x v="3"/>
    <n v="3"/>
    <n v="700"/>
    <n v="2100"/>
    <n v="1"/>
  </r>
  <r>
    <n v="961"/>
    <n v="1481"/>
    <n v="0.33333333333333331"/>
    <x v="2"/>
    <d v="2024-03-17T00:00:00"/>
    <x v="6"/>
    <n v="12"/>
    <x v="952"/>
    <x v="2"/>
    <x v="5"/>
    <n v="1"/>
    <n v="20"/>
    <n v="20"/>
    <n v="1"/>
  </r>
  <r>
    <n v="962"/>
    <n v="1481"/>
    <n v="0.33333333333333331"/>
    <x v="2"/>
    <d v="2024-03-17T00:00:00"/>
    <x v="6"/>
    <n v="17"/>
    <x v="953"/>
    <x v="0"/>
    <x v="0"/>
    <n v="1"/>
    <n v="20"/>
    <n v="20"/>
    <n v="0"/>
  </r>
  <r>
    <n v="963"/>
    <n v="1481"/>
    <n v="0.33333333333333331"/>
    <x v="2"/>
    <d v="2024-03-17T00:00:00"/>
    <x v="6"/>
    <n v="20"/>
    <x v="954"/>
    <x v="2"/>
    <x v="15"/>
    <n v="5"/>
    <n v="25"/>
    <n v="125"/>
    <n v="0"/>
  </r>
  <r>
    <n v="964"/>
    <n v="1482"/>
    <n v="0.33333333333333331"/>
    <x v="2"/>
    <d v="2024-03-17T00:00:00"/>
    <x v="6"/>
    <n v="13"/>
    <x v="955"/>
    <x v="1"/>
    <x v="2"/>
    <n v="1"/>
    <n v="680"/>
    <n v="680"/>
    <n v="1"/>
  </r>
  <r>
    <n v="965"/>
    <n v="1482"/>
    <n v="0.33333333333333331"/>
    <x v="2"/>
    <d v="2024-03-17T00:00:00"/>
    <x v="6"/>
    <n v="10"/>
    <x v="956"/>
    <x v="0"/>
    <x v="8"/>
    <n v="2"/>
    <n v="10"/>
    <n v="20"/>
    <n v="0"/>
  </r>
  <r>
    <n v="966"/>
    <n v="1482"/>
    <n v="0.33333333333333331"/>
    <x v="2"/>
    <d v="2024-03-17T00:00:00"/>
    <x v="6"/>
    <n v="14"/>
    <x v="957"/>
    <x v="3"/>
    <x v="13"/>
    <n v="2"/>
    <n v="55"/>
    <n v="110"/>
    <n v="0"/>
  </r>
  <r>
    <n v="967"/>
    <n v="1483"/>
    <n v="0.33333333333333331"/>
    <x v="2"/>
    <d v="2024-03-17T00:00:00"/>
    <x v="6"/>
    <n v="12"/>
    <x v="958"/>
    <x v="1"/>
    <x v="1"/>
    <n v="3"/>
    <n v="650"/>
    <n v="1950"/>
    <n v="1"/>
  </r>
  <r>
    <n v="968"/>
    <n v="1483"/>
    <n v="0.33333333333333331"/>
    <x v="2"/>
    <d v="2024-03-17T00:00:00"/>
    <x v="6"/>
    <n v="15"/>
    <x v="959"/>
    <x v="1"/>
    <x v="4"/>
    <n v="2"/>
    <n v="600"/>
    <n v="1200"/>
    <n v="0"/>
  </r>
  <r>
    <n v="969"/>
    <n v="1483"/>
    <n v="0.33333333333333331"/>
    <x v="2"/>
    <d v="2024-03-17T00:00:00"/>
    <x v="6"/>
    <n v="17"/>
    <x v="960"/>
    <x v="3"/>
    <x v="13"/>
    <n v="4"/>
    <n v="55"/>
    <n v="220"/>
    <n v="0"/>
  </r>
  <r>
    <n v="970"/>
    <n v="1484"/>
    <n v="0.5"/>
    <x v="2"/>
    <d v="2024-03-18T00:00:00"/>
    <x v="0"/>
    <n v="20"/>
    <x v="961"/>
    <x v="0"/>
    <x v="8"/>
    <n v="1"/>
    <n v="10"/>
    <n v="10"/>
    <n v="1"/>
  </r>
  <r>
    <n v="971"/>
    <n v="1484"/>
    <n v="0.5"/>
    <x v="2"/>
    <d v="2024-03-18T00:00:00"/>
    <x v="0"/>
    <n v="10"/>
    <x v="962"/>
    <x v="1"/>
    <x v="3"/>
    <n v="1"/>
    <n v="700"/>
    <n v="700"/>
    <n v="0"/>
  </r>
  <r>
    <n v="972"/>
    <n v="1485"/>
    <n v="0.33333333333333331"/>
    <x v="2"/>
    <d v="2024-03-18T00:00:00"/>
    <x v="0"/>
    <n v="10"/>
    <x v="963"/>
    <x v="0"/>
    <x v="9"/>
    <n v="1"/>
    <n v="15"/>
    <n v="15"/>
    <n v="1"/>
  </r>
  <r>
    <n v="973"/>
    <n v="1485"/>
    <n v="0.33333333333333331"/>
    <x v="2"/>
    <d v="2024-03-18T00:00:00"/>
    <x v="0"/>
    <n v="14"/>
    <x v="964"/>
    <x v="3"/>
    <x v="14"/>
    <n v="1"/>
    <n v="40"/>
    <n v="40"/>
    <n v="0"/>
  </r>
  <r>
    <n v="974"/>
    <n v="1485"/>
    <n v="0.33333333333333331"/>
    <x v="2"/>
    <d v="2024-03-18T00:00:00"/>
    <x v="0"/>
    <n v="20"/>
    <x v="965"/>
    <x v="1"/>
    <x v="1"/>
    <n v="4"/>
    <n v="650"/>
    <n v="2600"/>
    <n v="0"/>
  </r>
  <r>
    <n v="975"/>
    <n v="1486"/>
    <n v="1"/>
    <x v="2"/>
    <d v="2024-03-18T00:00:00"/>
    <x v="0"/>
    <n v="13"/>
    <x v="966"/>
    <x v="1"/>
    <x v="4"/>
    <n v="1"/>
    <n v="600"/>
    <n v="600"/>
    <n v="1"/>
  </r>
  <r>
    <n v="976"/>
    <n v="1487"/>
    <n v="1"/>
    <x v="2"/>
    <d v="2024-03-18T00:00:00"/>
    <x v="0"/>
    <n v="20"/>
    <x v="967"/>
    <x v="2"/>
    <x v="11"/>
    <n v="3"/>
    <n v="35"/>
    <n v="105"/>
    <n v="1"/>
  </r>
  <r>
    <n v="977"/>
    <n v="1488"/>
    <n v="0.33333333333333331"/>
    <x v="2"/>
    <d v="2024-03-18T00:00:00"/>
    <x v="0"/>
    <n v="20"/>
    <x v="968"/>
    <x v="0"/>
    <x v="8"/>
    <n v="1"/>
    <n v="10"/>
    <n v="10"/>
    <n v="1"/>
  </r>
  <r>
    <n v="978"/>
    <n v="1488"/>
    <n v="0.33333333333333331"/>
    <x v="2"/>
    <d v="2024-03-18T00:00:00"/>
    <x v="0"/>
    <n v="9"/>
    <x v="969"/>
    <x v="1"/>
    <x v="1"/>
    <n v="4"/>
    <n v="650"/>
    <n v="2600"/>
    <n v="0"/>
  </r>
  <r>
    <n v="979"/>
    <n v="1488"/>
    <n v="0.33333333333333331"/>
    <x v="2"/>
    <d v="2024-03-18T00:00:00"/>
    <x v="0"/>
    <n v="13"/>
    <x v="970"/>
    <x v="0"/>
    <x v="8"/>
    <n v="3"/>
    <n v="10"/>
    <n v="30"/>
    <n v="0"/>
  </r>
  <r>
    <n v="980"/>
    <n v="1489"/>
    <n v="0.5"/>
    <x v="2"/>
    <d v="2024-03-18T00:00:00"/>
    <x v="0"/>
    <n v="16"/>
    <x v="971"/>
    <x v="1"/>
    <x v="4"/>
    <n v="2"/>
    <n v="600"/>
    <n v="1200"/>
    <n v="1"/>
  </r>
  <r>
    <n v="981"/>
    <n v="1489"/>
    <n v="0.5"/>
    <x v="2"/>
    <d v="2024-03-18T00:00:00"/>
    <x v="0"/>
    <n v="11"/>
    <x v="972"/>
    <x v="0"/>
    <x v="16"/>
    <n v="2"/>
    <n v="5"/>
    <n v="10"/>
    <n v="0"/>
  </r>
  <r>
    <n v="982"/>
    <n v="1490"/>
    <n v="0.5"/>
    <x v="2"/>
    <d v="2024-03-18T00:00:00"/>
    <x v="0"/>
    <n v="15"/>
    <x v="973"/>
    <x v="1"/>
    <x v="12"/>
    <n v="5"/>
    <n v="1000"/>
    <n v="5000"/>
    <n v="1"/>
  </r>
  <r>
    <n v="983"/>
    <n v="1490"/>
    <n v="0.5"/>
    <x v="2"/>
    <d v="2024-03-18T00:00:00"/>
    <x v="0"/>
    <n v="18"/>
    <x v="974"/>
    <x v="2"/>
    <x v="10"/>
    <n v="2"/>
    <n v="30"/>
    <n v="60"/>
    <n v="0"/>
  </r>
  <r>
    <n v="984"/>
    <n v="1491"/>
    <n v="0.5"/>
    <x v="2"/>
    <d v="2024-03-18T00:00:00"/>
    <x v="0"/>
    <n v="16"/>
    <x v="975"/>
    <x v="1"/>
    <x v="12"/>
    <n v="5"/>
    <n v="1000"/>
    <n v="5000"/>
    <n v="1"/>
  </r>
  <r>
    <n v="985"/>
    <n v="1491"/>
    <n v="0.5"/>
    <x v="2"/>
    <d v="2024-03-18T00:00:00"/>
    <x v="0"/>
    <n v="16"/>
    <x v="976"/>
    <x v="3"/>
    <x v="14"/>
    <n v="3"/>
    <n v="40"/>
    <n v="120"/>
    <n v="0"/>
  </r>
  <r>
    <n v="986"/>
    <n v="1492"/>
    <n v="1"/>
    <x v="2"/>
    <d v="2024-03-18T00:00:00"/>
    <x v="0"/>
    <n v="17"/>
    <x v="977"/>
    <x v="1"/>
    <x v="2"/>
    <n v="2"/>
    <n v="680"/>
    <n v="1360"/>
    <n v="1"/>
  </r>
  <r>
    <n v="987"/>
    <n v="1493"/>
    <n v="1"/>
    <x v="2"/>
    <d v="2024-03-19T00:00:00"/>
    <x v="1"/>
    <n v="20"/>
    <x v="978"/>
    <x v="3"/>
    <x v="18"/>
    <n v="1"/>
    <n v="45"/>
    <n v="45"/>
    <n v="1"/>
  </r>
  <r>
    <n v="988"/>
    <n v="1494"/>
    <n v="0.33333333333333331"/>
    <x v="2"/>
    <d v="2024-03-19T00:00:00"/>
    <x v="1"/>
    <n v="9"/>
    <x v="979"/>
    <x v="0"/>
    <x v="16"/>
    <n v="4"/>
    <n v="5"/>
    <n v="20"/>
    <n v="1"/>
  </r>
  <r>
    <n v="989"/>
    <n v="1494"/>
    <n v="0.33333333333333331"/>
    <x v="2"/>
    <d v="2024-03-19T00:00:00"/>
    <x v="1"/>
    <n v="19"/>
    <x v="854"/>
    <x v="2"/>
    <x v="15"/>
    <n v="5"/>
    <n v="25"/>
    <n v="125"/>
    <n v="0"/>
  </r>
  <r>
    <n v="990"/>
    <n v="1494"/>
    <n v="0.33333333333333331"/>
    <x v="2"/>
    <d v="2024-03-19T00:00:00"/>
    <x v="1"/>
    <n v="12"/>
    <x v="980"/>
    <x v="1"/>
    <x v="2"/>
    <n v="1"/>
    <n v="680"/>
    <n v="680"/>
    <n v="0"/>
  </r>
  <r>
    <n v="991"/>
    <n v="1495"/>
    <n v="0.5"/>
    <x v="2"/>
    <d v="2024-03-19T00:00:00"/>
    <x v="1"/>
    <n v="12"/>
    <x v="981"/>
    <x v="0"/>
    <x v="16"/>
    <n v="1"/>
    <n v="5"/>
    <n v="5"/>
    <n v="1"/>
  </r>
  <r>
    <n v="992"/>
    <n v="1495"/>
    <n v="0.5"/>
    <x v="2"/>
    <d v="2024-03-19T00:00:00"/>
    <x v="1"/>
    <n v="9"/>
    <x v="982"/>
    <x v="3"/>
    <x v="13"/>
    <n v="2"/>
    <n v="55"/>
    <n v="110"/>
    <n v="0"/>
  </r>
  <r>
    <n v="993"/>
    <n v="1496"/>
    <n v="0.33333333333333331"/>
    <x v="2"/>
    <d v="2024-03-19T00:00:00"/>
    <x v="1"/>
    <n v="20"/>
    <x v="983"/>
    <x v="2"/>
    <x v="10"/>
    <n v="1"/>
    <n v="30"/>
    <n v="30"/>
    <n v="1"/>
  </r>
  <r>
    <n v="994"/>
    <n v="1496"/>
    <n v="0.33333333333333331"/>
    <x v="2"/>
    <d v="2024-03-19T00:00:00"/>
    <x v="1"/>
    <n v="10"/>
    <x v="984"/>
    <x v="2"/>
    <x v="5"/>
    <n v="4"/>
    <n v="20"/>
    <n v="80"/>
    <n v="0"/>
  </r>
  <r>
    <n v="995"/>
    <n v="1496"/>
    <n v="0.33333333333333331"/>
    <x v="2"/>
    <d v="2024-03-19T00:00:00"/>
    <x v="1"/>
    <n v="20"/>
    <x v="985"/>
    <x v="1"/>
    <x v="2"/>
    <n v="2"/>
    <n v="680"/>
    <n v="1360"/>
    <n v="0"/>
  </r>
  <r>
    <n v="996"/>
    <n v="1497"/>
    <n v="0.33333333333333331"/>
    <x v="2"/>
    <d v="2024-03-19T00:00:00"/>
    <x v="1"/>
    <n v="13"/>
    <x v="986"/>
    <x v="1"/>
    <x v="2"/>
    <n v="4"/>
    <n v="680"/>
    <n v="2720"/>
    <n v="1"/>
  </r>
  <r>
    <n v="997"/>
    <n v="1497"/>
    <n v="0.33333333333333331"/>
    <x v="2"/>
    <d v="2024-03-19T00:00:00"/>
    <x v="1"/>
    <n v="16"/>
    <x v="987"/>
    <x v="0"/>
    <x v="0"/>
    <n v="3"/>
    <n v="20"/>
    <n v="60"/>
    <n v="0"/>
  </r>
  <r>
    <n v="998"/>
    <n v="1497"/>
    <n v="0.33333333333333331"/>
    <x v="2"/>
    <d v="2024-03-19T00:00:00"/>
    <x v="1"/>
    <n v="18"/>
    <x v="988"/>
    <x v="1"/>
    <x v="12"/>
    <n v="1"/>
    <n v="1000"/>
    <n v="1000"/>
    <n v="0"/>
  </r>
  <r>
    <n v="999"/>
    <n v="1498"/>
    <n v="0.33333333333333331"/>
    <x v="2"/>
    <d v="2024-03-19T00:00:00"/>
    <x v="1"/>
    <n v="18"/>
    <x v="989"/>
    <x v="0"/>
    <x v="8"/>
    <n v="3"/>
    <n v="10"/>
    <n v="30"/>
    <n v="1"/>
  </r>
  <r>
    <n v="1000"/>
    <n v="1498"/>
    <n v="0.33333333333333331"/>
    <x v="2"/>
    <d v="2024-03-19T00:00:00"/>
    <x v="1"/>
    <n v="9"/>
    <x v="990"/>
    <x v="0"/>
    <x v="0"/>
    <n v="4"/>
    <n v="20"/>
    <n v="80"/>
    <n v="0"/>
  </r>
  <r>
    <n v="1001"/>
    <n v="1498"/>
    <n v="0.33333333333333331"/>
    <x v="2"/>
    <d v="2024-03-19T00:00:00"/>
    <x v="1"/>
    <n v="11"/>
    <x v="991"/>
    <x v="3"/>
    <x v="14"/>
    <n v="4"/>
    <n v="40"/>
    <n v="160"/>
    <n v="0"/>
  </r>
  <r>
    <n v="1002"/>
    <n v="1499"/>
    <n v="0.5"/>
    <x v="2"/>
    <d v="2024-03-19T00:00:00"/>
    <x v="1"/>
    <n v="10"/>
    <x v="992"/>
    <x v="0"/>
    <x v="16"/>
    <n v="2"/>
    <n v="5"/>
    <n v="10"/>
    <n v="1"/>
  </r>
  <r>
    <n v="1003"/>
    <n v="1499"/>
    <n v="0.5"/>
    <x v="2"/>
    <d v="2024-03-19T00:00:00"/>
    <x v="1"/>
    <n v="16"/>
    <x v="193"/>
    <x v="3"/>
    <x v="13"/>
    <n v="5"/>
    <n v="55"/>
    <n v="275"/>
    <n v="0"/>
  </r>
  <r>
    <n v="1004"/>
    <n v="1500"/>
    <n v="1"/>
    <x v="2"/>
    <d v="2024-03-20T00:00:00"/>
    <x v="2"/>
    <n v="15"/>
    <x v="993"/>
    <x v="0"/>
    <x v="9"/>
    <n v="3"/>
    <n v="15"/>
    <n v="45"/>
    <n v="1"/>
  </r>
  <r>
    <n v="1005"/>
    <n v="1501"/>
    <n v="0.5"/>
    <x v="2"/>
    <d v="2024-03-20T00:00:00"/>
    <x v="2"/>
    <n v="19"/>
    <x v="994"/>
    <x v="2"/>
    <x v="11"/>
    <n v="5"/>
    <n v="35"/>
    <n v="175"/>
    <n v="1"/>
  </r>
  <r>
    <n v="1006"/>
    <n v="1501"/>
    <n v="0.5"/>
    <x v="2"/>
    <d v="2024-03-20T00:00:00"/>
    <x v="2"/>
    <n v="13"/>
    <x v="995"/>
    <x v="2"/>
    <x v="10"/>
    <n v="4"/>
    <n v="30"/>
    <n v="120"/>
    <n v="0"/>
  </r>
  <r>
    <n v="1007"/>
    <n v="1502"/>
    <n v="0.33333333333333331"/>
    <x v="2"/>
    <d v="2024-03-20T00:00:00"/>
    <x v="2"/>
    <n v="9"/>
    <x v="996"/>
    <x v="0"/>
    <x v="8"/>
    <n v="1"/>
    <n v="10"/>
    <n v="10"/>
    <n v="1"/>
  </r>
  <r>
    <n v="1008"/>
    <n v="1502"/>
    <n v="0.33333333333333331"/>
    <x v="2"/>
    <d v="2024-03-20T00:00:00"/>
    <x v="2"/>
    <n v="20"/>
    <x v="997"/>
    <x v="3"/>
    <x v="18"/>
    <n v="5"/>
    <n v="45"/>
    <n v="225"/>
    <n v="0"/>
  </r>
  <r>
    <n v="1009"/>
    <n v="1502"/>
    <n v="0.33333333333333331"/>
    <x v="2"/>
    <d v="2024-03-20T00:00:00"/>
    <x v="2"/>
    <n v="17"/>
    <x v="998"/>
    <x v="3"/>
    <x v="6"/>
    <n v="3"/>
    <n v="50"/>
    <n v="150"/>
    <n v="0"/>
  </r>
  <r>
    <n v="1010"/>
    <n v="1503"/>
    <n v="1"/>
    <x v="2"/>
    <d v="2024-03-20T00:00:00"/>
    <x v="2"/>
    <n v="12"/>
    <x v="999"/>
    <x v="1"/>
    <x v="2"/>
    <n v="1"/>
    <n v="680"/>
    <n v="680"/>
    <n v="1"/>
  </r>
  <r>
    <n v="1011"/>
    <n v="1504"/>
    <n v="0.5"/>
    <x v="2"/>
    <d v="2024-03-20T00:00:00"/>
    <x v="2"/>
    <n v="19"/>
    <x v="1000"/>
    <x v="0"/>
    <x v="7"/>
    <n v="1"/>
    <n v="25"/>
    <n v="25"/>
    <n v="1"/>
  </r>
  <r>
    <n v="1012"/>
    <n v="1504"/>
    <n v="0.5"/>
    <x v="2"/>
    <d v="2024-03-20T00:00:00"/>
    <x v="2"/>
    <n v="19"/>
    <x v="1001"/>
    <x v="3"/>
    <x v="17"/>
    <n v="4"/>
    <n v="60"/>
    <n v="240"/>
    <n v="0"/>
  </r>
  <r>
    <n v="1013"/>
    <n v="1505"/>
    <n v="0.33333333333333331"/>
    <x v="2"/>
    <d v="2024-03-20T00:00:00"/>
    <x v="2"/>
    <n v="18"/>
    <x v="1002"/>
    <x v="3"/>
    <x v="6"/>
    <n v="3"/>
    <n v="50"/>
    <n v="150"/>
    <n v="1"/>
  </r>
  <r>
    <n v="1014"/>
    <n v="1505"/>
    <n v="0.33333333333333331"/>
    <x v="2"/>
    <d v="2024-03-20T00:00:00"/>
    <x v="2"/>
    <n v="14"/>
    <x v="1003"/>
    <x v="2"/>
    <x v="5"/>
    <n v="4"/>
    <n v="20"/>
    <n v="80"/>
    <n v="0"/>
  </r>
  <r>
    <n v="1015"/>
    <n v="1505"/>
    <n v="0.33333333333333331"/>
    <x v="2"/>
    <d v="2024-03-20T00:00:00"/>
    <x v="2"/>
    <n v="14"/>
    <x v="1004"/>
    <x v="3"/>
    <x v="14"/>
    <n v="5"/>
    <n v="40"/>
    <n v="200"/>
    <n v="0"/>
  </r>
  <r>
    <n v="1016"/>
    <n v="1506"/>
    <n v="0.33333333333333331"/>
    <x v="2"/>
    <d v="2024-03-21T00:00:00"/>
    <x v="3"/>
    <n v="18"/>
    <x v="1005"/>
    <x v="2"/>
    <x v="15"/>
    <n v="4"/>
    <n v="25"/>
    <n v="100"/>
    <n v="1"/>
  </r>
  <r>
    <n v="1017"/>
    <n v="1506"/>
    <n v="0.33333333333333331"/>
    <x v="2"/>
    <d v="2024-03-21T00:00:00"/>
    <x v="3"/>
    <n v="10"/>
    <x v="1006"/>
    <x v="3"/>
    <x v="17"/>
    <n v="1"/>
    <n v="60"/>
    <n v="60"/>
    <n v="0"/>
  </r>
  <r>
    <n v="1018"/>
    <n v="1506"/>
    <n v="0.33333333333333331"/>
    <x v="2"/>
    <d v="2024-03-21T00:00:00"/>
    <x v="3"/>
    <n v="13"/>
    <x v="1007"/>
    <x v="3"/>
    <x v="17"/>
    <n v="4"/>
    <n v="60"/>
    <n v="240"/>
    <n v="0"/>
  </r>
  <r>
    <n v="1019"/>
    <n v="1507"/>
    <n v="0.33333333333333331"/>
    <x v="2"/>
    <d v="2024-03-21T00:00:00"/>
    <x v="3"/>
    <n v="15"/>
    <x v="1008"/>
    <x v="2"/>
    <x v="5"/>
    <n v="1"/>
    <n v="20"/>
    <n v="20"/>
    <n v="1"/>
  </r>
  <r>
    <n v="1020"/>
    <n v="1507"/>
    <n v="0.33333333333333331"/>
    <x v="2"/>
    <d v="2024-03-21T00:00:00"/>
    <x v="3"/>
    <n v="14"/>
    <x v="1009"/>
    <x v="3"/>
    <x v="6"/>
    <n v="1"/>
    <n v="50"/>
    <n v="50"/>
    <n v="0"/>
  </r>
  <r>
    <n v="1021"/>
    <n v="1507"/>
    <n v="0.33333333333333331"/>
    <x v="2"/>
    <d v="2024-03-21T00:00:00"/>
    <x v="3"/>
    <n v="10"/>
    <x v="1010"/>
    <x v="2"/>
    <x v="11"/>
    <n v="3"/>
    <n v="35"/>
    <n v="105"/>
    <n v="0"/>
  </r>
  <r>
    <n v="1022"/>
    <n v="1508"/>
    <n v="1"/>
    <x v="2"/>
    <d v="2024-03-21T00:00:00"/>
    <x v="3"/>
    <n v="11"/>
    <x v="774"/>
    <x v="2"/>
    <x v="15"/>
    <n v="4"/>
    <n v="25"/>
    <n v="100"/>
    <n v="1"/>
  </r>
  <r>
    <n v="1023"/>
    <n v="1509"/>
    <n v="1"/>
    <x v="2"/>
    <d v="2024-03-21T00:00:00"/>
    <x v="3"/>
    <n v="18"/>
    <x v="1011"/>
    <x v="3"/>
    <x v="13"/>
    <n v="1"/>
    <n v="55"/>
    <n v="55"/>
    <n v="1"/>
  </r>
  <r>
    <n v="1024"/>
    <n v="1510"/>
    <n v="1"/>
    <x v="2"/>
    <d v="2024-03-21T00:00:00"/>
    <x v="3"/>
    <n v="10"/>
    <x v="1012"/>
    <x v="3"/>
    <x v="17"/>
    <n v="1"/>
    <n v="60"/>
    <n v="60"/>
    <n v="1"/>
  </r>
  <r>
    <n v="1025"/>
    <n v="1511"/>
    <n v="0.5"/>
    <x v="2"/>
    <d v="2024-03-22T00:00:00"/>
    <x v="4"/>
    <n v="16"/>
    <x v="1013"/>
    <x v="1"/>
    <x v="1"/>
    <n v="4"/>
    <n v="650"/>
    <n v="2600"/>
    <n v="1"/>
  </r>
  <r>
    <n v="1026"/>
    <n v="1511"/>
    <n v="0.5"/>
    <x v="2"/>
    <d v="2024-03-22T00:00:00"/>
    <x v="4"/>
    <n v="10"/>
    <x v="1014"/>
    <x v="2"/>
    <x v="5"/>
    <n v="2"/>
    <n v="20"/>
    <n v="40"/>
    <n v="0"/>
  </r>
  <r>
    <n v="1027"/>
    <n v="1512"/>
    <n v="1"/>
    <x v="2"/>
    <d v="2024-03-22T00:00:00"/>
    <x v="4"/>
    <n v="15"/>
    <x v="1015"/>
    <x v="0"/>
    <x v="8"/>
    <n v="2"/>
    <n v="10"/>
    <n v="20"/>
    <n v="1"/>
  </r>
  <r>
    <n v="1028"/>
    <n v="1513"/>
    <n v="1"/>
    <x v="2"/>
    <d v="2024-03-22T00:00:00"/>
    <x v="4"/>
    <n v="18"/>
    <x v="890"/>
    <x v="2"/>
    <x v="10"/>
    <n v="5"/>
    <n v="30"/>
    <n v="150"/>
    <n v="1"/>
  </r>
  <r>
    <n v="1029"/>
    <n v="1514"/>
    <n v="0.5"/>
    <x v="2"/>
    <d v="2024-03-22T00:00:00"/>
    <x v="4"/>
    <n v="14"/>
    <x v="1016"/>
    <x v="3"/>
    <x v="18"/>
    <n v="5"/>
    <n v="45"/>
    <n v="225"/>
    <n v="1"/>
  </r>
  <r>
    <n v="1030"/>
    <n v="1514"/>
    <n v="0.5"/>
    <x v="2"/>
    <d v="2024-03-22T00:00:00"/>
    <x v="4"/>
    <n v="12"/>
    <x v="1017"/>
    <x v="3"/>
    <x v="13"/>
    <n v="1"/>
    <n v="55"/>
    <n v="55"/>
    <n v="0"/>
  </r>
  <r>
    <n v="1031"/>
    <n v="1515"/>
    <n v="0.33333333333333331"/>
    <x v="2"/>
    <d v="2024-03-23T00:00:00"/>
    <x v="5"/>
    <n v="18"/>
    <x v="1018"/>
    <x v="2"/>
    <x v="15"/>
    <n v="3"/>
    <n v="25"/>
    <n v="75"/>
    <n v="1"/>
  </r>
  <r>
    <n v="1032"/>
    <n v="1515"/>
    <n v="0.33333333333333331"/>
    <x v="2"/>
    <d v="2024-03-23T00:00:00"/>
    <x v="5"/>
    <n v="19"/>
    <x v="1019"/>
    <x v="3"/>
    <x v="6"/>
    <n v="1"/>
    <n v="50"/>
    <n v="50"/>
    <n v="0"/>
  </r>
  <r>
    <n v="1033"/>
    <n v="1515"/>
    <n v="0.33333333333333331"/>
    <x v="2"/>
    <d v="2024-03-23T00:00:00"/>
    <x v="5"/>
    <n v="13"/>
    <x v="1020"/>
    <x v="1"/>
    <x v="2"/>
    <n v="4"/>
    <n v="680"/>
    <n v="2720"/>
    <n v="0"/>
  </r>
  <r>
    <n v="1034"/>
    <n v="1516"/>
    <n v="0.5"/>
    <x v="2"/>
    <d v="2024-03-23T00:00:00"/>
    <x v="5"/>
    <n v="15"/>
    <x v="1021"/>
    <x v="2"/>
    <x v="10"/>
    <n v="5"/>
    <n v="30"/>
    <n v="150"/>
    <n v="1"/>
  </r>
  <r>
    <n v="1035"/>
    <n v="1516"/>
    <n v="0.5"/>
    <x v="2"/>
    <d v="2024-03-23T00:00:00"/>
    <x v="5"/>
    <n v="12"/>
    <x v="1022"/>
    <x v="3"/>
    <x v="17"/>
    <n v="4"/>
    <n v="60"/>
    <n v="240"/>
    <n v="0"/>
  </r>
  <r>
    <n v="1036"/>
    <n v="1517"/>
    <n v="0.5"/>
    <x v="2"/>
    <d v="2024-03-23T00:00:00"/>
    <x v="5"/>
    <n v="12"/>
    <x v="1023"/>
    <x v="0"/>
    <x v="7"/>
    <n v="1"/>
    <n v="25"/>
    <n v="25"/>
    <n v="1"/>
  </r>
  <r>
    <n v="1037"/>
    <n v="1517"/>
    <n v="0.5"/>
    <x v="2"/>
    <d v="2024-03-23T00:00:00"/>
    <x v="5"/>
    <n v="13"/>
    <x v="1024"/>
    <x v="0"/>
    <x v="8"/>
    <n v="1"/>
    <n v="10"/>
    <n v="10"/>
    <n v="0"/>
  </r>
  <r>
    <n v="1038"/>
    <n v="1518"/>
    <n v="0.33333333333333331"/>
    <x v="2"/>
    <d v="2024-03-23T00:00:00"/>
    <x v="5"/>
    <n v="13"/>
    <x v="201"/>
    <x v="3"/>
    <x v="18"/>
    <n v="1"/>
    <n v="45"/>
    <n v="45"/>
    <n v="1"/>
  </r>
  <r>
    <n v="1039"/>
    <n v="1518"/>
    <n v="0.33333333333333331"/>
    <x v="2"/>
    <d v="2024-03-23T00:00:00"/>
    <x v="5"/>
    <n v="11"/>
    <x v="1025"/>
    <x v="1"/>
    <x v="4"/>
    <n v="2"/>
    <n v="600"/>
    <n v="1200"/>
    <n v="0"/>
  </r>
  <r>
    <n v="1040"/>
    <n v="1518"/>
    <n v="0.33333333333333331"/>
    <x v="2"/>
    <d v="2024-03-23T00:00:00"/>
    <x v="5"/>
    <n v="13"/>
    <x v="1026"/>
    <x v="1"/>
    <x v="4"/>
    <n v="3"/>
    <n v="600"/>
    <n v="1800"/>
    <n v="0"/>
  </r>
  <r>
    <n v="1041"/>
    <n v="1519"/>
    <n v="1"/>
    <x v="2"/>
    <d v="2024-03-23T00:00:00"/>
    <x v="5"/>
    <n v="18"/>
    <x v="1027"/>
    <x v="3"/>
    <x v="17"/>
    <n v="3"/>
    <n v="60"/>
    <n v="180"/>
    <n v="1"/>
  </r>
  <r>
    <n v="1042"/>
    <n v="1520"/>
    <n v="1"/>
    <x v="2"/>
    <d v="2024-03-23T00:00:00"/>
    <x v="5"/>
    <n v="11"/>
    <x v="1028"/>
    <x v="2"/>
    <x v="10"/>
    <n v="5"/>
    <n v="30"/>
    <n v="150"/>
    <n v="1"/>
  </r>
  <r>
    <n v="1043"/>
    <n v="1521"/>
    <n v="0.5"/>
    <x v="2"/>
    <d v="2024-03-23T00:00:00"/>
    <x v="5"/>
    <n v="19"/>
    <x v="1029"/>
    <x v="1"/>
    <x v="3"/>
    <n v="1"/>
    <n v="700"/>
    <n v="700"/>
    <n v="1"/>
  </r>
  <r>
    <n v="1044"/>
    <n v="1521"/>
    <n v="0.5"/>
    <x v="2"/>
    <d v="2024-03-23T00:00:00"/>
    <x v="5"/>
    <n v="19"/>
    <x v="1030"/>
    <x v="2"/>
    <x v="15"/>
    <n v="5"/>
    <n v="25"/>
    <n v="125"/>
    <n v="0"/>
  </r>
  <r>
    <n v="1045"/>
    <n v="1522"/>
    <n v="0.33333333333333331"/>
    <x v="2"/>
    <d v="2024-03-23T00:00:00"/>
    <x v="5"/>
    <n v="13"/>
    <x v="1031"/>
    <x v="3"/>
    <x v="6"/>
    <n v="5"/>
    <n v="50"/>
    <n v="250"/>
    <n v="1"/>
  </r>
  <r>
    <n v="1046"/>
    <n v="1522"/>
    <n v="0.33333333333333331"/>
    <x v="2"/>
    <d v="2024-03-23T00:00:00"/>
    <x v="5"/>
    <n v="20"/>
    <x v="1032"/>
    <x v="0"/>
    <x v="9"/>
    <n v="5"/>
    <n v="15"/>
    <n v="75"/>
    <n v="0"/>
  </r>
  <r>
    <n v="1047"/>
    <n v="1522"/>
    <n v="0.33333333333333331"/>
    <x v="2"/>
    <d v="2024-03-23T00:00:00"/>
    <x v="5"/>
    <n v="13"/>
    <x v="1033"/>
    <x v="2"/>
    <x v="11"/>
    <n v="1"/>
    <n v="35"/>
    <n v="35"/>
    <n v="0"/>
  </r>
  <r>
    <n v="1048"/>
    <n v="1523"/>
    <n v="0.33333333333333331"/>
    <x v="2"/>
    <d v="2024-03-23T00:00:00"/>
    <x v="5"/>
    <n v="18"/>
    <x v="1034"/>
    <x v="0"/>
    <x v="8"/>
    <n v="5"/>
    <n v="10"/>
    <n v="50"/>
    <n v="1"/>
  </r>
  <r>
    <n v="1049"/>
    <n v="1523"/>
    <n v="0.33333333333333331"/>
    <x v="2"/>
    <d v="2024-03-23T00:00:00"/>
    <x v="5"/>
    <n v="10"/>
    <x v="1035"/>
    <x v="2"/>
    <x v="11"/>
    <n v="1"/>
    <n v="35"/>
    <n v="35"/>
    <n v="0"/>
  </r>
  <r>
    <n v="1050"/>
    <n v="1523"/>
    <n v="0.33333333333333331"/>
    <x v="2"/>
    <d v="2024-03-23T00:00:00"/>
    <x v="5"/>
    <n v="17"/>
    <x v="1036"/>
    <x v="0"/>
    <x v="0"/>
    <n v="1"/>
    <n v="20"/>
    <n v="20"/>
    <n v="0"/>
  </r>
  <r>
    <n v="1051"/>
    <n v="1524"/>
    <n v="0.5"/>
    <x v="2"/>
    <d v="2024-03-24T00:00:00"/>
    <x v="6"/>
    <n v="9"/>
    <x v="1037"/>
    <x v="1"/>
    <x v="4"/>
    <n v="1"/>
    <n v="600"/>
    <n v="600"/>
    <n v="1"/>
  </r>
  <r>
    <n v="1052"/>
    <n v="1524"/>
    <n v="0.5"/>
    <x v="2"/>
    <d v="2024-03-24T00:00:00"/>
    <x v="6"/>
    <n v="11"/>
    <x v="1038"/>
    <x v="3"/>
    <x v="13"/>
    <n v="2"/>
    <n v="55"/>
    <n v="110"/>
    <n v="0"/>
  </r>
  <r>
    <n v="1053"/>
    <n v="1525"/>
    <n v="0.5"/>
    <x v="2"/>
    <d v="2024-03-24T00:00:00"/>
    <x v="6"/>
    <n v="12"/>
    <x v="1039"/>
    <x v="1"/>
    <x v="12"/>
    <n v="2"/>
    <n v="1000"/>
    <n v="2000"/>
    <n v="1"/>
  </r>
  <r>
    <n v="1054"/>
    <n v="1525"/>
    <n v="0.5"/>
    <x v="2"/>
    <d v="2024-03-24T00:00:00"/>
    <x v="6"/>
    <n v="19"/>
    <x v="1040"/>
    <x v="3"/>
    <x v="17"/>
    <n v="3"/>
    <n v="60"/>
    <n v="180"/>
    <n v="0"/>
  </r>
  <r>
    <n v="1055"/>
    <n v="1526"/>
    <n v="0.5"/>
    <x v="2"/>
    <d v="2024-03-24T00:00:00"/>
    <x v="6"/>
    <n v="18"/>
    <x v="1041"/>
    <x v="0"/>
    <x v="9"/>
    <n v="5"/>
    <n v="15"/>
    <n v="75"/>
    <n v="1"/>
  </r>
  <r>
    <n v="1056"/>
    <n v="1526"/>
    <n v="0.5"/>
    <x v="2"/>
    <d v="2024-03-24T00:00:00"/>
    <x v="6"/>
    <n v="19"/>
    <x v="1042"/>
    <x v="1"/>
    <x v="2"/>
    <n v="4"/>
    <n v="680"/>
    <n v="2720"/>
    <n v="0"/>
  </r>
  <r>
    <n v="1057"/>
    <n v="1527"/>
    <n v="0.33333333333333331"/>
    <x v="2"/>
    <d v="2024-03-24T00:00:00"/>
    <x v="6"/>
    <n v="11"/>
    <x v="1043"/>
    <x v="1"/>
    <x v="1"/>
    <n v="2"/>
    <n v="650"/>
    <n v="1300"/>
    <n v="1"/>
  </r>
  <r>
    <n v="1058"/>
    <n v="1527"/>
    <n v="0.33333333333333331"/>
    <x v="2"/>
    <d v="2024-03-24T00:00:00"/>
    <x v="6"/>
    <n v="19"/>
    <x v="1044"/>
    <x v="3"/>
    <x v="14"/>
    <n v="4"/>
    <n v="40"/>
    <n v="160"/>
    <n v="0"/>
  </r>
  <r>
    <n v="1059"/>
    <n v="1527"/>
    <n v="0.33333333333333331"/>
    <x v="2"/>
    <d v="2024-03-24T00:00:00"/>
    <x v="6"/>
    <n v="16"/>
    <x v="1045"/>
    <x v="3"/>
    <x v="6"/>
    <n v="4"/>
    <n v="50"/>
    <n v="200"/>
    <n v="0"/>
  </r>
  <r>
    <n v="1060"/>
    <n v="1528"/>
    <n v="0.5"/>
    <x v="2"/>
    <d v="2024-03-24T00:00:00"/>
    <x v="6"/>
    <n v="10"/>
    <x v="1046"/>
    <x v="1"/>
    <x v="1"/>
    <n v="3"/>
    <n v="650"/>
    <n v="1950"/>
    <n v="1"/>
  </r>
  <r>
    <n v="1061"/>
    <n v="1528"/>
    <n v="0.5"/>
    <x v="2"/>
    <d v="2024-03-24T00:00:00"/>
    <x v="6"/>
    <n v="15"/>
    <x v="1047"/>
    <x v="1"/>
    <x v="2"/>
    <n v="2"/>
    <n v="680"/>
    <n v="1360"/>
    <n v="0"/>
  </r>
  <r>
    <n v="1062"/>
    <n v="1529"/>
    <n v="0.5"/>
    <x v="2"/>
    <d v="2024-03-24T00:00:00"/>
    <x v="6"/>
    <n v="14"/>
    <x v="1048"/>
    <x v="3"/>
    <x v="18"/>
    <n v="3"/>
    <n v="45"/>
    <n v="135"/>
    <n v="1"/>
  </r>
  <r>
    <n v="1063"/>
    <n v="1529"/>
    <n v="0.5"/>
    <x v="2"/>
    <d v="2024-03-24T00:00:00"/>
    <x v="6"/>
    <n v="10"/>
    <x v="1049"/>
    <x v="1"/>
    <x v="12"/>
    <n v="5"/>
    <n v="1000"/>
    <n v="5000"/>
    <n v="0"/>
  </r>
  <r>
    <n v="1064"/>
    <n v="1530"/>
    <n v="0.33333333333333331"/>
    <x v="2"/>
    <d v="2024-03-24T00:00:00"/>
    <x v="6"/>
    <n v="16"/>
    <x v="1050"/>
    <x v="0"/>
    <x v="9"/>
    <n v="3"/>
    <n v="15"/>
    <n v="45"/>
    <n v="1"/>
  </r>
  <r>
    <n v="1065"/>
    <n v="1530"/>
    <n v="0.33333333333333331"/>
    <x v="2"/>
    <d v="2024-03-24T00:00:00"/>
    <x v="6"/>
    <n v="18"/>
    <x v="1051"/>
    <x v="1"/>
    <x v="3"/>
    <n v="5"/>
    <n v="700"/>
    <n v="3500"/>
    <n v="0"/>
  </r>
  <r>
    <n v="1066"/>
    <n v="1530"/>
    <n v="0.33333333333333331"/>
    <x v="2"/>
    <d v="2024-03-24T00:00:00"/>
    <x v="6"/>
    <n v="10"/>
    <x v="1052"/>
    <x v="1"/>
    <x v="1"/>
    <n v="5"/>
    <n v="650"/>
    <n v="3250"/>
    <n v="0"/>
  </r>
  <r>
    <n v="1067"/>
    <n v="1531"/>
    <n v="1"/>
    <x v="2"/>
    <d v="2024-03-24T00:00:00"/>
    <x v="6"/>
    <n v="12"/>
    <x v="1053"/>
    <x v="3"/>
    <x v="13"/>
    <n v="5"/>
    <n v="55"/>
    <n v="275"/>
    <n v="1"/>
  </r>
  <r>
    <n v="1068"/>
    <n v="1532"/>
    <n v="1"/>
    <x v="2"/>
    <d v="2024-03-24T00:00:00"/>
    <x v="6"/>
    <n v="10"/>
    <x v="1054"/>
    <x v="3"/>
    <x v="13"/>
    <n v="4"/>
    <n v="55"/>
    <n v="220"/>
    <n v="1"/>
  </r>
  <r>
    <n v="1069"/>
    <n v="1533"/>
    <n v="0.33333333333333331"/>
    <x v="2"/>
    <d v="2024-03-24T00:00:00"/>
    <x v="6"/>
    <n v="14"/>
    <x v="1055"/>
    <x v="2"/>
    <x v="11"/>
    <n v="2"/>
    <n v="35"/>
    <n v="70"/>
    <n v="1"/>
  </r>
  <r>
    <n v="1070"/>
    <n v="1533"/>
    <n v="0.33333333333333331"/>
    <x v="2"/>
    <d v="2024-03-24T00:00:00"/>
    <x v="6"/>
    <n v="19"/>
    <x v="1056"/>
    <x v="2"/>
    <x v="15"/>
    <n v="1"/>
    <n v="25"/>
    <n v="25"/>
    <n v="0"/>
  </r>
  <r>
    <n v="1071"/>
    <n v="1533"/>
    <n v="0.33333333333333331"/>
    <x v="2"/>
    <d v="2024-03-24T00:00:00"/>
    <x v="6"/>
    <n v="11"/>
    <x v="1057"/>
    <x v="3"/>
    <x v="6"/>
    <n v="1"/>
    <n v="50"/>
    <n v="50"/>
    <n v="0"/>
  </r>
  <r>
    <n v="1072"/>
    <n v="1534"/>
    <n v="0.33333333333333331"/>
    <x v="2"/>
    <d v="2024-03-25T00:00:00"/>
    <x v="0"/>
    <n v="16"/>
    <x v="1058"/>
    <x v="0"/>
    <x v="16"/>
    <n v="1"/>
    <n v="5"/>
    <n v="5"/>
    <n v="1"/>
  </r>
  <r>
    <n v="1073"/>
    <n v="1534"/>
    <n v="0.33333333333333331"/>
    <x v="2"/>
    <d v="2024-03-25T00:00:00"/>
    <x v="0"/>
    <n v="14"/>
    <x v="1059"/>
    <x v="2"/>
    <x v="10"/>
    <n v="1"/>
    <n v="30"/>
    <n v="30"/>
    <n v="0"/>
  </r>
  <r>
    <n v="1074"/>
    <n v="1534"/>
    <n v="0.33333333333333331"/>
    <x v="2"/>
    <d v="2024-03-25T00:00:00"/>
    <x v="0"/>
    <n v="12"/>
    <x v="1060"/>
    <x v="1"/>
    <x v="4"/>
    <n v="3"/>
    <n v="600"/>
    <n v="1800"/>
    <n v="0"/>
  </r>
  <r>
    <n v="1075"/>
    <n v="1535"/>
    <n v="0.33333333333333331"/>
    <x v="2"/>
    <d v="2024-03-25T00:00:00"/>
    <x v="0"/>
    <n v="15"/>
    <x v="1061"/>
    <x v="0"/>
    <x v="16"/>
    <n v="5"/>
    <n v="5"/>
    <n v="25"/>
    <n v="1"/>
  </r>
  <r>
    <n v="1076"/>
    <n v="1535"/>
    <n v="0.33333333333333331"/>
    <x v="2"/>
    <d v="2024-03-25T00:00:00"/>
    <x v="0"/>
    <n v="14"/>
    <x v="1062"/>
    <x v="1"/>
    <x v="12"/>
    <n v="1"/>
    <n v="1000"/>
    <n v="1000"/>
    <n v="0"/>
  </r>
  <r>
    <n v="1077"/>
    <n v="1535"/>
    <n v="0.33333333333333331"/>
    <x v="2"/>
    <d v="2024-03-25T00:00:00"/>
    <x v="0"/>
    <n v="11"/>
    <x v="1063"/>
    <x v="3"/>
    <x v="14"/>
    <n v="2"/>
    <n v="40"/>
    <n v="80"/>
    <n v="0"/>
  </r>
  <r>
    <n v="1078"/>
    <n v="1536"/>
    <n v="1"/>
    <x v="2"/>
    <d v="2024-03-25T00:00:00"/>
    <x v="0"/>
    <n v="15"/>
    <x v="1064"/>
    <x v="3"/>
    <x v="18"/>
    <n v="2"/>
    <n v="45"/>
    <n v="90"/>
    <n v="1"/>
  </r>
  <r>
    <n v="1079"/>
    <n v="1537"/>
    <n v="0.5"/>
    <x v="2"/>
    <d v="2024-03-25T00:00:00"/>
    <x v="0"/>
    <n v="19"/>
    <x v="1065"/>
    <x v="1"/>
    <x v="3"/>
    <n v="5"/>
    <n v="700"/>
    <n v="3500"/>
    <n v="1"/>
  </r>
  <r>
    <n v="1080"/>
    <n v="1537"/>
    <n v="0.5"/>
    <x v="2"/>
    <d v="2024-03-25T00:00:00"/>
    <x v="0"/>
    <n v="9"/>
    <x v="142"/>
    <x v="1"/>
    <x v="12"/>
    <n v="2"/>
    <n v="1000"/>
    <n v="2000"/>
    <n v="0"/>
  </r>
  <r>
    <n v="1081"/>
    <n v="1538"/>
    <n v="0.33333333333333331"/>
    <x v="2"/>
    <d v="2024-03-25T00:00:00"/>
    <x v="0"/>
    <n v="12"/>
    <x v="1066"/>
    <x v="1"/>
    <x v="4"/>
    <n v="4"/>
    <n v="600"/>
    <n v="2400"/>
    <n v="1"/>
  </r>
  <r>
    <n v="1082"/>
    <n v="1538"/>
    <n v="0.33333333333333331"/>
    <x v="2"/>
    <d v="2024-03-25T00:00:00"/>
    <x v="0"/>
    <n v="11"/>
    <x v="1067"/>
    <x v="2"/>
    <x v="10"/>
    <n v="4"/>
    <n v="30"/>
    <n v="120"/>
    <n v="0"/>
  </r>
  <r>
    <n v="1083"/>
    <n v="1538"/>
    <n v="0.33333333333333331"/>
    <x v="2"/>
    <d v="2024-03-25T00:00:00"/>
    <x v="0"/>
    <n v="11"/>
    <x v="1068"/>
    <x v="0"/>
    <x v="7"/>
    <n v="4"/>
    <n v="25"/>
    <n v="100"/>
    <n v="0"/>
  </r>
  <r>
    <n v="1084"/>
    <n v="1539"/>
    <n v="0.5"/>
    <x v="2"/>
    <d v="2024-03-26T00:00:00"/>
    <x v="1"/>
    <n v="9"/>
    <x v="1069"/>
    <x v="3"/>
    <x v="6"/>
    <n v="2"/>
    <n v="50"/>
    <n v="100"/>
    <n v="1"/>
  </r>
  <r>
    <n v="1085"/>
    <n v="1539"/>
    <n v="0.5"/>
    <x v="2"/>
    <d v="2024-03-26T00:00:00"/>
    <x v="1"/>
    <n v="16"/>
    <x v="1070"/>
    <x v="2"/>
    <x v="11"/>
    <n v="2"/>
    <n v="35"/>
    <n v="70"/>
    <n v="0"/>
  </r>
  <r>
    <n v="1086"/>
    <n v="1540"/>
    <n v="1"/>
    <x v="2"/>
    <d v="2024-03-26T00:00:00"/>
    <x v="1"/>
    <n v="9"/>
    <x v="1071"/>
    <x v="1"/>
    <x v="4"/>
    <n v="4"/>
    <n v="600"/>
    <n v="2400"/>
    <n v="1"/>
  </r>
  <r>
    <n v="1087"/>
    <n v="1541"/>
    <n v="1"/>
    <x v="2"/>
    <d v="2024-03-26T00:00:00"/>
    <x v="1"/>
    <n v="9"/>
    <x v="1072"/>
    <x v="0"/>
    <x v="8"/>
    <n v="3"/>
    <n v="10"/>
    <n v="30"/>
    <n v="1"/>
  </r>
  <r>
    <n v="1088"/>
    <n v="1542"/>
    <n v="0.33333333333333331"/>
    <x v="2"/>
    <d v="2024-03-26T00:00:00"/>
    <x v="1"/>
    <n v="16"/>
    <x v="1073"/>
    <x v="3"/>
    <x v="6"/>
    <n v="2"/>
    <n v="50"/>
    <n v="100"/>
    <n v="1"/>
  </r>
  <r>
    <n v="1089"/>
    <n v="1542"/>
    <n v="0.33333333333333331"/>
    <x v="2"/>
    <d v="2024-03-26T00:00:00"/>
    <x v="1"/>
    <n v="18"/>
    <x v="1074"/>
    <x v="1"/>
    <x v="12"/>
    <n v="3"/>
    <n v="1000"/>
    <n v="3000"/>
    <n v="0"/>
  </r>
  <r>
    <n v="1090"/>
    <n v="1542"/>
    <n v="0.33333333333333331"/>
    <x v="2"/>
    <d v="2024-03-26T00:00:00"/>
    <x v="1"/>
    <n v="14"/>
    <x v="1075"/>
    <x v="0"/>
    <x v="7"/>
    <n v="5"/>
    <n v="25"/>
    <n v="125"/>
    <n v="0"/>
  </r>
  <r>
    <n v="1091"/>
    <n v="1543"/>
    <n v="0.33333333333333331"/>
    <x v="2"/>
    <d v="2024-03-26T00:00:00"/>
    <x v="1"/>
    <n v="9"/>
    <x v="1076"/>
    <x v="2"/>
    <x v="15"/>
    <n v="3"/>
    <n v="25"/>
    <n v="75"/>
    <n v="1"/>
  </r>
  <r>
    <n v="1092"/>
    <n v="1543"/>
    <n v="0.33333333333333331"/>
    <x v="2"/>
    <d v="2024-03-26T00:00:00"/>
    <x v="1"/>
    <n v="16"/>
    <x v="1077"/>
    <x v="2"/>
    <x v="11"/>
    <n v="4"/>
    <n v="35"/>
    <n v="140"/>
    <n v="0"/>
  </r>
  <r>
    <n v="1093"/>
    <n v="1543"/>
    <n v="0.33333333333333331"/>
    <x v="2"/>
    <d v="2024-03-26T00:00:00"/>
    <x v="1"/>
    <n v="19"/>
    <x v="1078"/>
    <x v="0"/>
    <x v="9"/>
    <n v="4"/>
    <n v="15"/>
    <n v="60"/>
    <n v="0"/>
  </r>
  <r>
    <n v="1094"/>
    <n v="1544"/>
    <n v="0.33333333333333331"/>
    <x v="2"/>
    <d v="2024-03-27T00:00:00"/>
    <x v="2"/>
    <n v="17"/>
    <x v="1079"/>
    <x v="2"/>
    <x v="11"/>
    <n v="2"/>
    <n v="35"/>
    <n v="70"/>
    <n v="1"/>
  </r>
  <r>
    <n v="1095"/>
    <n v="1544"/>
    <n v="0.33333333333333331"/>
    <x v="2"/>
    <d v="2024-03-27T00:00:00"/>
    <x v="2"/>
    <n v="10"/>
    <x v="1080"/>
    <x v="3"/>
    <x v="14"/>
    <n v="4"/>
    <n v="40"/>
    <n v="160"/>
    <n v="0"/>
  </r>
  <r>
    <n v="1096"/>
    <n v="1544"/>
    <n v="0.33333333333333331"/>
    <x v="2"/>
    <d v="2024-03-27T00:00:00"/>
    <x v="2"/>
    <n v="9"/>
    <x v="1081"/>
    <x v="1"/>
    <x v="2"/>
    <n v="3"/>
    <n v="680"/>
    <n v="2040"/>
    <n v="0"/>
  </r>
  <r>
    <n v="1097"/>
    <n v="1545"/>
    <n v="1"/>
    <x v="2"/>
    <d v="2024-03-27T00:00:00"/>
    <x v="2"/>
    <n v="11"/>
    <x v="1082"/>
    <x v="1"/>
    <x v="2"/>
    <n v="5"/>
    <n v="680"/>
    <n v="3400"/>
    <n v="1"/>
  </r>
  <r>
    <n v="1098"/>
    <n v="1546"/>
    <n v="0.33333333333333331"/>
    <x v="2"/>
    <d v="2024-03-27T00:00:00"/>
    <x v="2"/>
    <n v="9"/>
    <x v="1083"/>
    <x v="1"/>
    <x v="12"/>
    <n v="4"/>
    <n v="1000"/>
    <n v="4000"/>
    <n v="1"/>
  </r>
  <r>
    <n v="1099"/>
    <n v="1546"/>
    <n v="0.33333333333333331"/>
    <x v="2"/>
    <d v="2024-03-27T00:00:00"/>
    <x v="2"/>
    <n v="15"/>
    <x v="1084"/>
    <x v="3"/>
    <x v="17"/>
    <n v="1"/>
    <n v="60"/>
    <n v="60"/>
    <n v="0"/>
  </r>
  <r>
    <n v="1100"/>
    <n v="1546"/>
    <n v="0.33333333333333331"/>
    <x v="2"/>
    <d v="2024-03-27T00:00:00"/>
    <x v="2"/>
    <n v="19"/>
    <x v="1085"/>
    <x v="3"/>
    <x v="18"/>
    <n v="3"/>
    <n v="45"/>
    <n v="135"/>
    <n v="0"/>
  </r>
  <r>
    <n v="1101"/>
    <n v="1547"/>
    <n v="0.5"/>
    <x v="2"/>
    <d v="2024-03-27T00:00:00"/>
    <x v="2"/>
    <n v="17"/>
    <x v="1086"/>
    <x v="1"/>
    <x v="4"/>
    <n v="3"/>
    <n v="600"/>
    <n v="1800"/>
    <n v="1"/>
  </r>
  <r>
    <n v="1102"/>
    <n v="1547"/>
    <n v="0.5"/>
    <x v="2"/>
    <d v="2024-03-27T00:00:00"/>
    <x v="2"/>
    <n v="14"/>
    <x v="1087"/>
    <x v="2"/>
    <x v="11"/>
    <n v="3"/>
    <n v="35"/>
    <n v="105"/>
    <n v="0"/>
  </r>
  <r>
    <n v="1103"/>
    <n v="1548"/>
    <n v="0.33333333333333331"/>
    <x v="2"/>
    <d v="2024-03-27T00:00:00"/>
    <x v="2"/>
    <n v="17"/>
    <x v="1088"/>
    <x v="1"/>
    <x v="4"/>
    <n v="5"/>
    <n v="600"/>
    <n v="3000"/>
    <n v="1"/>
  </r>
  <r>
    <n v="1104"/>
    <n v="1548"/>
    <n v="0.33333333333333331"/>
    <x v="2"/>
    <d v="2024-03-27T00:00:00"/>
    <x v="2"/>
    <n v="17"/>
    <x v="1089"/>
    <x v="0"/>
    <x v="8"/>
    <n v="5"/>
    <n v="10"/>
    <n v="50"/>
    <n v="0"/>
  </r>
  <r>
    <n v="1105"/>
    <n v="1548"/>
    <n v="0.33333333333333331"/>
    <x v="2"/>
    <d v="2024-03-27T00:00:00"/>
    <x v="2"/>
    <n v="11"/>
    <x v="1090"/>
    <x v="0"/>
    <x v="8"/>
    <n v="2"/>
    <n v="10"/>
    <n v="20"/>
    <n v="0"/>
  </r>
  <r>
    <n v="1106"/>
    <n v="1549"/>
    <n v="0.33333333333333331"/>
    <x v="2"/>
    <d v="2024-03-27T00:00:00"/>
    <x v="2"/>
    <n v="20"/>
    <x v="1091"/>
    <x v="2"/>
    <x v="5"/>
    <n v="3"/>
    <n v="20"/>
    <n v="60"/>
    <n v="1"/>
  </r>
  <r>
    <n v="1107"/>
    <n v="1549"/>
    <n v="0.33333333333333331"/>
    <x v="2"/>
    <d v="2024-03-27T00:00:00"/>
    <x v="2"/>
    <n v="14"/>
    <x v="476"/>
    <x v="0"/>
    <x v="7"/>
    <n v="3"/>
    <n v="25"/>
    <n v="75"/>
    <n v="0"/>
  </r>
  <r>
    <n v="1108"/>
    <n v="1549"/>
    <n v="0.33333333333333331"/>
    <x v="2"/>
    <d v="2024-03-27T00:00:00"/>
    <x v="2"/>
    <n v="10"/>
    <x v="1092"/>
    <x v="1"/>
    <x v="1"/>
    <n v="5"/>
    <n v="650"/>
    <n v="3250"/>
    <n v="0"/>
  </r>
  <r>
    <n v="1109"/>
    <n v="1550"/>
    <n v="0.5"/>
    <x v="2"/>
    <d v="2024-03-27T00:00:00"/>
    <x v="2"/>
    <n v="9"/>
    <x v="1093"/>
    <x v="1"/>
    <x v="1"/>
    <n v="3"/>
    <n v="650"/>
    <n v="1950"/>
    <n v="1"/>
  </r>
  <r>
    <n v="1110"/>
    <n v="1550"/>
    <n v="0.5"/>
    <x v="2"/>
    <d v="2024-03-27T00:00:00"/>
    <x v="2"/>
    <n v="18"/>
    <x v="1094"/>
    <x v="3"/>
    <x v="13"/>
    <n v="5"/>
    <n v="55"/>
    <n v="275"/>
    <n v="0"/>
  </r>
  <r>
    <n v="1111"/>
    <n v="1551"/>
    <n v="0.5"/>
    <x v="2"/>
    <d v="2024-03-27T00:00:00"/>
    <x v="2"/>
    <n v="9"/>
    <x v="1095"/>
    <x v="3"/>
    <x v="14"/>
    <n v="4"/>
    <n v="40"/>
    <n v="160"/>
    <n v="1"/>
  </r>
  <r>
    <n v="1112"/>
    <n v="1551"/>
    <n v="0.5"/>
    <x v="2"/>
    <d v="2024-03-27T00:00:00"/>
    <x v="2"/>
    <n v="12"/>
    <x v="1096"/>
    <x v="2"/>
    <x v="11"/>
    <n v="1"/>
    <n v="35"/>
    <n v="35"/>
    <n v="0"/>
  </r>
  <r>
    <n v="1113"/>
    <n v="1552"/>
    <n v="1"/>
    <x v="2"/>
    <d v="2024-03-27T00:00:00"/>
    <x v="2"/>
    <n v="12"/>
    <x v="1097"/>
    <x v="0"/>
    <x v="0"/>
    <n v="5"/>
    <n v="20"/>
    <n v="100"/>
    <n v="1"/>
  </r>
  <r>
    <n v="1114"/>
    <n v="1553"/>
    <n v="1"/>
    <x v="2"/>
    <d v="2024-03-27T00:00:00"/>
    <x v="2"/>
    <n v="11"/>
    <x v="1098"/>
    <x v="0"/>
    <x v="9"/>
    <n v="5"/>
    <n v="15"/>
    <n v="75"/>
    <n v="1"/>
  </r>
  <r>
    <n v="1115"/>
    <n v="1554"/>
    <n v="0.33333333333333331"/>
    <x v="2"/>
    <d v="2024-03-28T00:00:00"/>
    <x v="3"/>
    <n v="12"/>
    <x v="1099"/>
    <x v="2"/>
    <x v="11"/>
    <n v="3"/>
    <n v="35"/>
    <n v="105"/>
    <n v="1"/>
  </r>
  <r>
    <n v="1116"/>
    <n v="1554"/>
    <n v="0.33333333333333331"/>
    <x v="2"/>
    <d v="2024-03-28T00:00:00"/>
    <x v="3"/>
    <n v="19"/>
    <x v="1100"/>
    <x v="0"/>
    <x v="0"/>
    <n v="5"/>
    <n v="20"/>
    <n v="100"/>
    <n v="0"/>
  </r>
  <r>
    <n v="1117"/>
    <n v="1554"/>
    <n v="0.33333333333333331"/>
    <x v="2"/>
    <d v="2024-03-28T00:00:00"/>
    <x v="3"/>
    <n v="11"/>
    <x v="1101"/>
    <x v="3"/>
    <x v="6"/>
    <n v="4"/>
    <n v="50"/>
    <n v="200"/>
    <n v="0"/>
  </r>
  <r>
    <n v="1118"/>
    <n v="1555"/>
    <n v="0.33333333333333331"/>
    <x v="2"/>
    <d v="2024-03-28T00:00:00"/>
    <x v="3"/>
    <n v="9"/>
    <x v="1102"/>
    <x v="0"/>
    <x v="7"/>
    <n v="3"/>
    <n v="25"/>
    <n v="75"/>
    <n v="1"/>
  </r>
  <r>
    <n v="1119"/>
    <n v="1555"/>
    <n v="0.33333333333333331"/>
    <x v="2"/>
    <d v="2024-03-28T00:00:00"/>
    <x v="3"/>
    <n v="20"/>
    <x v="1103"/>
    <x v="0"/>
    <x v="8"/>
    <n v="3"/>
    <n v="10"/>
    <n v="30"/>
    <n v="0"/>
  </r>
  <r>
    <n v="1120"/>
    <n v="1555"/>
    <n v="0.33333333333333331"/>
    <x v="2"/>
    <d v="2024-03-28T00:00:00"/>
    <x v="3"/>
    <n v="19"/>
    <x v="1104"/>
    <x v="0"/>
    <x v="7"/>
    <n v="5"/>
    <n v="25"/>
    <n v="125"/>
    <n v="0"/>
  </r>
  <r>
    <n v="1121"/>
    <n v="1556"/>
    <n v="1"/>
    <x v="2"/>
    <d v="2024-03-28T00:00:00"/>
    <x v="3"/>
    <n v="10"/>
    <x v="1105"/>
    <x v="3"/>
    <x v="13"/>
    <n v="5"/>
    <n v="55"/>
    <n v="275"/>
    <n v="1"/>
  </r>
  <r>
    <n v="1122"/>
    <n v="1557"/>
    <n v="0.5"/>
    <x v="2"/>
    <d v="2024-03-28T00:00:00"/>
    <x v="3"/>
    <n v="16"/>
    <x v="1106"/>
    <x v="3"/>
    <x v="18"/>
    <n v="4"/>
    <n v="45"/>
    <n v="180"/>
    <n v="1"/>
  </r>
  <r>
    <n v="1123"/>
    <n v="1557"/>
    <n v="0.5"/>
    <x v="2"/>
    <d v="2024-03-28T00:00:00"/>
    <x v="3"/>
    <n v="15"/>
    <x v="1107"/>
    <x v="0"/>
    <x v="7"/>
    <n v="3"/>
    <n v="25"/>
    <n v="75"/>
    <n v="0"/>
  </r>
  <r>
    <n v="1124"/>
    <n v="1558"/>
    <n v="0.33333333333333331"/>
    <x v="2"/>
    <d v="2024-03-28T00:00:00"/>
    <x v="3"/>
    <n v="15"/>
    <x v="1108"/>
    <x v="2"/>
    <x v="15"/>
    <n v="5"/>
    <n v="25"/>
    <n v="125"/>
    <n v="1"/>
  </r>
  <r>
    <n v="1125"/>
    <n v="1558"/>
    <n v="0.33333333333333331"/>
    <x v="2"/>
    <d v="2024-03-28T00:00:00"/>
    <x v="3"/>
    <n v="17"/>
    <x v="1109"/>
    <x v="0"/>
    <x v="16"/>
    <n v="4"/>
    <n v="5"/>
    <n v="20"/>
    <n v="0"/>
  </r>
  <r>
    <n v="1126"/>
    <n v="1558"/>
    <n v="0.33333333333333331"/>
    <x v="2"/>
    <d v="2024-03-28T00:00:00"/>
    <x v="3"/>
    <n v="16"/>
    <x v="1110"/>
    <x v="0"/>
    <x v="9"/>
    <n v="4"/>
    <n v="15"/>
    <n v="60"/>
    <n v="0"/>
  </r>
  <r>
    <n v="1127"/>
    <n v="1559"/>
    <n v="0.5"/>
    <x v="2"/>
    <d v="2024-03-28T00:00:00"/>
    <x v="3"/>
    <n v="14"/>
    <x v="1111"/>
    <x v="0"/>
    <x v="7"/>
    <n v="4"/>
    <n v="25"/>
    <n v="100"/>
    <n v="1"/>
  </r>
  <r>
    <n v="1128"/>
    <n v="1559"/>
    <n v="0.5"/>
    <x v="2"/>
    <d v="2024-03-28T00:00:00"/>
    <x v="3"/>
    <n v="17"/>
    <x v="1112"/>
    <x v="1"/>
    <x v="12"/>
    <n v="5"/>
    <n v="1000"/>
    <n v="5000"/>
    <n v="0"/>
  </r>
  <r>
    <n v="1129"/>
    <n v="1560"/>
    <n v="1"/>
    <x v="2"/>
    <d v="2024-03-28T00:00:00"/>
    <x v="3"/>
    <n v="16"/>
    <x v="1113"/>
    <x v="0"/>
    <x v="7"/>
    <n v="2"/>
    <n v="25"/>
    <n v="50"/>
    <n v="1"/>
  </r>
  <r>
    <n v="1130"/>
    <n v="1561"/>
    <n v="0.33333333333333331"/>
    <x v="2"/>
    <d v="2024-03-28T00:00:00"/>
    <x v="3"/>
    <n v="17"/>
    <x v="1114"/>
    <x v="0"/>
    <x v="0"/>
    <n v="1"/>
    <n v="20"/>
    <n v="20"/>
    <n v="1"/>
  </r>
  <r>
    <n v="1131"/>
    <n v="1561"/>
    <n v="0.33333333333333331"/>
    <x v="2"/>
    <d v="2024-03-28T00:00:00"/>
    <x v="3"/>
    <n v="12"/>
    <x v="1115"/>
    <x v="1"/>
    <x v="2"/>
    <n v="2"/>
    <n v="680"/>
    <n v="1360"/>
    <n v="0"/>
  </r>
  <r>
    <n v="1132"/>
    <n v="1561"/>
    <n v="0.33333333333333331"/>
    <x v="2"/>
    <d v="2024-03-28T00:00:00"/>
    <x v="3"/>
    <n v="10"/>
    <x v="1116"/>
    <x v="3"/>
    <x v="18"/>
    <n v="2"/>
    <n v="45"/>
    <n v="90"/>
    <n v="0"/>
  </r>
  <r>
    <n v="1133"/>
    <n v="1562"/>
    <n v="0.33333333333333331"/>
    <x v="2"/>
    <d v="2024-03-29T00:00:00"/>
    <x v="4"/>
    <n v="16"/>
    <x v="1117"/>
    <x v="0"/>
    <x v="16"/>
    <n v="2"/>
    <n v="5"/>
    <n v="10"/>
    <n v="1"/>
  </r>
  <r>
    <n v="1134"/>
    <n v="1562"/>
    <n v="0.33333333333333331"/>
    <x v="2"/>
    <d v="2024-03-29T00:00:00"/>
    <x v="4"/>
    <n v="20"/>
    <x v="904"/>
    <x v="1"/>
    <x v="2"/>
    <n v="1"/>
    <n v="680"/>
    <n v="680"/>
    <n v="0"/>
  </r>
  <r>
    <n v="1135"/>
    <n v="1562"/>
    <n v="0.33333333333333331"/>
    <x v="2"/>
    <d v="2024-03-29T00:00:00"/>
    <x v="4"/>
    <n v="14"/>
    <x v="1118"/>
    <x v="1"/>
    <x v="4"/>
    <n v="5"/>
    <n v="600"/>
    <n v="3000"/>
    <n v="0"/>
  </r>
  <r>
    <n v="1136"/>
    <n v="1563"/>
    <n v="1"/>
    <x v="2"/>
    <d v="2024-03-29T00:00:00"/>
    <x v="4"/>
    <n v="14"/>
    <x v="1119"/>
    <x v="2"/>
    <x v="5"/>
    <n v="3"/>
    <n v="20"/>
    <n v="60"/>
    <n v="1"/>
  </r>
  <r>
    <n v="1137"/>
    <n v="1564"/>
    <n v="1"/>
    <x v="2"/>
    <d v="2024-03-29T00:00:00"/>
    <x v="4"/>
    <n v="18"/>
    <x v="1120"/>
    <x v="0"/>
    <x v="9"/>
    <n v="3"/>
    <n v="15"/>
    <n v="45"/>
    <n v="1"/>
  </r>
  <r>
    <n v="1138"/>
    <n v="1565"/>
    <n v="0.33333333333333331"/>
    <x v="2"/>
    <d v="2024-03-29T00:00:00"/>
    <x v="4"/>
    <n v="19"/>
    <x v="1121"/>
    <x v="0"/>
    <x v="0"/>
    <n v="4"/>
    <n v="20"/>
    <n v="80"/>
    <n v="1"/>
  </r>
  <r>
    <n v="1139"/>
    <n v="1565"/>
    <n v="0.33333333333333331"/>
    <x v="2"/>
    <d v="2024-03-29T00:00:00"/>
    <x v="4"/>
    <n v="18"/>
    <x v="1122"/>
    <x v="0"/>
    <x v="8"/>
    <n v="2"/>
    <n v="10"/>
    <n v="20"/>
    <n v="0"/>
  </r>
  <r>
    <n v="1140"/>
    <n v="1565"/>
    <n v="0.33333333333333331"/>
    <x v="2"/>
    <d v="2024-03-29T00:00:00"/>
    <x v="4"/>
    <n v="20"/>
    <x v="1123"/>
    <x v="3"/>
    <x v="14"/>
    <n v="2"/>
    <n v="40"/>
    <n v="80"/>
    <n v="0"/>
  </r>
  <r>
    <n v="1141"/>
    <n v="1566"/>
    <n v="1"/>
    <x v="2"/>
    <d v="2024-03-29T00:00:00"/>
    <x v="4"/>
    <n v="10"/>
    <x v="1124"/>
    <x v="2"/>
    <x v="15"/>
    <n v="4"/>
    <n v="25"/>
    <n v="100"/>
    <n v="1"/>
  </r>
  <r>
    <n v="1142"/>
    <n v="1567"/>
    <n v="0.5"/>
    <x v="2"/>
    <d v="2024-03-30T00:00:00"/>
    <x v="5"/>
    <n v="20"/>
    <x v="1125"/>
    <x v="3"/>
    <x v="18"/>
    <n v="3"/>
    <n v="45"/>
    <n v="135"/>
    <n v="1"/>
  </r>
  <r>
    <n v="1143"/>
    <n v="1567"/>
    <n v="0.5"/>
    <x v="2"/>
    <d v="2024-03-30T00:00:00"/>
    <x v="5"/>
    <n v="18"/>
    <x v="1126"/>
    <x v="3"/>
    <x v="17"/>
    <n v="4"/>
    <n v="60"/>
    <n v="240"/>
    <n v="0"/>
  </r>
  <r>
    <n v="1144"/>
    <n v="1568"/>
    <n v="0.33333333333333331"/>
    <x v="2"/>
    <d v="2024-03-30T00:00:00"/>
    <x v="5"/>
    <n v="12"/>
    <x v="1127"/>
    <x v="0"/>
    <x v="9"/>
    <n v="2"/>
    <n v="15"/>
    <n v="30"/>
    <n v="1"/>
  </r>
  <r>
    <n v="1145"/>
    <n v="1568"/>
    <n v="0.33333333333333331"/>
    <x v="2"/>
    <d v="2024-03-30T00:00:00"/>
    <x v="5"/>
    <n v="12"/>
    <x v="1128"/>
    <x v="0"/>
    <x v="7"/>
    <n v="1"/>
    <n v="25"/>
    <n v="25"/>
    <n v="0"/>
  </r>
  <r>
    <n v="1146"/>
    <n v="1568"/>
    <n v="0.33333333333333331"/>
    <x v="2"/>
    <d v="2024-03-30T00:00:00"/>
    <x v="5"/>
    <n v="12"/>
    <x v="1129"/>
    <x v="3"/>
    <x v="17"/>
    <n v="4"/>
    <n v="60"/>
    <n v="240"/>
    <n v="0"/>
  </r>
  <r>
    <n v="1147"/>
    <n v="1569"/>
    <n v="1"/>
    <x v="2"/>
    <d v="2024-03-30T00:00:00"/>
    <x v="5"/>
    <n v="11"/>
    <x v="1130"/>
    <x v="0"/>
    <x v="0"/>
    <n v="1"/>
    <n v="20"/>
    <n v="20"/>
    <n v="1"/>
  </r>
  <r>
    <n v="1148"/>
    <n v="1570"/>
    <n v="0.5"/>
    <x v="2"/>
    <d v="2024-03-30T00:00:00"/>
    <x v="5"/>
    <n v="9"/>
    <x v="1131"/>
    <x v="3"/>
    <x v="13"/>
    <n v="5"/>
    <n v="55"/>
    <n v="275"/>
    <n v="1"/>
  </r>
  <r>
    <n v="1149"/>
    <n v="1570"/>
    <n v="0.5"/>
    <x v="2"/>
    <d v="2024-03-30T00:00:00"/>
    <x v="5"/>
    <n v="15"/>
    <x v="1132"/>
    <x v="0"/>
    <x v="9"/>
    <n v="4"/>
    <n v="15"/>
    <n v="60"/>
    <n v="0"/>
  </r>
  <r>
    <n v="1150"/>
    <n v="1571"/>
    <n v="0.5"/>
    <x v="2"/>
    <d v="2024-03-30T00:00:00"/>
    <x v="5"/>
    <n v="18"/>
    <x v="1133"/>
    <x v="0"/>
    <x v="9"/>
    <n v="5"/>
    <n v="15"/>
    <n v="75"/>
    <n v="1"/>
  </r>
  <r>
    <n v="1151"/>
    <n v="1571"/>
    <n v="0.5"/>
    <x v="2"/>
    <d v="2024-03-30T00:00:00"/>
    <x v="5"/>
    <n v="14"/>
    <x v="1134"/>
    <x v="3"/>
    <x v="6"/>
    <n v="3"/>
    <n v="50"/>
    <n v="150"/>
    <n v="0"/>
  </r>
  <r>
    <n v="1152"/>
    <n v="1572"/>
    <n v="0.33333333333333331"/>
    <x v="2"/>
    <d v="2024-03-30T00:00:00"/>
    <x v="5"/>
    <n v="20"/>
    <x v="1135"/>
    <x v="3"/>
    <x v="6"/>
    <n v="1"/>
    <n v="50"/>
    <n v="50"/>
    <n v="1"/>
  </r>
  <r>
    <n v="1153"/>
    <n v="1572"/>
    <n v="0.33333333333333331"/>
    <x v="2"/>
    <d v="2024-03-30T00:00:00"/>
    <x v="5"/>
    <n v="11"/>
    <x v="1136"/>
    <x v="2"/>
    <x v="10"/>
    <n v="4"/>
    <n v="30"/>
    <n v="120"/>
    <n v="0"/>
  </r>
  <r>
    <n v="1154"/>
    <n v="1572"/>
    <n v="0.33333333333333331"/>
    <x v="2"/>
    <d v="2024-03-30T00:00:00"/>
    <x v="5"/>
    <n v="15"/>
    <x v="1137"/>
    <x v="1"/>
    <x v="1"/>
    <n v="4"/>
    <n v="650"/>
    <n v="2600"/>
    <n v="0"/>
  </r>
  <r>
    <n v="1155"/>
    <n v="1573"/>
    <n v="0.5"/>
    <x v="2"/>
    <d v="2024-03-30T00:00:00"/>
    <x v="5"/>
    <n v="16"/>
    <x v="1138"/>
    <x v="1"/>
    <x v="2"/>
    <n v="1"/>
    <n v="680"/>
    <n v="680"/>
    <n v="1"/>
  </r>
  <r>
    <n v="1156"/>
    <n v="1573"/>
    <n v="0.5"/>
    <x v="2"/>
    <d v="2024-03-30T00:00:00"/>
    <x v="5"/>
    <n v="15"/>
    <x v="1139"/>
    <x v="0"/>
    <x v="0"/>
    <n v="1"/>
    <n v="20"/>
    <n v="20"/>
    <n v="0"/>
  </r>
  <r>
    <n v="1157"/>
    <n v="1574"/>
    <n v="0.5"/>
    <x v="2"/>
    <d v="2024-03-30T00:00:00"/>
    <x v="5"/>
    <n v="13"/>
    <x v="1140"/>
    <x v="0"/>
    <x v="9"/>
    <n v="1"/>
    <n v="15"/>
    <n v="15"/>
    <n v="1"/>
  </r>
  <r>
    <n v="1158"/>
    <n v="1574"/>
    <n v="0.5"/>
    <x v="2"/>
    <d v="2024-03-30T00:00:00"/>
    <x v="5"/>
    <n v="10"/>
    <x v="1141"/>
    <x v="0"/>
    <x v="7"/>
    <n v="1"/>
    <n v="25"/>
    <n v="25"/>
    <n v="0"/>
  </r>
  <r>
    <n v="1159"/>
    <n v="1575"/>
    <n v="1"/>
    <x v="2"/>
    <d v="2024-03-30T00:00:00"/>
    <x v="5"/>
    <n v="14"/>
    <x v="1142"/>
    <x v="0"/>
    <x v="7"/>
    <n v="3"/>
    <n v="25"/>
    <n v="75"/>
    <n v="1"/>
  </r>
  <r>
    <n v="1160"/>
    <n v="1576"/>
    <n v="1"/>
    <x v="2"/>
    <d v="2024-03-31T00:00:00"/>
    <x v="6"/>
    <n v="10"/>
    <x v="1143"/>
    <x v="0"/>
    <x v="8"/>
    <n v="3"/>
    <n v="10"/>
    <n v="30"/>
    <n v="1"/>
  </r>
  <r>
    <n v="1161"/>
    <n v="1577"/>
    <n v="0.5"/>
    <x v="2"/>
    <d v="2024-03-31T00:00:00"/>
    <x v="6"/>
    <n v="15"/>
    <x v="1144"/>
    <x v="1"/>
    <x v="3"/>
    <n v="1"/>
    <n v="700"/>
    <n v="700"/>
    <n v="1"/>
  </r>
  <r>
    <n v="1162"/>
    <n v="1577"/>
    <n v="0.5"/>
    <x v="2"/>
    <d v="2024-03-31T00:00:00"/>
    <x v="6"/>
    <n v="12"/>
    <x v="1145"/>
    <x v="1"/>
    <x v="2"/>
    <n v="3"/>
    <n v="680"/>
    <n v="2040"/>
    <n v="0"/>
  </r>
  <r>
    <n v="1163"/>
    <n v="1578"/>
    <n v="1"/>
    <x v="2"/>
    <d v="2024-03-31T00:00:00"/>
    <x v="6"/>
    <n v="19"/>
    <x v="1146"/>
    <x v="3"/>
    <x v="6"/>
    <n v="5"/>
    <n v="50"/>
    <n v="250"/>
    <n v="1"/>
  </r>
  <r>
    <n v="1164"/>
    <n v="1579"/>
    <n v="0.33333333333333331"/>
    <x v="2"/>
    <d v="2024-03-31T00:00:00"/>
    <x v="6"/>
    <n v="11"/>
    <x v="1147"/>
    <x v="3"/>
    <x v="6"/>
    <n v="2"/>
    <n v="50"/>
    <n v="100"/>
    <n v="1"/>
  </r>
  <r>
    <n v="1165"/>
    <n v="1579"/>
    <n v="0.33333333333333331"/>
    <x v="2"/>
    <d v="2024-03-31T00:00:00"/>
    <x v="6"/>
    <n v="16"/>
    <x v="1148"/>
    <x v="3"/>
    <x v="14"/>
    <n v="4"/>
    <n v="40"/>
    <n v="160"/>
    <n v="0"/>
  </r>
  <r>
    <n v="1166"/>
    <n v="1579"/>
    <n v="0.33333333333333331"/>
    <x v="2"/>
    <d v="2024-03-31T00:00:00"/>
    <x v="6"/>
    <n v="11"/>
    <x v="1149"/>
    <x v="1"/>
    <x v="1"/>
    <n v="3"/>
    <n v="650"/>
    <n v="1950"/>
    <n v="0"/>
  </r>
  <r>
    <n v="1167"/>
    <n v="1580"/>
    <n v="1"/>
    <x v="2"/>
    <d v="2024-03-31T00:00:00"/>
    <x v="6"/>
    <n v="12"/>
    <x v="1150"/>
    <x v="2"/>
    <x v="10"/>
    <n v="1"/>
    <n v="30"/>
    <n v="30"/>
    <n v="1"/>
  </r>
  <r>
    <n v="1168"/>
    <n v="1581"/>
    <n v="0.33333333333333331"/>
    <x v="3"/>
    <d v="2024-04-01T00:00:00"/>
    <x v="0"/>
    <n v="14"/>
    <x v="1151"/>
    <x v="0"/>
    <x v="9"/>
    <n v="1"/>
    <n v="15"/>
    <n v="15"/>
    <n v="1"/>
  </r>
  <r>
    <n v="1169"/>
    <n v="1581"/>
    <n v="0.33333333333333331"/>
    <x v="3"/>
    <d v="2024-04-01T00:00:00"/>
    <x v="0"/>
    <n v="17"/>
    <x v="1152"/>
    <x v="1"/>
    <x v="1"/>
    <n v="3"/>
    <n v="650"/>
    <n v="1950"/>
    <n v="0"/>
  </r>
  <r>
    <n v="1170"/>
    <n v="1581"/>
    <n v="0.33333333333333331"/>
    <x v="3"/>
    <d v="2024-04-01T00:00:00"/>
    <x v="0"/>
    <n v="16"/>
    <x v="1153"/>
    <x v="3"/>
    <x v="13"/>
    <n v="5"/>
    <n v="55"/>
    <n v="275"/>
    <n v="0"/>
  </r>
  <r>
    <n v="1171"/>
    <n v="1582"/>
    <n v="1"/>
    <x v="3"/>
    <d v="2024-04-01T00:00:00"/>
    <x v="0"/>
    <n v="17"/>
    <x v="1154"/>
    <x v="0"/>
    <x v="7"/>
    <n v="1"/>
    <n v="25"/>
    <n v="25"/>
    <n v="1"/>
  </r>
  <r>
    <n v="1172"/>
    <n v="1583"/>
    <n v="0.5"/>
    <x v="3"/>
    <d v="2024-04-01T00:00:00"/>
    <x v="0"/>
    <n v="10"/>
    <x v="1155"/>
    <x v="0"/>
    <x v="16"/>
    <n v="2"/>
    <n v="5"/>
    <n v="10"/>
    <n v="1"/>
  </r>
  <r>
    <n v="1173"/>
    <n v="1583"/>
    <n v="0.5"/>
    <x v="3"/>
    <d v="2024-04-01T00:00:00"/>
    <x v="0"/>
    <n v="18"/>
    <x v="1156"/>
    <x v="2"/>
    <x v="10"/>
    <n v="1"/>
    <n v="30"/>
    <n v="30"/>
    <n v="0"/>
  </r>
  <r>
    <n v="1174"/>
    <n v="1584"/>
    <n v="0.33333333333333331"/>
    <x v="3"/>
    <d v="2024-04-01T00:00:00"/>
    <x v="0"/>
    <n v="9"/>
    <x v="1157"/>
    <x v="0"/>
    <x v="7"/>
    <n v="1"/>
    <n v="25"/>
    <n v="25"/>
    <n v="1"/>
  </r>
  <r>
    <n v="1175"/>
    <n v="1584"/>
    <n v="0.33333333333333331"/>
    <x v="3"/>
    <d v="2024-04-01T00:00:00"/>
    <x v="0"/>
    <n v="16"/>
    <x v="1158"/>
    <x v="3"/>
    <x v="18"/>
    <n v="4"/>
    <n v="45"/>
    <n v="180"/>
    <n v="0"/>
  </r>
  <r>
    <n v="1176"/>
    <n v="1584"/>
    <n v="0.33333333333333331"/>
    <x v="3"/>
    <d v="2024-04-01T00:00:00"/>
    <x v="0"/>
    <n v="9"/>
    <x v="1159"/>
    <x v="2"/>
    <x v="11"/>
    <n v="5"/>
    <n v="35"/>
    <n v="175"/>
    <n v="0"/>
  </r>
  <r>
    <n v="1177"/>
    <n v="1585"/>
    <n v="0.33333333333333331"/>
    <x v="3"/>
    <d v="2024-04-01T00:00:00"/>
    <x v="0"/>
    <n v="12"/>
    <x v="1160"/>
    <x v="3"/>
    <x v="13"/>
    <n v="4"/>
    <n v="55"/>
    <n v="220"/>
    <n v="1"/>
  </r>
  <r>
    <n v="1178"/>
    <n v="1585"/>
    <n v="0.33333333333333331"/>
    <x v="3"/>
    <d v="2024-04-01T00:00:00"/>
    <x v="0"/>
    <n v="12"/>
    <x v="1161"/>
    <x v="3"/>
    <x v="17"/>
    <n v="5"/>
    <n v="60"/>
    <n v="300"/>
    <n v="0"/>
  </r>
  <r>
    <n v="1179"/>
    <n v="1585"/>
    <n v="0.33333333333333331"/>
    <x v="3"/>
    <d v="2024-04-01T00:00:00"/>
    <x v="0"/>
    <n v="9"/>
    <x v="1162"/>
    <x v="2"/>
    <x v="5"/>
    <n v="5"/>
    <n v="20"/>
    <n v="100"/>
    <n v="0"/>
  </r>
  <r>
    <n v="1180"/>
    <n v="1586"/>
    <n v="0.5"/>
    <x v="3"/>
    <d v="2024-04-01T00:00:00"/>
    <x v="0"/>
    <n v="16"/>
    <x v="1163"/>
    <x v="1"/>
    <x v="2"/>
    <n v="1"/>
    <n v="680"/>
    <n v="680"/>
    <n v="1"/>
  </r>
  <r>
    <n v="1181"/>
    <n v="1586"/>
    <n v="0.5"/>
    <x v="3"/>
    <d v="2024-04-01T00:00:00"/>
    <x v="0"/>
    <n v="13"/>
    <x v="1164"/>
    <x v="1"/>
    <x v="3"/>
    <n v="4"/>
    <n v="700"/>
    <n v="2800"/>
    <n v="0"/>
  </r>
  <r>
    <n v="1182"/>
    <n v="1587"/>
    <n v="0.33333333333333331"/>
    <x v="3"/>
    <d v="2024-04-01T00:00:00"/>
    <x v="0"/>
    <n v="11"/>
    <x v="1165"/>
    <x v="2"/>
    <x v="5"/>
    <n v="2"/>
    <n v="20"/>
    <n v="40"/>
    <n v="1"/>
  </r>
  <r>
    <n v="1183"/>
    <n v="1587"/>
    <n v="0.33333333333333331"/>
    <x v="3"/>
    <d v="2024-04-01T00:00:00"/>
    <x v="0"/>
    <n v="15"/>
    <x v="1166"/>
    <x v="1"/>
    <x v="2"/>
    <n v="5"/>
    <n v="680"/>
    <n v="3400"/>
    <n v="0"/>
  </r>
  <r>
    <n v="1184"/>
    <n v="1587"/>
    <n v="0.33333333333333331"/>
    <x v="3"/>
    <d v="2024-04-01T00:00:00"/>
    <x v="0"/>
    <n v="18"/>
    <x v="1167"/>
    <x v="0"/>
    <x v="0"/>
    <n v="5"/>
    <n v="20"/>
    <n v="100"/>
    <n v="0"/>
  </r>
  <r>
    <n v="1185"/>
    <n v="1588"/>
    <n v="1"/>
    <x v="3"/>
    <d v="2024-04-01T00:00:00"/>
    <x v="0"/>
    <n v="12"/>
    <x v="999"/>
    <x v="3"/>
    <x v="6"/>
    <n v="4"/>
    <n v="50"/>
    <n v="200"/>
    <n v="1"/>
  </r>
  <r>
    <n v="1186"/>
    <n v="1589"/>
    <n v="0.33333333333333331"/>
    <x v="3"/>
    <d v="2024-04-02T00:00:00"/>
    <x v="1"/>
    <n v="9"/>
    <x v="1168"/>
    <x v="3"/>
    <x v="14"/>
    <n v="2"/>
    <n v="40"/>
    <n v="80"/>
    <n v="1"/>
  </r>
  <r>
    <n v="1187"/>
    <n v="1589"/>
    <n v="0.33333333333333331"/>
    <x v="3"/>
    <d v="2024-04-02T00:00:00"/>
    <x v="1"/>
    <n v="10"/>
    <x v="1169"/>
    <x v="3"/>
    <x v="17"/>
    <n v="1"/>
    <n v="60"/>
    <n v="60"/>
    <n v="0"/>
  </r>
  <r>
    <n v="1188"/>
    <n v="1589"/>
    <n v="0.33333333333333331"/>
    <x v="3"/>
    <d v="2024-04-02T00:00:00"/>
    <x v="1"/>
    <n v="16"/>
    <x v="1170"/>
    <x v="1"/>
    <x v="1"/>
    <n v="1"/>
    <n v="650"/>
    <n v="650"/>
    <n v="0"/>
  </r>
  <r>
    <n v="1189"/>
    <n v="1590"/>
    <n v="0.33333333333333331"/>
    <x v="3"/>
    <d v="2024-04-02T00:00:00"/>
    <x v="1"/>
    <n v="19"/>
    <x v="1171"/>
    <x v="0"/>
    <x v="16"/>
    <n v="1"/>
    <n v="5"/>
    <n v="5"/>
    <n v="1"/>
  </r>
  <r>
    <n v="1190"/>
    <n v="1590"/>
    <n v="0.33333333333333331"/>
    <x v="3"/>
    <d v="2024-04-02T00:00:00"/>
    <x v="1"/>
    <n v="20"/>
    <x v="58"/>
    <x v="2"/>
    <x v="15"/>
    <n v="2"/>
    <n v="25"/>
    <n v="50"/>
    <n v="0"/>
  </r>
  <r>
    <n v="1191"/>
    <n v="1590"/>
    <n v="0.33333333333333331"/>
    <x v="3"/>
    <d v="2024-04-02T00:00:00"/>
    <x v="1"/>
    <n v="14"/>
    <x v="1172"/>
    <x v="1"/>
    <x v="2"/>
    <n v="1"/>
    <n v="680"/>
    <n v="680"/>
    <n v="0"/>
  </r>
  <r>
    <n v="1192"/>
    <n v="1591"/>
    <n v="0.5"/>
    <x v="3"/>
    <d v="2024-04-02T00:00:00"/>
    <x v="1"/>
    <n v="18"/>
    <x v="1173"/>
    <x v="2"/>
    <x v="11"/>
    <n v="2"/>
    <n v="35"/>
    <n v="70"/>
    <n v="1"/>
  </r>
  <r>
    <n v="1193"/>
    <n v="1591"/>
    <n v="0.5"/>
    <x v="3"/>
    <d v="2024-04-02T00:00:00"/>
    <x v="1"/>
    <n v="16"/>
    <x v="1174"/>
    <x v="0"/>
    <x v="7"/>
    <n v="5"/>
    <n v="25"/>
    <n v="125"/>
    <n v="0"/>
  </r>
  <r>
    <n v="1194"/>
    <n v="1592"/>
    <n v="0.33333333333333331"/>
    <x v="3"/>
    <d v="2024-04-03T00:00:00"/>
    <x v="2"/>
    <n v="9"/>
    <x v="1175"/>
    <x v="1"/>
    <x v="12"/>
    <n v="3"/>
    <n v="1000"/>
    <n v="3000"/>
    <n v="1"/>
  </r>
  <r>
    <n v="1195"/>
    <n v="1592"/>
    <n v="0.33333333333333331"/>
    <x v="3"/>
    <d v="2024-04-03T00:00:00"/>
    <x v="2"/>
    <n v="18"/>
    <x v="1176"/>
    <x v="1"/>
    <x v="1"/>
    <n v="1"/>
    <n v="650"/>
    <n v="650"/>
    <n v="0"/>
  </r>
  <r>
    <n v="1196"/>
    <n v="1592"/>
    <n v="0.33333333333333331"/>
    <x v="3"/>
    <d v="2024-04-03T00:00:00"/>
    <x v="2"/>
    <n v="13"/>
    <x v="1177"/>
    <x v="1"/>
    <x v="2"/>
    <n v="2"/>
    <n v="680"/>
    <n v="1360"/>
    <n v="0"/>
  </r>
  <r>
    <n v="1197"/>
    <n v="1593"/>
    <n v="0.33333333333333331"/>
    <x v="3"/>
    <d v="2024-04-03T00:00:00"/>
    <x v="2"/>
    <n v="19"/>
    <x v="1178"/>
    <x v="2"/>
    <x v="11"/>
    <n v="3"/>
    <n v="35"/>
    <n v="105"/>
    <n v="1"/>
  </r>
  <r>
    <n v="1198"/>
    <n v="1593"/>
    <n v="0.33333333333333331"/>
    <x v="3"/>
    <d v="2024-04-03T00:00:00"/>
    <x v="2"/>
    <n v="14"/>
    <x v="1179"/>
    <x v="2"/>
    <x v="10"/>
    <n v="1"/>
    <n v="30"/>
    <n v="30"/>
    <n v="0"/>
  </r>
  <r>
    <n v="1199"/>
    <n v="1593"/>
    <n v="0.33333333333333331"/>
    <x v="3"/>
    <d v="2024-04-03T00:00:00"/>
    <x v="2"/>
    <n v="19"/>
    <x v="1180"/>
    <x v="1"/>
    <x v="1"/>
    <n v="2"/>
    <n v="650"/>
    <n v="1300"/>
    <n v="0"/>
  </r>
  <r>
    <n v="1200"/>
    <n v="1594"/>
    <n v="1"/>
    <x v="3"/>
    <d v="2024-04-03T00:00:00"/>
    <x v="2"/>
    <n v="16"/>
    <x v="1181"/>
    <x v="1"/>
    <x v="3"/>
    <n v="4"/>
    <n v="700"/>
    <n v="2800"/>
    <n v="1"/>
  </r>
  <r>
    <n v="1201"/>
    <n v="1595"/>
    <n v="1"/>
    <x v="3"/>
    <d v="2024-04-03T00:00:00"/>
    <x v="2"/>
    <n v="20"/>
    <x v="1182"/>
    <x v="0"/>
    <x v="16"/>
    <n v="3"/>
    <n v="5"/>
    <n v="15"/>
    <n v="1"/>
  </r>
  <r>
    <n v="1202"/>
    <n v="1596"/>
    <n v="0.33333333333333331"/>
    <x v="3"/>
    <d v="2024-04-04T00:00:00"/>
    <x v="3"/>
    <n v="14"/>
    <x v="1183"/>
    <x v="2"/>
    <x v="5"/>
    <n v="2"/>
    <n v="20"/>
    <n v="40"/>
    <n v="1"/>
  </r>
  <r>
    <n v="1203"/>
    <n v="1596"/>
    <n v="0.33333333333333331"/>
    <x v="3"/>
    <d v="2024-04-04T00:00:00"/>
    <x v="3"/>
    <n v="9"/>
    <x v="1184"/>
    <x v="3"/>
    <x v="18"/>
    <n v="2"/>
    <n v="45"/>
    <n v="90"/>
    <n v="0"/>
  </r>
  <r>
    <n v="1204"/>
    <n v="1596"/>
    <n v="0.33333333333333331"/>
    <x v="3"/>
    <d v="2024-04-04T00:00:00"/>
    <x v="3"/>
    <n v="16"/>
    <x v="1185"/>
    <x v="2"/>
    <x v="11"/>
    <n v="4"/>
    <n v="35"/>
    <n v="140"/>
    <n v="0"/>
  </r>
  <r>
    <n v="1205"/>
    <n v="1597"/>
    <n v="1"/>
    <x v="3"/>
    <d v="2024-04-04T00:00:00"/>
    <x v="3"/>
    <n v="10"/>
    <x v="1186"/>
    <x v="1"/>
    <x v="3"/>
    <n v="1"/>
    <n v="700"/>
    <n v="700"/>
    <n v="1"/>
  </r>
  <r>
    <n v="1206"/>
    <n v="1598"/>
    <n v="0.33333333333333331"/>
    <x v="3"/>
    <d v="2024-04-04T00:00:00"/>
    <x v="3"/>
    <n v="11"/>
    <x v="1187"/>
    <x v="0"/>
    <x v="8"/>
    <n v="1"/>
    <n v="10"/>
    <n v="10"/>
    <n v="1"/>
  </r>
  <r>
    <n v="1207"/>
    <n v="1598"/>
    <n v="0.33333333333333331"/>
    <x v="3"/>
    <d v="2024-04-04T00:00:00"/>
    <x v="3"/>
    <n v="15"/>
    <x v="1188"/>
    <x v="0"/>
    <x v="7"/>
    <n v="2"/>
    <n v="25"/>
    <n v="50"/>
    <n v="0"/>
  </r>
  <r>
    <n v="1208"/>
    <n v="1598"/>
    <n v="0.33333333333333331"/>
    <x v="3"/>
    <d v="2024-04-04T00:00:00"/>
    <x v="3"/>
    <n v="16"/>
    <x v="1189"/>
    <x v="0"/>
    <x v="7"/>
    <n v="2"/>
    <n v="25"/>
    <n v="50"/>
    <n v="0"/>
  </r>
  <r>
    <n v="1209"/>
    <n v="1599"/>
    <n v="0.5"/>
    <x v="3"/>
    <d v="2024-04-05T00:00:00"/>
    <x v="4"/>
    <n v="15"/>
    <x v="1190"/>
    <x v="0"/>
    <x v="8"/>
    <n v="5"/>
    <n v="10"/>
    <n v="50"/>
    <n v="1"/>
  </r>
  <r>
    <n v="1210"/>
    <n v="1599"/>
    <n v="0.5"/>
    <x v="3"/>
    <d v="2024-04-05T00:00:00"/>
    <x v="4"/>
    <n v="10"/>
    <x v="1191"/>
    <x v="1"/>
    <x v="4"/>
    <n v="4"/>
    <n v="600"/>
    <n v="2400"/>
    <n v="0"/>
  </r>
  <r>
    <n v="1211"/>
    <n v="1600"/>
    <n v="1"/>
    <x v="3"/>
    <d v="2024-04-05T00:00:00"/>
    <x v="4"/>
    <n v="15"/>
    <x v="1192"/>
    <x v="3"/>
    <x v="17"/>
    <n v="2"/>
    <n v="60"/>
    <n v="120"/>
    <n v="1"/>
  </r>
  <r>
    <n v="1212"/>
    <n v="1601"/>
    <n v="0.33333333333333331"/>
    <x v="3"/>
    <d v="2024-04-05T00:00:00"/>
    <x v="4"/>
    <n v="14"/>
    <x v="1193"/>
    <x v="1"/>
    <x v="3"/>
    <n v="4"/>
    <n v="700"/>
    <n v="2800"/>
    <n v="1"/>
  </r>
  <r>
    <n v="1213"/>
    <n v="1601"/>
    <n v="0.33333333333333331"/>
    <x v="3"/>
    <d v="2024-04-05T00:00:00"/>
    <x v="4"/>
    <n v="11"/>
    <x v="1194"/>
    <x v="2"/>
    <x v="10"/>
    <n v="1"/>
    <n v="30"/>
    <n v="30"/>
    <n v="0"/>
  </r>
  <r>
    <n v="1214"/>
    <n v="1601"/>
    <n v="0.33333333333333331"/>
    <x v="3"/>
    <d v="2024-04-05T00:00:00"/>
    <x v="4"/>
    <n v="15"/>
    <x v="1195"/>
    <x v="0"/>
    <x v="16"/>
    <n v="3"/>
    <n v="5"/>
    <n v="15"/>
    <n v="0"/>
  </r>
  <r>
    <n v="1215"/>
    <n v="1602"/>
    <n v="0.33333333333333331"/>
    <x v="3"/>
    <d v="2024-04-05T00:00:00"/>
    <x v="4"/>
    <n v="9"/>
    <x v="1196"/>
    <x v="1"/>
    <x v="3"/>
    <n v="2"/>
    <n v="700"/>
    <n v="1400"/>
    <n v="1"/>
  </r>
  <r>
    <n v="1216"/>
    <n v="1602"/>
    <n v="0.33333333333333331"/>
    <x v="3"/>
    <d v="2024-04-05T00:00:00"/>
    <x v="4"/>
    <n v="20"/>
    <x v="1197"/>
    <x v="1"/>
    <x v="4"/>
    <n v="4"/>
    <n v="600"/>
    <n v="2400"/>
    <n v="0"/>
  </r>
  <r>
    <n v="1217"/>
    <n v="1602"/>
    <n v="0.33333333333333331"/>
    <x v="3"/>
    <d v="2024-04-05T00:00:00"/>
    <x v="4"/>
    <n v="11"/>
    <x v="1198"/>
    <x v="3"/>
    <x v="18"/>
    <n v="4"/>
    <n v="45"/>
    <n v="180"/>
    <n v="0"/>
  </r>
  <r>
    <n v="1218"/>
    <n v="1603"/>
    <n v="0.5"/>
    <x v="3"/>
    <d v="2024-04-05T00:00:00"/>
    <x v="4"/>
    <n v="18"/>
    <x v="1199"/>
    <x v="0"/>
    <x v="7"/>
    <n v="3"/>
    <n v="25"/>
    <n v="75"/>
    <n v="1"/>
  </r>
  <r>
    <n v="1219"/>
    <n v="1603"/>
    <n v="0.5"/>
    <x v="3"/>
    <d v="2024-04-05T00:00:00"/>
    <x v="4"/>
    <n v="19"/>
    <x v="1200"/>
    <x v="3"/>
    <x v="17"/>
    <n v="5"/>
    <n v="60"/>
    <n v="300"/>
    <n v="0"/>
  </r>
  <r>
    <n v="1220"/>
    <n v="1604"/>
    <n v="0.5"/>
    <x v="3"/>
    <d v="2024-04-05T00:00:00"/>
    <x v="4"/>
    <n v="13"/>
    <x v="1201"/>
    <x v="3"/>
    <x v="6"/>
    <n v="5"/>
    <n v="50"/>
    <n v="250"/>
    <n v="1"/>
  </r>
  <r>
    <n v="1221"/>
    <n v="1604"/>
    <n v="0.5"/>
    <x v="3"/>
    <d v="2024-04-05T00:00:00"/>
    <x v="4"/>
    <n v="17"/>
    <x v="1202"/>
    <x v="3"/>
    <x v="6"/>
    <n v="2"/>
    <n v="50"/>
    <n v="100"/>
    <n v="0"/>
  </r>
  <r>
    <n v="1222"/>
    <n v="1605"/>
    <n v="1"/>
    <x v="3"/>
    <d v="2024-04-05T00:00:00"/>
    <x v="4"/>
    <n v="15"/>
    <x v="1203"/>
    <x v="2"/>
    <x v="10"/>
    <n v="1"/>
    <n v="30"/>
    <n v="30"/>
    <n v="1"/>
  </r>
  <r>
    <n v="1223"/>
    <n v="1606"/>
    <n v="0.33333333333333331"/>
    <x v="3"/>
    <d v="2024-04-06T00:00:00"/>
    <x v="5"/>
    <n v="17"/>
    <x v="1204"/>
    <x v="0"/>
    <x v="8"/>
    <n v="4"/>
    <n v="10"/>
    <n v="40"/>
    <n v="1"/>
  </r>
  <r>
    <n v="1224"/>
    <n v="1606"/>
    <n v="0.33333333333333331"/>
    <x v="3"/>
    <d v="2024-04-06T00:00:00"/>
    <x v="5"/>
    <n v="18"/>
    <x v="1205"/>
    <x v="3"/>
    <x v="18"/>
    <n v="2"/>
    <n v="45"/>
    <n v="90"/>
    <n v="0"/>
  </r>
  <r>
    <n v="1225"/>
    <n v="1606"/>
    <n v="0.33333333333333331"/>
    <x v="3"/>
    <d v="2024-04-06T00:00:00"/>
    <x v="5"/>
    <n v="13"/>
    <x v="1206"/>
    <x v="1"/>
    <x v="3"/>
    <n v="2"/>
    <n v="700"/>
    <n v="1400"/>
    <n v="0"/>
  </r>
  <r>
    <n v="1226"/>
    <n v="1607"/>
    <n v="0.5"/>
    <x v="3"/>
    <d v="2024-04-06T00:00:00"/>
    <x v="5"/>
    <n v="13"/>
    <x v="1207"/>
    <x v="0"/>
    <x v="9"/>
    <n v="5"/>
    <n v="15"/>
    <n v="75"/>
    <n v="1"/>
  </r>
  <r>
    <n v="1227"/>
    <n v="1607"/>
    <n v="0.5"/>
    <x v="3"/>
    <d v="2024-04-06T00:00:00"/>
    <x v="5"/>
    <n v="9"/>
    <x v="1208"/>
    <x v="3"/>
    <x v="18"/>
    <n v="3"/>
    <n v="45"/>
    <n v="135"/>
    <n v="0"/>
  </r>
  <r>
    <n v="1228"/>
    <n v="1608"/>
    <n v="0.33333333333333331"/>
    <x v="3"/>
    <d v="2024-04-06T00:00:00"/>
    <x v="5"/>
    <n v="18"/>
    <x v="1209"/>
    <x v="2"/>
    <x v="10"/>
    <n v="3"/>
    <n v="30"/>
    <n v="90"/>
    <n v="1"/>
  </r>
  <r>
    <n v="1229"/>
    <n v="1608"/>
    <n v="0.33333333333333331"/>
    <x v="3"/>
    <d v="2024-04-06T00:00:00"/>
    <x v="5"/>
    <n v="10"/>
    <x v="1210"/>
    <x v="0"/>
    <x v="8"/>
    <n v="2"/>
    <n v="10"/>
    <n v="20"/>
    <n v="0"/>
  </r>
  <r>
    <n v="1230"/>
    <n v="1608"/>
    <n v="0.33333333333333331"/>
    <x v="3"/>
    <d v="2024-04-06T00:00:00"/>
    <x v="5"/>
    <n v="12"/>
    <x v="1211"/>
    <x v="2"/>
    <x v="15"/>
    <n v="2"/>
    <n v="25"/>
    <n v="50"/>
    <n v="0"/>
  </r>
  <r>
    <n v="1231"/>
    <n v="1609"/>
    <n v="0.5"/>
    <x v="3"/>
    <d v="2024-04-06T00:00:00"/>
    <x v="5"/>
    <n v="9"/>
    <x v="982"/>
    <x v="0"/>
    <x v="8"/>
    <n v="3"/>
    <n v="10"/>
    <n v="30"/>
    <n v="1"/>
  </r>
  <r>
    <n v="1232"/>
    <n v="1609"/>
    <n v="0.5"/>
    <x v="3"/>
    <d v="2024-04-06T00:00:00"/>
    <x v="5"/>
    <n v="13"/>
    <x v="1212"/>
    <x v="3"/>
    <x v="6"/>
    <n v="2"/>
    <n v="50"/>
    <n v="100"/>
    <n v="0"/>
  </r>
  <r>
    <n v="1233"/>
    <n v="1610"/>
    <n v="0.33333333333333331"/>
    <x v="3"/>
    <d v="2024-04-07T00:00:00"/>
    <x v="6"/>
    <n v="17"/>
    <x v="1213"/>
    <x v="3"/>
    <x v="18"/>
    <n v="5"/>
    <n v="45"/>
    <n v="225"/>
    <n v="1"/>
  </r>
  <r>
    <n v="1234"/>
    <n v="1610"/>
    <n v="0.33333333333333331"/>
    <x v="3"/>
    <d v="2024-04-07T00:00:00"/>
    <x v="6"/>
    <n v="19"/>
    <x v="1214"/>
    <x v="3"/>
    <x v="6"/>
    <n v="4"/>
    <n v="50"/>
    <n v="200"/>
    <n v="0"/>
  </r>
  <r>
    <n v="1235"/>
    <n v="1610"/>
    <n v="0.33333333333333331"/>
    <x v="3"/>
    <d v="2024-04-07T00:00:00"/>
    <x v="6"/>
    <n v="20"/>
    <x v="1215"/>
    <x v="3"/>
    <x v="6"/>
    <n v="3"/>
    <n v="50"/>
    <n v="150"/>
    <n v="0"/>
  </r>
  <r>
    <n v="1236"/>
    <n v="1611"/>
    <n v="0.5"/>
    <x v="3"/>
    <d v="2024-04-07T00:00:00"/>
    <x v="6"/>
    <n v="17"/>
    <x v="1216"/>
    <x v="3"/>
    <x v="18"/>
    <n v="5"/>
    <n v="45"/>
    <n v="225"/>
    <n v="1"/>
  </r>
  <r>
    <n v="1237"/>
    <n v="1611"/>
    <n v="0.5"/>
    <x v="3"/>
    <d v="2024-04-07T00:00:00"/>
    <x v="6"/>
    <n v="10"/>
    <x v="1217"/>
    <x v="1"/>
    <x v="12"/>
    <n v="5"/>
    <n v="1000"/>
    <n v="5000"/>
    <n v="0"/>
  </r>
  <r>
    <n v="1238"/>
    <n v="1612"/>
    <n v="0.33333333333333331"/>
    <x v="3"/>
    <d v="2024-04-07T00:00:00"/>
    <x v="6"/>
    <n v="14"/>
    <x v="1218"/>
    <x v="0"/>
    <x v="0"/>
    <n v="5"/>
    <n v="20"/>
    <n v="100"/>
    <n v="1"/>
  </r>
  <r>
    <n v="1239"/>
    <n v="1612"/>
    <n v="0.33333333333333331"/>
    <x v="3"/>
    <d v="2024-04-07T00:00:00"/>
    <x v="6"/>
    <n v="13"/>
    <x v="1219"/>
    <x v="1"/>
    <x v="2"/>
    <n v="4"/>
    <n v="680"/>
    <n v="2720"/>
    <n v="0"/>
  </r>
  <r>
    <n v="1240"/>
    <n v="1612"/>
    <n v="0.33333333333333331"/>
    <x v="3"/>
    <d v="2024-04-07T00:00:00"/>
    <x v="6"/>
    <n v="12"/>
    <x v="1220"/>
    <x v="3"/>
    <x v="6"/>
    <n v="4"/>
    <n v="50"/>
    <n v="200"/>
    <n v="0"/>
  </r>
  <r>
    <n v="1241"/>
    <n v="1613"/>
    <n v="0.5"/>
    <x v="3"/>
    <d v="2024-04-07T00:00:00"/>
    <x v="6"/>
    <n v="16"/>
    <x v="735"/>
    <x v="3"/>
    <x v="14"/>
    <n v="3"/>
    <n v="40"/>
    <n v="120"/>
    <n v="1"/>
  </r>
  <r>
    <n v="1242"/>
    <n v="1613"/>
    <n v="0.5"/>
    <x v="3"/>
    <d v="2024-04-07T00:00:00"/>
    <x v="6"/>
    <n v="11"/>
    <x v="289"/>
    <x v="2"/>
    <x v="10"/>
    <n v="3"/>
    <n v="30"/>
    <n v="90"/>
    <n v="0"/>
  </r>
  <r>
    <n v="1243"/>
    <n v="1614"/>
    <n v="0.33333333333333331"/>
    <x v="3"/>
    <d v="2024-04-07T00:00:00"/>
    <x v="6"/>
    <n v="18"/>
    <x v="1221"/>
    <x v="0"/>
    <x v="0"/>
    <n v="5"/>
    <n v="20"/>
    <n v="100"/>
    <n v="1"/>
  </r>
  <r>
    <n v="1244"/>
    <n v="1614"/>
    <n v="0.33333333333333331"/>
    <x v="3"/>
    <d v="2024-04-07T00:00:00"/>
    <x v="6"/>
    <n v="19"/>
    <x v="1222"/>
    <x v="3"/>
    <x v="18"/>
    <n v="3"/>
    <n v="45"/>
    <n v="135"/>
    <n v="0"/>
  </r>
  <r>
    <n v="1245"/>
    <n v="1614"/>
    <n v="0.33333333333333331"/>
    <x v="3"/>
    <d v="2024-04-07T00:00:00"/>
    <x v="6"/>
    <n v="19"/>
    <x v="1223"/>
    <x v="2"/>
    <x v="15"/>
    <n v="2"/>
    <n v="25"/>
    <n v="50"/>
    <n v="0"/>
  </r>
  <r>
    <n v="1246"/>
    <n v="1615"/>
    <n v="0.5"/>
    <x v="3"/>
    <d v="2024-04-07T00:00:00"/>
    <x v="6"/>
    <n v="13"/>
    <x v="1224"/>
    <x v="3"/>
    <x v="18"/>
    <n v="1"/>
    <n v="45"/>
    <n v="45"/>
    <n v="1"/>
  </r>
  <r>
    <n v="1247"/>
    <n v="1615"/>
    <n v="0.5"/>
    <x v="3"/>
    <d v="2024-04-07T00:00:00"/>
    <x v="6"/>
    <n v="9"/>
    <x v="1225"/>
    <x v="0"/>
    <x v="16"/>
    <n v="2"/>
    <n v="5"/>
    <n v="10"/>
    <n v="0"/>
  </r>
  <r>
    <n v="1248"/>
    <n v="1616"/>
    <n v="0.5"/>
    <x v="3"/>
    <d v="2024-04-07T00:00:00"/>
    <x v="6"/>
    <n v="10"/>
    <x v="1226"/>
    <x v="0"/>
    <x v="0"/>
    <n v="5"/>
    <n v="20"/>
    <n v="100"/>
    <n v="1"/>
  </r>
  <r>
    <n v="1249"/>
    <n v="1616"/>
    <n v="0.5"/>
    <x v="3"/>
    <d v="2024-04-07T00:00:00"/>
    <x v="6"/>
    <n v="18"/>
    <x v="1227"/>
    <x v="0"/>
    <x v="7"/>
    <n v="5"/>
    <n v="25"/>
    <n v="125"/>
    <n v="0"/>
  </r>
  <r>
    <n v="1250"/>
    <n v="1617"/>
    <n v="0.5"/>
    <x v="3"/>
    <d v="2024-04-07T00:00:00"/>
    <x v="6"/>
    <n v="10"/>
    <x v="1228"/>
    <x v="2"/>
    <x v="11"/>
    <n v="2"/>
    <n v="35"/>
    <n v="70"/>
    <n v="1"/>
  </r>
  <r>
    <n v="1251"/>
    <n v="1617"/>
    <n v="0.5"/>
    <x v="3"/>
    <d v="2024-04-07T00:00:00"/>
    <x v="6"/>
    <n v="20"/>
    <x v="1229"/>
    <x v="0"/>
    <x v="9"/>
    <n v="4"/>
    <n v="15"/>
    <n v="60"/>
    <n v="0"/>
  </r>
  <r>
    <n v="1252"/>
    <n v="1618"/>
    <n v="1"/>
    <x v="3"/>
    <d v="2024-04-08T00:00:00"/>
    <x v="0"/>
    <n v="16"/>
    <x v="1230"/>
    <x v="3"/>
    <x v="17"/>
    <n v="3"/>
    <n v="60"/>
    <n v="180"/>
    <n v="1"/>
  </r>
  <r>
    <n v="1253"/>
    <n v="1619"/>
    <n v="1"/>
    <x v="3"/>
    <d v="2024-04-08T00:00:00"/>
    <x v="0"/>
    <n v="11"/>
    <x v="1231"/>
    <x v="0"/>
    <x v="9"/>
    <n v="2"/>
    <n v="15"/>
    <n v="30"/>
    <n v="1"/>
  </r>
  <r>
    <n v="1254"/>
    <n v="1620"/>
    <n v="1"/>
    <x v="3"/>
    <d v="2024-04-08T00:00:00"/>
    <x v="0"/>
    <n v="15"/>
    <x v="1232"/>
    <x v="3"/>
    <x v="18"/>
    <n v="5"/>
    <n v="45"/>
    <n v="225"/>
    <n v="1"/>
  </r>
  <r>
    <n v="1255"/>
    <n v="1621"/>
    <n v="0.33333333333333331"/>
    <x v="3"/>
    <d v="2024-04-08T00:00:00"/>
    <x v="0"/>
    <n v="15"/>
    <x v="1233"/>
    <x v="0"/>
    <x v="8"/>
    <n v="4"/>
    <n v="10"/>
    <n v="40"/>
    <n v="1"/>
  </r>
  <r>
    <n v="1256"/>
    <n v="1621"/>
    <n v="0.33333333333333331"/>
    <x v="3"/>
    <d v="2024-04-08T00:00:00"/>
    <x v="0"/>
    <n v="13"/>
    <x v="1234"/>
    <x v="2"/>
    <x v="10"/>
    <n v="5"/>
    <n v="30"/>
    <n v="150"/>
    <n v="0"/>
  </r>
  <r>
    <n v="1257"/>
    <n v="1621"/>
    <n v="0.33333333333333331"/>
    <x v="3"/>
    <d v="2024-04-08T00:00:00"/>
    <x v="0"/>
    <n v="13"/>
    <x v="1235"/>
    <x v="1"/>
    <x v="2"/>
    <n v="2"/>
    <n v="680"/>
    <n v="1360"/>
    <n v="0"/>
  </r>
  <r>
    <n v="1258"/>
    <n v="1622"/>
    <n v="0.5"/>
    <x v="3"/>
    <d v="2024-04-08T00:00:00"/>
    <x v="0"/>
    <n v="14"/>
    <x v="1236"/>
    <x v="1"/>
    <x v="12"/>
    <n v="3"/>
    <n v="1000"/>
    <n v="3000"/>
    <n v="1"/>
  </r>
  <r>
    <n v="1259"/>
    <n v="1622"/>
    <n v="0.5"/>
    <x v="3"/>
    <d v="2024-04-08T00:00:00"/>
    <x v="0"/>
    <n v="17"/>
    <x v="1237"/>
    <x v="3"/>
    <x v="14"/>
    <n v="5"/>
    <n v="40"/>
    <n v="200"/>
    <n v="0"/>
  </r>
  <r>
    <n v="1260"/>
    <n v="1623"/>
    <n v="0.33333333333333331"/>
    <x v="3"/>
    <d v="2024-04-08T00:00:00"/>
    <x v="0"/>
    <n v="20"/>
    <x v="1238"/>
    <x v="0"/>
    <x v="0"/>
    <n v="2"/>
    <n v="20"/>
    <n v="40"/>
    <n v="1"/>
  </r>
  <r>
    <n v="1261"/>
    <n v="1623"/>
    <n v="0.33333333333333331"/>
    <x v="3"/>
    <d v="2024-04-08T00:00:00"/>
    <x v="0"/>
    <n v="13"/>
    <x v="1239"/>
    <x v="0"/>
    <x v="0"/>
    <n v="2"/>
    <n v="20"/>
    <n v="40"/>
    <n v="0"/>
  </r>
  <r>
    <n v="1262"/>
    <n v="1623"/>
    <n v="0.33333333333333331"/>
    <x v="3"/>
    <d v="2024-04-08T00:00:00"/>
    <x v="0"/>
    <n v="19"/>
    <x v="1240"/>
    <x v="1"/>
    <x v="12"/>
    <n v="2"/>
    <n v="1000"/>
    <n v="2000"/>
    <n v="0"/>
  </r>
  <r>
    <n v="1263"/>
    <n v="1624"/>
    <n v="1"/>
    <x v="3"/>
    <d v="2024-04-08T00:00:00"/>
    <x v="0"/>
    <n v="9"/>
    <x v="1241"/>
    <x v="0"/>
    <x v="8"/>
    <n v="1"/>
    <n v="10"/>
    <n v="10"/>
    <n v="1"/>
  </r>
  <r>
    <n v="1264"/>
    <n v="1625"/>
    <n v="0.33333333333333331"/>
    <x v="3"/>
    <d v="2024-04-08T00:00:00"/>
    <x v="0"/>
    <n v="15"/>
    <x v="1242"/>
    <x v="3"/>
    <x v="17"/>
    <n v="3"/>
    <n v="60"/>
    <n v="180"/>
    <n v="1"/>
  </r>
  <r>
    <n v="1265"/>
    <n v="1625"/>
    <n v="0.33333333333333331"/>
    <x v="3"/>
    <d v="2024-04-08T00:00:00"/>
    <x v="0"/>
    <n v="16"/>
    <x v="1243"/>
    <x v="3"/>
    <x v="18"/>
    <n v="1"/>
    <n v="45"/>
    <n v="45"/>
    <n v="0"/>
  </r>
  <r>
    <n v="1266"/>
    <n v="1625"/>
    <n v="0.33333333333333331"/>
    <x v="3"/>
    <d v="2024-04-08T00:00:00"/>
    <x v="0"/>
    <n v="19"/>
    <x v="1244"/>
    <x v="2"/>
    <x v="11"/>
    <n v="3"/>
    <n v="35"/>
    <n v="105"/>
    <n v="0"/>
  </r>
  <r>
    <n v="1267"/>
    <n v="1626"/>
    <n v="1"/>
    <x v="3"/>
    <d v="2024-04-08T00:00:00"/>
    <x v="0"/>
    <n v="11"/>
    <x v="1245"/>
    <x v="3"/>
    <x v="18"/>
    <n v="4"/>
    <n v="45"/>
    <n v="180"/>
    <n v="1"/>
  </r>
  <r>
    <n v="1268"/>
    <n v="1627"/>
    <n v="0.5"/>
    <x v="3"/>
    <d v="2024-04-09T00:00:00"/>
    <x v="1"/>
    <n v="10"/>
    <x v="1246"/>
    <x v="0"/>
    <x v="9"/>
    <n v="4"/>
    <n v="15"/>
    <n v="60"/>
    <n v="1"/>
  </r>
  <r>
    <n v="1269"/>
    <n v="1627"/>
    <n v="0.5"/>
    <x v="3"/>
    <d v="2024-04-09T00:00:00"/>
    <x v="1"/>
    <n v="16"/>
    <x v="1247"/>
    <x v="3"/>
    <x v="14"/>
    <n v="2"/>
    <n v="40"/>
    <n v="80"/>
    <n v="0"/>
  </r>
  <r>
    <n v="1270"/>
    <n v="1628"/>
    <n v="0.33333333333333331"/>
    <x v="3"/>
    <d v="2024-04-09T00:00:00"/>
    <x v="1"/>
    <n v="12"/>
    <x v="1248"/>
    <x v="3"/>
    <x v="6"/>
    <n v="4"/>
    <n v="50"/>
    <n v="200"/>
    <n v="1"/>
  </r>
  <r>
    <n v="1271"/>
    <n v="1628"/>
    <n v="0.33333333333333331"/>
    <x v="3"/>
    <d v="2024-04-09T00:00:00"/>
    <x v="1"/>
    <n v="10"/>
    <x v="1249"/>
    <x v="2"/>
    <x v="10"/>
    <n v="4"/>
    <n v="30"/>
    <n v="120"/>
    <n v="0"/>
  </r>
  <r>
    <n v="1272"/>
    <n v="1628"/>
    <n v="0.33333333333333331"/>
    <x v="3"/>
    <d v="2024-04-09T00:00:00"/>
    <x v="1"/>
    <n v="12"/>
    <x v="1250"/>
    <x v="0"/>
    <x v="9"/>
    <n v="5"/>
    <n v="15"/>
    <n v="75"/>
    <n v="0"/>
  </r>
  <r>
    <n v="1273"/>
    <n v="1629"/>
    <n v="1"/>
    <x v="3"/>
    <d v="2024-04-09T00:00:00"/>
    <x v="1"/>
    <n v="14"/>
    <x v="1251"/>
    <x v="2"/>
    <x v="10"/>
    <n v="1"/>
    <n v="30"/>
    <n v="30"/>
    <n v="1"/>
  </r>
  <r>
    <n v="1274"/>
    <n v="1630"/>
    <n v="0.33333333333333331"/>
    <x v="3"/>
    <d v="2024-04-09T00:00:00"/>
    <x v="1"/>
    <n v="14"/>
    <x v="1252"/>
    <x v="1"/>
    <x v="4"/>
    <n v="2"/>
    <n v="600"/>
    <n v="1200"/>
    <n v="1"/>
  </r>
  <r>
    <n v="1275"/>
    <n v="1630"/>
    <n v="0.33333333333333331"/>
    <x v="3"/>
    <d v="2024-04-09T00:00:00"/>
    <x v="1"/>
    <n v="11"/>
    <x v="1253"/>
    <x v="3"/>
    <x v="17"/>
    <n v="3"/>
    <n v="60"/>
    <n v="180"/>
    <n v="0"/>
  </r>
  <r>
    <n v="1276"/>
    <n v="1630"/>
    <n v="0.33333333333333331"/>
    <x v="3"/>
    <d v="2024-04-09T00:00:00"/>
    <x v="1"/>
    <n v="16"/>
    <x v="1254"/>
    <x v="0"/>
    <x v="9"/>
    <n v="3"/>
    <n v="15"/>
    <n v="45"/>
    <n v="0"/>
  </r>
  <r>
    <n v="1277"/>
    <n v="1631"/>
    <n v="1"/>
    <x v="3"/>
    <d v="2024-04-10T00:00:00"/>
    <x v="2"/>
    <n v="9"/>
    <x v="1255"/>
    <x v="1"/>
    <x v="3"/>
    <n v="3"/>
    <n v="700"/>
    <n v="2100"/>
    <n v="1"/>
  </r>
  <r>
    <n v="1278"/>
    <n v="1632"/>
    <n v="0.5"/>
    <x v="3"/>
    <d v="2024-04-10T00:00:00"/>
    <x v="2"/>
    <n v="10"/>
    <x v="1256"/>
    <x v="2"/>
    <x v="5"/>
    <n v="2"/>
    <n v="20"/>
    <n v="40"/>
    <n v="1"/>
  </r>
  <r>
    <n v="1279"/>
    <n v="1632"/>
    <n v="0.5"/>
    <x v="3"/>
    <d v="2024-04-10T00:00:00"/>
    <x v="2"/>
    <n v="20"/>
    <x v="1257"/>
    <x v="3"/>
    <x v="6"/>
    <n v="4"/>
    <n v="50"/>
    <n v="200"/>
    <n v="0"/>
  </r>
  <r>
    <n v="1280"/>
    <n v="1633"/>
    <n v="1"/>
    <x v="3"/>
    <d v="2024-04-10T00:00:00"/>
    <x v="2"/>
    <n v="15"/>
    <x v="1258"/>
    <x v="0"/>
    <x v="7"/>
    <n v="3"/>
    <n v="25"/>
    <n v="75"/>
    <n v="1"/>
  </r>
  <r>
    <n v="1281"/>
    <n v="1634"/>
    <n v="1"/>
    <x v="3"/>
    <d v="2024-04-10T00:00:00"/>
    <x v="2"/>
    <n v="9"/>
    <x v="1259"/>
    <x v="2"/>
    <x v="5"/>
    <n v="2"/>
    <n v="20"/>
    <n v="40"/>
    <n v="1"/>
  </r>
  <r>
    <n v="1282"/>
    <n v="1635"/>
    <n v="1"/>
    <x v="3"/>
    <d v="2024-04-10T00:00:00"/>
    <x v="2"/>
    <n v="20"/>
    <x v="1260"/>
    <x v="0"/>
    <x v="7"/>
    <n v="5"/>
    <n v="25"/>
    <n v="125"/>
    <n v="1"/>
  </r>
  <r>
    <n v="1283"/>
    <n v="1636"/>
    <n v="0.5"/>
    <x v="3"/>
    <d v="2024-04-10T00:00:00"/>
    <x v="2"/>
    <n v="9"/>
    <x v="1261"/>
    <x v="3"/>
    <x v="6"/>
    <n v="2"/>
    <n v="50"/>
    <n v="100"/>
    <n v="1"/>
  </r>
  <r>
    <n v="1284"/>
    <n v="1636"/>
    <n v="0.5"/>
    <x v="3"/>
    <d v="2024-04-10T00:00:00"/>
    <x v="2"/>
    <n v="11"/>
    <x v="1262"/>
    <x v="0"/>
    <x v="0"/>
    <n v="2"/>
    <n v="20"/>
    <n v="40"/>
    <n v="0"/>
  </r>
  <r>
    <n v="1285"/>
    <n v="1637"/>
    <n v="0.5"/>
    <x v="3"/>
    <d v="2024-04-10T00:00:00"/>
    <x v="2"/>
    <n v="17"/>
    <x v="1263"/>
    <x v="0"/>
    <x v="0"/>
    <n v="2"/>
    <n v="20"/>
    <n v="40"/>
    <n v="1"/>
  </r>
  <r>
    <n v="1286"/>
    <n v="1637"/>
    <n v="0.5"/>
    <x v="3"/>
    <d v="2024-04-10T00:00:00"/>
    <x v="2"/>
    <n v="12"/>
    <x v="1264"/>
    <x v="1"/>
    <x v="4"/>
    <n v="1"/>
    <n v="600"/>
    <n v="600"/>
    <n v="0"/>
  </r>
  <r>
    <n v="1287"/>
    <n v="1638"/>
    <n v="1"/>
    <x v="3"/>
    <d v="2024-04-10T00:00:00"/>
    <x v="2"/>
    <n v="17"/>
    <x v="1265"/>
    <x v="1"/>
    <x v="3"/>
    <n v="1"/>
    <n v="700"/>
    <n v="700"/>
    <n v="1"/>
  </r>
  <r>
    <n v="1288"/>
    <n v="1639"/>
    <n v="1"/>
    <x v="3"/>
    <d v="2024-04-10T00:00:00"/>
    <x v="2"/>
    <n v="14"/>
    <x v="1266"/>
    <x v="0"/>
    <x v="16"/>
    <n v="5"/>
    <n v="5"/>
    <n v="25"/>
    <n v="1"/>
  </r>
  <r>
    <n v="1289"/>
    <n v="1640"/>
    <n v="0.5"/>
    <x v="3"/>
    <d v="2024-04-11T00:00:00"/>
    <x v="3"/>
    <n v="12"/>
    <x v="1267"/>
    <x v="3"/>
    <x v="13"/>
    <n v="5"/>
    <n v="55"/>
    <n v="275"/>
    <n v="1"/>
  </r>
  <r>
    <n v="1290"/>
    <n v="1640"/>
    <n v="0.5"/>
    <x v="3"/>
    <d v="2024-04-11T00:00:00"/>
    <x v="3"/>
    <n v="13"/>
    <x v="1268"/>
    <x v="1"/>
    <x v="3"/>
    <n v="4"/>
    <n v="700"/>
    <n v="2800"/>
    <n v="0"/>
  </r>
  <r>
    <n v="1291"/>
    <n v="1641"/>
    <n v="1"/>
    <x v="3"/>
    <d v="2024-04-11T00:00:00"/>
    <x v="3"/>
    <n v="20"/>
    <x v="1269"/>
    <x v="3"/>
    <x v="18"/>
    <n v="1"/>
    <n v="45"/>
    <n v="45"/>
    <n v="1"/>
  </r>
  <r>
    <n v="1292"/>
    <n v="1642"/>
    <n v="1"/>
    <x v="3"/>
    <d v="2024-04-11T00:00:00"/>
    <x v="3"/>
    <n v="15"/>
    <x v="1270"/>
    <x v="0"/>
    <x v="8"/>
    <n v="4"/>
    <n v="10"/>
    <n v="40"/>
    <n v="1"/>
  </r>
  <r>
    <n v="1293"/>
    <n v="1643"/>
    <n v="0.33333333333333331"/>
    <x v="3"/>
    <d v="2024-04-11T00:00:00"/>
    <x v="3"/>
    <n v="10"/>
    <x v="1271"/>
    <x v="3"/>
    <x v="17"/>
    <n v="4"/>
    <n v="60"/>
    <n v="240"/>
    <n v="1"/>
  </r>
  <r>
    <n v="1294"/>
    <n v="1643"/>
    <n v="0.33333333333333331"/>
    <x v="3"/>
    <d v="2024-04-11T00:00:00"/>
    <x v="3"/>
    <n v="9"/>
    <x v="1272"/>
    <x v="2"/>
    <x v="11"/>
    <n v="2"/>
    <n v="35"/>
    <n v="70"/>
    <n v="0"/>
  </r>
  <r>
    <n v="1295"/>
    <n v="1643"/>
    <n v="0.33333333333333331"/>
    <x v="3"/>
    <d v="2024-04-11T00:00:00"/>
    <x v="3"/>
    <n v="18"/>
    <x v="1273"/>
    <x v="3"/>
    <x v="14"/>
    <n v="5"/>
    <n v="40"/>
    <n v="200"/>
    <n v="0"/>
  </r>
  <r>
    <n v="1296"/>
    <n v="1644"/>
    <n v="1"/>
    <x v="3"/>
    <d v="2024-04-11T00:00:00"/>
    <x v="3"/>
    <n v="11"/>
    <x v="1274"/>
    <x v="1"/>
    <x v="12"/>
    <n v="2"/>
    <n v="1000"/>
    <n v="2000"/>
    <n v="1"/>
  </r>
  <r>
    <n v="1297"/>
    <n v="1645"/>
    <n v="0.33333333333333331"/>
    <x v="3"/>
    <d v="2024-04-11T00:00:00"/>
    <x v="3"/>
    <n v="11"/>
    <x v="1275"/>
    <x v="0"/>
    <x v="7"/>
    <n v="3"/>
    <n v="25"/>
    <n v="75"/>
    <n v="1"/>
  </r>
  <r>
    <n v="1298"/>
    <n v="1645"/>
    <n v="0.33333333333333331"/>
    <x v="3"/>
    <d v="2024-04-11T00:00:00"/>
    <x v="3"/>
    <n v="14"/>
    <x v="1276"/>
    <x v="0"/>
    <x v="16"/>
    <n v="4"/>
    <n v="5"/>
    <n v="20"/>
    <n v="0"/>
  </r>
  <r>
    <n v="1299"/>
    <n v="1645"/>
    <n v="0.33333333333333331"/>
    <x v="3"/>
    <d v="2024-04-11T00:00:00"/>
    <x v="3"/>
    <n v="13"/>
    <x v="1277"/>
    <x v="2"/>
    <x v="11"/>
    <n v="3"/>
    <n v="35"/>
    <n v="105"/>
    <n v="0"/>
  </r>
  <r>
    <n v="1300"/>
    <n v="1646"/>
    <n v="0.5"/>
    <x v="3"/>
    <d v="2024-04-11T00:00:00"/>
    <x v="3"/>
    <n v="15"/>
    <x v="1278"/>
    <x v="0"/>
    <x v="9"/>
    <n v="1"/>
    <n v="15"/>
    <n v="15"/>
    <n v="1"/>
  </r>
  <r>
    <n v="1301"/>
    <n v="1646"/>
    <n v="0.5"/>
    <x v="3"/>
    <d v="2024-04-11T00:00:00"/>
    <x v="3"/>
    <n v="12"/>
    <x v="1279"/>
    <x v="0"/>
    <x v="0"/>
    <n v="4"/>
    <n v="20"/>
    <n v="80"/>
    <n v="0"/>
  </r>
  <r>
    <n v="1302"/>
    <n v="1647"/>
    <n v="0.5"/>
    <x v="3"/>
    <d v="2024-04-11T00:00:00"/>
    <x v="3"/>
    <n v="17"/>
    <x v="1280"/>
    <x v="0"/>
    <x v="8"/>
    <n v="4"/>
    <n v="10"/>
    <n v="40"/>
    <n v="1"/>
  </r>
  <r>
    <n v="1303"/>
    <n v="1647"/>
    <n v="0.5"/>
    <x v="3"/>
    <d v="2024-04-11T00:00:00"/>
    <x v="3"/>
    <n v="12"/>
    <x v="1281"/>
    <x v="3"/>
    <x v="13"/>
    <n v="1"/>
    <n v="55"/>
    <n v="55"/>
    <n v="0"/>
  </r>
  <r>
    <n v="1304"/>
    <n v="1648"/>
    <n v="0.33333333333333331"/>
    <x v="3"/>
    <d v="2024-04-11T00:00:00"/>
    <x v="3"/>
    <n v="20"/>
    <x v="1282"/>
    <x v="0"/>
    <x v="8"/>
    <n v="4"/>
    <n v="10"/>
    <n v="40"/>
    <n v="1"/>
  </r>
  <r>
    <n v="1305"/>
    <n v="1648"/>
    <n v="0.33333333333333331"/>
    <x v="3"/>
    <d v="2024-04-11T00:00:00"/>
    <x v="3"/>
    <n v="14"/>
    <x v="1283"/>
    <x v="1"/>
    <x v="2"/>
    <n v="4"/>
    <n v="680"/>
    <n v="2720"/>
    <n v="0"/>
  </r>
  <r>
    <n v="1306"/>
    <n v="1648"/>
    <n v="0.33333333333333331"/>
    <x v="3"/>
    <d v="2024-04-11T00:00:00"/>
    <x v="3"/>
    <n v="17"/>
    <x v="1284"/>
    <x v="1"/>
    <x v="3"/>
    <n v="1"/>
    <n v="700"/>
    <n v="700"/>
    <n v="0"/>
  </r>
  <r>
    <n v="1307"/>
    <n v="1649"/>
    <n v="0.33333333333333331"/>
    <x v="3"/>
    <d v="2024-04-11T00:00:00"/>
    <x v="3"/>
    <n v="16"/>
    <x v="1285"/>
    <x v="1"/>
    <x v="4"/>
    <n v="2"/>
    <n v="600"/>
    <n v="1200"/>
    <n v="1"/>
  </r>
  <r>
    <n v="1308"/>
    <n v="1649"/>
    <n v="0.33333333333333331"/>
    <x v="3"/>
    <d v="2024-04-11T00:00:00"/>
    <x v="3"/>
    <n v="10"/>
    <x v="1286"/>
    <x v="3"/>
    <x v="13"/>
    <n v="3"/>
    <n v="55"/>
    <n v="165"/>
    <n v="0"/>
  </r>
  <r>
    <n v="1309"/>
    <n v="1649"/>
    <n v="0.33333333333333331"/>
    <x v="3"/>
    <d v="2024-04-11T00:00:00"/>
    <x v="3"/>
    <n v="17"/>
    <x v="1287"/>
    <x v="0"/>
    <x v="8"/>
    <n v="3"/>
    <n v="10"/>
    <n v="30"/>
    <n v="0"/>
  </r>
  <r>
    <n v="1310"/>
    <n v="1650"/>
    <n v="1"/>
    <x v="3"/>
    <d v="2024-04-12T00:00:00"/>
    <x v="4"/>
    <n v="9"/>
    <x v="1288"/>
    <x v="1"/>
    <x v="2"/>
    <n v="2"/>
    <n v="680"/>
    <n v="1360"/>
    <n v="1"/>
  </r>
  <r>
    <n v="1311"/>
    <n v="1651"/>
    <n v="0.33333333333333331"/>
    <x v="3"/>
    <d v="2024-04-12T00:00:00"/>
    <x v="4"/>
    <n v="13"/>
    <x v="1289"/>
    <x v="2"/>
    <x v="15"/>
    <n v="5"/>
    <n v="25"/>
    <n v="125"/>
    <n v="1"/>
  </r>
  <r>
    <n v="1312"/>
    <n v="1651"/>
    <n v="0.33333333333333331"/>
    <x v="3"/>
    <d v="2024-04-12T00:00:00"/>
    <x v="4"/>
    <n v="15"/>
    <x v="1290"/>
    <x v="3"/>
    <x v="13"/>
    <n v="3"/>
    <n v="55"/>
    <n v="165"/>
    <n v="0"/>
  </r>
  <r>
    <n v="1313"/>
    <n v="1651"/>
    <n v="0.33333333333333331"/>
    <x v="3"/>
    <d v="2024-04-12T00:00:00"/>
    <x v="4"/>
    <n v="20"/>
    <x v="1291"/>
    <x v="1"/>
    <x v="1"/>
    <n v="5"/>
    <n v="650"/>
    <n v="3250"/>
    <n v="0"/>
  </r>
  <r>
    <n v="1314"/>
    <n v="1652"/>
    <n v="0.33333333333333331"/>
    <x v="3"/>
    <d v="2024-04-12T00:00:00"/>
    <x v="4"/>
    <n v="12"/>
    <x v="1292"/>
    <x v="3"/>
    <x v="17"/>
    <n v="2"/>
    <n v="60"/>
    <n v="120"/>
    <n v="1"/>
  </r>
  <r>
    <n v="1315"/>
    <n v="1652"/>
    <n v="0.33333333333333331"/>
    <x v="3"/>
    <d v="2024-04-12T00:00:00"/>
    <x v="4"/>
    <n v="13"/>
    <x v="1293"/>
    <x v="1"/>
    <x v="3"/>
    <n v="4"/>
    <n v="700"/>
    <n v="2800"/>
    <n v="0"/>
  </r>
  <r>
    <n v="1316"/>
    <n v="1652"/>
    <n v="0.33333333333333331"/>
    <x v="3"/>
    <d v="2024-04-12T00:00:00"/>
    <x v="4"/>
    <n v="14"/>
    <x v="1294"/>
    <x v="3"/>
    <x v="18"/>
    <n v="5"/>
    <n v="45"/>
    <n v="225"/>
    <n v="0"/>
  </r>
  <r>
    <n v="1317"/>
    <n v="1653"/>
    <n v="0.5"/>
    <x v="3"/>
    <d v="2024-04-12T00:00:00"/>
    <x v="4"/>
    <n v="17"/>
    <x v="1295"/>
    <x v="1"/>
    <x v="3"/>
    <n v="2"/>
    <n v="700"/>
    <n v="1400"/>
    <n v="1"/>
  </r>
  <r>
    <n v="1318"/>
    <n v="1653"/>
    <n v="0.5"/>
    <x v="3"/>
    <d v="2024-04-12T00:00:00"/>
    <x v="4"/>
    <n v="20"/>
    <x v="1296"/>
    <x v="0"/>
    <x v="7"/>
    <n v="3"/>
    <n v="25"/>
    <n v="75"/>
    <n v="0"/>
  </r>
  <r>
    <n v="1319"/>
    <n v="1654"/>
    <n v="1"/>
    <x v="3"/>
    <d v="2024-04-12T00:00:00"/>
    <x v="4"/>
    <n v="16"/>
    <x v="1297"/>
    <x v="3"/>
    <x v="18"/>
    <n v="1"/>
    <n v="45"/>
    <n v="45"/>
    <n v="1"/>
  </r>
  <r>
    <n v="1320"/>
    <n v="1655"/>
    <n v="0.5"/>
    <x v="3"/>
    <d v="2024-04-12T00:00:00"/>
    <x v="4"/>
    <n v="18"/>
    <x v="1298"/>
    <x v="1"/>
    <x v="1"/>
    <n v="2"/>
    <n v="650"/>
    <n v="1300"/>
    <n v="1"/>
  </r>
  <r>
    <n v="1321"/>
    <n v="1655"/>
    <n v="0.5"/>
    <x v="3"/>
    <d v="2024-04-12T00:00:00"/>
    <x v="4"/>
    <n v="11"/>
    <x v="1299"/>
    <x v="3"/>
    <x v="13"/>
    <n v="2"/>
    <n v="55"/>
    <n v="110"/>
    <n v="0"/>
  </r>
  <r>
    <n v="1322"/>
    <n v="1656"/>
    <n v="1"/>
    <x v="3"/>
    <d v="2024-04-12T00:00:00"/>
    <x v="4"/>
    <n v="19"/>
    <x v="1300"/>
    <x v="3"/>
    <x v="6"/>
    <n v="4"/>
    <n v="50"/>
    <n v="200"/>
    <n v="1"/>
  </r>
  <r>
    <n v="1323"/>
    <n v="1657"/>
    <n v="1"/>
    <x v="3"/>
    <d v="2024-04-12T00:00:00"/>
    <x v="4"/>
    <n v="17"/>
    <x v="1301"/>
    <x v="3"/>
    <x v="6"/>
    <n v="5"/>
    <n v="50"/>
    <n v="250"/>
    <n v="1"/>
  </r>
  <r>
    <n v="1324"/>
    <n v="1658"/>
    <n v="0.33333333333333331"/>
    <x v="3"/>
    <d v="2024-04-12T00:00:00"/>
    <x v="4"/>
    <n v="19"/>
    <x v="1302"/>
    <x v="2"/>
    <x v="10"/>
    <n v="2"/>
    <n v="30"/>
    <n v="60"/>
    <n v="1"/>
  </r>
  <r>
    <n v="1325"/>
    <n v="1658"/>
    <n v="0.33333333333333331"/>
    <x v="3"/>
    <d v="2024-04-12T00:00:00"/>
    <x v="4"/>
    <n v="11"/>
    <x v="1303"/>
    <x v="0"/>
    <x v="16"/>
    <n v="3"/>
    <n v="5"/>
    <n v="15"/>
    <n v="0"/>
  </r>
  <r>
    <n v="1326"/>
    <n v="1658"/>
    <n v="0.33333333333333331"/>
    <x v="3"/>
    <d v="2024-04-12T00:00:00"/>
    <x v="4"/>
    <n v="13"/>
    <x v="1304"/>
    <x v="0"/>
    <x v="16"/>
    <n v="5"/>
    <n v="5"/>
    <n v="25"/>
    <n v="0"/>
  </r>
  <r>
    <n v="1327"/>
    <n v="1659"/>
    <n v="0.5"/>
    <x v="3"/>
    <d v="2024-04-13T00:00:00"/>
    <x v="5"/>
    <n v="14"/>
    <x v="1305"/>
    <x v="2"/>
    <x v="11"/>
    <n v="4"/>
    <n v="35"/>
    <n v="140"/>
    <n v="1"/>
  </r>
  <r>
    <n v="1328"/>
    <n v="1659"/>
    <n v="0.5"/>
    <x v="3"/>
    <d v="2024-04-13T00:00:00"/>
    <x v="5"/>
    <n v="15"/>
    <x v="1306"/>
    <x v="3"/>
    <x v="6"/>
    <n v="5"/>
    <n v="50"/>
    <n v="250"/>
    <n v="0"/>
  </r>
  <r>
    <n v="1329"/>
    <n v="1660"/>
    <n v="0.33333333333333331"/>
    <x v="3"/>
    <d v="2024-04-13T00:00:00"/>
    <x v="5"/>
    <n v="15"/>
    <x v="1307"/>
    <x v="2"/>
    <x v="11"/>
    <n v="2"/>
    <n v="35"/>
    <n v="70"/>
    <n v="1"/>
  </r>
  <r>
    <n v="1330"/>
    <n v="1660"/>
    <n v="0.33333333333333331"/>
    <x v="3"/>
    <d v="2024-04-13T00:00:00"/>
    <x v="5"/>
    <n v="17"/>
    <x v="1308"/>
    <x v="3"/>
    <x v="13"/>
    <n v="4"/>
    <n v="55"/>
    <n v="220"/>
    <n v="0"/>
  </r>
  <r>
    <n v="1331"/>
    <n v="1660"/>
    <n v="0.33333333333333331"/>
    <x v="3"/>
    <d v="2024-04-13T00:00:00"/>
    <x v="5"/>
    <n v="17"/>
    <x v="1309"/>
    <x v="2"/>
    <x v="15"/>
    <n v="2"/>
    <n v="25"/>
    <n v="50"/>
    <n v="0"/>
  </r>
  <r>
    <n v="1332"/>
    <n v="1661"/>
    <n v="1"/>
    <x v="3"/>
    <d v="2024-04-13T00:00:00"/>
    <x v="5"/>
    <n v="18"/>
    <x v="1310"/>
    <x v="1"/>
    <x v="1"/>
    <n v="4"/>
    <n v="650"/>
    <n v="2600"/>
    <n v="1"/>
  </r>
  <r>
    <n v="1333"/>
    <n v="1662"/>
    <n v="1"/>
    <x v="3"/>
    <d v="2024-04-14T00:00:00"/>
    <x v="6"/>
    <n v="19"/>
    <x v="1311"/>
    <x v="3"/>
    <x v="18"/>
    <n v="1"/>
    <n v="45"/>
    <n v="45"/>
    <n v="1"/>
  </r>
  <r>
    <n v="1334"/>
    <n v="1663"/>
    <n v="0.33333333333333331"/>
    <x v="3"/>
    <d v="2024-04-14T00:00:00"/>
    <x v="6"/>
    <n v="17"/>
    <x v="1312"/>
    <x v="0"/>
    <x v="8"/>
    <n v="1"/>
    <n v="10"/>
    <n v="10"/>
    <n v="1"/>
  </r>
  <r>
    <n v="1335"/>
    <n v="1663"/>
    <n v="0.33333333333333331"/>
    <x v="3"/>
    <d v="2024-04-14T00:00:00"/>
    <x v="6"/>
    <n v="14"/>
    <x v="1313"/>
    <x v="0"/>
    <x v="7"/>
    <n v="3"/>
    <n v="25"/>
    <n v="75"/>
    <n v="0"/>
  </r>
  <r>
    <n v="1336"/>
    <n v="1663"/>
    <n v="0.33333333333333331"/>
    <x v="3"/>
    <d v="2024-04-14T00:00:00"/>
    <x v="6"/>
    <n v="19"/>
    <x v="1314"/>
    <x v="3"/>
    <x v="14"/>
    <n v="3"/>
    <n v="40"/>
    <n v="120"/>
    <n v="0"/>
  </r>
  <r>
    <n v="1337"/>
    <n v="1664"/>
    <n v="1"/>
    <x v="3"/>
    <d v="2024-04-14T00:00:00"/>
    <x v="6"/>
    <n v="9"/>
    <x v="1315"/>
    <x v="0"/>
    <x v="0"/>
    <n v="1"/>
    <n v="20"/>
    <n v="20"/>
    <n v="1"/>
  </r>
  <r>
    <n v="1338"/>
    <n v="1665"/>
    <n v="1"/>
    <x v="3"/>
    <d v="2024-04-14T00:00:00"/>
    <x v="6"/>
    <n v="17"/>
    <x v="1316"/>
    <x v="3"/>
    <x v="14"/>
    <n v="2"/>
    <n v="40"/>
    <n v="80"/>
    <n v="1"/>
  </r>
  <r>
    <n v="1339"/>
    <n v="1666"/>
    <n v="1"/>
    <x v="3"/>
    <d v="2024-04-14T00:00:00"/>
    <x v="6"/>
    <n v="11"/>
    <x v="1317"/>
    <x v="0"/>
    <x v="7"/>
    <n v="5"/>
    <n v="25"/>
    <n v="125"/>
    <n v="1"/>
  </r>
  <r>
    <n v="1340"/>
    <n v="1667"/>
    <n v="0.33333333333333331"/>
    <x v="3"/>
    <d v="2024-04-14T00:00:00"/>
    <x v="6"/>
    <n v="18"/>
    <x v="1318"/>
    <x v="0"/>
    <x v="9"/>
    <n v="5"/>
    <n v="15"/>
    <n v="75"/>
    <n v="1"/>
  </r>
  <r>
    <n v="1341"/>
    <n v="1667"/>
    <n v="0.33333333333333331"/>
    <x v="3"/>
    <d v="2024-04-14T00:00:00"/>
    <x v="6"/>
    <n v="19"/>
    <x v="1319"/>
    <x v="0"/>
    <x v="9"/>
    <n v="4"/>
    <n v="15"/>
    <n v="60"/>
    <n v="0"/>
  </r>
  <r>
    <n v="1342"/>
    <n v="1667"/>
    <n v="0.33333333333333331"/>
    <x v="3"/>
    <d v="2024-04-14T00:00:00"/>
    <x v="6"/>
    <n v="20"/>
    <x v="1320"/>
    <x v="0"/>
    <x v="9"/>
    <n v="4"/>
    <n v="15"/>
    <n v="60"/>
    <n v="0"/>
  </r>
  <r>
    <n v="1343"/>
    <n v="1668"/>
    <n v="1"/>
    <x v="3"/>
    <d v="2024-04-14T00:00:00"/>
    <x v="6"/>
    <n v="18"/>
    <x v="1321"/>
    <x v="2"/>
    <x v="11"/>
    <n v="2"/>
    <n v="35"/>
    <n v="70"/>
    <n v="1"/>
  </r>
  <r>
    <n v="1344"/>
    <n v="1669"/>
    <n v="0.33333333333333331"/>
    <x v="3"/>
    <d v="2024-04-15T00:00:00"/>
    <x v="0"/>
    <n v="10"/>
    <x v="1322"/>
    <x v="0"/>
    <x v="16"/>
    <n v="1"/>
    <n v="5"/>
    <n v="5"/>
    <n v="1"/>
  </r>
  <r>
    <n v="1345"/>
    <n v="1669"/>
    <n v="0.33333333333333331"/>
    <x v="3"/>
    <d v="2024-04-15T00:00:00"/>
    <x v="0"/>
    <n v="14"/>
    <x v="1323"/>
    <x v="1"/>
    <x v="3"/>
    <n v="1"/>
    <n v="700"/>
    <n v="700"/>
    <n v="0"/>
  </r>
  <r>
    <n v="1346"/>
    <n v="1669"/>
    <n v="0.33333333333333331"/>
    <x v="3"/>
    <d v="2024-04-15T00:00:00"/>
    <x v="0"/>
    <n v="16"/>
    <x v="1324"/>
    <x v="1"/>
    <x v="3"/>
    <n v="5"/>
    <n v="700"/>
    <n v="3500"/>
    <n v="0"/>
  </r>
  <r>
    <n v="1347"/>
    <n v="1670"/>
    <n v="1"/>
    <x v="3"/>
    <d v="2024-04-15T00:00:00"/>
    <x v="0"/>
    <n v="16"/>
    <x v="1325"/>
    <x v="0"/>
    <x v="7"/>
    <n v="1"/>
    <n v="25"/>
    <n v="25"/>
    <n v="1"/>
  </r>
  <r>
    <n v="1348"/>
    <n v="1671"/>
    <n v="0.5"/>
    <x v="3"/>
    <d v="2024-04-15T00:00:00"/>
    <x v="0"/>
    <n v="16"/>
    <x v="1326"/>
    <x v="1"/>
    <x v="12"/>
    <n v="1"/>
    <n v="1000"/>
    <n v="1000"/>
    <n v="1"/>
  </r>
  <r>
    <n v="1349"/>
    <n v="1671"/>
    <n v="0.5"/>
    <x v="3"/>
    <d v="2024-04-15T00:00:00"/>
    <x v="0"/>
    <n v="14"/>
    <x v="1327"/>
    <x v="3"/>
    <x v="6"/>
    <n v="5"/>
    <n v="50"/>
    <n v="250"/>
    <n v="0"/>
  </r>
  <r>
    <n v="1350"/>
    <n v="1672"/>
    <n v="0.5"/>
    <x v="3"/>
    <d v="2024-04-15T00:00:00"/>
    <x v="0"/>
    <n v="12"/>
    <x v="1328"/>
    <x v="3"/>
    <x v="14"/>
    <n v="2"/>
    <n v="40"/>
    <n v="80"/>
    <n v="1"/>
  </r>
  <r>
    <n v="1351"/>
    <n v="1672"/>
    <n v="0.5"/>
    <x v="3"/>
    <d v="2024-04-15T00:00:00"/>
    <x v="0"/>
    <n v="11"/>
    <x v="1329"/>
    <x v="1"/>
    <x v="2"/>
    <n v="4"/>
    <n v="680"/>
    <n v="2720"/>
    <n v="0"/>
  </r>
  <r>
    <n v="1352"/>
    <n v="1673"/>
    <n v="0.33333333333333331"/>
    <x v="3"/>
    <d v="2024-04-16T00:00:00"/>
    <x v="1"/>
    <n v="15"/>
    <x v="1330"/>
    <x v="2"/>
    <x v="15"/>
    <n v="4"/>
    <n v="25"/>
    <n v="100"/>
    <n v="1"/>
  </r>
  <r>
    <n v="1353"/>
    <n v="1673"/>
    <n v="0.33333333333333331"/>
    <x v="3"/>
    <d v="2024-04-16T00:00:00"/>
    <x v="1"/>
    <n v="20"/>
    <x v="1331"/>
    <x v="3"/>
    <x v="13"/>
    <n v="5"/>
    <n v="55"/>
    <n v="275"/>
    <n v="0"/>
  </r>
  <r>
    <n v="1354"/>
    <n v="1673"/>
    <n v="0.33333333333333331"/>
    <x v="3"/>
    <d v="2024-04-16T00:00:00"/>
    <x v="1"/>
    <n v="17"/>
    <x v="1332"/>
    <x v="1"/>
    <x v="1"/>
    <n v="1"/>
    <n v="650"/>
    <n v="650"/>
    <n v="0"/>
  </r>
  <r>
    <n v="1355"/>
    <n v="1674"/>
    <n v="0.5"/>
    <x v="3"/>
    <d v="2024-04-16T00:00:00"/>
    <x v="1"/>
    <n v="15"/>
    <x v="1333"/>
    <x v="3"/>
    <x v="18"/>
    <n v="3"/>
    <n v="45"/>
    <n v="135"/>
    <n v="1"/>
  </r>
  <r>
    <n v="1356"/>
    <n v="1674"/>
    <n v="0.5"/>
    <x v="3"/>
    <d v="2024-04-16T00:00:00"/>
    <x v="1"/>
    <n v="13"/>
    <x v="1334"/>
    <x v="1"/>
    <x v="12"/>
    <n v="4"/>
    <n v="1000"/>
    <n v="4000"/>
    <n v="0"/>
  </r>
  <r>
    <n v="1357"/>
    <n v="1675"/>
    <n v="0.5"/>
    <x v="3"/>
    <d v="2024-04-16T00:00:00"/>
    <x v="1"/>
    <n v="9"/>
    <x v="1335"/>
    <x v="3"/>
    <x v="17"/>
    <n v="5"/>
    <n v="60"/>
    <n v="300"/>
    <n v="1"/>
  </r>
  <r>
    <n v="1358"/>
    <n v="1675"/>
    <n v="0.5"/>
    <x v="3"/>
    <d v="2024-04-16T00:00:00"/>
    <x v="1"/>
    <n v="15"/>
    <x v="1336"/>
    <x v="3"/>
    <x v="17"/>
    <n v="2"/>
    <n v="60"/>
    <n v="120"/>
    <n v="0"/>
  </r>
  <r>
    <n v="1359"/>
    <n v="1676"/>
    <n v="0.5"/>
    <x v="3"/>
    <d v="2024-04-17T00:00:00"/>
    <x v="2"/>
    <n v="13"/>
    <x v="1337"/>
    <x v="3"/>
    <x v="17"/>
    <n v="3"/>
    <n v="60"/>
    <n v="180"/>
    <n v="1"/>
  </r>
  <r>
    <n v="1360"/>
    <n v="1676"/>
    <n v="0.5"/>
    <x v="3"/>
    <d v="2024-04-17T00:00:00"/>
    <x v="2"/>
    <n v="9"/>
    <x v="1338"/>
    <x v="0"/>
    <x v="0"/>
    <n v="1"/>
    <n v="20"/>
    <n v="20"/>
    <n v="0"/>
  </r>
  <r>
    <n v="1361"/>
    <n v="1677"/>
    <n v="0.5"/>
    <x v="3"/>
    <d v="2024-04-17T00:00:00"/>
    <x v="2"/>
    <n v="15"/>
    <x v="1339"/>
    <x v="1"/>
    <x v="12"/>
    <n v="5"/>
    <n v="1000"/>
    <n v="5000"/>
    <n v="1"/>
  </r>
  <r>
    <n v="1362"/>
    <n v="1677"/>
    <n v="0.5"/>
    <x v="3"/>
    <d v="2024-04-17T00:00:00"/>
    <x v="2"/>
    <n v="11"/>
    <x v="1340"/>
    <x v="3"/>
    <x v="14"/>
    <n v="4"/>
    <n v="40"/>
    <n v="160"/>
    <n v="0"/>
  </r>
  <r>
    <n v="1363"/>
    <n v="1678"/>
    <n v="0.5"/>
    <x v="3"/>
    <d v="2024-04-17T00:00:00"/>
    <x v="2"/>
    <n v="20"/>
    <x v="1341"/>
    <x v="1"/>
    <x v="2"/>
    <n v="4"/>
    <n v="680"/>
    <n v="2720"/>
    <n v="1"/>
  </r>
  <r>
    <n v="1364"/>
    <n v="1678"/>
    <n v="0.5"/>
    <x v="3"/>
    <d v="2024-04-17T00:00:00"/>
    <x v="2"/>
    <n v="14"/>
    <x v="1342"/>
    <x v="2"/>
    <x v="15"/>
    <n v="3"/>
    <n v="25"/>
    <n v="75"/>
    <n v="0"/>
  </r>
  <r>
    <n v="1365"/>
    <n v="1679"/>
    <n v="0.33333333333333331"/>
    <x v="3"/>
    <d v="2024-04-17T00:00:00"/>
    <x v="2"/>
    <n v="16"/>
    <x v="1343"/>
    <x v="2"/>
    <x v="10"/>
    <n v="1"/>
    <n v="30"/>
    <n v="30"/>
    <n v="1"/>
  </r>
  <r>
    <n v="1366"/>
    <n v="1679"/>
    <n v="0.33333333333333331"/>
    <x v="3"/>
    <d v="2024-04-17T00:00:00"/>
    <x v="2"/>
    <n v="14"/>
    <x v="1344"/>
    <x v="0"/>
    <x v="7"/>
    <n v="3"/>
    <n v="25"/>
    <n v="75"/>
    <n v="0"/>
  </r>
  <r>
    <n v="1367"/>
    <n v="1679"/>
    <n v="0.33333333333333331"/>
    <x v="3"/>
    <d v="2024-04-17T00:00:00"/>
    <x v="2"/>
    <n v="16"/>
    <x v="1345"/>
    <x v="3"/>
    <x v="14"/>
    <n v="3"/>
    <n v="40"/>
    <n v="120"/>
    <n v="0"/>
  </r>
  <r>
    <n v="1368"/>
    <n v="1680"/>
    <n v="1"/>
    <x v="3"/>
    <d v="2024-04-17T00:00:00"/>
    <x v="2"/>
    <n v="19"/>
    <x v="1346"/>
    <x v="0"/>
    <x v="0"/>
    <n v="4"/>
    <n v="20"/>
    <n v="80"/>
    <n v="1"/>
  </r>
  <r>
    <n v="1369"/>
    <n v="1681"/>
    <n v="1"/>
    <x v="3"/>
    <d v="2024-04-18T00:00:00"/>
    <x v="3"/>
    <n v="15"/>
    <x v="1347"/>
    <x v="3"/>
    <x v="13"/>
    <n v="4"/>
    <n v="55"/>
    <n v="220"/>
    <n v="1"/>
  </r>
  <r>
    <n v="1370"/>
    <n v="1682"/>
    <n v="0.33333333333333331"/>
    <x v="3"/>
    <d v="2024-04-18T00:00:00"/>
    <x v="3"/>
    <n v="14"/>
    <x v="1348"/>
    <x v="2"/>
    <x v="11"/>
    <n v="4"/>
    <n v="35"/>
    <n v="140"/>
    <n v="1"/>
  </r>
  <r>
    <n v="1371"/>
    <n v="1682"/>
    <n v="0.33333333333333331"/>
    <x v="3"/>
    <d v="2024-04-18T00:00:00"/>
    <x v="3"/>
    <n v="13"/>
    <x v="1349"/>
    <x v="3"/>
    <x v="17"/>
    <n v="2"/>
    <n v="60"/>
    <n v="120"/>
    <n v="0"/>
  </r>
  <r>
    <n v="1372"/>
    <n v="1682"/>
    <n v="0.33333333333333331"/>
    <x v="3"/>
    <d v="2024-04-18T00:00:00"/>
    <x v="3"/>
    <n v="20"/>
    <x v="1350"/>
    <x v="2"/>
    <x v="11"/>
    <n v="4"/>
    <n v="35"/>
    <n v="140"/>
    <n v="0"/>
  </r>
  <r>
    <n v="1373"/>
    <n v="1683"/>
    <n v="0.5"/>
    <x v="3"/>
    <d v="2024-04-18T00:00:00"/>
    <x v="3"/>
    <n v="16"/>
    <x v="1351"/>
    <x v="2"/>
    <x v="11"/>
    <n v="2"/>
    <n v="35"/>
    <n v="70"/>
    <n v="1"/>
  </r>
  <r>
    <n v="1374"/>
    <n v="1683"/>
    <n v="0.5"/>
    <x v="3"/>
    <d v="2024-04-18T00:00:00"/>
    <x v="3"/>
    <n v="9"/>
    <x v="1352"/>
    <x v="2"/>
    <x v="10"/>
    <n v="2"/>
    <n v="30"/>
    <n v="60"/>
    <n v="0"/>
  </r>
  <r>
    <n v="1375"/>
    <n v="1684"/>
    <n v="0.5"/>
    <x v="3"/>
    <d v="2024-04-18T00:00:00"/>
    <x v="3"/>
    <n v="16"/>
    <x v="1353"/>
    <x v="2"/>
    <x v="11"/>
    <n v="4"/>
    <n v="35"/>
    <n v="140"/>
    <n v="1"/>
  </r>
  <r>
    <n v="1376"/>
    <n v="1684"/>
    <n v="0.5"/>
    <x v="3"/>
    <d v="2024-04-18T00:00:00"/>
    <x v="3"/>
    <n v="18"/>
    <x v="1354"/>
    <x v="1"/>
    <x v="4"/>
    <n v="3"/>
    <n v="600"/>
    <n v="1800"/>
    <n v="0"/>
  </r>
  <r>
    <n v="1377"/>
    <n v="1685"/>
    <n v="1"/>
    <x v="3"/>
    <d v="2024-04-18T00:00:00"/>
    <x v="3"/>
    <n v="10"/>
    <x v="1355"/>
    <x v="2"/>
    <x v="15"/>
    <n v="3"/>
    <n v="25"/>
    <n v="75"/>
    <n v="1"/>
  </r>
  <r>
    <n v="1378"/>
    <n v="1686"/>
    <n v="1"/>
    <x v="3"/>
    <d v="2024-04-19T00:00:00"/>
    <x v="4"/>
    <n v="14"/>
    <x v="1356"/>
    <x v="1"/>
    <x v="3"/>
    <n v="4"/>
    <n v="700"/>
    <n v="2800"/>
    <n v="1"/>
  </r>
  <r>
    <n v="1379"/>
    <n v="1687"/>
    <n v="1"/>
    <x v="3"/>
    <d v="2024-04-19T00:00:00"/>
    <x v="4"/>
    <n v="10"/>
    <x v="1357"/>
    <x v="3"/>
    <x v="14"/>
    <n v="5"/>
    <n v="40"/>
    <n v="200"/>
    <n v="1"/>
  </r>
  <r>
    <n v="1380"/>
    <n v="1688"/>
    <n v="0.5"/>
    <x v="3"/>
    <d v="2024-04-19T00:00:00"/>
    <x v="4"/>
    <n v="9"/>
    <x v="1358"/>
    <x v="3"/>
    <x v="17"/>
    <n v="5"/>
    <n v="60"/>
    <n v="300"/>
    <n v="1"/>
  </r>
  <r>
    <n v="1381"/>
    <n v="1688"/>
    <n v="0.5"/>
    <x v="3"/>
    <d v="2024-04-19T00:00:00"/>
    <x v="4"/>
    <n v="16"/>
    <x v="1359"/>
    <x v="1"/>
    <x v="2"/>
    <n v="4"/>
    <n v="680"/>
    <n v="2720"/>
    <n v="0"/>
  </r>
  <r>
    <n v="1382"/>
    <n v="1689"/>
    <n v="1"/>
    <x v="3"/>
    <d v="2024-04-19T00:00:00"/>
    <x v="4"/>
    <n v="18"/>
    <x v="1360"/>
    <x v="3"/>
    <x v="18"/>
    <n v="2"/>
    <n v="45"/>
    <n v="90"/>
    <n v="1"/>
  </r>
  <r>
    <n v="1383"/>
    <n v="1690"/>
    <n v="1"/>
    <x v="3"/>
    <d v="2024-04-20T00:00:00"/>
    <x v="5"/>
    <n v="19"/>
    <x v="1361"/>
    <x v="2"/>
    <x v="11"/>
    <n v="2"/>
    <n v="35"/>
    <n v="70"/>
    <n v="1"/>
  </r>
  <r>
    <n v="1384"/>
    <n v="1691"/>
    <n v="1"/>
    <x v="3"/>
    <d v="2024-04-20T00:00:00"/>
    <x v="5"/>
    <n v="12"/>
    <x v="1362"/>
    <x v="0"/>
    <x v="0"/>
    <n v="1"/>
    <n v="20"/>
    <n v="20"/>
    <n v="1"/>
  </r>
  <r>
    <n v="1385"/>
    <n v="1692"/>
    <n v="1"/>
    <x v="3"/>
    <d v="2024-04-20T00:00:00"/>
    <x v="5"/>
    <n v="17"/>
    <x v="1363"/>
    <x v="3"/>
    <x v="18"/>
    <n v="4"/>
    <n v="45"/>
    <n v="180"/>
    <n v="1"/>
  </r>
  <r>
    <n v="1386"/>
    <n v="1693"/>
    <n v="0.5"/>
    <x v="3"/>
    <d v="2024-04-21T00:00:00"/>
    <x v="6"/>
    <n v="10"/>
    <x v="1364"/>
    <x v="0"/>
    <x v="9"/>
    <n v="1"/>
    <n v="15"/>
    <n v="15"/>
    <n v="1"/>
  </r>
  <r>
    <n v="1387"/>
    <n v="1693"/>
    <n v="0.5"/>
    <x v="3"/>
    <d v="2024-04-21T00:00:00"/>
    <x v="6"/>
    <n v="16"/>
    <x v="1365"/>
    <x v="0"/>
    <x v="7"/>
    <n v="4"/>
    <n v="25"/>
    <n v="100"/>
    <n v="0"/>
  </r>
  <r>
    <n v="1388"/>
    <n v="1694"/>
    <n v="0.5"/>
    <x v="3"/>
    <d v="2024-04-21T00:00:00"/>
    <x v="6"/>
    <n v="16"/>
    <x v="1366"/>
    <x v="1"/>
    <x v="1"/>
    <n v="2"/>
    <n v="650"/>
    <n v="1300"/>
    <n v="1"/>
  </r>
  <r>
    <n v="1389"/>
    <n v="1694"/>
    <n v="0.5"/>
    <x v="3"/>
    <d v="2024-04-21T00:00:00"/>
    <x v="6"/>
    <n v="10"/>
    <x v="1367"/>
    <x v="1"/>
    <x v="2"/>
    <n v="4"/>
    <n v="680"/>
    <n v="2720"/>
    <n v="0"/>
  </r>
  <r>
    <n v="1390"/>
    <n v="1695"/>
    <n v="0.5"/>
    <x v="3"/>
    <d v="2024-04-21T00:00:00"/>
    <x v="6"/>
    <n v="12"/>
    <x v="1368"/>
    <x v="1"/>
    <x v="12"/>
    <n v="4"/>
    <n v="1000"/>
    <n v="4000"/>
    <n v="1"/>
  </r>
  <r>
    <n v="1391"/>
    <n v="1695"/>
    <n v="0.5"/>
    <x v="3"/>
    <d v="2024-04-21T00:00:00"/>
    <x v="6"/>
    <n v="17"/>
    <x v="1369"/>
    <x v="1"/>
    <x v="4"/>
    <n v="1"/>
    <n v="600"/>
    <n v="600"/>
    <n v="0"/>
  </r>
  <r>
    <n v="1392"/>
    <n v="1696"/>
    <n v="1"/>
    <x v="3"/>
    <d v="2024-04-21T00:00:00"/>
    <x v="6"/>
    <n v="11"/>
    <x v="3"/>
    <x v="1"/>
    <x v="1"/>
    <n v="1"/>
    <n v="650"/>
    <n v="650"/>
    <n v="1"/>
  </r>
  <r>
    <n v="1393"/>
    <n v="1697"/>
    <n v="0.5"/>
    <x v="3"/>
    <d v="2024-04-22T00:00:00"/>
    <x v="0"/>
    <n v="15"/>
    <x v="1370"/>
    <x v="2"/>
    <x v="11"/>
    <n v="5"/>
    <n v="35"/>
    <n v="175"/>
    <n v="1"/>
  </r>
  <r>
    <n v="1394"/>
    <n v="1697"/>
    <n v="0.5"/>
    <x v="3"/>
    <d v="2024-04-22T00:00:00"/>
    <x v="0"/>
    <n v="15"/>
    <x v="1371"/>
    <x v="0"/>
    <x v="8"/>
    <n v="5"/>
    <n v="10"/>
    <n v="50"/>
    <n v="0"/>
  </r>
  <r>
    <n v="1395"/>
    <n v="1698"/>
    <n v="0.5"/>
    <x v="3"/>
    <d v="2024-04-22T00:00:00"/>
    <x v="0"/>
    <n v="17"/>
    <x v="1372"/>
    <x v="1"/>
    <x v="1"/>
    <n v="2"/>
    <n v="650"/>
    <n v="1300"/>
    <n v="1"/>
  </r>
  <r>
    <n v="1396"/>
    <n v="1698"/>
    <n v="0.5"/>
    <x v="3"/>
    <d v="2024-04-22T00:00:00"/>
    <x v="0"/>
    <n v="9"/>
    <x v="1373"/>
    <x v="3"/>
    <x v="6"/>
    <n v="1"/>
    <n v="50"/>
    <n v="50"/>
    <n v="0"/>
  </r>
  <r>
    <n v="1397"/>
    <n v="1699"/>
    <n v="0.33333333333333331"/>
    <x v="3"/>
    <d v="2024-04-22T00:00:00"/>
    <x v="0"/>
    <n v="9"/>
    <x v="1374"/>
    <x v="1"/>
    <x v="2"/>
    <n v="4"/>
    <n v="680"/>
    <n v="2720"/>
    <n v="1"/>
  </r>
  <r>
    <n v="1398"/>
    <n v="1699"/>
    <n v="0.33333333333333331"/>
    <x v="3"/>
    <d v="2024-04-22T00:00:00"/>
    <x v="0"/>
    <n v="16"/>
    <x v="1375"/>
    <x v="0"/>
    <x v="7"/>
    <n v="4"/>
    <n v="25"/>
    <n v="100"/>
    <n v="0"/>
  </r>
  <r>
    <n v="1399"/>
    <n v="1699"/>
    <n v="0.33333333333333331"/>
    <x v="3"/>
    <d v="2024-04-22T00:00:00"/>
    <x v="0"/>
    <n v="18"/>
    <x v="1376"/>
    <x v="1"/>
    <x v="1"/>
    <n v="2"/>
    <n v="650"/>
    <n v="1300"/>
    <n v="0"/>
  </r>
  <r>
    <n v="1400"/>
    <n v="1700"/>
    <n v="1"/>
    <x v="3"/>
    <d v="2024-04-22T00:00:00"/>
    <x v="0"/>
    <n v="11"/>
    <x v="1377"/>
    <x v="1"/>
    <x v="3"/>
    <n v="1"/>
    <n v="700"/>
    <n v="700"/>
    <n v="1"/>
  </r>
  <r>
    <n v="1401"/>
    <n v="1701"/>
    <n v="0.5"/>
    <x v="3"/>
    <d v="2024-04-22T00:00:00"/>
    <x v="0"/>
    <n v="16"/>
    <x v="1378"/>
    <x v="2"/>
    <x v="10"/>
    <n v="2"/>
    <n v="30"/>
    <n v="60"/>
    <n v="1"/>
  </r>
  <r>
    <n v="1402"/>
    <n v="1701"/>
    <n v="0.5"/>
    <x v="3"/>
    <d v="2024-04-22T00:00:00"/>
    <x v="0"/>
    <n v="19"/>
    <x v="1379"/>
    <x v="0"/>
    <x v="8"/>
    <n v="5"/>
    <n v="10"/>
    <n v="50"/>
    <n v="0"/>
  </r>
  <r>
    <n v="1403"/>
    <n v="1702"/>
    <n v="1"/>
    <x v="3"/>
    <d v="2024-04-22T00:00:00"/>
    <x v="0"/>
    <n v="9"/>
    <x v="1380"/>
    <x v="1"/>
    <x v="4"/>
    <n v="2"/>
    <n v="600"/>
    <n v="1200"/>
    <n v="1"/>
  </r>
  <r>
    <n v="1404"/>
    <n v="1703"/>
    <n v="0.5"/>
    <x v="3"/>
    <d v="2024-04-22T00:00:00"/>
    <x v="0"/>
    <n v="20"/>
    <x v="1381"/>
    <x v="1"/>
    <x v="3"/>
    <n v="3"/>
    <n v="700"/>
    <n v="2100"/>
    <n v="1"/>
  </r>
  <r>
    <n v="1405"/>
    <n v="1703"/>
    <n v="0.5"/>
    <x v="3"/>
    <d v="2024-04-22T00:00:00"/>
    <x v="0"/>
    <n v="16"/>
    <x v="1382"/>
    <x v="0"/>
    <x v="16"/>
    <n v="3"/>
    <n v="5"/>
    <n v="15"/>
    <n v="0"/>
  </r>
  <r>
    <n v="1406"/>
    <n v="1704"/>
    <n v="0.33333333333333331"/>
    <x v="3"/>
    <d v="2024-04-22T00:00:00"/>
    <x v="0"/>
    <n v="11"/>
    <x v="1383"/>
    <x v="2"/>
    <x v="10"/>
    <n v="1"/>
    <n v="30"/>
    <n v="30"/>
    <n v="1"/>
  </r>
  <r>
    <n v="1407"/>
    <n v="1704"/>
    <n v="0.33333333333333331"/>
    <x v="3"/>
    <d v="2024-04-22T00:00:00"/>
    <x v="0"/>
    <n v="9"/>
    <x v="1384"/>
    <x v="0"/>
    <x v="8"/>
    <n v="4"/>
    <n v="10"/>
    <n v="40"/>
    <n v="0"/>
  </r>
  <r>
    <n v="1408"/>
    <n v="1704"/>
    <n v="0.33333333333333331"/>
    <x v="3"/>
    <d v="2024-04-22T00:00:00"/>
    <x v="0"/>
    <n v="12"/>
    <x v="1385"/>
    <x v="0"/>
    <x v="16"/>
    <n v="4"/>
    <n v="5"/>
    <n v="20"/>
    <n v="0"/>
  </r>
  <r>
    <n v="1409"/>
    <n v="1705"/>
    <n v="1"/>
    <x v="3"/>
    <d v="2024-04-22T00:00:00"/>
    <x v="0"/>
    <n v="17"/>
    <x v="1386"/>
    <x v="0"/>
    <x v="16"/>
    <n v="1"/>
    <n v="5"/>
    <n v="5"/>
    <n v="1"/>
  </r>
  <r>
    <n v="1410"/>
    <n v="1706"/>
    <n v="1"/>
    <x v="3"/>
    <d v="2024-04-22T00:00:00"/>
    <x v="0"/>
    <n v="19"/>
    <x v="1387"/>
    <x v="1"/>
    <x v="1"/>
    <n v="3"/>
    <n v="650"/>
    <n v="1950"/>
    <n v="1"/>
  </r>
  <r>
    <n v="1411"/>
    <n v="1707"/>
    <n v="0.33333333333333331"/>
    <x v="3"/>
    <d v="2024-04-23T00:00:00"/>
    <x v="1"/>
    <n v="15"/>
    <x v="1388"/>
    <x v="0"/>
    <x v="16"/>
    <n v="3"/>
    <n v="5"/>
    <n v="15"/>
    <n v="1"/>
  </r>
  <r>
    <n v="1412"/>
    <n v="1707"/>
    <n v="0.33333333333333331"/>
    <x v="3"/>
    <d v="2024-04-23T00:00:00"/>
    <x v="1"/>
    <n v="19"/>
    <x v="1389"/>
    <x v="2"/>
    <x v="15"/>
    <n v="5"/>
    <n v="25"/>
    <n v="125"/>
    <n v="0"/>
  </r>
  <r>
    <n v="1413"/>
    <n v="1707"/>
    <n v="0.33333333333333331"/>
    <x v="3"/>
    <d v="2024-04-23T00:00:00"/>
    <x v="1"/>
    <n v="11"/>
    <x v="1390"/>
    <x v="0"/>
    <x v="8"/>
    <n v="4"/>
    <n v="10"/>
    <n v="40"/>
    <n v="0"/>
  </r>
  <r>
    <n v="1414"/>
    <n v="1708"/>
    <n v="0.5"/>
    <x v="3"/>
    <d v="2024-04-23T00:00:00"/>
    <x v="1"/>
    <n v="13"/>
    <x v="1391"/>
    <x v="0"/>
    <x v="8"/>
    <n v="3"/>
    <n v="10"/>
    <n v="30"/>
    <n v="1"/>
  </r>
  <r>
    <n v="1415"/>
    <n v="1708"/>
    <n v="0.5"/>
    <x v="3"/>
    <d v="2024-04-23T00:00:00"/>
    <x v="1"/>
    <n v="16"/>
    <x v="1392"/>
    <x v="2"/>
    <x v="10"/>
    <n v="3"/>
    <n v="30"/>
    <n v="90"/>
    <n v="0"/>
  </r>
  <r>
    <n v="1416"/>
    <n v="1709"/>
    <n v="1"/>
    <x v="3"/>
    <d v="2024-04-23T00:00:00"/>
    <x v="1"/>
    <n v="12"/>
    <x v="1393"/>
    <x v="3"/>
    <x v="13"/>
    <n v="5"/>
    <n v="55"/>
    <n v="275"/>
    <n v="1"/>
  </r>
  <r>
    <n v="1417"/>
    <n v="1710"/>
    <n v="0.5"/>
    <x v="3"/>
    <d v="2024-04-23T00:00:00"/>
    <x v="1"/>
    <n v="17"/>
    <x v="1394"/>
    <x v="2"/>
    <x v="5"/>
    <n v="2"/>
    <n v="20"/>
    <n v="40"/>
    <n v="1"/>
  </r>
  <r>
    <n v="1418"/>
    <n v="1710"/>
    <n v="0.5"/>
    <x v="3"/>
    <d v="2024-04-23T00:00:00"/>
    <x v="1"/>
    <n v="11"/>
    <x v="1395"/>
    <x v="3"/>
    <x v="17"/>
    <n v="4"/>
    <n v="60"/>
    <n v="240"/>
    <n v="0"/>
  </r>
  <r>
    <n v="1419"/>
    <n v="1711"/>
    <n v="1"/>
    <x v="3"/>
    <d v="2024-04-23T00:00:00"/>
    <x v="1"/>
    <n v="17"/>
    <x v="1396"/>
    <x v="1"/>
    <x v="4"/>
    <n v="4"/>
    <n v="600"/>
    <n v="2400"/>
    <n v="1"/>
  </r>
  <r>
    <n v="1420"/>
    <n v="1712"/>
    <n v="1"/>
    <x v="3"/>
    <d v="2024-04-23T00:00:00"/>
    <x v="1"/>
    <n v="15"/>
    <x v="1397"/>
    <x v="3"/>
    <x v="14"/>
    <n v="5"/>
    <n v="40"/>
    <n v="200"/>
    <n v="1"/>
  </r>
  <r>
    <n v="1421"/>
    <n v="1713"/>
    <n v="0.33333333333333331"/>
    <x v="3"/>
    <d v="2024-04-23T00:00:00"/>
    <x v="1"/>
    <n v="16"/>
    <x v="1398"/>
    <x v="1"/>
    <x v="2"/>
    <n v="5"/>
    <n v="680"/>
    <n v="3400"/>
    <n v="1"/>
  </r>
  <r>
    <n v="1422"/>
    <n v="1713"/>
    <n v="0.33333333333333331"/>
    <x v="3"/>
    <d v="2024-04-23T00:00:00"/>
    <x v="1"/>
    <n v="16"/>
    <x v="1399"/>
    <x v="2"/>
    <x v="11"/>
    <n v="2"/>
    <n v="35"/>
    <n v="70"/>
    <n v="0"/>
  </r>
  <r>
    <n v="1423"/>
    <n v="1713"/>
    <n v="0.33333333333333331"/>
    <x v="3"/>
    <d v="2024-04-23T00:00:00"/>
    <x v="1"/>
    <n v="17"/>
    <x v="1400"/>
    <x v="1"/>
    <x v="2"/>
    <n v="5"/>
    <n v="680"/>
    <n v="3400"/>
    <n v="0"/>
  </r>
  <r>
    <n v="1424"/>
    <n v="1714"/>
    <n v="0.33333333333333331"/>
    <x v="3"/>
    <d v="2024-04-23T00:00:00"/>
    <x v="1"/>
    <n v="15"/>
    <x v="1401"/>
    <x v="1"/>
    <x v="12"/>
    <n v="4"/>
    <n v="1000"/>
    <n v="4000"/>
    <n v="1"/>
  </r>
  <r>
    <n v="1425"/>
    <n v="1714"/>
    <n v="0.33333333333333331"/>
    <x v="3"/>
    <d v="2024-04-23T00:00:00"/>
    <x v="1"/>
    <n v="20"/>
    <x v="910"/>
    <x v="0"/>
    <x v="7"/>
    <n v="2"/>
    <n v="25"/>
    <n v="50"/>
    <n v="0"/>
  </r>
  <r>
    <n v="1426"/>
    <n v="1714"/>
    <n v="0.33333333333333331"/>
    <x v="3"/>
    <d v="2024-04-23T00:00:00"/>
    <x v="1"/>
    <n v="17"/>
    <x v="1402"/>
    <x v="1"/>
    <x v="12"/>
    <n v="4"/>
    <n v="1000"/>
    <n v="4000"/>
    <n v="0"/>
  </r>
  <r>
    <n v="1427"/>
    <n v="1715"/>
    <n v="0.33333333333333331"/>
    <x v="3"/>
    <d v="2024-04-23T00:00:00"/>
    <x v="1"/>
    <n v="10"/>
    <x v="1403"/>
    <x v="1"/>
    <x v="12"/>
    <n v="1"/>
    <n v="1000"/>
    <n v="1000"/>
    <n v="1"/>
  </r>
  <r>
    <n v="1428"/>
    <n v="1715"/>
    <n v="0.33333333333333331"/>
    <x v="3"/>
    <d v="2024-04-23T00:00:00"/>
    <x v="1"/>
    <n v="13"/>
    <x v="1404"/>
    <x v="0"/>
    <x v="16"/>
    <n v="5"/>
    <n v="5"/>
    <n v="25"/>
    <n v="0"/>
  </r>
  <r>
    <n v="1429"/>
    <n v="1715"/>
    <n v="0.33333333333333331"/>
    <x v="3"/>
    <d v="2024-04-23T00:00:00"/>
    <x v="1"/>
    <n v="10"/>
    <x v="1405"/>
    <x v="3"/>
    <x v="14"/>
    <n v="3"/>
    <n v="40"/>
    <n v="120"/>
    <n v="0"/>
  </r>
  <r>
    <n v="1430"/>
    <n v="1716"/>
    <n v="1"/>
    <x v="3"/>
    <d v="2024-04-23T00:00:00"/>
    <x v="1"/>
    <n v="17"/>
    <x v="1406"/>
    <x v="3"/>
    <x v="13"/>
    <n v="3"/>
    <n v="55"/>
    <n v="165"/>
    <n v="1"/>
  </r>
  <r>
    <n v="1431"/>
    <n v="1717"/>
    <n v="0.33333333333333331"/>
    <x v="3"/>
    <d v="2024-04-24T00:00:00"/>
    <x v="2"/>
    <n v="12"/>
    <x v="1407"/>
    <x v="2"/>
    <x v="10"/>
    <n v="5"/>
    <n v="30"/>
    <n v="150"/>
    <n v="1"/>
  </r>
  <r>
    <n v="1432"/>
    <n v="1717"/>
    <n v="0.33333333333333331"/>
    <x v="3"/>
    <d v="2024-04-24T00:00:00"/>
    <x v="2"/>
    <n v="12"/>
    <x v="1408"/>
    <x v="2"/>
    <x v="15"/>
    <n v="4"/>
    <n v="25"/>
    <n v="100"/>
    <n v="0"/>
  </r>
  <r>
    <n v="1433"/>
    <n v="1717"/>
    <n v="0.33333333333333331"/>
    <x v="3"/>
    <d v="2024-04-24T00:00:00"/>
    <x v="2"/>
    <n v="9"/>
    <x v="1409"/>
    <x v="3"/>
    <x v="14"/>
    <n v="4"/>
    <n v="40"/>
    <n v="160"/>
    <n v="0"/>
  </r>
  <r>
    <n v="1434"/>
    <n v="1718"/>
    <n v="0.33333333333333331"/>
    <x v="3"/>
    <d v="2024-04-24T00:00:00"/>
    <x v="2"/>
    <n v="11"/>
    <x v="1410"/>
    <x v="2"/>
    <x v="10"/>
    <n v="4"/>
    <n v="30"/>
    <n v="120"/>
    <n v="1"/>
  </r>
  <r>
    <n v="1435"/>
    <n v="1718"/>
    <n v="0.33333333333333331"/>
    <x v="3"/>
    <d v="2024-04-24T00:00:00"/>
    <x v="2"/>
    <n v="11"/>
    <x v="1411"/>
    <x v="0"/>
    <x v="7"/>
    <n v="5"/>
    <n v="25"/>
    <n v="125"/>
    <n v="0"/>
  </r>
  <r>
    <n v="1436"/>
    <n v="1718"/>
    <n v="0.33333333333333331"/>
    <x v="3"/>
    <d v="2024-04-24T00:00:00"/>
    <x v="2"/>
    <n v="20"/>
    <x v="1412"/>
    <x v="0"/>
    <x v="16"/>
    <n v="5"/>
    <n v="5"/>
    <n v="25"/>
    <n v="0"/>
  </r>
  <r>
    <n v="1437"/>
    <n v="1719"/>
    <n v="1"/>
    <x v="3"/>
    <d v="2024-04-24T00:00:00"/>
    <x v="2"/>
    <n v="15"/>
    <x v="1413"/>
    <x v="1"/>
    <x v="2"/>
    <n v="1"/>
    <n v="680"/>
    <n v="680"/>
    <n v="1"/>
  </r>
  <r>
    <n v="1438"/>
    <n v="1720"/>
    <n v="0.33333333333333331"/>
    <x v="3"/>
    <d v="2024-04-24T00:00:00"/>
    <x v="2"/>
    <n v="11"/>
    <x v="1414"/>
    <x v="3"/>
    <x v="6"/>
    <n v="2"/>
    <n v="50"/>
    <n v="100"/>
    <n v="1"/>
  </r>
  <r>
    <n v="1439"/>
    <n v="1720"/>
    <n v="0.33333333333333331"/>
    <x v="3"/>
    <d v="2024-04-24T00:00:00"/>
    <x v="2"/>
    <n v="15"/>
    <x v="1415"/>
    <x v="2"/>
    <x v="11"/>
    <n v="2"/>
    <n v="35"/>
    <n v="70"/>
    <n v="0"/>
  </r>
  <r>
    <n v="1440"/>
    <n v="1720"/>
    <n v="0.33333333333333331"/>
    <x v="3"/>
    <d v="2024-04-24T00:00:00"/>
    <x v="2"/>
    <n v="18"/>
    <x v="1416"/>
    <x v="1"/>
    <x v="4"/>
    <n v="1"/>
    <n v="600"/>
    <n v="600"/>
    <n v="0"/>
  </r>
  <r>
    <n v="1441"/>
    <n v="1721"/>
    <n v="1"/>
    <x v="3"/>
    <d v="2024-04-24T00:00:00"/>
    <x v="2"/>
    <n v="11"/>
    <x v="1417"/>
    <x v="0"/>
    <x v="16"/>
    <n v="1"/>
    <n v="5"/>
    <n v="5"/>
    <n v="1"/>
  </r>
  <r>
    <n v="1442"/>
    <n v="1722"/>
    <n v="0.33333333333333331"/>
    <x v="3"/>
    <d v="2024-04-24T00:00:00"/>
    <x v="2"/>
    <n v="11"/>
    <x v="1418"/>
    <x v="3"/>
    <x v="14"/>
    <n v="2"/>
    <n v="40"/>
    <n v="80"/>
    <n v="1"/>
  </r>
  <r>
    <n v="1443"/>
    <n v="1722"/>
    <n v="0.33333333333333331"/>
    <x v="3"/>
    <d v="2024-04-24T00:00:00"/>
    <x v="2"/>
    <n v="13"/>
    <x v="1419"/>
    <x v="3"/>
    <x v="13"/>
    <n v="4"/>
    <n v="55"/>
    <n v="220"/>
    <n v="0"/>
  </r>
  <r>
    <n v="1444"/>
    <n v="1722"/>
    <n v="0.33333333333333331"/>
    <x v="3"/>
    <d v="2024-04-24T00:00:00"/>
    <x v="2"/>
    <n v="12"/>
    <x v="1420"/>
    <x v="0"/>
    <x v="8"/>
    <n v="5"/>
    <n v="10"/>
    <n v="50"/>
    <n v="0"/>
  </r>
  <r>
    <n v="1445"/>
    <n v="1723"/>
    <n v="1"/>
    <x v="3"/>
    <d v="2024-04-24T00:00:00"/>
    <x v="2"/>
    <n v="13"/>
    <x v="1421"/>
    <x v="2"/>
    <x v="15"/>
    <n v="2"/>
    <n v="25"/>
    <n v="50"/>
    <n v="1"/>
  </r>
  <r>
    <n v="1446"/>
    <n v="1724"/>
    <n v="1"/>
    <x v="3"/>
    <d v="2024-04-24T00:00:00"/>
    <x v="2"/>
    <n v="12"/>
    <x v="1422"/>
    <x v="1"/>
    <x v="12"/>
    <n v="4"/>
    <n v="1000"/>
    <n v="4000"/>
    <n v="1"/>
  </r>
  <r>
    <n v="1447"/>
    <n v="1725"/>
    <n v="0.33333333333333331"/>
    <x v="3"/>
    <d v="2024-04-25T00:00:00"/>
    <x v="3"/>
    <n v="15"/>
    <x v="1423"/>
    <x v="3"/>
    <x v="6"/>
    <n v="2"/>
    <n v="50"/>
    <n v="100"/>
    <n v="1"/>
  </r>
  <r>
    <n v="1448"/>
    <n v="1725"/>
    <n v="0.33333333333333331"/>
    <x v="3"/>
    <d v="2024-04-25T00:00:00"/>
    <x v="3"/>
    <n v="11"/>
    <x v="1424"/>
    <x v="2"/>
    <x v="15"/>
    <n v="3"/>
    <n v="25"/>
    <n v="75"/>
    <n v="0"/>
  </r>
  <r>
    <n v="1449"/>
    <n v="1725"/>
    <n v="0.33333333333333331"/>
    <x v="3"/>
    <d v="2024-04-25T00:00:00"/>
    <x v="3"/>
    <n v="18"/>
    <x v="1425"/>
    <x v="2"/>
    <x v="11"/>
    <n v="2"/>
    <n v="35"/>
    <n v="70"/>
    <n v="0"/>
  </r>
  <r>
    <n v="1450"/>
    <n v="1726"/>
    <n v="0.5"/>
    <x v="3"/>
    <d v="2024-04-25T00:00:00"/>
    <x v="3"/>
    <n v="15"/>
    <x v="1426"/>
    <x v="1"/>
    <x v="1"/>
    <n v="4"/>
    <n v="650"/>
    <n v="2600"/>
    <n v="1"/>
  </r>
  <r>
    <n v="1451"/>
    <n v="1726"/>
    <n v="0.5"/>
    <x v="3"/>
    <d v="2024-04-25T00:00:00"/>
    <x v="3"/>
    <n v="17"/>
    <x v="1427"/>
    <x v="0"/>
    <x v="9"/>
    <n v="2"/>
    <n v="15"/>
    <n v="30"/>
    <n v="0"/>
  </r>
  <r>
    <n v="1452"/>
    <n v="1727"/>
    <n v="1"/>
    <x v="3"/>
    <d v="2024-04-25T00:00:00"/>
    <x v="3"/>
    <n v="9"/>
    <x v="1428"/>
    <x v="3"/>
    <x v="6"/>
    <n v="4"/>
    <n v="50"/>
    <n v="200"/>
    <n v="1"/>
  </r>
  <r>
    <n v="1453"/>
    <n v="1728"/>
    <n v="0.33333333333333331"/>
    <x v="3"/>
    <d v="2024-04-25T00:00:00"/>
    <x v="3"/>
    <n v="19"/>
    <x v="1429"/>
    <x v="2"/>
    <x v="10"/>
    <n v="5"/>
    <n v="30"/>
    <n v="150"/>
    <n v="1"/>
  </r>
  <r>
    <n v="1454"/>
    <n v="1728"/>
    <n v="0.33333333333333331"/>
    <x v="3"/>
    <d v="2024-04-25T00:00:00"/>
    <x v="3"/>
    <n v="19"/>
    <x v="1430"/>
    <x v="1"/>
    <x v="4"/>
    <n v="4"/>
    <n v="600"/>
    <n v="2400"/>
    <n v="0"/>
  </r>
  <r>
    <n v="1455"/>
    <n v="1728"/>
    <n v="0.33333333333333331"/>
    <x v="3"/>
    <d v="2024-04-25T00:00:00"/>
    <x v="3"/>
    <n v="11"/>
    <x v="1431"/>
    <x v="3"/>
    <x v="14"/>
    <n v="1"/>
    <n v="40"/>
    <n v="40"/>
    <n v="0"/>
  </r>
  <r>
    <n v="1456"/>
    <n v="1729"/>
    <n v="1"/>
    <x v="3"/>
    <d v="2024-04-25T00:00:00"/>
    <x v="3"/>
    <n v="17"/>
    <x v="1432"/>
    <x v="3"/>
    <x v="18"/>
    <n v="1"/>
    <n v="45"/>
    <n v="45"/>
    <n v="1"/>
  </r>
  <r>
    <n v="1457"/>
    <n v="1730"/>
    <n v="0.5"/>
    <x v="3"/>
    <d v="2024-04-25T00:00:00"/>
    <x v="3"/>
    <n v="14"/>
    <x v="1433"/>
    <x v="1"/>
    <x v="12"/>
    <n v="4"/>
    <n v="1000"/>
    <n v="4000"/>
    <n v="1"/>
  </r>
  <r>
    <n v="1458"/>
    <n v="1730"/>
    <n v="0.5"/>
    <x v="3"/>
    <d v="2024-04-25T00:00:00"/>
    <x v="3"/>
    <n v="17"/>
    <x v="1434"/>
    <x v="1"/>
    <x v="1"/>
    <n v="2"/>
    <n v="650"/>
    <n v="1300"/>
    <n v="0"/>
  </r>
  <r>
    <n v="1459"/>
    <n v="1731"/>
    <n v="0.33333333333333331"/>
    <x v="3"/>
    <d v="2024-04-25T00:00:00"/>
    <x v="3"/>
    <n v="9"/>
    <x v="1435"/>
    <x v="2"/>
    <x v="15"/>
    <n v="3"/>
    <n v="25"/>
    <n v="75"/>
    <n v="1"/>
  </r>
  <r>
    <n v="1460"/>
    <n v="1731"/>
    <n v="0.33333333333333331"/>
    <x v="3"/>
    <d v="2024-04-25T00:00:00"/>
    <x v="3"/>
    <n v="12"/>
    <x v="1436"/>
    <x v="2"/>
    <x v="11"/>
    <n v="1"/>
    <n v="35"/>
    <n v="35"/>
    <n v="0"/>
  </r>
  <r>
    <n v="1461"/>
    <n v="1731"/>
    <n v="0.33333333333333331"/>
    <x v="3"/>
    <d v="2024-04-25T00:00:00"/>
    <x v="3"/>
    <n v="18"/>
    <x v="1437"/>
    <x v="3"/>
    <x v="14"/>
    <n v="1"/>
    <n v="40"/>
    <n v="40"/>
    <n v="0"/>
  </r>
  <r>
    <n v="1462"/>
    <n v="1732"/>
    <n v="1"/>
    <x v="3"/>
    <d v="2024-04-25T00:00:00"/>
    <x v="3"/>
    <n v="15"/>
    <x v="1438"/>
    <x v="0"/>
    <x v="9"/>
    <n v="3"/>
    <n v="15"/>
    <n v="45"/>
    <n v="1"/>
  </r>
  <r>
    <n v="1463"/>
    <n v="1733"/>
    <n v="1"/>
    <x v="3"/>
    <d v="2024-04-25T00:00:00"/>
    <x v="3"/>
    <n v="19"/>
    <x v="1439"/>
    <x v="0"/>
    <x v="16"/>
    <n v="3"/>
    <n v="5"/>
    <n v="15"/>
    <n v="1"/>
  </r>
  <r>
    <n v="1464"/>
    <n v="1734"/>
    <n v="0.33333333333333331"/>
    <x v="3"/>
    <d v="2024-04-26T00:00:00"/>
    <x v="4"/>
    <n v="12"/>
    <x v="1440"/>
    <x v="1"/>
    <x v="12"/>
    <n v="2"/>
    <n v="1000"/>
    <n v="2000"/>
    <n v="1"/>
  </r>
  <r>
    <n v="1465"/>
    <n v="1734"/>
    <n v="0.33333333333333331"/>
    <x v="3"/>
    <d v="2024-04-26T00:00:00"/>
    <x v="4"/>
    <n v="18"/>
    <x v="1441"/>
    <x v="2"/>
    <x v="5"/>
    <n v="1"/>
    <n v="20"/>
    <n v="20"/>
    <n v="0"/>
  </r>
  <r>
    <n v="1466"/>
    <n v="1734"/>
    <n v="0.33333333333333331"/>
    <x v="3"/>
    <d v="2024-04-26T00:00:00"/>
    <x v="4"/>
    <n v="17"/>
    <x v="1442"/>
    <x v="3"/>
    <x v="18"/>
    <n v="1"/>
    <n v="45"/>
    <n v="45"/>
    <n v="0"/>
  </r>
  <r>
    <n v="1467"/>
    <n v="1735"/>
    <n v="0.33333333333333331"/>
    <x v="3"/>
    <d v="2024-04-26T00:00:00"/>
    <x v="4"/>
    <n v="14"/>
    <x v="665"/>
    <x v="3"/>
    <x v="14"/>
    <n v="3"/>
    <n v="40"/>
    <n v="120"/>
    <n v="1"/>
  </r>
  <r>
    <n v="1468"/>
    <n v="1735"/>
    <n v="0.33333333333333331"/>
    <x v="3"/>
    <d v="2024-04-26T00:00:00"/>
    <x v="4"/>
    <n v="9"/>
    <x v="1443"/>
    <x v="0"/>
    <x v="9"/>
    <n v="1"/>
    <n v="15"/>
    <n v="15"/>
    <n v="0"/>
  </r>
  <r>
    <n v="1469"/>
    <n v="1735"/>
    <n v="0.33333333333333331"/>
    <x v="3"/>
    <d v="2024-04-26T00:00:00"/>
    <x v="4"/>
    <n v="15"/>
    <x v="1444"/>
    <x v="0"/>
    <x v="9"/>
    <n v="3"/>
    <n v="15"/>
    <n v="45"/>
    <n v="0"/>
  </r>
  <r>
    <n v="1470"/>
    <n v="1736"/>
    <n v="1"/>
    <x v="3"/>
    <d v="2024-04-26T00:00:00"/>
    <x v="4"/>
    <n v="14"/>
    <x v="773"/>
    <x v="2"/>
    <x v="10"/>
    <n v="4"/>
    <n v="30"/>
    <n v="120"/>
    <n v="1"/>
  </r>
  <r>
    <n v="1471"/>
    <n v="1737"/>
    <n v="1"/>
    <x v="3"/>
    <d v="2024-04-26T00:00:00"/>
    <x v="4"/>
    <n v="16"/>
    <x v="1445"/>
    <x v="0"/>
    <x v="7"/>
    <n v="3"/>
    <n v="25"/>
    <n v="75"/>
    <n v="1"/>
  </r>
  <r>
    <n v="1472"/>
    <n v="1738"/>
    <n v="0.5"/>
    <x v="3"/>
    <d v="2024-04-26T00:00:00"/>
    <x v="4"/>
    <n v="9"/>
    <x v="1446"/>
    <x v="3"/>
    <x v="6"/>
    <n v="3"/>
    <n v="50"/>
    <n v="150"/>
    <n v="1"/>
  </r>
  <r>
    <n v="1473"/>
    <n v="1738"/>
    <n v="0.5"/>
    <x v="3"/>
    <d v="2024-04-26T00:00:00"/>
    <x v="4"/>
    <n v="16"/>
    <x v="1447"/>
    <x v="2"/>
    <x v="11"/>
    <n v="2"/>
    <n v="35"/>
    <n v="70"/>
    <n v="0"/>
  </r>
  <r>
    <n v="1474"/>
    <n v="1739"/>
    <n v="0.5"/>
    <x v="3"/>
    <d v="2024-04-26T00:00:00"/>
    <x v="4"/>
    <n v="15"/>
    <x v="842"/>
    <x v="3"/>
    <x v="18"/>
    <n v="4"/>
    <n v="45"/>
    <n v="180"/>
    <n v="1"/>
  </r>
  <r>
    <n v="1475"/>
    <n v="1739"/>
    <n v="0.5"/>
    <x v="3"/>
    <d v="2024-04-26T00:00:00"/>
    <x v="4"/>
    <n v="12"/>
    <x v="1448"/>
    <x v="2"/>
    <x v="10"/>
    <n v="4"/>
    <n v="30"/>
    <n v="120"/>
    <n v="0"/>
  </r>
  <r>
    <n v="1476"/>
    <n v="1740"/>
    <n v="0.33333333333333331"/>
    <x v="3"/>
    <d v="2024-04-27T00:00:00"/>
    <x v="5"/>
    <n v="9"/>
    <x v="1449"/>
    <x v="3"/>
    <x v="13"/>
    <n v="5"/>
    <n v="55"/>
    <n v="275"/>
    <n v="1"/>
  </r>
  <r>
    <n v="1477"/>
    <n v="1740"/>
    <n v="0.33333333333333331"/>
    <x v="3"/>
    <d v="2024-04-27T00:00:00"/>
    <x v="5"/>
    <n v="18"/>
    <x v="1450"/>
    <x v="3"/>
    <x v="13"/>
    <n v="4"/>
    <n v="55"/>
    <n v="220"/>
    <n v="0"/>
  </r>
  <r>
    <n v="1478"/>
    <n v="1740"/>
    <n v="0.33333333333333331"/>
    <x v="3"/>
    <d v="2024-04-27T00:00:00"/>
    <x v="5"/>
    <n v="18"/>
    <x v="1451"/>
    <x v="3"/>
    <x v="14"/>
    <n v="5"/>
    <n v="40"/>
    <n v="200"/>
    <n v="0"/>
  </r>
  <r>
    <n v="1479"/>
    <n v="1741"/>
    <n v="1"/>
    <x v="3"/>
    <d v="2024-04-27T00:00:00"/>
    <x v="5"/>
    <n v="14"/>
    <x v="1452"/>
    <x v="1"/>
    <x v="1"/>
    <n v="1"/>
    <n v="650"/>
    <n v="650"/>
    <n v="1"/>
  </r>
  <r>
    <n v="1480"/>
    <n v="1742"/>
    <n v="0.33333333333333331"/>
    <x v="3"/>
    <d v="2024-04-27T00:00:00"/>
    <x v="5"/>
    <n v="14"/>
    <x v="1453"/>
    <x v="0"/>
    <x v="7"/>
    <n v="2"/>
    <n v="25"/>
    <n v="50"/>
    <n v="1"/>
  </r>
  <r>
    <n v="1481"/>
    <n v="1742"/>
    <n v="0.33333333333333331"/>
    <x v="3"/>
    <d v="2024-04-27T00:00:00"/>
    <x v="5"/>
    <n v="14"/>
    <x v="1454"/>
    <x v="3"/>
    <x v="14"/>
    <n v="4"/>
    <n v="40"/>
    <n v="160"/>
    <n v="0"/>
  </r>
  <r>
    <n v="1482"/>
    <n v="1742"/>
    <n v="0.33333333333333331"/>
    <x v="3"/>
    <d v="2024-04-27T00:00:00"/>
    <x v="5"/>
    <n v="9"/>
    <x v="1455"/>
    <x v="3"/>
    <x v="18"/>
    <n v="5"/>
    <n v="45"/>
    <n v="225"/>
    <n v="0"/>
  </r>
  <r>
    <n v="1483"/>
    <n v="1743"/>
    <n v="0.33333333333333331"/>
    <x v="3"/>
    <d v="2024-04-27T00:00:00"/>
    <x v="5"/>
    <n v="10"/>
    <x v="1456"/>
    <x v="0"/>
    <x v="9"/>
    <n v="4"/>
    <n v="15"/>
    <n v="60"/>
    <n v="1"/>
  </r>
  <r>
    <n v="1484"/>
    <n v="1743"/>
    <n v="0.33333333333333331"/>
    <x v="3"/>
    <d v="2024-04-27T00:00:00"/>
    <x v="5"/>
    <n v="19"/>
    <x v="1457"/>
    <x v="0"/>
    <x v="0"/>
    <n v="4"/>
    <n v="20"/>
    <n v="80"/>
    <n v="0"/>
  </r>
  <r>
    <n v="1485"/>
    <n v="1743"/>
    <n v="0.33333333333333331"/>
    <x v="3"/>
    <d v="2024-04-27T00:00:00"/>
    <x v="5"/>
    <n v="9"/>
    <x v="137"/>
    <x v="1"/>
    <x v="4"/>
    <n v="1"/>
    <n v="600"/>
    <n v="600"/>
    <n v="0"/>
  </r>
  <r>
    <n v="1486"/>
    <n v="1744"/>
    <n v="0.33333333333333331"/>
    <x v="3"/>
    <d v="2024-04-27T00:00:00"/>
    <x v="5"/>
    <n v="18"/>
    <x v="1458"/>
    <x v="1"/>
    <x v="4"/>
    <n v="1"/>
    <n v="600"/>
    <n v="600"/>
    <n v="1"/>
  </r>
  <r>
    <n v="1487"/>
    <n v="1744"/>
    <n v="0.33333333333333331"/>
    <x v="3"/>
    <d v="2024-04-27T00:00:00"/>
    <x v="5"/>
    <n v="13"/>
    <x v="1459"/>
    <x v="2"/>
    <x v="15"/>
    <n v="4"/>
    <n v="25"/>
    <n v="100"/>
    <n v="0"/>
  </r>
  <r>
    <n v="1488"/>
    <n v="1744"/>
    <n v="0.33333333333333331"/>
    <x v="3"/>
    <d v="2024-04-27T00:00:00"/>
    <x v="5"/>
    <n v="15"/>
    <x v="1460"/>
    <x v="3"/>
    <x v="14"/>
    <n v="1"/>
    <n v="40"/>
    <n v="40"/>
    <n v="0"/>
  </r>
  <r>
    <n v="1489"/>
    <n v="1745"/>
    <n v="0.5"/>
    <x v="3"/>
    <d v="2024-04-27T00:00:00"/>
    <x v="5"/>
    <n v="18"/>
    <x v="1461"/>
    <x v="3"/>
    <x v="13"/>
    <n v="3"/>
    <n v="55"/>
    <n v="165"/>
    <n v="1"/>
  </r>
  <r>
    <n v="1490"/>
    <n v="1745"/>
    <n v="0.5"/>
    <x v="3"/>
    <d v="2024-04-27T00:00:00"/>
    <x v="5"/>
    <n v="14"/>
    <x v="1462"/>
    <x v="1"/>
    <x v="3"/>
    <n v="1"/>
    <n v="700"/>
    <n v="700"/>
    <n v="0"/>
  </r>
  <r>
    <n v="1491"/>
    <n v="1746"/>
    <n v="0.33333333333333331"/>
    <x v="3"/>
    <d v="2024-04-27T00:00:00"/>
    <x v="5"/>
    <n v="16"/>
    <x v="1463"/>
    <x v="3"/>
    <x v="6"/>
    <n v="5"/>
    <n v="50"/>
    <n v="250"/>
    <n v="1"/>
  </r>
  <r>
    <n v="1492"/>
    <n v="1746"/>
    <n v="0.33333333333333331"/>
    <x v="3"/>
    <d v="2024-04-27T00:00:00"/>
    <x v="5"/>
    <n v="11"/>
    <x v="1464"/>
    <x v="1"/>
    <x v="2"/>
    <n v="3"/>
    <n v="680"/>
    <n v="2040"/>
    <n v="0"/>
  </r>
  <r>
    <n v="1493"/>
    <n v="1746"/>
    <n v="0.33333333333333331"/>
    <x v="3"/>
    <d v="2024-04-27T00:00:00"/>
    <x v="5"/>
    <n v="20"/>
    <x v="362"/>
    <x v="0"/>
    <x v="8"/>
    <n v="5"/>
    <n v="10"/>
    <n v="50"/>
    <n v="0"/>
  </r>
  <r>
    <n v="1494"/>
    <n v="1747"/>
    <n v="0.5"/>
    <x v="3"/>
    <d v="2024-04-28T00:00:00"/>
    <x v="6"/>
    <n v="18"/>
    <x v="1465"/>
    <x v="2"/>
    <x v="5"/>
    <n v="1"/>
    <n v="20"/>
    <n v="20"/>
    <n v="1"/>
  </r>
  <r>
    <n v="1495"/>
    <n v="1747"/>
    <n v="0.5"/>
    <x v="3"/>
    <d v="2024-04-28T00:00:00"/>
    <x v="6"/>
    <n v="12"/>
    <x v="1466"/>
    <x v="2"/>
    <x v="5"/>
    <n v="4"/>
    <n v="20"/>
    <n v="80"/>
    <n v="0"/>
  </r>
  <r>
    <n v="1496"/>
    <n v="1748"/>
    <n v="1"/>
    <x v="3"/>
    <d v="2024-04-28T00:00:00"/>
    <x v="6"/>
    <n v="11"/>
    <x v="589"/>
    <x v="2"/>
    <x v="10"/>
    <n v="2"/>
    <n v="30"/>
    <n v="60"/>
    <n v="1"/>
  </r>
  <r>
    <n v="1497"/>
    <n v="1749"/>
    <n v="0.33333333333333331"/>
    <x v="3"/>
    <d v="2024-04-28T00:00:00"/>
    <x v="6"/>
    <n v="16"/>
    <x v="1467"/>
    <x v="1"/>
    <x v="12"/>
    <n v="5"/>
    <n v="1000"/>
    <n v="5000"/>
    <n v="1"/>
  </r>
  <r>
    <n v="1498"/>
    <n v="1749"/>
    <n v="0.33333333333333331"/>
    <x v="3"/>
    <d v="2024-04-28T00:00:00"/>
    <x v="6"/>
    <n v="11"/>
    <x v="1468"/>
    <x v="1"/>
    <x v="4"/>
    <n v="4"/>
    <n v="600"/>
    <n v="2400"/>
    <n v="0"/>
  </r>
  <r>
    <n v="1499"/>
    <n v="1749"/>
    <n v="0.33333333333333331"/>
    <x v="3"/>
    <d v="2024-04-28T00:00:00"/>
    <x v="6"/>
    <n v="17"/>
    <x v="1469"/>
    <x v="3"/>
    <x v="17"/>
    <n v="2"/>
    <n v="60"/>
    <n v="120"/>
    <n v="0"/>
  </r>
  <r>
    <n v="1500"/>
    <n v="1750"/>
    <n v="0.33333333333333331"/>
    <x v="3"/>
    <d v="2024-04-28T00:00:00"/>
    <x v="6"/>
    <n v="12"/>
    <x v="1470"/>
    <x v="0"/>
    <x v="8"/>
    <n v="2"/>
    <n v="10"/>
    <n v="20"/>
    <n v="1"/>
  </r>
  <r>
    <n v="1501"/>
    <n v="1750"/>
    <n v="0.33333333333333331"/>
    <x v="3"/>
    <d v="2024-04-28T00:00:00"/>
    <x v="6"/>
    <n v="14"/>
    <x v="1471"/>
    <x v="3"/>
    <x v="13"/>
    <n v="2"/>
    <n v="55"/>
    <n v="110"/>
    <n v="0"/>
  </r>
  <r>
    <n v="1502"/>
    <n v="1750"/>
    <n v="0.33333333333333331"/>
    <x v="3"/>
    <d v="2024-04-28T00:00:00"/>
    <x v="6"/>
    <n v="20"/>
    <x v="1472"/>
    <x v="0"/>
    <x v="9"/>
    <n v="5"/>
    <n v="15"/>
    <n v="75"/>
    <n v="0"/>
  </r>
  <r>
    <n v="1503"/>
    <n v="1751"/>
    <n v="0.33333333333333331"/>
    <x v="3"/>
    <d v="2024-04-28T00:00:00"/>
    <x v="6"/>
    <n v="19"/>
    <x v="1473"/>
    <x v="0"/>
    <x v="0"/>
    <n v="2"/>
    <n v="20"/>
    <n v="40"/>
    <n v="1"/>
  </r>
  <r>
    <n v="1504"/>
    <n v="1751"/>
    <n v="0.33333333333333331"/>
    <x v="3"/>
    <d v="2024-04-28T00:00:00"/>
    <x v="6"/>
    <n v="17"/>
    <x v="1474"/>
    <x v="0"/>
    <x v="8"/>
    <n v="4"/>
    <n v="10"/>
    <n v="40"/>
    <n v="0"/>
  </r>
  <r>
    <n v="1505"/>
    <n v="1751"/>
    <n v="0.33333333333333331"/>
    <x v="3"/>
    <d v="2024-04-28T00:00:00"/>
    <x v="6"/>
    <n v="15"/>
    <x v="1475"/>
    <x v="1"/>
    <x v="1"/>
    <n v="3"/>
    <n v="650"/>
    <n v="1950"/>
    <n v="0"/>
  </r>
  <r>
    <n v="1506"/>
    <n v="1752"/>
    <n v="1"/>
    <x v="3"/>
    <d v="2024-04-28T00:00:00"/>
    <x v="6"/>
    <n v="15"/>
    <x v="1476"/>
    <x v="2"/>
    <x v="5"/>
    <n v="1"/>
    <n v="20"/>
    <n v="20"/>
    <n v="1"/>
  </r>
  <r>
    <n v="1507"/>
    <n v="1753"/>
    <n v="1"/>
    <x v="3"/>
    <d v="2024-04-28T00:00:00"/>
    <x v="6"/>
    <n v="10"/>
    <x v="1477"/>
    <x v="3"/>
    <x v="13"/>
    <n v="2"/>
    <n v="55"/>
    <n v="110"/>
    <n v="1"/>
  </r>
  <r>
    <n v="1508"/>
    <n v="1754"/>
    <n v="0.33333333333333331"/>
    <x v="3"/>
    <d v="2024-04-28T00:00:00"/>
    <x v="6"/>
    <n v="15"/>
    <x v="1478"/>
    <x v="0"/>
    <x v="7"/>
    <n v="2"/>
    <n v="25"/>
    <n v="50"/>
    <n v="1"/>
  </r>
  <r>
    <n v="1509"/>
    <n v="1754"/>
    <n v="0.33333333333333331"/>
    <x v="3"/>
    <d v="2024-04-28T00:00:00"/>
    <x v="6"/>
    <n v="11"/>
    <x v="1479"/>
    <x v="2"/>
    <x v="11"/>
    <n v="3"/>
    <n v="35"/>
    <n v="105"/>
    <n v="0"/>
  </r>
  <r>
    <n v="1510"/>
    <n v="1754"/>
    <n v="0.33333333333333331"/>
    <x v="3"/>
    <d v="2024-04-28T00:00:00"/>
    <x v="6"/>
    <n v="13"/>
    <x v="1480"/>
    <x v="3"/>
    <x v="6"/>
    <n v="5"/>
    <n v="50"/>
    <n v="250"/>
    <n v="0"/>
  </r>
  <r>
    <n v="1511"/>
    <n v="1755"/>
    <n v="0.5"/>
    <x v="3"/>
    <d v="2024-04-28T00:00:00"/>
    <x v="6"/>
    <n v="18"/>
    <x v="1481"/>
    <x v="0"/>
    <x v="16"/>
    <n v="4"/>
    <n v="5"/>
    <n v="20"/>
    <n v="1"/>
  </r>
  <r>
    <n v="1512"/>
    <n v="1755"/>
    <n v="0.5"/>
    <x v="3"/>
    <d v="2024-04-28T00:00:00"/>
    <x v="6"/>
    <n v="20"/>
    <x v="1482"/>
    <x v="1"/>
    <x v="3"/>
    <n v="5"/>
    <n v="700"/>
    <n v="3500"/>
    <n v="0"/>
  </r>
  <r>
    <n v="1513"/>
    <n v="1756"/>
    <n v="0.33333333333333331"/>
    <x v="3"/>
    <d v="2024-04-28T00:00:00"/>
    <x v="6"/>
    <n v="16"/>
    <x v="1483"/>
    <x v="2"/>
    <x v="10"/>
    <n v="1"/>
    <n v="30"/>
    <n v="30"/>
    <n v="1"/>
  </r>
  <r>
    <n v="1514"/>
    <n v="1756"/>
    <n v="0.33333333333333331"/>
    <x v="3"/>
    <d v="2024-04-28T00:00:00"/>
    <x v="6"/>
    <n v="19"/>
    <x v="1484"/>
    <x v="1"/>
    <x v="12"/>
    <n v="3"/>
    <n v="1000"/>
    <n v="3000"/>
    <n v="0"/>
  </r>
  <r>
    <n v="1515"/>
    <n v="1756"/>
    <n v="0.33333333333333331"/>
    <x v="3"/>
    <d v="2024-04-28T00:00:00"/>
    <x v="6"/>
    <n v="15"/>
    <x v="1485"/>
    <x v="0"/>
    <x v="0"/>
    <n v="2"/>
    <n v="20"/>
    <n v="40"/>
    <n v="0"/>
  </r>
  <r>
    <n v="1516"/>
    <n v="1757"/>
    <n v="1"/>
    <x v="3"/>
    <d v="2024-04-29T00:00:00"/>
    <x v="0"/>
    <n v="11"/>
    <x v="1486"/>
    <x v="3"/>
    <x v="13"/>
    <n v="2"/>
    <n v="55"/>
    <n v="110"/>
    <n v="1"/>
  </r>
  <r>
    <n v="1517"/>
    <n v="1758"/>
    <n v="0.33333333333333331"/>
    <x v="3"/>
    <d v="2024-04-29T00:00:00"/>
    <x v="0"/>
    <n v="9"/>
    <x v="1487"/>
    <x v="0"/>
    <x v="7"/>
    <n v="4"/>
    <n v="25"/>
    <n v="100"/>
    <n v="1"/>
  </r>
  <r>
    <n v="1518"/>
    <n v="1758"/>
    <n v="0.33333333333333331"/>
    <x v="3"/>
    <d v="2024-04-29T00:00:00"/>
    <x v="0"/>
    <n v="10"/>
    <x v="1488"/>
    <x v="0"/>
    <x v="0"/>
    <n v="4"/>
    <n v="20"/>
    <n v="80"/>
    <n v="0"/>
  </r>
  <r>
    <n v="1519"/>
    <n v="1758"/>
    <n v="0.33333333333333331"/>
    <x v="3"/>
    <d v="2024-04-29T00:00:00"/>
    <x v="0"/>
    <n v="9"/>
    <x v="1489"/>
    <x v="2"/>
    <x v="15"/>
    <n v="4"/>
    <n v="25"/>
    <n v="100"/>
    <n v="0"/>
  </r>
  <r>
    <n v="1520"/>
    <n v="1759"/>
    <n v="0.33333333333333331"/>
    <x v="3"/>
    <d v="2024-04-29T00:00:00"/>
    <x v="0"/>
    <n v="13"/>
    <x v="1490"/>
    <x v="1"/>
    <x v="4"/>
    <n v="4"/>
    <n v="600"/>
    <n v="2400"/>
    <n v="1"/>
  </r>
  <r>
    <n v="1521"/>
    <n v="1759"/>
    <n v="0.33333333333333331"/>
    <x v="3"/>
    <d v="2024-04-29T00:00:00"/>
    <x v="0"/>
    <n v="9"/>
    <x v="1491"/>
    <x v="0"/>
    <x v="7"/>
    <n v="3"/>
    <n v="25"/>
    <n v="75"/>
    <n v="0"/>
  </r>
  <r>
    <n v="1522"/>
    <n v="1759"/>
    <n v="0.33333333333333331"/>
    <x v="3"/>
    <d v="2024-04-29T00:00:00"/>
    <x v="0"/>
    <n v="13"/>
    <x v="1492"/>
    <x v="1"/>
    <x v="12"/>
    <n v="3"/>
    <n v="1000"/>
    <n v="3000"/>
    <n v="0"/>
  </r>
  <r>
    <n v="1523"/>
    <n v="1760"/>
    <n v="0.33333333333333331"/>
    <x v="3"/>
    <d v="2024-04-29T00:00:00"/>
    <x v="0"/>
    <n v="16"/>
    <x v="1493"/>
    <x v="3"/>
    <x v="18"/>
    <n v="2"/>
    <n v="45"/>
    <n v="90"/>
    <n v="1"/>
  </r>
  <r>
    <n v="1524"/>
    <n v="1760"/>
    <n v="0.33333333333333331"/>
    <x v="3"/>
    <d v="2024-04-29T00:00:00"/>
    <x v="0"/>
    <n v="18"/>
    <x v="1494"/>
    <x v="1"/>
    <x v="1"/>
    <n v="5"/>
    <n v="650"/>
    <n v="3250"/>
    <n v="0"/>
  </r>
  <r>
    <n v="1525"/>
    <n v="1760"/>
    <n v="0.33333333333333331"/>
    <x v="3"/>
    <d v="2024-04-29T00:00:00"/>
    <x v="0"/>
    <n v="13"/>
    <x v="1495"/>
    <x v="0"/>
    <x v="7"/>
    <n v="4"/>
    <n v="25"/>
    <n v="100"/>
    <n v="0"/>
  </r>
  <r>
    <n v="1526"/>
    <n v="1761"/>
    <n v="0.33333333333333331"/>
    <x v="3"/>
    <d v="2024-04-29T00:00:00"/>
    <x v="0"/>
    <n v="17"/>
    <x v="1496"/>
    <x v="2"/>
    <x v="15"/>
    <n v="3"/>
    <n v="25"/>
    <n v="75"/>
    <n v="1"/>
  </r>
  <r>
    <n v="1527"/>
    <n v="1761"/>
    <n v="0.33333333333333331"/>
    <x v="3"/>
    <d v="2024-04-29T00:00:00"/>
    <x v="0"/>
    <n v="14"/>
    <x v="1497"/>
    <x v="3"/>
    <x v="17"/>
    <n v="5"/>
    <n v="60"/>
    <n v="300"/>
    <n v="0"/>
  </r>
  <r>
    <n v="1528"/>
    <n v="1761"/>
    <n v="0.33333333333333331"/>
    <x v="3"/>
    <d v="2024-04-29T00:00:00"/>
    <x v="0"/>
    <n v="12"/>
    <x v="1498"/>
    <x v="1"/>
    <x v="12"/>
    <n v="1"/>
    <n v="1000"/>
    <n v="1000"/>
    <n v="0"/>
  </r>
  <r>
    <n v="1529"/>
    <n v="1762"/>
    <n v="0.5"/>
    <x v="3"/>
    <d v="2024-04-29T00:00:00"/>
    <x v="0"/>
    <n v="12"/>
    <x v="1499"/>
    <x v="1"/>
    <x v="12"/>
    <n v="5"/>
    <n v="1000"/>
    <n v="5000"/>
    <n v="1"/>
  </r>
  <r>
    <n v="1530"/>
    <n v="1762"/>
    <n v="0.5"/>
    <x v="3"/>
    <d v="2024-04-29T00:00:00"/>
    <x v="0"/>
    <n v="12"/>
    <x v="1500"/>
    <x v="1"/>
    <x v="12"/>
    <n v="2"/>
    <n v="1000"/>
    <n v="2000"/>
    <n v="0"/>
  </r>
  <r>
    <n v="1531"/>
    <n v="1763"/>
    <n v="1"/>
    <x v="3"/>
    <d v="2024-04-29T00:00:00"/>
    <x v="0"/>
    <n v="18"/>
    <x v="1501"/>
    <x v="2"/>
    <x v="10"/>
    <n v="4"/>
    <n v="30"/>
    <n v="120"/>
    <n v="1"/>
  </r>
  <r>
    <n v="1532"/>
    <n v="1764"/>
    <n v="0.33333333333333331"/>
    <x v="3"/>
    <d v="2024-04-29T00:00:00"/>
    <x v="0"/>
    <n v="17"/>
    <x v="1502"/>
    <x v="2"/>
    <x v="5"/>
    <n v="4"/>
    <n v="20"/>
    <n v="80"/>
    <n v="1"/>
  </r>
  <r>
    <n v="1533"/>
    <n v="1764"/>
    <n v="0.33333333333333331"/>
    <x v="3"/>
    <d v="2024-04-29T00:00:00"/>
    <x v="0"/>
    <n v="13"/>
    <x v="1503"/>
    <x v="3"/>
    <x v="18"/>
    <n v="2"/>
    <n v="45"/>
    <n v="90"/>
    <n v="0"/>
  </r>
  <r>
    <n v="1534"/>
    <n v="1764"/>
    <n v="0.33333333333333331"/>
    <x v="3"/>
    <d v="2024-04-29T00:00:00"/>
    <x v="0"/>
    <n v="9"/>
    <x v="45"/>
    <x v="2"/>
    <x v="11"/>
    <n v="5"/>
    <n v="35"/>
    <n v="175"/>
    <n v="0"/>
  </r>
  <r>
    <n v="1535"/>
    <n v="1765"/>
    <n v="0.5"/>
    <x v="3"/>
    <d v="2024-04-30T00:00:00"/>
    <x v="1"/>
    <n v="12"/>
    <x v="1504"/>
    <x v="2"/>
    <x v="5"/>
    <n v="1"/>
    <n v="20"/>
    <n v="20"/>
    <n v="1"/>
  </r>
  <r>
    <n v="1536"/>
    <n v="1765"/>
    <n v="0.5"/>
    <x v="3"/>
    <d v="2024-04-30T00:00:00"/>
    <x v="1"/>
    <n v="15"/>
    <x v="1505"/>
    <x v="1"/>
    <x v="2"/>
    <n v="2"/>
    <n v="680"/>
    <n v="1360"/>
    <n v="0"/>
  </r>
  <r>
    <n v="1537"/>
    <n v="1766"/>
    <n v="0.5"/>
    <x v="3"/>
    <d v="2024-04-30T00:00:00"/>
    <x v="1"/>
    <n v="19"/>
    <x v="1506"/>
    <x v="3"/>
    <x v="13"/>
    <n v="2"/>
    <n v="55"/>
    <n v="110"/>
    <n v="1"/>
  </r>
  <r>
    <n v="1538"/>
    <n v="1766"/>
    <n v="0.5"/>
    <x v="3"/>
    <d v="2024-04-30T00:00:00"/>
    <x v="1"/>
    <n v="18"/>
    <x v="1507"/>
    <x v="0"/>
    <x v="7"/>
    <n v="2"/>
    <n v="25"/>
    <n v="50"/>
    <n v="0"/>
  </r>
  <r>
    <n v="1539"/>
    <n v="1767"/>
    <n v="0.33333333333333331"/>
    <x v="3"/>
    <d v="2024-04-30T00:00:00"/>
    <x v="1"/>
    <n v="19"/>
    <x v="1508"/>
    <x v="1"/>
    <x v="3"/>
    <n v="4"/>
    <n v="700"/>
    <n v="2800"/>
    <n v="1"/>
  </r>
  <r>
    <n v="1540"/>
    <n v="1767"/>
    <n v="0.33333333333333331"/>
    <x v="3"/>
    <d v="2024-04-30T00:00:00"/>
    <x v="1"/>
    <n v="14"/>
    <x v="165"/>
    <x v="2"/>
    <x v="15"/>
    <n v="3"/>
    <n v="25"/>
    <n v="75"/>
    <n v="0"/>
  </r>
  <r>
    <n v="1541"/>
    <n v="1767"/>
    <n v="0.33333333333333331"/>
    <x v="3"/>
    <d v="2024-04-30T00:00:00"/>
    <x v="1"/>
    <n v="18"/>
    <x v="1509"/>
    <x v="2"/>
    <x v="11"/>
    <n v="5"/>
    <n v="35"/>
    <n v="175"/>
    <n v="0"/>
  </r>
  <r>
    <n v="1542"/>
    <n v="1768"/>
    <n v="0.5"/>
    <x v="3"/>
    <d v="2024-04-30T00:00:00"/>
    <x v="1"/>
    <n v="18"/>
    <x v="1510"/>
    <x v="1"/>
    <x v="4"/>
    <n v="1"/>
    <n v="600"/>
    <n v="600"/>
    <n v="1"/>
  </r>
  <r>
    <n v="1543"/>
    <n v="1768"/>
    <n v="0.5"/>
    <x v="3"/>
    <d v="2024-04-30T00:00:00"/>
    <x v="1"/>
    <n v="15"/>
    <x v="1511"/>
    <x v="3"/>
    <x v="6"/>
    <n v="2"/>
    <n v="50"/>
    <n v="100"/>
    <n v="0"/>
  </r>
  <r>
    <n v="1544"/>
    <n v="1769"/>
    <n v="1"/>
    <x v="3"/>
    <d v="2024-04-30T00:00:00"/>
    <x v="1"/>
    <n v="13"/>
    <x v="1512"/>
    <x v="2"/>
    <x v="10"/>
    <n v="1"/>
    <n v="30"/>
    <n v="30"/>
    <n v="1"/>
  </r>
  <r>
    <n v="1545"/>
    <n v="1770"/>
    <n v="1"/>
    <x v="3"/>
    <d v="2024-04-30T00:00:00"/>
    <x v="1"/>
    <n v="19"/>
    <x v="1513"/>
    <x v="1"/>
    <x v="12"/>
    <n v="5"/>
    <n v="1000"/>
    <n v="5000"/>
    <n v="1"/>
  </r>
  <r>
    <n v="1546"/>
    <n v="1771"/>
    <n v="0.33333333333333331"/>
    <x v="3"/>
    <d v="2024-04-30T00:00:00"/>
    <x v="1"/>
    <n v="19"/>
    <x v="1514"/>
    <x v="0"/>
    <x v="8"/>
    <n v="3"/>
    <n v="10"/>
    <n v="30"/>
    <n v="1"/>
  </r>
  <r>
    <n v="1547"/>
    <n v="1771"/>
    <n v="0.33333333333333331"/>
    <x v="3"/>
    <d v="2024-04-30T00:00:00"/>
    <x v="1"/>
    <n v="10"/>
    <x v="1515"/>
    <x v="1"/>
    <x v="12"/>
    <n v="4"/>
    <n v="1000"/>
    <n v="4000"/>
    <n v="0"/>
  </r>
  <r>
    <n v="1548"/>
    <n v="1771"/>
    <n v="0.33333333333333331"/>
    <x v="3"/>
    <d v="2024-04-30T00:00:00"/>
    <x v="1"/>
    <n v="10"/>
    <x v="1516"/>
    <x v="2"/>
    <x v="11"/>
    <n v="3"/>
    <n v="35"/>
    <n v="105"/>
    <n v="0"/>
  </r>
  <r>
    <n v="1549"/>
    <n v="1772"/>
    <n v="0.5"/>
    <x v="3"/>
    <d v="2024-04-30T00:00:00"/>
    <x v="1"/>
    <n v="13"/>
    <x v="1517"/>
    <x v="0"/>
    <x v="9"/>
    <n v="4"/>
    <n v="15"/>
    <n v="60"/>
    <n v="1"/>
  </r>
  <r>
    <n v="1550"/>
    <n v="1772"/>
    <n v="0.5"/>
    <x v="3"/>
    <d v="2024-04-30T00:00:00"/>
    <x v="1"/>
    <n v="11"/>
    <x v="1518"/>
    <x v="1"/>
    <x v="1"/>
    <n v="3"/>
    <n v="650"/>
    <n v="1950"/>
    <n v="0"/>
  </r>
  <r>
    <n v="1551"/>
    <n v="1773"/>
    <n v="1"/>
    <x v="4"/>
    <d v="2024-05-01T00:00:00"/>
    <x v="2"/>
    <n v="20"/>
    <x v="1519"/>
    <x v="2"/>
    <x v="11"/>
    <n v="5"/>
    <n v="35"/>
    <n v="175"/>
    <n v="1"/>
  </r>
  <r>
    <n v="1552"/>
    <n v="1774"/>
    <n v="0.33333333333333331"/>
    <x v="4"/>
    <d v="2024-05-01T00:00:00"/>
    <x v="2"/>
    <n v="11"/>
    <x v="1520"/>
    <x v="0"/>
    <x v="0"/>
    <n v="4"/>
    <n v="20"/>
    <n v="80"/>
    <n v="1"/>
  </r>
  <r>
    <n v="1553"/>
    <n v="1774"/>
    <n v="0.33333333333333331"/>
    <x v="4"/>
    <d v="2024-05-01T00:00:00"/>
    <x v="2"/>
    <n v="19"/>
    <x v="1521"/>
    <x v="2"/>
    <x v="5"/>
    <n v="3"/>
    <n v="20"/>
    <n v="60"/>
    <n v="0"/>
  </r>
  <r>
    <n v="1554"/>
    <n v="1774"/>
    <n v="0.33333333333333331"/>
    <x v="4"/>
    <d v="2024-05-01T00:00:00"/>
    <x v="2"/>
    <n v="18"/>
    <x v="1522"/>
    <x v="2"/>
    <x v="10"/>
    <n v="4"/>
    <n v="30"/>
    <n v="120"/>
    <n v="0"/>
  </r>
  <r>
    <n v="1555"/>
    <n v="1775"/>
    <n v="0.5"/>
    <x v="4"/>
    <d v="2024-05-01T00:00:00"/>
    <x v="2"/>
    <n v="14"/>
    <x v="1523"/>
    <x v="3"/>
    <x v="18"/>
    <n v="3"/>
    <n v="45"/>
    <n v="135"/>
    <n v="1"/>
  </r>
  <r>
    <n v="1556"/>
    <n v="1775"/>
    <n v="0.5"/>
    <x v="4"/>
    <d v="2024-05-01T00:00:00"/>
    <x v="2"/>
    <n v="10"/>
    <x v="1524"/>
    <x v="3"/>
    <x v="14"/>
    <n v="5"/>
    <n v="40"/>
    <n v="200"/>
    <n v="0"/>
  </r>
  <r>
    <n v="1557"/>
    <n v="1776"/>
    <n v="1"/>
    <x v="4"/>
    <d v="2024-05-01T00:00:00"/>
    <x v="2"/>
    <n v="16"/>
    <x v="5"/>
    <x v="1"/>
    <x v="3"/>
    <n v="3"/>
    <n v="700"/>
    <n v="2100"/>
    <n v="1"/>
  </r>
  <r>
    <n v="1558"/>
    <n v="1777"/>
    <n v="0.33333333333333331"/>
    <x v="4"/>
    <d v="2024-05-01T00:00:00"/>
    <x v="2"/>
    <n v="20"/>
    <x v="1525"/>
    <x v="2"/>
    <x v="11"/>
    <n v="2"/>
    <n v="35"/>
    <n v="70"/>
    <n v="1"/>
  </r>
  <r>
    <n v="1559"/>
    <n v="1777"/>
    <n v="0.33333333333333331"/>
    <x v="4"/>
    <d v="2024-05-01T00:00:00"/>
    <x v="2"/>
    <n v="19"/>
    <x v="1526"/>
    <x v="3"/>
    <x v="18"/>
    <n v="4"/>
    <n v="45"/>
    <n v="180"/>
    <n v="0"/>
  </r>
  <r>
    <n v="1560"/>
    <n v="1777"/>
    <n v="0.33333333333333331"/>
    <x v="4"/>
    <d v="2024-05-01T00:00:00"/>
    <x v="2"/>
    <n v="12"/>
    <x v="1527"/>
    <x v="1"/>
    <x v="2"/>
    <n v="2"/>
    <n v="680"/>
    <n v="1360"/>
    <n v="0"/>
  </r>
  <r>
    <n v="1561"/>
    <n v="1778"/>
    <n v="1"/>
    <x v="4"/>
    <d v="2024-05-02T00:00:00"/>
    <x v="3"/>
    <n v="17"/>
    <x v="1528"/>
    <x v="2"/>
    <x v="11"/>
    <n v="2"/>
    <n v="35"/>
    <n v="70"/>
    <n v="1"/>
  </r>
  <r>
    <n v="1562"/>
    <n v="1779"/>
    <n v="0.5"/>
    <x v="4"/>
    <d v="2024-05-02T00:00:00"/>
    <x v="3"/>
    <n v="17"/>
    <x v="1529"/>
    <x v="0"/>
    <x v="9"/>
    <n v="5"/>
    <n v="15"/>
    <n v="75"/>
    <n v="1"/>
  </r>
  <r>
    <n v="1563"/>
    <n v="1779"/>
    <n v="0.5"/>
    <x v="4"/>
    <d v="2024-05-02T00:00:00"/>
    <x v="3"/>
    <n v="9"/>
    <x v="1530"/>
    <x v="2"/>
    <x v="15"/>
    <n v="1"/>
    <n v="25"/>
    <n v="25"/>
    <n v="0"/>
  </r>
  <r>
    <n v="1564"/>
    <n v="1780"/>
    <n v="0.5"/>
    <x v="4"/>
    <d v="2024-05-02T00:00:00"/>
    <x v="3"/>
    <n v="13"/>
    <x v="1531"/>
    <x v="2"/>
    <x v="15"/>
    <n v="3"/>
    <n v="25"/>
    <n v="75"/>
    <n v="1"/>
  </r>
  <r>
    <n v="1565"/>
    <n v="1780"/>
    <n v="0.5"/>
    <x v="4"/>
    <d v="2024-05-02T00:00:00"/>
    <x v="3"/>
    <n v="17"/>
    <x v="1532"/>
    <x v="2"/>
    <x v="5"/>
    <n v="5"/>
    <n v="20"/>
    <n v="100"/>
    <n v="0"/>
  </r>
  <r>
    <n v="1566"/>
    <n v="1781"/>
    <n v="1"/>
    <x v="4"/>
    <d v="2024-05-02T00:00:00"/>
    <x v="3"/>
    <n v="13"/>
    <x v="1533"/>
    <x v="2"/>
    <x v="15"/>
    <n v="1"/>
    <n v="25"/>
    <n v="25"/>
    <n v="1"/>
  </r>
  <r>
    <n v="1567"/>
    <n v="1782"/>
    <n v="0.33333333333333331"/>
    <x v="4"/>
    <d v="2024-05-02T00:00:00"/>
    <x v="3"/>
    <n v="16"/>
    <x v="1534"/>
    <x v="0"/>
    <x v="9"/>
    <n v="4"/>
    <n v="15"/>
    <n v="60"/>
    <n v="1"/>
  </r>
  <r>
    <n v="1568"/>
    <n v="1782"/>
    <n v="0.33333333333333331"/>
    <x v="4"/>
    <d v="2024-05-02T00:00:00"/>
    <x v="3"/>
    <n v="19"/>
    <x v="1535"/>
    <x v="2"/>
    <x v="11"/>
    <n v="3"/>
    <n v="35"/>
    <n v="105"/>
    <n v="0"/>
  </r>
  <r>
    <n v="1569"/>
    <n v="1782"/>
    <n v="0.33333333333333331"/>
    <x v="4"/>
    <d v="2024-05-02T00:00:00"/>
    <x v="3"/>
    <n v="18"/>
    <x v="1536"/>
    <x v="3"/>
    <x v="14"/>
    <n v="5"/>
    <n v="40"/>
    <n v="200"/>
    <n v="0"/>
  </r>
  <r>
    <n v="1570"/>
    <n v="1783"/>
    <n v="0.5"/>
    <x v="4"/>
    <d v="2024-05-02T00:00:00"/>
    <x v="3"/>
    <n v="19"/>
    <x v="1537"/>
    <x v="3"/>
    <x v="14"/>
    <n v="5"/>
    <n v="40"/>
    <n v="200"/>
    <n v="1"/>
  </r>
  <r>
    <n v="1571"/>
    <n v="1783"/>
    <n v="0.5"/>
    <x v="4"/>
    <d v="2024-05-02T00:00:00"/>
    <x v="3"/>
    <n v="16"/>
    <x v="1538"/>
    <x v="3"/>
    <x v="17"/>
    <n v="2"/>
    <n v="60"/>
    <n v="120"/>
    <n v="0"/>
  </r>
  <r>
    <n v="1572"/>
    <n v="1784"/>
    <n v="1"/>
    <x v="4"/>
    <d v="2024-05-02T00:00:00"/>
    <x v="3"/>
    <n v="14"/>
    <x v="1539"/>
    <x v="1"/>
    <x v="4"/>
    <n v="4"/>
    <n v="600"/>
    <n v="2400"/>
    <n v="1"/>
  </r>
  <r>
    <n v="1573"/>
    <n v="1785"/>
    <n v="0.33333333333333331"/>
    <x v="4"/>
    <d v="2024-05-03T00:00:00"/>
    <x v="4"/>
    <n v="12"/>
    <x v="1540"/>
    <x v="0"/>
    <x v="8"/>
    <n v="3"/>
    <n v="10"/>
    <n v="30"/>
    <n v="1"/>
  </r>
  <r>
    <n v="1574"/>
    <n v="1785"/>
    <n v="0.33333333333333331"/>
    <x v="4"/>
    <d v="2024-05-03T00:00:00"/>
    <x v="4"/>
    <n v="14"/>
    <x v="1541"/>
    <x v="1"/>
    <x v="2"/>
    <n v="1"/>
    <n v="680"/>
    <n v="680"/>
    <n v="0"/>
  </r>
  <r>
    <n v="1575"/>
    <n v="1785"/>
    <n v="0.33333333333333331"/>
    <x v="4"/>
    <d v="2024-05-03T00:00:00"/>
    <x v="4"/>
    <n v="16"/>
    <x v="1542"/>
    <x v="1"/>
    <x v="12"/>
    <n v="5"/>
    <n v="1000"/>
    <n v="5000"/>
    <n v="0"/>
  </r>
  <r>
    <n v="1576"/>
    <n v="1786"/>
    <n v="0.33333333333333331"/>
    <x v="4"/>
    <d v="2024-05-03T00:00:00"/>
    <x v="4"/>
    <n v="19"/>
    <x v="1543"/>
    <x v="1"/>
    <x v="4"/>
    <n v="4"/>
    <n v="600"/>
    <n v="2400"/>
    <n v="1"/>
  </r>
  <r>
    <n v="1577"/>
    <n v="1786"/>
    <n v="0.33333333333333331"/>
    <x v="4"/>
    <d v="2024-05-03T00:00:00"/>
    <x v="4"/>
    <n v="19"/>
    <x v="1544"/>
    <x v="3"/>
    <x v="6"/>
    <n v="5"/>
    <n v="50"/>
    <n v="250"/>
    <n v="0"/>
  </r>
  <r>
    <n v="1578"/>
    <n v="1786"/>
    <n v="0.33333333333333331"/>
    <x v="4"/>
    <d v="2024-05-03T00:00:00"/>
    <x v="4"/>
    <n v="11"/>
    <x v="1545"/>
    <x v="2"/>
    <x v="15"/>
    <n v="2"/>
    <n v="25"/>
    <n v="50"/>
    <n v="0"/>
  </r>
  <r>
    <n v="1579"/>
    <n v="1787"/>
    <n v="1"/>
    <x v="4"/>
    <d v="2024-05-03T00:00:00"/>
    <x v="4"/>
    <n v="17"/>
    <x v="1546"/>
    <x v="2"/>
    <x v="10"/>
    <n v="1"/>
    <n v="30"/>
    <n v="30"/>
    <n v="1"/>
  </r>
  <r>
    <n v="1580"/>
    <n v="1788"/>
    <n v="0.33333333333333331"/>
    <x v="4"/>
    <d v="2024-05-03T00:00:00"/>
    <x v="4"/>
    <n v="9"/>
    <x v="1547"/>
    <x v="0"/>
    <x v="8"/>
    <n v="3"/>
    <n v="10"/>
    <n v="30"/>
    <n v="1"/>
  </r>
  <r>
    <n v="1581"/>
    <n v="1788"/>
    <n v="0.33333333333333331"/>
    <x v="4"/>
    <d v="2024-05-03T00:00:00"/>
    <x v="4"/>
    <n v="16"/>
    <x v="1548"/>
    <x v="1"/>
    <x v="12"/>
    <n v="4"/>
    <n v="1000"/>
    <n v="4000"/>
    <n v="0"/>
  </r>
  <r>
    <n v="1582"/>
    <n v="1788"/>
    <n v="0.33333333333333331"/>
    <x v="4"/>
    <d v="2024-05-03T00:00:00"/>
    <x v="4"/>
    <n v="16"/>
    <x v="1549"/>
    <x v="3"/>
    <x v="6"/>
    <n v="4"/>
    <n v="50"/>
    <n v="200"/>
    <n v="0"/>
  </r>
  <r>
    <n v="1583"/>
    <n v="1789"/>
    <n v="1"/>
    <x v="4"/>
    <d v="2024-05-03T00:00:00"/>
    <x v="4"/>
    <n v="13"/>
    <x v="1550"/>
    <x v="1"/>
    <x v="12"/>
    <n v="5"/>
    <n v="1000"/>
    <n v="5000"/>
    <n v="1"/>
  </r>
  <r>
    <n v="1584"/>
    <n v="1790"/>
    <n v="0.33333333333333331"/>
    <x v="4"/>
    <d v="2024-05-03T00:00:00"/>
    <x v="4"/>
    <n v="16"/>
    <x v="1551"/>
    <x v="0"/>
    <x v="8"/>
    <n v="4"/>
    <n v="10"/>
    <n v="40"/>
    <n v="1"/>
  </r>
  <r>
    <n v="1585"/>
    <n v="1790"/>
    <n v="0.33333333333333331"/>
    <x v="4"/>
    <d v="2024-05-03T00:00:00"/>
    <x v="4"/>
    <n v="19"/>
    <x v="1552"/>
    <x v="0"/>
    <x v="9"/>
    <n v="5"/>
    <n v="15"/>
    <n v="75"/>
    <n v="0"/>
  </r>
  <r>
    <n v="1586"/>
    <n v="1790"/>
    <n v="0.33333333333333331"/>
    <x v="4"/>
    <d v="2024-05-03T00:00:00"/>
    <x v="4"/>
    <n v="20"/>
    <x v="1553"/>
    <x v="3"/>
    <x v="6"/>
    <n v="1"/>
    <n v="50"/>
    <n v="50"/>
    <n v="0"/>
  </r>
  <r>
    <n v="1587"/>
    <n v="1791"/>
    <n v="0.33333333333333331"/>
    <x v="4"/>
    <d v="2024-05-03T00:00:00"/>
    <x v="4"/>
    <n v="19"/>
    <x v="1222"/>
    <x v="2"/>
    <x v="11"/>
    <n v="4"/>
    <n v="35"/>
    <n v="140"/>
    <n v="1"/>
  </r>
  <r>
    <n v="1588"/>
    <n v="1791"/>
    <n v="0.33333333333333331"/>
    <x v="4"/>
    <d v="2024-05-03T00:00:00"/>
    <x v="4"/>
    <n v="12"/>
    <x v="1554"/>
    <x v="1"/>
    <x v="12"/>
    <n v="2"/>
    <n v="1000"/>
    <n v="2000"/>
    <n v="0"/>
  </r>
  <r>
    <n v="1589"/>
    <n v="1791"/>
    <n v="0.33333333333333331"/>
    <x v="4"/>
    <d v="2024-05-03T00:00:00"/>
    <x v="4"/>
    <n v="17"/>
    <x v="1555"/>
    <x v="2"/>
    <x v="15"/>
    <n v="5"/>
    <n v="25"/>
    <n v="125"/>
    <n v="0"/>
  </r>
  <r>
    <n v="1590"/>
    <n v="1792"/>
    <n v="1"/>
    <x v="4"/>
    <d v="2024-05-03T00:00:00"/>
    <x v="4"/>
    <n v="9"/>
    <x v="1556"/>
    <x v="3"/>
    <x v="6"/>
    <n v="4"/>
    <n v="50"/>
    <n v="200"/>
    <n v="1"/>
  </r>
  <r>
    <n v="1591"/>
    <n v="1793"/>
    <n v="0.5"/>
    <x v="4"/>
    <d v="2024-05-04T00:00:00"/>
    <x v="5"/>
    <n v="9"/>
    <x v="1557"/>
    <x v="2"/>
    <x v="11"/>
    <n v="2"/>
    <n v="35"/>
    <n v="70"/>
    <n v="1"/>
  </r>
  <r>
    <n v="1592"/>
    <n v="1793"/>
    <n v="0.5"/>
    <x v="4"/>
    <d v="2024-05-04T00:00:00"/>
    <x v="5"/>
    <n v="17"/>
    <x v="1558"/>
    <x v="1"/>
    <x v="1"/>
    <n v="5"/>
    <n v="650"/>
    <n v="3250"/>
    <n v="0"/>
  </r>
  <r>
    <n v="1593"/>
    <n v="1794"/>
    <n v="1"/>
    <x v="4"/>
    <d v="2024-05-04T00:00:00"/>
    <x v="5"/>
    <n v="19"/>
    <x v="1559"/>
    <x v="2"/>
    <x v="11"/>
    <n v="1"/>
    <n v="35"/>
    <n v="35"/>
    <n v="1"/>
  </r>
  <r>
    <n v="1594"/>
    <n v="1795"/>
    <n v="0.5"/>
    <x v="4"/>
    <d v="2024-05-04T00:00:00"/>
    <x v="5"/>
    <n v="15"/>
    <x v="1560"/>
    <x v="0"/>
    <x v="16"/>
    <n v="3"/>
    <n v="5"/>
    <n v="15"/>
    <n v="1"/>
  </r>
  <r>
    <n v="1595"/>
    <n v="1795"/>
    <n v="0.5"/>
    <x v="4"/>
    <d v="2024-05-04T00:00:00"/>
    <x v="5"/>
    <n v="20"/>
    <x v="1561"/>
    <x v="2"/>
    <x v="15"/>
    <n v="2"/>
    <n v="25"/>
    <n v="50"/>
    <n v="0"/>
  </r>
  <r>
    <n v="1596"/>
    <n v="1796"/>
    <n v="0.5"/>
    <x v="4"/>
    <d v="2024-05-04T00:00:00"/>
    <x v="5"/>
    <n v="11"/>
    <x v="1562"/>
    <x v="1"/>
    <x v="2"/>
    <n v="1"/>
    <n v="680"/>
    <n v="680"/>
    <n v="1"/>
  </r>
  <r>
    <n v="1597"/>
    <n v="1796"/>
    <n v="0.5"/>
    <x v="4"/>
    <d v="2024-05-04T00:00:00"/>
    <x v="5"/>
    <n v="17"/>
    <x v="1563"/>
    <x v="0"/>
    <x v="9"/>
    <n v="2"/>
    <n v="15"/>
    <n v="30"/>
    <n v="0"/>
  </r>
  <r>
    <n v="1598"/>
    <n v="1797"/>
    <n v="0.5"/>
    <x v="4"/>
    <d v="2024-05-04T00:00:00"/>
    <x v="5"/>
    <n v="19"/>
    <x v="1564"/>
    <x v="2"/>
    <x v="15"/>
    <n v="1"/>
    <n v="25"/>
    <n v="25"/>
    <n v="1"/>
  </r>
  <r>
    <n v="1599"/>
    <n v="1797"/>
    <n v="0.5"/>
    <x v="4"/>
    <d v="2024-05-04T00:00:00"/>
    <x v="5"/>
    <n v="18"/>
    <x v="1565"/>
    <x v="0"/>
    <x v="8"/>
    <n v="3"/>
    <n v="10"/>
    <n v="30"/>
    <n v="0"/>
  </r>
  <r>
    <n v="1600"/>
    <n v="1798"/>
    <n v="0.5"/>
    <x v="4"/>
    <d v="2024-05-04T00:00:00"/>
    <x v="5"/>
    <n v="17"/>
    <x v="1566"/>
    <x v="1"/>
    <x v="4"/>
    <n v="1"/>
    <n v="600"/>
    <n v="600"/>
    <n v="1"/>
  </r>
  <r>
    <n v="1601"/>
    <n v="1798"/>
    <n v="0.5"/>
    <x v="4"/>
    <d v="2024-05-04T00:00:00"/>
    <x v="5"/>
    <n v="11"/>
    <x v="1567"/>
    <x v="0"/>
    <x v="9"/>
    <n v="1"/>
    <n v="15"/>
    <n v="15"/>
    <n v="0"/>
  </r>
  <r>
    <n v="1602"/>
    <n v="1799"/>
    <n v="1"/>
    <x v="4"/>
    <d v="2024-05-04T00:00:00"/>
    <x v="5"/>
    <n v="19"/>
    <x v="1568"/>
    <x v="1"/>
    <x v="1"/>
    <n v="1"/>
    <n v="650"/>
    <n v="650"/>
    <n v="1"/>
  </r>
  <r>
    <n v="1603"/>
    <n v="1800"/>
    <n v="0.33333333333333331"/>
    <x v="4"/>
    <d v="2024-05-04T00:00:00"/>
    <x v="5"/>
    <n v="10"/>
    <x v="1569"/>
    <x v="0"/>
    <x v="8"/>
    <n v="4"/>
    <n v="10"/>
    <n v="40"/>
    <n v="1"/>
  </r>
  <r>
    <n v="1604"/>
    <n v="1800"/>
    <n v="0.33333333333333331"/>
    <x v="4"/>
    <d v="2024-05-04T00:00:00"/>
    <x v="5"/>
    <n v="17"/>
    <x v="1570"/>
    <x v="3"/>
    <x v="13"/>
    <n v="1"/>
    <n v="55"/>
    <n v="55"/>
    <n v="0"/>
  </r>
  <r>
    <n v="1605"/>
    <n v="1800"/>
    <n v="0.33333333333333331"/>
    <x v="4"/>
    <d v="2024-05-04T00:00:00"/>
    <x v="5"/>
    <n v="20"/>
    <x v="1571"/>
    <x v="1"/>
    <x v="1"/>
    <n v="3"/>
    <n v="650"/>
    <n v="1950"/>
    <n v="0"/>
  </r>
  <r>
    <n v="1606"/>
    <n v="1801"/>
    <n v="0.5"/>
    <x v="4"/>
    <d v="2024-05-04T00:00:00"/>
    <x v="5"/>
    <n v="17"/>
    <x v="1572"/>
    <x v="3"/>
    <x v="13"/>
    <n v="5"/>
    <n v="55"/>
    <n v="275"/>
    <n v="1"/>
  </r>
  <r>
    <n v="1607"/>
    <n v="1801"/>
    <n v="0.5"/>
    <x v="4"/>
    <d v="2024-05-04T00:00:00"/>
    <x v="5"/>
    <n v="16"/>
    <x v="1573"/>
    <x v="1"/>
    <x v="2"/>
    <n v="2"/>
    <n v="680"/>
    <n v="1360"/>
    <n v="0"/>
  </r>
  <r>
    <n v="1608"/>
    <n v="1802"/>
    <n v="0.33333333333333331"/>
    <x v="4"/>
    <d v="2024-05-04T00:00:00"/>
    <x v="5"/>
    <n v="20"/>
    <x v="1574"/>
    <x v="0"/>
    <x v="16"/>
    <n v="4"/>
    <n v="5"/>
    <n v="20"/>
    <n v="1"/>
  </r>
  <r>
    <n v="1609"/>
    <n v="1802"/>
    <n v="0.33333333333333331"/>
    <x v="4"/>
    <d v="2024-05-04T00:00:00"/>
    <x v="5"/>
    <n v="12"/>
    <x v="1575"/>
    <x v="1"/>
    <x v="3"/>
    <n v="4"/>
    <n v="700"/>
    <n v="2800"/>
    <n v="0"/>
  </r>
  <r>
    <n v="1610"/>
    <n v="1802"/>
    <n v="0.33333333333333331"/>
    <x v="4"/>
    <d v="2024-05-04T00:00:00"/>
    <x v="5"/>
    <n v="20"/>
    <x v="1576"/>
    <x v="1"/>
    <x v="3"/>
    <n v="3"/>
    <n v="700"/>
    <n v="2100"/>
    <n v="0"/>
  </r>
  <r>
    <n v="1611"/>
    <n v="1803"/>
    <n v="1"/>
    <x v="4"/>
    <d v="2024-05-05T00:00:00"/>
    <x v="6"/>
    <n v="14"/>
    <x v="1577"/>
    <x v="2"/>
    <x v="10"/>
    <n v="4"/>
    <n v="30"/>
    <n v="120"/>
    <n v="1"/>
  </r>
  <r>
    <n v="1612"/>
    <n v="1804"/>
    <n v="1"/>
    <x v="4"/>
    <d v="2024-05-05T00:00:00"/>
    <x v="6"/>
    <n v="18"/>
    <x v="1578"/>
    <x v="1"/>
    <x v="3"/>
    <n v="1"/>
    <n v="700"/>
    <n v="700"/>
    <n v="1"/>
  </r>
  <r>
    <n v="1613"/>
    <n v="1805"/>
    <n v="0.5"/>
    <x v="4"/>
    <d v="2024-05-05T00:00:00"/>
    <x v="6"/>
    <n v="20"/>
    <x v="1579"/>
    <x v="3"/>
    <x v="13"/>
    <n v="4"/>
    <n v="55"/>
    <n v="220"/>
    <n v="1"/>
  </r>
  <r>
    <n v="1614"/>
    <n v="1805"/>
    <n v="0.5"/>
    <x v="4"/>
    <d v="2024-05-05T00:00:00"/>
    <x v="6"/>
    <n v="18"/>
    <x v="1580"/>
    <x v="2"/>
    <x v="15"/>
    <n v="2"/>
    <n v="25"/>
    <n v="50"/>
    <n v="0"/>
  </r>
  <r>
    <n v="1615"/>
    <n v="1806"/>
    <n v="0.33333333333333331"/>
    <x v="4"/>
    <d v="2024-05-05T00:00:00"/>
    <x v="6"/>
    <n v="10"/>
    <x v="1581"/>
    <x v="1"/>
    <x v="2"/>
    <n v="4"/>
    <n v="680"/>
    <n v="2720"/>
    <n v="1"/>
  </r>
  <r>
    <n v="1616"/>
    <n v="1806"/>
    <n v="0.33333333333333331"/>
    <x v="4"/>
    <d v="2024-05-05T00:00:00"/>
    <x v="6"/>
    <n v="19"/>
    <x v="1582"/>
    <x v="1"/>
    <x v="2"/>
    <n v="1"/>
    <n v="680"/>
    <n v="680"/>
    <n v="0"/>
  </r>
  <r>
    <n v="1617"/>
    <n v="1806"/>
    <n v="0.33333333333333331"/>
    <x v="4"/>
    <d v="2024-05-05T00:00:00"/>
    <x v="6"/>
    <n v="12"/>
    <x v="180"/>
    <x v="3"/>
    <x v="14"/>
    <n v="3"/>
    <n v="40"/>
    <n v="120"/>
    <n v="0"/>
  </r>
  <r>
    <n v="1618"/>
    <n v="1807"/>
    <n v="0.5"/>
    <x v="4"/>
    <d v="2024-05-05T00:00:00"/>
    <x v="6"/>
    <n v="19"/>
    <x v="1583"/>
    <x v="2"/>
    <x v="11"/>
    <n v="4"/>
    <n v="35"/>
    <n v="140"/>
    <n v="1"/>
  </r>
  <r>
    <n v="1619"/>
    <n v="1807"/>
    <n v="0.5"/>
    <x v="4"/>
    <d v="2024-05-05T00:00:00"/>
    <x v="6"/>
    <n v="19"/>
    <x v="1584"/>
    <x v="0"/>
    <x v="16"/>
    <n v="1"/>
    <n v="5"/>
    <n v="5"/>
    <n v="0"/>
  </r>
  <r>
    <n v="1620"/>
    <n v="1808"/>
    <n v="0.33333333333333331"/>
    <x v="4"/>
    <d v="2024-05-05T00:00:00"/>
    <x v="6"/>
    <n v="15"/>
    <x v="1585"/>
    <x v="1"/>
    <x v="2"/>
    <n v="4"/>
    <n v="680"/>
    <n v="2720"/>
    <n v="1"/>
  </r>
  <r>
    <n v="1621"/>
    <n v="1808"/>
    <n v="0.33333333333333331"/>
    <x v="4"/>
    <d v="2024-05-05T00:00:00"/>
    <x v="6"/>
    <n v="18"/>
    <x v="1586"/>
    <x v="1"/>
    <x v="1"/>
    <n v="3"/>
    <n v="650"/>
    <n v="1950"/>
    <n v="0"/>
  </r>
  <r>
    <n v="1622"/>
    <n v="1808"/>
    <n v="0.33333333333333331"/>
    <x v="4"/>
    <d v="2024-05-05T00:00:00"/>
    <x v="6"/>
    <n v="13"/>
    <x v="1587"/>
    <x v="2"/>
    <x v="10"/>
    <n v="2"/>
    <n v="30"/>
    <n v="60"/>
    <n v="0"/>
  </r>
  <r>
    <n v="1623"/>
    <n v="1809"/>
    <n v="1"/>
    <x v="4"/>
    <d v="2024-05-05T00:00:00"/>
    <x v="6"/>
    <n v="14"/>
    <x v="1588"/>
    <x v="1"/>
    <x v="2"/>
    <n v="4"/>
    <n v="680"/>
    <n v="2720"/>
    <n v="1"/>
  </r>
  <r>
    <n v="1624"/>
    <n v="1810"/>
    <n v="1"/>
    <x v="4"/>
    <d v="2024-05-05T00:00:00"/>
    <x v="6"/>
    <n v="11"/>
    <x v="1589"/>
    <x v="1"/>
    <x v="2"/>
    <n v="2"/>
    <n v="680"/>
    <n v="1360"/>
    <n v="1"/>
  </r>
  <r>
    <n v="1625"/>
    <n v="1811"/>
    <n v="1"/>
    <x v="4"/>
    <d v="2024-05-06T00:00:00"/>
    <x v="0"/>
    <n v="17"/>
    <x v="1590"/>
    <x v="0"/>
    <x v="9"/>
    <n v="5"/>
    <n v="15"/>
    <n v="75"/>
    <n v="1"/>
  </r>
  <r>
    <n v="1626"/>
    <n v="1812"/>
    <n v="0.33333333333333331"/>
    <x v="4"/>
    <d v="2024-05-06T00:00:00"/>
    <x v="0"/>
    <n v="10"/>
    <x v="1591"/>
    <x v="1"/>
    <x v="1"/>
    <n v="4"/>
    <n v="650"/>
    <n v="2600"/>
    <n v="1"/>
  </r>
  <r>
    <n v="1627"/>
    <n v="1812"/>
    <n v="0.33333333333333331"/>
    <x v="4"/>
    <d v="2024-05-06T00:00:00"/>
    <x v="0"/>
    <n v="11"/>
    <x v="1592"/>
    <x v="1"/>
    <x v="3"/>
    <n v="5"/>
    <n v="700"/>
    <n v="3500"/>
    <n v="0"/>
  </r>
  <r>
    <n v="1628"/>
    <n v="1812"/>
    <n v="0.33333333333333331"/>
    <x v="4"/>
    <d v="2024-05-06T00:00:00"/>
    <x v="0"/>
    <n v="20"/>
    <x v="1593"/>
    <x v="2"/>
    <x v="10"/>
    <n v="1"/>
    <n v="30"/>
    <n v="30"/>
    <n v="0"/>
  </r>
  <r>
    <n v="1629"/>
    <n v="1813"/>
    <n v="1"/>
    <x v="4"/>
    <d v="2024-05-06T00:00:00"/>
    <x v="0"/>
    <n v="11"/>
    <x v="1594"/>
    <x v="2"/>
    <x v="11"/>
    <n v="3"/>
    <n v="35"/>
    <n v="105"/>
    <n v="1"/>
  </r>
  <r>
    <n v="1630"/>
    <n v="1814"/>
    <n v="1"/>
    <x v="4"/>
    <d v="2024-05-06T00:00:00"/>
    <x v="0"/>
    <n v="15"/>
    <x v="1595"/>
    <x v="2"/>
    <x v="10"/>
    <n v="4"/>
    <n v="30"/>
    <n v="120"/>
    <n v="1"/>
  </r>
  <r>
    <n v="1631"/>
    <n v="1815"/>
    <n v="0.5"/>
    <x v="4"/>
    <d v="2024-05-06T00:00:00"/>
    <x v="0"/>
    <n v="12"/>
    <x v="1596"/>
    <x v="0"/>
    <x v="8"/>
    <n v="5"/>
    <n v="10"/>
    <n v="50"/>
    <n v="1"/>
  </r>
  <r>
    <n v="1632"/>
    <n v="1815"/>
    <n v="0.5"/>
    <x v="4"/>
    <d v="2024-05-06T00:00:00"/>
    <x v="0"/>
    <n v="20"/>
    <x v="1597"/>
    <x v="0"/>
    <x v="7"/>
    <n v="2"/>
    <n v="25"/>
    <n v="50"/>
    <n v="0"/>
  </r>
  <r>
    <n v="1633"/>
    <n v="1816"/>
    <n v="0.5"/>
    <x v="4"/>
    <d v="2024-05-06T00:00:00"/>
    <x v="0"/>
    <n v="12"/>
    <x v="1598"/>
    <x v="1"/>
    <x v="1"/>
    <n v="4"/>
    <n v="650"/>
    <n v="2600"/>
    <n v="1"/>
  </r>
  <r>
    <n v="1634"/>
    <n v="1816"/>
    <n v="0.5"/>
    <x v="4"/>
    <d v="2024-05-06T00:00:00"/>
    <x v="0"/>
    <n v="18"/>
    <x v="1599"/>
    <x v="2"/>
    <x v="10"/>
    <n v="5"/>
    <n v="30"/>
    <n v="150"/>
    <n v="0"/>
  </r>
  <r>
    <n v="1635"/>
    <n v="1817"/>
    <n v="0.5"/>
    <x v="4"/>
    <d v="2024-05-06T00:00:00"/>
    <x v="0"/>
    <n v="14"/>
    <x v="1600"/>
    <x v="1"/>
    <x v="12"/>
    <n v="4"/>
    <n v="1000"/>
    <n v="4000"/>
    <n v="1"/>
  </r>
  <r>
    <n v="1636"/>
    <n v="1817"/>
    <n v="0.5"/>
    <x v="4"/>
    <d v="2024-05-06T00:00:00"/>
    <x v="0"/>
    <n v="16"/>
    <x v="1601"/>
    <x v="2"/>
    <x v="15"/>
    <n v="5"/>
    <n v="25"/>
    <n v="125"/>
    <n v="0"/>
  </r>
  <r>
    <n v="1637"/>
    <n v="1818"/>
    <n v="1"/>
    <x v="4"/>
    <d v="2024-05-06T00:00:00"/>
    <x v="0"/>
    <n v="16"/>
    <x v="1602"/>
    <x v="1"/>
    <x v="4"/>
    <n v="3"/>
    <n v="600"/>
    <n v="1800"/>
    <n v="1"/>
  </r>
  <r>
    <n v="1638"/>
    <n v="1819"/>
    <n v="0.33333333333333331"/>
    <x v="4"/>
    <d v="2024-05-06T00:00:00"/>
    <x v="0"/>
    <n v="11"/>
    <x v="1603"/>
    <x v="3"/>
    <x v="18"/>
    <n v="1"/>
    <n v="45"/>
    <n v="45"/>
    <n v="1"/>
  </r>
  <r>
    <n v="1639"/>
    <n v="1819"/>
    <n v="0.33333333333333331"/>
    <x v="4"/>
    <d v="2024-05-06T00:00:00"/>
    <x v="0"/>
    <n v="13"/>
    <x v="1604"/>
    <x v="2"/>
    <x v="10"/>
    <n v="5"/>
    <n v="30"/>
    <n v="150"/>
    <n v="0"/>
  </r>
  <r>
    <n v="1640"/>
    <n v="1819"/>
    <n v="0.33333333333333331"/>
    <x v="4"/>
    <d v="2024-05-06T00:00:00"/>
    <x v="0"/>
    <n v="10"/>
    <x v="1605"/>
    <x v="2"/>
    <x v="11"/>
    <n v="4"/>
    <n v="35"/>
    <n v="140"/>
    <n v="0"/>
  </r>
  <r>
    <n v="1641"/>
    <n v="1820"/>
    <n v="0.5"/>
    <x v="4"/>
    <d v="2024-05-06T00:00:00"/>
    <x v="0"/>
    <n v="10"/>
    <x v="1606"/>
    <x v="1"/>
    <x v="4"/>
    <n v="5"/>
    <n v="600"/>
    <n v="3000"/>
    <n v="1"/>
  </r>
  <r>
    <n v="1642"/>
    <n v="1820"/>
    <n v="0.5"/>
    <x v="4"/>
    <d v="2024-05-06T00:00:00"/>
    <x v="0"/>
    <n v="19"/>
    <x v="1607"/>
    <x v="2"/>
    <x v="10"/>
    <n v="3"/>
    <n v="30"/>
    <n v="90"/>
    <n v="0"/>
  </r>
  <r>
    <n v="1643"/>
    <n v="1821"/>
    <n v="1"/>
    <x v="4"/>
    <d v="2024-05-07T00:00:00"/>
    <x v="1"/>
    <n v="11"/>
    <x v="1608"/>
    <x v="3"/>
    <x v="14"/>
    <n v="2"/>
    <n v="40"/>
    <n v="80"/>
    <n v="1"/>
  </r>
  <r>
    <n v="1644"/>
    <n v="1822"/>
    <n v="1"/>
    <x v="4"/>
    <d v="2024-05-07T00:00:00"/>
    <x v="1"/>
    <n v="18"/>
    <x v="1609"/>
    <x v="3"/>
    <x v="18"/>
    <n v="4"/>
    <n v="45"/>
    <n v="180"/>
    <n v="1"/>
  </r>
  <r>
    <n v="1645"/>
    <n v="1823"/>
    <n v="1"/>
    <x v="4"/>
    <d v="2024-05-07T00:00:00"/>
    <x v="1"/>
    <n v="16"/>
    <x v="1610"/>
    <x v="0"/>
    <x v="9"/>
    <n v="3"/>
    <n v="15"/>
    <n v="45"/>
    <n v="1"/>
  </r>
  <r>
    <n v="1646"/>
    <n v="1824"/>
    <n v="1"/>
    <x v="4"/>
    <d v="2024-05-07T00:00:00"/>
    <x v="1"/>
    <n v="17"/>
    <x v="1611"/>
    <x v="2"/>
    <x v="11"/>
    <n v="2"/>
    <n v="35"/>
    <n v="70"/>
    <n v="1"/>
  </r>
  <r>
    <n v="1647"/>
    <n v="1825"/>
    <n v="0.5"/>
    <x v="4"/>
    <d v="2024-05-08T00:00:00"/>
    <x v="2"/>
    <n v="18"/>
    <x v="1612"/>
    <x v="2"/>
    <x v="5"/>
    <n v="1"/>
    <n v="20"/>
    <n v="20"/>
    <n v="1"/>
  </r>
  <r>
    <n v="1648"/>
    <n v="1825"/>
    <n v="0.5"/>
    <x v="4"/>
    <d v="2024-05-08T00:00:00"/>
    <x v="2"/>
    <n v="16"/>
    <x v="1613"/>
    <x v="3"/>
    <x v="14"/>
    <n v="4"/>
    <n v="40"/>
    <n v="160"/>
    <n v="0"/>
  </r>
  <r>
    <n v="1649"/>
    <n v="1826"/>
    <n v="0.33333333333333331"/>
    <x v="4"/>
    <d v="2024-05-08T00:00:00"/>
    <x v="2"/>
    <n v="18"/>
    <x v="1614"/>
    <x v="3"/>
    <x v="14"/>
    <n v="3"/>
    <n v="40"/>
    <n v="120"/>
    <n v="1"/>
  </r>
  <r>
    <n v="1650"/>
    <n v="1826"/>
    <n v="0.33333333333333331"/>
    <x v="4"/>
    <d v="2024-05-08T00:00:00"/>
    <x v="2"/>
    <n v="12"/>
    <x v="1615"/>
    <x v="1"/>
    <x v="1"/>
    <n v="5"/>
    <n v="650"/>
    <n v="3250"/>
    <n v="0"/>
  </r>
  <r>
    <n v="1651"/>
    <n v="1826"/>
    <n v="0.33333333333333331"/>
    <x v="4"/>
    <d v="2024-05-08T00:00:00"/>
    <x v="2"/>
    <n v="12"/>
    <x v="1616"/>
    <x v="1"/>
    <x v="4"/>
    <n v="3"/>
    <n v="600"/>
    <n v="1800"/>
    <n v="0"/>
  </r>
  <r>
    <n v="1652"/>
    <n v="1827"/>
    <n v="0.33333333333333331"/>
    <x v="4"/>
    <d v="2024-05-08T00:00:00"/>
    <x v="2"/>
    <n v="9"/>
    <x v="1617"/>
    <x v="3"/>
    <x v="6"/>
    <n v="4"/>
    <n v="50"/>
    <n v="200"/>
    <n v="1"/>
  </r>
  <r>
    <n v="1653"/>
    <n v="1827"/>
    <n v="0.33333333333333331"/>
    <x v="4"/>
    <d v="2024-05-08T00:00:00"/>
    <x v="2"/>
    <n v="10"/>
    <x v="1618"/>
    <x v="1"/>
    <x v="2"/>
    <n v="4"/>
    <n v="680"/>
    <n v="2720"/>
    <n v="0"/>
  </r>
  <r>
    <n v="1654"/>
    <n v="1827"/>
    <n v="0.33333333333333331"/>
    <x v="4"/>
    <d v="2024-05-08T00:00:00"/>
    <x v="2"/>
    <n v="17"/>
    <x v="1619"/>
    <x v="0"/>
    <x v="8"/>
    <n v="5"/>
    <n v="10"/>
    <n v="50"/>
    <n v="0"/>
  </r>
  <r>
    <n v="1655"/>
    <n v="1828"/>
    <n v="0.33333333333333331"/>
    <x v="4"/>
    <d v="2024-05-08T00:00:00"/>
    <x v="2"/>
    <n v="12"/>
    <x v="1620"/>
    <x v="3"/>
    <x v="14"/>
    <n v="1"/>
    <n v="40"/>
    <n v="40"/>
    <n v="1"/>
  </r>
  <r>
    <n v="1656"/>
    <n v="1828"/>
    <n v="0.33333333333333331"/>
    <x v="4"/>
    <d v="2024-05-08T00:00:00"/>
    <x v="2"/>
    <n v="18"/>
    <x v="1621"/>
    <x v="3"/>
    <x v="17"/>
    <n v="5"/>
    <n v="60"/>
    <n v="300"/>
    <n v="0"/>
  </r>
  <r>
    <n v="1657"/>
    <n v="1828"/>
    <n v="0.33333333333333331"/>
    <x v="4"/>
    <d v="2024-05-08T00:00:00"/>
    <x v="2"/>
    <n v="12"/>
    <x v="1622"/>
    <x v="2"/>
    <x v="10"/>
    <n v="3"/>
    <n v="30"/>
    <n v="90"/>
    <n v="0"/>
  </r>
  <r>
    <n v="1658"/>
    <n v="1829"/>
    <n v="0.5"/>
    <x v="4"/>
    <d v="2024-05-08T00:00:00"/>
    <x v="2"/>
    <n v="15"/>
    <x v="1623"/>
    <x v="1"/>
    <x v="2"/>
    <n v="4"/>
    <n v="680"/>
    <n v="2720"/>
    <n v="1"/>
  </r>
  <r>
    <n v="1659"/>
    <n v="1829"/>
    <n v="0.5"/>
    <x v="4"/>
    <d v="2024-05-08T00:00:00"/>
    <x v="2"/>
    <n v="9"/>
    <x v="1624"/>
    <x v="3"/>
    <x v="18"/>
    <n v="3"/>
    <n v="45"/>
    <n v="135"/>
    <n v="0"/>
  </r>
  <r>
    <n v="1660"/>
    <n v="1830"/>
    <n v="0.33333333333333331"/>
    <x v="4"/>
    <d v="2024-05-08T00:00:00"/>
    <x v="2"/>
    <n v="17"/>
    <x v="1625"/>
    <x v="3"/>
    <x v="14"/>
    <n v="3"/>
    <n v="40"/>
    <n v="120"/>
    <n v="1"/>
  </r>
  <r>
    <n v="1661"/>
    <n v="1830"/>
    <n v="0.33333333333333331"/>
    <x v="4"/>
    <d v="2024-05-08T00:00:00"/>
    <x v="2"/>
    <n v="16"/>
    <x v="1626"/>
    <x v="1"/>
    <x v="12"/>
    <n v="2"/>
    <n v="1000"/>
    <n v="2000"/>
    <n v="0"/>
  </r>
  <r>
    <n v="1662"/>
    <n v="1830"/>
    <n v="0.33333333333333331"/>
    <x v="4"/>
    <d v="2024-05-08T00:00:00"/>
    <x v="2"/>
    <n v="11"/>
    <x v="1627"/>
    <x v="1"/>
    <x v="2"/>
    <n v="5"/>
    <n v="680"/>
    <n v="3400"/>
    <n v="0"/>
  </r>
  <r>
    <n v="1663"/>
    <n v="1831"/>
    <n v="0.5"/>
    <x v="4"/>
    <d v="2024-05-08T00:00:00"/>
    <x v="2"/>
    <n v="11"/>
    <x v="1628"/>
    <x v="0"/>
    <x v="16"/>
    <n v="5"/>
    <n v="5"/>
    <n v="25"/>
    <n v="1"/>
  </r>
  <r>
    <n v="1664"/>
    <n v="1831"/>
    <n v="0.5"/>
    <x v="4"/>
    <d v="2024-05-08T00:00:00"/>
    <x v="2"/>
    <n v="18"/>
    <x v="1629"/>
    <x v="2"/>
    <x v="11"/>
    <n v="3"/>
    <n v="35"/>
    <n v="105"/>
    <n v="0"/>
  </r>
  <r>
    <n v="1665"/>
    <n v="1832"/>
    <n v="0.33333333333333331"/>
    <x v="4"/>
    <d v="2024-05-08T00:00:00"/>
    <x v="2"/>
    <n v="16"/>
    <x v="1630"/>
    <x v="2"/>
    <x v="15"/>
    <n v="2"/>
    <n v="25"/>
    <n v="50"/>
    <n v="1"/>
  </r>
  <r>
    <n v="1666"/>
    <n v="1832"/>
    <n v="0.33333333333333331"/>
    <x v="4"/>
    <d v="2024-05-08T00:00:00"/>
    <x v="2"/>
    <n v="14"/>
    <x v="1631"/>
    <x v="0"/>
    <x v="8"/>
    <n v="2"/>
    <n v="10"/>
    <n v="20"/>
    <n v="0"/>
  </r>
  <r>
    <n v="1667"/>
    <n v="1832"/>
    <n v="0.33333333333333331"/>
    <x v="4"/>
    <d v="2024-05-08T00:00:00"/>
    <x v="2"/>
    <n v="16"/>
    <x v="1632"/>
    <x v="2"/>
    <x v="10"/>
    <n v="5"/>
    <n v="30"/>
    <n v="150"/>
    <n v="0"/>
  </r>
  <r>
    <n v="1668"/>
    <n v="1833"/>
    <n v="0.5"/>
    <x v="4"/>
    <d v="2024-05-08T00:00:00"/>
    <x v="2"/>
    <n v="10"/>
    <x v="1633"/>
    <x v="1"/>
    <x v="4"/>
    <n v="5"/>
    <n v="600"/>
    <n v="3000"/>
    <n v="1"/>
  </r>
  <r>
    <n v="1669"/>
    <n v="1833"/>
    <n v="0.5"/>
    <x v="4"/>
    <d v="2024-05-08T00:00:00"/>
    <x v="2"/>
    <n v="10"/>
    <x v="1634"/>
    <x v="3"/>
    <x v="14"/>
    <n v="4"/>
    <n v="40"/>
    <n v="160"/>
    <n v="0"/>
  </r>
  <r>
    <n v="1670"/>
    <n v="1834"/>
    <n v="0.5"/>
    <x v="4"/>
    <d v="2024-05-09T00:00:00"/>
    <x v="3"/>
    <n v="15"/>
    <x v="1635"/>
    <x v="3"/>
    <x v="18"/>
    <n v="1"/>
    <n v="45"/>
    <n v="45"/>
    <n v="1"/>
  </r>
  <r>
    <n v="1671"/>
    <n v="1834"/>
    <n v="0.5"/>
    <x v="4"/>
    <d v="2024-05-09T00:00:00"/>
    <x v="3"/>
    <n v="20"/>
    <x v="1636"/>
    <x v="1"/>
    <x v="3"/>
    <n v="2"/>
    <n v="700"/>
    <n v="1400"/>
    <n v="0"/>
  </r>
  <r>
    <n v="1672"/>
    <n v="1835"/>
    <n v="0.5"/>
    <x v="4"/>
    <d v="2024-05-09T00:00:00"/>
    <x v="3"/>
    <n v="11"/>
    <x v="1637"/>
    <x v="1"/>
    <x v="3"/>
    <n v="3"/>
    <n v="700"/>
    <n v="2100"/>
    <n v="1"/>
  </r>
  <r>
    <n v="1673"/>
    <n v="1835"/>
    <n v="0.5"/>
    <x v="4"/>
    <d v="2024-05-09T00:00:00"/>
    <x v="3"/>
    <n v="13"/>
    <x v="1638"/>
    <x v="2"/>
    <x v="15"/>
    <n v="3"/>
    <n v="25"/>
    <n v="75"/>
    <n v="0"/>
  </r>
  <r>
    <n v="1674"/>
    <n v="1836"/>
    <n v="0.5"/>
    <x v="4"/>
    <d v="2024-05-09T00:00:00"/>
    <x v="3"/>
    <n v="19"/>
    <x v="1639"/>
    <x v="1"/>
    <x v="1"/>
    <n v="5"/>
    <n v="650"/>
    <n v="3250"/>
    <n v="1"/>
  </r>
  <r>
    <n v="1675"/>
    <n v="1836"/>
    <n v="0.5"/>
    <x v="4"/>
    <d v="2024-05-09T00:00:00"/>
    <x v="3"/>
    <n v="13"/>
    <x v="1640"/>
    <x v="3"/>
    <x v="13"/>
    <n v="1"/>
    <n v="55"/>
    <n v="55"/>
    <n v="0"/>
  </r>
  <r>
    <n v="1676"/>
    <n v="1837"/>
    <n v="1"/>
    <x v="4"/>
    <d v="2024-05-09T00:00:00"/>
    <x v="3"/>
    <n v="18"/>
    <x v="1641"/>
    <x v="3"/>
    <x v="6"/>
    <n v="4"/>
    <n v="50"/>
    <n v="200"/>
    <n v="1"/>
  </r>
  <r>
    <n v="1677"/>
    <n v="1838"/>
    <n v="1"/>
    <x v="4"/>
    <d v="2024-05-09T00:00:00"/>
    <x v="3"/>
    <n v="15"/>
    <x v="1642"/>
    <x v="1"/>
    <x v="12"/>
    <n v="5"/>
    <n v="1000"/>
    <n v="5000"/>
    <n v="1"/>
  </r>
  <r>
    <n v="1678"/>
    <n v="1839"/>
    <n v="1"/>
    <x v="4"/>
    <d v="2024-05-10T00:00:00"/>
    <x v="4"/>
    <n v="10"/>
    <x v="1643"/>
    <x v="2"/>
    <x v="11"/>
    <n v="1"/>
    <n v="35"/>
    <n v="35"/>
    <n v="1"/>
  </r>
  <r>
    <n v="1679"/>
    <n v="1840"/>
    <n v="1"/>
    <x v="4"/>
    <d v="2024-05-10T00:00:00"/>
    <x v="4"/>
    <n v="17"/>
    <x v="1644"/>
    <x v="2"/>
    <x v="5"/>
    <n v="3"/>
    <n v="20"/>
    <n v="60"/>
    <n v="1"/>
  </r>
  <r>
    <n v="1680"/>
    <n v="1841"/>
    <n v="0.5"/>
    <x v="4"/>
    <d v="2024-05-10T00:00:00"/>
    <x v="4"/>
    <n v="9"/>
    <x v="1645"/>
    <x v="0"/>
    <x v="16"/>
    <n v="3"/>
    <n v="5"/>
    <n v="15"/>
    <n v="1"/>
  </r>
  <r>
    <n v="1681"/>
    <n v="1841"/>
    <n v="0.5"/>
    <x v="4"/>
    <d v="2024-05-10T00:00:00"/>
    <x v="4"/>
    <n v="10"/>
    <x v="1646"/>
    <x v="1"/>
    <x v="3"/>
    <n v="5"/>
    <n v="700"/>
    <n v="3500"/>
    <n v="0"/>
  </r>
  <r>
    <n v="1682"/>
    <n v="1842"/>
    <n v="0.33333333333333331"/>
    <x v="4"/>
    <d v="2024-05-10T00:00:00"/>
    <x v="4"/>
    <n v="15"/>
    <x v="1647"/>
    <x v="0"/>
    <x v="16"/>
    <n v="4"/>
    <n v="5"/>
    <n v="20"/>
    <n v="1"/>
  </r>
  <r>
    <n v="1683"/>
    <n v="1842"/>
    <n v="0.33333333333333331"/>
    <x v="4"/>
    <d v="2024-05-10T00:00:00"/>
    <x v="4"/>
    <n v="16"/>
    <x v="1648"/>
    <x v="1"/>
    <x v="2"/>
    <n v="4"/>
    <n v="680"/>
    <n v="2720"/>
    <n v="0"/>
  </r>
  <r>
    <n v="1684"/>
    <n v="1842"/>
    <n v="0.33333333333333331"/>
    <x v="4"/>
    <d v="2024-05-10T00:00:00"/>
    <x v="4"/>
    <n v="15"/>
    <x v="1649"/>
    <x v="3"/>
    <x v="13"/>
    <n v="2"/>
    <n v="55"/>
    <n v="110"/>
    <n v="0"/>
  </r>
  <r>
    <n v="1685"/>
    <n v="1843"/>
    <n v="0.33333333333333331"/>
    <x v="4"/>
    <d v="2024-05-10T00:00:00"/>
    <x v="4"/>
    <n v="9"/>
    <x v="1650"/>
    <x v="1"/>
    <x v="1"/>
    <n v="5"/>
    <n v="650"/>
    <n v="3250"/>
    <n v="1"/>
  </r>
  <r>
    <n v="1686"/>
    <n v="1843"/>
    <n v="0.33333333333333331"/>
    <x v="4"/>
    <d v="2024-05-10T00:00:00"/>
    <x v="4"/>
    <n v="18"/>
    <x v="1651"/>
    <x v="2"/>
    <x v="15"/>
    <n v="5"/>
    <n v="25"/>
    <n v="125"/>
    <n v="0"/>
  </r>
  <r>
    <n v="1687"/>
    <n v="1843"/>
    <n v="0.33333333333333331"/>
    <x v="4"/>
    <d v="2024-05-10T00:00:00"/>
    <x v="4"/>
    <n v="15"/>
    <x v="1652"/>
    <x v="2"/>
    <x v="15"/>
    <n v="2"/>
    <n v="25"/>
    <n v="50"/>
    <n v="0"/>
  </r>
  <r>
    <n v="1688"/>
    <n v="1844"/>
    <n v="1"/>
    <x v="4"/>
    <d v="2024-05-10T00:00:00"/>
    <x v="4"/>
    <n v="20"/>
    <x v="864"/>
    <x v="0"/>
    <x v="8"/>
    <n v="5"/>
    <n v="10"/>
    <n v="50"/>
    <n v="1"/>
  </r>
  <r>
    <n v="1689"/>
    <n v="1845"/>
    <n v="0.33333333333333331"/>
    <x v="4"/>
    <d v="2024-05-10T00:00:00"/>
    <x v="4"/>
    <n v="18"/>
    <x v="1653"/>
    <x v="2"/>
    <x v="15"/>
    <n v="1"/>
    <n v="25"/>
    <n v="25"/>
    <n v="1"/>
  </r>
  <r>
    <n v="1690"/>
    <n v="1845"/>
    <n v="0.33333333333333331"/>
    <x v="4"/>
    <d v="2024-05-10T00:00:00"/>
    <x v="4"/>
    <n v="20"/>
    <x v="1654"/>
    <x v="2"/>
    <x v="15"/>
    <n v="1"/>
    <n v="25"/>
    <n v="25"/>
    <n v="0"/>
  </r>
  <r>
    <n v="1691"/>
    <n v="1845"/>
    <n v="0.33333333333333331"/>
    <x v="4"/>
    <d v="2024-05-10T00:00:00"/>
    <x v="4"/>
    <n v="10"/>
    <x v="1655"/>
    <x v="0"/>
    <x v="7"/>
    <n v="3"/>
    <n v="25"/>
    <n v="75"/>
    <n v="0"/>
  </r>
  <r>
    <n v="1692"/>
    <n v="1846"/>
    <n v="1"/>
    <x v="4"/>
    <d v="2024-05-10T00:00:00"/>
    <x v="4"/>
    <n v="11"/>
    <x v="1656"/>
    <x v="0"/>
    <x v="0"/>
    <n v="4"/>
    <n v="20"/>
    <n v="80"/>
    <n v="1"/>
  </r>
  <r>
    <n v="1693"/>
    <n v="1847"/>
    <n v="0.5"/>
    <x v="4"/>
    <d v="2024-05-11T00:00:00"/>
    <x v="5"/>
    <n v="18"/>
    <x v="1657"/>
    <x v="2"/>
    <x v="10"/>
    <n v="1"/>
    <n v="30"/>
    <n v="30"/>
    <n v="1"/>
  </r>
  <r>
    <n v="1694"/>
    <n v="1847"/>
    <n v="0.5"/>
    <x v="4"/>
    <d v="2024-05-11T00:00:00"/>
    <x v="5"/>
    <n v="9"/>
    <x v="1658"/>
    <x v="2"/>
    <x v="10"/>
    <n v="4"/>
    <n v="30"/>
    <n v="120"/>
    <n v="0"/>
  </r>
  <r>
    <n v="1695"/>
    <n v="1848"/>
    <n v="1"/>
    <x v="4"/>
    <d v="2024-05-11T00:00:00"/>
    <x v="5"/>
    <n v="19"/>
    <x v="1659"/>
    <x v="0"/>
    <x v="0"/>
    <n v="3"/>
    <n v="20"/>
    <n v="60"/>
    <n v="1"/>
  </r>
  <r>
    <n v="1696"/>
    <n v="1849"/>
    <n v="0.33333333333333331"/>
    <x v="4"/>
    <d v="2024-05-11T00:00:00"/>
    <x v="5"/>
    <n v="17"/>
    <x v="1202"/>
    <x v="0"/>
    <x v="8"/>
    <n v="4"/>
    <n v="10"/>
    <n v="40"/>
    <n v="1"/>
  </r>
  <r>
    <n v="1697"/>
    <n v="1849"/>
    <n v="0.33333333333333331"/>
    <x v="4"/>
    <d v="2024-05-11T00:00:00"/>
    <x v="5"/>
    <n v="18"/>
    <x v="1660"/>
    <x v="0"/>
    <x v="0"/>
    <n v="2"/>
    <n v="20"/>
    <n v="40"/>
    <n v="0"/>
  </r>
  <r>
    <n v="1698"/>
    <n v="1849"/>
    <n v="0.33333333333333331"/>
    <x v="4"/>
    <d v="2024-05-11T00:00:00"/>
    <x v="5"/>
    <n v="11"/>
    <x v="1661"/>
    <x v="1"/>
    <x v="1"/>
    <n v="2"/>
    <n v="650"/>
    <n v="1300"/>
    <n v="0"/>
  </r>
  <r>
    <n v="1699"/>
    <n v="1850"/>
    <n v="0.33333333333333331"/>
    <x v="4"/>
    <d v="2024-05-11T00:00:00"/>
    <x v="5"/>
    <n v="13"/>
    <x v="1662"/>
    <x v="1"/>
    <x v="1"/>
    <n v="2"/>
    <n v="650"/>
    <n v="1300"/>
    <n v="1"/>
  </r>
  <r>
    <n v="1700"/>
    <n v="1850"/>
    <n v="0.33333333333333331"/>
    <x v="4"/>
    <d v="2024-05-11T00:00:00"/>
    <x v="5"/>
    <n v="11"/>
    <x v="1589"/>
    <x v="3"/>
    <x v="6"/>
    <n v="1"/>
    <n v="50"/>
    <n v="50"/>
    <n v="0"/>
  </r>
  <r>
    <n v="1701"/>
    <n v="1850"/>
    <n v="0.33333333333333331"/>
    <x v="4"/>
    <d v="2024-05-11T00:00:00"/>
    <x v="5"/>
    <n v="14"/>
    <x v="1663"/>
    <x v="3"/>
    <x v="13"/>
    <n v="2"/>
    <n v="55"/>
    <n v="110"/>
    <n v="0"/>
  </r>
  <r>
    <n v="1702"/>
    <n v="1851"/>
    <n v="0.33333333333333331"/>
    <x v="4"/>
    <d v="2024-05-11T00:00:00"/>
    <x v="5"/>
    <n v="12"/>
    <x v="785"/>
    <x v="3"/>
    <x v="6"/>
    <n v="1"/>
    <n v="50"/>
    <n v="50"/>
    <n v="1"/>
  </r>
  <r>
    <n v="1703"/>
    <n v="1851"/>
    <n v="0.33333333333333331"/>
    <x v="4"/>
    <d v="2024-05-11T00:00:00"/>
    <x v="5"/>
    <n v="11"/>
    <x v="1664"/>
    <x v="0"/>
    <x v="9"/>
    <n v="2"/>
    <n v="15"/>
    <n v="30"/>
    <n v="0"/>
  </r>
  <r>
    <n v="1704"/>
    <n v="1851"/>
    <n v="0.33333333333333331"/>
    <x v="4"/>
    <d v="2024-05-11T00:00:00"/>
    <x v="5"/>
    <n v="19"/>
    <x v="1665"/>
    <x v="2"/>
    <x v="10"/>
    <n v="3"/>
    <n v="30"/>
    <n v="90"/>
    <n v="0"/>
  </r>
  <r>
    <n v="1705"/>
    <n v="1852"/>
    <n v="0.5"/>
    <x v="4"/>
    <d v="2024-05-11T00:00:00"/>
    <x v="5"/>
    <n v="19"/>
    <x v="1666"/>
    <x v="1"/>
    <x v="3"/>
    <n v="4"/>
    <n v="700"/>
    <n v="2800"/>
    <n v="1"/>
  </r>
  <r>
    <n v="1706"/>
    <n v="1852"/>
    <n v="0.5"/>
    <x v="4"/>
    <d v="2024-05-11T00:00:00"/>
    <x v="5"/>
    <n v="10"/>
    <x v="1667"/>
    <x v="0"/>
    <x v="8"/>
    <n v="5"/>
    <n v="10"/>
    <n v="50"/>
    <n v="0"/>
  </r>
  <r>
    <n v="1707"/>
    <n v="1853"/>
    <n v="0.33333333333333331"/>
    <x v="4"/>
    <d v="2024-05-12T00:00:00"/>
    <x v="6"/>
    <n v="16"/>
    <x v="1668"/>
    <x v="2"/>
    <x v="10"/>
    <n v="5"/>
    <n v="30"/>
    <n v="150"/>
    <n v="1"/>
  </r>
  <r>
    <n v="1708"/>
    <n v="1853"/>
    <n v="0.33333333333333331"/>
    <x v="4"/>
    <d v="2024-05-12T00:00:00"/>
    <x v="6"/>
    <n v="13"/>
    <x v="1669"/>
    <x v="2"/>
    <x v="11"/>
    <n v="5"/>
    <n v="35"/>
    <n v="175"/>
    <n v="0"/>
  </r>
  <r>
    <n v="1709"/>
    <n v="1853"/>
    <n v="0.33333333333333331"/>
    <x v="4"/>
    <d v="2024-05-12T00:00:00"/>
    <x v="6"/>
    <n v="20"/>
    <x v="1670"/>
    <x v="3"/>
    <x v="17"/>
    <n v="2"/>
    <n v="60"/>
    <n v="120"/>
    <n v="0"/>
  </r>
  <r>
    <n v="1710"/>
    <n v="1854"/>
    <n v="0.33333333333333331"/>
    <x v="4"/>
    <d v="2024-05-12T00:00:00"/>
    <x v="6"/>
    <n v="16"/>
    <x v="1671"/>
    <x v="2"/>
    <x v="5"/>
    <n v="2"/>
    <n v="20"/>
    <n v="40"/>
    <n v="1"/>
  </r>
  <r>
    <n v="1711"/>
    <n v="1854"/>
    <n v="0.33333333333333331"/>
    <x v="4"/>
    <d v="2024-05-12T00:00:00"/>
    <x v="6"/>
    <n v="19"/>
    <x v="1672"/>
    <x v="0"/>
    <x v="16"/>
    <n v="5"/>
    <n v="5"/>
    <n v="25"/>
    <n v="0"/>
  </r>
  <r>
    <n v="1712"/>
    <n v="1854"/>
    <n v="0.33333333333333331"/>
    <x v="4"/>
    <d v="2024-05-12T00:00:00"/>
    <x v="6"/>
    <n v="12"/>
    <x v="1673"/>
    <x v="3"/>
    <x v="14"/>
    <n v="1"/>
    <n v="40"/>
    <n v="40"/>
    <n v="0"/>
  </r>
  <r>
    <n v="1713"/>
    <n v="1855"/>
    <n v="0.5"/>
    <x v="4"/>
    <d v="2024-05-12T00:00:00"/>
    <x v="6"/>
    <n v="9"/>
    <x v="1674"/>
    <x v="1"/>
    <x v="4"/>
    <n v="4"/>
    <n v="600"/>
    <n v="2400"/>
    <n v="1"/>
  </r>
  <r>
    <n v="1714"/>
    <n v="1855"/>
    <n v="0.5"/>
    <x v="4"/>
    <d v="2024-05-12T00:00:00"/>
    <x v="6"/>
    <n v="10"/>
    <x v="1675"/>
    <x v="3"/>
    <x v="6"/>
    <n v="3"/>
    <n v="50"/>
    <n v="150"/>
    <n v="0"/>
  </r>
  <r>
    <n v="1715"/>
    <n v="1856"/>
    <n v="0.5"/>
    <x v="4"/>
    <d v="2024-05-13T00:00:00"/>
    <x v="0"/>
    <n v="13"/>
    <x v="1676"/>
    <x v="3"/>
    <x v="14"/>
    <n v="5"/>
    <n v="40"/>
    <n v="200"/>
    <n v="1"/>
  </r>
  <r>
    <n v="1716"/>
    <n v="1856"/>
    <n v="0.5"/>
    <x v="4"/>
    <d v="2024-05-13T00:00:00"/>
    <x v="0"/>
    <n v="11"/>
    <x v="1677"/>
    <x v="2"/>
    <x v="15"/>
    <n v="4"/>
    <n v="25"/>
    <n v="100"/>
    <n v="0"/>
  </r>
  <r>
    <n v="1717"/>
    <n v="1857"/>
    <n v="1"/>
    <x v="4"/>
    <d v="2024-05-13T00:00:00"/>
    <x v="0"/>
    <n v="19"/>
    <x v="1678"/>
    <x v="0"/>
    <x v="9"/>
    <n v="3"/>
    <n v="15"/>
    <n v="45"/>
    <n v="1"/>
  </r>
  <r>
    <n v="1718"/>
    <n v="1858"/>
    <n v="0.5"/>
    <x v="4"/>
    <d v="2024-05-13T00:00:00"/>
    <x v="0"/>
    <n v="12"/>
    <x v="1679"/>
    <x v="0"/>
    <x v="9"/>
    <n v="4"/>
    <n v="15"/>
    <n v="60"/>
    <n v="1"/>
  </r>
  <r>
    <n v="1719"/>
    <n v="1858"/>
    <n v="0.5"/>
    <x v="4"/>
    <d v="2024-05-13T00:00:00"/>
    <x v="0"/>
    <n v="18"/>
    <x v="1680"/>
    <x v="3"/>
    <x v="14"/>
    <n v="5"/>
    <n v="40"/>
    <n v="200"/>
    <n v="0"/>
  </r>
  <r>
    <n v="1720"/>
    <n v="1859"/>
    <n v="0.5"/>
    <x v="4"/>
    <d v="2024-05-13T00:00:00"/>
    <x v="0"/>
    <n v="9"/>
    <x v="1681"/>
    <x v="3"/>
    <x v="18"/>
    <n v="4"/>
    <n v="45"/>
    <n v="180"/>
    <n v="1"/>
  </r>
  <r>
    <n v="1721"/>
    <n v="1859"/>
    <n v="0.5"/>
    <x v="4"/>
    <d v="2024-05-13T00:00:00"/>
    <x v="0"/>
    <n v="18"/>
    <x v="1682"/>
    <x v="1"/>
    <x v="4"/>
    <n v="1"/>
    <n v="600"/>
    <n v="600"/>
    <n v="0"/>
  </r>
  <r>
    <n v="1722"/>
    <n v="1860"/>
    <n v="1"/>
    <x v="4"/>
    <d v="2024-05-14T00:00:00"/>
    <x v="1"/>
    <n v="18"/>
    <x v="1683"/>
    <x v="0"/>
    <x v="16"/>
    <n v="2"/>
    <n v="5"/>
    <n v="10"/>
    <n v="1"/>
  </r>
  <r>
    <n v="1723"/>
    <n v="1861"/>
    <n v="0.33333333333333331"/>
    <x v="4"/>
    <d v="2024-05-14T00:00:00"/>
    <x v="1"/>
    <n v="18"/>
    <x v="1684"/>
    <x v="1"/>
    <x v="4"/>
    <n v="5"/>
    <n v="600"/>
    <n v="3000"/>
    <n v="1"/>
  </r>
  <r>
    <n v="1724"/>
    <n v="1861"/>
    <n v="0.33333333333333331"/>
    <x v="4"/>
    <d v="2024-05-14T00:00:00"/>
    <x v="1"/>
    <n v="18"/>
    <x v="1685"/>
    <x v="2"/>
    <x v="11"/>
    <n v="5"/>
    <n v="35"/>
    <n v="175"/>
    <n v="0"/>
  </r>
  <r>
    <n v="1725"/>
    <n v="1861"/>
    <n v="0.33333333333333331"/>
    <x v="4"/>
    <d v="2024-05-14T00:00:00"/>
    <x v="1"/>
    <n v="18"/>
    <x v="1686"/>
    <x v="2"/>
    <x v="5"/>
    <n v="3"/>
    <n v="20"/>
    <n v="60"/>
    <n v="0"/>
  </r>
  <r>
    <n v="1726"/>
    <n v="1862"/>
    <n v="0.33333333333333331"/>
    <x v="4"/>
    <d v="2024-05-14T00:00:00"/>
    <x v="1"/>
    <n v="12"/>
    <x v="1687"/>
    <x v="0"/>
    <x v="7"/>
    <n v="1"/>
    <n v="25"/>
    <n v="25"/>
    <n v="1"/>
  </r>
  <r>
    <n v="1727"/>
    <n v="1862"/>
    <n v="0.33333333333333331"/>
    <x v="4"/>
    <d v="2024-05-14T00:00:00"/>
    <x v="1"/>
    <n v="18"/>
    <x v="1688"/>
    <x v="0"/>
    <x v="9"/>
    <n v="2"/>
    <n v="15"/>
    <n v="30"/>
    <n v="0"/>
  </r>
  <r>
    <n v="1728"/>
    <n v="1862"/>
    <n v="0.33333333333333331"/>
    <x v="4"/>
    <d v="2024-05-14T00:00:00"/>
    <x v="1"/>
    <n v="20"/>
    <x v="1689"/>
    <x v="1"/>
    <x v="3"/>
    <n v="2"/>
    <n v="700"/>
    <n v="1400"/>
    <n v="0"/>
  </r>
  <r>
    <n v="1729"/>
    <n v="1863"/>
    <n v="1"/>
    <x v="4"/>
    <d v="2024-05-14T00:00:00"/>
    <x v="1"/>
    <n v="11"/>
    <x v="1690"/>
    <x v="1"/>
    <x v="1"/>
    <n v="2"/>
    <n v="650"/>
    <n v="1300"/>
    <n v="1"/>
  </r>
  <r>
    <n v="1730"/>
    <n v="1864"/>
    <n v="1"/>
    <x v="4"/>
    <d v="2024-05-14T00:00:00"/>
    <x v="1"/>
    <n v="19"/>
    <x v="1691"/>
    <x v="3"/>
    <x v="13"/>
    <n v="1"/>
    <n v="55"/>
    <n v="55"/>
    <n v="1"/>
  </r>
  <r>
    <n v="1731"/>
    <n v="1865"/>
    <n v="0.33333333333333331"/>
    <x v="4"/>
    <d v="2024-05-14T00:00:00"/>
    <x v="1"/>
    <n v="15"/>
    <x v="1692"/>
    <x v="3"/>
    <x v="18"/>
    <n v="3"/>
    <n v="45"/>
    <n v="135"/>
    <n v="1"/>
  </r>
  <r>
    <n v="1732"/>
    <n v="1865"/>
    <n v="0.33333333333333331"/>
    <x v="4"/>
    <d v="2024-05-14T00:00:00"/>
    <x v="1"/>
    <n v="12"/>
    <x v="1693"/>
    <x v="0"/>
    <x v="9"/>
    <n v="5"/>
    <n v="15"/>
    <n v="75"/>
    <n v="0"/>
  </r>
  <r>
    <n v="1733"/>
    <n v="1865"/>
    <n v="0.33333333333333331"/>
    <x v="4"/>
    <d v="2024-05-14T00:00:00"/>
    <x v="1"/>
    <n v="19"/>
    <x v="1694"/>
    <x v="1"/>
    <x v="12"/>
    <n v="4"/>
    <n v="1000"/>
    <n v="4000"/>
    <n v="0"/>
  </r>
  <r>
    <n v="1734"/>
    <n v="1866"/>
    <n v="1"/>
    <x v="4"/>
    <d v="2024-05-14T00:00:00"/>
    <x v="1"/>
    <n v="11"/>
    <x v="1695"/>
    <x v="0"/>
    <x v="7"/>
    <n v="3"/>
    <n v="25"/>
    <n v="75"/>
    <n v="1"/>
  </r>
  <r>
    <n v="1735"/>
    <n v="1867"/>
    <n v="0.33333333333333331"/>
    <x v="4"/>
    <d v="2024-05-14T00:00:00"/>
    <x v="1"/>
    <n v="15"/>
    <x v="1696"/>
    <x v="3"/>
    <x v="17"/>
    <n v="3"/>
    <n v="60"/>
    <n v="180"/>
    <n v="1"/>
  </r>
  <r>
    <n v="1736"/>
    <n v="1867"/>
    <n v="0.33333333333333331"/>
    <x v="4"/>
    <d v="2024-05-14T00:00:00"/>
    <x v="1"/>
    <n v="9"/>
    <x v="1409"/>
    <x v="0"/>
    <x v="8"/>
    <n v="4"/>
    <n v="10"/>
    <n v="40"/>
    <n v="0"/>
  </r>
  <r>
    <n v="1737"/>
    <n v="1867"/>
    <n v="0.33333333333333331"/>
    <x v="4"/>
    <d v="2024-05-14T00:00:00"/>
    <x v="1"/>
    <n v="13"/>
    <x v="1697"/>
    <x v="3"/>
    <x v="6"/>
    <n v="1"/>
    <n v="50"/>
    <n v="50"/>
    <n v="0"/>
  </r>
  <r>
    <n v="1738"/>
    <n v="1868"/>
    <n v="0.5"/>
    <x v="4"/>
    <d v="2024-05-15T00:00:00"/>
    <x v="2"/>
    <n v="12"/>
    <x v="1698"/>
    <x v="1"/>
    <x v="1"/>
    <n v="4"/>
    <n v="650"/>
    <n v="2600"/>
    <n v="1"/>
  </r>
  <r>
    <n v="1739"/>
    <n v="1868"/>
    <n v="0.5"/>
    <x v="4"/>
    <d v="2024-05-15T00:00:00"/>
    <x v="2"/>
    <n v="15"/>
    <x v="1699"/>
    <x v="3"/>
    <x v="17"/>
    <n v="5"/>
    <n v="60"/>
    <n v="300"/>
    <n v="0"/>
  </r>
  <r>
    <n v="1740"/>
    <n v="1869"/>
    <n v="0.5"/>
    <x v="4"/>
    <d v="2024-05-15T00:00:00"/>
    <x v="2"/>
    <n v="20"/>
    <x v="1700"/>
    <x v="3"/>
    <x v="13"/>
    <n v="1"/>
    <n v="55"/>
    <n v="55"/>
    <n v="1"/>
  </r>
  <r>
    <n v="1741"/>
    <n v="1869"/>
    <n v="0.5"/>
    <x v="4"/>
    <d v="2024-05-15T00:00:00"/>
    <x v="2"/>
    <n v="14"/>
    <x v="1701"/>
    <x v="2"/>
    <x v="15"/>
    <n v="2"/>
    <n v="25"/>
    <n v="50"/>
    <n v="0"/>
  </r>
  <r>
    <n v="1742"/>
    <n v="1870"/>
    <n v="0.33333333333333331"/>
    <x v="4"/>
    <d v="2024-05-15T00:00:00"/>
    <x v="2"/>
    <n v="15"/>
    <x v="1702"/>
    <x v="3"/>
    <x v="18"/>
    <n v="4"/>
    <n v="45"/>
    <n v="180"/>
    <n v="1"/>
  </r>
  <r>
    <n v="1743"/>
    <n v="1870"/>
    <n v="0.33333333333333331"/>
    <x v="4"/>
    <d v="2024-05-15T00:00:00"/>
    <x v="2"/>
    <n v="10"/>
    <x v="1703"/>
    <x v="1"/>
    <x v="12"/>
    <n v="5"/>
    <n v="1000"/>
    <n v="5000"/>
    <n v="0"/>
  </r>
  <r>
    <n v="1744"/>
    <n v="1870"/>
    <n v="0.33333333333333331"/>
    <x v="4"/>
    <d v="2024-05-15T00:00:00"/>
    <x v="2"/>
    <n v="9"/>
    <x v="1704"/>
    <x v="0"/>
    <x v="0"/>
    <n v="2"/>
    <n v="20"/>
    <n v="40"/>
    <n v="0"/>
  </r>
  <r>
    <n v="1745"/>
    <n v="1871"/>
    <n v="0.5"/>
    <x v="4"/>
    <d v="2024-05-15T00:00:00"/>
    <x v="2"/>
    <n v="13"/>
    <x v="1705"/>
    <x v="2"/>
    <x v="5"/>
    <n v="1"/>
    <n v="20"/>
    <n v="20"/>
    <n v="1"/>
  </r>
  <r>
    <n v="1746"/>
    <n v="1871"/>
    <n v="0.5"/>
    <x v="4"/>
    <d v="2024-05-15T00:00:00"/>
    <x v="2"/>
    <n v="12"/>
    <x v="1706"/>
    <x v="1"/>
    <x v="4"/>
    <n v="1"/>
    <n v="600"/>
    <n v="600"/>
    <n v="0"/>
  </r>
  <r>
    <n v="1747"/>
    <n v="1872"/>
    <n v="0.33333333333333331"/>
    <x v="4"/>
    <d v="2024-05-15T00:00:00"/>
    <x v="2"/>
    <n v="18"/>
    <x v="1707"/>
    <x v="2"/>
    <x v="5"/>
    <n v="2"/>
    <n v="20"/>
    <n v="40"/>
    <n v="1"/>
  </r>
  <r>
    <n v="1748"/>
    <n v="1872"/>
    <n v="0.33333333333333331"/>
    <x v="4"/>
    <d v="2024-05-15T00:00:00"/>
    <x v="2"/>
    <n v="17"/>
    <x v="1708"/>
    <x v="3"/>
    <x v="14"/>
    <n v="1"/>
    <n v="40"/>
    <n v="40"/>
    <n v="0"/>
  </r>
  <r>
    <n v="1749"/>
    <n v="1872"/>
    <n v="0.33333333333333331"/>
    <x v="4"/>
    <d v="2024-05-15T00:00:00"/>
    <x v="2"/>
    <n v="13"/>
    <x v="1709"/>
    <x v="1"/>
    <x v="1"/>
    <n v="5"/>
    <n v="650"/>
    <n v="3250"/>
    <n v="0"/>
  </r>
  <r>
    <n v="1750"/>
    <n v="1873"/>
    <n v="0.33333333333333331"/>
    <x v="4"/>
    <d v="2024-05-15T00:00:00"/>
    <x v="2"/>
    <n v="17"/>
    <x v="1710"/>
    <x v="1"/>
    <x v="2"/>
    <n v="2"/>
    <n v="680"/>
    <n v="1360"/>
    <n v="1"/>
  </r>
  <r>
    <n v="1751"/>
    <n v="1873"/>
    <n v="0.33333333333333331"/>
    <x v="4"/>
    <d v="2024-05-15T00:00:00"/>
    <x v="2"/>
    <n v="11"/>
    <x v="1711"/>
    <x v="1"/>
    <x v="1"/>
    <n v="1"/>
    <n v="650"/>
    <n v="650"/>
    <n v="0"/>
  </r>
  <r>
    <n v="1752"/>
    <n v="1873"/>
    <n v="0.33333333333333331"/>
    <x v="4"/>
    <d v="2024-05-15T00:00:00"/>
    <x v="2"/>
    <n v="15"/>
    <x v="1712"/>
    <x v="0"/>
    <x v="0"/>
    <n v="1"/>
    <n v="20"/>
    <n v="20"/>
    <n v="0"/>
  </r>
  <r>
    <n v="1753"/>
    <n v="1874"/>
    <n v="0.33333333333333331"/>
    <x v="4"/>
    <d v="2024-05-15T00:00:00"/>
    <x v="2"/>
    <n v="14"/>
    <x v="1713"/>
    <x v="1"/>
    <x v="4"/>
    <n v="3"/>
    <n v="600"/>
    <n v="1800"/>
    <n v="1"/>
  </r>
  <r>
    <n v="1754"/>
    <n v="1874"/>
    <n v="0.33333333333333331"/>
    <x v="4"/>
    <d v="2024-05-15T00:00:00"/>
    <x v="2"/>
    <n v="16"/>
    <x v="1714"/>
    <x v="2"/>
    <x v="5"/>
    <n v="5"/>
    <n v="20"/>
    <n v="100"/>
    <n v="0"/>
  </r>
  <r>
    <n v="1755"/>
    <n v="1874"/>
    <n v="0.33333333333333331"/>
    <x v="4"/>
    <d v="2024-05-15T00:00:00"/>
    <x v="2"/>
    <n v="17"/>
    <x v="1715"/>
    <x v="3"/>
    <x v="6"/>
    <n v="1"/>
    <n v="50"/>
    <n v="50"/>
    <n v="0"/>
  </r>
  <r>
    <n v="1756"/>
    <n v="1875"/>
    <n v="1"/>
    <x v="4"/>
    <d v="2024-05-15T00:00:00"/>
    <x v="2"/>
    <n v="17"/>
    <x v="1716"/>
    <x v="1"/>
    <x v="4"/>
    <n v="5"/>
    <n v="600"/>
    <n v="3000"/>
    <n v="1"/>
  </r>
  <r>
    <n v="1757"/>
    <n v="1876"/>
    <n v="0.5"/>
    <x v="4"/>
    <d v="2024-05-15T00:00:00"/>
    <x v="2"/>
    <n v="18"/>
    <x v="1717"/>
    <x v="3"/>
    <x v="6"/>
    <n v="3"/>
    <n v="50"/>
    <n v="150"/>
    <n v="1"/>
  </r>
  <r>
    <n v="1758"/>
    <n v="1876"/>
    <n v="0.5"/>
    <x v="4"/>
    <d v="2024-05-15T00:00:00"/>
    <x v="2"/>
    <n v="18"/>
    <x v="1718"/>
    <x v="3"/>
    <x v="13"/>
    <n v="4"/>
    <n v="55"/>
    <n v="220"/>
    <n v="0"/>
  </r>
  <r>
    <n v="1759"/>
    <n v="1877"/>
    <n v="1"/>
    <x v="4"/>
    <d v="2024-05-15T00:00:00"/>
    <x v="2"/>
    <n v="14"/>
    <x v="1719"/>
    <x v="2"/>
    <x v="10"/>
    <n v="2"/>
    <n v="30"/>
    <n v="60"/>
    <n v="1"/>
  </r>
  <r>
    <n v="1760"/>
    <n v="1878"/>
    <n v="0.33333333333333331"/>
    <x v="4"/>
    <d v="2024-05-16T00:00:00"/>
    <x v="3"/>
    <n v="13"/>
    <x v="1720"/>
    <x v="2"/>
    <x v="15"/>
    <n v="2"/>
    <n v="25"/>
    <n v="50"/>
    <n v="1"/>
  </r>
  <r>
    <n v="1761"/>
    <n v="1878"/>
    <n v="0.33333333333333331"/>
    <x v="4"/>
    <d v="2024-05-16T00:00:00"/>
    <x v="3"/>
    <n v="14"/>
    <x v="1721"/>
    <x v="2"/>
    <x v="15"/>
    <n v="4"/>
    <n v="25"/>
    <n v="100"/>
    <n v="0"/>
  </r>
  <r>
    <n v="1762"/>
    <n v="1878"/>
    <n v="0.33333333333333331"/>
    <x v="4"/>
    <d v="2024-05-16T00:00:00"/>
    <x v="3"/>
    <n v="19"/>
    <x v="1722"/>
    <x v="0"/>
    <x v="0"/>
    <n v="4"/>
    <n v="20"/>
    <n v="80"/>
    <n v="0"/>
  </r>
  <r>
    <n v="1763"/>
    <n v="1879"/>
    <n v="1"/>
    <x v="4"/>
    <d v="2024-05-16T00:00:00"/>
    <x v="3"/>
    <n v="16"/>
    <x v="1723"/>
    <x v="1"/>
    <x v="3"/>
    <n v="1"/>
    <n v="700"/>
    <n v="700"/>
    <n v="1"/>
  </r>
  <r>
    <n v="1764"/>
    <n v="1880"/>
    <n v="0.5"/>
    <x v="4"/>
    <d v="2024-05-16T00:00:00"/>
    <x v="3"/>
    <n v="19"/>
    <x v="1724"/>
    <x v="1"/>
    <x v="2"/>
    <n v="5"/>
    <n v="680"/>
    <n v="3400"/>
    <n v="1"/>
  </r>
  <r>
    <n v="1765"/>
    <n v="1880"/>
    <n v="0.5"/>
    <x v="4"/>
    <d v="2024-05-16T00:00:00"/>
    <x v="3"/>
    <n v="18"/>
    <x v="1725"/>
    <x v="0"/>
    <x v="0"/>
    <n v="5"/>
    <n v="20"/>
    <n v="100"/>
    <n v="0"/>
  </r>
  <r>
    <n v="1766"/>
    <n v="1881"/>
    <n v="0.5"/>
    <x v="4"/>
    <d v="2024-05-16T00:00:00"/>
    <x v="3"/>
    <n v="12"/>
    <x v="1726"/>
    <x v="2"/>
    <x v="10"/>
    <n v="4"/>
    <n v="30"/>
    <n v="120"/>
    <n v="1"/>
  </r>
  <r>
    <n v="1767"/>
    <n v="1881"/>
    <n v="0.5"/>
    <x v="4"/>
    <d v="2024-05-16T00:00:00"/>
    <x v="3"/>
    <n v="20"/>
    <x v="1727"/>
    <x v="2"/>
    <x v="10"/>
    <n v="4"/>
    <n v="30"/>
    <n v="120"/>
    <n v="0"/>
  </r>
  <r>
    <n v="1768"/>
    <n v="1882"/>
    <n v="0.5"/>
    <x v="4"/>
    <d v="2024-05-16T00:00:00"/>
    <x v="3"/>
    <n v="20"/>
    <x v="1728"/>
    <x v="2"/>
    <x v="10"/>
    <n v="4"/>
    <n v="30"/>
    <n v="120"/>
    <n v="1"/>
  </r>
  <r>
    <n v="1769"/>
    <n v="1882"/>
    <n v="0.5"/>
    <x v="4"/>
    <d v="2024-05-16T00:00:00"/>
    <x v="3"/>
    <n v="20"/>
    <x v="1729"/>
    <x v="1"/>
    <x v="4"/>
    <n v="5"/>
    <n v="600"/>
    <n v="3000"/>
    <n v="0"/>
  </r>
  <r>
    <n v="1770"/>
    <n v="1883"/>
    <n v="1"/>
    <x v="4"/>
    <d v="2024-05-16T00:00:00"/>
    <x v="3"/>
    <n v="19"/>
    <x v="1730"/>
    <x v="2"/>
    <x v="10"/>
    <n v="2"/>
    <n v="30"/>
    <n v="60"/>
    <n v="1"/>
  </r>
  <r>
    <n v="1771"/>
    <n v="1884"/>
    <n v="1"/>
    <x v="4"/>
    <d v="2024-05-17T00:00:00"/>
    <x v="4"/>
    <n v="9"/>
    <x v="1731"/>
    <x v="2"/>
    <x v="10"/>
    <n v="1"/>
    <n v="30"/>
    <n v="30"/>
    <n v="1"/>
  </r>
  <r>
    <n v="1772"/>
    <n v="1885"/>
    <n v="0.33333333333333331"/>
    <x v="4"/>
    <d v="2024-05-17T00:00:00"/>
    <x v="4"/>
    <n v="11"/>
    <x v="1732"/>
    <x v="0"/>
    <x v="9"/>
    <n v="2"/>
    <n v="15"/>
    <n v="30"/>
    <n v="1"/>
  </r>
  <r>
    <n v="1773"/>
    <n v="1885"/>
    <n v="0.33333333333333331"/>
    <x v="4"/>
    <d v="2024-05-17T00:00:00"/>
    <x v="4"/>
    <n v="17"/>
    <x v="1733"/>
    <x v="2"/>
    <x v="10"/>
    <n v="1"/>
    <n v="30"/>
    <n v="30"/>
    <n v="0"/>
  </r>
  <r>
    <n v="1774"/>
    <n v="1885"/>
    <n v="0.33333333333333331"/>
    <x v="4"/>
    <d v="2024-05-17T00:00:00"/>
    <x v="4"/>
    <n v="13"/>
    <x v="1734"/>
    <x v="0"/>
    <x v="0"/>
    <n v="5"/>
    <n v="20"/>
    <n v="100"/>
    <n v="0"/>
  </r>
  <r>
    <n v="1775"/>
    <n v="1886"/>
    <n v="0.33333333333333331"/>
    <x v="4"/>
    <d v="2024-05-17T00:00:00"/>
    <x v="4"/>
    <n v="13"/>
    <x v="1735"/>
    <x v="1"/>
    <x v="2"/>
    <n v="3"/>
    <n v="680"/>
    <n v="2040"/>
    <n v="1"/>
  </r>
  <r>
    <n v="1776"/>
    <n v="1886"/>
    <n v="0.33333333333333331"/>
    <x v="4"/>
    <d v="2024-05-17T00:00:00"/>
    <x v="4"/>
    <n v="20"/>
    <x v="1736"/>
    <x v="0"/>
    <x v="9"/>
    <n v="3"/>
    <n v="15"/>
    <n v="45"/>
    <n v="0"/>
  </r>
  <r>
    <n v="1777"/>
    <n v="1886"/>
    <n v="0.33333333333333331"/>
    <x v="4"/>
    <d v="2024-05-17T00:00:00"/>
    <x v="4"/>
    <n v="18"/>
    <x v="1737"/>
    <x v="2"/>
    <x v="10"/>
    <n v="4"/>
    <n v="30"/>
    <n v="120"/>
    <n v="0"/>
  </r>
  <r>
    <n v="1778"/>
    <n v="1887"/>
    <n v="0.33333333333333331"/>
    <x v="4"/>
    <d v="2024-05-18T00:00:00"/>
    <x v="5"/>
    <n v="20"/>
    <x v="1738"/>
    <x v="0"/>
    <x v="7"/>
    <n v="2"/>
    <n v="25"/>
    <n v="50"/>
    <n v="1"/>
  </r>
  <r>
    <n v="1779"/>
    <n v="1887"/>
    <n v="0.33333333333333331"/>
    <x v="4"/>
    <d v="2024-05-18T00:00:00"/>
    <x v="5"/>
    <n v="17"/>
    <x v="1739"/>
    <x v="1"/>
    <x v="1"/>
    <n v="1"/>
    <n v="650"/>
    <n v="650"/>
    <n v="0"/>
  </r>
  <r>
    <n v="1780"/>
    <n v="1887"/>
    <n v="0.33333333333333331"/>
    <x v="4"/>
    <d v="2024-05-18T00:00:00"/>
    <x v="5"/>
    <n v="19"/>
    <x v="1740"/>
    <x v="2"/>
    <x v="15"/>
    <n v="2"/>
    <n v="25"/>
    <n v="50"/>
    <n v="0"/>
  </r>
  <r>
    <n v="1781"/>
    <n v="1888"/>
    <n v="0.5"/>
    <x v="4"/>
    <d v="2024-05-18T00:00:00"/>
    <x v="5"/>
    <n v="15"/>
    <x v="1741"/>
    <x v="1"/>
    <x v="2"/>
    <n v="4"/>
    <n v="680"/>
    <n v="2720"/>
    <n v="1"/>
  </r>
  <r>
    <n v="1782"/>
    <n v="1888"/>
    <n v="0.5"/>
    <x v="4"/>
    <d v="2024-05-18T00:00:00"/>
    <x v="5"/>
    <n v="12"/>
    <x v="1742"/>
    <x v="1"/>
    <x v="12"/>
    <n v="4"/>
    <n v="1000"/>
    <n v="4000"/>
    <n v="0"/>
  </r>
  <r>
    <n v="1783"/>
    <n v="1889"/>
    <n v="0.5"/>
    <x v="4"/>
    <d v="2024-05-18T00:00:00"/>
    <x v="5"/>
    <n v="20"/>
    <x v="1743"/>
    <x v="1"/>
    <x v="3"/>
    <n v="5"/>
    <n v="700"/>
    <n v="3500"/>
    <n v="1"/>
  </r>
  <r>
    <n v="1784"/>
    <n v="1889"/>
    <n v="0.5"/>
    <x v="4"/>
    <d v="2024-05-18T00:00:00"/>
    <x v="5"/>
    <n v="18"/>
    <x v="1744"/>
    <x v="0"/>
    <x v="16"/>
    <n v="5"/>
    <n v="5"/>
    <n v="25"/>
    <n v="0"/>
  </r>
  <r>
    <n v="1785"/>
    <n v="1890"/>
    <n v="0.33333333333333331"/>
    <x v="4"/>
    <d v="2024-05-18T00:00:00"/>
    <x v="5"/>
    <n v="10"/>
    <x v="1745"/>
    <x v="3"/>
    <x v="17"/>
    <n v="5"/>
    <n v="60"/>
    <n v="300"/>
    <n v="1"/>
  </r>
  <r>
    <n v="1786"/>
    <n v="1890"/>
    <n v="0.33333333333333331"/>
    <x v="4"/>
    <d v="2024-05-18T00:00:00"/>
    <x v="5"/>
    <n v="12"/>
    <x v="1746"/>
    <x v="2"/>
    <x v="10"/>
    <n v="4"/>
    <n v="30"/>
    <n v="120"/>
    <n v="0"/>
  </r>
  <r>
    <n v="1787"/>
    <n v="1890"/>
    <n v="0.33333333333333331"/>
    <x v="4"/>
    <d v="2024-05-18T00:00:00"/>
    <x v="5"/>
    <n v="11"/>
    <x v="1747"/>
    <x v="2"/>
    <x v="5"/>
    <n v="4"/>
    <n v="20"/>
    <n v="80"/>
    <n v="0"/>
  </r>
  <r>
    <n v="1788"/>
    <n v="1891"/>
    <n v="0.5"/>
    <x v="4"/>
    <d v="2024-05-18T00:00:00"/>
    <x v="5"/>
    <n v="20"/>
    <x v="1748"/>
    <x v="3"/>
    <x v="6"/>
    <n v="4"/>
    <n v="50"/>
    <n v="200"/>
    <n v="1"/>
  </r>
  <r>
    <n v="1789"/>
    <n v="1891"/>
    <n v="0.5"/>
    <x v="4"/>
    <d v="2024-05-18T00:00:00"/>
    <x v="5"/>
    <n v="14"/>
    <x v="1749"/>
    <x v="3"/>
    <x v="14"/>
    <n v="1"/>
    <n v="40"/>
    <n v="40"/>
    <n v="0"/>
  </r>
  <r>
    <n v="1790"/>
    <n v="1892"/>
    <n v="0.5"/>
    <x v="4"/>
    <d v="2024-05-19T00:00:00"/>
    <x v="6"/>
    <n v="20"/>
    <x v="1750"/>
    <x v="1"/>
    <x v="4"/>
    <n v="4"/>
    <n v="600"/>
    <n v="2400"/>
    <n v="1"/>
  </r>
  <r>
    <n v="1791"/>
    <n v="1892"/>
    <n v="0.5"/>
    <x v="4"/>
    <d v="2024-05-19T00:00:00"/>
    <x v="6"/>
    <n v="11"/>
    <x v="1751"/>
    <x v="0"/>
    <x v="9"/>
    <n v="5"/>
    <n v="15"/>
    <n v="75"/>
    <n v="0"/>
  </r>
  <r>
    <n v="1792"/>
    <n v="1893"/>
    <n v="1"/>
    <x v="4"/>
    <d v="2024-05-19T00:00:00"/>
    <x v="6"/>
    <n v="14"/>
    <x v="1752"/>
    <x v="2"/>
    <x v="5"/>
    <n v="5"/>
    <n v="20"/>
    <n v="100"/>
    <n v="1"/>
  </r>
  <r>
    <n v="1793"/>
    <n v="1894"/>
    <n v="0.5"/>
    <x v="4"/>
    <d v="2024-05-19T00:00:00"/>
    <x v="6"/>
    <n v="19"/>
    <x v="1753"/>
    <x v="3"/>
    <x v="17"/>
    <n v="1"/>
    <n v="60"/>
    <n v="60"/>
    <n v="1"/>
  </r>
  <r>
    <n v="1794"/>
    <n v="1894"/>
    <n v="0.5"/>
    <x v="4"/>
    <d v="2024-05-19T00:00:00"/>
    <x v="6"/>
    <n v="18"/>
    <x v="1754"/>
    <x v="3"/>
    <x v="17"/>
    <n v="3"/>
    <n v="60"/>
    <n v="180"/>
    <n v="0"/>
  </r>
  <r>
    <n v="1795"/>
    <n v="1895"/>
    <n v="1"/>
    <x v="4"/>
    <d v="2024-05-19T00:00:00"/>
    <x v="6"/>
    <n v="13"/>
    <x v="1419"/>
    <x v="3"/>
    <x v="6"/>
    <n v="1"/>
    <n v="50"/>
    <n v="50"/>
    <n v="1"/>
  </r>
  <r>
    <n v="1796"/>
    <n v="1896"/>
    <n v="1"/>
    <x v="4"/>
    <d v="2024-05-19T00:00:00"/>
    <x v="6"/>
    <n v="14"/>
    <x v="1755"/>
    <x v="1"/>
    <x v="1"/>
    <n v="1"/>
    <n v="650"/>
    <n v="650"/>
    <n v="1"/>
  </r>
  <r>
    <n v="1797"/>
    <n v="1897"/>
    <n v="0.5"/>
    <x v="4"/>
    <d v="2024-05-19T00:00:00"/>
    <x v="6"/>
    <n v="13"/>
    <x v="1756"/>
    <x v="1"/>
    <x v="3"/>
    <n v="1"/>
    <n v="700"/>
    <n v="700"/>
    <n v="1"/>
  </r>
  <r>
    <n v="1798"/>
    <n v="1897"/>
    <n v="0.5"/>
    <x v="4"/>
    <d v="2024-05-19T00:00:00"/>
    <x v="6"/>
    <n v="14"/>
    <x v="1757"/>
    <x v="3"/>
    <x v="18"/>
    <n v="2"/>
    <n v="45"/>
    <n v="90"/>
    <n v="0"/>
  </r>
  <r>
    <n v="1799"/>
    <n v="1898"/>
    <n v="0.33333333333333331"/>
    <x v="4"/>
    <d v="2024-05-20T00:00:00"/>
    <x v="0"/>
    <n v="10"/>
    <x v="1758"/>
    <x v="3"/>
    <x v="13"/>
    <n v="3"/>
    <n v="55"/>
    <n v="165"/>
    <n v="1"/>
  </r>
  <r>
    <n v="1800"/>
    <n v="1898"/>
    <n v="0.33333333333333331"/>
    <x v="4"/>
    <d v="2024-05-20T00:00:00"/>
    <x v="0"/>
    <n v="18"/>
    <x v="1759"/>
    <x v="1"/>
    <x v="4"/>
    <n v="3"/>
    <n v="600"/>
    <n v="1800"/>
    <n v="0"/>
  </r>
  <r>
    <n v="1801"/>
    <n v="1898"/>
    <n v="0.33333333333333331"/>
    <x v="4"/>
    <d v="2024-05-20T00:00:00"/>
    <x v="0"/>
    <n v="13"/>
    <x v="1760"/>
    <x v="3"/>
    <x v="18"/>
    <n v="2"/>
    <n v="45"/>
    <n v="90"/>
    <n v="0"/>
  </r>
  <r>
    <n v="1802"/>
    <n v="1899"/>
    <n v="1"/>
    <x v="4"/>
    <d v="2024-05-20T00:00:00"/>
    <x v="0"/>
    <n v="16"/>
    <x v="768"/>
    <x v="3"/>
    <x v="17"/>
    <n v="2"/>
    <n v="60"/>
    <n v="120"/>
    <n v="1"/>
  </r>
  <r>
    <n v="1803"/>
    <n v="1900"/>
    <n v="1"/>
    <x v="4"/>
    <d v="2024-05-20T00:00:00"/>
    <x v="0"/>
    <n v="13"/>
    <x v="1761"/>
    <x v="2"/>
    <x v="11"/>
    <n v="1"/>
    <n v="35"/>
    <n v="35"/>
    <n v="1"/>
  </r>
  <r>
    <n v="1804"/>
    <n v="1901"/>
    <n v="0.5"/>
    <x v="4"/>
    <d v="2024-05-20T00:00:00"/>
    <x v="0"/>
    <n v="12"/>
    <x v="1762"/>
    <x v="2"/>
    <x v="5"/>
    <n v="2"/>
    <n v="20"/>
    <n v="40"/>
    <n v="1"/>
  </r>
  <r>
    <n v="1805"/>
    <n v="1901"/>
    <n v="0.5"/>
    <x v="4"/>
    <d v="2024-05-20T00:00:00"/>
    <x v="0"/>
    <n v="12"/>
    <x v="1763"/>
    <x v="0"/>
    <x v="7"/>
    <n v="1"/>
    <n v="25"/>
    <n v="25"/>
    <n v="0"/>
  </r>
  <r>
    <n v="1806"/>
    <n v="1902"/>
    <n v="1"/>
    <x v="4"/>
    <d v="2024-05-20T00:00:00"/>
    <x v="0"/>
    <n v="12"/>
    <x v="1764"/>
    <x v="1"/>
    <x v="1"/>
    <n v="2"/>
    <n v="650"/>
    <n v="1300"/>
    <n v="1"/>
  </r>
  <r>
    <n v="1807"/>
    <n v="1903"/>
    <n v="0.5"/>
    <x v="4"/>
    <d v="2024-05-20T00:00:00"/>
    <x v="0"/>
    <n v="19"/>
    <x v="1765"/>
    <x v="2"/>
    <x v="15"/>
    <n v="1"/>
    <n v="25"/>
    <n v="25"/>
    <n v="1"/>
  </r>
  <r>
    <n v="1808"/>
    <n v="1903"/>
    <n v="0.5"/>
    <x v="4"/>
    <d v="2024-05-20T00:00:00"/>
    <x v="0"/>
    <n v="11"/>
    <x v="1766"/>
    <x v="0"/>
    <x v="16"/>
    <n v="3"/>
    <n v="5"/>
    <n v="15"/>
    <n v="0"/>
  </r>
  <r>
    <n v="1809"/>
    <n v="1904"/>
    <n v="0.33333333333333331"/>
    <x v="4"/>
    <d v="2024-05-20T00:00:00"/>
    <x v="0"/>
    <n v="9"/>
    <x v="1767"/>
    <x v="2"/>
    <x v="10"/>
    <n v="5"/>
    <n v="30"/>
    <n v="150"/>
    <n v="1"/>
  </r>
  <r>
    <n v="1810"/>
    <n v="1904"/>
    <n v="0.33333333333333331"/>
    <x v="4"/>
    <d v="2024-05-20T00:00:00"/>
    <x v="0"/>
    <n v="11"/>
    <x v="1768"/>
    <x v="2"/>
    <x v="10"/>
    <n v="4"/>
    <n v="30"/>
    <n v="120"/>
    <n v="0"/>
  </r>
  <r>
    <n v="1811"/>
    <n v="1904"/>
    <n v="0.33333333333333331"/>
    <x v="4"/>
    <d v="2024-05-20T00:00:00"/>
    <x v="0"/>
    <n v="16"/>
    <x v="1769"/>
    <x v="1"/>
    <x v="4"/>
    <n v="2"/>
    <n v="600"/>
    <n v="1200"/>
    <n v="0"/>
  </r>
  <r>
    <n v="1812"/>
    <n v="1905"/>
    <n v="0.33333333333333331"/>
    <x v="4"/>
    <d v="2024-05-20T00:00:00"/>
    <x v="0"/>
    <n v="14"/>
    <x v="1770"/>
    <x v="1"/>
    <x v="1"/>
    <n v="1"/>
    <n v="650"/>
    <n v="650"/>
    <n v="1"/>
  </r>
  <r>
    <n v="1813"/>
    <n v="1905"/>
    <n v="0.33333333333333331"/>
    <x v="4"/>
    <d v="2024-05-20T00:00:00"/>
    <x v="0"/>
    <n v="16"/>
    <x v="1771"/>
    <x v="0"/>
    <x v="8"/>
    <n v="5"/>
    <n v="10"/>
    <n v="50"/>
    <n v="0"/>
  </r>
  <r>
    <n v="1814"/>
    <n v="1905"/>
    <n v="0.33333333333333331"/>
    <x v="4"/>
    <d v="2024-05-20T00:00:00"/>
    <x v="0"/>
    <n v="19"/>
    <x v="1772"/>
    <x v="2"/>
    <x v="15"/>
    <n v="3"/>
    <n v="25"/>
    <n v="75"/>
    <n v="0"/>
  </r>
  <r>
    <n v="1815"/>
    <n v="1906"/>
    <n v="1"/>
    <x v="4"/>
    <d v="2024-05-20T00:00:00"/>
    <x v="0"/>
    <n v="15"/>
    <x v="1773"/>
    <x v="1"/>
    <x v="2"/>
    <n v="2"/>
    <n v="680"/>
    <n v="1360"/>
    <n v="1"/>
  </r>
  <r>
    <n v="1816"/>
    <n v="1907"/>
    <n v="0.5"/>
    <x v="4"/>
    <d v="2024-05-21T00:00:00"/>
    <x v="1"/>
    <n v="13"/>
    <x v="1774"/>
    <x v="2"/>
    <x v="5"/>
    <n v="1"/>
    <n v="20"/>
    <n v="20"/>
    <n v="1"/>
  </r>
  <r>
    <n v="1817"/>
    <n v="1907"/>
    <n v="0.5"/>
    <x v="4"/>
    <d v="2024-05-21T00:00:00"/>
    <x v="1"/>
    <n v="20"/>
    <x v="1775"/>
    <x v="2"/>
    <x v="11"/>
    <n v="1"/>
    <n v="35"/>
    <n v="35"/>
    <n v="0"/>
  </r>
  <r>
    <n v="1818"/>
    <n v="1908"/>
    <n v="1"/>
    <x v="4"/>
    <d v="2024-05-21T00:00:00"/>
    <x v="1"/>
    <n v="19"/>
    <x v="1776"/>
    <x v="1"/>
    <x v="1"/>
    <n v="4"/>
    <n v="650"/>
    <n v="2600"/>
    <n v="1"/>
  </r>
  <r>
    <n v="1819"/>
    <n v="1909"/>
    <n v="0.5"/>
    <x v="4"/>
    <d v="2024-05-21T00:00:00"/>
    <x v="1"/>
    <n v="17"/>
    <x v="1777"/>
    <x v="1"/>
    <x v="12"/>
    <n v="2"/>
    <n v="1000"/>
    <n v="2000"/>
    <n v="1"/>
  </r>
  <r>
    <n v="1820"/>
    <n v="1909"/>
    <n v="0.5"/>
    <x v="4"/>
    <d v="2024-05-21T00:00:00"/>
    <x v="1"/>
    <n v="10"/>
    <x v="1778"/>
    <x v="0"/>
    <x v="8"/>
    <n v="4"/>
    <n v="10"/>
    <n v="40"/>
    <n v="0"/>
  </r>
  <r>
    <n v="1821"/>
    <n v="1910"/>
    <n v="1"/>
    <x v="4"/>
    <d v="2024-05-21T00:00:00"/>
    <x v="1"/>
    <n v="14"/>
    <x v="1779"/>
    <x v="3"/>
    <x v="14"/>
    <n v="2"/>
    <n v="40"/>
    <n v="80"/>
    <n v="1"/>
  </r>
  <r>
    <n v="1822"/>
    <n v="1911"/>
    <n v="1"/>
    <x v="4"/>
    <d v="2024-05-21T00:00:00"/>
    <x v="1"/>
    <n v="10"/>
    <x v="1780"/>
    <x v="0"/>
    <x v="9"/>
    <n v="2"/>
    <n v="15"/>
    <n v="30"/>
    <n v="1"/>
  </r>
  <r>
    <n v="1823"/>
    <n v="1912"/>
    <n v="1"/>
    <x v="4"/>
    <d v="2024-05-21T00:00:00"/>
    <x v="1"/>
    <n v="20"/>
    <x v="1781"/>
    <x v="2"/>
    <x v="10"/>
    <n v="4"/>
    <n v="30"/>
    <n v="120"/>
    <n v="1"/>
  </r>
  <r>
    <n v="1824"/>
    <n v="1913"/>
    <n v="0.5"/>
    <x v="4"/>
    <d v="2024-05-21T00:00:00"/>
    <x v="1"/>
    <n v="12"/>
    <x v="1782"/>
    <x v="1"/>
    <x v="2"/>
    <n v="5"/>
    <n v="680"/>
    <n v="3400"/>
    <n v="1"/>
  </r>
  <r>
    <n v="1825"/>
    <n v="1913"/>
    <n v="0.5"/>
    <x v="4"/>
    <d v="2024-05-21T00:00:00"/>
    <x v="1"/>
    <n v="16"/>
    <x v="1783"/>
    <x v="0"/>
    <x v="0"/>
    <n v="5"/>
    <n v="20"/>
    <n v="100"/>
    <n v="0"/>
  </r>
  <r>
    <n v="1826"/>
    <n v="1914"/>
    <n v="1"/>
    <x v="4"/>
    <d v="2024-05-21T00:00:00"/>
    <x v="1"/>
    <n v="20"/>
    <x v="1784"/>
    <x v="0"/>
    <x v="9"/>
    <n v="1"/>
    <n v="15"/>
    <n v="15"/>
    <n v="1"/>
  </r>
  <r>
    <n v="1827"/>
    <n v="1915"/>
    <n v="0.5"/>
    <x v="4"/>
    <d v="2024-05-21T00:00:00"/>
    <x v="1"/>
    <n v="17"/>
    <x v="1308"/>
    <x v="0"/>
    <x v="7"/>
    <n v="1"/>
    <n v="25"/>
    <n v="25"/>
    <n v="1"/>
  </r>
  <r>
    <n v="1828"/>
    <n v="1915"/>
    <n v="0.5"/>
    <x v="4"/>
    <d v="2024-05-21T00:00:00"/>
    <x v="1"/>
    <n v="16"/>
    <x v="1785"/>
    <x v="0"/>
    <x v="9"/>
    <n v="5"/>
    <n v="15"/>
    <n v="75"/>
    <n v="0"/>
  </r>
  <r>
    <n v="1829"/>
    <n v="1916"/>
    <n v="0.5"/>
    <x v="4"/>
    <d v="2024-05-22T00:00:00"/>
    <x v="2"/>
    <n v="18"/>
    <x v="1786"/>
    <x v="1"/>
    <x v="3"/>
    <n v="1"/>
    <n v="700"/>
    <n v="700"/>
    <n v="1"/>
  </r>
  <r>
    <n v="1830"/>
    <n v="1916"/>
    <n v="0.5"/>
    <x v="4"/>
    <d v="2024-05-22T00:00:00"/>
    <x v="2"/>
    <n v="16"/>
    <x v="1787"/>
    <x v="0"/>
    <x v="0"/>
    <n v="4"/>
    <n v="20"/>
    <n v="80"/>
    <n v="0"/>
  </r>
  <r>
    <n v="1831"/>
    <n v="1917"/>
    <n v="0.33333333333333331"/>
    <x v="4"/>
    <d v="2024-05-22T00:00:00"/>
    <x v="2"/>
    <n v="15"/>
    <x v="1788"/>
    <x v="0"/>
    <x v="0"/>
    <n v="1"/>
    <n v="20"/>
    <n v="20"/>
    <n v="1"/>
  </r>
  <r>
    <n v="1832"/>
    <n v="1917"/>
    <n v="0.33333333333333331"/>
    <x v="4"/>
    <d v="2024-05-22T00:00:00"/>
    <x v="2"/>
    <n v="9"/>
    <x v="1789"/>
    <x v="3"/>
    <x v="14"/>
    <n v="1"/>
    <n v="40"/>
    <n v="40"/>
    <n v="0"/>
  </r>
  <r>
    <n v="1833"/>
    <n v="1917"/>
    <n v="0.33333333333333331"/>
    <x v="4"/>
    <d v="2024-05-22T00:00:00"/>
    <x v="2"/>
    <n v="12"/>
    <x v="1790"/>
    <x v="3"/>
    <x v="18"/>
    <n v="4"/>
    <n v="45"/>
    <n v="180"/>
    <n v="0"/>
  </r>
  <r>
    <n v="1834"/>
    <n v="1918"/>
    <n v="0.5"/>
    <x v="4"/>
    <d v="2024-05-22T00:00:00"/>
    <x v="2"/>
    <n v="19"/>
    <x v="1791"/>
    <x v="0"/>
    <x v="8"/>
    <n v="5"/>
    <n v="10"/>
    <n v="50"/>
    <n v="1"/>
  </r>
  <r>
    <n v="1835"/>
    <n v="1918"/>
    <n v="0.5"/>
    <x v="4"/>
    <d v="2024-05-22T00:00:00"/>
    <x v="2"/>
    <n v="13"/>
    <x v="1792"/>
    <x v="2"/>
    <x v="5"/>
    <n v="3"/>
    <n v="20"/>
    <n v="60"/>
    <n v="0"/>
  </r>
  <r>
    <n v="1836"/>
    <n v="1919"/>
    <n v="0.33333333333333331"/>
    <x v="4"/>
    <d v="2024-05-23T00:00:00"/>
    <x v="3"/>
    <n v="19"/>
    <x v="1793"/>
    <x v="3"/>
    <x v="17"/>
    <n v="5"/>
    <n v="60"/>
    <n v="300"/>
    <n v="1"/>
  </r>
  <r>
    <n v="1837"/>
    <n v="1919"/>
    <n v="0.33333333333333331"/>
    <x v="4"/>
    <d v="2024-05-23T00:00:00"/>
    <x v="3"/>
    <n v="11"/>
    <x v="1794"/>
    <x v="3"/>
    <x v="17"/>
    <n v="3"/>
    <n v="60"/>
    <n v="180"/>
    <n v="0"/>
  </r>
  <r>
    <n v="1838"/>
    <n v="1919"/>
    <n v="0.33333333333333331"/>
    <x v="4"/>
    <d v="2024-05-23T00:00:00"/>
    <x v="3"/>
    <n v="17"/>
    <x v="1795"/>
    <x v="2"/>
    <x v="15"/>
    <n v="2"/>
    <n v="25"/>
    <n v="50"/>
    <n v="0"/>
  </r>
  <r>
    <n v="1839"/>
    <n v="1920"/>
    <n v="0.5"/>
    <x v="4"/>
    <d v="2024-05-23T00:00:00"/>
    <x v="3"/>
    <n v="18"/>
    <x v="1796"/>
    <x v="0"/>
    <x v="7"/>
    <n v="4"/>
    <n v="25"/>
    <n v="100"/>
    <n v="1"/>
  </r>
  <r>
    <n v="1840"/>
    <n v="1920"/>
    <n v="0.5"/>
    <x v="4"/>
    <d v="2024-05-23T00:00:00"/>
    <x v="3"/>
    <n v="17"/>
    <x v="1797"/>
    <x v="0"/>
    <x v="0"/>
    <n v="2"/>
    <n v="20"/>
    <n v="40"/>
    <n v="0"/>
  </r>
  <r>
    <n v="1841"/>
    <n v="1921"/>
    <n v="1"/>
    <x v="4"/>
    <d v="2024-05-23T00:00:00"/>
    <x v="3"/>
    <n v="10"/>
    <x v="1798"/>
    <x v="0"/>
    <x v="7"/>
    <n v="2"/>
    <n v="25"/>
    <n v="50"/>
    <n v="1"/>
  </r>
  <r>
    <n v="1842"/>
    <n v="1922"/>
    <n v="0.33333333333333331"/>
    <x v="4"/>
    <d v="2024-05-23T00:00:00"/>
    <x v="3"/>
    <n v="15"/>
    <x v="1485"/>
    <x v="1"/>
    <x v="4"/>
    <n v="4"/>
    <n v="600"/>
    <n v="2400"/>
    <n v="1"/>
  </r>
  <r>
    <n v="1843"/>
    <n v="1922"/>
    <n v="0.33333333333333331"/>
    <x v="4"/>
    <d v="2024-05-23T00:00:00"/>
    <x v="3"/>
    <n v="15"/>
    <x v="1799"/>
    <x v="0"/>
    <x v="0"/>
    <n v="5"/>
    <n v="20"/>
    <n v="100"/>
    <n v="0"/>
  </r>
  <r>
    <n v="1844"/>
    <n v="1922"/>
    <n v="0.33333333333333331"/>
    <x v="4"/>
    <d v="2024-05-23T00:00:00"/>
    <x v="3"/>
    <n v="9"/>
    <x v="1800"/>
    <x v="0"/>
    <x v="7"/>
    <n v="5"/>
    <n v="25"/>
    <n v="125"/>
    <n v="0"/>
  </r>
  <r>
    <n v="1845"/>
    <n v="1923"/>
    <n v="1"/>
    <x v="4"/>
    <d v="2024-05-23T00:00:00"/>
    <x v="3"/>
    <n v="10"/>
    <x v="1801"/>
    <x v="3"/>
    <x v="18"/>
    <n v="2"/>
    <n v="45"/>
    <n v="90"/>
    <n v="1"/>
  </r>
  <r>
    <n v="1846"/>
    <n v="1924"/>
    <n v="1"/>
    <x v="4"/>
    <d v="2024-05-23T00:00:00"/>
    <x v="3"/>
    <n v="10"/>
    <x v="1802"/>
    <x v="0"/>
    <x v="16"/>
    <n v="5"/>
    <n v="5"/>
    <n v="25"/>
    <n v="1"/>
  </r>
  <r>
    <n v="1847"/>
    <n v="1925"/>
    <n v="1"/>
    <x v="4"/>
    <d v="2024-05-24T00:00:00"/>
    <x v="4"/>
    <n v="18"/>
    <x v="1803"/>
    <x v="2"/>
    <x v="5"/>
    <n v="1"/>
    <n v="20"/>
    <n v="20"/>
    <n v="1"/>
  </r>
  <r>
    <n v="1848"/>
    <n v="1926"/>
    <n v="0.33333333333333331"/>
    <x v="4"/>
    <d v="2024-05-24T00:00:00"/>
    <x v="4"/>
    <n v="12"/>
    <x v="1804"/>
    <x v="1"/>
    <x v="2"/>
    <n v="5"/>
    <n v="680"/>
    <n v="3400"/>
    <n v="1"/>
  </r>
  <r>
    <n v="1849"/>
    <n v="1926"/>
    <n v="0.33333333333333331"/>
    <x v="4"/>
    <d v="2024-05-24T00:00:00"/>
    <x v="4"/>
    <n v="15"/>
    <x v="1805"/>
    <x v="3"/>
    <x v="14"/>
    <n v="3"/>
    <n v="40"/>
    <n v="120"/>
    <n v="0"/>
  </r>
  <r>
    <n v="1850"/>
    <n v="1926"/>
    <n v="0.33333333333333331"/>
    <x v="4"/>
    <d v="2024-05-24T00:00:00"/>
    <x v="4"/>
    <n v="18"/>
    <x v="1806"/>
    <x v="2"/>
    <x v="10"/>
    <n v="1"/>
    <n v="30"/>
    <n v="30"/>
    <n v="0"/>
  </r>
  <r>
    <n v="1851"/>
    <n v="1927"/>
    <n v="1"/>
    <x v="4"/>
    <d v="2024-05-24T00:00:00"/>
    <x v="4"/>
    <n v="11"/>
    <x v="1807"/>
    <x v="3"/>
    <x v="18"/>
    <n v="2"/>
    <n v="45"/>
    <n v="90"/>
    <n v="1"/>
  </r>
  <r>
    <n v="1852"/>
    <n v="1928"/>
    <n v="1"/>
    <x v="4"/>
    <d v="2024-05-24T00:00:00"/>
    <x v="4"/>
    <n v="14"/>
    <x v="1808"/>
    <x v="3"/>
    <x v="6"/>
    <n v="2"/>
    <n v="50"/>
    <n v="100"/>
    <n v="1"/>
  </r>
  <r>
    <n v="1853"/>
    <n v="1929"/>
    <n v="0.5"/>
    <x v="4"/>
    <d v="2024-05-24T00:00:00"/>
    <x v="4"/>
    <n v="16"/>
    <x v="1809"/>
    <x v="1"/>
    <x v="2"/>
    <n v="2"/>
    <n v="680"/>
    <n v="1360"/>
    <n v="1"/>
  </r>
  <r>
    <n v="1854"/>
    <n v="1929"/>
    <n v="0.5"/>
    <x v="4"/>
    <d v="2024-05-24T00:00:00"/>
    <x v="4"/>
    <n v="19"/>
    <x v="1810"/>
    <x v="1"/>
    <x v="12"/>
    <n v="2"/>
    <n v="1000"/>
    <n v="2000"/>
    <n v="0"/>
  </r>
  <r>
    <n v="1855"/>
    <n v="1930"/>
    <n v="0.33333333333333331"/>
    <x v="4"/>
    <d v="2024-05-25T00:00:00"/>
    <x v="5"/>
    <n v="15"/>
    <x v="1811"/>
    <x v="2"/>
    <x v="15"/>
    <n v="1"/>
    <n v="25"/>
    <n v="25"/>
    <n v="1"/>
  </r>
  <r>
    <n v="1856"/>
    <n v="1930"/>
    <n v="0.33333333333333331"/>
    <x v="4"/>
    <d v="2024-05-25T00:00:00"/>
    <x v="5"/>
    <n v="15"/>
    <x v="1812"/>
    <x v="1"/>
    <x v="2"/>
    <n v="4"/>
    <n v="680"/>
    <n v="2720"/>
    <n v="0"/>
  </r>
  <r>
    <n v="1857"/>
    <n v="1930"/>
    <n v="0.33333333333333331"/>
    <x v="4"/>
    <d v="2024-05-25T00:00:00"/>
    <x v="5"/>
    <n v="12"/>
    <x v="1813"/>
    <x v="2"/>
    <x v="11"/>
    <n v="1"/>
    <n v="35"/>
    <n v="35"/>
    <n v="0"/>
  </r>
  <r>
    <n v="1858"/>
    <n v="1931"/>
    <n v="0.33333333333333331"/>
    <x v="4"/>
    <d v="2024-05-25T00:00:00"/>
    <x v="5"/>
    <n v="18"/>
    <x v="1814"/>
    <x v="1"/>
    <x v="12"/>
    <n v="2"/>
    <n v="1000"/>
    <n v="2000"/>
    <n v="1"/>
  </r>
  <r>
    <n v="1859"/>
    <n v="1931"/>
    <n v="0.33333333333333331"/>
    <x v="4"/>
    <d v="2024-05-25T00:00:00"/>
    <x v="5"/>
    <n v="20"/>
    <x v="1815"/>
    <x v="0"/>
    <x v="16"/>
    <n v="4"/>
    <n v="5"/>
    <n v="20"/>
    <n v="0"/>
  </r>
  <r>
    <n v="1860"/>
    <n v="1931"/>
    <n v="0.33333333333333331"/>
    <x v="4"/>
    <d v="2024-05-25T00:00:00"/>
    <x v="5"/>
    <n v="15"/>
    <x v="1816"/>
    <x v="3"/>
    <x v="18"/>
    <n v="3"/>
    <n v="45"/>
    <n v="135"/>
    <n v="0"/>
  </r>
  <r>
    <n v="1861"/>
    <n v="1932"/>
    <n v="0.33333333333333331"/>
    <x v="4"/>
    <d v="2024-05-25T00:00:00"/>
    <x v="5"/>
    <n v="13"/>
    <x v="1817"/>
    <x v="2"/>
    <x v="5"/>
    <n v="4"/>
    <n v="20"/>
    <n v="80"/>
    <n v="1"/>
  </r>
  <r>
    <n v="1862"/>
    <n v="1932"/>
    <n v="0.33333333333333331"/>
    <x v="4"/>
    <d v="2024-05-25T00:00:00"/>
    <x v="5"/>
    <n v="19"/>
    <x v="1818"/>
    <x v="3"/>
    <x v="14"/>
    <n v="4"/>
    <n v="40"/>
    <n v="160"/>
    <n v="0"/>
  </r>
  <r>
    <n v="1863"/>
    <n v="1932"/>
    <n v="0.33333333333333331"/>
    <x v="4"/>
    <d v="2024-05-25T00:00:00"/>
    <x v="5"/>
    <n v="14"/>
    <x v="1819"/>
    <x v="0"/>
    <x v="8"/>
    <n v="4"/>
    <n v="10"/>
    <n v="40"/>
    <n v="0"/>
  </r>
  <r>
    <n v="1864"/>
    <n v="1933"/>
    <n v="1"/>
    <x v="4"/>
    <d v="2024-05-25T00:00:00"/>
    <x v="5"/>
    <n v="13"/>
    <x v="1820"/>
    <x v="0"/>
    <x v="0"/>
    <n v="1"/>
    <n v="20"/>
    <n v="20"/>
    <n v="1"/>
  </r>
  <r>
    <n v="1865"/>
    <n v="1934"/>
    <n v="1"/>
    <x v="4"/>
    <d v="2024-05-26T00:00:00"/>
    <x v="6"/>
    <n v="14"/>
    <x v="1821"/>
    <x v="1"/>
    <x v="1"/>
    <n v="1"/>
    <n v="650"/>
    <n v="650"/>
    <n v="1"/>
  </r>
  <r>
    <n v="1866"/>
    <n v="1935"/>
    <n v="1"/>
    <x v="4"/>
    <d v="2024-05-26T00:00:00"/>
    <x v="6"/>
    <n v="14"/>
    <x v="1822"/>
    <x v="1"/>
    <x v="12"/>
    <n v="2"/>
    <n v="1000"/>
    <n v="2000"/>
    <n v="1"/>
  </r>
  <r>
    <n v="1867"/>
    <n v="1936"/>
    <n v="0.5"/>
    <x v="4"/>
    <d v="2024-05-26T00:00:00"/>
    <x v="6"/>
    <n v="11"/>
    <x v="1823"/>
    <x v="1"/>
    <x v="12"/>
    <n v="3"/>
    <n v="1000"/>
    <n v="3000"/>
    <n v="1"/>
  </r>
  <r>
    <n v="1868"/>
    <n v="1936"/>
    <n v="0.5"/>
    <x v="4"/>
    <d v="2024-05-26T00:00:00"/>
    <x v="6"/>
    <n v="10"/>
    <x v="1824"/>
    <x v="2"/>
    <x v="10"/>
    <n v="3"/>
    <n v="30"/>
    <n v="90"/>
    <n v="0"/>
  </r>
  <r>
    <n v="1869"/>
    <n v="1937"/>
    <n v="1"/>
    <x v="4"/>
    <d v="2024-05-27T00:00:00"/>
    <x v="0"/>
    <n v="10"/>
    <x v="1825"/>
    <x v="2"/>
    <x v="11"/>
    <n v="1"/>
    <n v="35"/>
    <n v="35"/>
    <n v="1"/>
  </r>
  <r>
    <n v="1870"/>
    <n v="1938"/>
    <n v="0.33333333333333331"/>
    <x v="4"/>
    <d v="2024-05-27T00:00:00"/>
    <x v="0"/>
    <n v="16"/>
    <x v="1826"/>
    <x v="3"/>
    <x v="6"/>
    <n v="3"/>
    <n v="50"/>
    <n v="150"/>
    <n v="1"/>
  </r>
  <r>
    <n v="1871"/>
    <n v="1938"/>
    <n v="0.33333333333333331"/>
    <x v="4"/>
    <d v="2024-05-27T00:00:00"/>
    <x v="0"/>
    <n v="14"/>
    <x v="1827"/>
    <x v="0"/>
    <x v="7"/>
    <n v="5"/>
    <n v="25"/>
    <n v="125"/>
    <n v="0"/>
  </r>
  <r>
    <n v="1872"/>
    <n v="1938"/>
    <n v="0.33333333333333331"/>
    <x v="4"/>
    <d v="2024-05-27T00:00:00"/>
    <x v="0"/>
    <n v="13"/>
    <x v="1828"/>
    <x v="3"/>
    <x v="17"/>
    <n v="2"/>
    <n v="60"/>
    <n v="120"/>
    <n v="0"/>
  </r>
  <r>
    <n v="1873"/>
    <n v="1939"/>
    <n v="0.5"/>
    <x v="4"/>
    <d v="2024-05-27T00:00:00"/>
    <x v="0"/>
    <n v="13"/>
    <x v="1829"/>
    <x v="3"/>
    <x v="14"/>
    <n v="1"/>
    <n v="40"/>
    <n v="40"/>
    <n v="1"/>
  </r>
  <r>
    <n v="1874"/>
    <n v="1939"/>
    <n v="0.5"/>
    <x v="4"/>
    <d v="2024-05-27T00:00:00"/>
    <x v="0"/>
    <n v="18"/>
    <x v="6"/>
    <x v="3"/>
    <x v="17"/>
    <n v="5"/>
    <n v="60"/>
    <n v="300"/>
    <n v="0"/>
  </r>
  <r>
    <n v="1875"/>
    <n v="1940"/>
    <n v="0.33333333333333331"/>
    <x v="4"/>
    <d v="2024-05-27T00:00:00"/>
    <x v="0"/>
    <n v="12"/>
    <x v="1830"/>
    <x v="0"/>
    <x v="16"/>
    <n v="5"/>
    <n v="5"/>
    <n v="25"/>
    <n v="1"/>
  </r>
  <r>
    <n v="1876"/>
    <n v="1940"/>
    <n v="0.33333333333333331"/>
    <x v="4"/>
    <d v="2024-05-27T00:00:00"/>
    <x v="0"/>
    <n v="17"/>
    <x v="1831"/>
    <x v="1"/>
    <x v="12"/>
    <n v="5"/>
    <n v="1000"/>
    <n v="5000"/>
    <n v="0"/>
  </r>
  <r>
    <n v="1877"/>
    <n v="1940"/>
    <n v="0.33333333333333331"/>
    <x v="4"/>
    <d v="2024-05-27T00:00:00"/>
    <x v="0"/>
    <n v="13"/>
    <x v="1832"/>
    <x v="1"/>
    <x v="1"/>
    <n v="2"/>
    <n v="650"/>
    <n v="1300"/>
    <n v="0"/>
  </r>
  <r>
    <n v="1878"/>
    <n v="1941"/>
    <n v="0.5"/>
    <x v="4"/>
    <d v="2024-05-27T00:00:00"/>
    <x v="0"/>
    <n v="13"/>
    <x v="1833"/>
    <x v="2"/>
    <x v="5"/>
    <n v="2"/>
    <n v="20"/>
    <n v="40"/>
    <n v="1"/>
  </r>
  <r>
    <n v="1879"/>
    <n v="1941"/>
    <n v="0.5"/>
    <x v="4"/>
    <d v="2024-05-27T00:00:00"/>
    <x v="0"/>
    <n v="19"/>
    <x v="1834"/>
    <x v="1"/>
    <x v="12"/>
    <n v="3"/>
    <n v="1000"/>
    <n v="3000"/>
    <n v="0"/>
  </r>
  <r>
    <n v="1880"/>
    <n v="1942"/>
    <n v="1"/>
    <x v="4"/>
    <d v="2024-05-27T00:00:00"/>
    <x v="0"/>
    <n v="18"/>
    <x v="1835"/>
    <x v="2"/>
    <x v="5"/>
    <n v="2"/>
    <n v="20"/>
    <n v="40"/>
    <n v="1"/>
  </r>
  <r>
    <n v="1881"/>
    <n v="1943"/>
    <n v="1"/>
    <x v="4"/>
    <d v="2024-05-27T00:00:00"/>
    <x v="0"/>
    <n v="15"/>
    <x v="1836"/>
    <x v="3"/>
    <x v="13"/>
    <n v="1"/>
    <n v="55"/>
    <n v="55"/>
    <n v="1"/>
  </r>
  <r>
    <n v="1882"/>
    <n v="1944"/>
    <n v="0.33333333333333331"/>
    <x v="4"/>
    <d v="2024-05-28T00:00:00"/>
    <x v="1"/>
    <n v="19"/>
    <x v="1837"/>
    <x v="1"/>
    <x v="1"/>
    <n v="1"/>
    <n v="650"/>
    <n v="650"/>
    <n v="1"/>
  </r>
  <r>
    <n v="1883"/>
    <n v="1944"/>
    <n v="0.33333333333333331"/>
    <x v="4"/>
    <d v="2024-05-28T00:00:00"/>
    <x v="1"/>
    <n v="18"/>
    <x v="1838"/>
    <x v="2"/>
    <x v="15"/>
    <n v="3"/>
    <n v="25"/>
    <n v="75"/>
    <n v="0"/>
  </r>
  <r>
    <n v="1884"/>
    <n v="1944"/>
    <n v="0.33333333333333331"/>
    <x v="4"/>
    <d v="2024-05-28T00:00:00"/>
    <x v="1"/>
    <n v="16"/>
    <x v="1839"/>
    <x v="3"/>
    <x v="6"/>
    <n v="3"/>
    <n v="50"/>
    <n v="150"/>
    <n v="0"/>
  </r>
  <r>
    <n v="1885"/>
    <n v="1945"/>
    <n v="0.5"/>
    <x v="4"/>
    <d v="2024-05-28T00:00:00"/>
    <x v="1"/>
    <n v="17"/>
    <x v="1840"/>
    <x v="1"/>
    <x v="4"/>
    <n v="3"/>
    <n v="600"/>
    <n v="1800"/>
    <n v="1"/>
  </r>
  <r>
    <n v="1886"/>
    <n v="1945"/>
    <n v="0.5"/>
    <x v="4"/>
    <d v="2024-05-28T00:00:00"/>
    <x v="1"/>
    <n v="11"/>
    <x v="1841"/>
    <x v="1"/>
    <x v="1"/>
    <n v="1"/>
    <n v="650"/>
    <n v="650"/>
    <n v="0"/>
  </r>
  <r>
    <n v="1887"/>
    <n v="1946"/>
    <n v="0.33333333333333331"/>
    <x v="4"/>
    <d v="2024-05-28T00:00:00"/>
    <x v="1"/>
    <n v="17"/>
    <x v="1842"/>
    <x v="1"/>
    <x v="12"/>
    <n v="5"/>
    <n v="1000"/>
    <n v="5000"/>
    <n v="1"/>
  </r>
  <r>
    <n v="1888"/>
    <n v="1946"/>
    <n v="0.33333333333333331"/>
    <x v="4"/>
    <d v="2024-05-28T00:00:00"/>
    <x v="1"/>
    <n v="18"/>
    <x v="1843"/>
    <x v="1"/>
    <x v="2"/>
    <n v="2"/>
    <n v="680"/>
    <n v="1360"/>
    <n v="0"/>
  </r>
  <r>
    <n v="1889"/>
    <n v="1946"/>
    <n v="0.33333333333333331"/>
    <x v="4"/>
    <d v="2024-05-28T00:00:00"/>
    <x v="1"/>
    <n v="19"/>
    <x v="1844"/>
    <x v="2"/>
    <x v="5"/>
    <n v="2"/>
    <n v="20"/>
    <n v="40"/>
    <n v="0"/>
  </r>
  <r>
    <n v="1890"/>
    <n v="1947"/>
    <n v="0.33333333333333331"/>
    <x v="4"/>
    <d v="2024-05-28T00:00:00"/>
    <x v="1"/>
    <n v="11"/>
    <x v="1845"/>
    <x v="1"/>
    <x v="3"/>
    <n v="1"/>
    <n v="700"/>
    <n v="700"/>
    <n v="1"/>
  </r>
  <r>
    <n v="1891"/>
    <n v="1947"/>
    <n v="0.33333333333333331"/>
    <x v="4"/>
    <d v="2024-05-28T00:00:00"/>
    <x v="1"/>
    <n v="18"/>
    <x v="1846"/>
    <x v="3"/>
    <x v="17"/>
    <n v="5"/>
    <n v="60"/>
    <n v="300"/>
    <n v="0"/>
  </r>
  <r>
    <n v="1892"/>
    <n v="1947"/>
    <n v="0.33333333333333331"/>
    <x v="4"/>
    <d v="2024-05-28T00:00:00"/>
    <x v="1"/>
    <n v="18"/>
    <x v="1847"/>
    <x v="3"/>
    <x v="17"/>
    <n v="2"/>
    <n v="60"/>
    <n v="120"/>
    <n v="0"/>
  </r>
  <r>
    <n v="1893"/>
    <n v="1948"/>
    <n v="0.33333333333333331"/>
    <x v="4"/>
    <d v="2024-05-28T00:00:00"/>
    <x v="1"/>
    <n v="10"/>
    <x v="1848"/>
    <x v="1"/>
    <x v="2"/>
    <n v="5"/>
    <n v="680"/>
    <n v="3400"/>
    <n v="1"/>
  </r>
  <r>
    <n v="1894"/>
    <n v="1948"/>
    <n v="0.33333333333333331"/>
    <x v="4"/>
    <d v="2024-05-28T00:00:00"/>
    <x v="1"/>
    <n v="12"/>
    <x v="1849"/>
    <x v="0"/>
    <x v="7"/>
    <n v="1"/>
    <n v="25"/>
    <n v="25"/>
    <n v="0"/>
  </r>
  <r>
    <n v="1895"/>
    <n v="1948"/>
    <n v="0.33333333333333331"/>
    <x v="4"/>
    <d v="2024-05-28T00:00:00"/>
    <x v="1"/>
    <n v="12"/>
    <x v="1850"/>
    <x v="2"/>
    <x v="15"/>
    <n v="4"/>
    <n v="25"/>
    <n v="100"/>
    <n v="0"/>
  </r>
  <r>
    <n v="1896"/>
    <n v="1949"/>
    <n v="1"/>
    <x v="4"/>
    <d v="2024-05-28T00:00:00"/>
    <x v="1"/>
    <n v="16"/>
    <x v="1851"/>
    <x v="0"/>
    <x v="0"/>
    <n v="2"/>
    <n v="20"/>
    <n v="40"/>
    <n v="1"/>
  </r>
  <r>
    <n v="1897"/>
    <n v="1950"/>
    <n v="1"/>
    <x v="4"/>
    <d v="2024-05-28T00:00:00"/>
    <x v="1"/>
    <n v="10"/>
    <x v="1852"/>
    <x v="2"/>
    <x v="5"/>
    <n v="5"/>
    <n v="20"/>
    <n v="100"/>
    <n v="1"/>
  </r>
  <r>
    <n v="1898"/>
    <n v="1951"/>
    <n v="0.5"/>
    <x v="4"/>
    <d v="2024-05-28T00:00:00"/>
    <x v="1"/>
    <n v="17"/>
    <x v="1853"/>
    <x v="1"/>
    <x v="12"/>
    <n v="4"/>
    <n v="1000"/>
    <n v="4000"/>
    <n v="1"/>
  </r>
  <r>
    <n v="1899"/>
    <n v="1951"/>
    <n v="0.5"/>
    <x v="4"/>
    <d v="2024-05-28T00:00:00"/>
    <x v="1"/>
    <n v="18"/>
    <x v="1854"/>
    <x v="0"/>
    <x v="0"/>
    <n v="2"/>
    <n v="20"/>
    <n v="40"/>
    <n v="0"/>
  </r>
  <r>
    <n v="1900"/>
    <n v="1952"/>
    <n v="0.5"/>
    <x v="4"/>
    <d v="2024-05-28T00:00:00"/>
    <x v="1"/>
    <n v="9"/>
    <x v="1855"/>
    <x v="1"/>
    <x v="4"/>
    <n v="5"/>
    <n v="600"/>
    <n v="3000"/>
    <n v="1"/>
  </r>
  <r>
    <n v="1901"/>
    <n v="1952"/>
    <n v="0.5"/>
    <x v="4"/>
    <d v="2024-05-28T00:00:00"/>
    <x v="1"/>
    <n v="17"/>
    <x v="425"/>
    <x v="3"/>
    <x v="17"/>
    <n v="3"/>
    <n v="60"/>
    <n v="180"/>
    <n v="0"/>
  </r>
  <r>
    <n v="1902"/>
    <n v="1953"/>
    <n v="0.5"/>
    <x v="4"/>
    <d v="2024-05-29T00:00:00"/>
    <x v="2"/>
    <n v="12"/>
    <x v="1856"/>
    <x v="2"/>
    <x v="15"/>
    <n v="1"/>
    <n v="25"/>
    <n v="25"/>
    <n v="1"/>
  </r>
  <r>
    <n v="1903"/>
    <n v="1953"/>
    <n v="0.5"/>
    <x v="4"/>
    <d v="2024-05-29T00:00:00"/>
    <x v="2"/>
    <n v="16"/>
    <x v="1857"/>
    <x v="3"/>
    <x v="13"/>
    <n v="2"/>
    <n v="55"/>
    <n v="110"/>
    <n v="0"/>
  </r>
  <r>
    <n v="1904"/>
    <n v="1954"/>
    <n v="1"/>
    <x v="4"/>
    <d v="2024-05-29T00:00:00"/>
    <x v="2"/>
    <n v="14"/>
    <x v="1858"/>
    <x v="1"/>
    <x v="3"/>
    <n v="1"/>
    <n v="700"/>
    <n v="700"/>
    <n v="1"/>
  </r>
  <r>
    <n v="1905"/>
    <n v="1955"/>
    <n v="1"/>
    <x v="4"/>
    <d v="2024-05-29T00:00:00"/>
    <x v="2"/>
    <n v="15"/>
    <x v="1859"/>
    <x v="1"/>
    <x v="4"/>
    <n v="1"/>
    <n v="600"/>
    <n v="600"/>
    <n v="1"/>
  </r>
  <r>
    <n v="1906"/>
    <n v="1956"/>
    <n v="0.33333333333333331"/>
    <x v="4"/>
    <d v="2024-05-29T00:00:00"/>
    <x v="2"/>
    <n v="20"/>
    <x v="1775"/>
    <x v="2"/>
    <x v="5"/>
    <n v="1"/>
    <n v="20"/>
    <n v="20"/>
    <n v="1"/>
  </r>
  <r>
    <n v="1907"/>
    <n v="1956"/>
    <n v="0.33333333333333331"/>
    <x v="4"/>
    <d v="2024-05-29T00:00:00"/>
    <x v="2"/>
    <n v="12"/>
    <x v="1860"/>
    <x v="0"/>
    <x v="8"/>
    <n v="2"/>
    <n v="10"/>
    <n v="20"/>
    <n v="0"/>
  </r>
  <r>
    <n v="1908"/>
    <n v="1956"/>
    <n v="0.33333333333333331"/>
    <x v="4"/>
    <d v="2024-05-29T00:00:00"/>
    <x v="2"/>
    <n v="14"/>
    <x v="1861"/>
    <x v="2"/>
    <x v="5"/>
    <n v="5"/>
    <n v="20"/>
    <n v="100"/>
    <n v="0"/>
  </r>
  <r>
    <n v="1909"/>
    <n v="1957"/>
    <n v="1"/>
    <x v="4"/>
    <d v="2024-05-29T00:00:00"/>
    <x v="2"/>
    <n v="14"/>
    <x v="1862"/>
    <x v="0"/>
    <x v="0"/>
    <n v="4"/>
    <n v="20"/>
    <n v="80"/>
    <n v="1"/>
  </r>
  <r>
    <n v="1910"/>
    <n v="1958"/>
    <n v="0.33333333333333331"/>
    <x v="4"/>
    <d v="2024-05-30T00:00:00"/>
    <x v="3"/>
    <n v="9"/>
    <x v="1863"/>
    <x v="3"/>
    <x v="6"/>
    <n v="2"/>
    <n v="50"/>
    <n v="100"/>
    <n v="1"/>
  </r>
  <r>
    <n v="1911"/>
    <n v="1958"/>
    <n v="0.33333333333333331"/>
    <x v="4"/>
    <d v="2024-05-30T00:00:00"/>
    <x v="3"/>
    <n v="11"/>
    <x v="1864"/>
    <x v="2"/>
    <x v="10"/>
    <n v="3"/>
    <n v="30"/>
    <n v="90"/>
    <n v="0"/>
  </r>
  <r>
    <n v="1912"/>
    <n v="1958"/>
    <n v="0.33333333333333331"/>
    <x v="4"/>
    <d v="2024-05-30T00:00:00"/>
    <x v="3"/>
    <n v="10"/>
    <x v="1865"/>
    <x v="0"/>
    <x v="16"/>
    <n v="5"/>
    <n v="5"/>
    <n v="25"/>
    <n v="0"/>
  </r>
  <r>
    <n v="1913"/>
    <n v="1959"/>
    <n v="0.33333333333333331"/>
    <x v="4"/>
    <d v="2024-05-30T00:00:00"/>
    <x v="3"/>
    <n v="13"/>
    <x v="1866"/>
    <x v="2"/>
    <x v="5"/>
    <n v="1"/>
    <n v="20"/>
    <n v="20"/>
    <n v="1"/>
  </r>
  <r>
    <n v="1914"/>
    <n v="1959"/>
    <n v="0.33333333333333331"/>
    <x v="4"/>
    <d v="2024-05-30T00:00:00"/>
    <x v="3"/>
    <n v="11"/>
    <x v="1867"/>
    <x v="0"/>
    <x v="16"/>
    <n v="4"/>
    <n v="5"/>
    <n v="20"/>
    <n v="0"/>
  </r>
  <r>
    <n v="1915"/>
    <n v="1959"/>
    <n v="0.33333333333333331"/>
    <x v="4"/>
    <d v="2024-05-30T00:00:00"/>
    <x v="3"/>
    <n v="16"/>
    <x v="1868"/>
    <x v="0"/>
    <x v="16"/>
    <n v="4"/>
    <n v="5"/>
    <n v="20"/>
    <n v="0"/>
  </r>
  <r>
    <n v="1916"/>
    <n v="1960"/>
    <n v="1"/>
    <x v="4"/>
    <d v="2024-05-30T00:00:00"/>
    <x v="3"/>
    <n v="19"/>
    <x v="1869"/>
    <x v="2"/>
    <x v="5"/>
    <n v="5"/>
    <n v="20"/>
    <n v="100"/>
    <n v="1"/>
  </r>
  <r>
    <n v="1917"/>
    <n v="1961"/>
    <n v="0.33333333333333331"/>
    <x v="4"/>
    <d v="2024-05-30T00:00:00"/>
    <x v="3"/>
    <n v="12"/>
    <x v="1870"/>
    <x v="3"/>
    <x v="6"/>
    <n v="5"/>
    <n v="50"/>
    <n v="250"/>
    <n v="1"/>
  </r>
  <r>
    <n v="1918"/>
    <n v="1961"/>
    <n v="0.33333333333333331"/>
    <x v="4"/>
    <d v="2024-05-30T00:00:00"/>
    <x v="3"/>
    <n v="16"/>
    <x v="1871"/>
    <x v="0"/>
    <x v="0"/>
    <n v="3"/>
    <n v="20"/>
    <n v="60"/>
    <n v="0"/>
  </r>
  <r>
    <n v="1919"/>
    <n v="1961"/>
    <n v="0.33333333333333331"/>
    <x v="4"/>
    <d v="2024-05-30T00:00:00"/>
    <x v="3"/>
    <n v="9"/>
    <x v="478"/>
    <x v="0"/>
    <x v="7"/>
    <n v="4"/>
    <n v="25"/>
    <n v="100"/>
    <n v="0"/>
  </r>
  <r>
    <n v="1920"/>
    <n v="1962"/>
    <n v="0.33333333333333331"/>
    <x v="4"/>
    <d v="2024-05-31T00:00:00"/>
    <x v="4"/>
    <n v="16"/>
    <x v="1872"/>
    <x v="2"/>
    <x v="5"/>
    <n v="2"/>
    <n v="20"/>
    <n v="40"/>
    <n v="1"/>
  </r>
  <r>
    <n v="1921"/>
    <n v="1962"/>
    <n v="0.33333333333333331"/>
    <x v="4"/>
    <d v="2024-05-31T00:00:00"/>
    <x v="4"/>
    <n v="11"/>
    <x v="482"/>
    <x v="3"/>
    <x v="13"/>
    <n v="1"/>
    <n v="55"/>
    <n v="55"/>
    <n v="0"/>
  </r>
  <r>
    <n v="1922"/>
    <n v="1962"/>
    <n v="0.33333333333333331"/>
    <x v="4"/>
    <d v="2024-05-31T00:00:00"/>
    <x v="4"/>
    <n v="11"/>
    <x v="1873"/>
    <x v="1"/>
    <x v="12"/>
    <n v="5"/>
    <n v="1000"/>
    <n v="5000"/>
    <n v="0"/>
  </r>
  <r>
    <n v="1923"/>
    <n v="1963"/>
    <n v="1"/>
    <x v="4"/>
    <d v="2024-05-31T00:00:00"/>
    <x v="4"/>
    <n v="15"/>
    <x v="1874"/>
    <x v="2"/>
    <x v="10"/>
    <n v="1"/>
    <n v="30"/>
    <n v="30"/>
    <n v="1"/>
  </r>
  <r>
    <n v="1924"/>
    <n v="1964"/>
    <n v="0.5"/>
    <x v="4"/>
    <d v="2024-05-31T00:00:00"/>
    <x v="4"/>
    <n v="10"/>
    <x v="1875"/>
    <x v="1"/>
    <x v="3"/>
    <n v="3"/>
    <n v="700"/>
    <n v="2100"/>
    <n v="1"/>
  </r>
  <r>
    <n v="1925"/>
    <n v="1964"/>
    <n v="0.5"/>
    <x v="4"/>
    <d v="2024-05-31T00:00:00"/>
    <x v="4"/>
    <n v="16"/>
    <x v="1876"/>
    <x v="2"/>
    <x v="10"/>
    <n v="2"/>
    <n v="30"/>
    <n v="60"/>
    <n v="0"/>
  </r>
  <r>
    <n v="1926"/>
    <n v="1965"/>
    <n v="0.5"/>
    <x v="4"/>
    <d v="2024-05-31T00:00:00"/>
    <x v="4"/>
    <n v="18"/>
    <x v="1877"/>
    <x v="0"/>
    <x v="8"/>
    <n v="3"/>
    <n v="10"/>
    <n v="30"/>
    <n v="1"/>
  </r>
  <r>
    <n v="1927"/>
    <n v="1965"/>
    <n v="0.5"/>
    <x v="4"/>
    <d v="2024-05-31T00:00:00"/>
    <x v="4"/>
    <n v="14"/>
    <x v="1878"/>
    <x v="1"/>
    <x v="1"/>
    <n v="1"/>
    <n v="650"/>
    <n v="650"/>
    <n v="0"/>
  </r>
  <r>
    <n v="1928"/>
    <n v="1966"/>
    <n v="1"/>
    <x v="4"/>
    <d v="2024-05-31T00:00:00"/>
    <x v="4"/>
    <n v="18"/>
    <x v="1683"/>
    <x v="2"/>
    <x v="5"/>
    <n v="2"/>
    <n v="20"/>
    <n v="40"/>
    <n v="1"/>
  </r>
  <r>
    <n v="1929"/>
    <n v="1967"/>
    <n v="0.33333333333333331"/>
    <x v="4"/>
    <d v="2024-05-31T00:00:00"/>
    <x v="4"/>
    <n v="19"/>
    <x v="1879"/>
    <x v="0"/>
    <x v="8"/>
    <n v="1"/>
    <n v="10"/>
    <n v="10"/>
    <n v="1"/>
  </r>
  <r>
    <n v="1930"/>
    <n v="1967"/>
    <n v="0.33333333333333331"/>
    <x v="4"/>
    <d v="2024-05-31T00:00:00"/>
    <x v="4"/>
    <n v="18"/>
    <x v="1880"/>
    <x v="1"/>
    <x v="3"/>
    <n v="3"/>
    <n v="700"/>
    <n v="2100"/>
    <n v="0"/>
  </r>
  <r>
    <n v="1931"/>
    <n v="1967"/>
    <n v="0.33333333333333331"/>
    <x v="4"/>
    <d v="2024-05-31T00:00:00"/>
    <x v="4"/>
    <n v="9"/>
    <x v="1881"/>
    <x v="0"/>
    <x v="7"/>
    <n v="2"/>
    <n v="25"/>
    <n v="50"/>
    <n v="0"/>
  </r>
  <r>
    <n v="1932"/>
    <n v="1968"/>
    <n v="0.5"/>
    <x v="4"/>
    <d v="2024-05-31T00:00:00"/>
    <x v="4"/>
    <n v="14"/>
    <x v="1882"/>
    <x v="3"/>
    <x v="14"/>
    <n v="5"/>
    <n v="40"/>
    <n v="200"/>
    <n v="1"/>
  </r>
  <r>
    <n v="1933"/>
    <n v="1968"/>
    <n v="0.5"/>
    <x v="4"/>
    <d v="2024-05-31T00:00:00"/>
    <x v="4"/>
    <n v="11"/>
    <x v="1883"/>
    <x v="2"/>
    <x v="10"/>
    <n v="4"/>
    <n v="30"/>
    <n v="120"/>
    <n v="0"/>
  </r>
  <r>
    <n v="1934"/>
    <n v="1969"/>
    <n v="0.33333333333333331"/>
    <x v="4"/>
    <d v="2024-05-31T00:00:00"/>
    <x v="4"/>
    <n v="9"/>
    <x v="1884"/>
    <x v="3"/>
    <x v="6"/>
    <n v="2"/>
    <n v="50"/>
    <n v="100"/>
    <n v="1"/>
  </r>
  <r>
    <n v="1935"/>
    <n v="1969"/>
    <n v="0.33333333333333331"/>
    <x v="4"/>
    <d v="2024-05-31T00:00:00"/>
    <x v="4"/>
    <n v="9"/>
    <x v="1885"/>
    <x v="2"/>
    <x v="15"/>
    <n v="2"/>
    <n v="25"/>
    <n v="50"/>
    <n v="0"/>
  </r>
  <r>
    <n v="1936"/>
    <n v="1969"/>
    <n v="0.33333333333333331"/>
    <x v="4"/>
    <d v="2024-05-31T00:00:00"/>
    <x v="4"/>
    <n v="17"/>
    <x v="1886"/>
    <x v="1"/>
    <x v="3"/>
    <n v="2"/>
    <n v="700"/>
    <n v="1400"/>
    <n v="0"/>
  </r>
  <r>
    <n v="1937"/>
    <n v="1970"/>
    <n v="0.5"/>
    <x v="4"/>
    <d v="2024-05-31T00:00:00"/>
    <x v="4"/>
    <n v="14"/>
    <x v="1887"/>
    <x v="2"/>
    <x v="5"/>
    <n v="4"/>
    <n v="20"/>
    <n v="80"/>
    <n v="1"/>
  </r>
  <r>
    <n v="1938"/>
    <n v="1970"/>
    <n v="0.5"/>
    <x v="4"/>
    <d v="2024-05-31T00:00:00"/>
    <x v="4"/>
    <n v="15"/>
    <x v="1888"/>
    <x v="3"/>
    <x v="6"/>
    <n v="4"/>
    <n v="50"/>
    <n v="200"/>
    <n v="0"/>
  </r>
  <r>
    <n v="1939"/>
    <n v="1971"/>
    <n v="1"/>
    <x v="4"/>
    <d v="2024-05-31T00:00:00"/>
    <x v="4"/>
    <n v="17"/>
    <x v="1889"/>
    <x v="3"/>
    <x v="13"/>
    <n v="1"/>
    <n v="55"/>
    <n v="55"/>
    <n v="1"/>
  </r>
  <r>
    <n v="1940"/>
    <n v="1972"/>
    <n v="0.5"/>
    <x v="5"/>
    <d v="2024-06-01T00:00:00"/>
    <x v="5"/>
    <n v="14"/>
    <x v="1890"/>
    <x v="0"/>
    <x v="9"/>
    <n v="3"/>
    <n v="15"/>
    <n v="45"/>
    <n v="1"/>
  </r>
  <r>
    <n v="1941"/>
    <n v="1972"/>
    <n v="0.5"/>
    <x v="5"/>
    <d v="2024-06-01T00:00:00"/>
    <x v="5"/>
    <n v="18"/>
    <x v="1891"/>
    <x v="0"/>
    <x v="8"/>
    <n v="5"/>
    <n v="10"/>
    <n v="50"/>
    <n v="0"/>
  </r>
  <r>
    <n v="1942"/>
    <n v="1973"/>
    <n v="1"/>
    <x v="5"/>
    <d v="2024-06-01T00:00:00"/>
    <x v="5"/>
    <n v="13"/>
    <x v="1892"/>
    <x v="1"/>
    <x v="1"/>
    <n v="4"/>
    <n v="650"/>
    <n v="2600"/>
    <n v="1"/>
  </r>
  <r>
    <n v="1943"/>
    <n v="1974"/>
    <n v="0.5"/>
    <x v="5"/>
    <d v="2024-06-01T00:00:00"/>
    <x v="5"/>
    <n v="9"/>
    <x v="1893"/>
    <x v="2"/>
    <x v="10"/>
    <n v="4"/>
    <n v="30"/>
    <n v="120"/>
    <n v="1"/>
  </r>
  <r>
    <n v="1944"/>
    <n v="1974"/>
    <n v="0.5"/>
    <x v="5"/>
    <d v="2024-06-01T00:00:00"/>
    <x v="5"/>
    <n v="10"/>
    <x v="1894"/>
    <x v="1"/>
    <x v="2"/>
    <n v="2"/>
    <n v="680"/>
    <n v="1360"/>
    <n v="0"/>
  </r>
  <r>
    <n v="1945"/>
    <n v="1975"/>
    <n v="1"/>
    <x v="5"/>
    <d v="2024-06-02T00:00:00"/>
    <x v="6"/>
    <n v="10"/>
    <x v="1895"/>
    <x v="2"/>
    <x v="5"/>
    <n v="2"/>
    <n v="20"/>
    <n v="40"/>
    <n v="1"/>
  </r>
  <r>
    <n v="1946"/>
    <n v="1976"/>
    <n v="1"/>
    <x v="5"/>
    <d v="2024-06-02T00:00:00"/>
    <x v="6"/>
    <n v="18"/>
    <x v="1896"/>
    <x v="1"/>
    <x v="2"/>
    <n v="3"/>
    <n v="680"/>
    <n v="2040"/>
    <n v="1"/>
  </r>
  <r>
    <n v="1947"/>
    <n v="1977"/>
    <n v="0.5"/>
    <x v="5"/>
    <d v="2024-06-02T00:00:00"/>
    <x v="6"/>
    <n v="13"/>
    <x v="1897"/>
    <x v="0"/>
    <x v="8"/>
    <n v="1"/>
    <n v="10"/>
    <n v="10"/>
    <n v="1"/>
  </r>
  <r>
    <n v="1948"/>
    <n v="1977"/>
    <n v="0.5"/>
    <x v="5"/>
    <d v="2024-06-02T00:00:00"/>
    <x v="6"/>
    <n v="13"/>
    <x v="1898"/>
    <x v="0"/>
    <x v="7"/>
    <n v="3"/>
    <n v="25"/>
    <n v="75"/>
    <n v="0"/>
  </r>
  <r>
    <n v="1949"/>
    <n v="1978"/>
    <n v="0.5"/>
    <x v="5"/>
    <d v="2024-06-02T00:00:00"/>
    <x v="6"/>
    <n v="13"/>
    <x v="1899"/>
    <x v="3"/>
    <x v="18"/>
    <n v="2"/>
    <n v="45"/>
    <n v="90"/>
    <n v="1"/>
  </r>
  <r>
    <n v="1950"/>
    <n v="1978"/>
    <n v="0.5"/>
    <x v="5"/>
    <d v="2024-06-02T00:00:00"/>
    <x v="6"/>
    <n v="10"/>
    <x v="1900"/>
    <x v="2"/>
    <x v="11"/>
    <n v="4"/>
    <n v="35"/>
    <n v="140"/>
    <n v="0"/>
  </r>
  <r>
    <n v="1951"/>
    <n v="1979"/>
    <n v="0.33333333333333331"/>
    <x v="5"/>
    <d v="2024-06-02T00:00:00"/>
    <x v="6"/>
    <n v="9"/>
    <x v="1901"/>
    <x v="0"/>
    <x v="8"/>
    <n v="4"/>
    <n v="10"/>
    <n v="40"/>
    <n v="1"/>
  </r>
  <r>
    <n v="1952"/>
    <n v="1979"/>
    <n v="0.33333333333333331"/>
    <x v="5"/>
    <d v="2024-06-02T00:00:00"/>
    <x v="6"/>
    <n v="17"/>
    <x v="1902"/>
    <x v="2"/>
    <x v="5"/>
    <n v="5"/>
    <n v="20"/>
    <n v="100"/>
    <n v="0"/>
  </r>
  <r>
    <n v="1953"/>
    <n v="1979"/>
    <n v="0.33333333333333331"/>
    <x v="5"/>
    <d v="2024-06-02T00:00:00"/>
    <x v="6"/>
    <n v="10"/>
    <x v="1903"/>
    <x v="0"/>
    <x v="16"/>
    <n v="4"/>
    <n v="5"/>
    <n v="20"/>
    <n v="0"/>
  </r>
  <r>
    <n v="1954"/>
    <n v="1980"/>
    <n v="1"/>
    <x v="5"/>
    <d v="2024-06-02T00:00:00"/>
    <x v="6"/>
    <n v="14"/>
    <x v="1904"/>
    <x v="0"/>
    <x v="9"/>
    <n v="1"/>
    <n v="15"/>
    <n v="15"/>
    <n v="1"/>
  </r>
  <r>
    <n v="1955"/>
    <n v="1981"/>
    <n v="0.5"/>
    <x v="5"/>
    <d v="2024-06-02T00:00:00"/>
    <x v="6"/>
    <n v="10"/>
    <x v="1905"/>
    <x v="2"/>
    <x v="5"/>
    <n v="2"/>
    <n v="20"/>
    <n v="40"/>
    <n v="1"/>
  </r>
  <r>
    <n v="1956"/>
    <n v="1981"/>
    <n v="0.5"/>
    <x v="5"/>
    <d v="2024-06-02T00:00:00"/>
    <x v="6"/>
    <n v="11"/>
    <x v="1906"/>
    <x v="3"/>
    <x v="17"/>
    <n v="5"/>
    <n v="60"/>
    <n v="300"/>
    <n v="0"/>
  </r>
  <r>
    <n v="1957"/>
    <n v="1982"/>
    <n v="0.33333333333333331"/>
    <x v="5"/>
    <d v="2024-06-02T00:00:00"/>
    <x v="6"/>
    <n v="9"/>
    <x v="1907"/>
    <x v="1"/>
    <x v="3"/>
    <n v="3"/>
    <n v="700"/>
    <n v="2100"/>
    <n v="1"/>
  </r>
  <r>
    <n v="1958"/>
    <n v="1982"/>
    <n v="0.33333333333333331"/>
    <x v="5"/>
    <d v="2024-06-02T00:00:00"/>
    <x v="6"/>
    <n v="17"/>
    <x v="1908"/>
    <x v="1"/>
    <x v="3"/>
    <n v="4"/>
    <n v="700"/>
    <n v="2800"/>
    <n v="0"/>
  </r>
  <r>
    <n v="1959"/>
    <n v="1982"/>
    <n v="0.33333333333333331"/>
    <x v="5"/>
    <d v="2024-06-02T00:00:00"/>
    <x v="6"/>
    <n v="18"/>
    <x v="1909"/>
    <x v="0"/>
    <x v="0"/>
    <n v="3"/>
    <n v="20"/>
    <n v="60"/>
    <n v="0"/>
  </r>
  <r>
    <n v="1960"/>
    <n v="1983"/>
    <n v="0.5"/>
    <x v="5"/>
    <d v="2024-06-03T00:00:00"/>
    <x v="0"/>
    <n v="11"/>
    <x v="1910"/>
    <x v="1"/>
    <x v="4"/>
    <n v="3"/>
    <n v="600"/>
    <n v="1800"/>
    <n v="1"/>
  </r>
  <r>
    <n v="1961"/>
    <n v="1983"/>
    <n v="0.5"/>
    <x v="5"/>
    <d v="2024-06-03T00:00:00"/>
    <x v="0"/>
    <n v="11"/>
    <x v="1911"/>
    <x v="0"/>
    <x v="7"/>
    <n v="3"/>
    <n v="25"/>
    <n v="75"/>
    <n v="0"/>
  </r>
  <r>
    <n v="1962"/>
    <n v="1984"/>
    <n v="1"/>
    <x v="5"/>
    <d v="2024-06-03T00:00:00"/>
    <x v="0"/>
    <n v="20"/>
    <x v="1912"/>
    <x v="0"/>
    <x v="9"/>
    <n v="4"/>
    <n v="15"/>
    <n v="60"/>
    <n v="1"/>
  </r>
  <r>
    <n v="1963"/>
    <n v="1985"/>
    <n v="0.5"/>
    <x v="5"/>
    <d v="2024-06-03T00:00:00"/>
    <x v="0"/>
    <n v="13"/>
    <x v="1913"/>
    <x v="0"/>
    <x v="16"/>
    <n v="1"/>
    <n v="5"/>
    <n v="5"/>
    <n v="1"/>
  </r>
  <r>
    <n v="1964"/>
    <n v="1985"/>
    <n v="0.5"/>
    <x v="5"/>
    <d v="2024-06-03T00:00:00"/>
    <x v="0"/>
    <n v="11"/>
    <x v="1914"/>
    <x v="3"/>
    <x v="6"/>
    <n v="2"/>
    <n v="50"/>
    <n v="100"/>
    <n v="0"/>
  </r>
  <r>
    <n v="1965"/>
    <n v="1986"/>
    <n v="1"/>
    <x v="5"/>
    <d v="2024-06-03T00:00:00"/>
    <x v="0"/>
    <n v="13"/>
    <x v="1915"/>
    <x v="1"/>
    <x v="1"/>
    <n v="1"/>
    <n v="650"/>
    <n v="650"/>
    <n v="1"/>
  </r>
  <r>
    <n v="1966"/>
    <n v="1987"/>
    <n v="0.5"/>
    <x v="5"/>
    <d v="2024-06-03T00:00:00"/>
    <x v="0"/>
    <n v="12"/>
    <x v="1916"/>
    <x v="3"/>
    <x v="18"/>
    <n v="3"/>
    <n v="45"/>
    <n v="135"/>
    <n v="1"/>
  </r>
  <r>
    <n v="1967"/>
    <n v="1987"/>
    <n v="0.5"/>
    <x v="5"/>
    <d v="2024-06-03T00:00:00"/>
    <x v="0"/>
    <n v="10"/>
    <x v="1917"/>
    <x v="3"/>
    <x v="13"/>
    <n v="4"/>
    <n v="55"/>
    <n v="220"/>
    <n v="0"/>
  </r>
  <r>
    <n v="1968"/>
    <n v="1988"/>
    <n v="0.5"/>
    <x v="5"/>
    <d v="2024-06-03T00:00:00"/>
    <x v="0"/>
    <n v="18"/>
    <x v="1918"/>
    <x v="2"/>
    <x v="11"/>
    <n v="1"/>
    <n v="35"/>
    <n v="35"/>
    <n v="1"/>
  </r>
  <r>
    <n v="1969"/>
    <n v="1988"/>
    <n v="0.5"/>
    <x v="5"/>
    <d v="2024-06-03T00:00:00"/>
    <x v="0"/>
    <n v="18"/>
    <x v="1919"/>
    <x v="1"/>
    <x v="4"/>
    <n v="3"/>
    <n v="600"/>
    <n v="1800"/>
    <n v="0"/>
  </r>
  <r>
    <n v="1970"/>
    <n v="1989"/>
    <n v="1"/>
    <x v="5"/>
    <d v="2024-06-03T00:00:00"/>
    <x v="0"/>
    <n v="12"/>
    <x v="1920"/>
    <x v="3"/>
    <x v="6"/>
    <n v="1"/>
    <n v="50"/>
    <n v="50"/>
    <n v="1"/>
  </r>
  <r>
    <n v="1971"/>
    <n v="1990"/>
    <n v="0.5"/>
    <x v="5"/>
    <d v="2024-06-03T00:00:00"/>
    <x v="0"/>
    <n v="11"/>
    <x v="1921"/>
    <x v="0"/>
    <x v="0"/>
    <n v="4"/>
    <n v="20"/>
    <n v="80"/>
    <n v="1"/>
  </r>
  <r>
    <n v="1972"/>
    <n v="1990"/>
    <n v="0.5"/>
    <x v="5"/>
    <d v="2024-06-03T00:00:00"/>
    <x v="0"/>
    <n v="10"/>
    <x v="1922"/>
    <x v="0"/>
    <x v="7"/>
    <n v="2"/>
    <n v="25"/>
    <n v="50"/>
    <n v="0"/>
  </r>
  <r>
    <n v="1973"/>
    <n v="1991"/>
    <n v="0.33333333333333331"/>
    <x v="5"/>
    <d v="2024-06-03T00:00:00"/>
    <x v="0"/>
    <n v="19"/>
    <x v="1923"/>
    <x v="2"/>
    <x v="11"/>
    <n v="4"/>
    <n v="35"/>
    <n v="140"/>
    <n v="1"/>
  </r>
  <r>
    <n v="1974"/>
    <n v="1991"/>
    <n v="0.33333333333333331"/>
    <x v="5"/>
    <d v="2024-06-03T00:00:00"/>
    <x v="0"/>
    <n v="14"/>
    <x v="1924"/>
    <x v="3"/>
    <x v="18"/>
    <n v="4"/>
    <n v="45"/>
    <n v="180"/>
    <n v="0"/>
  </r>
  <r>
    <n v="1975"/>
    <n v="1991"/>
    <n v="0.33333333333333331"/>
    <x v="5"/>
    <d v="2024-06-03T00:00:00"/>
    <x v="0"/>
    <n v="10"/>
    <x v="1925"/>
    <x v="2"/>
    <x v="15"/>
    <n v="1"/>
    <n v="25"/>
    <n v="25"/>
    <n v="0"/>
  </r>
  <r>
    <n v="1976"/>
    <n v="1992"/>
    <n v="1"/>
    <x v="5"/>
    <d v="2024-06-03T00:00:00"/>
    <x v="0"/>
    <n v="19"/>
    <x v="1926"/>
    <x v="0"/>
    <x v="9"/>
    <n v="1"/>
    <n v="15"/>
    <n v="15"/>
    <n v="1"/>
  </r>
  <r>
    <n v="1977"/>
    <n v="1993"/>
    <n v="0.33333333333333331"/>
    <x v="5"/>
    <d v="2024-06-04T00:00:00"/>
    <x v="1"/>
    <n v="12"/>
    <x v="1927"/>
    <x v="1"/>
    <x v="1"/>
    <n v="4"/>
    <n v="650"/>
    <n v="2600"/>
    <n v="1"/>
  </r>
  <r>
    <n v="1978"/>
    <n v="1993"/>
    <n v="0.33333333333333331"/>
    <x v="5"/>
    <d v="2024-06-04T00:00:00"/>
    <x v="1"/>
    <n v="13"/>
    <x v="1928"/>
    <x v="1"/>
    <x v="4"/>
    <n v="3"/>
    <n v="600"/>
    <n v="1800"/>
    <n v="0"/>
  </r>
  <r>
    <n v="1979"/>
    <n v="1993"/>
    <n v="0.33333333333333331"/>
    <x v="5"/>
    <d v="2024-06-04T00:00:00"/>
    <x v="1"/>
    <n v="14"/>
    <x v="1929"/>
    <x v="1"/>
    <x v="3"/>
    <n v="1"/>
    <n v="700"/>
    <n v="700"/>
    <n v="0"/>
  </r>
  <r>
    <n v="1980"/>
    <n v="1994"/>
    <n v="0.33333333333333331"/>
    <x v="5"/>
    <d v="2024-06-04T00:00:00"/>
    <x v="1"/>
    <n v="11"/>
    <x v="1930"/>
    <x v="2"/>
    <x v="15"/>
    <n v="2"/>
    <n v="25"/>
    <n v="50"/>
    <n v="1"/>
  </r>
  <r>
    <n v="1981"/>
    <n v="1994"/>
    <n v="0.33333333333333331"/>
    <x v="5"/>
    <d v="2024-06-04T00:00:00"/>
    <x v="1"/>
    <n v="11"/>
    <x v="1931"/>
    <x v="0"/>
    <x v="8"/>
    <n v="1"/>
    <n v="10"/>
    <n v="10"/>
    <n v="0"/>
  </r>
  <r>
    <n v="1982"/>
    <n v="1994"/>
    <n v="0.33333333333333331"/>
    <x v="5"/>
    <d v="2024-06-04T00:00:00"/>
    <x v="1"/>
    <n v="18"/>
    <x v="1932"/>
    <x v="0"/>
    <x v="8"/>
    <n v="1"/>
    <n v="10"/>
    <n v="10"/>
    <n v="0"/>
  </r>
  <r>
    <n v="1983"/>
    <n v="1995"/>
    <n v="0.5"/>
    <x v="5"/>
    <d v="2024-06-04T00:00:00"/>
    <x v="1"/>
    <n v="20"/>
    <x v="1933"/>
    <x v="0"/>
    <x v="16"/>
    <n v="5"/>
    <n v="5"/>
    <n v="25"/>
    <n v="1"/>
  </r>
  <r>
    <n v="1984"/>
    <n v="1995"/>
    <n v="0.5"/>
    <x v="5"/>
    <d v="2024-06-04T00:00:00"/>
    <x v="1"/>
    <n v="16"/>
    <x v="1934"/>
    <x v="2"/>
    <x v="11"/>
    <n v="1"/>
    <n v="35"/>
    <n v="35"/>
    <n v="0"/>
  </r>
  <r>
    <n v="1985"/>
    <n v="1996"/>
    <n v="0.5"/>
    <x v="5"/>
    <d v="2024-06-04T00:00:00"/>
    <x v="1"/>
    <n v="16"/>
    <x v="1935"/>
    <x v="2"/>
    <x v="5"/>
    <n v="5"/>
    <n v="20"/>
    <n v="100"/>
    <n v="1"/>
  </r>
  <r>
    <n v="1986"/>
    <n v="1996"/>
    <n v="0.5"/>
    <x v="5"/>
    <d v="2024-06-04T00:00:00"/>
    <x v="1"/>
    <n v="10"/>
    <x v="1936"/>
    <x v="2"/>
    <x v="10"/>
    <n v="2"/>
    <n v="30"/>
    <n v="60"/>
    <n v="0"/>
  </r>
  <r>
    <n v="1987"/>
    <n v="1997"/>
    <n v="0.5"/>
    <x v="5"/>
    <d v="2024-06-04T00:00:00"/>
    <x v="1"/>
    <n v="10"/>
    <x v="1937"/>
    <x v="1"/>
    <x v="3"/>
    <n v="3"/>
    <n v="700"/>
    <n v="2100"/>
    <n v="1"/>
  </r>
  <r>
    <n v="1988"/>
    <n v="1997"/>
    <n v="0.5"/>
    <x v="5"/>
    <d v="2024-06-04T00:00:00"/>
    <x v="1"/>
    <n v="13"/>
    <x v="1820"/>
    <x v="2"/>
    <x v="5"/>
    <n v="4"/>
    <n v="20"/>
    <n v="80"/>
    <n v="0"/>
  </r>
  <r>
    <n v="1989"/>
    <n v="1998"/>
    <n v="0.5"/>
    <x v="5"/>
    <d v="2024-06-04T00:00:00"/>
    <x v="1"/>
    <n v="11"/>
    <x v="1938"/>
    <x v="1"/>
    <x v="12"/>
    <n v="5"/>
    <n v="1000"/>
    <n v="5000"/>
    <n v="1"/>
  </r>
  <r>
    <n v="1990"/>
    <n v="1998"/>
    <n v="0.5"/>
    <x v="5"/>
    <d v="2024-06-04T00:00:00"/>
    <x v="1"/>
    <n v="17"/>
    <x v="1939"/>
    <x v="0"/>
    <x v="9"/>
    <n v="2"/>
    <n v="15"/>
    <n v="30"/>
    <n v="0"/>
  </r>
  <r>
    <n v="1991"/>
    <n v="1999"/>
    <n v="0.33333333333333331"/>
    <x v="5"/>
    <d v="2024-06-04T00:00:00"/>
    <x v="1"/>
    <n v="18"/>
    <x v="1940"/>
    <x v="0"/>
    <x v="16"/>
    <n v="2"/>
    <n v="5"/>
    <n v="10"/>
    <n v="1"/>
  </r>
  <r>
    <n v="1992"/>
    <n v="1999"/>
    <n v="0.33333333333333331"/>
    <x v="5"/>
    <d v="2024-06-04T00:00:00"/>
    <x v="1"/>
    <n v="19"/>
    <x v="1941"/>
    <x v="1"/>
    <x v="12"/>
    <n v="3"/>
    <n v="1000"/>
    <n v="3000"/>
    <n v="0"/>
  </r>
  <r>
    <n v="1993"/>
    <n v="1999"/>
    <n v="0.33333333333333331"/>
    <x v="5"/>
    <d v="2024-06-04T00:00:00"/>
    <x v="1"/>
    <n v="11"/>
    <x v="1942"/>
    <x v="2"/>
    <x v="15"/>
    <n v="3"/>
    <n v="25"/>
    <n v="75"/>
    <n v="0"/>
  </r>
  <r>
    <n v="1994"/>
    <n v="2000"/>
    <n v="1"/>
    <x v="5"/>
    <d v="2024-06-04T00:00:00"/>
    <x v="1"/>
    <n v="19"/>
    <x v="1943"/>
    <x v="2"/>
    <x v="10"/>
    <n v="3"/>
    <n v="30"/>
    <n v="90"/>
    <n v="1"/>
  </r>
  <r>
    <n v="1995"/>
    <n v="2001"/>
    <n v="1"/>
    <x v="5"/>
    <d v="2024-06-04T00:00:00"/>
    <x v="1"/>
    <n v="13"/>
    <x v="1944"/>
    <x v="3"/>
    <x v="13"/>
    <n v="1"/>
    <n v="55"/>
    <n v="55"/>
    <n v="1"/>
  </r>
  <r>
    <n v="1996"/>
    <n v="2002"/>
    <n v="0.33333333333333331"/>
    <x v="5"/>
    <d v="2024-06-04T00:00:00"/>
    <x v="1"/>
    <n v="13"/>
    <x v="1945"/>
    <x v="1"/>
    <x v="1"/>
    <n v="4"/>
    <n v="650"/>
    <n v="2600"/>
    <n v="1"/>
  </r>
  <r>
    <n v="1997"/>
    <n v="2002"/>
    <n v="0.33333333333333331"/>
    <x v="5"/>
    <d v="2024-06-04T00:00:00"/>
    <x v="1"/>
    <n v="13"/>
    <x v="1946"/>
    <x v="1"/>
    <x v="3"/>
    <n v="4"/>
    <n v="700"/>
    <n v="2800"/>
    <n v="0"/>
  </r>
  <r>
    <n v="1998"/>
    <n v="2002"/>
    <n v="0.33333333333333331"/>
    <x v="5"/>
    <d v="2024-06-04T00:00:00"/>
    <x v="1"/>
    <n v="18"/>
    <x v="1947"/>
    <x v="3"/>
    <x v="13"/>
    <n v="2"/>
    <n v="55"/>
    <n v="110"/>
    <n v="0"/>
  </r>
  <r>
    <n v="1999"/>
    <n v="2003"/>
    <n v="0.5"/>
    <x v="5"/>
    <d v="2024-06-05T00:00:00"/>
    <x v="2"/>
    <n v="18"/>
    <x v="1948"/>
    <x v="1"/>
    <x v="4"/>
    <n v="2"/>
    <n v="600"/>
    <n v="1200"/>
    <n v="1"/>
  </r>
  <r>
    <n v="2000"/>
    <n v="2003"/>
    <n v="0.5"/>
    <x v="5"/>
    <d v="2024-06-05T00:00:00"/>
    <x v="2"/>
    <n v="11"/>
    <x v="1949"/>
    <x v="3"/>
    <x v="18"/>
    <n v="5"/>
    <n v="45"/>
    <n v="225"/>
    <n v="0"/>
  </r>
  <r>
    <n v="2001"/>
    <n v="2004"/>
    <n v="1"/>
    <x v="5"/>
    <d v="2024-06-05T00:00:00"/>
    <x v="2"/>
    <n v="19"/>
    <x v="1950"/>
    <x v="3"/>
    <x v="14"/>
    <n v="1"/>
    <n v="40"/>
    <n v="40"/>
    <n v="1"/>
  </r>
  <r>
    <n v="2002"/>
    <n v="2005"/>
    <n v="0.33333333333333331"/>
    <x v="5"/>
    <d v="2024-06-05T00:00:00"/>
    <x v="2"/>
    <n v="12"/>
    <x v="948"/>
    <x v="1"/>
    <x v="4"/>
    <n v="1"/>
    <n v="600"/>
    <n v="600"/>
    <n v="1"/>
  </r>
  <r>
    <n v="2003"/>
    <n v="2005"/>
    <n v="0.33333333333333331"/>
    <x v="5"/>
    <d v="2024-06-05T00:00:00"/>
    <x v="2"/>
    <n v="11"/>
    <x v="1951"/>
    <x v="0"/>
    <x v="9"/>
    <n v="2"/>
    <n v="15"/>
    <n v="30"/>
    <n v="0"/>
  </r>
  <r>
    <n v="2004"/>
    <n v="2005"/>
    <n v="0.33333333333333331"/>
    <x v="5"/>
    <d v="2024-06-05T00:00:00"/>
    <x v="2"/>
    <n v="17"/>
    <x v="1952"/>
    <x v="2"/>
    <x v="10"/>
    <n v="3"/>
    <n v="30"/>
    <n v="90"/>
    <n v="0"/>
  </r>
  <r>
    <n v="2005"/>
    <n v="2006"/>
    <n v="1"/>
    <x v="5"/>
    <d v="2024-06-05T00:00:00"/>
    <x v="2"/>
    <n v="17"/>
    <x v="1953"/>
    <x v="1"/>
    <x v="4"/>
    <n v="1"/>
    <n v="600"/>
    <n v="600"/>
    <n v="1"/>
  </r>
  <r>
    <n v="2006"/>
    <n v="2007"/>
    <n v="0.5"/>
    <x v="5"/>
    <d v="2024-06-05T00:00:00"/>
    <x v="2"/>
    <n v="12"/>
    <x v="1954"/>
    <x v="1"/>
    <x v="1"/>
    <n v="2"/>
    <n v="650"/>
    <n v="1300"/>
    <n v="1"/>
  </r>
  <r>
    <n v="2007"/>
    <n v="2007"/>
    <n v="0.5"/>
    <x v="5"/>
    <d v="2024-06-05T00:00:00"/>
    <x v="2"/>
    <n v="10"/>
    <x v="1955"/>
    <x v="1"/>
    <x v="12"/>
    <n v="2"/>
    <n v="1000"/>
    <n v="2000"/>
    <n v="0"/>
  </r>
  <r>
    <n v="2008"/>
    <n v="2008"/>
    <n v="1"/>
    <x v="5"/>
    <d v="2024-06-06T00:00:00"/>
    <x v="3"/>
    <n v="9"/>
    <x v="1159"/>
    <x v="2"/>
    <x v="5"/>
    <n v="4"/>
    <n v="20"/>
    <n v="80"/>
    <n v="1"/>
  </r>
  <r>
    <n v="2009"/>
    <n v="2009"/>
    <n v="1"/>
    <x v="5"/>
    <d v="2024-06-06T00:00:00"/>
    <x v="3"/>
    <n v="10"/>
    <x v="1956"/>
    <x v="2"/>
    <x v="10"/>
    <n v="5"/>
    <n v="30"/>
    <n v="150"/>
    <n v="1"/>
  </r>
  <r>
    <n v="2010"/>
    <n v="2010"/>
    <n v="0.33333333333333331"/>
    <x v="5"/>
    <d v="2024-06-06T00:00:00"/>
    <x v="3"/>
    <n v="15"/>
    <x v="1957"/>
    <x v="1"/>
    <x v="3"/>
    <n v="2"/>
    <n v="700"/>
    <n v="1400"/>
    <n v="1"/>
  </r>
  <r>
    <n v="2011"/>
    <n v="2010"/>
    <n v="0.33333333333333331"/>
    <x v="5"/>
    <d v="2024-06-06T00:00:00"/>
    <x v="3"/>
    <n v="20"/>
    <x v="1958"/>
    <x v="2"/>
    <x v="5"/>
    <n v="5"/>
    <n v="20"/>
    <n v="100"/>
    <n v="0"/>
  </r>
  <r>
    <n v="2012"/>
    <n v="2010"/>
    <n v="0.33333333333333331"/>
    <x v="5"/>
    <d v="2024-06-06T00:00:00"/>
    <x v="3"/>
    <n v="16"/>
    <x v="1959"/>
    <x v="2"/>
    <x v="15"/>
    <n v="1"/>
    <n v="25"/>
    <n v="25"/>
    <n v="0"/>
  </r>
  <r>
    <n v="2013"/>
    <n v="2011"/>
    <n v="0.5"/>
    <x v="5"/>
    <d v="2024-06-06T00:00:00"/>
    <x v="3"/>
    <n v="15"/>
    <x v="1960"/>
    <x v="3"/>
    <x v="18"/>
    <n v="4"/>
    <n v="45"/>
    <n v="180"/>
    <n v="1"/>
  </r>
  <r>
    <n v="2014"/>
    <n v="2011"/>
    <n v="0.5"/>
    <x v="5"/>
    <d v="2024-06-06T00:00:00"/>
    <x v="3"/>
    <n v="14"/>
    <x v="1961"/>
    <x v="1"/>
    <x v="2"/>
    <n v="5"/>
    <n v="680"/>
    <n v="3400"/>
    <n v="0"/>
  </r>
  <r>
    <n v="2015"/>
    <n v="2012"/>
    <n v="1"/>
    <x v="5"/>
    <d v="2024-06-06T00:00:00"/>
    <x v="3"/>
    <n v="20"/>
    <x v="1962"/>
    <x v="2"/>
    <x v="10"/>
    <n v="4"/>
    <n v="30"/>
    <n v="120"/>
    <n v="1"/>
  </r>
  <r>
    <n v="2016"/>
    <n v="2013"/>
    <n v="0.5"/>
    <x v="5"/>
    <d v="2024-06-06T00:00:00"/>
    <x v="3"/>
    <n v="20"/>
    <x v="1963"/>
    <x v="2"/>
    <x v="15"/>
    <n v="4"/>
    <n v="25"/>
    <n v="100"/>
    <n v="1"/>
  </r>
  <r>
    <n v="2017"/>
    <n v="2013"/>
    <n v="0.5"/>
    <x v="5"/>
    <d v="2024-06-06T00:00:00"/>
    <x v="3"/>
    <n v="19"/>
    <x v="1964"/>
    <x v="3"/>
    <x v="18"/>
    <n v="1"/>
    <n v="45"/>
    <n v="45"/>
    <n v="0"/>
  </r>
  <r>
    <n v="2018"/>
    <n v="2014"/>
    <n v="0.5"/>
    <x v="5"/>
    <d v="2024-06-07T00:00:00"/>
    <x v="4"/>
    <n v="17"/>
    <x v="1965"/>
    <x v="0"/>
    <x v="16"/>
    <n v="2"/>
    <n v="5"/>
    <n v="10"/>
    <n v="1"/>
  </r>
  <r>
    <n v="2019"/>
    <n v="2014"/>
    <n v="0.5"/>
    <x v="5"/>
    <d v="2024-06-07T00:00:00"/>
    <x v="4"/>
    <n v="9"/>
    <x v="1966"/>
    <x v="0"/>
    <x v="16"/>
    <n v="4"/>
    <n v="5"/>
    <n v="20"/>
    <n v="0"/>
  </r>
  <r>
    <n v="2020"/>
    <n v="2015"/>
    <n v="0.5"/>
    <x v="5"/>
    <d v="2024-06-07T00:00:00"/>
    <x v="4"/>
    <n v="16"/>
    <x v="1967"/>
    <x v="2"/>
    <x v="11"/>
    <n v="2"/>
    <n v="35"/>
    <n v="70"/>
    <n v="1"/>
  </r>
  <r>
    <n v="2021"/>
    <n v="2015"/>
    <n v="0.5"/>
    <x v="5"/>
    <d v="2024-06-07T00:00:00"/>
    <x v="4"/>
    <n v="10"/>
    <x v="1968"/>
    <x v="0"/>
    <x v="0"/>
    <n v="2"/>
    <n v="20"/>
    <n v="40"/>
    <n v="0"/>
  </r>
  <r>
    <n v="2022"/>
    <n v="2016"/>
    <n v="0.5"/>
    <x v="5"/>
    <d v="2024-06-07T00:00:00"/>
    <x v="4"/>
    <n v="16"/>
    <x v="1969"/>
    <x v="0"/>
    <x v="9"/>
    <n v="1"/>
    <n v="15"/>
    <n v="15"/>
    <n v="1"/>
  </r>
  <r>
    <n v="2023"/>
    <n v="2016"/>
    <n v="0.5"/>
    <x v="5"/>
    <d v="2024-06-07T00:00:00"/>
    <x v="4"/>
    <n v="15"/>
    <x v="1970"/>
    <x v="2"/>
    <x v="10"/>
    <n v="1"/>
    <n v="30"/>
    <n v="30"/>
    <n v="0"/>
  </r>
  <r>
    <n v="2024"/>
    <n v="2017"/>
    <n v="1"/>
    <x v="5"/>
    <d v="2024-06-07T00:00:00"/>
    <x v="4"/>
    <n v="14"/>
    <x v="1971"/>
    <x v="2"/>
    <x v="15"/>
    <n v="5"/>
    <n v="25"/>
    <n v="125"/>
    <n v="1"/>
  </r>
  <r>
    <n v="2025"/>
    <n v="2018"/>
    <n v="0.5"/>
    <x v="5"/>
    <d v="2024-06-08T00:00:00"/>
    <x v="5"/>
    <n v="15"/>
    <x v="1972"/>
    <x v="2"/>
    <x v="10"/>
    <n v="5"/>
    <n v="30"/>
    <n v="150"/>
    <n v="1"/>
  </r>
  <r>
    <n v="2026"/>
    <n v="2018"/>
    <n v="0.5"/>
    <x v="5"/>
    <d v="2024-06-08T00:00:00"/>
    <x v="5"/>
    <n v="20"/>
    <x v="1973"/>
    <x v="2"/>
    <x v="11"/>
    <n v="4"/>
    <n v="35"/>
    <n v="140"/>
    <n v="0"/>
  </r>
  <r>
    <n v="2027"/>
    <n v="2019"/>
    <n v="0.33333333333333331"/>
    <x v="5"/>
    <d v="2024-06-08T00:00:00"/>
    <x v="5"/>
    <n v="15"/>
    <x v="1974"/>
    <x v="2"/>
    <x v="11"/>
    <n v="1"/>
    <n v="35"/>
    <n v="35"/>
    <n v="1"/>
  </r>
  <r>
    <n v="2028"/>
    <n v="2019"/>
    <n v="0.33333333333333331"/>
    <x v="5"/>
    <d v="2024-06-08T00:00:00"/>
    <x v="5"/>
    <n v="17"/>
    <x v="1975"/>
    <x v="1"/>
    <x v="12"/>
    <n v="5"/>
    <n v="1000"/>
    <n v="5000"/>
    <n v="0"/>
  </r>
  <r>
    <n v="2029"/>
    <n v="2019"/>
    <n v="0.33333333333333331"/>
    <x v="5"/>
    <d v="2024-06-08T00:00:00"/>
    <x v="5"/>
    <n v="13"/>
    <x v="1976"/>
    <x v="1"/>
    <x v="3"/>
    <n v="2"/>
    <n v="700"/>
    <n v="1400"/>
    <n v="0"/>
  </r>
  <r>
    <n v="2030"/>
    <n v="2020"/>
    <n v="0.5"/>
    <x v="5"/>
    <d v="2024-06-08T00:00:00"/>
    <x v="5"/>
    <n v="12"/>
    <x v="1977"/>
    <x v="2"/>
    <x v="5"/>
    <n v="3"/>
    <n v="20"/>
    <n v="60"/>
    <n v="1"/>
  </r>
  <r>
    <n v="2031"/>
    <n v="2020"/>
    <n v="0.5"/>
    <x v="5"/>
    <d v="2024-06-08T00:00:00"/>
    <x v="5"/>
    <n v="11"/>
    <x v="1978"/>
    <x v="1"/>
    <x v="3"/>
    <n v="1"/>
    <n v="700"/>
    <n v="700"/>
    <n v="0"/>
  </r>
  <r>
    <n v="2032"/>
    <n v="2021"/>
    <n v="0.5"/>
    <x v="5"/>
    <d v="2024-06-09T00:00:00"/>
    <x v="6"/>
    <n v="12"/>
    <x v="1979"/>
    <x v="2"/>
    <x v="11"/>
    <n v="4"/>
    <n v="35"/>
    <n v="140"/>
    <n v="1"/>
  </r>
  <r>
    <n v="2033"/>
    <n v="2021"/>
    <n v="0.5"/>
    <x v="5"/>
    <d v="2024-06-09T00:00:00"/>
    <x v="6"/>
    <n v="13"/>
    <x v="1234"/>
    <x v="1"/>
    <x v="1"/>
    <n v="3"/>
    <n v="650"/>
    <n v="1950"/>
    <n v="0"/>
  </r>
  <r>
    <n v="2034"/>
    <n v="2022"/>
    <n v="0.5"/>
    <x v="5"/>
    <d v="2024-06-09T00:00:00"/>
    <x v="6"/>
    <n v="10"/>
    <x v="1980"/>
    <x v="3"/>
    <x v="6"/>
    <n v="1"/>
    <n v="50"/>
    <n v="50"/>
    <n v="1"/>
  </r>
  <r>
    <n v="2035"/>
    <n v="2022"/>
    <n v="0.5"/>
    <x v="5"/>
    <d v="2024-06-09T00:00:00"/>
    <x v="6"/>
    <n v="17"/>
    <x v="1981"/>
    <x v="0"/>
    <x v="8"/>
    <n v="4"/>
    <n v="10"/>
    <n v="40"/>
    <n v="0"/>
  </r>
  <r>
    <n v="2036"/>
    <n v="2023"/>
    <n v="0.5"/>
    <x v="5"/>
    <d v="2024-06-09T00:00:00"/>
    <x v="6"/>
    <n v="17"/>
    <x v="1434"/>
    <x v="3"/>
    <x v="17"/>
    <n v="3"/>
    <n v="60"/>
    <n v="180"/>
    <n v="1"/>
  </r>
  <r>
    <n v="2037"/>
    <n v="2023"/>
    <n v="0.5"/>
    <x v="5"/>
    <d v="2024-06-09T00:00:00"/>
    <x v="6"/>
    <n v="10"/>
    <x v="1982"/>
    <x v="2"/>
    <x v="11"/>
    <n v="4"/>
    <n v="35"/>
    <n v="140"/>
    <n v="0"/>
  </r>
  <r>
    <n v="2038"/>
    <n v="2024"/>
    <n v="0.5"/>
    <x v="5"/>
    <d v="2024-06-09T00:00:00"/>
    <x v="6"/>
    <n v="20"/>
    <x v="1983"/>
    <x v="2"/>
    <x v="15"/>
    <n v="4"/>
    <n v="25"/>
    <n v="100"/>
    <n v="1"/>
  </r>
  <r>
    <n v="2039"/>
    <n v="2024"/>
    <n v="0.5"/>
    <x v="5"/>
    <d v="2024-06-09T00:00:00"/>
    <x v="6"/>
    <n v="12"/>
    <x v="1984"/>
    <x v="3"/>
    <x v="17"/>
    <n v="2"/>
    <n v="60"/>
    <n v="120"/>
    <n v="0"/>
  </r>
  <r>
    <n v="2040"/>
    <n v="2025"/>
    <n v="1"/>
    <x v="5"/>
    <d v="2024-06-09T00:00:00"/>
    <x v="6"/>
    <n v="14"/>
    <x v="1985"/>
    <x v="2"/>
    <x v="10"/>
    <n v="1"/>
    <n v="30"/>
    <n v="30"/>
    <n v="1"/>
  </r>
  <r>
    <n v="2041"/>
    <n v="2026"/>
    <n v="1"/>
    <x v="5"/>
    <d v="2024-06-10T00:00:00"/>
    <x v="0"/>
    <n v="11"/>
    <x v="1986"/>
    <x v="2"/>
    <x v="15"/>
    <n v="4"/>
    <n v="25"/>
    <n v="100"/>
    <n v="1"/>
  </r>
  <r>
    <n v="2042"/>
    <n v="2027"/>
    <n v="0.5"/>
    <x v="5"/>
    <d v="2024-06-10T00:00:00"/>
    <x v="0"/>
    <n v="10"/>
    <x v="1987"/>
    <x v="0"/>
    <x v="8"/>
    <n v="2"/>
    <n v="10"/>
    <n v="20"/>
    <n v="1"/>
  </r>
  <r>
    <n v="2043"/>
    <n v="2027"/>
    <n v="0.5"/>
    <x v="5"/>
    <d v="2024-06-10T00:00:00"/>
    <x v="0"/>
    <n v="13"/>
    <x v="1988"/>
    <x v="1"/>
    <x v="4"/>
    <n v="5"/>
    <n v="600"/>
    <n v="3000"/>
    <n v="0"/>
  </r>
  <r>
    <n v="2044"/>
    <n v="2028"/>
    <n v="0.5"/>
    <x v="5"/>
    <d v="2024-06-10T00:00:00"/>
    <x v="0"/>
    <n v="10"/>
    <x v="1989"/>
    <x v="1"/>
    <x v="1"/>
    <n v="4"/>
    <n v="650"/>
    <n v="2600"/>
    <n v="1"/>
  </r>
  <r>
    <n v="2045"/>
    <n v="2028"/>
    <n v="0.5"/>
    <x v="5"/>
    <d v="2024-06-10T00:00:00"/>
    <x v="0"/>
    <n v="11"/>
    <x v="1990"/>
    <x v="1"/>
    <x v="2"/>
    <n v="1"/>
    <n v="680"/>
    <n v="680"/>
    <n v="0"/>
  </r>
  <r>
    <n v="2046"/>
    <n v="2029"/>
    <n v="0.33333333333333331"/>
    <x v="5"/>
    <d v="2024-06-10T00:00:00"/>
    <x v="0"/>
    <n v="14"/>
    <x v="1991"/>
    <x v="2"/>
    <x v="15"/>
    <n v="4"/>
    <n v="25"/>
    <n v="100"/>
    <n v="1"/>
  </r>
  <r>
    <n v="2047"/>
    <n v="2029"/>
    <n v="0.33333333333333331"/>
    <x v="5"/>
    <d v="2024-06-10T00:00:00"/>
    <x v="0"/>
    <n v="9"/>
    <x v="1992"/>
    <x v="3"/>
    <x v="6"/>
    <n v="2"/>
    <n v="50"/>
    <n v="100"/>
    <n v="0"/>
  </r>
  <r>
    <n v="2048"/>
    <n v="2029"/>
    <n v="0.33333333333333331"/>
    <x v="5"/>
    <d v="2024-06-10T00:00:00"/>
    <x v="0"/>
    <n v="12"/>
    <x v="1993"/>
    <x v="0"/>
    <x v="16"/>
    <n v="5"/>
    <n v="5"/>
    <n v="25"/>
    <n v="0"/>
  </r>
  <r>
    <n v="2049"/>
    <n v="2030"/>
    <n v="1"/>
    <x v="5"/>
    <d v="2024-06-11T00:00:00"/>
    <x v="1"/>
    <n v="9"/>
    <x v="1994"/>
    <x v="2"/>
    <x v="5"/>
    <n v="5"/>
    <n v="20"/>
    <n v="100"/>
    <n v="1"/>
  </r>
  <r>
    <n v="2050"/>
    <n v="2031"/>
    <n v="0.33333333333333331"/>
    <x v="5"/>
    <d v="2024-06-11T00:00:00"/>
    <x v="1"/>
    <n v="11"/>
    <x v="1995"/>
    <x v="3"/>
    <x v="6"/>
    <n v="3"/>
    <n v="50"/>
    <n v="150"/>
    <n v="1"/>
  </r>
  <r>
    <n v="2051"/>
    <n v="2031"/>
    <n v="0.33333333333333331"/>
    <x v="5"/>
    <d v="2024-06-11T00:00:00"/>
    <x v="1"/>
    <n v="15"/>
    <x v="1996"/>
    <x v="1"/>
    <x v="3"/>
    <n v="5"/>
    <n v="700"/>
    <n v="3500"/>
    <n v="0"/>
  </r>
  <r>
    <n v="2052"/>
    <n v="2031"/>
    <n v="0.33333333333333331"/>
    <x v="5"/>
    <d v="2024-06-11T00:00:00"/>
    <x v="1"/>
    <n v="15"/>
    <x v="1997"/>
    <x v="3"/>
    <x v="18"/>
    <n v="3"/>
    <n v="45"/>
    <n v="135"/>
    <n v="0"/>
  </r>
  <r>
    <n v="2053"/>
    <n v="2032"/>
    <n v="0.5"/>
    <x v="5"/>
    <d v="2024-06-11T00:00:00"/>
    <x v="1"/>
    <n v="17"/>
    <x v="1998"/>
    <x v="0"/>
    <x v="7"/>
    <n v="5"/>
    <n v="25"/>
    <n v="125"/>
    <n v="1"/>
  </r>
  <r>
    <n v="2054"/>
    <n v="2032"/>
    <n v="0.5"/>
    <x v="5"/>
    <d v="2024-06-11T00:00:00"/>
    <x v="1"/>
    <n v="15"/>
    <x v="1999"/>
    <x v="1"/>
    <x v="3"/>
    <n v="3"/>
    <n v="700"/>
    <n v="2100"/>
    <n v="0"/>
  </r>
  <r>
    <n v="2055"/>
    <n v="2033"/>
    <n v="0.33333333333333331"/>
    <x v="5"/>
    <d v="2024-06-11T00:00:00"/>
    <x v="1"/>
    <n v="16"/>
    <x v="2000"/>
    <x v="2"/>
    <x v="10"/>
    <n v="3"/>
    <n v="30"/>
    <n v="90"/>
    <n v="1"/>
  </r>
  <r>
    <n v="2056"/>
    <n v="2033"/>
    <n v="0.33333333333333331"/>
    <x v="5"/>
    <d v="2024-06-11T00:00:00"/>
    <x v="1"/>
    <n v="11"/>
    <x v="2001"/>
    <x v="0"/>
    <x v="16"/>
    <n v="3"/>
    <n v="5"/>
    <n v="15"/>
    <n v="0"/>
  </r>
  <r>
    <n v="2057"/>
    <n v="2033"/>
    <n v="0.33333333333333331"/>
    <x v="5"/>
    <d v="2024-06-11T00:00:00"/>
    <x v="1"/>
    <n v="13"/>
    <x v="2002"/>
    <x v="3"/>
    <x v="17"/>
    <n v="5"/>
    <n v="60"/>
    <n v="300"/>
    <n v="0"/>
  </r>
  <r>
    <n v="2058"/>
    <n v="2034"/>
    <n v="0.33333333333333331"/>
    <x v="5"/>
    <d v="2024-06-11T00:00:00"/>
    <x v="1"/>
    <n v="14"/>
    <x v="2003"/>
    <x v="3"/>
    <x v="6"/>
    <n v="2"/>
    <n v="50"/>
    <n v="100"/>
    <n v="1"/>
  </r>
  <r>
    <n v="2059"/>
    <n v="2034"/>
    <n v="0.33333333333333331"/>
    <x v="5"/>
    <d v="2024-06-11T00:00:00"/>
    <x v="1"/>
    <n v="20"/>
    <x v="2004"/>
    <x v="2"/>
    <x v="11"/>
    <n v="5"/>
    <n v="35"/>
    <n v="175"/>
    <n v="0"/>
  </r>
  <r>
    <n v="2060"/>
    <n v="2034"/>
    <n v="0.33333333333333331"/>
    <x v="5"/>
    <d v="2024-06-11T00:00:00"/>
    <x v="1"/>
    <n v="13"/>
    <x v="2005"/>
    <x v="1"/>
    <x v="12"/>
    <n v="5"/>
    <n v="1000"/>
    <n v="5000"/>
    <n v="0"/>
  </r>
  <r>
    <n v="2061"/>
    <n v="2035"/>
    <n v="0.33333333333333331"/>
    <x v="5"/>
    <d v="2024-06-11T00:00:00"/>
    <x v="1"/>
    <n v="11"/>
    <x v="2006"/>
    <x v="1"/>
    <x v="2"/>
    <n v="4"/>
    <n v="680"/>
    <n v="2720"/>
    <n v="1"/>
  </r>
  <r>
    <n v="2062"/>
    <n v="2035"/>
    <n v="0.33333333333333331"/>
    <x v="5"/>
    <d v="2024-06-11T00:00:00"/>
    <x v="1"/>
    <n v="9"/>
    <x v="2007"/>
    <x v="2"/>
    <x v="15"/>
    <n v="5"/>
    <n v="25"/>
    <n v="125"/>
    <n v="0"/>
  </r>
  <r>
    <n v="2063"/>
    <n v="2035"/>
    <n v="0.33333333333333331"/>
    <x v="5"/>
    <d v="2024-06-11T00:00:00"/>
    <x v="1"/>
    <n v="20"/>
    <x v="2008"/>
    <x v="3"/>
    <x v="14"/>
    <n v="4"/>
    <n v="40"/>
    <n v="160"/>
    <n v="0"/>
  </r>
  <r>
    <n v="2064"/>
    <n v="2036"/>
    <n v="1"/>
    <x v="5"/>
    <d v="2024-06-11T00:00:00"/>
    <x v="1"/>
    <n v="13"/>
    <x v="2009"/>
    <x v="0"/>
    <x v="0"/>
    <n v="4"/>
    <n v="20"/>
    <n v="80"/>
    <n v="1"/>
  </r>
  <r>
    <n v="2065"/>
    <n v="2037"/>
    <n v="0.5"/>
    <x v="5"/>
    <d v="2024-06-11T00:00:00"/>
    <x v="1"/>
    <n v="15"/>
    <x v="2010"/>
    <x v="0"/>
    <x v="7"/>
    <n v="2"/>
    <n v="25"/>
    <n v="50"/>
    <n v="1"/>
  </r>
  <r>
    <n v="2066"/>
    <n v="2037"/>
    <n v="0.5"/>
    <x v="5"/>
    <d v="2024-06-11T00:00:00"/>
    <x v="1"/>
    <n v="11"/>
    <x v="2011"/>
    <x v="1"/>
    <x v="2"/>
    <n v="3"/>
    <n v="680"/>
    <n v="2040"/>
    <n v="0"/>
  </r>
  <r>
    <n v="2067"/>
    <n v="2038"/>
    <n v="1"/>
    <x v="5"/>
    <d v="2024-06-12T00:00:00"/>
    <x v="2"/>
    <n v="11"/>
    <x v="2012"/>
    <x v="0"/>
    <x v="7"/>
    <n v="3"/>
    <n v="25"/>
    <n v="75"/>
    <n v="1"/>
  </r>
  <r>
    <n v="2068"/>
    <n v="2039"/>
    <n v="0.33333333333333331"/>
    <x v="5"/>
    <d v="2024-06-12T00:00:00"/>
    <x v="2"/>
    <n v="9"/>
    <x v="2013"/>
    <x v="0"/>
    <x v="16"/>
    <n v="5"/>
    <n v="5"/>
    <n v="25"/>
    <n v="1"/>
  </r>
  <r>
    <n v="2069"/>
    <n v="2039"/>
    <n v="0.33333333333333331"/>
    <x v="5"/>
    <d v="2024-06-12T00:00:00"/>
    <x v="2"/>
    <n v="19"/>
    <x v="2014"/>
    <x v="1"/>
    <x v="3"/>
    <n v="5"/>
    <n v="700"/>
    <n v="3500"/>
    <n v="0"/>
  </r>
  <r>
    <n v="2070"/>
    <n v="2039"/>
    <n v="0.33333333333333331"/>
    <x v="5"/>
    <d v="2024-06-12T00:00:00"/>
    <x v="2"/>
    <n v="10"/>
    <x v="2015"/>
    <x v="0"/>
    <x v="16"/>
    <n v="2"/>
    <n v="5"/>
    <n v="10"/>
    <n v="0"/>
  </r>
  <r>
    <n v="2071"/>
    <n v="2040"/>
    <n v="0.5"/>
    <x v="5"/>
    <d v="2024-06-12T00:00:00"/>
    <x v="2"/>
    <n v="12"/>
    <x v="2016"/>
    <x v="1"/>
    <x v="2"/>
    <n v="2"/>
    <n v="680"/>
    <n v="1360"/>
    <n v="1"/>
  </r>
  <r>
    <n v="2072"/>
    <n v="2040"/>
    <n v="0.5"/>
    <x v="5"/>
    <d v="2024-06-12T00:00:00"/>
    <x v="2"/>
    <n v="19"/>
    <x v="2017"/>
    <x v="0"/>
    <x v="7"/>
    <n v="5"/>
    <n v="25"/>
    <n v="125"/>
    <n v="0"/>
  </r>
  <r>
    <n v="2073"/>
    <n v="2041"/>
    <n v="1"/>
    <x v="5"/>
    <d v="2024-06-12T00:00:00"/>
    <x v="2"/>
    <n v="9"/>
    <x v="2018"/>
    <x v="2"/>
    <x v="11"/>
    <n v="5"/>
    <n v="35"/>
    <n v="175"/>
    <n v="1"/>
  </r>
  <r>
    <n v="2074"/>
    <n v="2042"/>
    <n v="0.5"/>
    <x v="5"/>
    <d v="2024-06-12T00:00:00"/>
    <x v="2"/>
    <n v="19"/>
    <x v="2019"/>
    <x v="0"/>
    <x v="7"/>
    <n v="5"/>
    <n v="25"/>
    <n v="125"/>
    <n v="1"/>
  </r>
  <r>
    <n v="2075"/>
    <n v="2042"/>
    <n v="0.5"/>
    <x v="5"/>
    <d v="2024-06-12T00:00:00"/>
    <x v="2"/>
    <n v="16"/>
    <x v="2020"/>
    <x v="1"/>
    <x v="1"/>
    <n v="2"/>
    <n v="650"/>
    <n v="1300"/>
    <n v="0"/>
  </r>
  <r>
    <n v="2076"/>
    <n v="2043"/>
    <n v="1"/>
    <x v="5"/>
    <d v="2024-06-12T00:00:00"/>
    <x v="2"/>
    <n v="18"/>
    <x v="2021"/>
    <x v="3"/>
    <x v="14"/>
    <n v="2"/>
    <n v="40"/>
    <n v="80"/>
    <n v="1"/>
  </r>
  <r>
    <n v="2077"/>
    <n v="2044"/>
    <n v="0.33333333333333331"/>
    <x v="5"/>
    <d v="2024-06-12T00:00:00"/>
    <x v="2"/>
    <n v="13"/>
    <x v="2022"/>
    <x v="2"/>
    <x v="5"/>
    <n v="1"/>
    <n v="20"/>
    <n v="20"/>
    <n v="1"/>
  </r>
  <r>
    <n v="2078"/>
    <n v="2044"/>
    <n v="0.33333333333333331"/>
    <x v="5"/>
    <d v="2024-06-12T00:00:00"/>
    <x v="2"/>
    <n v="15"/>
    <x v="2023"/>
    <x v="3"/>
    <x v="14"/>
    <n v="3"/>
    <n v="40"/>
    <n v="120"/>
    <n v="0"/>
  </r>
  <r>
    <n v="2079"/>
    <n v="2044"/>
    <n v="0.33333333333333331"/>
    <x v="5"/>
    <d v="2024-06-12T00:00:00"/>
    <x v="2"/>
    <n v="13"/>
    <x v="2024"/>
    <x v="2"/>
    <x v="10"/>
    <n v="3"/>
    <n v="30"/>
    <n v="90"/>
    <n v="0"/>
  </r>
  <r>
    <n v="2080"/>
    <n v="2045"/>
    <n v="1"/>
    <x v="5"/>
    <d v="2024-06-12T00:00:00"/>
    <x v="2"/>
    <n v="18"/>
    <x v="2025"/>
    <x v="0"/>
    <x v="8"/>
    <n v="1"/>
    <n v="10"/>
    <n v="10"/>
    <n v="1"/>
  </r>
  <r>
    <n v="2081"/>
    <n v="2046"/>
    <n v="1"/>
    <x v="5"/>
    <d v="2024-06-13T00:00:00"/>
    <x v="3"/>
    <n v="13"/>
    <x v="2026"/>
    <x v="3"/>
    <x v="17"/>
    <n v="5"/>
    <n v="60"/>
    <n v="300"/>
    <n v="1"/>
  </r>
  <r>
    <n v="2082"/>
    <n v="2047"/>
    <n v="0.5"/>
    <x v="5"/>
    <d v="2024-06-13T00:00:00"/>
    <x v="3"/>
    <n v="19"/>
    <x v="2027"/>
    <x v="2"/>
    <x v="10"/>
    <n v="5"/>
    <n v="30"/>
    <n v="150"/>
    <n v="1"/>
  </r>
  <r>
    <n v="2083"/>
    <n v="2047"/>
    <n v="0.5"/>
    <x v="5"/>
    <d v="2024-06-13T00:00:00"/>
    <x v="3"/>
    <n v="14"/>
    <x v="2028"/>
    <x v="0"/>
    <x v="7"/>
    <n v="2"/>
    <n v="25"/>
    <n v="50"/>
    <n v="0"/>
  </r>
  <r>
    <n v="2084"/>
    <n v="2048"/>
    <n v="0.5"/>
    <x v="5"/>
    <d v="2024-06-13T00:00:00"/>
    <x v="3"/>
    <n v="18"/>
    <x v="2029"/>
    <x v="0"/>
    <x v="16"/>
    <n v="4"/>
    <n v="5"/>
    <n v="20"/>
    <n v="1"/>
  </r>
  <r>
    <n v="2085"/>
    <n v="2048"/>
    <n v="0.5"/>
    <x v="5"/>
    <d v="2024-06-13T00:00:00"/>
    <x v="3"/>
    <n v="15"/>
    <x v="2030"/>
    <x v="1"/>
    <x v="4"/>
    <n v="4"/>
    <n v="600"/>
    <n v="2400"/>
    <n v="0"/>
  </r>
  <r>
    <n v="2086"/>
    <n v="2049"/>
    <n v="0.5"/>
    <x v="5"/>
    <d v="2024-06-13T00:00:00"/>
    <x v="3"/>
    <n v="20"/>
    <x v="2031"/>
    <x v="1"/>
    <x v="3"/>
    <n v="5"/>
    <n v="700"/>
    <n v="3500"/>
    <n v="1"/>
  </r>
  <r>
    <n v="2087"/>
    <n v="2049"/>
    <n v="0.5"/>
    <x v="5"/>
    <d v="2024-06-13T00:00:00"/>
    <x v="3"/>
    <n v="12"/>
    <x v="2032"/>
    <x v="1"/>
    <x v="12"/>
    <n v="2"/>
    <n v="1000"/>
    <n v="2000"/>
    <n v="0"/>
  </r>
  <r>
    <n v="2088"/>
    <n v="2050"/>
    <n v="0.33333333333333331"/>
    <x v="5"/>
    <d v="2024-06-13T00:00:00"/>
    <x v="3"/>
    <n v="15"/>
    <x v="2033"/>
    <x v="2"/>
    <x v="5"/>
    <n v="3"/>
    <n v="20"/>
    <n v="60"/>
    <n v="1"/>
  </r>
  <r>
    <n v="2089"/>
    <n v="2050"/>
    <n v="0.33333333333333331"/>
    <x v="5"/>
    <d v="2024-06-13T00:00:00"/>
    <x v="3"/>
    <n v="9"/>
    <x v="2034"/>
    <x v="0"/>
    <x v="9"/>
    <n v="2"/>
    <n v="15"/>
    <n v="30"/>
    <n v="0"/>
  </r>
  <r>
    <n v="2090"/>
    <n v="2050"/>
    <n v="0.33333333333333331"/>
    <x v="5"/>
    <d v="2024-06-13T00:00:00"/>
    <x v="3"/>
    <n v="15"/>
    <x v="2035"/>
    <x v="2"/>
    <x v="11"/>
    <n v="3"/>
    <n v="35"/>
    <n v="105"/>
    <n v="0"/>
  </r>
  <r>
    <n v="2091"/>
    <n v="2051"/>
    <n v="1"/>
    <x v="5"/>
    <d v="2024-06-13T00:00:00"/>
    <x v="3"/>
    <n v="14"/>
    <x v="2036"/>
    <x v="2"/>
    <x v="5"/>
    <n v="5"/>
    <n v="20"/>
    <n v="100"/>
    <n v="1"/>
  </r>
  <r>
    <n v="2092"/>
    <n v="2052"/>
    <n v="1"/>
    <x v="5"/>
    <d v="2024-06-13T00:00:00"/>
    <x v="3"/>
    <n v="12"/>
    <x v="2037"/>
    <x v="2"/>
    <x v="5"/>
    <n v="2"/>
    <n v="20"/>
    <n v="40"/>
    <n v="1"/>
  </r>
  <r>
    <n v="2093"/>
    <n v="2053"/>
    <n v="0.33333333333333331"/>
    <x v="5"/>
    <d v="2024-06-13T00:00:00"/>
    <x v="3"/>
    <n v="20"/>
    <x v="2038"/>
    <x v="0"/>
    <x v="9"/>
    <n v="5"/>
    <n v="15"/>
    <n v="75"/>
    <n v="1"/>
  </r>
  <r>
    <n v="2094"/>
    <n v="2053"/>
    <n v="0.33333333333333331"/>
    <x v="5"/>
    <d v="2024-06-13T00:00:00"/>
    <x v="3"/>
    <n v="12"/>
    <x v="2039"/>
    <x v="3"/>
    <x v="14"/>
    <n v="1"/>
    <n v="40"/>
    <n v="40"/>
    <n v="0"/>
  </r>
  <r>
    <n v="2095"/>
    <n v="2053"/>
    <n v="0.33333333333333331"/>
    <x v="5"/>
    <d v="2024-06-13T00:00:00"/>
    <x v="3"/>
    <n v="15"/>
    <x v="2040"/>
    <x v="3"/>
    <x v="14"/>
    <n v="5"/>
    <n v="40"/>
    <n v="200"/>
    <n v="0"/>
  </r>
  <r>
    <n v="2096"/>
    <n v="2054"/>
    <n v="0.5"/>
    <x v="5"/>
    <d v="2024-06-13T00:00:00"/>
    <x v="3"/>
    <n v="10"/>
    <x v="2041"/>
    <x v="1"/>
    <x v="1"/>
    <n v="5"/>
    <n v="650"/>
    <n v="3250"/>
    <n v="1"/>
  </r>
  <r>
    <n v="2097"/>
    <n v="2054"/>
    <n v="0.5"/>
    <x v="5"/>
    <d v="2024-06-13T00:00:00"/>
    <x v="3"/>
    <n v="13"/>
    <x v="2042"/>
    <x v="0"/>
    <x v="9"/>
    <n v="5"/>
    <n v="15"/>
    <n v="75"/>
    <n v="0"/>
  </r>
  <r>
    <n v="2098"/>
    <n v="2055"/>
    <n v="0.33333333333333331"/>
    <x v="5"/>
    <d v="2024-06-13T00:00:00"/>
    <x v="3"/>
    <n v="16"/>
    <x v="2043"/>
    <x v="3"/>
    <x v="6"/>
    <n v="2"/>
    <n v="50"/>
    <n v="100"/>
    <n v="1"/>
  </r>
  <r>
    <n v="2099"/>
    <n v="2055"/>
    <n v="0.33333333333333331"/>
    <x v="5"/>
    <d v="2024-06-13T00:00:00"/>
    <x v="3"/>
    <n v="18"/>
    <x v="2044"/>
    <x v="0"/>
    <x v="7"/>
    <n v="2"/>
    <n v="25"/>
    <n v="50"/>
    <n v="0"/>
  </r>
  <r>
    <n v="2100"/>
    <n v="2055"/>
    <n v="0.33333333333333331"/>
    <x v="5"/>
    <d v="2024-06-13T00:00:00"/>
    <x v="3"/>
    <n v="11"/>
    <x v="2045"/>
    <x v="0"/>
    <x v="16"/>
    <n v="4"/>
    <n v="5"/>
    <n v="20"/>
    <n v="0"/>
  </r>
  <r>
    <n v="2101"/>
    <n v="2056"/>
    <n v="0.5"/>
    <x v="5"/>
    <d v="2024-06-14T00:00:00"/>
    <x v="4"/>
    <n v="16"/>
    <x v="2046"/>
    <x v="0"/>
    <x v="9"/>
    <n v="3"/>
    <n v="15"/>
    <n v="45"/>
    <n v="1"/>
  </r>
  <r>
    <n v="2102"/>
    <n v="2056"/>
    <n v="0.5"/>
    <x v="5"/>
    <d v="2024-06-14T00:00:00"/>
    <x v="4"/>
    <n v="11"/>
    <x v="2047"/>
    <x v="0"/>
    <x v="0"/>
    <n v="2"/>
    <n v="20"/>
    <n v="40"/>
    <n v="0"/>
  </r>
  <r>
    <n v="2103"/>
    <n v="2057"/>
    <n v="0.33333333333333331"/>
    <x v="5"/>
    <d v="2024-06-14T00:00:00"/>
    <x v="4"/>
    <n v="18"/>
    <x v="2048"/>
    <x v="0"/>
    <x v="7"/>
    <n v="2"/>
    <n v="25"/>
    <n v="50"/>
    <n v="1"/>
  </r>
  <r>
    <n v="2104"/>
    <n v="2057"/>
    <n v="0.33333333333333331"/>
    <x v="5"/>
    <d v="2024-06-14T00:00:00"/>
    <x v="4"/>
    <n v="14"/>
    <x v="2049"/>
    <x v="0"/>
    <x v="8"/>
    <n v="3"/>
    <n v="10"/>
    <n v="30"/>
    <n v="0"/>
  </r>
  <r>
    <n v="2105"/>
    <n v="2057"/>
    <n v="0.33333333333333331"/>
    <x v="5"/>
    <d v="2024-06-14T00:00:00"/>
    <x v="4"/>
    <n v="18"/>
    <x v="595"/>
    <x v="0"/>
    <x v="7"/>
    <n v="1"/>
    <n v="25"/>
    <n v="25"/>
    <n v="0"/>
  </r>
  <r>
    <n v="2106"/>
    <n v="2058"/>
    <n v="0.33333333333333331"/>
    <x v="5"/>
    <d v="2024-06-14T00:00:00"/>
    <x v="4"/>
    <n v="9"/>
    <x v="2050"/>
    <x v="3"/>
    <x v="18"/>
    <n v="4"/>
    <n v="45"/>
    <n v="180"/>
    <n v="1"/>
  </r>
  <r>
    <n v="2107"/>
    <n v="2058"/>
    <n v="0.33333333333333331"/>
    <x v="5"/>
    <d v="2024-06-14T00:00:00"/>
    <x v="4"/>
    <n v="12"/>
    <x v="2051"/>
    <x v="2"/>
    <x v="5"/>
    <n v="5"/>
    <n v="20"/>
    <n v="100"/>
    <n v="0"/>
  </r>
  <r>
    <n v="2108"/>
    <n v="2058"/>
    <n v="0.33333333333333331"/>
    <x v="5"/>
    <d v="2024-06-14T00:00:00"/>
    <x v="4"/>
    <n v="16"/>
    <x v="2052"/>
    <x v="0"/>
    <x v="7"/>
    <n v="1"/>
    <n v="25"/>
    <n v="25"/>
    <n v="0"/>
  </r>
  <r>
    <n v="2109"/>
    <n v="2059"/>
    <n v="1"/>
    <x v="5"/>
    <d v="2024-06-14T00:00:00"/>
    <x v="4"/>
    <n v="14"/>
    <x v="360"/>
    <x v="3"/>
    <x v="13"/>
    <n v="4"/>
    <n v="55"/>
    <n v="220"/>
    <n v="1"/>
  </r>
  <r>
    <n v="2110"/>
    <n v="2060"/>
    <n v="1"/>
    <x v="5"/>
    <d v="2024-06-14T00:00:00"/>
    <x v="4"/>
    <n v="14"/>
    <x v="2053"/>
    <x v="1"/>
    <x v="12"/>
    <n v="4"/>
    <n v="1000"/>
    <n v="4000"/>
    <n v="1"/>
  </r>
  <r>
    <n v="2111"/>
    <n v="2061"/>
    <n v="0.33333333333333331"/>
    <x v="5"/>
    <d v="2024-06-15T00:00:00"/>
    <x v="5"/>
    <n v="11"/>
    <x v="2054"/>
    <x v="0"/>
    <x v="16"/>
    <n v="2"/>
    <n v="5"/>
    <n v="10"/>
    <n v="1"/>
  </r>
  <r>
    <n v="2112"/>
    <n v="2061"/>
    <n v="0.33333333333333331"/>
    <x v="5"/>
    <d v="2024-06-15T00:00:00"/>
    <x v="5"/>
    <n v="10"/>
    <x v="2055"/>
    <x v="3"/>
    <x v="17"/>
    <n v="1"/>
    <n v="60"/>
    <n v="60"/>
    <n v="0"/>
  </r>
  <r>
    <n v="2113"/>
    <n v="2061"/>
    <n v="0.33333333333333331"/>
    <x v="5"/>
    <d v="2024-06-15T00:00:00"/>
    <x v="5"/>
    <n v="14"/>
    <x v="96"/>
    <x v="3"/>
    <x v="18"/>
    <n v="1"/>
    <n v="45"/>
    <n v="45"/>
    <n v="0"/>
  </r>
  <r>
    <n v="2114"/>
    <n v="2062"/>
    <n v="0.33333333333333331"/>
    <x v="5"/>
    <d v="2024-06-15T00:00:00"/>
    <x v="5"/>
    <n v="10"/>
    <x v="2056"/>
    <x v="1"/>
    <x v="3"/>
    <n v="2"/>
    <n v="700"/>
    <n v="1400"/>
    <n v="1"/>
  </r>
  <r>
    <n v="2115"/>
    <n v="2062"/>
    <n v="0.33333333333333331"/>
    <x v="5"/>
    <d v="2024-06-15T00:00:00"/>
    <x v="5"/>
    <n v="9"/>
    <x v="2057"/>
    <x v="2"/>
    <x v="11"/>
    <n v="3"/>
    <n v="35"/>
    <n v="105"/>
    <n v="0"/>
  </r>
  <r>
    <n v="2116"/>
    <n v="2062"/>
    <n v="0.33333333333333331"/>
    <x v="5"/>
    <d v="2024-06-15T00:00:00"/>
    <x v="5"/>
    <n v="12"/>
    <x v="1742"/>
    <x v="1"/>
    <x v="4"/>
    <n v="3"/>
    <n v="600"/>
    <n v="1800"/>
    <n v="0"/>
  </r>
  <r>
    <n v="2117"/>
    <n v="2063"/>
    <n v="1"/>
    <x v="5"/>
    <d v="2024-06-15T00:00:00"/>
    <x v="5"/>
    <n v="18"/>
    <x v="2058"/>
    <x v="1"/>
    <x v="4"/>
    <n v="1"/>
    <n v="600"/>
    <n v="600"/>
    <n v="1"/>
  </r>
  <r>
    <n v="2118"/>
    <n v="2064"/>
    <n v="0.5"/>
    <x v="5"/>
    <d v="2024-06-15T00:00:00"/>
    <x v="5"/>
    <n v="15"/>
    <x v="2059"/>
    <x v="3"/>
    <x v="14"/>
    <n v="1"/>
    <n v="40"/>
    <n v="40"/>
    <n v="1"/>
  </r>
  <r>
    <n v="2119"/>
    <n v="2064"/>
    <n v="0.5"/>
    <x v="5"/>
    <d v="2024-06-15T00:00:00"/>
    <x v="5"/>
    <n v="14"/>
    <x v="2060"/>
    <x v="3"/>
    <x v="17"/>
    <n v="1"/>
    <n v="60"/>
    <n v="60"/>
    <n v="0"/>
  </r>
  <r>
    <n v="2120"/>
    <n v="2065"/>
    <n v="1"/>
    <x v="5"/>
    <d v="2024-06-15T00:00:00"/>
    <x v="5"/>
    <n v="14"/>
    <x v="2061"/>
    <x v="3"/>
    <x v="13"/>
    <n v="1"/>
    <n v="55"/>
    <n v="55"/>
    <n v="1"/>
  </r>
  <r>
    <n v="2121"/>
    <n v="2066"/>
    <n v="1"/>
    <x v="5"/>
    <d v="2024-06-15T00:00:00"/>
    <x v="5"/>
    <n v="16"/>
    <x v="2062"/>
    <x v="1"/>
    <x v="1"/>
    <n v="2"/>
    <n v="650"/>
    <n v="1300"/>
    <n v="1"/>
  </r>
  <r>
    <n v="2122"/>
    <n v="2067"/>
    <n v="0.33333333333333331"/>
    <x v="5"/>
    <d v="2024-06-15T00:00:00"/>
    <x v="5"/>
    <n v="10"/>
    <x v="2063"/>
    <x v="3"/>
    <x v="6"/>
    <n v="2"/>
    <n v="50"/>
    <n v="100"/>
    <n v="1"/>
  </r>
  <r>
    <n v="2123"/>
    <n v="2067"/>
    <n v="0.33333333333333331"/>
    <x v="5"/>
    <d v="2024-06-15T00:00:00"/>
    <x v="5"/>
    <n v="18"/>
    <x v="2064"/>
    <x v="0"/>
    <x v="7"/>
    <n v="2"/>
    <n v="25"/>
    <n v="50"/>
    <n v="0"/>
  </r>
  <r>
    <n v="2124"/>
    <n v="2067"/>
    <n v="0.33333333333333331"/>
    <x v="5"/>
    <d v="2024-06-15T00:00:00"/>
    <x v="5"/>
    <n v="14"/>
    <x v="2065"/>
    <x v="2"/>
    <x v="10"/>
    <n v="4"/>
    <n v="30"/>
    <n v="120"/>
    <n v="0"/>
  </r>
  <r>
    <n v="2125"/>
    <n v="2068"/>
    <n v="1"/>
    <x v="5"/>
    <d v="2024-06-15T00:00:00"/>
    <x v="5"/>
    <n v="19"/>
    <x v="2066"/>
    <x v="1"/>
    <x v="3"/>
    <n v="2"/>
    <n v="700"/>
    <n v="1400"/>
    <n v="1"/>
  </r>
  <r>
    <n v="2126"/>
    <n v="2069"/>
    <n v="1"/>
    <x v="5"/>
    <d v="2024-06-15T00:00:00"/>
    <x v="5"/>
    <n v="14"/>
    <x v="2067"/>
    <x v="1"/>
    <x v="1"/>
    <n v="1"/>
    <n v="650"/>
    <n v="650"/>
    <n v="1"/>
  </r>
  <r>
    <n v="2127"/>
    <n v="2070"/>
    <n v="1"/>
    <x v="5"/>
    <d v="2024-06-16T00:00:00"/>
    <x v="6"/>
    <n v="13"/>
    <x v="2068"/>
    <x v="3"/>
    <x v="17"/>
    <n v="4"/>
    <n v="60"/>
    <n v="240"/>
    <n v="1"/>
  </r>
  <r>
    <n v="2128"/>
    <n v="2071"/>
    <n v="0.33333333333333331"/>
    <x v="5"/>
    <d v="2024-06-16T00:00:00"/>
    <x v="6"/>
    <n v="10"/>
    <x v="2069"/>
    <x v="2"/>
    <x v="15"/>
    <n v="4"/>
    <n v="25"/>
    <n v="100"/>
    <n v="1"/>
  </r>
  <r>
    <n v="2129"/>
    <n v="2071"/>
    <n v="0.33333333333333331"/>
    <x v="5"/>
    <d v="2024-06-16T00:00:00"/>
    <x v="6"/>
    <n v="16"/>
    <x v="2070"/>
    <x v="1"/>
    <x v="4"/>
    <n v="2"/>
    <n v="600"/>
    <n v="1200"/>
    <n v="0"/>
  </r>
  <r>
    <n v="2130"/>
    <n v="2071"/>
    <n v="0.33333333333333331"/>
    <x v="5"/>
    <d v="2024-06-16T00:00:00"/>
    <x v="6"/>
    <n v="18"/>
    <x v="2071"/>
    <x v="1"/>
    <x v="12"/>
    <n v="4"/>
    <n v="1000"/>
    <n v="4000"/>
    <n v="0"/>
  </r>
  <r>
    <n v="2131"/>
    <n v="2072"/>
    <n v="0.33333333333333331"/>
    <x v="5"/>
    <d v="2024-06-16T00:00:00"/>
    <x v="6"/>
    <n v="17"/>
    <x v="2072"/>
    <x v="0"/>
    <x v="8"/>
    <n v="4"/>
    <n v="10"/>
    <n v="40"/>
    <n v="1"/>
  </r>
  <r>
    <n v="2132"/>
    <n v="2072"/>
    <n v="0.33333333333333331"/>
    <x v="5"/>
    <d v="2024-06-16T00:00:00"/>
    <x v="6"/>
    <n v="17"/>
    <x v="2073"/>
    <x v="1"/>
    <x v="4"/>
    <n v="4"/>
    <n v="600"/>
    <n v="2400"/>
    <n v="0"/>
  </r>
  <r>
    <n v="2133"/>
    <n v="2072"/>
    <n v="0.33333333333333331"/>
    <x v="5"/>
    <d v="2024-06-16T00:00:00"/>
    <x v="6"/>
    <n v="12"/>
    <x v="2074"/>
    <x v="2"/>
    <x v="15"/>
    <n v="5"/>
    <n v="25"/>
    <n v="125"/>
    <n v="0"/>
  </r>
  <r>
    <n v="2134"/>
    <n v="2073"/>
    <n v="1"/>
    <x v="5"/>
    <d v="2024-06-16T00:00:00"/>
    <x v="6"/>
    <n v="19"/>
    <x v="2075"/>
    <x v="1"/>
    <x v="12"/>
    <n v="5"/>
    <n v="1000"/>
    <n v="5000"/>
    <n v="1"/>
  </r>
  <r>
    <n v="2135"/>
    <n v="2074"/>
    <n v="0.5"/>
    <x v="5"/>
    <d v="2024-06-16T00:00:00"/>
    <x v="6"/>
    <n v="9"/>
    <x v="2076"/>
    <x v="3"/>
    <x v="13"/>
    <n v="2"/>
    <n v="55"/>
    <n v="110"/>
    <n v="1"/>
  </r>
  <r>
    <n v="2136"/>
    <n v="2074"/>
    <n v="0.5"/>
    <x v="5"/>
    <d v="2024-06-16T00:00:00"/>
    <x v="6"/>
    <n v="9"/>
    <x v="2077"/>
    <x v="1"/>
    <x v="1"/>
    <n v="1"/>
    <n v="650"/>
    <n v="650"/>
    <n v="0"/>
  </r>
  <r>
    <n v="2137"/>
    <n v="2075"/>
    <n v="1"/>
    <x v="5"/>
    <d v="2024-06-17T00:00:00"/>
    <x v="0"/>
    <n v="19"/>
    <x v="2078"/>
    <x v="1"/>
    <x v="2"/>
    <n v="5"/>
    <n v="680"/>
    <n v="3400"/>
    <n v="1"/>
  </r>
  <r>
    <n v="2138"/>
    <n v="2076"/>
    <n v="0.33333333333333331"/>
    <x v="5"/>
    <d v="2024-06-17T00:00:00"/>
    <x v="0"/>
    <n v="12"/>
    <x v="2079"/>
    <x v="3"/>
    <x v="6"/>
    <n v="1"/>
    <n v="50"/>
    <n v="50"/>
    <n v="1"/>
  </r>
  <r>
    <n v="2139"/>
    <n v="2076"/>
    <n v="0.33333333333333331"/>
    <x v="5"/>
    <d v="2024-06-17T00:00:00"/>
    <x v="0"/>
    <n v="11"/>
    <x v="2080"/>
    <x v="3"/>
    <x v="17"/>
    <n v="5"/>
    <n v="60"/>
    <n v="300"/>
    <n v="0"/>
  </r>
  <r>
    <n v="2140"/>
    <n v="2076"/>
    <n v="0.33333333333333331"/>
    <x v="5"/>
    <d v="2024-06-17T00:00:00"/>
    <x v="0"/>
    <n v="18"/>
    <x v="2081"/>
    <x v="1"/>
    <x v="1"/>
    <n v="3"/>
    <n v="650"/>
    <n v="1950"/>
    <n v="0"/>
  </r>
  <r>
    <n v="2141"/>
    <n v="2077"/>
    <n v="0.33333333333333331"/>
    <x v="5"/>
    <d v="2024-06-17T00:00:00"/>
    <x v="0"/>
    <n v="10"/>
    <x v="2082"/>
    <x v="0"/>
    <x v="16"/>
    <n v="3"/>
    <n v="5"/>
    <n v="15"/>
    <n v="1"/>
  </r>
  <r>
    <n v="2142"/>
    <n v="2077"/>
    <n v="0.33333333333333331"/>
    <x v="5"/>
    <d v="2024-06-17T00:00:00"/>
    <x v="0"/>
    <n v="20"/>
    <x v="2083"/>
    <x v="3"/>
    <x v="18"/>
    <n v="3"/>
    <n v="45"/>
    <n v="135"/>
    <n v="0"/>
  </r>
  <r>
    <n v="2143"/>
    <n v="2077"/>
    <n v="0.33333333333333331"/>
    <x v="5"/>
    <d v="2024-06-17T00:00:00"/>
    <x v="0"/>
    <n v="10"/>
    <x v="2084"/>
    <x v="0"/>
    <x v="9"/>
    <n v="1"/>
    <n v="15"/>
    <n v="15"/>
    <n v="0"/>
  </r>
  <r>
    <n v="2144"/>
    <n v="2078"/>
    <n v="1"/>
    <x v="5"/>
    <d v="2024-06-17T00:00:00"/>
    <x v="0"/>
    <n v="18"/>
    <x v="2085"/>
    <x v="1"/>
    <x v="4"/>
    <n v="2"/>
    <n v="600"/>
    <n v="1200"/>
    <n v="1"/>
  </r>
  <r>
    <n v="2145"/>
    <n v="2079"/>
    <n v="1"/>
    <x v="5"/>
    <d v="2024-06-18T00:00:00"/>
    <x v="1"/>
    <n v="17"/>
    <x v="2086"/>
    <x v="0"/>
    <x v="16"/>
    <n v="5"/>
    <n v="5"/>
    <n v="25"/>
    <n v="1"/>
  </r>
  <r>
    <n v="2146"/>
    <n v="2080"/>
    <n v="0.33333333333333331"/>
    <x v="5"/>
    <d v="2024-06-18T00:00:00"/>
    <x v="1"/>
    <n v="17"/>
    <x v="2087"/>
    <x v="0"/>
    <x v="0"/>
    <n v="2"/>
    <n v="20"/>
    <n v="40"/>
    <n v="1"/>
  </r>
  <r>
    <n v="2147"/>
    <n v="2080"/>
    <n v="0.33333333333333331"/>
    <x v="5"/>
    <d v="2024-06-18T00:00:00"/>
    <x v="1"/>
    <n v="11"/>
    <x v="2088"/>
    <x v="0"/>
    <x v="0"/>
    <n v="5"/>
    <n v="20"/>
    <n v="100"/>
    <n v="0"/>
  </r>
  <r>
    <n v="2148"/>
    <n v="2080"/>
    <n v="0.33333333333333331"/>
    <x v="5"/>
    <d v="2024-06-18T00:00:00"/>
    <x v="1"/>
    <n v="15"/>
    <x v="2089"/>
    <x v="0"/>
    <x v="9"/>
    <n v="1"/>
    <n v="15"/>
    <n v="15"/>
    <n v="0"/>
  </r>
  <r>
    <n v="2149"/>
    <n v="2081"/>
    <n v="0.5"/>
    <x v="5"/>
    <d v="2024-06-18T00:00:00"/>
    <x v="1"/>
    <n v="14"/>
    <x v="2090"/>
    <x v="1"/>
    <x v="4"/>
    <n v="5"/>
    <n v="600"/>
    <n v="3000"/>
    <n v="1"/>
  </r>
  <r>
    <n v="2150"/>
    <n v="2081"/>
    <n v="0.5"/>
    <x v="5"/>
    <d v="2024-06-18T00:00:00"/>
    <x v="1"/>
    <n v="20"/>
    <x v="2091"/>
    <x v="0"/>
    <x v="7"/>
    <n v="4"/>
    <n v="25"/>
    <n v="100"/>
    <n v="0"/>
  </r>
  <r>
    <n v="2151"/>
    <n v="2082"/>
    <n v="1"/>
    <x v="5"/>
    <d v="2024-06-18T00:00:00"/>
    <x v="1"/>
    <n v="18"/>
    <x v="2092"/>
    <x v="1"/>
    <x v="4"/>
    <n v="5"/>
    <n v="600"/>
    <n v="3000"/>
    <n v="1"/>
  </r>
  <r>
    <n v="2152"/>
    <n v="2083"/>
    <n v="0.33333333333333331"/>
    <x v="5"/>
    <d v="2024-06-18T00:00:00"/>
    <x v="1"/>
    <n v="10"/>
    <x v="2093"/>
    <x v="1"/>
    <x v="2"/>
    <n v="5"/>
    <n v="680"/>
    <n v="3400"/>
    <n v="1"/>
  </r>
  <r>
    <n v="2153"/>
    <n v="2083"/>
    <n v="0.33333333333333331"/>
    <x v="5"/>
    <d v="2024-06-18T00:00:00"/>
    <x v="1"/>
    <n v="10"/>
    <x v="2094"/>
    <x v="3"/>
    <x v="17"/>
    <n v="2"/>
    <n v="60"/>
    <n v="120"/>
    <n v="0"/>
  </r>
  <r>
    <n v="2154"/>
    <n v="2083"/>
    <n v="0.33333333333333331"/>
    <x v="5"/>
    <d v="2024-06-18T00:00:00"/>
    <x v="1"/>
    <n v="10"/>
    <x v="2095"/>
    <x v="3"/>
    <x v="18"/>
    <n v="2"/>
    <n v="45"/>
    <n v="90"/>
    <n v="0"/>
  </r>
  <r>
    <n v="2155"/>
    <n v="2084"/>
    <n v="1"/>
    <x v="5"/>
    <d v="2024-06-18T00:00:00"/>
    <x v="1"/>
    <n v="11"/>
    <x v="2096"/>
    <x v="3"/>
    <x v="18"/>
    <n v="2"/>
    <n v="45"/>
    <n v="90"/>
    <n v="1"/>
  </r>
  <r>
    <n v="2156"/>
    <n v="2085"/>
    <n v="0.33333333333333331"/>
    <x v="5"/>
    <d v="2024-06-18T00:00:00"/>
    <x v="1"/>
    <n v="20"/>
    <x v="2097"/>
    <x v="2"/>
    <x v="15"/>
    <n v="3"/>
    <n v="25"/>
    <n v="75"/>
    <n v="1"/>
  </r>
  <r>
    <n v="2157"/>
    <n v="2085"/>
    <n v="0.33333333333333331"/>
    <x v="5"/>
    <d v="2024-06-18T00:00:00"/>
    <x v="1"/>
    <n v="20"/>
    <x v="2098"/>
    <x v="3"/>
    <x v="14"/>
    <n v="2"/>
    <n v="40"/>
    <n v="80"/>
    <n v="0"/>
  </r>
  <r>
    <n v="2158"/>
    <n v="2085"/>
    <n v="0.33333333333333331"/>
    <x v="5"/>
    <d v="2024-06-18T00:00:00"/>
    <x v="1"/>
    <n v="20"/>
    <x v="328"/>
    <x v="2"/>
    <x v="10"/>
    <n v="5"/>
    <n v="30"/>
    <n v="150"/>
    <n v="0"/>
  </r>
  <r>
    <n v="2159"/>
    <n v="2086"/>
    <n v="1"/>
    <x v="5"/>
    <d v="2024-06-18T00:00:00"/>
    <x v="1"/>
    <n v="16"/>
    <x v="2099"/>
    <x v="2"/>
    <x v="5"/>
    <n v="2"/>
    <n v="20"/>
    <n v="40"/>
    <n v="1"/>
  </r>
  <r>
    <n v="2160"/>
    <n v="2087"/>
    <n v="0.5"/>
    <x v="5"/>
    <d v="2024-06-18T00:00:00"/>
    <x v="1"/>
    <n v="16"/>
    <x v="2100"/>
    <x v="3"/>
    <x v="13"/>
    <n v="5"/>
    <n v="55"/>
    <n v="275"/>
    <n v="1"/>
  </r>
  <r>
    <n v="2161"/>
    <n v="2087"/>
    <n v="0.5"/>
    <x v="5"/>
    <d v="2024-06-18T00:00:00"/>
    <x v="1"/>
    <n v="15"/>
    <x v="2101"/>
    <x v="1"/>
    <x v="4"/>
    <n v="2"/>
    <n v="600"/>
    <n v="1200"/>
    <n v="0"/>
  </r>
  <r>
    <n v="2162"/>
    <n v="2088"/>
    <n v="1"/>
    <x v="5"/>
    <d v="2024-06-19T00:00:00"/>
    <x v="2"/>
    <n v="9"/>
    <x v="1409"/>
    <x v="3"/>
    <x v="17"/>
    <n v="3"/>
    <n v="60"/>
    <n v="180"/>
    <n v="1"/>
  </r>
  <r>
    <n v="2163"/>
    <n v="2089"/>
    <n v="0.5"/>
    <x v="5"/>
    <d v="2024-06-19T00:00:00"/>
    <x v="2"/>
    <n v="14"/>
    <x v="2102"/>
    <x v="2"/>
    <x v="11"/>
    <n v="4"/>
    <n v="35"/>
    <n v="140"/>
    <n v="1"/>
  </r>
  <r>
    <n v="2164"/>
    <n v="2089"/>
    <n v="0.5"/>
    <x v="5"/>
    <d v="2024-06-19T00:00:00"/>
    <x v="2"/>
    <n v="20"/>
    <x v="2103"/>
    <x v="3"/>
    <x v="14"/>
    <n v="4"/>
    <n v="40"/>
    <n v="160"/>
    <n v="0"/>
  </r>
  <r>
    <n v="2165"/>
    <n v="2090"/>
    <n v="1"/>
    <x v="5"/>
    <d v="2024-06-19T00:00:00"/>
    <x v="2"/>
    <n v="11"/>
    <x v="2104"/>
    <x v="3"/>
    <x v="18"/>
    <n v="1"/>
    <n v="45"/>
    <n v="45"/>
    <n v="1"/>
  </r>
  <r>
    <n v="2166"/>
    <n v="2091"/>
    <n v="0.5"/>
    <x v="5"/>
    <d v="2024-06-20T00:00:00"/>
    <x v="3"/>
    <n v="13"/>
    <x v="2105"/>
    <x v="1"/>
    <x v="2"/>
    <n v="3"/>
    <n v="680"/>
    <n v="2040"/>
    <n v="1"/>
  </r>
  <r>
    <n v="2167"/>
    <n v="2091"/>
    <n v="0.5"/>
    <x v="5"/>
    <d v="2024-06-20T00:00:00"/>
    <x v="3"/>
    <n v="10"/>
    <x v="2106"/>
    <x v="3"/>
    <x v="13"/>
    <n v="1"/>
    <n v="55"/>
    <n v="55"/>
    <n v="0"/>
  </r>
  <r>
    <n v="2168"/>
    <n v="2092"/>
    <n v="0.5"/>
    <x v="5"/>
    <d v="2024-06-20T00:00:00"/>
    <x v="3"/>
    <n v="11"/>
    <x v="2107"/>
    <x v="0"/>
    <x v="9"/>
    <n v="5"/>
    <n v="15"/>
    <n v="75"/>
    <n v="1"/>
  </r>
  <r>
    <n v="2169"/>
    <n v="2092"/>
    <n v="0.5"/>
    <x v="5"/>
    <d v="2024-06-20T00:00:00"/>
    <x v="3"/>
    <n v="11"/>
    <x v="2108"/>
    <x v="3"/>
    <x v="13"/>
    <n v="5"/>
    <n v="55"/>
    <n v="275"/>
    <n v="0"/>
  </r>
  <r>
    <n v="2170"/>
    <n v="2093"/>
    <n v="0.33333333333333331"/>
    <x v="5"/>
    <d v="2024-06-20T00:00:00"/>
    <x v="3"/>
    <n v="15"/>
    <x v="2109"/>
    <x v="3"/>
    <x v="17"/>
    <n v="2"/>
    <n v="60"/>
    <n v="120"/>
    <n v="1"/>
  </r>
  <r>
    <n v="2171"/>
    <n v="2093"/>
    <n v="0.33333333333333331"/>
    <x v="5"/>
    <d v="2024-06-20T00:00:00"/>
    <x v="3"/>
    <n v="12"/>
    <x v="2110"/>
    <x v="1"/>
    <x v="2"/>
    <n v="4"/>
    <n v="680"/>
    <n v="2720"/>
    <n v="0"/>
  </r>
  <r>
    <n v="2172"/>
    <n v="2093"/>
    <n v="0.33333333333333331"/>
    <x v="5"/>
    <d v="2024-06-20T00:00:00"/>
    <x v="3"/>
    <n v="18"/>
    <x v="2111"/>
    <x v="0"/>
    <x v="7"/>
    <n v="4"/>
    <n v="25"/>
    <n v="100"/>
    <n v="0"/>
  </r>
  <r>
    <n v="2173"/>
    <n v="2094"/>
    <n v="1"/>
    <x v="5"/>
    <d v="2024-06-20T00:00:00"/>
    <x v="3"/>
    <n v="9"/>
    <x v="2112"/>
    <x v="1"/>
    <x v="12"/>
    <n v="3"/>
    <n v="1000"/>
    <n v="3000"/>
    <n v="1"/>
  </r>
  <r>
    <n v="2174"/>
    <n v="2095"/>
    <n v="0.5"/>
    <x v="5"/>
    <d v="2024-06-20T00:00:00"/>
    <x v="3"/>
    <n v="14"/>
    <x v="2113"/>
    <x v="1"/>
    <x v="3"/>
    <n v="4"/>
    <n v="700"/>
    <n v="2800"/>
    <n v="1"/>
  </r>
  <r>
    <n v="2175"/>
    <n v="2095"/>
    <n v="0.5"/>
    <x v="5"/>
    <d v="2024-06-20T00:00:00"/>
    <x v="3"/>
    <n v="19"/>
    <x v="2114"/>
    <x v="2"/>
    <x v="10"/>
    <n v="4"/>
    <n v="30"/>
    <n v="120"/>
    <n v="0"/>
  </r>
  <r>
    <n v="2176"/>
    <n v="2096"/>
    <n v="0.33333333333333331"/>
    <x v="5"/>
    <d v="2024-06-20T00:00:00"/>
    <x v="3"/>
    <n v="11"/>
    <x v="2115"/>
    <x v="3"/>
    <x v="13"/>
    <n v="1"/>
    <n v="55"/>
    <n v="55"/>
    <n v="1"/>
  </r>
  <r>
    <n v="2177"/>
    <n v="2096"/>
    <n v="0.33333333333333331"/>
    <x v="5"/>
    <d v="2024-06-20T00:00:00"/>
    <x v="3"/>
    <n v="19"/>
    <x v="2116"/>
    <x v="3"/>
    <x v="17"/>
    <n v="5"/>
    <n v="60"/>
    <n v="300"/>
    <n v="0"/>
  </r>
  <r>
    <n v="2178"/>
    <n v="2096"/>
    <n v="0.33333333333333331"/>
    <x v="5"/>
    <d v="2024-06-20T00:00:00"/>
    <x v="3"/>
    <n v="14"/>
    <x v="2117"/>
    <x v="1"/>
    <x v="3"/>
    <n v="3"/>
    <n v="700"/>
    <n v="2100"/>
    <n v="0"/>
  </r>
  <r>
    <n v="2179"/>
    <n v="2097"/>
    <n v="1"/>
    <x v="5"/>
    <d v="2024-06-20T00:00:00"/>
    <x v="3"/>
    <n v="18"/>
    <x v="2118"/>
    <x v="2"/>
    <x v="5"/>
    <n v="2"/>
    <n v="20"/>
    <n v="40"/>
    <n v="1"/>
  </r>
  <r>
    <n v="2180"/>
    <n v="2098"/>
    <n v="1"/>
    <x v="5"/>
    <d v="2024-06-20T00:00:00"/>
    <x v="3"/>
    <n v="18"/>
    <x v="2119"/>
    <x v="0"/>
    <x v="9"/>
    <n v="4"/>
    <n v="15"/>
    <n v="60"/>
    <n v="1"/>
  </r>
  <r>
    <n v="2181"/>
    <n v="2099"/>
    <n v="0.5"/>
    <x v="5"/>
    <d v="2024-06-20T00:00:00"/>
    <x v="3"/>
    <n v="10"/>
    <x v="2120"/>
    <x v="0"/>
    <x v="16"/>
    <n v="1"/>
    <n v="5"/>
    <n v="5"/>
    <n v="1"/>
  </r>
  <r>
    <n v="2182"/>
    <n v="2099"/>
    <n v="0.5"/>
    <x v="5"/>
    <d v="2024-06-20T00:00:00"/>
    <x v="3"/>
    <n v="18"/>
    <x v="2121"/>
    <x v="1"/>
    <x v="2"/>
    <n v="5"/>
    <n v="680"/>
    <n v="3400"/>
    <n v="0"/>
  </r>
  <r>
    <n v="2183"/>
    <n v="2100"/>
    <n v="0.33333333333333331"/>
    <x v="5"/>
    <d v="2024-06-21T00:00:00"/>
    <x v="4"/>
    <n v="13"/>
    <x v="2122"/>
    <x v="0"/>
    <x v="9"/>
    <n v="4"/>
    <n v="15"/>
    <n v="60"/>
    <n v="1"/>
  </r>
  <r>
    <n v="2184"/>
    <n v="2100"/>
    <n v="0.33333333333333331"/>
    <x v="5"/>
    <d v="2024-06-21T00:00:00"/>
    <x v="4"/>
    <n v="11"/>
    <x v="2123"/>
    <x v="2"/>
    <x v="5"/>
    <n v="3"/>
    <n v="20"/>
    <n v="60"/>
    <n v="0"/>
  </r>
  <r>
    <n v="2185"/>
    <n v="2100"/>
    <n v="0.33333333333333331"/>
    <x v="5"/>
    <d v="2024-06-21T00:00:00"/>
    <x v="4"/>
    <n v="15"/>
    <x v="2124"/>
    <x v="0"/>
    <x v="7"/>
    <n v="5"/>
    <n v="25"/>
    <n v="125"/>
    <n v="0"/>
  </r>
  <r>
    <n v="2186"/>
    <n v="2101"/>
    <n v="0.33333333333333331"/>
    <x v="5"/>
    <d v="2024-06-21T00:00:00"/>
    <x v="4"/>
    <n v="18"/>
    <x v="2125"/>
    <x v="3"/>
    <x v="18"/>
    <n v="4"/>
    <n v="45"/>
    <n v="180"/>
    <n v="1"/>
  </r>
  <r>
    <n v="2187"/>
    <n v="2101"/>
    <n v="0.33333333333333331"/>
    <x v="5"/>
    <d v="2024-06-21T00:00:00"/>
    <x v="4"/>
    <n v="17"/>
    <x v="2126"/>
    <x v="2"/>
    <x v="15"/>
    <n v="3"/>
    <n v="25"/>
    <n v="75"/>
    <n v="0"/>
  </r>
  <r>
    <n v="2188"/>
    <n v="2101"/>
    <n v="0.33333333333333331"/>
    <x v="5"/>
    <d v="2024-06-21T00:00:00"/>
    <x v="4"/>
    <n v="12"/>
    <x v="2127"/>
    <x v="1"/>
    <x v="12"/>
    <n v="4"/>
    <n v="1000"/>
    <n v="4000"/>
    <n v="0"/>
  </r>
  <r>
    <n v="2189"/>
    <n v="2102"/>
    <n v="0.5"/>
    <x v="5"/>
    <d v="2024-06-21T00:00:00"/>
    <x v="4"/>
    <n v="20"/>
    <x v="2128"/>
    <x v="3"/>
    <x v="6"/>
    <n v="2"/>
    <n v="50"/>
    <n v="100"/>
    <n v="1"/>
  </r>
  <r>
    <n v="2190"/>
    <n v="2102"/>
    <n v="0.5"/>
    <x v="5"/>
    <d v="2024-06-21T00:00:00"/>
    <x v="4"/>
    <n v="14"/>
    <x v="2129"/>
    <x v="3"/>
    <x v="14"/>
    <n v="1"/>
    <n v="40"/>
    <n v="40"/>
    <n v="0"/>
  </r>
  <r>
    <n v="2191"/>
    <n v="2103"/>
    <n v="0.33333333333333331"/>
    <x v="5"/>
    <d v="2024-06-21T00:00:00"/>
    <x v="4"/>
    <n v="14"/>
    <x v="2130"/>
    <x v="1"/>
    <x v="12"/>
    <n v="1"/>
    <n v="1000"/>
    <n v="1000"/>
    <n v="1"/>
  </r>
  <r>
    <n v="2192"/>
    <n v="2103"/>
    <n v="0.33333333333333331"/>
    <x v="5"/>
    <d v="2024-06-21T00:00:00"/>
    <x v="4"/>
    <n v="10"/>
    <x v="2131"/>
    <x v="0"/>
    <x v="16"/>
    <n v="1"/>
    <n v="5"/>
    <n v="5"/>
    <n v="0"/>
  </r>
  <r>
    <n v="2193"/>
    <n v="2103"/>
    <n v="0.33333333333333331"/>
    <x v="5"/>
    <d v="2024-06-21T00:00:00"/>
    <x v="4"/>
    <n v="14"/>
    <x v="2132"/>
    <x v="1"/>
    <x v="3"/>
    <n v="4"/>
    <n v="700"/>
    <n v="2800"/>
    <n v="0"/>
  </r>
  <r>
    <n v="2194"/>
    <n v="2104"/>
    <n v="0.5"/>
    <x v="5"/>
    <d v="2024-06-21T00:00:00"/>
    <x v="4"/>
    <n v="16"/>
    <x v="1826"/>
    <x v="1"/>
    <x v="2"/>
    <n v="2"/>
    <n v="680"/>
    <n v="1360"/>
    <n v="1"/>
  </r>
  <r>
    <n v="2195"/>
    <n v="2104"/>
    <n v="0.5"/>
    <x v="5"/>
    <d v="2024-06-21T00:00:00"/>
    <x v="4"/>
    <n v="20"/>
    <x v="2133"/>
    <x v="1"/>
    <x v="12"/>
    <n v="1"/>
    <n v="1000"/>
    <n v="1000"/>
    <n v="0"/>
  </r>
  <r>
    <n v="2196"/>
    <n v="2105"/>
    <n v="1"/>
    <x v="5"/>
    <d v="2024-06-21T00:00:00"/>
    <x v="4"/>
    <n v="16"/>
    <x v="2134"/>
    <x v="3"/>
    <x v="6"/>
    <n v="5"/>
    <n v="50"/>
    <n v="250"/>
    <n v="1"/>
  </r>
  <r>
    <n v="2197"/>
    <n v="2106"/>
    <n v="1"/>
    <x v="5"/>
    <d v="2024-06-21T00:00:00"/>
    <x v="4"/>
    <n v="16"/>
    <x v="2135"/>
    <x v="2"/>
    <x v="11"/>
    <n v="1"/>
    <n v="35"/>
    <n v="35"/>
    <n v="1"/>
  </r>
  <r>
    <n v="2198"/>
    <n v="2107"/>
    <n v="1"/>
    <x v="5"/>
    <d v="2024-06-21T00:00:00"/>
    <x v="4"/>
    <n v="19"/>
    <x v="2136"/>
    <x v="3"/>
    <x v="6"/>
    <n v="3"/>
    <n v="50"/>
    <n v="150"/>
    <n v="1"/>
  </r>
  <r>
    <n v="2199"/>
    <n v="2108"/>
    <n v="0.33333333333333331"/>
    <x v="5"/>
    <d v="2024-06-21T00:00:00"/>
    <x v="4"/>
    <n v="16"/>
    <x v="2137"/>
    <x v="0"/>
    <x v="0"/>
    <n v="3"/>
    <n v="20"/>
    <n v="60"/>
    <n v="1"/>
  </r>
  <r>
    <n v="2200"/>
    <n v="2108"/>
    <n v="0.33333333333333331"/>
    <x v="5"/>
    <d v="2024-06-21T00:00:00"/>
    <x v="4"/>
    <n v="12"/>
    <x v="1440"/>
    <x v="3"/>
    <x v="6"/>
    <n v="2"/>
    <n v="50"/>
    <n v="100"/>
    <n v="0"/>
  </r>
  <r>
    <n v="2201"/>
    <n v="2108"/>
    <n v="0.33333333333333331"/>
    <x v="5"/>
    <d v="2024-06-21T00:00:00"/>
    <x v="4"/>
    <n v="16"/>
    <x v="2138"/>
    <x v="2"/>
    <x v="10"/>
    <n v="1"/>
    <n v="30"/>
    <n v="30"/>
    <n v="0"/>
  </r>
  <r>
    <n v="2202"/>
    <n v="2109"/>
    <n v="0.5"/>
    <x v="5"/>
    <d v="2024-06-21T00:00:00"/>
    <x v="4"/>
    <n v="20"/>
    <x v="2139"/>
    <x v="3"/>
    <x v="14"/>
    <n v="5"/>
    <n v="40"/>
    <n v="200"/>
    <n v="1"/>
  </r>
  <r>
    <n v="2203"/>
    <n v="2109"/>
    <n v="0.5"/>
    <x v="5"/>
    <d v="2024-06-21T00:00:00"/>
    <x v="4"/>
    <n v="18"/>
    <x v="2140"/>
    <x v="3"/>
    <x v="6"/>
    <n v="1"/>
    <n v="50"/>
    <n v="50"/>
    <n v="0"/>
  </r>
  <r>
    <n v="2204"/>
    <n v="2110"/>
    <n v="1"/>
    <x v="5"/>
    <d v="2024-06-22T00:00:00"/>
    <x v="5"/>
    <n v="13"/>
    <x v="2141"/>
    <x v="1"/>
    <x v="1"/>
    <n v="2"/>
    <n v="650"/>
    <n v="1300"/>
    <n v="1"/>
  </r>
  <r>
    <n v="2205"/>
    <n v="2111"/>
    <n v="0.33333333333333331"/>
    <x v="5"/>
    <d v="2024-06-22T00:00:00"/>
    <x v="5"/>
    <n v="20"/>
    <x v="2142"/>
    <x v="0"/>
    <x v="7"/>
    <n v="1"/>
    <n v="25"/>
    <n v="25"/>
    <n v="1"/>
  </r>
  <r>
    <n v="2206"/>
    <n v="2111"/>
    <n v="0.33333333333333331"/>
    <x v="5"/>
    <d v="2024-06-22T00:00:00"/>
    <x v="5"/>
    <n v="11"/>
    <x v="2143"/>
    <x v="1"/>
    <x v="2"/>
    <n v="4"/>
    <n v="680"/>
    <n v="2720"/>
    <n v="0"/>
  </r>
  <r>
    <n v="2207"/>
    <n v="2111"/>
    <n v="0.33333333333333331"/>
    <x v="5"/>
    <d v="2024-06-22T00:00:00"/>
    <x v="5"/>
    <n v="9"/>
    <x v="2144"/>
    <x v="1"/>
    <x v="2"/>
    <n v="2"/>
    <n v="680"/>
    <n v="1360"/>
    <n v="0"/>
  </r>
  <r>
    <n v="2208"/>
    <n v="2112"/>
    <n v="0.33333333333333331"/>
    <x v="5"/>
    <d v="2024-06-22T00:00:00"/>
    <x v="5"/>
    <n v="17"/>
    <x v="2145"/>
    <x v="3"/>
    <x v="18"/>
    <n v="3"/>
    <n v="45"/>
    <n v="135"/>
    <n v="1"/>
  </r>
  <r>
    <n v="2209"/>
    <n v="2112"/>
    <n v="0.33333333333333331"/>
    <x v="5"/>
    <d v="2024-06-22T00:00:00"/>
    <x v="5"/>
    <n v="15"/>
    <x v="2146"/>
    <x v="2"/>
    <x v="10"/>
    <n v="3"/>
    <n v="30"/>
    <n v="90"/>
    <n v="0"/>
  </r>
  <r>
    <n v="2210"/>
    <n v="2112"/>
    <n v="0.33333333333333331"/>
    <x v="5"/>
    <d v="2024-06-22T00:00:00"/>
    <x v="5"/>
    <n v="18"/>
    <x v="2147"/>
    <x v="3"/>
    <x v="18"/>
    <n v="1"/>
    <n v="45"/>
    <n v="45"/>
    <n v="0"/>
  </r>
  <r>
    <n v="2211"/>
    <n v="2113"/>
    <n v="1"/>
    <x v="5"/>
    <d v="2024-06-22T00:00:00"/>
    <x v="5"/>
    <n v="17"/>
    <x v="2148"/>
    <x v="2"/>
    <x v="10"/>
    <n v="1"/>
    <n v="30"/>
    <n v="30"/>
    <n v="1"/>
  </r>
  <r>
    <n v="2212"/>
    <n v="2114"/>
    <n v="0.5"/>
    <x v="5"/>
    <d v="2024-06-23T00:00:00"/>
    <x v="6"/>
    <n v="10"/>
    <x v="2149"/>
    <x v="1"/>
    <x v="4"/>
    <n v="2"/>
    <n v="600"/>
    <n v="1200"/>
    <n v="1"/>
  </r>
  <r>
    <n v="2213"/>
    <n v="2114"/>
    <n v="0.5"/>
    <x v="5"/>
    <d v="2024-06-23T00:00:00"/>
    <x v="6"/>
    <n v="12"/>
    <x v="2150"/>
    <x v="1"/>
    <x v="2"/>
    <n v="3"/>
    <n v="680"/>
    <n v="2040"/>
    <n v="0"/>
  </r>
  <r>
    <n v="2214"/>
    <n v="2115"/>
    <n v="0.33333333333333331"/>
    <x v="5"/>
    <d v="2024-06-23T00:00:00"/>
    <x v="6"/>
    <n v="19"/>
    <x v="2151"/>
    <x v="0"/>
    <x v="0"/>
    <n v="4"/>
    <n v="20"/>
    <n v="80"/>
    <n v="1"/>
  </r>
  <r>
    <n v="2215"/>
    <n v="2115"/>
    <n v="0.33333333333333331"/>
    <x v="5"/>
    <d v="2024-06-23T00:00:00"/>
    <x v="6"/>
    <n v="9"/>
    <x v="2152"/>
    <x v="1"/>
    <x v="4"/>
    <n v="3"/>
    <n v="600"/>
    <n v="1800"/>
    <n v="0"/>
  </r>
  <r>
    <n v="2216"/>
    <n v="2115"/>
    <n v="0.33333333333333331"/>
    <x v="5"/>
    <d v="2024-06-23T00:00:00"/>
    <x v="6"/>
    <n v="18"/>
    <x v="2153"/>
    <x v="2"/>
    <x v="5"/>
    <n v="3"/>
    <n v="20"/>
    <n v="60"/>
    <n v="0"/>
  </r>
  <r>
    <n v="2217"/>
    <n v="2116"/>
    <n v="1"/>
    <x v="5"/>
    <d v="2024-06-23T00:00:00"/>
    <x v="6"/>
    <n v="10"/>
    <x v="2154"/>
    <x v="1"/>
    <x v="4"/>
    <n v="3"/>
    <n v="600"/>
    <n v="1800"/>
    <n v="1"/>
  </r>
  <r>
    <n v="2218"/>
    <n v="2117"/>
    <n v="1"/>
    <x v="5"/>
    <d v="2024-06-23T00:00:00"/>
    <x v="6"/>
    <n v="19"/>
    <x v="2155"/>
    <x v="2"/>
    <x v="10"/>
    <n v="5"/>
    <n v="30"/>
    <n v="150"/>
    <n v="1"/>
  </r>
  <r>
    <n v="2219"/>
    <n v="2118"/>
    <n v="0.33333333333333331"/>
    <x v="5"/>
    <d v="2024-06-23T00:00:00"/>
    <x v="6"/>
    <n v="19"/>
    <x v="2156"/>
    <x v="1"/>
    <x v="3"/>
    <n v="1"/>
    <n v="700"/>
    <n v="700"/>
    <n v="1"/>
  </r>
  <r>
    <n v="2220"/>
    <n v="2118"/>
    <n v="0.33333333333333331"/>
    <x v="5"/>
    <d v="2024-06-23T00:00:00"/>
    <x v="6"/>
    <n v="14"/>
    <x v="2157"/>
    <x v="0"/>
    <x v="9"/>
    <n v="2"/>
    <n v="15"/>
    <n v="30"/>
    <n v="0"/>
  </r>
  <r>
    <n v="2221"/>
    <n v="2118"/>
    <n v="0.33333333333333331"/>
    <x v="5"/>
    <d v="2024-06-23T00:00:00"/>
    <x v="6"/>
    <n v="18"/>
    <x v="2158"/>
    <x v="1"/>
    <x v="3"/>
    <n v="5"/>
    <n v="700"/>
    <n v="3500"/>
    <n v="0"/>
  </r>
  <r>
    <n v="2222"/>
    <n v="2119"/>
    <n v="0.33333333333333331"/>
    <x v="5"/>
    <d v="2024-06-24T00:00:00"/>
    <x v="0"/>
    <n v="20"/>
    <x v="2159"/>
    <x v="2"/>
    <x v="15"/>
    <n v="1"/>
    <n v="25"/>
    <n v="25"/>
    <n v="1"/>
  </r>
  <r>
    <n v="2223"/>
    <n v="2119"/>
    <n v="0.33333333333333331"/>
    <x v="5"/>
    <d v="2024-06-24T00:00:00"/>
    <x v="0"/>
    <n v="9"/>
    <x v="2160"/>
    <x v="1"/>
    <x v="2"/>
    <n v="1"/>
    <n v="680"/>
    <n v="680"/>
    <n v="0"/>
  </r>
  <r>
    <n v="2224"/>
    <n v="2119"/>
    <n v="0.33333333333333331"/>
    <x v="5"/>
    <d v="2024-06-24T00:00:00"/>
    <x v="0"/>
    <n v="18"/>
    <x v="2161"/>
    <x v="1"/>
    <x v="1"/>
    <n v="1"/>
    <n v="650"/>
    <n v="650"/>
    <n v="0"/>
  </r>
  <r>
    <n v="2225"/>
    <n v="2120"/>
    <n v="1"/>
    <x v="5"/>
    <d v="2024-06-24T00:00:00"/>
    <x v="0"/>
    <n v="12"/>
    <x v="2162"/>
    <x v="1"/>
    <x v="12"/>
    <n v="4"/>
    <n v="1000"/>
    <n v="4000"/>
    <n v="1"/>
  </r>
  <r>
    <n v="2226"/>
    <n v="2121"/>
    <n v="0.5"/>
    <x v="5"/>
    <d v="2024-06-24T00:00:00"/>
    <x v="0"/>
    <n v="10"/>
    <x v="2163"/>
    <x v="2"/>
    <x v="10"/>
    <n v="4"/>
    <n v="30"/>
    <n v="120"/>
    <n v="1"/>
  </r>
  <r>
    <n v="2227"/>
    <n v="2121"/>
    <n v="0.5"/>
    <x v="5"/>
    <d v="2024-06-24T00:00:00"/>
    <x v="0"/>
    <n v="20"/>
    <x v="2164"/>
    <x v="0"/>
    <x v="16"/>
    <n v="1"/>
    <n v="5"/>
    <n v="5"/>
    <n v="0"/>
  </r>
  <r>
    <n v="2228"/>
    <n v="2122"/>
    <n v="1"/>
    <x v="5"/>
    <d v="2024-06-24T00:00:00"/>
    <x v="0"/>
    <n v="12"/>
    <x v="2165"/>
    <x v="3"/>
    <x v="6"/>
    <n v="2"/>
    <n v="50"/>
    <n v="100"/>
    <n v="1"/>
  </r>
  <r>
    <n v="2229"/>
    <n v="2123"/>
    <n v="1"/>
    <x v="5"/>
    <d v="2024-06-24T00:00:00"/>
    <x v="0"/>
    <n v="12"/>
    <x v="2166"/>
    <x v="1"/>
    <x v="3"/>
    <n v="2"/>
    <n v="700"/>
    <n v="1400"/>
    <n v="1"/>
  </r>
  <r>
    <n v="2230"/>
    <n v="2124"/>
    <n v="0.33333333333333331"/>
    <x v="5"/>
    <d v="2024-06-24T00:00:00"/>
    <x v="0"/>
    <n v="15"/>
    <x v="2167"/>
    <x v="1"/>
    <x v="3"/>
    <n v="2"/>
    <n v="700"/>
    <n v="1400"/>
    <n v="1"/>
  </r>
  <r>
    <n v="2231"/>
    <n v="2124"/>
    <n v="0.33333333333333331"/>
    <x v="5"/>
    <d v="2024-06-24T00:00:00"/>
    <x v="0"/>
    <n v="11"/>
    <x v="2168"/>
    <x v="1"/>
    <x v="2"/>
    <n v="1"/>
    <n v="680"/>
    <n v="680"/>
    <n v="0"/>
  </r>
  <r>
    <n v="2232"/>
    <n v="2124"/>
    <n v="0.33333333333333331"/>
    <x v="5"/>
    <d v="2024-06-24T00:00:00"/>
    <x v="0"/>
    <n v="10"/>
    <x v="2169"/>
    <x v="1"/>
    <x v="4"/>
    <n v="2"/>
    <n v="600"/>
    <n v="1200"/>
    <n v="0"/>
  </r>
  <r>
    <n v="2233"/>
    <n v="2125"/>
    <n v="0.33333333333333331"/>
    <x v="5"/>
    <d v="2024-06-25T00:00:00"/>
    <x v="1"/>
    <n v="18"/>
    <x v="2170"/>
    <x v="3"/>
    <x v="17"/>
    <n v="3"/>
    <n v="60"/>
    <n v="180"/>
    <n v="1"/>
  </r>
  <r>
    <n v="2234"/>
    <n v="2125"/>
    <n v="0.33333333333333331"/>
    <x v="5"/>
    <d v="2024-06-25T00:00:00"/>
    <x v="1"/>
    <n v="18"/>
    <x v="2171"/>
    <x v="3"/>
    <x v="6"/>
    <n v="2"/>
    <n v="50"/>
    <n v="100"/>
    <n v="0"/>
  </r>
  <r>
    <n v="2235"/>
    <n v="2125"/>
    <n v="0.33333333333333331"/>
    <x v="5"/>
    <d v="2024-06-25T00:00:00"/>
    <x v="1"/>
    <n v="13"/>
    <x v="2172"/>
    <x v="3"/>
    <x v="17"/>
    <n v="5"/>
    <n v="60"/>
    <n v="300"/>
    <n v="0"/>
  </r>
  <r>
    <n v="2236"/>
    <n v="2126"/>
    <n v="0.5"/>
    <x v="5"/>
    <d v="2024-06-25T00:00:00"/>
    <x v="1"/>
    <n v="15"/>
    <x v="2173"/>
    <x v="0"/>
    <x v="8"/>
    <n v="5"/>
    <n v="10"/>
    <n v="50"/>
    <n v="1"/>
  </r>
  <r>
    <n v="2237"/>
    <n v="2126"/>
    <n v="0.5"/>
    <x v="5"/>
    <d v="2024-06-25T00:00:00"/>
    <x v="1"/>
    <n v="10"/>
    <x v="2174"/>
    <x v="2"/>
    <x v="15"/>
    <n v="5"/>
    <n v="25"/>
    <n v="125"/>
    <n v="0"/>
  </r>
  <r>
    <n v="2238"/>
    <n v="2127"/>
    <n v="1"/>
    <x v="5"/>
    <d v="2024-06-25T00:00:00"/>
    <x v="1"/>
    <n v="10"/>
    <x v="2175"/>
    <x v="1"/>
    <x v="4"/>
    <n v="4"/>
    <n v="600"/>
    <n v="2400"/>
    <n v="1"/>
  </r>
  <r>
    <n v="2239"/>
    <n v="2128"/>
    <n v="1"/>
    <x v="5"/>
    <d v="2024-06-25T00:00:00"/>
    <x v="1"/>
    <n v="12"/>
    <x v="56"/>
    <x v="0"/>
    <x v="7"/>
    <n v="3"/>
    <n v="25"/>
    <n v="75"/>
    <n v="1"/>
  </r>
  <r>
    <n v="2240"/>
    <n v="2129"/>
    <n v="0.5"/>
    <x v="5"/>
    <d v="2024-06-25T00:00:00"/>
    <x v="1"/>
    <n v="19"/>
    <x v="2176"/>
    <x v="1"/>
    <x v="4"/>
    <n v="3"/>
    <n v="600"/>
    <n v="1800"/>
    <n v="1"/>
  </r>
  <r>
    <n v="2241"/>
    <n v="2129"/>
    <n v="0.5"/>
    <x v="5"/>
    <d v="2024-06-25T00:00:00"/>
    <x v="1"/>
    <n v="11"/>
    <x v="2177"/>
    <x v="3"/>
    <x v="13"/>
    <n v="5"/>
    <n v="55"/>
    <n v="275"/>
    <n v="0"/>
  </r>
  <r>
    <n v="2242"/>
    <n v="2130"/>
    <n v="0.33333333333333331"/>
    <x v="5"/>
    <d v="2024-06-25T00:00:00"/>
    <x v="1"/>
    <n v="11"/>
    <x v="2178"/>
    <x v="1"/>
    <x v="1"/>
    <n v="3"/>
    <n v="650"/>
    <n v="1950"/>
    <n v="1"/>
  </r>
  <r>
    <n v="2243"/>
    <n v="2130"/>
    <n v="0.33333333333333331"/>
    <x v="5"/>
    <d v="2024-06-25T00:00:00"/>
    <x v="1"/>
    <n v="14"/>
    <x v="2179"/>
    <x v="1"/>
    <x v="4"/>
    <n v="1"/>
    <n v="600"/>
    <n v="600"/>
    <n v="0"/>
  </r>
  <r>
    <n v="2244"/>
    <n v="2130"/>
    <n v="0.33333333333333331"/>
    <x v="5"/>
    <d v="2024-06-25T00:00:00"/>
    <x v="1"/>
    <n v="13"/>
    <x v="2180"/>
    <x v="0"/>
    <x v="16"/>
    <n v="4"/>
    <n v="5"/>
    <n v="20"/>
    <n v="0"/>
  </r>
  <r>
    <n v="2245"/>
    <n v="2131"/>
    <n v="1"/>
    <x v="5"/>
    <d v="2024-06-26T00:00:00"/>
    <x v="2"/>
    <n v="18"/>
    <x v="2181"/>
    <x v="1"/>
    <x v="2"/>
    <n v="4"/>
    <n v="680"/>
    <n v="2720"/>
    <n v="1"/>
  </r>
  <r>
    <n v="2246"/>
    <n v="2132"/>
    <n v="0.33333333333333331"/>
    <x v="5"/>
    <d v="2024-06-26T00:00:00"/>
    <x v="2"/>
    <n v="20"/>
    <x v="2182"/>
    <x v="3"/>
    <x v="17"/>
    <n v="4"/>
    <n v="60"/>
    <n v="240"/>
    <n v="1"/>
  </r>
  <r>
    <n v="2247"/>
    <n v="2132"/>
    <n v="0.33333333333333331"/>
    <x v="5"/>
    <d v="2024-06-26T00:00:00"/>
    <x v="2"/>
    <n v="11"/>
    <x v="289"/>
    <x v="2"/>
    <x v="5"/>
    <n v="5"/>
    <n v="20"/>
    <n v="100"/>
    <n v="0"/>
  </r>
  <r>
    <n v="2248"/>
    <n v="2132"/>
    <n v="0.33333333333333331"/>
    <x v="5"/>
    <d v="2024-06-26T00:00:00"/>
    <x v="2"/>
    <n v="18"/>
    <x v="2183"/>
    <x v="2"/>
    <x v="15"/>
    <n v="5"/>
    <n v="25"/>
    <n v="125"/>
    <n v="0"/>
  </r>
  <r>
    <n v="2249"/>
    <n v="2133"/>
    <n v="0.33333333333333331"/>
    <x v="5"/>
    <d v="2024-06-26T00:00:00"/>
    <x v="2"/>
    <n v="11"/>
    <x v="1747"/>
    <x v="2"/>
    <x v="10"/>
    <n v="1"/>
    <n v="30"/>
    <n v="30"/>
    <n v="1"/>
  </r>
  <r>
    <n v="2250"/>
    <n v="2133"/>
    <n v="0.33333333333333331"/>
    <x v="5"/>
    <d v="2024-06-26T00:00:00"/>
    <x v="2"/>
    <n v="9"/>
    <x v="2184"/>
    <x v="2"/>
    <x v="15"/>
    <n v="1"/>
    <n v="25"/>
    <n v="25"/>
    <n v="0"/>
  </r>
  <r>
    <n v="2251"/>
    <n v="2133"/>
    <n v="0.33333333333333331"/>
    <x v="5"/>
    <d v="2024-06-26T00:00:00"/>
    <x v="2"/>
    <n v="11"/>
    <x v="2185"/>
    <x v="2"/>
    <x v="11"/>
    <n v="3"/>
    <n v="35"/>
    <n v="105"/>
    <n v="0"/>
  </r>
  <r>
    <n v="2252"/>
    <n v="2134"/>
    <n v="0.33333333333333331"/>
    <x v="5"/>
    <d v="2024-06-26T00:00:00"/>
    <x v="2"/>
    <n v="20"/>
    <x v="2186"/>
    <x v="1"/>
    <x v="3"/>
    <n v="2"/>
    <n v="700"/>
    <n v="1400"/>
    <n v="1"/>
  </r>
  <r>
    <n v="2253"/>
    <n v="2134"/>
    <n v="0.33333333333333331"/>
    <x v="5"/>
    <d v="2024-06-26T00:00:00"/>
    <x v="2"/>
    <n v="11"/>
    <x v="2187"/>
    <x v="0"/>
    <x v="8"/>
    <n v="2"/>
    <n v="10"/>
    <n v="20"/>
    <n v="0"/>
  </r>
  <r>
    <n v="2254"/>
    <n v="2134"/>
    <n v="0.33333333333333331"/>
    <x v="5"/>
    <d v="2024-06-26T00:00:00"/>
    <x v="2"/>
    <n v="15"/>
    <x v="2188"/>
    <x v="0"/>
    <x v="9"/>
    <n v="4"/>
    <n v="15"/>
    <n v="60"/>
    <n v="0"/>
  </r>
  <r>
    <n v="2255"/>
    <n v="2135"/>
    <n v="0.33333333333333331"/>
    <x v="5"/>
    <d v="2024-06-26T00:00:00"/>
    <x v="2"/>
    <n v="11"/>
    <x v="2189"/>
    <x v="0"/>
    <x v="7"/>
    <n v="5"/>
    <n v="25"/>
    <n v="125"/>
    <n v="1"/>
  </r>
  <r>
    <n v="2256"/>
    <n v="2135"/>
    <n v="0.33333333333333331"/>
    <x v="5"/>
    <d v="2024-06-26T00:00:00"/>
    <x v="2"/>
    <n v="11"/>
    <x v="2190"/>
    <x v="3"/>
    <x v="18"/>
    <n v="4"/>
    <n v="45"/>
    <n v="180"/>
    <n v="0"/>
  </r>
  <r>
    <n v="2257"/>
    <n v="2135"/>
    <n v="0.33333333333333331"/>
    <x v="5"/>
    <d v="2024-06-26T00:00:00"/>
    <x v="2"/>
    <n v="15"/>
    <x v="2191"/>
    <x v="2"/>
    <x v="10"/>
    <n v="5"/>
    <n v="30"/>
    <n v="150"/>
    <n v="0"/>
  </r>
  <r>
    <n v="2258"/>
    <n v="2136"/>
    <n v="1"/>
    <x v="5"/>
    <d v="2024-06-26T00:00:00"/>
    <x v="2"/>
    <n v="12"/>
    <x v="2192"/>
    <x v="3"/>
    <x v="18"/>
    <n v="4"/>
    <n v="45"/>
    <n v="180"/>
    <n v="1"/>
  </r>
  <r>
    <n v="2259"/>
    <n v="2137"/>
    <n v="0.5"/>
    <x v="5"/>
    <d v="2024-06-26T00:00:00"/>
    <x v="2"/>
    <n v="13"/>
    <x v="2193"/>
    <x v="0"/>
    <x v="16"/>
    <n v="2"/>
    <n v="5"/>
    <n v="10"/>
    <n v="1"/>
  </r>
  <r>
    <n v="2260"/>
    <n v="2137"/>
    <n v="0.5"/>
    <x v="5"/>
    <d v="2024-06-26T00:00:00"/>
    <x v="2"/>
    <n v="13"/>
    <x v="2194"/>
    <x v="1"/>
    <x v="4"/>
    <n v="2"/>
    <n v="600"/>
    <n v="1200"/>
    <n v="0"/>
  </r>
  <r>
    <n v="2261"/>
    <n v="2138"/>
    <n v="0.5"/>
    <x v="5"/>
    <d v="2024-06-26T00:00:00"/>
    <x v="2"/>
    <n v="16"/>
    <x v="2195"/>
    <x v="2"/>
    <x v="10"/>
    <n v="5"/>
    <n v="30"/>
    <n v="150"/>
    <n v="1"/>
  </r>
  <r>
    <n v="2262"/>
    <n v="2138"/>
    <n v="0.5"/>
    <x v="5"/>
    <d v="2024-06-26T00:00:00"/>
    <x v="2"/>
    <n v="18"/>
    <x v="2196"/>
    <x v="2"/>
    <x v="11"/>
    <n v="4"/>
    <n v="35"/>
    <n v="140"/>
    <n v="0"/>
  </r>
  <r>
    <n v="2263"/>
    <n v="2139"/>
    <n v="0.5"/>
    <x v="5"/>
    <d v="2024-06-26T00:00:00"/>
    <x v="2"/>
    <n v="16"/>
    <x v="2197"/>
    <x v="1"/>
    <x v="4"/>
    <n v="3"/>
    <n v="600"/>
    <n v="1800"/>
    <n v="1"/>
  </r>
  <r>
    <n v="2264"/>
    <n v="2139"/>
    <n v="0.5"/>
    <x v="5"/>
    <d v="2024-06-26T00:00:00"/>
    <x v="2"/>
    <n v="19"/>
    <x v="2198"/>
    <x v="1"/>
    <x v="1"/>
    <n v="1"/>
    <n v="650"/>
    <n v="650"/>
    <n v="0"/>
  </r>
  <r>
    <n v="2265"/>
    <n v="2140"/>
    <n v="0.5"/>
    <x v="5"/>
    <d v="2024-06-27T00:00:00"/>
    <x v="3"/>
    <n v="15"/>
    <x v="2199"/>
    <x v="1"/>
    <x v="2"/>
    <n v="5"/>
    <n v="680"/>
    <n v="3400"/>
    <n v="1"/>
  </r>
  <r>
    <n v="2266"/>
    <n v="2140"/>
    <n v="0.5"/>
    <x v="5"/>
    <d v="2024-06-27T00:00:00"/>
    <x v="3"/>
    <n v="20"/>
    <x v="2200"/>
    <x v="1"/>
    <x v="1"/>
    <n v="1"/>
    <n v="650"/>
    <n v="650"/>
    <n v="0"/>
  </r>
  <r>
    <n v="2267"/>
    <n v="2141"/>
    <n v="1"/>
    <x v="5"/>
    <d v="2024-06-27T00:00:00"/>
    <x v="3"/>
    <n v="13"/>
    <x v="2201"/>
    <x v="3"/>
    <x v="14"/>
    <n v="5"/>
    <n v="40"/>
    <n v="200"/>
    <n v="1"/>
  </r>
  <r>
    <n v="2268"/>
    <n v="2142"/>
    <n v="1"/>
    <x v="5"/>
    <d v="2024-06-27T00:00:00"/>
    <x v="3"/>
    <n v="10"/>
    <x v="2202"/>
    <x v="1"/>
    <x v="3"/>
    <n v="2"/>
    <n v="700"/>
    <n v="1400"/>
    <n v="1"/>
  </r>
  <r>
    <n v="2269"/>
    <n v="2143"/>
    <n v="1"/>
    <x v="5"/>
    <d v="2024-06-27T00:00:00"/>
    <x v="3"/>
    <n v="17"/>
    <x v="2203"/>
    <x v="1"/>
    <x v="4"/>
    <n v="5"/>
    <n v="600"/>
    <n v="3000"/>
    <n v="1"/>
  </r>
  <r>
    <n v="2270"/>
    <n v="2144"/>
    <n v="1"/>
    <x v="5"/>
    <d v="2024-06-27T00:00:00"/>
    <x v="3"/>
    <n v="20"/>
    <x v="2204"/>
    <x v="0"/>
    <x v="7"/>
    <n v="2"/>
    <n v="25"/>
    <n v="50"/>
    <n v="1"/>
  </r>
  <r>
    <n v="2271"/>
    <n v="2145"/>
    <n v="0.33333333333333331"/>
    <x v="5"/>
    <d v="2024-06-27T00:00:00"/>
    <x v="3"/>
    <n v="13"/>
    <x v="2205"/>
    <x v="3"/>
    <x v="6"/>
    <n v="2"/>
    <n v="50"/>
    <n v="100"/>
    <n v="1"/>
  </r>
  <r>
    <n v="2272"/>
    <n v="2145"/>
    <n v="0.33333333333333331"/>
    <x v="5"/>
    <d v="2024-06-27T00:00:00"/>
    <x v="3"/>
    <n v="13"/>
    <x v="749"/>
    <x v="1"/>
    <x v="4"/>
    <n v="4"/>
    <n v="600"/>
    <n v="2400"/>
    <n v="0"/>
  </r>
  <r>
    <n v="2273"/>
    <n v="2145"/>
    <n v="0.33333333333333331"/>
    <x v="5"/>
    <d v="2024-06-27T00:00:00"/>
    <x v="3"/>
    <n v="15"/>
    <x v="2206"/>
    <x v="3"/>
    <x v="17"/>
    <n v="1"/>
    <n v="60"/>
    <n v="60"/>
    <n v="0"/>
  </r>
  <r>
    <n v="2274"/>
    <n v="2146"/>
    <n v="1"/>
    <x v="5"/>
    <d v="2024-06-27T00:00:00"/>
    <x v="3"/>
    <n v="17"/>
    <x v="2207"/>
    <x v="3"/>
    <x v="17"/>
    <n v="2"/>
    <n v="60"/>
    <n v="120"/>
    <n v="1"/>
  </r>
  <r>
    <n v="2275"/>
    <n v="2147"/>
    <n v="0.5"/>
    <x v="5"/>
    <d v="2024-06-27T00:00:00"/>
    <x v="3"/>
    <n v="10"/>
    <x v="2208"/>
    <x v="0"/>
    <x v="9"/>
    <n v="5"/>
    <n v="15"/>
    <n v="75"/>
    <n v="1"/>
  </r>
  <r>
    <n v="2276"/>
    <n v="2147"/>
    <n v="0.5"/>
    <x v="5"/>
    <d v="2024-06-27T00:00:00"/>
    <x v="3"/>
    <n v="15"/>
    <x v="2209"/>
    <x v="3"/>
    <x v="6"/>
    <n v="4"/>
    <n v="50"/>
    <n v="200"/>
    <n v="0"/>
  </r>
  <r>
    <n v="2277"/>
    <n v="2148"/>
    <n v="1"/>
    <x v="5"/>
    <d v="2024-06-27T00:00:00"/>
    <x v="3"/>
    <n v="10"/>
    <x v="2210"/>
    <x v="3"/>
    <x v="13"/>
    <n v="5"/>
    <n v="55"/>
    <n v="275"/>
    <n v="1"/>
  </r>
  <r>
    <n v="2278"/>
    <n v="2149"/>
    <n v="0.33333333333333331"/>
    <x v="5"/>
    <d v="2024-06-28T00:00:00"/>
    <x v="4"/>
    <n v="12"/>
    <x v="2211"/>
    <x v="0"/>
    <x v="7"/>
    <n v="3"/>
    <n v="25"/>
    <n v="75"/>
    <n v="1"/>
  </r>
  <r>
    <n v="2279"/>
    <n v="2149"/>
    <n v="0.33333333333333331"/>
    <x v="5"/>
    <d v="2024-06-28T00:00:00"/>
    <x v="4"/>
    <n v="11"/>
    <x v="2212"/>
    <x v="1"/>
    <x v="3"/>
    <n v="1"/>
    <n v="700"/>
    <n v="700"/>
    <n v="0"/>
  </r>
  <r>
    <n v="2280"/>
    <n v="2149"/>
    <n v="0.33333333333333331"/>
    <x v="5"/>
    <d v="2024-06-28T00:00:00"/>
    <x v="4"/>
    <n v="10"/>
    <x v="2213"/>
    <x v="2"/>
    <x v="11"/>
    <n v="2"/>
    <n v="35"/>
    <n v="70"/>
    <n v="0"/>
  </r>
  <r>
    <n v="2281"/>
    <n v="2150"/>
    <n v="1"/>
    <x v="5"/>
    <d v="2024-06-28T00:00:00"/>
    <x v="4"/>
    <n v="9"/>
    <x v="2214"/>
    <x v="1"/>
    <x v="12"/>
    <n v="2"/>
    <n v="1000"/>
    <n v="2000"/>
    <n v="1"/>
  </r>
  <r>
    <n v="2282"/>
    <n v="2151"/>
    <n v="0.5"/>
    <x v="5"/>
    <d v="2024-06-28T00:00:00"/>
    <x v="4"/>
    <n v="12"/>
    <x v="2215"/>
    <x v="0"/>
    <x v="0"/>
    <n v="4"/>
    <n v="20"/>
    <n v="80"/>
    <n v="1"/>
  </r>
  <r>
    <n v="2283"/>
    <n v="2151"/>
    <n v="0.5"/>
    <x v="5"/>
    <d v="2024-06-28T00:00:00"/>
    <x v="4"/>
    <n v="12"/>
    <x v="2216"/>
    <x v="0"/>
    <x v="7"/>
    <n v="4"/>
    <n v="25"/>
    <n v="100"/>
    <n v="0"/>
  </r>
  <r>
    <n v="2284"/>
    <n v="2152"/>
    <n v="0.33333333333333331"/>
    <x v="5"/>
    <d v="2024-06-28T00:00:00"/>
    <x v="4"/>
    <n v="16"/>
    <x v="2217"/>
    <x v="1"/>
    <x v="12"/>
    <n v="2"/>
    <n v="1000"/>
    <n v="2000"/>
    <n v="1"/>
  </r>
  <r>
    <n v="2285"/>
    <n v="2152"/>
    <n v="0.33333333333333331"/>
    <x v="5"/>
    <d v="2024-06-28T00:00:00"/>
    <x v="4"/>
    <n v="18"/>
    <x v="1156"/>
    <x v="3"/>
    <x v="6"/>
    <n v="3"/>
    <n v="50"/>
    <n v="150"/>
    <n v="0"/>
  </r>
  <r>
    <n v="2286"/>
    <n v="2152"/>
    <n v="0.33333333333333331"/>
    <x v="5"/>
    <d v="2024-06-28T00:00:00"/>
    <x v="4"/>
    <n v="14"/>
    <x v="2218"/>
    <x v="1"/>
    <x v="4"/>
    <n v="5"/>
    <n v="600"/>
    <n v="3000"/>
    <n v="0"/>
  </r>
  <r>
    <n v="2287"/>
    <n v="2153"/>
    <n v="0.33333333333333331"/>
    <x v="5"/>
    <d v="2024-06-28T00:00:00"/>
    <x v="4"/>
    <n v="19"/>
    <x v="2219"/>
    <x v="3"/>
    <x v="6"/>
    <n v="2"/>
    <n v="50"/>
    <n v="100"/>
    <n v="1"/>
  </r>
  <r>
    <n v="2288"/>
    <n v="2153"/>
    <n v="0.33333333333333331"/>
    <x v="5"/>
    <d v="2024-06-28T00:00:00"/>
    <x v="4"/>
    <n v="9"/>
    <x v="2220"/>
    <x v="3"/>
    <x v="6"/>
    <n v="3"/>
    <n v="50"/>
    <n v="150"/>
    <n v="0"/>
  </r>
  <r>
    <n v="2289"/>
    <n v="2153"/>
    <n v="0.33333333333333331"/>
    <x v="5"/>
    <d v="2024-06-28T00:00:00"/>
    <x v="4"/>
    <n v="12"/>
    <x v="2221"/>
    <x v="1"/>
    <x v="3"/>
    <n v="2"/>
    <n v="700"/>
    <n v="1400"/>
    <n v="0"/>
  </r>
  <r>
    <n v="2290"/>
    <n v="2154"/>
    <n v="0.33333333333333331"/>
    <x v="5"/>
    <d v="2024-06-28T00:00:00"/>
    <x v="4"/>
    <n v="13"/>
    <x v="2222"/>
    <x v="0"/>
    <x v="9"/>
    <n v="3"/>
    <n v="15"/>
    <n v="45"/>
    <n v="1"/>
  </r>
  <r>
    <n v="2291"/>
    <n v="2154"/>
    <n v="0.33333333333333331"/>
    <x v="5"/>
    <d v="2024-06-28T00:00:00"/>
    <x v="4"/>
    <n v="17"/>
    <x v="2223"/>
    <x v="0"/>
    <x v="9"/>
    <n v="4"/>
    <n v="15"/>
    <n v="60"/>
    <n v="0"/>
  </r>
  <r>
    <n v="2292"/>
    <n v="2154"/>
    <n v="0.33333333333333331"/>
    <x v="5"/>
    <d v="2024-06-28T00:00:00"/>
    <x v="4"/>
    <n v="13"/>
    <x v="2224"/>
    <x v="2"/>
    <x v="11"/>
    <n v="3"/>
    <n v="35"/>
    <n v="105"/>
    <n v="0"/>
  </r>
  <r>
    <n v="2293"/>
    <n v="2155"/>
    <n v="0.33333333333333331"/>
    <x v="5"/>
    <d v="2024-06-28T00:00:00"/>
    <x v="4"/>
    <n v="20"/>
    <x v="2225"/>
    <x v="2"/>
    <x v="11"/>
    <n v="5"/>
    <n v="35"/>
    <n v="175"/>
    <n v="1"/>
  </r>
  <r>
    <n v="2294"/>
    <n v="2155"/>
    <n v="0.33333333333333331"/>
    <x v="5"/>
    <d v="2024-06-28T00:00:00"/>
    <x v="4"/>
    <n v="14"/>
    <x v="2226"/>
    <x v="3"/>
    <x v="14"/>
    <n v="5"/>
    <n v="40"/>
    <n v="200"/>
    <n v="0"/>
  </r>
  <r>
    <n v="2295"/>
    <n v="2155"/>
    <n v="0.33333333333333331"/>
    <x v="5"/>
    <d v="2024-06-28T00:00:00"/>
    <x v="4"/>
    <n v="9"/>
    <x v="2227"/>
    <x v="0"/>
    <x v="9"/>
    <n v="4"/>
    <n v="15"/>
    <n v="60"/>
    <n v="0"/>
  </r>
  <r>
    <n v="2296"/>
    <n v="2156"/>
    <n v="1"/>
    <x v="5"/>
    <d v="2024-06-28T00:00:00"/>
    <x v="4"/>
    <n v="15"/>
    <x v="2228"/>
    <x v="3"/>
    <x v="14"/>
    <n v="1"/>
    <n v="40"/>
    <n v="40"/>
    <n v="1"/>
  </r>
  <r>
    <n v="2297"/>
    <n v="2157"/>
    <n v="1"/>
    <x v="5"/>
    <d v="2024-06-29T00:00:00"/>
    <x v="5"/>
    <n v="14"/>
    <x v="2229"/>
    <x v="1"/>
    <x v="3"/>
    <n v="3"/>
    <n v="700"/>
    <n v="2100"/>
    <n v="1"/>
  </r>
  <r>
    <n v="2298"/>
    <n v="2158"/>
    <n v="0.5"/>
    <x v="5"/>
    <d v="2024-06-29T00:00:00"/>
    <x v="5"/>
    <n v="19"/>
    <x v="2230"/>
    <x v="0"/>
    <x v="0"/>
    <n v="3"/>
    <n v="20"/>
    <n v="60"/>
    <n v="1"/>
  </r>
  <r>
    <n v="2299"/>
    <n v="2158"/>
    <n v="0.5"/>
    <x v="5"/>
    <d v="2024-06-29T00:00:00"/>
    <x v="5"/>
    <n v="20"/>
    <x v="2231"/>
    <x v="1"/>
    <x v="1"/>
    <n v="2"/>
    <n v="650"/>
    <n v="1300"/>
    <n v="0"/>
  </r>
  <r>
    <n v="2300"/>
    <n v="2159"/>
    <n v="1"/>
    <x v="5"/>
    <d v="2024-06-29T00:00:00"/>
    <x v="5"/>
    <n v="18"/>
    <x v="2232"/>
    <x v="1"/>
    <x v="3"/>
    <n v="1"/>
    <n v="700"/>
    <n v="700"/>
    <n v="1"/>
  </r>
  <r>
    <n v="2301"/>
    <n v="2160"/>
    <n v="1"/>
    <x v="5"/>
    <d v="2024-06-29T00:00:00"/>
    <x v="5"/>
    <n v="17"/>
    <x v="2233"/>
    <x v="3"/>
    <x v="6"/>
    <n v="3"/>
    <n v="50"/>
    <n v="150"/>
    <n v="1"/>
  </r>
  <r>
    <n v="2302"/>
    <n v="2161"/>
    <n v="0.33333333333333331"/>
    <x v="5"/>
    <d v="2024-06-29T00:00:00"/>
    <x v="5"/>
    <n v="10"/>
    <x v="2234"/>
    <x v="0"/>
    <x v="16"/>
    <n v="1"/>
    <n v="5"/>
    <n v="5"/>
    <n v="1"/>
  </r>
  <r>
    <n v="2303"/>
    <n v="2161"/>
    <n v="0.33333333333333331"/>
    <x v="5"/>
    <d v="2024-06-29T00:00:00"/>
    <x v="5"/>
    <n v="19"/>
    <x v="2235"/>
    <x v="0"/>
    <x v="0"/>
    <n v="1"/>
    <n v="20"/>
    <n v="20"/>
    <n v="0"/>
  </r>
  <r>
    <n v="2304"/>
    <n v="2161"/>
    <n v="0.33333333333333331"/>
    <x v="5"/>
    <d v="2024-06-29T00:00:00"/>
    <x v="5"/>
    <n v="10"/>
    <x v="2236"/>
    <x v="1"/>
    <x v="1"/>
    <n v="5"/>
    <n v="650"/>
    <n v="3250"/>
    <n v="0"/>
  </r>
  <r>
    <n v="2305"/>
    <n v="2162"/>
    <n v="0.5"/>
    <x v="5"/>
    <d v="2024-06-29T00:00:00"/>
    <x v="5"/>
    <n v="9"/>
    <x v="2237"/>
    <x v="0"/>
    <x v="8"/>
    <n v="1"/>
    <n v="10"/>
    <n v="10"/>
    <n v="1"/>
  </r>
  <r>
    <n v="2306"/>
    <n v="2162"/>
    <n v="0.5"/>
    <x v="5"/>
    <d v="2024-06-29T00:00:00"/>
    <x v="5"/>
    <n v="14"/>
    <x v="2238"/>
    <x v="2"/>
    <x v="15"/>
    <n v="3"/>
    <n v="25"/>
    <n v="75"/>
    <n v="0"/>
  </r>
  <r>
    <n v="2307"/>
    <n v="2163"/>
    <n v="0.5"/>
    <x v="5"/>
    <d v="2024-06-29T00:00:00"/>
    <x v="5"/>
    <n v="13"/>
    <x v="2239"/>
    <x v="3"/>
    <x v="14"/>
    <n v="2"/>
    <n v="40"/>
    <n v="80"/>
    <n v="1"/>
  </r>
  <r>
    <n v="2308"/>
    <n v="2163"/>
    <n v="0.5"/>
    <x v="5"/>
    <d v="2024-06-29T00:00:00"/>
    <x v="5"/>
    <n v="14"/>
    <x v="2240"/>
    <x v="1"/>
    <x v="3"/>
    <n v="4"/>
    <n v="700"/>
    <n v="2800"/>
    <n v="0"/>
  </r>
  <r>
    <n v="2309"/>
    <n v="2164"/>
    <n v="1"/>
    <x v="5"/>
    <d v="2024-06-29T00:00:00"/>
    <x v="5"/>
    <n v="17"/>
    <x v="2241"/>
    <x v="1"/>
    <x v="2"/>
    <n v="4"/>
    <n v="680"/>
    <n v="2720"/>
    <n v="1"/>
  </r>
  <r>
    <n v="2310"/>
    <n v="2165"/>
    <n v="0.33333333333333331"/>
    <x v="5"/>
    <d v="2024-06-29T00:00:00"/>
    <x v="5"/>
    <n v="14"/>
    <x v="2242"/>
    <x v="1"/>
    <x v="12"/>
    <n v="3"/>
    <n v="1000"/>
    <n v="3000"/>
    <n v="1"/>
  </r>
  <r>
    <n v="2311"/>
    <n v="2165"/>
    <n v="0.33333333333333331"/>
    <x v="5"/>
    <d v="2024-06-29T00:00:00"/>
    <x v="5"/>
    <n v="14"/>
    <x v="2243"/>
    <x v="3"/>
    <x v="6"/>
    <n v="1"/>
    <n v="50"/>
    <n v="50"/>
    <n v="0"/>
  </r>
  <r>
    <n v="2312"/>
    <n v="2165"/>
    <n v="0.33333333333333331"/>
    <x v="5"/>
    <d v="2024-06-29T00:00:00"/>
    <x v="5"/>
    <n v="9"/>
    <x v="2244"/>
    <x v="0"/>
    <x v="7"/>
    <n v="1"/>
    <n v="25"/>
    <n v="25"/>
    <n v="0"/>
  </r>
  <r>
    <n v="2313"/>
    <n v="2166"/>
    <n v="0.33333333333333331"/>
    <x v="5"/>
    <d v="2024-06-29T00:00:00"/>
    <x v="5"/>
    <n v="16"/>
    <x v="2245"/>
    <x v="1"/>
    <x v="12"/>
    <n v="4"/>
    <n v="1000"/>
    <n v="4000"/>
    <n v="1"/>
  </r>
  <r>
    <n v="2314"/>
    <n v="2166"/>
    <n v="0.33333333333333331"/>
    <x v="5"/>
    <d v="2024-06-29T00:00:00"/>
    <x v="5"/>
    <n v="18"/>
    <x v="2246"/>
    <x v="2"/>
    <x v="11"/>
    <n v="1"/>
    <n v="35"/>
    <n v="35"/>
    <n v="0"/>
  </r>
  <r>
    <n v="2315"/>
    <n v="2166"/>
    <n v="0.33333333333333331"/>
    <x v="5"/>
    <d v="2024-06-29T00:00:00"/>
    <x v="5"/>
    <n v="15"/>
    <x v="2247"/>
    <x v="3"/>
    <x v="18"/>
    <n v="4"/>
    <n v="45"/>
    <n v="180"/>
    <n v="0"/>
  </r>
  <r>
    <n v="2316"/>
    <n v="2167"/>
    <n v="0.5"/>
    <x v="5"/>
    <d v="2024-06-30T00:00:00"/>
    <x v="6"/>
    <n v="18"/>
    <x v="2248"/>
    <x v="1"/>
    <x v="3"/>
    <n v="4"/>
    <n v="700"/>
    <n v="2800"/>
    <n v="1"/>
  </r>
  <r>
    <n v="2317"/>
    <n v="2167"/>
    <n v="0.5"/>
    <x v="5"/>
    <d v="2024-06-30T00:00:00"/>
    <x v="6"/>
    <n v="12"/>
    <x v="2249"/>
    <x v="3"/>
    <x v="13"/>
    <n v="5"/>
    <n v="55"/>
    <n v="275"/>
    <n v="0"/>
  </r>
  <r>
    <n v="2318"/>
    <n v="2168"/>
    <n v="0.5"/>
    <x v="5"/>
    <d v="2024-06-30T00:00:00"/>
    <x v="6"/>
    <n v="15"/>
    <x v="2250"/>
    <x v="2"/>
    <x v="10"/>
    <n v="1"/>
    <n v="30"/>
    <n v="30"/>
    <n v="1"/>
  </r>
  <r>
    <n v="2319"/>
    <n v="2168"/>
    <n v="0.5"/>
    <x v="5"/>
    <d v="2024-06-30T00:00:00"/>
    <x v="6"/>
    <n v="11"/>
    <x v="2251"/>
    <x v="1"/>
    <x v="1"/>
    <n v="3"/>
    <n v="650"/>
    <n v="1950"/>
    <n v="0"/>
  </r>
  <r>
    <n v="2320"/>
    <n v="2169"/>
    <n v="1"/>
    <x v="5"/>
    <d v="2024-06-30T00:00:00"/>
    <x v="6"/>
    <n v="19"/>
    <x v="473"/>
    <x v="2"/>
    <x v="15"/>
    <n v="5"/>
    <n v="25"/>
    <n v="125"/>
    <n v="1"/>
  </r>
  <r>
    <n v="2321"/>
    <n v="2170"/>
    <n v="0.5"/>
    <x v="5"/>
    <d v="2024-06-30T00:00:00"/>
    <x v="6"/>
    <n v="18"/>
    <x v="2252"/>
    <x v="3"/>
    <x v="14"/>
    <n v="3"/>
    <n v="40"/>
    <n v="120"/>
    <n v="1"/>
  </r>
  <r>
    <n v="2322"/>
    <n v="2170"/>
    <n v="0.5"/>
    <x v="5"/>
    <d v="2024-06-30T00:00:00"/>
    <x v="6"/>
    <n v="14"/>
    <x v="2253"/>
    <x v="2"/>
    <x v="15"/>
    <n v="4"/>
    <n v="25"/>
    <n v="100"/>
    <n v="0"/>
  </r>
  <r>
    <n v="2323"/>
    <n v="2171"/>
    <n v="1"/>
    <x v="5"/>
    <d v="2024-06-30T00:00:00"/>
    <x v="6"/>
    <n v="11"/>
    <x v="2254"/>
    <x v="1"/>
    <x v="12"/>
    <n v="4"/>
    <n v="1000"/>
    <n v="4000"/>
    <n v="1"/>
  </r>
  <r>
    <n v="2324"/>
    <n v="2172"/>
    <n v="0.5"/>
    <x v="5"/>
    <d v="2024-06-30T00:00:00"/>
    <x v="6"/>
    <n v="18"/>
    <x v="2255"/>
    <x v="0"/>
    <x v="9"/>
    <n v="5"/>
    <n v="15"/>
    <n v="75"/>
    <n v="1"/>
  </r>
  <r>
    <n v="2325"/>
    <n v="2172"/>
    <n v="0.5"/>
    <x v="5"/>
    <d v="2024-06-30T00:00:00"/>
    <x v="6"/>
    <n v="14"/>
    <x v="2256"/>
    <x v="2"/>
    <x v="11"/>
    <n v="5"/>
    <n v="35"/>
    <n v="175"/>
    <n v="0"/>
  </r>
  <r>
    <n v="2326"/>
    <n v="2173"/>
    <n v="0.33333333333333331"/>
    <x v="5"/>
    <d v="2024-06-30T00:00:00"/>
    <x v="6"/>
    <n v="13"/>
    <x v="966"/>
    <x v="0"/>
    <x v="7"/>
    <n v="5"/>
    <n v="25"/>
    <n v="125"/>
    <n v="1"/>
  </r>
  <r>
    <n v="2327"/>
    <n v="2173"/>
    <n v="0.33333333333333331"/>
    <x v="5"/>
    <d v="2024-06-30T00:00:00"/>
    <x v="6"/>
    <n v="13"/>
    <x v="2257"/>
    <x v="3"/>
    <x v="18"/>
    <n v="2"/>
    <n v="45"/>
    <n v="90"/>
    <n v="0"/>
  </r>
  <r>
    <n v="2328"/>
    <n v="2173"/>
    <n v="0.33333333333333331"/>
    <x v="5"/>
    <d v="2024-06-30T00:00:00"/>
    <x v="6"/>
    <n v="13"/>
    <x v="2258"/>
    <x v="3"/>
    <x v="6"/>
    <n v="4"/>
    <n v="50"/>
    <n v="200"/>
    <n v="0"/>
  </r>
  <r>
    <n v="2329"/>
    <n v="2174"/>
    <n v="0.33333333333333331"/>
    <x v="5"/>
    <d v="2024-06-30T00:00:00"/>
    <x v="6"/>
    <n v="9"/>
    <x v="2259"/>
    <x v="3"/>
    <x v="18"/>
    <n v="3"/>
    <n v="45"/>
    <n v="135"/>
    <n v="1"/>
  </r>
  <r>
    <n v="2330"/>
    <n v="2174"/>
    <n v="0.33333333333333331"/>
    <x v="5"/>
    <d v="2024-06-30T00:00:00"/>
    <x v="6"/>
    <n v="20"/>
    <x v="2260"/>
    <x v="2"/>
    <x v="11"/>
    <n v="2"/>
    <n v="35"/>
    <n v="70"/>
    <n v="0"/>
  </r>
  <r>
    <n v="2331"/>
    <n v="2174"/>
    <n v="0.33333333333333331"/>
    <x v="5"/>
    <d v="2024-06-30T00:00:00"/>
    <x v="6"/>
    <n v="13"/>
    <x v="2205"/>
    <x v="2"/>
    <x v="5"/>
    <n v="4"/>
    <n v="20"/>
    <n v="80"/>
    <n v="0"/>
  </r>
  <r>
    <n v="2332"/>
    <n v="2175"/>
    <n v="0.5"/>
    <x v="5"/>
    <d v="2024-06-30T00:00:00"/>
    <x v="6"/>
    <n v="16"/>
    <x v="2261"/>
    <x v="1"/>
    <x v="4"/>
    <n v="2"/>
    <n v="600"/>
    <n v="1200"/>
    <n v="1"/>
  </r>
  <r>
    <n v="2333"/>
    <n v="2175"/>
    <n v="0.5"/>
    <x v="5"/>
    <d v="2024-06-30T00:00:00"/>
    <x v="6"/>
    <n v="14"/>
    <x v="2262"/>
    <x v="0"/>
    <x v="7"/>
    <n v="1"/>
    <n v="25"/>
    <n v="25"/>
    <n v="0"/>
  </r>
  <r>
    <n v="2334"/>
    <n v="2176"/>
    <n v="0.33333333333333331"/>
    <x v="5"/>
    <d v="2024-06-30T00:00:00"/>
    <x v="6"/>
    <n v="17"/>
    <x v="2263"/>
    <x v="0"/>
    <x v="0"/>
    <n v="4"/>
    <n v="20"/>
    <n v="80"/>
    <n v="1"/>
  </r>
  <r>
    <n v="2335"/>
    <n v="2176"/>
    <n v="0.33333333333333331"/>
    <x v="5"/>
    <d v="2024-06-30T00:00:00"/>
    <x v="6"/>
    <n v="16"/>
    <x v="2264"/>
    <x v="0"/>
    <x v="9"/>
    <n v="2"/>
    <n v="15"/>
    <n v="30"/>
    <n v="0"/>
  </r>
  <r>
    <n v="2336"/>
    <n v="2176"/>
    <n v="0.33333333333333331"/>
    <x v="5"/>
    <d v="2024-06-30T00:00:00"/>
    <x v="6"/>
    <n v="20"/>
    <x v="2265"/>
    <x v="3"/>
    <x v="18"/>
    <n v="4"/>
    <n v="45"/>
    <n v="180"/>
    <n v="0"/>
  </r>
  <r>
    <n v="2337"/>
    <n v="2177"/>
    <n v="0.5"/>
    <x v="6"/>
    <d v="2024-07-01T00:00:00"/>
    <x v="0"/>
    <n v="11"/>
    <x v="2266"/>
    <x v="1"/>
    <x v="2"/>
    <n v="3"/>
    <n v="680"/>
    <n v="2040"/>
    <n v="1"/>
  </r>
  <r>
    <n v="2338"/>
    <n v="2177"/>
    <n v="0.5"/>
    <x v="6"/>
    <d v="2024-07-01T00:00:00"/>
    <x v="0"/>
    <n v="18"/>
    <x v="2267"/>
    <x v="1"/>
    <x v="1"/>
    <n v="5"/>
    <n v="650"/>
    <n v="3250"/>
    <n v="0"/>
  </r>
  <r>
    <n v="2339"/>
    <n v="2178"/>
    <n v="1"/>
    <x v="6"/>
    <d v="2024-07-01T00:00:00"/>
    <x v="0"/>
    <n v="10"/>
    <x v="2268"/>
    <x v="1"/>
    <x v="3"/>
    <n v="4"/>
    <n v="700"/>
    <n v="2800"/>
    <n v="1"/>
  </r>
  <r>
    <n v="2340"/>
    <n v="2179"/>
    <n v="0.5"/>
    <x v="6"/>
    <d v="2024-07-01T00:00:00"/>
    <x v="0"/>
    <n v="17"/>
    <x v="2269"/>
    <x v="1"/>
    <x v="4"/>
    <n v="4"/>
    <n v="600"/>
    <n v="2400"/>
    <n v="1"/>
  </r>
  <r>
    <n v="2341"/>
    <n v="2179"/>
    <n v="0.5"/>
    <x v="6"/>
    <d v="2024-07-01T00:00:00"/>
    <x v="0"/>
    <n v="18"/>
    <x v="2270"/>
    <x v="1"/>
    <x v="3"/>
    <n v="5"/>
    <n v="700"/>
    <n v="3500"/>
    <n v="0"/>
  </r>
  <r>
    <n v="2342"/>
    <n v="2180"/>
    <n v="1"/>
    <x v="6"/>
    <d v="2024-07-01T00:00:00"/>
    <x v="0"/>
    <n v="9"/>
    <x v="2271"/>
    <x v="1"/>
    <x v="4"/>
    <n v="4"/>
    <n v="600"/>
    <n v="2400"/>
    <n v="1"/>
  </r>
  <r>
    <n v="2343"/>
    <n v="2181"/>
    <n v="1"/>
    <x v="6"/>
    <d v="2024-07-01T00:00:00"/>
    <x v="0"/>
    <n v="14"/>
    <x v="2272"/>
    <x v="1"/>
    <x v="3"/>
    <n v="2"/>
    <n v="700"/>
    <n v="1400"/>
    <n v="1"/>
  </r>
  <r>
    <n v="2344"/>
    <n v="2182"/>
    <n v="1"/>
    <x v="6"/>
    <d v="2024-07-01T00:00:00"/>
    <x v="0"/>
    <n v="9"/>
    <x v="2273"/>
    <x v="1"/>
    <x v="4"/>
    <n v="1"/>
    <n v="600"/>
    <n v="600"/>
    <n v="1"/>
  </r>
  <r>
    <n v="2345"/>
    <n v="2183"/>
    <n v="0.5"/>
    <x v="6"/>
    <d v="2024-07-01T00:00:00"/>
    <x v="0"/>
    <n v="9"/>
    <x v="2274"/>
    <x v="0"/>
    <x v="7"/>
    <n v="4"/>
    <n v="25"/>
    <n v="100"/>
    <n v="1"/>
  </r>
  <r>
    <n v="2346"/>
    <n v="2183"/>
    <n v="0.5"/>
    <x v="6"/>
    <d v="2024-07-01T00:00:00"/>
    <x v="0"/>
    <n v="9"/>
    <x v="2275"/>
    <x v="1"/>
    <x v="3"/>
    <n v="2"/>
    <n v="700"/>
    <n v="1400"/>
    <n v="0"/>
  </r>
  <r>
    <n v="2347"/>
    <n v="2184"/>
    <n v="0.33333333333333331"/>
    <x v="6"/>
    <d v="2024-07-01T00:00:00"/>
    <x v="0"/>
    <n v="10"/>
    <x v="2276"/>
    <x v="2"/>
    <x v="15"/>
    <n v="3"/>
    <n v="25"/>
    <n v="75"/>
    <n v="1"/>
  </r>
  <r>
    <n v="2348"/>
    <n v="2184"/>
    <n v="0.33333333333333331"/>
    <x v="6"/>
    <d v="2024-07-01T00:00:00"/>
    <x v="0"/>
    <n v="20"/>
    <x v="2277"/>
    <x v="2"/>
    <x v="5"/>
    <n v="2"/>
    <n v="20"/>
    <n v="40"/>
    <n v="0"/>
  </r>
  <r>
    <n v="2349"/>
    <n v="2184"/>
    <n v="0.33333333333333331"/>
    <x v="6"/>
    <d v="2024-07-01T00:00:00"/>
    <x v="0"/>
    <n v="9"/>
    <x v="2278"/>
    <x v="0"/>
    <x v="9"/>
    <n v="2"/>
    <n v="15"/>
    <n v="30"/>
    <n v="0"/>
  </r>
  <r>
    <n v="2350"/>
    <n v="2185"/>
    <n v="1"/>
    <x v="6"/>
    <d v="2024-07-01T00:00:00"/>
    <x v="0"/>
    <n v="9"/>
    <x v="2279"/>
    <x v="0"/>
    <x v="16"/>
    <n v="5"/>
    <n v="5"/>
    <n v="25"/>
    <n v="1"/>
  </r>
  <r>
    <n v="2351"/>
    <n v="2186"/>
    <n v="0.33333333333333331"/>
    <x v="6"/>
    <d v="2024-07-01T00:00:00"/>
    <x v="0"/>
    <n v="13"/>
    <x v="1304"/>
    <x v="1"/>
    <x v="1"/>
    <n v="4"/>
    <n v="650"/>
    <n v="2600"/>
    <n v="1"/>
  </r>
  <r>
    <n v="2352"/>
    <n v="2186"/>
    <n v="0.33333333333333331"/>
    <x v="6"/>
    <d v="2024-07-01T00:00:00"/>
    <x v="0"/>
    <n v="9"/>
    <x v="2280"/>
    <x v="3"/>
    <x v="14"/>
    <n v="1"/>
    <n v="40"/>
    <n v="40"/>
    <n v="0"/>
  </r>
  <r>
    <n v="2353"/>
    <n v="2186"/>
    <n v="0.33333333333333331"/>
    <x v="6"/>
    <d v="2024-07-01T00:00:00"/>
    <x v="0"/>
    <n v="14"/>
    <x v="2281"/>
    <x v="2"/>
    <x v="11"/>
    <n v="3"/>
    <n v="35"/>
    <n v="105"/>
    <n v="0"/>
  </r>
  <r>
    <n v="2354"/>
    <n v="2187"/>
    <n v="1"/>
    <x v="6"/>
    <d v="2024-07-02T00:00:00"/>
    <x v="1"/>
    <n v="15"/>
    <x v="2282"/>
    <x v="1"/>
    <x v="1"/>
    <n v="1"/>
    <n v="650"/>
    <n v="650"/>
    <n v="1"/>
  </r>
  <r>
    <n v="2355"/>
    <n v="2188"/>
    <n v="0.5"/>
    <x v="6"/>
    <d v="2024-07-02T00:00:00"/>
    <x v="1"/>
    <n v="11"/>
    <x v="2283"/>
    <x v="2"/>
    <x v="15"/>
    <n v="1"/>
    <n v="25"/>
    <n v="25"/>
    <n v="1"/>
  </r>
  <r>
    <n v="2356"/>
    <n v="2188"/>
    <n v="0.5"/>
    <x v="6"/>
    <d v="2024-07-02T00:00:00"/>
    <x v="1"/>
    <n v="15"/>
    <x v="2284"/>
    <x v="3"/>
    <x v="17"/>
    <n v="2"/>
    <n v="60"/>
    <n v="120"/>
    <n v="0"/>
  </r>
  <r>
    <n v="2357"/>
    <n v="2189"/>
    <n v="0.5"/>
    <x v="6"/>
    <d v="2024-07-02T00:00:00"/>
    <x v="1"/>
    <n v="14"/>
    <x v="2285"/>
    <x v="3"/>
    <x v="6"/>
    <n v="1"/>
    <n v="50"/>
    <n v="50"/>
    <n v="1"/>
  </r>
  <r>
    <n v="2358"/>
    <n v="2189"/>
    <n v="0.5"/>
    <x v="6"/>
    <d v="2024-07-02T00:00:00"/>
    <x v="1"/>
    <n v="12"/>
    <x v="2286"/>
    <x v="1"/>
    <x v="12"/>
    <n v="1"/>
    <n v="1000"/>
    <n v="1000"/>
    <n v="0"/>
  </r>
  <r>
    <n v="2359"/>
    <n v="2190"/>
    <n v="0.5"/>
    <x v="6"/>
    <d v="2024-07-02T00:00:00"/>
    <x v="1"/>
    <n v="10"/>
    <x v="2287"/>
    <x v="0"/>
    <x v="0"/>
    <n v="4"/>
    <n v="20"/>
    <n v="80"/>
    <n v="1"/>
  </r>
  <r>
    <n v="2360"/>
    <n v="2190"/>
    <n v="0.5"/>
    <x v="6"/>
    <d v="2024-07-02T00:00:00"/>
    <x v="1"/>
    <n v="20"/>
    <x v="2288"/>
    <x v="0"/>
    <x v="8"/>
    <n v="3"/>
    <n v="10"/>
    <n v="30"/>
    <n v="0"/>
  </r>
  <r>
    <n v="2361"/>
    <n v="2191"/>
    <n v="0.5"/>
    <x v="6"/>
    <d v="2024-07-02T00:00:00"/>
    <x v="1"/>
    <n v="9"/>
    <x v="2289"/>
    <x v="3"/>
    <x v="6"/>
    <n v="5"/>
    <n v="50"/>
    <n v="250"/>
    <n v="1"/>
  </r>
  <r>
    <n v="2362"/>
    <n v="2191"/>
    <n v="0.5"/>
    <x v="6"/>
    <d v="2024-07-02T00:00:00"/>
    <x v="1"/>
    <n v="17"/>
    <x v="2290"/>
    <x v="1"/>
    <x v="3"/>
    <n v="1"/>
    <n v="700"/>
    <n v="700"/>
    <n v="0"/>
  </r>
  <r>
    <n v="2363"/>
    <n v="2192"/>
    <n v="1"/>
    <x v="6"/>
    <d v="2024-07-02T00:00:00"/>
    <x v="1"/>
    <n v="12"/>
    <x v="2291"/>
    <x v="2"/>
    <x v="10"/>
    <n v="1"/>
    <n v="30"/>
    <n v="30"/>
    <n v="1"/>
  </r>
  <r>
    <n v="2364"/>
    <n v="2193"/>
    <n v="0.33333333333333331"/>
    <x v="6"/>
    <d v="2024-07-02T00:00:00"/>
    <x v="1"/>
    <n v="15"/>
    <x v="2292"/>
    <x v="1"/>
    <x v="4"/>
    <n v="3"/>
    <n v="600"/>
    <n v="1800"/>
    <n v="1"/>
  </r>
  <r>
    <n v="2365"/>
    <n v="2193"/>
    <n v="0.33333333333333331"/>
    <x v="6"/>
    <d v="2024-07-02T00:00:00"/>
    <x v="1"/>
    <n v="14"/>
    <x v="2293"/>
    <x v="1"/>
    <x v="2"/>
    <n v="4"/>
    <n v="680"/>
    <n v="2720"/>
    <n v="0"/>
  </r>
  <r>
    <n v="2366"/>
    <n v="2193"/>
    <n v="0.33333333333333331"/>
    <x v="6"/>
    <d v="2024-07-02T00:00:00"/>
    <x v="1"/>
    <n v="15"/>
    <x v="2294"/>
    <x v="1"/>
    <x v="3"/>
    <n v="4"/>
    <n v="700"/>
    <n v="2800"/>
    <n v="0"/>
  </r>
  <r>
    <n v="2367"/>
    <n v="2194"/>
    <n v="0.5"/>
    <x v="6"/>
    <d v="2024-07-02T00:00:00"/>
    <x v="1"/>
    <n v="15"/>
    <x v="2295"/>
    <x v="3"/>
    <x v="17"/>
    <n v="5"/>
    <n v="60"/>
    <n v="300"/>
    <n v="1"/>
  </r>
  <r>
    <n v="2368"/>
    <n v="2194"/>
    <n v="0.5"/>
    <x v="6"/>
    <d v="2024-07-02T00:00:00"/>
    <x v="1"/>
    <n v="19"/>
    <x v="2296"/>
    <x v="3"/>
    <x v="14"/>
    <n v="1"/>
    <n v="40"/>
    <n v="40"/>
    <n v="0"/>
  </r>
  <r>
    <n v="2369"/>
    <n v="2195"/>
    <n v="0.33333333333333331"/>
    <x v="6"/>
    <d v="2024-07-02T00:00:00"/>
    <x v="1"/>
    <n v="16"/>
    <x v="2297"/>
    <x v="2"/>
    <x v="11"/>
    <n v="1"/>
    <n v="35"/>
    <n v="35"/>
    <n v="1"/>
  </r>
  <r>
    <n v="2370"/>
    <n v="2195"/>
    <n v="0.33333333333333331"/>
    <x v="6"/>
    <d v="2024-07-02T00:00:00"/>
    <x v="1"/>
    <n v="13"/>
    <x v="2298"/>
    <x v="3"/>
    <x v="6"/>
    <n v="4"/>
    <n v="50"/>
    <n v="200"/>
    <n v="0"/>
  </r>
  <r>
    <n v="2371"/>
    <n v="2195"/>
    <n v="0.33333333333333331"/>
    <x v="6"/>
    <d v="2024-07-02T00:00:00"/>
    <x v="1"/>
    <n v="19"/>
    <x v="2299"/>
    <x v="0"/>
    <x v="7"/>
    <n v="2"/>
    <n v="25"/>
    <n v="50"/>
    <n v="0"/>
  </r>
  <r>
    <n v="2372"/>
    <n v="2196"/>
    <n v="1"/>
    <x v="6"/>
    <d v="2024-07-03T00:00:00"/>
    <x v="2"/>
    <n v="17"/>
    <x v="2300"/>
    <x v="1"/>
    <x v="3"/>
    <n v="5"/>
    <n v="700"/>
    <n v="3500"/>
    <n v="1"/>
  </r>
  <r>
    <n v="2373"/>
    <n v="2197"/>
    <n v="1"/>
    <x v="6"/>
    <d v="2024-07-03T00:00:00"/>
    <x v="2"/>
    <n v="18"/>
    <x v="2301"/>
    <x v="3"/>
    <x v="18"/>
    <n v="5"/>
    <n v="45"/>
    <n v="225"/>
    <n v="1"/>
  </r>
  <r>
    <n v="2374"/>
    <n v="2198"/>
    <n v="1"/>
    <x v="6"/>
    <d v="2024-07-03T00:00:00"/>
    <x v="2"/>
    <n v="11"/>
    <x v="2302"/>
    <x v="0"/>
    <x v="16"/>
    <n v="1"/>
    <n v="5"/>
    <n v="5"/>
    <n v="1"/>
  </r>
  <r>
    <n v="2375"/>
    <n v="2199"/>
    <n v="0.33333333333333331"/>
    <x v="6"/>
    <d v="2024-07-03T00:00:00"/>
    <x v="2"/>
    <n v="18"/>
    <x v="2303"/>
    <x v="0"/>
    <x v="16"/>
    <n v="1"/>
    <n v="5"/>
    <n v="5"/>
    <n v="1"/>
  </r>
  <r>
    <n v="2376"/>
    <n v="2199"/>
    <n v="0.33333333333333331"/>
    <x v="6"/>
    <d v="2024-07-03T00:00:00"/>
    <x v="2"/>
    <n v="13"/>
    <x v="2304"/>
    <x v="2"/>
    <x v="15"/>
    <n v="5"/>
    <n v="25"/>
    <n v="125"/>
    <n v="0"/>
  </r>
  <r>
    <n v="2377"/>
    <n v="2199"/>
    <n v="0.33333333333333331"/>
    <x v="6"/>
    <d v="2024-07-03T00:00:00"/>
    <x v="2"/>
    <n v="12"/>
    <x v="2305"/>
    <x v="3"/>
    <x v="17"/>
    <n v="1"/>
    <n v="60"/>
    <n v="60"/>
    <n v="0"/>
  </r>
  <r>
    <n v="2378"/>
    <n v="2200"/>
    <n v="0.5"/>
    <x v="6"/>
    <d v="2024-07-03T00:00:00"/>
    <x v="2"/>
    <n v="10"/>
    <x v="2306"/>
    <x v="0"/>
    <x v="7"/>
    <n v="4"/>
    <n v="25"/>
    <n v="100"/>
    <n v="1"/>
  </r>
  <r>
    <n v="2379"/>
    <n v="2200"/>
    <n v="0.5"/>
    <x v="6"/>
    <d v="2024-07-03T00:00:00"/>
    <x v="2"/>
    <n v="16"/>
    <x v="2307"/>
    <x v="2"/>
    <x v="15"/>
    <n v="5"/>
    <n v="25"/>
    <n v="125"/>
    <n v="0"/>
  </r>
  <r>
    <n v="2380"/>
    <n v="2201"/>
    <n v="0.5"/>
    <x v="6"/>
    <d v="2024-07-03T00:00:00"/>
    <x v="2"/>
    <n v="17"/>
    <x v="2308"/>
    <x v="1"/>
    <x v="4"/>
    <n v="3"/>
    <n v="600"/>
    <n v="1800"/>
    <n v="1"/>
  </r>
  <r>
    <n v="2381"/>
    <n v="2201"/>
    <n v="0.5"/>
    <x v="6"/>
    <d v="2024-07-03T00:00:00"/>
    <x v="2"/>
    <n v="13"/>
    <x v="2309"/>
    <x v="3"/>
    <x v="13"/>
    <n v="2"/>
    <n v="55"/>
    <n v="110"/>
    <n v="0"/>
  </r>
  <r>
    <n v="2382"/>
    <n v="2202"/>
    <n v="0.5"/>
    <x v="6"/>
    <d v="2024-07-03T00:00:00"/>
    <x v="2"/>
    <n v="19"/>
    <x v="2310"/>
    <x v="1"/>
    <x v="1"/>
    <n v="5"/>
    <n v="650"/>
    <n v="3250"/>
    <n v="1"/>
  </r>
  <r>
    <n v="2383"/>
    <n v="2202"/>
    <n v="0.5"/>
    <x v="6"/>
    <d v="2024-07-03T00:00:00"/>
    <x v="2"/>
    <n v="11"/>
    <x v="2311"/>
    <x v="2"/>
    <x v="5"/>
    <n v="2"/>
    <n v="20"/>
    <n v="40"/>
    <n v="0"/>
  </r>
  <r>
    <n v="2384"/>
    <n v="2203"/>
    <n v="0.5"/>
    <x v="6"/>
    <d v="2024-07-03T00:00:00"/>
    <x v="2"/>
    <n v="19"/>
    <x v="2312"/>
    <x v="3"/>
    <x v="13"/>
    <n v="3"/>
    <n v="55"/>
    <n v="165"/>
    <n v="1"/>
  </r>
  <r>
    <n v="2385"/>
    <n v="2203"/>
    <n v="0.5"/>
    <x v="6"/>
    <d v="2024-07-03T00:00:00"/>
    <x v="2"/>
    <n v="17"/>
    <x v="2313"/>
    <x v="1"/>
    <x v="3"/>
    <n v="2"/>
    <n v="700"/>
    <n v="1400"/>
    <n v="0"/>
  </r>
  <r>
    <n v="2386"/>
    <n v="2204"/>
    <n v="1"/>
    <x v="6"/>
    <d v="2024-07-04T00:00:00"/>
    <x v="3"/>
    <n v="20"/>
    <x v="2314"/>
    <x v="3"/>
    <x v="13"/>
    <n v="2"/>
    <n v="55"/>
    <n v="110"/>
    <n v="1"/>
  </r>
  <r>
    <n v="2387"/>
    <n v="2205"/>
    <n v="1"/>
    <x v="6"/>
    <d v="2024-07-04T00:00:00"/>
    <x v="3"/>
    <n v="19"/>
    <x v="2315"/>
    <x v="3"/>
    <x v="18"/>
    <n v="4"/>
    <n v="45"/>
    <n v="180"/>
    <n v="1"/>
  </r>
  <r>
    <n v="2388"/>
    <n v="2206"/>
    <n v="1"/>
    <x v="6"/>
    <d v="2024-07-04T00:00:00"/>
    <x v="3"/>
    <n v="11"/>
    <x v="2316"/>
    <x v="3"/>
    <x v="14"/>
    <n v="4"/>
    <n v="40"/>
    <n v="160"/>
    <n v="1"/>
  </r>
  <r>
    <n v="2389"/>
    <n v="2207"/>
    <n v="0.5"/>
    <x v="6"/>
    <d v="2024-07-04T00:00:00"/>
    <x v="3"/>
    <n v="13"/>
    <x v="2317"/>
    <x v="0"/>
    <x v="16"/>
    <n v="5"/>
    <n v="5"/>
    <n v="25"/>
    <n v="1"/>
  </r>
  <r>
    <n v="2390"/>
    <n v="2207"/>
    <n v="0.5"/>
    <x v="6"/>
    <d v="2024-07-04T00:00:00"/>
    <x v="3"/>
    <n v="14"/>
    <x v="2318"/>
    <x v="0"/>
    <x v="0"/>
    <n v="4"/>
    <n v="20"/>
    <n v="80"/>
    <n v="0"/>
  </r>
  <r>
    <n v="2391"/>
    <n v="2208"/>
    <n v="0.33333333333333331"/>
    <x v="6"/>
    <d v="2024-07-04T00:00:00"/>
    <x v="3"/>
    <n v="14"/>
    <x v="2319"/>
    <x v="2"/>
    <x v="15"/>
    <n v="2"/>
    <n v="25"/>
    <n v="50"/>
    <n v="1"/>
  </r>
  <r>
    <n v="2392"/>
    <n v="2208"/>
    <n v="0.33333333333333331"/>
    <x v="6"/>
    <d v="2024-07-04T00:00:00"/>
    <x v="3"/>
    <n v="13"/>
    <x v="2320"/>
    <x v="0"/>
    <x v="8"/>
    <n v="3"/>
    <n v="10"/>
    <n v="30"/>
    <n v="0"/>
  </r>
  <r>
    <n v="2393"/>
    <n v="2208"/>
    <n v="0.33333333333333331"/>
    <x v="6"/>
    <d v="2024-07-04T00:00:00"/>
    <x v="3"/>
    <n v="17"/>
    <x v="2321"/>
    <x v="2"/>
    <x v="10"/>
    <n v="3"/>
    <n v="30"/>
    <n v="90"/>
    <n v="0"/>
  </r>
  <r>
    <n v="2394"/>
    <n v="2209"/>
    <n v="0.5"/>
    <x v="6"/>
    <d v="2024-07-04T00:00:00"/>
    <x v="3"/>
    <n v="16"/>
    <x v="2322"/>
    <x v="2"/>
    <x v="15"/>
    <n v="3"/>
    <n v="25"/>
    <n v="75"/>
    <n v="1"/>
  </r>
  <r>
    <n v="2395"/>
    <n v="2209"/>
    <n v="0.5"/>
    <x v="6"/>
    <d v="2024-07-04T00:00:00"/>
    <x v="3"/>
    <n v="16"/>
    <x v="2323"/>
    <x v="2"/>
    <x v="10"/>
    <n v="1"/>
    <n v="30"/>
    <n v="30"/>
    <n v="0"/>
  </r>
  <r>
    <n v="2396"/>
    <n v="2210"/>
    <n v="0.33333333333333331"/>
    <x v="6"/>
    <d v="2024-07-05T00:00:00"/>
    <x v="4"/>
    <n v="13"/>
    <x v="2324"/>
    <x v="2"/>
    <x v="11"/>
    <n v="3"/>
    <n v="35"/>
    <n v="105"/>
    <n v="1"/>
  </r>
  <r>
    <n v="2397"/>
    <n v="2210"/>
    <n v="0.33333333333333331"/>
    <x v="6"/>
    <d v="2024-07-05T00:00:00"/>
    <x v="4"/>
    <n v="11"/>
    <x v="2325"/>
    <x v="1"/>
    <x v="4"/>
    <n v="1"/>
    <n v="600"/>
    <n v="600"/>
    <n v="0"/>
  </r>
  <r>
    <n v="2398"/>
    <n v="2210"/>
    <n v="0.33333333333333331"/>
    <x v="6"/>
    <d v="2024-07-05T00:00:00"/>
    <x v="4"/>
    <n v="13"/>
    <x v="2326"/>
    <x v="2"/>
    <x v="5"/>
    <n v="1"/>
    <n v="20"/>
    <n v="20"/>
    <n v="0"/>
  </r>
  <r>
    <n v="2399"/>
    <n v="2211"/>
    <n v="0.5"/>
    <x v="6"/>
    <d v="2024-07-05T00:00:00"/>
    <x v="4"/>
    <n v="11"/>
    <x v="2327"/>
    <x v="2"/>
    <x v="10"/>
    <n v="3"/>
    <n v="30"/>
    <n v="90"/>
    <n v="1"/>
  </r>
  <r>
    <n v="2400"/>
    <n v="2211"/>
    <n v="0.5"/>
    <x v="6"/>
    <d v="2024-07-05T00:00:00"/>
    <x v="4"/>
    <n v="12"/>
    <x v="2328"/>
    <x v="0"/>
    <x v="0"/>
    <n v="3"/>
    <n v="20"/>
    <n v="60"/>
    <n v="0"/>
  </r>
  <r>
    <n v="2401"/>
    <n v="2212"/>
    <n v="1"/>
    <x v="6"/>
    <d v="2024-07-05T00:00:00"/>
    <x v="4"/>
    <n v="17"/>
    <x v="2329"/>
    <x v="3"/>
    <x v="14"/>
    <n v="1"/>
    <n v="40"/>
    <n v="40"/>
    <n v="1"/>
  </r>
  <r>
    <n v="2402"/>
    <n v="2213"/>
    <n v="0.33333333333333331"/>
    <x v="6"/>
    <d v="2024-07-06T00:00:00"/>
    <x v="5"/>
    <n v="18"/>
    <x v="2330"/>
    <x v="2"/>
    <x v="15"/>
    <n v="2"/>
    <n v="25"/>
    <n v="50"/>
    <n v="1"/>
  </r>
  <r>
    <n v="2403"/>
    <n v="2213"/>
    <n v="0.33333333333333331"/>
    <x v="6"/>
    <d v="2024-07-06T00:00:00"/>
    <x v="5"/>
    <n v="17"/>
    <x v="2331"/>
    <x v="0"/>
    <x v="7"/>
    <n v="4"/>
    <n v="25"/>
    <n v="100"/>
    <n v="0"/>
  </r>
  <r>
    <n v="2404"/>
    <n v="2213"/>
    <n v="0.33333333333333331"/>
    <x v="6"/>
    <d v="2024-07-06T00:00:00"/>
    <x v="5"/>
    <n v="10"/>
    <x v="2332"/>
    <x v="1"/>
    <x v="12"/>
    <n v="5"/>
    <n v="1000"/>
    <n v="5000"/>
    <n v="0"/>
  </r>
  <r>
    <n v="2405"/>
    <n v="2214"/>
    <n v="1"/>
    <x v="6"/>
    <d v="2024-07-06T00:00:00"/>
    <x v="5"/>
    <n v="15"/>
    <x v="2333"/>
    <x v="3"/>
    <x v="13"/>
    <n v="4"/>
    <n v="55"/>
    <n v="220"/>
    <n v="1"/>
  </r>
  <r>
    <n v="2406"/>
    <n v="2215"/>
    <n v="0.5"/>
    <x v="6"/>
    <d v="2024-07-06T00:00:00"/>
    <x v="5"/>
    <n v="12"/>
    <x v="2334"/>
    <x v="0"/>
    <x v="9"/>
    <n v="5"/>
    <n v="15"/>
    <n v="75"/>
    <n v="1"/>
  </r>
  <r>
    <n v="2407"/>
    <n v="2215"/>
    <n v="0.5"/>
    <x v="6"/>
    <d v="2024-07-06T00:00:00"/>
    <x v="5"/>
    <n v="13"/>
    <x v="2335"/>
    <x v="2"/>
    <x v="15"/>
    <n v="4"/>
    <n v="25"/>
    <n v="100"/>
    <n v="0"/>
  </r>
  <r>
    <n v="2408"/>
    <n v="2216"/>
    <n v="1"/>
    <x v="6"/>
    <d v="2024-07-06T00:00:00"/>
    <x v="5"/>
    <n v="19"/>
    <x v="2336"/>
    <x v="2"/>
    <x v="10"/>
    <n v="3"/>
    <n v="30"/>
    <n v="90"/>
    <n v="1"/>
  </r>
  <r>
    <n v="2409"/>
    <n v="2217"/>
    <n v="1"/>
    <x v="6"/>
    <d v="2024-07-06T00:00:00"/>
    <x v="5"/>
    <n v="9"/>
    <x v="1645"/>
    <x v="2"/>
    <x v="10"/>
    <n v="3"/>
    <n v="30"/>
    <n v="90"/>
    <n v="1"/>
  </r>
  <r>
    <n v="2410"/>
    <n v="2218"/>
    <n v="1"/>
    <x v="6"/>
    <d v="2024-07-06T00:00:00"/>
    <x v="5"/>
    <n v="15"/>
    <x v="2337"/>
    <x v="0"/>
    <x v="7"/>
    <n v="5"/>
    <n v="25"/>
    <n v="125"/>
    <n v="1"/>
  </r>
  <r>
    <n v="2411"/>
    <n v="2219"/>
    <n v="1"/>
    <x v="6"/>
    <d v="2024-07-06T00:00:00"/>
    <x v="5"/>
    <n v="15"/>
    <x v="2338"/>
    <x v="1"/>
    <x v="4"/>
    <n v="4"/>
    <n v="600"/>
    <n v="2400"/>
    <n v="1"/>
  </r>
  <r>
    <n v="2412"/>
    <n v="2220"/>
    <n v="0.5"/>
    <x v="6"/>
    <d v="2024-07-07T00:00:00"/>
    <x v="6"/>
    <n v="17"/>
    <x v="2339"/>
    <x v="2"/>
    <x v="10"/>
    <n v="1"/>
    <n v="30"/>
    <n v="30"/>
    <n v="1"/>
  </r>
  <r>
    <n v="2413"/>
    <n v="2220"/>
    <n v="0.5"/>
    <x v="6"/>
    <d v="2024-07-07T00:00:00"/>
    <x v="6"/>
    <n v="19"/>
    <x v="2340"/>
    <x v="3"/>
    <x v="14"/>
    <n v="3"/>
    <n v="40"/>
    <n v="120"/>
    <n v="0"/>
  </r>
  <r>
    <n v="2414"/>
    <n v="2221"/>
    <n v="0.5"/>
    <x v="6"/>
    <d v="2024-07-07T00:00:00"/>
    <x v="6"/>
    <n v="19"/>
    <x v="2341"/>
    <x v="2"/>
    <x v="15"/>
    <n v="2"/>
    <n v="25"/>
    <n v="50"/>
    <n v="1"/>
  </r>
  <r>
    <n v="2415"/>
    <n v="2221"/>
    <n v="0.5"/>
    <x v="6"/>
    <d v="2024-07-07T00:00:00"/>
    <x v="6"/>
    <n v="15"/>
    <x v="2342"/>
    <x v="2"/>
    <x v="5"/>
    <n v="4"/>
    <n v="20"/>
    <n v="80"/>
    <n v="0"/>
  </r>
  <r>
    <n v="2416"/>
    <n v="2222"/>
    <n v="0.33333333333333331"/>
    <x v="6"/>
    <d v="2024-07-07T00:00:00"/>
    <x v="6"/>
    <n v="20"/>
    <x v="2343"/>
    <x v="3"/>
    <x v="18"/>
    <n v="2"/>
    <n v="45"/>
    <n v="90"/>
    <n v="1"/>
  </r>
  <r>
    <n v="2417"/>
    <n v="2222"/>
    <n v="0.33333333333333331"/>
    <x v="6"/>
    <d v="2024-07-07T00:00:00"/>
    <x v="6"/>
    <n v="15"/>
    <x v="2344"/>
    <x v="3"/>
    <x v="13"/>
    <n v="1"/>
    <n v="55"/>
    <n v="55"/>
    <n v="0"/>
  </r>
  <r>
    <n v="2418"/>
    <n v="2222"/>
    <n v="0.33333333333333331"/>
    <x v="6"/>
    <d v="2024-07-07T00:00:00"/>
    <x v="6"/>
    <n v="9"/>
    <x v="2345"/>
    <x v="1"/>
    <x v="12"/>
    <n v="4"/>
    <n v="1000"/>
    <n v="4000"/>
    <n v="0"/>
  </r>
  <r>
    <n v="2419"/>
    <n v="2223"/>
    <n v="0.33333333333333331"/>
    <x v="6"/>
    <d v="2024-07-07T00:00:00"/>
    <x v="6"/>
    <n v="14"/>
    <x v="2346"/>
    <x v="3"/>
    <x v="17"/>
    <n v="4"/>
    <n v="60"/>
    <n v="240"/>
    <n v="1"/>
  </r>
  <r>
    <n v="2420"/>
    <n v="2223"/>
    <n v="0.33333333333333331"/>
    <x v="6"/>
    <d v="2024-07-07T00:00:00"/>
    <x v="6"/>
    <n v="13"/>
    <x v="2347"/>
    <x v="2"/>
    <x v="10"/>
    <n v="3"/>
    <n v="30"/>
    <n v="90"/>
    <n v="0"/>
  </r>
  <r>
    <n v="2421"/>
    <n v="2223"/>
    <n v="0.33333333333333331"/>
    <x v="6"/>
    <d v="2024-07-07T00:00:00"/>
    <x v="6"/>
    <n v="11"/>
    <x v="2348"/>
    <x v="0"/>
    <x v="9"/>
    <n v="3"/>
    <n v="15"/>
    <n v="45"/>
    <n v="0"/>
  </r>
  <r>
    <n v="2422"/>
    <n v="2224"/>
    <n v="0.5"/>
    <x v="6"/>
    <d v="2024-07-07T00:00:00"/>
    <x v="6"/>
    <n v="12"/>
    <x v="2349"/>
    <x v="1"/>
    <x v="2"/>
    <n v="4"/>
    <n v="680"/>
    <n v="2720"/>
    <n v="1"/>
  </r>
  <r>
    <n v="2423"/>
    <n v="2224"/>
    <n v="0.5"/>
    <x v="6"/>
    <d v="2024-07-07T00:00:00"/>
    <x v="6"/>
    <n v="10"/>
    <x v="2350"/>
    <x v="0"/>
    <x v="16"/>
    <n v="1"/>
    <n v="5"/>
    <n v="5"/>
    <n v="0"/>
  </r>
  <r>
    <n v="2424"/>
    <n v="2225"/>
    <n v="0.5"/>
    <x v="6"/>
    <d v="2024-07-07T00:00:00"/>
    <x v="6"/>
    <n v="18"/>
    <x v="2351"/>
    <x v="0"/>
    <x v="9"/>
    <n v="4"/>
    <n v="15"/>
    <n v="60"/>
    <n v="1"/>
  </r>
  <r>
    <n v="2425"/>
    <n v="2225"/>
    <n v="0.5"/>
    <x v="6"/>
    <d v="2024-07-07T00:00:00"/>
    <x v="6"/>
    <n v="14"/>
    <x v="2352"/>
    <x v="3"/>
    <x v="14"/>
    <n v="1"/>
    <n v="40"/>
    <n v="40"/>
    <n v="0"/>
  </r>
  <r>
    <n v="2426"/>
    <n v="2226"/>
    <n v="0.5"/>
    <x v="6"/>
    <d v="2024-07-08T00:00:00"/>
    <x v="0"/>
    <n v="18"/>
    <x v="2353"/>
    <x v="0"/>
    <x v="16"/>
    <n v="2"/>
    <n v="5"/>
    <n v="10"/>
    <n v="1"/>
  </r>
  <r>
    <n v="2427"/>
    <n v="2226"/>
    <n v="0.5"/>
    <x v="6"/>
    <d v="2024-07-08T00:00:00"/>
    <x v="0"/>
    <n v="9"/>
    <x v="2354"/>
    <x v="1"/>
    <x v="12"/>
    <n v="1"/>
    <n v="1000"/>
    <n v="1000"/>
    <n v="0"/>
  </r>
  <r>
    <n v="2428"/>
    <n v="2227"/>
    <n v="1"/>
    <x v="6"/>
    <d v="2024-07-08T00:00:00"/>
    <x v="0"/>
    <n v="18"/>
    <x v="2355"/>
    <x v="1"/>
    <x v="3"/>
    <n v="2"/>
    <n v="700"/>
    <n v="1400"/>
    <n v="1"/>
  </r>
  <r>
    <n v="2429"/>
    <n v="2228"/>
    <n v="0.33333333333333331"/>
    <x v="6"/>
    <d v="2024-07-08T00:00:00"/>
    <x v="0"/>
    <n v="11"/>
    <x v="2356"/>
    <x v="2"/>
    <x v="5"/>
    <n v="2"/>
    <n v="20"/>
    <n v="40"/>
    <n v="1"/>
  </r>
  <r>
    <n v="2430"/>
    <n v="2228"/>
    <n v="0.33333333333333331"/>
    <x v="6"/>
    <d v="2024-07-08T00:00:00"/>
    <x v="0"/>
    <n v="10"/>
    <x v="2357"/>
    <x v="1"/>
    <x v="12"/>
    <n v="5"/>
    <n v="1000"/>
    <n v="5000"/>
    <n v="0"/>
  </r>
  <r>
    <n v="2431"/>
    <n v="2228"/>
    <n v="0.33333333333333331"/>
    <x v="6"/>
    <d v="2024-07-08T00:00:00"/>
    <x v="0"/>
    <n v="15"/>
    <x v="2124"/>
    <x v="2"/>
    <x v="10"/>
    <n v="2"/>
    <n v="30"/>
    <n v="60"/>
    <n v="0"/>
  </r>
  <r>
    <n v="2432"/>
    <n v="2229"/>
    <n v="0.5"/>
    <x v="6"/>
    <d v="2024-07-08T00:00:00"/>
    <x v="0"/>
    <n v="18"/>
    <x v="2358"/>
    <x v="1"/>
    <x v="1"/>
    <n v="4"/>
    <n v="650"/>
    <n v="2600"/>
    <n v="1"/>
  </r>
  <r>
    <n v="2433"/>
    <n v="2229"/>
    <n v="0.5"/>
    <x v="6"/>
    <d v="2024-07-08T00:00:00"/>
    <x v="0"/>
    <n v="18"/>
    <x v="2359"/>
    <x v="0"/>
    <x v="7"/>
    <n v="2"/>
    <n v="25"/>
    <n v="50"/>
    <n v="0"/>
  </r>
  <r>
    <n v="2434"/>
    <n v="2230"/>
    <n v="0.33333333333333331"/>
    <x v="6"/>
    <d v="2024-07-08T00:00:00"/>
    <x v="0"/>
    <n v="10"/>
    <x v="447"/>
    <x v="3"/>
    <x v="17"/>
    <n v="5"/>
    <n v="60"/>
    <n v="300"/>
    <n v="1"/>
  </r>
  <r>
    <n v="2435"/>
    <n v="2230"/>
    <n v="0.33333333333333331"/>
    <x v="6"/>
    <d v="2024-07-08T00:00:00"/>
    <x v="0"/>
    <n v="10"/>
    <x v="2360"/>
    <x v="3"/>
    <x v="18"/>
    <n v="4"/>
    <n v="45"/>
    <n v="180"/>
    <n v="0"/>
  </r>
  <r>
    <n v="2436"/>
    <n v="2230"/>
    <n v="0.33333333333333331"/>
    <x v="6"/>
    <d v="2024-07-08T00:00:00"/>
    <x v="0"/>
    <n v="11"/>
    <x v="2361"/>
    <x v="0"/>
    <x v="0"/>
    <n v="5"/>
    <n v="20"/>
    <n v="100"/>
    <n v="0"/>
  </r>
  <r>
    <n v="2437"/>
    <n v="2231"/>
    <n v="0.33333333333333331"/>
    <x v="6"/>
    <d v="2024-07-08T00:00:00"/>
    <x v="0"/>
    <n v="19"/>
    <x v="2362"/>
    <x v="1"/>
    <x v="1"/>
    <n v="3"/>
    <n v="650"/>
    <n v="1950"/>
    <n v="1"/>
  </r>
  <r>
    <n v="2438"/>
    <n v="2231"/>
    <n v="0.33333333333333331"/>
    <x v="6"/>
    <d v="2024-07-08T00:00:00"/>
    <x v="0"/>
    <n v="20"/>
    <x v="2363"/>
    <x v="0"/>
    <x v="9"/>
    <n v="1"/>
    <n v="15"/>
    <n v="15"/>
    <n v="0"/>
  </r>
  <r>
    <n v="2439"/>
    <n v="2231"/>
    <n v="0.33333333333333331"/>
    <x v="6"/>
    <d v="2024-07-08T00:00:00"/>
    <x v="0"/>
    <n v="20"/>
    <x v="2364"/>
    <x v="3"/>
    <x v="18"/>
    <n v="5"/>
    <n v="45"/>
    <n v="225"/>
    <n v="0"/>
  </r>
  <r>
    <n v="2440"/>
    <n v="2232"/>
    <n v="0.33333333333333331"/>
    <x v="6"/>
    <d v="2024-07-08T00:00:00"/>
    <x v="0"/>
    <n v="13"/>
    <x v="2365"/>
    <x v="0"/>
    <x v="0"/>
    <n v="3"/>
    <n v="20"/>
    <n v="60"/>
    <n v="1"/>
  </r>
  <r>
    <n v="2441"/>
    <n v="2232"/>
    <n v="0.33333333333333331"/>
    <x v="6"/>
    <d v="2024-07-08T00:00:00"/>
    <x v="0"/>
    <n v="13"/>
    <x v="2366"/>
    <x v="2"/>
    <x v="10"/>
    <n v="3"/>
    <n v="30"/>
    <n v="90"/>
    <n v="0"/>
  </r>
  <r>
    <n v="2442"/>
    <n v="2232"/>
    <n v="0.33333333333333331"/>
    <x v="6"/>
    <d v="2024-07-08T00:00:00"/>
    <x v="0"/>
    <n v="11"/>
    <x v="2367"/>
    <x v="3"/>
    <x v="6"/>
    <n v="1"/>
    <n v="50"/>
    <n v="50"/>
    <n v="0"/>
  </r>
  <r>
    <n v="2443"/>
    <n v="2233"/>
    <n v="0.33333333333333331"/>
    <x v="6"/>
    <d v="2024-07-08T00:00:00"/>
    <x v="0"/>
    <n v="11"/>
    <x v="2368"/>
    <x v="1"/>
    <x v="3"/>
    <n v="2"/>
    <n v="700"/>
    <n v="1400"/>
    <n v="1"/>
  </r>
  <r>
    <n v="2444"/>
    <n v="2233"/>
    <n v="0.33333333333333331"/>
    <x v="6"/>
    <d v="2024-07-08T00:00:00"/>
    <x v="0"/>
    <n v="20"/>
    <x v="2369"/>
    <x v="1"/>
    <x v="3"/>
    <n v="2"/>
    <n v="700"/>
    <n v="1400"/>
    <n v="0"/>
  </r>
  <r>
    <n v="2445"/>
    <n v="2233"/>
    <n v="0.33333333333333331"/>
    <x v="6"/>
    <d v="2024-07-08T00:00:00"/>
    <x v="0"/>
    <n v="17"/>
    <x v="2370"/>
    <x v="3"/>
    <x v="13"/>
    <n v="4"/>
    <n v="55"/>
    <n v="220"/>
    <n v="0"/>
  </r>
  <r>
    <n v="2446"/>
    <n v="2234"/>
    <n v="1"/>
    <x v="6"/>
    <d v="2024-07-09T00:00:00"/>
    <x v="1"/>
    <n v="18"/>
    <x v="2371"/>
    <x v="1"/>
    <x v="4"/>
    <n v="5"/>
    <n v="600"/>
    <n v="3000"/>
    <n v="1"/>
  </r>
  <r>
    <n v="2447"/>
    <n v="2235"/>
    <n v="0.33333333333333331"/>
    <x v="6"/>
    <d v="2024-07-09T00:00:00"/>
    <x v="1"/>
    <n v="20"/>
    <x v="2372"/>
    <x v="1"/>
    <x v="4"/>
    <n v="5"/>
    <n v="600"/>
    <n v="3000"/>
    <n v="1"/>
  </r>
  <r>
    <n v="2448"/>
    <n v="2235"/>
    <n v="0.33333333333333331"/>
    <x v="6"/>
    <d v="2024-07-09T00:00:00"/>
    <x v="1"/>
    <n v="12"/>
    <x v="2373"/>
    <x v="2"/>
    <x v="11"/>
    <n v="2"/>
    <n v="35"/>
    <n v="70"/>
    <n v="0"/>
  </r>
  <r>
    <n v="2449"/>
    <n v="2235"/>
    <n v="0.33333333333333331"/>
    <x v="6"/>
    <d v="2024-07-09T00:00:00"/>
    <x v="1"/>
    <n v="12"/>
    <x v="2374"/>
    <x v="3"/>
    <x v="14"/>
    <n v="5"/>
    <n v="40"/>
    <n v="200"/>
    <n v="0"/>
  </r>
  <r>
    <n v="2450"/>
    <n v="2236"/>
    <n v="0.33333333333333331"/>
    <x v="6"/>
    <d v="2024-07-09T00:00:00"/>
    <x v="1"/>
    <n v="17"/>
    <x v="2375"/>
    <x v="0"/>
    <x v="7"/>
    <n v="2"/>
    <n v="25"/>
    <n v="50"/>
    <n v="1"/>
  </r>
  <r>
    <n v="2451"/>
    <n v="2236"/>
    <n v="0.33333333333333331"/>
    <x v="6"/>
    <d v="2024-07-09T00:00:00"/>
    <x v="1"/>
    <n v="19"/>
    <x v="2376"/>
    <x v="1"/>
    <x v="1"/>
    <n v="3"/>
    <n v="650"/>
    <n v="1950"/>
    <n v="0"/>
  </r>
  <r>
    <n v="2452"/>
    <n v="2236"/>
    <n v="0.33333333333333331"/>
    <x v="6"/>
    <d v="2024-07-09T00:00:00"/>
    <x v="1"/>
    <n v="13"/>
    <x v="2377"/>
    <x v="2"/>
    <x v="11"/>
    <n v="5"/>
    <n v="35"/>
    <n v="175"/>
    <n v="0"/>
  </r>
  <r>
    <n v="2453"/>
    <n v="2237"/>
    <n v="0.5"/>
    <x v="6"/>
    <d v="2024-07-09T00:00:00"/>
    <x v="1"/>
    <n v="15"/>
    <x v="2378"/>
    <x v="0"/>
    <x v="8"/>
    <n v="3"/>
    <n v="10"/>
    <n v="30"/>
    <n v="1"/>
  </r>
  <r>
    <n v="2454"/>
    <n v="2237"/>
    <n v="0.5"/>
    <x v="6"/>
    <d v="2024-07-09T00:00:00"/>
    <x v="1"/>
    <n v="15"/>
    <x v="2379"/>
    <x v="1"/>
    <x v="3"/>
    <n v="3"/>
    <n v="700"/>
    <n v="2100"/>
    <n v="0"/>
  </r>
  <r>
    <n v="2455"/>
    <n v="2238"/>
    <n v="0.33333333333333331"/>
    <x v="6"/>
    <d v="2024-07-10T00:00:00"/>
    <x v="2"/>
    <n v="16"/>
    <x v="2380"/>
    <x v="0"/>
    <x v="16"/>
    <n v="5"/>
    <n v="5"/>
    <n v="25"/>
    <n v="1"/>
  </r>
  <r>
    <n v="2456"/>
    <n v="2238"/>
    <n v="0.33333333333333331"/>
    <x v="6"/>
    <d v="2024-07-10T00:00:00"/>
    <x v="2"/>
    <n v="9"/>
    <x v="2381"/>
    <x v="1"/>
    <x v="4"/>
    <n v="2"/>
    <n v="600"/>
    <n v="1200"/>
    <n v="0"/>
  </r>
  <r>
    <n v="2457"/>
    <n v="2238"/>
    <n v="0.33333333333333331"/>
    <x v="6"/>
    <d v="2024-07-10T00:00:00"/>
    <x v="2"/>
    <n v="18"/>
    <x v="653"/>
    <x v="3"/>
    <x v="17"/>
    <n v="1"/>
    <n v="60"/>
    <n v="60"/>
    <n v="0"/>
  </r>
  <r>
    <n v="2458"/>
    <n v="2239"/>
    <n v="1"/>
    <x v="6"/>
    <d v="2024-07-10T00:00:00"/>
    <x v="2"/>
    <n v="11"/>
    <x v="2382"/>
    <x v="3"/>
    <x v="18"/>
    <n v="5"/>
    <n v="45"/>
    <n v="225"/>
    <n v="1"/>
  </r>
  <r>
    <n v="2459"/>
    <n v="2240"/>
    <n v="1"/>
    <x v="6"/>
    <d v="2024-07-10T00:00:00"/>
    <x v="2"/>
    <n v="17"/>
    <x v="2383"/>
    <x v="3"/>
    <x v="14"/>
    <n v="1"/>
    <n v="40"/>
    <n v="40"/>
    <n v="1"/>
  </r>
  <r>
    <n v="2460"/>
    <n v="2241"/>
    <n v="0.5"/>
    <x v="6"/>
    <d v="2024-07-10T00:00:00"/>
    <x v="2"/>
    <n v="15"/>
    <x v="620"/>
    <x v="2"/>
    <x v="11"/>
    <n v="4"/>
    <n v="35"/>
    <n v="140"/>
    <n v="1"/>
  </r>
  <r>
    <n v="2461"/>
    <n v="2241"/>
    <n v="0.5"/>
    <x v="6"/>
    <d v="2024-07-10T00:00:00"/>
    <x v="2"/>
    <n v="17"/>
    <x v="2384"/>
    <x v="3"/>
    <x v="6"/>
    <n v="4"/>
    <n v="50"/>
    <n v="200"/>
    <n v="0"/>
  </r>
  <r>
    <n v="2462"/>
    <n v="2242"/>
    <n v="0.5"/>
    <x v="6"/>
    <d v="2024-07-10T00:00:00"/>
    <x v="2"/>
    <n v="20"/>
    <x v="2385"/>
    <x v="0"/>
    <x v="7"/>
    <n v="5"/>
    <n v="25"/>
    <n v="125"/>
    <n v="1"/>
  </r>
  <r>
    <n v="2463"/>
    <n v="2242"/>
    <n v="0.5"/>
    <x v="6"/>
    <d v="2024-07-10T00:00:00"/>
    <x v="2"/>
    <n v="14"/>
    <x v="2386"/>
    <x v="1"/>
    <x v="2"/>
    <n v="3"/>
    <n v="680"/>
    <n v="2040"/>
    <n v="0"/>
  </r>
  <r>
    <n v="2464"/>
    <n v="2243"/>
    <n v="1"/>
    <x v="6"/>
    <d v="2024-07-10T00:00:00"/>
    <x v="2"/>
    <n v="19"/>
    <x v="2387"/>
    <x v="3"/>
    <x v="6"/>
    <n v="3"/>
    <n v="50"/>
    <n v="150"/>
    <n v="1"/>
  </r>
  <r>
    <n v="2465"/>
    <n v="2244"/>
    <n v="1"/>
    <x v="6"/>
    <d v="2024-07-10T00:00:00"/>
    <x v="2"/>
    <n v="18"/>
    <x v="2388"/>
    <x v="3"/>
    <x v="6"/>
    <n v="2"/>
    <n v="50"/>
    <n v="100"/>
    <n v="1"/>
  </r>
  <r>
    <n v="2466"/>
    <n v="2245"/>
    <n v="1"/>
    <x v="6"/>
    <d v="2024-07-10T00:00:00"/>
    <x v="2"/>
    <n v="13"/>
    <x v="2389"/>
    <x v="0"/>
    <x v="16"/>
    <n v="2"/>
    <n v="5"/>
    <n v="10"/>
    <n v="1"/>
  </r>
  <r>
    <n v="2467"/>
    <n v="2246"/>
    <n v="0.5"/>
    <x v="6"/>
    <d v="2024-07-10T00:00:00"/>
    <x v="2"/>
    <n v="11"/>
    <x v="2390"/>
    <x v="0"/>
    <x v="0"/>
    <n v="5"/>
    <n v="20"/>
    <n v="100"/>
    <n v="1"/>
  </r>
  <r>
    <n v="2468"/>
    <n v="2246"/>
    <n v="0.5"/>
    <x v="6"/>
    <d v="2024-07-10T00:00:00"/>
    <x v="2"/>
    <n v="10"/>
    <x v="2391"/>
    <x v="3"/>
    <x v="13"/>
    <n v="3"/>
    <n v="55"/>
    <n v="165"/>
    <n v="0"/>
  </r>
  <r>
    <n v="2469"/>
    <n v="2247"/>
    <n v="0.33333333333333331"/>
    <x v="6"/>
    <d v="2024-07-10T00:00:00"/>
    <x v="2"/>
    <n v="18"/>
    <x v="2392"/>
    <x v="0"/>
    <x v="8"/>
    <n v="5"/>
    <n v="10"/>
    <n v="50"/>
    <n v="1"/>
  </r>
  <r>
    <n v="2470"/>
    <n v="2247"/>
    <n v="0.33333333333333331"/>
    <x v="6"/>
    <d v="2024-07-10T00:00:00"/>
    <x v="2"/>
    <n v="14"/>
    <x v="2393"/>
    <x v="0"/>
    <x v="7"/>
    <n v="4"/>
    <n v="25"/>
    <n v="100"/>
    <n v="0"/>
  </r>
  <r>
    <n v="2471"/>
    <n v="2247"/>
    <n v="0.33333333333333331"/>
    <x v="6"/>
    <d v="2024-07-10T00:00:00"/>
    <x v="2"/>
    <n v="10"/>
    <x v="2394"/>
    <x v="3"/>
    <x v="17"/>
    <n v="4"/>
    <n v="60"/>
    <n v="240"/>
    <n v="0"/>
  </r>
  <r>
    <n v="2472"/>
    <n v="2248"/>
    <n v="1"/>
    <x v="6"/>
    <d v="2024-07-11T00:00:00"/>
    <x v="3"/>
    <n v="11"/>
    <x v="2395"/>
    <x v="0"/>
    <x v="0"/>
    <n v="3"/>
    <n v="20"/>
    <n v="60"/>
    <n v="1"/>
  </r>
  <r>
    <n v="2473"/>
    <n v="2249"/>
    <n v="0.33333333333333331"/>
    <x v="6"/>
    <d v="2024-07-11T00:00:00"/>
    <x v="3"/>
    <n v="17"/>
    <x v="2396"/>
    <x v="2"/>
    <x v="10"/>
    <n v="4"/>
    <n v="30"/>
    <n v="120"/>
    <n v="1"/>
  </r>
  <r>
    <n v="2474"/>
    <n v="2249"/>
    <n v="0.33333333333333331"/>
    <x v="6"/>
    <d v="2024-07-11T00:00:00"/>
    <x v="3"/>
    <n v="13"/>
    <x v="2397"/>
    <x v="0"/>
    <x v="7"/>
    <n v="3"/>
    <n v="25"/>
    <n v="75"/>
    <n v="0"/>
  </r>
  <r>
    <n v="2475"/>
    <n v="2249"/>
    <n v="0.33333333333333331"/>
    <x v="6"/>
    <d v="2024-07-11T00:00:00"/>
    <x v="3"/>
    <n v="18"/>
    <x v="2398"/>
    <x v="0"/>
    <x v="7"/>
    <n v="3"/>
    <n v="25"/>
    <n v="75"/>
    <n v="0"/>
  </r>
  <r>
    <n v="2476"/>
    <n v="2250"/>
    <n v="0.5"/>
    <x v="6"/>
    <d v="2024-07-11T00:00:00"/>
    <x v="3"/>
    <n v="18"/>
    <x v="2399"/>
    <x v="3"/>
    <x v="6"/>
    <n v="3"/>
    <n v="50"/>
    <n v="150"/>
    <n v="1"/>
  </r>
  <r>
    <n v="2477"/>
    <n v="2250"/>
    <n v="0.5"/>
    <x v="6"/>
    <d v="2024-07-11T00:00:00"/>
    <x v="3"/>
    <n v="18"/>
    <x v="2400"/>
    <x v="1"/>
    <x v="12"/>
    <n v="5"/>
    <n v="1000"/>
    <n v="5000"/>
    <n v="0"/>
  </r>
  <r>
    <n v="2478"/>
    <n v="2251"/>
    <n v="0.33333333333333331"/>
    <x v="6"/>
    <d v="2024-07-12T00:00:00"/>
    <x v="4"/>
    <n v="9"/>
    <x v="2401"/>
    <x v="0"/>
    <x v="7"/>
    <n v="1"/>
    <n v="25"/>
    <n v="25"/>
    <n v="1"/>
  </r>
  <r>
    <n v="2479"/>
    <n v="2251"/>
    <n v="0.33333333333333331"/>
    <x v="6"/>
    <d v="2024-07-12T00:00:00"/>
    <x v="4"/>
    <n v="14"/>
    <x v="2402"/>
    <x v="1"/>
    <x v="4"/>
    <n v="4"/>
    <n v="600"/>
    <n v="2400"/>
    <n v="0"/>
  </r>
  <r>
    <n v="2480"/>
    <n v="2251"/>
    <n v="0.33333333333333331"/>
    <x v="6"/>
    <d v="2024-07-12T00:00:00"/>
    <x v="4"/>
    <n v="14"/>
    <x v="2403"/>
    <x v="2"/>
    <x v="10"/>
    <n v="1"/>
    <n v="30"/>
    <n v="30"/>
    <n v="0"/>
  </r>
  <r>
    <n v="2481"/>
    <n v="2252"/>
    <n v="0.33333333333333331"/>
    <x v="6"/>
    <d v="2024-07-12T00:00:00"/>
    <x v="4"/>
    <n v="12"/>
    <x v="2404"/>
    <x v="1"/>
    <x v="4"/>
    <n v="4"/>
    <n v="600"/>
    <n v="2400"/>
    <n v="1"/>
  </r>
  <r>
    <n v="2482"/>
    <n v="2252"/>
    <n v="0.33333333333333331"/>
    <x v="6"/>
    <d v="2024-07-12T00:00:00"/>
    <x v="4"/>
    <n v="19"/>
    <x v="2405"/>
    <x v="1"/>
    <x v="3"/>
    <n v="1"/>
    <n v="700"/>
    <n v="700"/>
    <n v="0"/>
  </r>
  <r>
    <n v="2483"/>
    <n v="2252"/>
    <n v="0.33333333333333331"/>
    <x v="6"/>
    <d v="2024-07-12T00:00:00"/>
    <x v="4"/>
    <n v="19"/>
    <x v="2406"/>
    <x v="2"/>
    <x v="11"/>
    <n v="5"/>
    <n v="35"/>
    <n v="175"/>
    <n v="0"/>
  </r>
  <r>
    <n v="2484"/>
    <n v="2253"/>
    <n v="1"/>
    <x v="6"/>
    <d v="2024-07-12T00:00:00"/>
    <x v="4"/>
    <n v="15"/>
    <x v="2407"/>
    <x v="1"/>
    <x v="3"/>
    <n v="3"/>
    <n v="700"/>
    <n v="2100"/>
    <n v="1"/>
  </r>
  <r>
    <n v="2485"/>
    <n v="2254"/>
    <n v="0.5"/>
    <x v="6"/>
    <d v="2024-07-12T00:00:00"/>
    <x v="4"/>
    <n v="12"/>
    <x v="2408"/>
    <x v="0"/>
    <x v="8"/>
    <n v="4"/>
    <n v="10"/>
    <n v="40"/>
    <n v="1"/>
  </r>
  <r>
    <n v="2486"/>
    <n v="2254"/>
    <n v="0.5"/>
    <x v="6"/>
    <d v="2024-07-12T00:00:00"/>
    <x v="4"/>
    <n v="14"/>
    <x v="2409"/>
    <x v="1"/>
    <x v="1"/>
    <n v="2"/>
    <n v="650"/>
    <n v="1300"/>
    <n v="0"/>
  </r>
  <r>
    <n v="2487"/>
    <n v="2255"/>
    <n v="0.33333333333333331"/>
    <x v="6"/>
    <d v="2024-07-12T00:00:00"/>
    <x v="4"/>
    <n v="11"/>
    <x v="2410"/>
    <x v="1"/>
    <x v="4"/>
    <n v="1"/>
    <n v="600"/>
    <n v="600"/>
    <n v="1"/>
  </r>
  <r>
    <n v="2488"/>
    <n v="2255"/>
    <n v="0.33333333333333331"/>
    <x v="6"/>
    <d v="2024-07-12T00:00:00"/>
    <x v="4"/>
    <n v="15"/>
    <x v="2411"/>
    <x v="1"/>
    <x v="12"/>
    <n v="1"/>
    <n v="1000"/>
    <n v="1000"/>
    <n v="0"/>
  </r>
  <r>
    <n v="2489"/>
    <n v="2255"/>
    <n v="0.33333333333333331"/>
    <x v="6"/>
    <d v="2024-07-12T00:00:00"/>
    <x v="4"/>
    <n v="14"/>
    <x v="2412"/>
    <x v="1"/>
    <x v="1"/>
    <n v="1"/>
    <n v="650"/>
    <n v="650"/>
    <n v="0"/>
  </r>
  <r>
    <n v="2490"/>
    <n v="2256"/>
    <n v="0.5"/>
    <x v="6"/>
    <d v="2024-07-12T00:00:00"/>
    <x v="4"/>
    <n v="18"/>
    <x v="2413"/>
    <x v="0"/>
    <x v="0"/>
    <n v="5"/>
    <n v="20"/>
    <n v="100"/>
    <n v="1"/>
  </r>
  <r>
    <n v="2491"/>
    <n v="2256"/>
    <n v="0.5"/>
    <x v="6"/>
    <d v="2024-07-12T00:00:00"/>
    <x v="4"/>
    <n v="18"/>
    <x v="2414"/>
    <x v="3"/>
    <x v="6"/>
    <n v="1"/>
    <n v="50"/>
    <n v="50"/>
    <n v="0"/>
  </r>
  <r>
    <n v="2492"/>
    <n v="2257"/>
    <n v="0.5"/>
    <x v="6"/>
    <d v="2024-07-13T00:00:00"/>
    <x v="5"/>
    <n v="19"/>
    <x v="2415"/>
    <x v="1"/>
    <x v="2"/>
    <n v="2"/>
    <n v="680"/>
    <n v="1360"/>
    <n v="1"/>
  </r>
  <r>
    <n v="2493"/>
    <n v="2257"/>
    <n v="0.5"/>
    <x v="6"/>
    <d v="2024-07-13T00:00:00"/>
    <x v="5"/>
    <n v="9"/>
    <x v="2416"/>
    <x v="1"/>
    <x v="2"/>
    <n v="5"/>
    <n v="680"/>
    <n v="3400"/>
    <n v="0"/>
  </r>
  <r>
    <n v="2494"/>
    <n v="2258"/>
    <n v="0.33333333333333331"/>
    <x v="6"/>
    <d v="2024-07-13T00:00:00"/>
    <x v="5"/>
    <n v="20"/>
    <x v="2417"/>
    <x v="2"/>
    <x v="11"/>
    <n v="1"/>
    <n v="35"/>
    <n v="35"/>
    <n v="1"/>
  </r>
  <r>
    <n v="2495"/>
    <n v="2258"/>
    <n v="0.33333333333333331"/>
    <x v="6"/>
    <d v="2024-07-13T00:00:00"/>
    <x v="5"/>
    <n v="17"/>
    <x v="2418"/>
    <x v="2"/>
    <x v="10"/>
    <n v="2"/>
    <n v="30"/>
    <n v="60"/>
    <n v="0"/>
  </r>
  <r>
    <n v="2496"/>
    <n v="2258"/>
    <n v="0.33333333333333331"/>
    <x v="6"/>
    <d v="2024-07-13T00:00:00"/>
    <x v="5"/>
    <n v="19"/>
    <x v="2419"/>
    <x v="0"/>
    <x v="16"/>
    <n v="2"/>
    <n v="5"/>
    <n v="10"/>
    <n v="0"/>
  </r>
  <r>
    <n v="2497"/>
    <n v="2259"/>
    <n v="0.5"/>
    <x v="6"/>
    <d v="2024-07-13T00:00:00"/>
    <x v="5"/>
    <n v="17"/>
    <x v="2420"/>
    <x v="1"/>
    <x v="4"/>
    <n v="2"/>
    <n v="600"/>
    <n v="1200"/>
    <n v="1"/>
  </r>
  <r>
    <n v="2498"/>
    <n v="2259"/>
    <n v="0.5"/>
    <x v="6"/>
    <d v="2024-07-13T00:00:00"/>
    <x v="5"/>
    <n v="19"/>
    <x v="2421"/>
    <x v="3"/>
    <x v="14"/>
    <n v="3"/>
    <n v="40"/>
    <n v="120"/>
    <n v="0"/>
  </r>
  <r>
    <n v="2499"/>
    <n v="2260"/>
    <n v="1"/>
    <x v="6"/>
    <d v="2024-07-13T00:00:00"/>
    <x v="5"/>
    <n v="9"/>
    <x v="2422"/>
    <x v="3"/>
    <x v="13"/>
    <n v="5"/>
    <n v="55"/>
    <n v="275"/>
    <n v="1"/>
  </r>
  <r>
    <n v="2500"/>
    <n v="2261"/>
    <n v="0.5"/>
    <x v="6"/>
    <d v="2024-07-13T00:00:00"/>
    <x v="5"/>
    <n v="13"/>
    <x v="2423"/>
    <x v="3"/>
    <x v="17"/>
    <n v="5"/>
    <n v="60"/>
    <n v="300"/>
    <n v="1"/>
  </r>
  <r>
    <n v="2501"/>
    <n v="2261"/>
    <n v="0.5"/>
    <x v="6"/>
    <d v="2024-07-13T00:00:00"/>
    <x v="5"/>
    <n v="19"/>
    <x v="2424"/>
    <x v="3"/>
    <x v="13"/>
    <n v="5"/>
    <n v="55"/>
    <n v="275"/>
    <n v="0"/>
  </r>
  <r>
    <n v="2502"/>
    <n v="2262"/>
    <n v="1"/>
    <x v="6"/>
    <d v="2024-07-13T00:00:00"/>
    <x v="5"/>
    <n v="13"/>
    <x v="2180"/>
    <x v="0"/>
    <x v="7"/>
    <n v="4"/>
    <n v="25"/>
    <n v="100"/>
    <n v="1"/>
  </r>
  <r>
    <n v="2503"/>
    <n v="2263"/>
    <n v="0.5"/>
    <x v="6"/>
    <d v="2024-07-13T00:00:00"/>
    <x v="5"/>
    <n v="15"/>
    <x v="2425"/>
    <x v="0"/>
    <x v="9"/>
    <n v="3"/>
    <n v="15"/>
    <n v="45"/>
    <n v="1"/>
  </r>
  <r>
    <n v="2504"/>
    <n v="2263"/>
    <n v="0.5"/>
    <x v="6"/>
    <d v="2024-07-13T00:00:00"/>
    <x v="5"/>
    <n v="20"/>
    <x v="2426"/>
    <x v="2"/>
    <x v="10"/>
    <n v="1"/>
    <n v="30"/>
    <n v="30"/>
    <n v="0"/>
  </r>
  <r>
    <n v="2505"/>
    <n v="2264"/>
    <n v="0.33333333333333331"/>
    <x v="6"/>
    <d v="2024-07-14T00:00:00"/>
    <x v="6"/>
    <n v="11"/>
    <x v="2427"/>
    <x v="0"/>
    <x v="8"/>
    <n v="4"/>
    <n v="10"/>
    <n v="40"/>
    <n v="1"/>
  </r>
  <r>
    <n v="2506"/>
    <n v="2264"/>
    <n v="0.33333333333333331"/>
    <x v="6"/>
    <d v="2024-07-14T00:00:00"/>
    <x v="6"/>
    <n v="14"/>
    <x v="2428"/>
    <x v="3"/>
    <x v="6"/>
    <n v="5"/>
    <n v="50"/>
    <n v="250"/>
    <n v="0"/>
  </r>
  <r>
    <n v="2507"/>
    <n v="2264"/>
    <n v="0.33333333333333331"/>
    <x v="6"/>
    <d v="2024-07-14T00:00:00"/>
    <x v="6"/>
    <n v="16"/>
    <x v="2429"/>
    <x v="2"/>
    <x v="11"/>
    <n v="5"/>
    <n v="35"/>
    <n v="175"/>
    <n v="0"/>
  </r>
  <r>
    <n v="2508"/>
    <n v="2265"/>
    <n v="0.5"/>
    <x v="6"/>
    <d v="2024-07-14T00:00:00"/>
    <x v="6"/>
    <n v="11"/>
    <x v="2430"/>
    <x v="0"/>
    <x v="8"/>
    <n v="3"/>
    <n v="10"/>
    <n v="30"/>
    <n v="1"/>
  </r>
  <r>
    <n v="2509"/>
    <n v="2265"/>
    <n v="0.5"/>
    <x v="6"/>
    <d v="2024-07-14T00:00:00"/>
    <x v="6"/>
    <n v="10"/>
    <x v="2431"/>
    <x v="3"/>
    <x v="18"/>
    <n v="4"/>
    <n v="45"/>
    <n v="180"/>
    <n v="0"/>
  </r>
  <r>
    <n v="2510"/>
    <n v="2266"/>
    <n v="1"/>
    <x v="6"/>
    <d v="2024-07-14T00:00:00"/>
    <x v="6"/>
    <n v="9"/>
    <x v="2432"/>
    <x v="2"/>
    <x v="15"/>
    <n v="4"/>
    <n v="25"/>
    <n v="100"/>
    <n v="1"/>
  </r>
  <r>
    <n v="2511"/>
    <n v="2267"/>
    <n v="0.5"/>
    <x v="6"/>
    <d v="2024-07-14T00:00:00"/>
    <x v="6"/>
    <n v="18"/>
    <x v="2433"/>
    <x v="2"/>
    <x v="15"/>
    <n v="5"/>
    <n v="25"/>
    <n v="125"/>
    <n v="1"/>
  </r>
  <r>
    <n v="2512"/>
    <n v="2267"/>
    <n v="0.5"/>
    <x v="6"/>
    <d v="2024-07-14T00:00:00"/>
    <x v="6"/>
    <n v="11"/>
    <x v="2434"/>
    <x v="2"/>
    <x v="15"/>
    <n v="5"/>
    <n v="25"/>
    <n v="125"/>
    <n v="0"/>
  </r>
  <r>
    <n v="2513"/>
    <n v="2268"/>
    <n v="0.5"/>
    <x v="6"/>
    <d v="2024-07-14T00:00:00"/>
    <x v="6"/>
    <n v="17"/>
    <x v="1570"/>
    <x v="0"/>
    <x v="8"/>
    <n v="4"/>
    <n v="10"/>
    <n v="40"/>
    <n v="1"/>
  </r>
  <r>
    <n v="2514"/>
    <n v="2268"/>
    <n v="0.5"/>
    <x v="6"/>
    <d v="2024-07-14T00:00:00"/>
    <x v="6"/>
    <n v="11"/>
    <x v="453"/>
    <x v="2"/>
    <x v="10"/>
    <n v="3"/>
    <n v="30"/>
    <n v="90"/>
    <n v="0"/>
  </r>
  <r>
    <n v="2515"/>
    <n v="2269"/>
    <n v="0.5"/>
    <x v="6"/>
    <d v="2024-07-14T00:00:00"/>
    <x v="6"/>
    <n v="17"/>
    <x v="2435"/>
    <x v="3"/>
    <x v="17"/>
    <n v="5"/>
    <n v="60"/>
    <n v="300"/>
    <n v="1"/>
  </r>
  <r>
    <n v="2516"/>
    <n v="2269"/>
    <n v="0.5"/>
    <x v="6"/>
    <d v="2024-07-14T00:00:00"/>
    <x v="6"/>
    <n v="10"/>
    <x v="2436"/>
    <x v="2"/>
    <x v="15"/>
    <n v="3"/>
    <n v="25"/>
    <n v="75"/>
    <n v="0"/>
  </r>
  <r>
    <n v="2517"/>
    <n v="2270"/>
    <n v="0.5"/>
    <x v="6"/>
    <d v="2024-07-14T00:00:00"/>
    <x v="6"/>
    <n v="16"/>
    <x v="2437"/>
    <x v="1"/>
    <x v="4"/>
    <n v="3"/>
    <n v="600"/>
    <n v="1800"/>
    <n v="1"/>
  </r>
  <r>
    <n v="2518"/>
    <n v="2270"/>
    <n v="0.5"/>
    <x v="6"/>
    <d v="2024-07-14T00:00:00"/>
    <x v="6"/>
    <n v="18"/>
    <x v="2438"/>
    <x v="2"/>
    <x v="15"/>
    <n v="4"/>
    <n v="25"/>
    <n v="100"/>
    <n v="0"/>
  </r>
  <r>
    <n v="2519"/>
    <n v="2271"/>
    <n v="1"/>
    <x v="6"/>
    <d v="2024-07-14T00:00:00"/>
    <x v="6"/>
    <n v="15"/>
    <x v="2439"/>
    <x v="3"/>
    <x v="17"/>
    <n v="4"/>
    <n v="60"/>
    <n v="240"/>
    <n v="1"/>
  </r>
  <r>
    <n v="2520"/>
    <n v="2272"/>
    <n v="0.5"/>
    <x v="6"/>
    <d v="2024-07-14T00:00:00"/>
    <x v="6"/>
    <n v="13"/>
    <x v="2440"/>
    <x v="1"/>
    <x v="3"/>
    <n v="1"/>
    <n v="700"/>
    <n v="700"/>
    <n v="1"/>
  </r>
  <r>
    <n v="2521"/>
    <n v="2272"/>
    <n v="0.5"/>
    <x v="6"/>
    <d v="2024-07-14T00:00:00"/>
    <x v="6"/>
    <n v="17"/>
    <x v="2441"/>
    <x v="1"/>
    <x v="12"/>
    <n v="5"/>
    <n v="1000"/>
    <n v="5000"/>
    <n v="0"/>
  </r>
  <r>
    <n v="2522"/>
    <n v="2273"/>
    <n v="1"/>
    <x v="6"/>
    <d v="2024-07-15T00:00:00"/>
    <x v="0"/>
    <n v="14"/>
    <x v="2442"/>
    <x v="0"/>
    <x v="8"/>
    <n v="5"/>
    <n v="10"/>
    <n v="50"/>
    <n v="1"/>
  </r>
  <r>
    <n v="2523"/>
    <n v="2274"/>
    <n v="1"/>
    <x v="6"/>
    <d v="2024-07-15T00:00:00"/>
    <x v="0"/>
    <n v="19"/>
    <x v="2443"/>
    <x v="3"/>
    <x v="13"/>
    <n v="3"/>
    <n v="55"/>
    <n v="165"/>
    <n v="1"/>
  </r>
  <r>
    <n v="2524"/>
    <n v="2275"/>
    <n v="0.5"/>
    <x v="6"/>
    <d v="2024-07-15T00:00:00"/>
    <x v="0"/>
    <n v="17"/>
    <x v="2148"/>
    <x v="2"/>
    <x v="5"/>
    <n v="3"/>
    <n v="20"/>
    <n v="60"/>
    <n v="1"/>
  </r>
  <r>
    <n v="2525"/>
    <n v="2275"/>
    <n v="0.5"/>
    <x v="6"/>
    <d v="2024-07-15T00:00:00"/>
    <x v="0"/>
    <n v="9"/>
    <x v="2444"/>
    <x v="3"/>
    <x v="18"/>
    <n v="5"/>
    <n v="45"/>
    <n v="225"/>
    <n v="0"/>
  </r>
  <r>
    <n v="2526"/>
    <n v="2276"/>
    <n v="1"/>
    <x v="6"/>
    <d v="2024-07-15T00:00:00"/>
    <x v="0"/>
    <n v="11"/>
    <x v="2445"/>
    <x v="0"/>
    <x v="7"/>
    <n v="3"/>
    <n v="25"/>
    <n v="75"/>
    <n v="1"/>
  </r>
  <r>
    <n v="2527"/>
    <n v="2277"/>
    <n v="0.33333333333333331"/>
    <x v="6"/>
    <d v="2024-07-15T00:00:00"/>
    <x v="0"/>
    <n v="19"/>
    <x v="2446"/>
    <x v="2"/>
    <x v="11"/>
    <n v="3"/>
    <n v="35"/>
    <n v="105"/>
    <n v="1"/>
  </r>
  <r>
    <n v="2528"/>
    <n v="2277"/>
    <n v="0.33333333333333331"/>
    <x v="6"/>
    <d v="2024-07-15T00:00:00"/>
    <x v="0"/>
    <n v="19"/>
    <x v="2447"/>
    <x v="2"/>
    <x v="10"/>
    <n v="4"/>
    <n v="30"/>
    <n v="120"/>
    <n v="0"/>
  </r>
  <r>
    <n v="2529"/>
    <n v="2277"/>
    <n v="0.33333333333333331"/>
    <x v="6"/>
    <d v="2024-07-15T00:00:00"/>
    <x v="0"/>
    <n v="18"/>
    <x v="2448"/>
    <x v="3"/>
    <x v="17"/>
    <n v="1"/>
    <n v="60"/>
    <n v="60"/>
    <n v="0"/>
  </r>
  <r>
    <n v="2530"/>
    <n v="2278"/>
    <n v="0.5"/>
    <x v="6"/>
    <d v="2024-07-15T00:00:00"/>
    <x v="0"/>
    <n v="19"/>
    <x v="2449"/>
    <x v="2"/>
    <x v="10"/>
    <n v="2"/>
    <n v="30"/>
    <n v="60"/>
    <n v="1"/>
  </r>
  <r>
    <n v="2531"/>
    <n v="2278"/>
    <n v="0.5"/>
    <x v="6"/>
    <d v="2024-07-15T00:00:00"/>
    <x v="0"/>
    <n v="13"/>
    <x v="2450"/>
    <x v="3"/>
    <x v="17"/>
    <n v="4"/>
    <n v="60"/>
    <n v="240"/>
    <n v="0"/>
  </r>
  <r>
    <n v="2532"/>
    <n v="2279"/>
    <n v="0.33333333333333331"/>
    <x v="6"/>
    <d v="2024-07-15T00:00:00"/>
    <x v="0"/>
    <n v="13"/>
    <x v="2451"/>
    <x v="1"/>
    <x v="4"/>
    <n v="1"/>
    <n v="600"/>
    <n v="600"/>
    <n v="1"/>
  </r>
  <r>
    <n v="2533"/>
    <n v="2279"/>
    <n v="0.33333333333333331"/>
    <x v="6"/>
    <d v="2024-07-15T00:00:00"/>
    <x v="0"/>
    <n v="19"/>
    <x v="2452"/>
    <x v="0"/>
    <x v="8"/>
    <n v="3"/>
    <n v="10"/>
    <n v="30"/>
    <n v="0"/>
  </r>
  <r>
    <n v="2534"/>
    <n v="2279"/>
    <n v="0.33333333333333331"/>
    <x v="6"/>
    <d v="2024-07-15T00:00:00"/>
    <x v="0"/>
    <n v="9"/>
    <x v="2453"/>
    <x v="2"/>
    <x v="10"/>
    <n v="2"/>
    <n v="30"/>
    <n v="60"/>
    <n v="0"/>
  </r>
  <r>
    <n v="2535"/>
    <n v="2280"/>
    <n v="1"/>
    <x v="6"/>
    <d v="2024-07-16T00:00:00"/>
    <x v="1"/>
    <n v="17"/>
    <x v="2454"/>
    <x v="2"/>
    <x v="15"/>
    <n v="3"/>
    <n v="25"/>
    <n v="75"/>
    <n v="1"/>
  </r>
  <r>
    <n v="2536"/>
    <n v="2281"/>
    <n v="0.5"/>
    <x v="6"/>
    <d v="2024-07-16T00:00:00"/>
    <x v="1"/>
    <n v="17"/>
    <x v="2455"/>
    <x v="2"/>
    <x v="5"/>
    <n v="5"/>
    <n v="20"/>
    <n v="100"/>
    <n v="1"/>
  </r>
  <r>
    <n v="2537"/>
    <n v="2281"/>
    <n v="0.5"/>
    <x v="6"/>
    <d v="2024-07-16T00:00:00"/>
    <x v="1"/>
    <n v="19"/>
    <x v="2456"/>
    <x v="3"/>
    <x v="17"/>
    <n v="1"/>
    <n v="60"/>
    <n v="60"/>
    <n v="0"/>
  </r>
  <r>
    <n v="2538"/>
    <n v="2282"/>
    <n v="0.5"/>
    <x v="6"/>
    <d v="2024-07-16T00:00:00"/>
    <x v="1"/>
    <n v="10"/>
    <x v="2457"/>
    <x v="3"/>
    <x v="18"/>
    <n v="3"/>
    <n v="45"/>
    <n v="135"/>
    <n v="1"/>
  </r>
  <r>
    <n v="2539"/>
    <n v="2282"/>
    <n v="0.5"/>
    <x v="6"/>
    <d v="2024-07-16T00:00:00"/>
    <x v="1"/>
    <n v="16"/>
    <x v="2458"/>
    <x v="0"/>
    <x v="7"/>
    <n v="5"/>
    <n v="25"/>
    <n v="125"/>
    <n v="0"/>
  </r>
  <r>
    <n v="2540"/>
    <n v="2283"/>
    <n v="0.33333333333333331"/>
    <x v="6"/>
    <d v="2024-07-16T00:00:00"/>
    <x v="1"/>
    <n v="13"/>
    <x v="2459"/>
    <x v="3"/>
    <x v="13"/>
    <n v="1"/>
    <n v="55"/>
    <n v="55"/>
    <n v="1"/>
  </r>
  <r>
    <n v="2541"/>
    <n v="2283"/>
    <n v="0.33333333333333331"/>
    <x v="6"/>
    <d v="2024-07-16T00:00:00"/>
    <x v="1"/>
    <n v="15"/>
    <x v="2460"/>
    <x v="3"/>
    <x v="14"/>
    <n v="1"/>
    <n v="40"/>
    <n v="40"/>
    <n v="0"/>
  </r>
  <r>
    <n v="2542"/>
    <n v="2283"/>
    <n v="0.33333333333333331"/>
    <x v="6"/>
    <d v="2024-07-16T00:00:00"/>
    <x v="1"/>
    <n v="16"/>
    <x v="2461"/>
    <x v="2"/>
    <x v="15"/>
    <n v="1"/>
    <n v="25"/>
    <n v="25"/>
    <n v="0"/>
  </r>
  <r>
    <n v="2543"/>
    <n v="2284"/>
    <n v="0.5"/>
    <x v="6"/>
    <d v="2024-07-16T00:00:00"/>
    <x v="1"/>
    <n v="9"/>
    <x v="2462"/>
    <x v="1"/>
    <x v="2"/>
    <n v="4"/>
    <n v="680"/>
    <n v="2720"/>
    <n v="1"/>
  </r>
  <r>
    <n v="2544"/>
    <n v="2284"/>
    <n v="0.5"/>
    <x v="6"/>
    <d v="2024-07-16T00:00:00"/>
    <x v="1"/>
    <n v="9"/>
    <x v="2463"/>
    <x v="2"/>
    <x v="5"/>
    <n v="2"/>
    <n v="20"/>
    <n v="40"/>
    <n v="0"/>
  </r>
  <r>
    <n v="2545"/>
    <n v="2285"/>
    <n v="0.33333333333333331"/>
    <x v="6"/>
    <d v="2024-07-16T00:00:00"/>
    <x v="1"/>
    <n v="9"/>
    <x v="2464"/>
    <x v="0"/>
    <x v="8"/>
    <n v="1"/>
    <n v="10"/>
    <n v="10"/>
    <n v="1"/>
  </r>
  <r>
    <n v="2546"/>
    <n v="2285"/>
    <n v="0.33333333333333331"/>
    <x v="6"/>
    <d v="2024-07-16T00:00:00"/>
    <x v="1"/>
    <n v="20"/>
    <x v="2465"/>
    <x v="3"/>
    <x v="14"/>
    <n v="1"/>
    <n v="40"/>
    <n v="40"/>
    <n v="0"/>
  </r>
  <r>
    <n v="2547"/>
    <n v="2285"/>
    <n v="0.33333333333333331"/>
    <x v="6"/>
    <d v="2024-07-16T00:00:00"/>
    <x v="1"/>
    <n v="18"/>
    <x v="2466"/>
    <x v="0"/>
    <x v="16"/>
    <n v="1"/>
    <n v="5"/>
    <n v="5"/>
    <n v="0"/>
  </r>
  <r>
    <n v="2548"/>
    <n v="2286"/>
    <n v="0.5"/>
    <x v="6"/>
    <d v="2024-07-16T00:00:00"/>
    <x v="1"/>
    <n v="9"/>
    <x v="2467"/>
    <x v="2"/>
    <x v="10"/>
    <n v="5"/>
    <n v="30"/>
    <n v="150"/>
    <n v="1"/>
  </r>
  <r>
    <n v="2549"/>
    <n v="2286"/>
    <n v="0.5"/>
    <x v="6"/>
    <d v="2024-07-16T00:00:00"/>
    <x v="1"/>
    <n v="11"/>
    <x v="2468"/>
    <x v="1"/>
    <x v="1"/>
    <n v="2"/>
    <n v="650"/>
    <n v="1300"/>
    <n v="0"/>
  </r>
  <r>
    <n v="2550"/>
    <n v="2287"/>
    <n v="1"/>
    <x v="6"/>
    <d v="2024-07-17T00:00:00"/>
    <x v="2"/>
    <n v="13"/>
    <x v="2469"/>
    <x v="1"/>
    <x v="3"/>
    <n v="4"/>
    <n v="700"/>
    <n v="2800"/>
    <n v="1"/>
  </r>
  <r>
    <n v="2551"/>
    <n v="2288"/>
    <n v="0.33333333333333331"/>
    <x v="6"/>
    <d v="2024-07-17T00:00:00"/>
    <x v="2"/>
    <n v="18"/>
    <x v="2470"/>
    <x v="1"/>
    <x v="4"/>
    <n v="4"/>
    <n v="600"/>
    <n v="2400"/>
    <n v="1"/>
  </r>
  <r>
    <n v="2552"/>
    <n v="2288"/>
    <n v="0.33333333333333331"/>
    <x v="6"/>
    <d v="2024-07-17T00:00:00"/>
    <x v="2"/>
    <n v="11"/>
    <x v="2471"/>
    <x v="3"/>
    <x v="17"/>
    <n v="5"/>
    <n v="60"/>
    <n v="300"/>
    <n v="0"/>
  </r>
  <r>
    <n v="2553"/>
    <n v="2288"/>
    <n v="0.33333333333333331"/>
    <x v="6"/>
    <d v="2024-07-17T00:00:00"/>
    <x v="2"/>
    <n v="18"/>
    <x v="2472"/>
    <x v="3"/>
    <x v="13"/>
    <n v="2"/>
    <n v="55"/>
    <n v="110"/>
    <n v="0"/>
  </r>
  <r>
    <n v="2554"/>
    <n v="2289"/>
    <n v="0.5"/>
    <x v="6"/>
    <d v="2024-07-17T00:00:00"/>
    <x v="2"/>
    <n v="15"/>
    <x v="2473"/>
    <x v="3"/>
    <x v="13"/>
    <n v="4"/>
    <n v="55"/>
    <n v="220"/>
    <n v="1"/>
  </r>
  <r>
    <n v="2555"/>
    <n v="2289"/>
    <n v="0.5"/>
    <x v="6"/>
    <d v="2024-07-17T00:00:00"/>
    <x v="2"/>
    <n v="12"/>
    <x v="1066"/>
    <x v="3"/>
    <x v="17"/>
    <n v="5"/>
    <n v="60"/>
    <n v="300"/>
    <n v="0"/>
  </r>
  <r>
    <n v="2556"/>
    <n v="2290"/>
    <n v="0.5"/>
    <x v="6"/>
    <d v="2024-07-17T00:00:00"/>
    <x v="2"/>
    <n v="20"/>
    <x v="2474"/>
    <x v="0"/>
    <x v="8"/>
    <n v="2"/>
    <n v="10"/>
    <n v="20"/>
    <n v="1"/>
  </r>
  <r>
    <n v="2557"/>
    <n v="2290"/>
    <n v="0.5"/>
    <x v="6"/>
    <d v="2024-07-17T00:00:00"/>
    <x v="2"/>
    <n v="16"/>
    <x v="2475"/>
    <x v="0"/>
    <x v="16"/>
    <n v="3"/>
    <n v="5"/>
    <n v="15"/>
    <n v="0"/>
  </r>
  <r>
    <n v="2558"/>
    <n v="2291"/>
    <n v="0.5"/>
    <x v="6"/>
    <d v="2024-07-17T00:00:00"/>
    <x v="2"/>
    <n v="19"/>
    <x v="2476"/>
    <x v="1"/>
    <x v="3"/>
    <n v="1"/>
    <n v="700"/>
    <n v="700"/>
    <n v="1"/>
  </r>
  <r>
    <n v="2559"/>
    <n v="2291"/>
    <n v="0.5"/>
    <x v="6"/>
    <d v="2024-07-17T00:00:00"/>
    <x v="2"/>
    <n v="13"/>
    <x v="2477"/>
    <x v="2"/>
    <x v="15"/>
    <n v="1"/>
    <n v="25"/>
    <n v="25"/>
    <n v="0"/>
  </r>
  <r>
    <n v="2560"/>
    <n v="2292"/>
    <n v="0.33333333333333331"/>
    <x v="6"/>
    <d v="2024-07-17T00:00:00"/>
    <x v="2"/>
    <n v="16"/>
    <x v="2478"/>
    <x v="1"/>
    <x v="12"/>
    <n v="3"/>
    <n v="1000"/>
    <n v="3000"/>
    <n v="1"/>
  </r>
  <r>
    <n v="2561"/>
    <n v="2292"/>
    <n v="0.33333333333333331"/>
    <x v="6"/>
    <d v="2024-07-17T00:00:00"/>
    <x v="2"/>
    <n v="20"/>
    <x v="2479"/>
    <x v="2"/>
    <x v="15"/>
    <n v="4"/>
    <n v="25"/>
    <n v="100"/>
    <n v="0"/>
  </r>
  <r>
    <n v="2562"/>
    <n v="2292"/>
    <n v="0.33333333333333331"/>
    <x v="6"/>
    <d v="2024-07-17T00:00:00"/>
    <x v="2"/>
    <n v="11"/>
    <x v="2480"/>
    <x v="1"/>
    <x v="2"/>
    <n v="5"/>
    <n v="680"/>
    <n v="3400"/>
    <n v="0"/>
  </r>
  <r>
    <n v="2563"/>
    <n v="2293"/>
    <n v="0.33333333333333331"/>
    <x v="6"/>
    <d v="2024-07-17T00:00:00"/>
    <x v="2"/>
    <n v="19"/>
    <x v="2481"/>
    <x v="2"/>
    <x v="10"/>
    <n v="3"/>
    <n v="30"/>
    <n v="90"/>
    <n v="1"/>
  </r>
  <r>
    <n v="2564"/>
    <n v="2293"/>
    <n v="0.33333333333333331"/>
    <x v="6"/>
    <d v="2024-07-17T00:00:00"/>
    <x v="2"/>
    <n v="19"/>
    <x v="2482"/>
    <x v="1"/>
    <x v="4"/>
    <n v="1"/>
    <n v="600"/>
    <n v="600"/>
    <n v="0"/>
  </r>
  <r>
    <n v="2565"/>
    <n v="2293"/>
    <n v="0.33333333333333331"/>
    <x v="6"/>
    <d v="2024-07-17T00:00:00"/>
    <x v="2"/>
    <n v="13"/>
    <x v="2483"/>
    <x v="2"/>
    <x v="10"/>
    <n v="1"/>
    <n v="30"/>
    <n v="30"/>
    <n v="0"/>
  </r>
  <r>
    <n v="2566"/>
    <n v="2294"/>
    <n v="1"/>
    <x v="6"/>
    <d v="2024-07-17T00:00:00"/>
    <x v="2"/>
    <n v="16"/>
    <x v="2484"/>
    <x v="2"/>
    <x v="15"/>
    <n v="2"/>
    <n v="25"/>
    <n v="50"/>
    <n v="1"/>
  </r>
  <r>
    <n v="2567"/>
    <n v="2295"/>
    <n v="1"/>
    <x v="6"/>
    <d v="2024-07-17T00:00:00"/>
    <x v="2"/>
    <n v="19"/>
    <x v="2485"/>
    <x v="0"/>
    <x v="9"/>
    <n v="5"/>
    <n v="15"/>
    <n v="75"/>
    <n v="1"/>
  </r>
  <r>
    <n v="2568"/>
    <n v="2296"/>
    <n v="1"/>
    <x v="6"/>
    <d v="2024-07-18T00:00:00"/>
    <x v="3"/>
    <n v="12"/>
    <x v="2486"/>
    <x v="0"/>
    <x v="8"/>
    <n v="5"/>
    <n v="10"/>
    <n v="50"/>
    <n v="1"/>
  </r>
  <r>
    <n v="2569"/>
    <n v="2297"/>
    <n v="0.5"/>
    <x v="6"/>
    <d v="2024-07-18T00:00:00"/>
    <x v="3"/>
    <n v="15"/>
    <x v="2487"/>
    <x v="2"/>
    <x v="10"/>
    <n v="1"/>
    <n v="30"/>
    <n v="30"/>
    <n v="1"/>
  </r>
  <r>
    <n v="2570"/>
    <n v="2297"/>
    <n v="0.5"/>
    <x v="6"/>
    <d v="2024-07-18T00:00:00"/>
    <x v="3"/>
    <n v="18"/>
    <x v="2488"/>
    <x v="2"/>
    <x v="10"/>
    <n v="5"/>
    <n v="30"/>
    <n v="150"/>
    <n v="0"/>
  </r>
  <r>
    <n v="2571"/>
    <n v="2298"/>
    <n v="0.33333333333333331"/>
    <x v="6"/>
    <d v="2024-07-18T00:00:00"/>
    <x v="3"/>
    <n v="11"/>
    <x v="1149"/>
    <x v="1"/>
    <x v="12"/>
    <n v="3"/>
    <n v="1000"/>
    <n v="3000"/>
    <n v="1"/>
  </r>
  <r>
    <n v="2572"/>
    <n v="2298"/>
    <n v="0.33333333333333331"/>
    <x v="6"/>
    <d v="2024-07-18T00:00:00"/>
    <x v="3"/>
    <n v="14"/>
    <x v="2489"/>
    <x v="3"/>
    <x v="17"/>
    <n v="2"/>
    <n v="60"/>
    <n v="120"/>
    <n v="0"/>
  </r>
  <r>
    <n v="2573"/>
    <n v="2298"/>
    <n v="0.33333333333333331"/>
    <x v="6"/>
    <d v="2024-07-18T00:00:00"/>
    <x v="3"/>
    <n v="11"/>
    <x v="2490"/>
    <x v="0"/>
    <x v="8"/>
    <n v="3"/>
    <n v="10"/>
    <n v="30"/>
    <n v="0"/>
  </r>
  <r>
    <n v="2574"/>
    <n v="2299"/>
    <n v="0.33333333333333331"/>
    <x v="6"/>
    <d v="2024-07-18T00:00:00"/>
    <x v="3"/>
    <n v="18"/>
    <x v="2491"/>
    <x v="2"/>
    <x v="5"/>
    <n v="5"/>
    <n v="20"/>
    <n v="100"/>
    <n v="1"/>
  </r>
  <r>
    <n v="2575"/>
    <n v="2299"/>
    <n v="0.33333333333333331"/>
    <x v="6"/>
    <d v="2024-07-18T00:00:00"/>
    <x v="3"/>
    <n v="9"/>
    <x v="2492"/>
    <x v="1"/>
    <x v="3"/>
    <n v="3"/>
    <n v="700"/>
    <n v="2100"/>
    <n v="0"/>
  </r>
  <r>
    <n v="2576"/>
    <n v="2299"/>
    <n v="0.33333333333333331"/>
    <x v="6"/>
    <d v="2024-07-18T00:00:00"/>
    <x v="3"/>
    <n v="11"/>
    <x v="2493"/>
    <x v="1"/>
    <x v="12"/>
    <n v="5"/>
    <n v="1000"/>
    <n v="5000"/>
    <n v="0"/>
  </r>
  <r>
    <n v="2577"/>
    <n v="2300"/>
    <n v="1"/>
    <x v="6"/>
    <d v="2024-07-19T00:00:00"/>
    <x v="4"/>
    <n v="19"/>
    <x v="2494"/>
    <x v="1"/>
    <x v="3"/>
    <n v="5"/>
    <n v="700"/>
    <n v="3500"/>
    <n v="1"/>
  </r>
  <r>
    <n v="2578"/>
    <n v="2301"/>
    <n v="0.5"/>
    <x v="6"/>
    <d v="2024-07-19T00:00:00"/>
    <x v="4"/>
    <n v="12"/>
    <x v="2495"/>
    <x v="3"/>
    <x v="13"/>
    <n v="5"/>
    <n v="55"/>
    <n v="275"/>
    <n v="1"/>
  </r>
  <r>
    <n v="2579"/>
    <n v="2301"/>
    <n v="0.5"/>
    <x v="6"/>
    <d v="2024-07-19T00:00:00"/>
    <x v="4"/>
    <n v="19"/>
    <x v="2496"/>
    <x v="2"/>
    <x v="11"/>
    <n v="2"/>
    <n v="35"/>
    <n v="70"/>
    <n v="0"/>
  </r>
  <r>
    <n v="2580"/>
    <n v="2302"/>
    <n v="1"/>
    <x v="6"/>
    <d v="2024-07-19T00:00:00"/>
    <x v="4"/>
    <n v="19"/>
    <x v="2497"/>
    <x v="3"/>
    <x v="6"/>
    <n v="5"/>
    <n v="50"/>
    <n v="250"/>
    <n v="1"/>
  </r>
  <r>
    <n v="2581"/>
    <n v="2303"/>
    <n v="1"/>
    <x v="6"/>
    <d v="2024-07-19T00:00:00"/>
    <x v="4"/>
    <n v="9"/>
    <x v="2498"/>
    <x v="1"/>
    <x v="12"/>
    <n v="1"/>
    <n v="1000"/>
    <n v="1000"/>
    <n v="1"/>
  </r>
  <r>
    <n v="2582"/>
    <n v="2304"/>
    <n v="0.5"/>
    <x v="6"/>
    <d v="2024-07-19T00:00:00"/>
    <x v="4"/>
    <n v="20"/>
    <x v="2499"/>
    <x v="3"/>
    <x v="18"/>
    <n v="5"/>
    <n v="45"/>
    <n v="225"/>
    <n v="1"/>
  </r>
  <r>
    <n v="2583"/>
    <n v="2304"/>
    <n v="0.5"/>
    <x v="6"/>
    <d v="2024-07-19T00:00:00"/>
    <x v="4"/>
    <n v="13"/>
    <x v="2500"/>
    <x v="3"/>
    <x v="17"/>
    <n v="3"/>
    <n v="60"/>
    <n v="180"/>
    <n v="0"/>
  </r>
  <r>
    <n v="2584"/>
    <n v="2305"/>
    <n v="1"/>
    <x v="6"/>
    <d v="2024-07-20T00:00:00"/>
    <x v="5"/>
    <n v="13"/>
    <x v="2501"/>
    <x v="2"/>
    <x v="5"/>
    <n v="3"/>
    <n v="20"/>
    <n v="60"/>
    <n v="1"/>
  </r>
  <r>
    <n v="2585"/>
    <n v="2306"/>
    <n v="0.33333333333333331"/>
    <x v="6"/>
    <d v="2024-07-20T00:00:00"/>
    <x v="5"/>
    <n v="19"/>
    <x v="2502"/>
    <x v="3"/>
    <x v="6"/>
    <n v="2"/>
    <n v="50"/>
    <n v="100"/>
    <n v="1"/>
  </r>
  <r>
    <n v="2586"/>
    <n v="2306"/>
    <n v="0.33333333333333331"/>
    <x v="6"/>
    <d v="2024-07-20T00:00:00"/>
    <x v="5"/>
    <n v="16"/>
    <x v="1671"/>
    <x v="0"/>
    <x v="8"/>
    <n v="1"/>
    <n v="10"/>
    <n v="10"/>
    <n v="0"/>
  </r>
  <r>
    <n v="2587"/>
    <n v="2306"/>
    <n v="0.33333333333333331"/>
    <x v="6"/>
    <d v="2024-07-20T00:00:00"/>
    <x v="5"/>
    <n v="12"/>
    <x v="2503"/>
    <x v="1"/>
    <x v="2"/>
    <n v="3"/>
    <n v="680"/>
    <n v="2040"/>
    <n v="0"/>
  </r>
  <r>
    <n v="2588"/>
    <n v="2307"/>
    <n v="0.5"/>
    <x v="6"/>
    <d v="2024-07-20T00:00:00"/>
    <x v="5"/>
    <n v="11"/>
    <x v="2504"/>
    <x v="2"/>
    <x v="15"/>
    <n v="5"/>
    <n v="25"/>
    <n v="125"/>
    <n v="1"/>
  </r>
  <r>
    <n v="2589"/>
    <n v="2307"/>
    <n v="0.5"/>
    <x v="6"/>
    <d v="2024-07-20T00:00:00"/>
    <x v="5"/>
    <n v="9"/>
    <x v="2505"/>
    <x v="2"/>
    <x v="11"/>
    <n v="5"/>
    <n v="35"/>
    <n v="175"/>
    <n v="0"/>
  </r>
  <r>
    <n v="2590"/>
    <n v="2308"/>
    <n v="0.33333333333333331"/>
    <x v="6"/>
    <d v="2024-07-20T00:00:00"/>
    <x v="5"/>
    <n v="10"/>
    <x v="2506"/>
    <x v="0"/>
    <x v="16"/>
    <n v="3"/>
    <n v="5"/>
    <n v="15"/>
    <n v="1"/>
  </r>
  <r>
    <n v="2591"/>
    <n v="2308"/>
    <n v="0.33333333333333331"/>
    <x v="6"/>
    <d v="2024-07-20T00:00:00"/>
    <x v="5"/>
    <n v="18"/>
    <x v="2507"/>
    <x v="0"/>
    <x v="0"/>
    <n v="4"/>
    <n v="20"/>
    <n v="80"/>
    <n v="0"/>
  </r>
  <r>
    <n v="2592"/>
    <n v="2308"/>
    <n v="0.33333333333333331"/>
    <x v="6"/>
    <d v="2024-07-20T00:00:00"/>
    <x v="5"/>
    <n v="15"/>
    <x v="2508"/>
    <x v="3"/>
    <x v="6"/>
    <n v="5"/>
    <n v="50"/>
    <n v="250"/>
    <n v="0"/>
  </r>
  <r>
    <n v="2593"/>
    <n v="2309"/>
    <n v="1"/>
    <x v="6"/>
    <d v="2024-07-20T00:00:00"/>
    <x v="5"/>
    <n v="16"/>
    <x v="2509"/>
    <x v="1"/>
    <x v="3"/>
    <n v="5"/>
    <n v="700"/>
    <n v="3500"/>
    <n v="1"/>
  </r>
  <r>
    <n v="2594"/>
    <n v="2310"/>
    <n v="0.5"/>
    <x v="6"/>
    <d v="2024-07-20T00:00:00"/>
    <x v="5"/>
    <n v="17"/>
    <x v="2510"/>
    <x v="3"/>
    <x v="14"/>
    <n v="2"/>
    <n v="40"/>
    <n v="80"/>
    <n v="1"/>
  </r>
  <r>
    <n v="2595"/>
    <n v="2310"/>
    <n v="0.5"/>
    <x v="6"/>
    <d v="2024-07-20T00:00:00"/>
    <x v="5"/>
    <n v="10"/>
    <x v="2511"/>
    <x v="1"/>
    <x v="12"/>
    <n v="5"/>
    <n v="1000"/>
    <n v="5000"/>
    <n v="0"/>
  </r>
  <r>
    <n v="2596"/>
    <n v="2311"/>
    <n v="0.33333333333333331"/>
    <x v="6"/>
    <d v="2024-07-20T00:00:00"/>
    <x v="5"/>
    <n v="14"/>
    <x v="2512"/>
    <x v="1"/>
    <x v="3"/>
    <n v="4"/>
    <n v="700"/>
    <n v="2800"/>
    <n v="1"/>
  </r>
  <r>
    <n v="2597"/>
    <n v="2311"/>
    <n v="0.33333333333333331"/>
    <x v="6"/>
    <d v="2024-07-20T00:00:00"/>
    <x v="5"/>
    <n v="15"/>
    <x v="2513"/>
    <x v="2"/>
    <x v="15"/>
    <n v="5"/>
    <n v="25"/>
    <n v="125"/>
    <n v="0"/>
  </r>
  <r>
    <n v="2598"/>
    <n v="2311"/>
    <n v="0.33333333333333331"/>
    <x v="6"/>
    <d v="2024-07-20T00:00:00"/>
    <x v="5"/>
    <n v="20"/>
    <x v="2514"/>
    <x v="0"/>
    <x v="0"/>
    <n v="1"/>
    <n v="20"/>
    <n v="20"/>
    <n v="0"/>
  </r>
  <r>
    <n v="2599"/>
    <n v="2312"/>
    <n v="0.5"/>
    <x v="6"/>
    <d v="2024-07-20T00:00:00"/>
    <x v="5"/>
    <n v="11"/>
    <x v="2515"/>
    <x v="0"/>
    <x v="16"/>
    <n v="3"/>
    <n v="5"/>
    <n v="15"/>
    <n v="1"/>
  </r>
  <r>
    <n v="2600"/>
    <n v="2312"/>
    <n v="0.5"/>
    <x v="6"/>
    <d v="2024-07-20T00:00:00"/>
    <x v="5"/>
    <n v="20"/>
    <x v="2516"/>
    <x v="0"/>
    <x v="8"/>
    <n v="4"/>
    <n v="10"/>
    <n v="40"/>
    <n v="0"/>
  </r>
  <r>
    <n v="2601"/>
    <n v="2313"/>
    <n v="1"/>
    <x v="6"/>
    <d v="2024-07-20T00:00:00"/>
    <x v="5"/>
    <n v="9"/>
    <x v="2517"/>
    <x v="0"/>
    <x v="16"/>
    <n v="2"/>
    <n v="5"/>
    <n v="10"/>
    <n v="1"/>
  </r>
  <r>
    <n v="2602"/>
    <n v="2314"/>
    <n v="1"/>
    <x v="6"/>
    <d v="2024-07-20T00:00:00"/>
    <x v="5"/>
    <n v="14"/>
    <x v="2518"/>
    <x v="1"/>
    <x v="1"/>
    <n v="4"/>
    <n v="650"/>
    <n v="2600"/>
    <n v="1"/>
  </r>
  <r>
    <n v="2603"/>
    <n v="2315"/>
    <n v="0.33333333333333331"/>
    <x v="6"/>
    <d v="2024-07-21T00:00:00"/>
    <x v="6"/>
    <n v="13"/>
    <x v="2519"/>
    <x v="2"/>
    <x v="15"/>
    <n v="2"/>
    <n v="25"/>
    <n v="50"/>
    <n v="1"/>
  </r>
  <r>
    <n v="2604"/>
    <n v="2315"/>
    <n v="0.33333333333333331"/>
    <x v="6"/>
    <d v="2024-07-21T00:00:00"/>
    <x v="6"/>
    <n v="9"/>
    <x v="2520"/>
    <x v="2"/>
    <x v="15"/>
    <n v="4"/>
    <n v="25"/>
    <n v="100"/>
    <n v="0"/>
  </r>
  <r>
    <n v="2605"/>
    <n v="2315"/>
    <n v="0.33333333333333331"/>
    <x v="6"/>
    <d v="2024-07-21T00:00:00"/>
    <x v="6"/>
    <n v="17"/>
    <x v="2521"/>
    <x v="0"/>
    <x v="9"/>
    <n v="5"/>
    <n v="15"/>
    <n v="75"/>
    <n v="0"/>
  </r>
  <r>
    <n v="2606"/>
    <n v="2316"/>
    <n v="0.33333333333333331"/>
    <x v="6"/>
    <d v="2024-07-21T00:00:00"/>
    <x v="6"/>
    <n v="11"/>
    <x v="2522"/>
    <x v="1"/>
    <x v="3"/>
    <n v="5"/>
    <n v="700"/>
    <n v="3500"/>
    <n v="1"/>
  </r>
  <r>
    <n v="2607"/>
    <n v="2316"/>
    <n v="0.33333333333333331"/>
    <x v="6"/>
    <d v="2024-07-21T00:00:00"/>
    <x v="6"/>
    <n v="19"/>
    <x v="1765"/>
    <x v="0"/>
    <x v="0"/>
    <n v="4"/>
    <n v="20"/>
    <n v="80"/>
    <n v="0"/>
  </r>
  <r>
    <n v="2608"/>
    <n v="2316"/>
    <n v="0.33333333333333331"/>
    <x v="6"/>
    <d v="2024-07-21T00:00:00"/>
    <x v="6"/>
    <n v="10"/>
    <x v="2523"/>
    <x v="3"/>
    <x v="14"/>
    <n v="1"/>
    <n v="40"/>
    <n v="40"/>
    <n v="0"/>
  </r>
  <r>
    <n v="2609"/>
    <n v="2317"/>
    <n v="1"/>
    <x v="6"/>
    <d v="2024-07-21T00:00:00"/>
    <x v="6"/>
    <n v="16"/>
    <x v="2524"/>
    <x v="3"/>
    <x v="18"/>
    <n v="5"/>
    <n v="45"/>
    <n v="225"/>
    <n v="1"/>
  </r>
  <r>
    <n v="2610"/>
    <n v="2318"/>
    <n v="1"/>
    <x v="6"/>
    <d v="2024-07-21T00:00:00"/>
    <x v="6"/>
    <n v="12"/>
    <x v="2525"/>
    <x v="2"/>
    <x v="15"/>
    <n v="5"/>
    <n v="25"/>
    <n v="125"/>
    <n v="1"/>
  </r>
  <r>
    <n v="2611"/>
    <n v="2319"/>
    <n v="0.5"/>
    <x v="6"/>
    <d v="2024-07-21T00:00:00"/>
    <x v="6"/>
    <n v="17"/>
    <x v="2526"/>
    <x v="2"/>
    <x v="11"/>
    <n v="5"/>
    <n v="35"/>
    <n v="175"/>
    <n v="1"/>
  </r>
  <r>
    <n v="2612"/>
    <n v="2319"/>
    <n v="0.5"/>
    <x v="6"/>
    <d v="2024-07-21T00:00:00"/>
    <x v="6"/>
    <n v="16"/>
    <x v="2527"/>
    <x v="1"/>
    <x v="3"/>
    <n v="5"/>
    <n v="700"/>
    <n v="3500"/>
    <n v="0"/>
  </r>
  <r>
    <n v="2613"/>
    <n v="2320"/>
    <n v="1"/>
    <x v="6"/>
    <d v="2024-07-22T00:00:00"/>
    <x v="0"/>
    <n v="11"/>
    <x v="2528"/>
    <x v="2"/>
    <x v="15"/>
    <n v="2"/>
    <n v="25"/>
    <n v="50"/>
    <n v="1"/>
  </r>
  <r>
    <n v="2614"/>
    <n v="2321"/>
    <n v="0.5"/>
    <x v="6"/>
    <d v="2024-07-22T00:00:00"/>
    <x v="0"/>
    <n v="9"/>
    <x v="2529"/>
    <x v="3"/>
    <x v="17"/>
    <n v="5"/>
    <n v="60"/>
    <n v="300"/>
    <n v="1"/>
  </r>
  <r>
    <n v="2615"/>
    <n v="2321"/>
    <n v="0.5"/>
    <x v="6"/>
    <d v="2024-07-22T00:00:00"/>
    <x v="0"/>
    <n v="14"/>
    <x v="2530"/>
    <x v="2"/>
    <x v="5"/>
    <n v="2"/>
    <n v="20"/>
    <n v="40"/>
    <n v="0"/>
  </r>
  <r>
    <n v="2616"/>
    <n v="2322"/>
    <n v="0.33333333333333331"/>
    <x v="6"/>
    <d v="2024-07-22T00:00:00"/>
    <x v="0"/>
    <n v="12"/>
    <x v="2531"/>
    <x v="1"/>
    <x v="2"/>
    <n v="5"/>
    <n v="680"/>
    <n v="3400"/>
    <n v="1"/>
  </r>
  <r>
    <n v="2617"/>
    <n v="2322"/>
    <n v="0.33333333333333331"/>
    <x v="6"/>
    <d v="2024-07-22T00:00:00"/>
    <x v="0"/>
    <n v="20"/>
    <x v="2532"/>
    <x v="3"/>
    <x v="18"/>
    <n v="4"/>
    <n v="45"/>
    <n v="180"/>
    <n v="0"/>
  </r>
  <r>
    <n v="2618"/>
    <n v="2322"/>
    <n v="0.33333333333333331"/>
    <x v="6"/>
    <d v="2024-07-22T00:00:00"/>
    <x v="0"/>
    <n v="9"/>
    <x v="2533"/>
    <x v="3"/>
    <x v="17"/>
    <n v="2"/>
    <n v="60"/>
    <n v="120"/>
    <n v="0"/>
  </r>
  <r>
    <n v="2619"/>
    <n v="2323"/>
    <n v="1"/>
    <x v="6"/>
    <d v="2024-07-22T00:00:00"/>
    <x v="0"/>
    <n v="18"/>
    <x v="2534"/>
    <x v="3"/>
    <x v="17"/>
    <n v="1"/>
    <n v="60"/>
    <n v="60"/>
    <n v="1"/>
  </r>
  <r>
    <n v="2620"/>
    <n v="2324"/>
    <n v="0.5"/>
    <x v="6"/>
    <d v="2024-07-22T00:00:00"/>
    <x v="0"/>
    <n v="20"/>
    <x v="2535"/>
    <x v="0"/>
    <x v="8"/>
    <n v="2"/>
    <n v="10"/>
    <n v="20"/>
    <n v="1"/>
  </r>
  <r>
    <n v="2621"/>
    <n v="2324"/>
    <n v="0.5"/>
    <x v="6"/>
    <d v="2024-07-22T00:00:00"/>
    <x v="0"/>
    <n v="12"/>
    <x v="2536"/>
    <x v="1"/>
    <x v="3"/>
    <n v="1"/>
    <n v="700"/>
    <n v="700"/>
    <n v="0"/>
  </r>
  <r>
    <n v="2622"/>
    <n v="2325"/>
    <n v="0.5"/>
    <x v="6"/>
    <d v="2024-07-22T00:00:00"/>
    <x v="0"/>
    <n v="18"/>
    <x v="2537"/>
    <x v="3"/>
    <x v="17"/>
    <n v="1"/>
    <n v="60"/>
    <n v="60"/>
    <n v="1"/>
  </r>
  <r>
    <n v="2623"/>
    <n v="2325"/>
    <n v="0.5"/>
    <x v="6"/>
    <d v="2024-07-22T00:00:00"/>
    <x v="0"/>
    <n v="20"/>
    <x v="2538"/>
    <x v="2"/>
    <x v="15"/>
    <n v="3"/>
    <n v="25"/>
    <n v="75"/>
    <n v="0"/>
  </r>
  <r>
    <n v="2624"/>
    <n v="2326"/>
    <n v="0.5"/>
    <x v="6"/>
    <d v="2024-07-23T00:00:00"/>
    <x v="1"/>
    <n v="10"/>
    <x v="992"/>
    <x v="0"/>
    <x v="7"/>
    <n v="3"/>
    <n v="25"/>
    <n v="75"/>
    <n v="1"/>
  </r>
  <r>
    <n v="2625"/>
    <n v="2326"/>
    <n v="0.5"/>
    <x v="6"/>
    <d v="2024-07-23T00:00:00"/>
    <x v="1"/>
    <n v="17"/>
    <x v="2539"/>
    <x v="1"/>
    <x v="4"/>
    <n v="5"/>
    <n v="600"/>
    <n v="3000"/>
    <n v="0"/>
  </r>
  <r>
    <n v="2626"/>
    <n v="2327"/>
    <n v="0.33333333333333331"/>
    <x v="6"/>
    <d v="2024-07-23T00:00:00"/>
    <x v="1"/>
    <n v="9"/>
    <x v="2540"/>
    <x v="3"/>
    <x v="18"/>
    <n v="4"/>
    <n v="45"/>
    <n v="180"/>
    <n v="1"/>
  </r>
  <r>
    <n v="2627"/>
    <n v="2327"/>
    <n v="0.33333333333333331"/>
    <x v="6"/>
    <d v="2024-07-23T00:00:00"/>
    <x v="1"/>
    <n v="19"/>
    <x v="2541"/>
    <x v="0"/>
    <x v="9"/>
    <n v="4"/>
    <n v="15"/>
    <n v="60"/>
    <n v="0"/>
  </r>
  <r>
    <n v="2628"/>
    <n v="2327"/>
    <n v="0.33333333333333331"/>
    <x v="6"/>
    <d v="2024-07-23T00:00:00"/>
    <x v="1"/>
    <n v="12"/>
    <x v="125"/>
    <x v="3"/>
    <x v="6"/>
    <n v="2"/>
    <n v="50"/>
    <n v="100"/>
    <n v="0"/>
  </r>
  <r>
    <n v="2629"/>
    <n v="2328"/>
    <n v="0.33333333333333331"/>
    <x v="6"/>
    <d v="2024-07-23T00:00:00"/>
    <x v="1"/>
    <n v="14"/>
    <x v="2542"/>
    <x v="2"/>
    <x v="5"/>
    <n v="3"/>
    <n v="20"/>
    <n v="60"/>
    <n v="1"/>
  </r>
  <r>
    <n v="2630"/>
    <n v="2328"/>
    <n v="0.33333333333333331"/>
    <x v="6"/>
    <d v="2024-07-23T00:00:00"/>
    <x v="1"/>
    <n v="15"/>
    <x v="2543"/>
    <x v="3"/>
    <x v="6"/>
    <n v="4"/>
    <n v="50"/>
    <n v="200"/>
    <n v="0"/>
  </r>
  <r>
    <n v="2631"/>
    <n v="2328"/>
    <n v="0.33333333333333331"/>
    <x v="6"/>
    <d v="2024-07-23T00:00:00"/>
    <x v="1"/>
    <n v="15"/>
    <x v="2544"/>
    <x v="0"/>
    <x v="7"/>
    <n v="5"/>
    <n v="25"/>
    <n v="125"/>
    <n v="0"/>
  </r>
  <r>
    <n v="2632"/>
    <n v="2329"/>
    <n v="0.5"/>
    <x v="6"/>
    <d v="2024-07-23T00:00:00"/>
    <x v="1"/>
    <n v="19"/>
    <x v="2545"/>
    <x v="2"/>
    <x v="5"/>
    <n v="3"/>
    <n v="20"/>
    <n v="60"/>
    <n v="1"/>
  </r>
  <r>
    <n v="2633"/>
    <n v="2329"/>
    <n v="0.5"/>
    <x v="6"/>
    <d v="2024-07-23T00:00:00"/>
    <x v="1"/>
    <n v="16"/>
    <x v="2546"/>
    <x v="0"/>
    <x v="7"/>
    <n v="1"/>
    <n v="25"/>
    <n v="25"/>
    <n v="0"/>
  </r>
  <r>
    <n v="2634"/>
    <n v="2330"/>
    <n v="1"/>
    <x v="6"/>
    <d v="2024-07-23T00:00:00"/>
    <x v="1"/>
    <n v="11"/>
    <x v="2547"/>
    <x v="1"/>
    <x v="12"/>
    <n v="5"/>
    <n v="1000"/>
    <n v="5000"/>
    <n v="1"/>
  </r>
  <r>
    <n v="2635"/>
    <n v="2331"/>
    <n v="1"/>
    <x v="6"/>
    <d v="2024-07-24T00:00:00"/>
    <x v="2"/>
    <n v="18"/>
    <x v="2548"/>
    <x v="3"/>
    <x v="18"/>
    <n v="5"/>
    <n v="45"/>
    <n v="225"/>
    <n v="1"/>
  </r>
  <r>
    <n v="2636"/>
    <n v="2332"/>
    <n v="1"/>
    <x v="6"/>
    <d v="2024-07-24T00:00:00"/>
    <x v="2"/>
    <n v="20"/>
    <x v="2549"/>
    <x v="0"/>
    <x v="8"/>
    <n v="4"/>
    <n v="10"/>
    <n v="40"/>
    <n v="1"/>
  </r>
  <r>
    <n v="2637"/>
    <n v="2333"/>
    <n v="1"/>
    <x v="6"/>
    <d v="2024-07-24T00:00:00"/>
    <x v="2"/>
    <n v="12"/>
    <x v="2550"/>
    <x v="1"/>
    <x v="3"/>
    <n v="2"/>
    <n v="700"/>
    <n v="1400"/>
    <n v="1"/>
  </r>
  <r>
    <n v="2638"/>
    <n v="2334"/>
    <n v="1"/>
    <x v="6"/>
    <d v="2024-07-24T00:00:00"/>
    <x v="2"/>
    <n v="14"/>
    <x v="2551"/>
    <x v="3"/>
    <x v="14"/>
    <n v="2"/>
    <n v="40"/>
    <n v="80"/>
    <n v="1"/>
  </r>
  <r>
    <n v="2639"/>
    <n v="2335"/>
    <n v="0.5"/>
    <x v="6"/>
    <d v="2024-07-24T00:00:00"/>
    <x v="2"/>
    <n v="20"/>
    <x v="2552"/>
    <x v="1"/>
    <x v="2"/>
    <n v="4"/>
    <n v="680"/>
    <n v="2720"/>
    <n v="1"/>
  </r>
  <r>
    <n v="2640"/>
    <n v="2335"/>
    <n v="0.5"/>
    <x v="6"/>
    <d v="2024-07-24T00:00:00"/>
    <x v="2"/>
    <n v="9"/>
    <x v="2553"/>
    <x v="2"/>
    <x v="5"/>
    <n v="3"/>
    <n v="20"/>
    <n v="60"/>
    <n v="0"/>
  </r>
  <r>
    <n v="2641"/>
    <n v="2336"/>
    <n v="0.5"/>
    <x v="6"/>
    <d v="2024-07-24T00:00:00"/>
    <x v="2"/>
    <n v="12"/>
    <x v="2554"/>
    <x v="0"/>
    <x v="8"/>
    <n v="3"/>
    <n v="10"/>
    <n v="30"/>
    <n v="1"/>
  </r>
  <r>
    <n v="2642"/>
    <n v="2336"/>
    <n v="0.5"/>
    <x v="6"/>
    <d v="2024-07-24T00:00:00"/>
    <x v="2"/>
    <n v="11"/>
    <x v="2555"/>
    <x v="1"/>
    <x v="3"/>
    <n v="5"/>
    <n v="700"/>
    <n v="3500"/>
    <n v="0"/>
  </r>
  <r>
    <n v="2643"/>
    <n v="2337"/>
    <n v="0.33333333333333331"/>
    <x v="6"/>
    <d v="2024-07-25T00:00:00"/>
    <x v="3"/>
    <n v="14"/>
    <x v="2556"/>
    <x v="1"/>
    <x v="4"/>
    <n v="1"/>
    <n v="600"/>
    <n v="600"/>
    <n v="1"/>
  </r>
  <r>
    <n v="2644"/>
    <n v="2337"/>
    <n v="0.33333333333333331"/>
    <x v="6"/>
    <d v="2024-07-25T00:00:00"/>
    <x v="3"/>
    <n v="20"/>
    <x v="2557"/>
    <x v="1"/>
    <x v="2"/>
    <n v="3"/>
    <n v="680"/>
    <n v="2040"/>
    <n v="0"/>
  </r>
  <r>
    <n v="2645"/>
    <n v="2337"/>
    <n v="0.33333333333333331"/>
    <x v="6"/>
    <d v="2024-07-25T00:00:00"/>
    <x v="3"/>
    <n v="12"/>
    <x v="2558"/>
    <x v="1"/>
    <x v="2"/>
    <n v="3"/>
    <n v="680"/>
    <n v="2040"/>
    <n v="0"/>
  </r>
  <r>
    <n v="2646"/>
    <n v="2338"/>
    <n v="1"/>
    <x v="6"/>
    <d v="2024-07-25T00:00:00"/>
    <x v="3"/>
    <n v="11"/>
    <x v="2559"/>
    <x v="1"/>
    <x v="3"/>
    <n v="2"/>
    <n v="700"/>
    <n v="1400"/>
    <n v="1"/>
  </r>
  <r>
    <n v="2647"/>
    <n v="2339"/>
    <n v="0.33333333333333331"/>
    <x v="6"/>
    <d v="2024-07-25T00:00:00"/>
    <x v="3"/>
    <n v="15"/>
    <x v="2560"/>
    <x v="0"/>
    <x v="9"/>
    <n v="2"/>
    <n v="15"/>
    <n v="30"/>
    <n v="1"/>
  </r>
  <r>
    <n v="2648"/>
    <n v="2339"/>
    <n v="0.33333333333333331"/>
    <x v="6"/>
    <d v="2024-07-25T00:00:00"/>
    <x v="3"/>
    <n v="9"/>
    <x v="2561"/>
    <x v="2"/>
    <x v="5"/>
    <n v="5"/>
    <n v="20"/>
    <n v="100"/>
    <n v="0"/>
  </r>
  <r>
    <n v="2649"/>
    <n v="2339"/>
    <n v="0.33333333333333331"/>
    <x v="6"/>
    <d v="2024-07-25T00:00:00"/>
    <x v="3"/>
    <n v="16"/>
    <x v="2562"/>
    <x v="2"/>
    <x v="11"/>
    <n v="5"/>
    <n v="35"/>
    <n v="175"/>
    <n v="0"/>
  </r>
  <r>
    <n v="2650"/>
    <n v="2340"/>
    <n v="1"/>
    <x v="6"/>
    <d v="2024-07-26T00:00:00"/>
    <x v="4"/>
    <n v="10"/>
    <x v="2563"/>
    <x v="1"/>
    <x v="1"/>
    <n v="1"/>
    <n v="650"/>
    <n v="650"/>
    <n v="1"/>
  </r>
  <r>
    <n v="2651"/>
    <n v="2341"/>
    <n v="0.33333333333333331"/>
    <x v="6"/>
    <d v="2024-07-26T00:00:00"/>
    <x v="4"/>
    <n v="10"/>
    <x v="2564"/>
    <x v="2"/>
    <x v="11"/>
    <n v="1"/>
    <n v="35"/>
    <n v="35"/>
    <n v="1"/>
  </r>
  <r>
    <n v="2652"/>
    <n v="2341"/>
    <n v="0.33333333333333331"/>
    <x v="6"/>
    <d v="2024-07-26T00:00:00"/>
    <x v="4"/>
    <n v="9"/>
    <x v="2565"/>
    <x v="2"/>
    <x v="11"/>
    <n v="2"/>
    <n v="35"/>
    <n v="70"/>
    <n v="0"/>
  </r>
  <r>
    <n v="2653"/>
    <n v="2341"/>
    <n v="0.33333333333333331"/>
    <x v="6"/>
    <d v="2024-07-26T00:00:00"/>
    <x v="4"/>
    <n v="12"/>
    <x v="2566"/>
    <x v="2"/>
    <x v="11"/>
    <n v="3"/>
    <n v="35"/>
    <n v="105"/>
    <n v="0"/>
  </r>
  <r>
    <n v="2654"/>
    <n v="2342"/>
    <n v="0.33333333333333331"/>
    <x v="6"/>
    <d v="2024-07-26T00:00:00"/>
    <x v="4"/>
    <n v="17"/>
    <x v="2567"/>
    <x v="0"/>
    <x v="8"/>
    <n v="5"/>
    <n v="10"/>
    <n v="50"/>
    <n v="1"/>
  </r>
  <r>
    <n v="2655"/>
    <n v="2342"/>
    <n v="0.33333333333333331"/>
    <x v="6"/>
    <d v="2024-07-26T00:00:00"/>
    <x v="4"/>
    <n v="11"/>
    <x v="2568"/>
    <x v="2"/>
    <x v="10"/>
    <n v="4"/>
    <n v="30"/>
    <n v="120"/>
    <n v="0"/>
  </r>
  <r>
    <n v="2656"/>
    <n v="2342"/>
    <n v="0.33333333333333331"/>
    <x v="6"/>
    <d v="2024-07-26T00:00:00"/>
    <x v="4"/>
    <n v="17"/>
    <x v="2569"/>
    <x v="2"/>
    <x v="15"/>
    <n v="2"/>
    <n v="25"/>
    <n v="50"/>
    <n v="0"/>
  </r>
  <r>
    <n v="2657"/>
    <n v="2343"/>
    <n v="0.5"/>
    <x v="6"/>
    <d v="2024-07-26T00:00:00"/>
    <x v="4"/>
    <n v="10"/>
    <x v="2570"/>
    <x v="1"/>
    <x v="4"/>
    <n v="3"/>
    <n v="600"/>
    <n v="1800"/>
    <n v="1"/>
  </r>
  <r>
    <n v="2658"/>
    <n v="2343"/>
    <n v="0.5"/>
    <x v="6"/>
    <d v="2024-07-26T00:00:00"/>
    <x v="4"/>
    <n v="15"/>
    <x v="2571"/>
    <x v="3"/>
    <x v="17"/>
    <n v="4"/>
    <n v="60"/>
    <n v="240"/>
    <n v="0"/>
  </r>
  <r>
    <n v="2659"/>
    <n v="2344"/>
    <n v="1"/>
    <x v="6"/>
    <d v="2024-07-26T00:00:00"/>
    <x v="4"/>
    <n v="19"/>
    <x v="2572"/>
    <x v="0"/>
    <x v="0"/>
    <n v="5"/>
    <n v="20"/>
    <n v="100"/>
    <n v="1"/>
  </r>
  <r>
    <n v="2660"/>
    <n v="2345"/>
    <n v="1"/>
    <x v="6"/>
    <d v="2024-07-26T00:00:00"/>
    <x v="4"/>
    <n v="16"/>
    <x v="2573"/>
    <x v="3"/>
    <x v="14"/>
    <n v="2"/>
    <n v="40"/>
    <n v="80"/>
    <n v="1"/>
  </r>
  <r>
    <n v="2661"/>
    <n v="2346"/>
    <n v="1"/>
    <x v="6"/>
    <d v="2024-07-27T00:00:00"/>
    <x v="5"/>
    <n v="10"/>
    <x v="2574"/>
    <x v="0"/>
    <x v="16"/>
    <n v="1"/>
    <n v="5"/>
    <n v="5"/>
    <n v="1"/>
  </r>
  <r>
    <n v="2662"/>
    <n v="2347"/>
    <n v="0.5"/>
    <x v="6"/>
    <d v="2024-07-27T00:00:00"/>
    <x v="5"/>
    <n v="9"/>
    <x v="2575"/>
    <x v="3"/>
    <x v="13"/>
    <n v="1"/>
    <n v="55"/>
    <n v="55"/>
    <n v="1"/>
  </r>
  <r>
    <n v="2663"/>
    <n v="2347"/>
    <n v="0.5"/>
    <x v="6"/>
    <d v="2024-07-27T00:00:00"/>
    <x v="5"/>
    <n v="14"/>
    <x v="2576"/>
    <x v="1"/>
    <x v="12"/>
    <n v="3"/>
    <n v="1000"/>
    <n v="3000"/>
    <n v="0"/>
  </r>
  <r>
    <n v="2664"/>
    <n v="2348"/>
    <n v="0.33333333333333331"/>
    <x v="6"/>
    <d v="2024-07-27T00:00:00"/>
    <x v="5"/>
    <n v="17"/>
    <x v="2577"/>
    <x v="3"/>
    <x v="18"/>
    <n v="2"/>
    <n v="45"/>
    <n v="90"/>
    <n v="1"/>
  </r>
  <r>
    <n v="2665"/>
    <n v="2348"/>
    <n v="0.33333333333333331"/>
    <x v="6"/>
    <d v="2024-07-27T00:00:00"/>
    <x v="5"/>
    <n v="10"/>
    <x v="2578"/>
    <x v="3"/>
    <x v="17"/>
    <n v="1"/>
    <n v="60"/>
    <n v="60"/>
    <n v="0"/>
  </r>
  <r>
    <n v="2666"/>
    <n v="2348"/>
    <n v="0.33333333333333331"/>
    <x v="6"/>
    <d v="2024-07-27T00:00:00"/>
    <x v="5"/>
    <n v="18"/>
    <x v="2579"/>
    <x v="2"/>
    <x v="11"/>
    <n v="4"/>
    <n v="35"/>
    <n v="140"/>
    <n v="0"/>
  </r>
  <r>
    <n v="2667"/>
    <n v="2349"/>
    <n v="0.33333333333333331"/>
    <x v="6"/>
    <d v="2024-07-27T00:00:00"/>
    <x v="5"/>
    <n v="14"/>
    <x v="2580"/>
    <x v="1"/>
    <x v="2"/>
    <n v="1"/>
    <n v="680"/>
    <n v="680"/>
    <n v="1"/>
  </r>
  <r>
    <n v="2668"/>
    <n v="2349"/>
    <n v="0.33333333333333331"/>
    <x v="6"/>
    <d v="2024-07-27T00:00:00"/>
    <x v="5"/>
    <n v="14"/>
    <x v="2581"/>
    <x v="0"/>
    <x v="16"/>
    <n v="3"/>
    <n v="5"/>
    <n v="15"/>
    <n v="0"/>
  </r>
  <r>
    <n v="2669"/>
    <n v="2349"/>
    <n v="0.33333333333333331"/>
    <x v="6"/>
    <d v="2024-07-27T00:00:00"/>
    <x v="5"/>
    <n v="19"/>
    <x v="2582"/>
    <x v="2"/>
    <x v="10"/>
    <n v="4"/>
    <n v="30"/>
    <n v="120"/>
    <n v="0"/>
  </r>
  <r>
    <n v="2670"/>
    <n v="2350"/>
    <n v="1"/>
    <x v="6"/>
    <d v="2024-07-27T00:00:00"/>
    <x v="5"/>
    <n v="10"/>
    <x v="2583"/>
    <x v="1"/>
    <x v="1"/>
    <n v="1"/>
    <n v="650"/>
    <n v="650"/>
    <n v="1"/>
  </r>
  <r>
    <n v="2671"/>
    <n v="2351"/>
    <n v="0.5"/>
    <x v="6"/>
    <d v="2024-07-27T00:00:00"/>
    <x v="5"/>
    <n v="12"/>
    <x v="2584"/>
    <x v="1"/>
    <x v="4"/>
    <n v="5"/>
    <n v="600"/>
    <n v="3000"/>
    <n v="1"/>
  </r>
  <r>
    <n v="2672"/>
    <n v="2351"/>
    <n v="0.5"/>
    <x v="6"/>
    <d v="2024-07-27T00:00:00"/>
    <x v="5"/>
    <n v="16"/>
    <x v="2585"/>
    <x v="0"/>
    <x v="7"/>
    <n v="1"/>
    <n v="25"/>
    <n v="25"/>
    <n v="0"/>
  </r>
  <r>
    <n v="2673"/>
    <n v="2352"/>
    <n v="0.33333333333333331"/>
    <x v="6"/>
    <d v="2024-07-27T00:00:00"/>
    <x v="5"/>
    <n v="16"/>
    <x v="2586"/>
    <x v="1"/>
    <x v="12"/>
    <n v="5"/>
    <n v="1000"/>
    <n v="5000"/>
    <n v="1"/>
  </r>
  <r>
    <n v="2674"/>
    <n v="2352"/>
    <n v="0.33333333333333331"/>
    <x v="6"/>
    <d v="2024-07-27T00:00:00"/>
    <x v="5"/>
    <n v="11"/>
    <x v="2587"/>
    <x v="2"/>
    <x v="11"/>
    <n v="4"/>
    <n v="35"/>
    <n v="140"/>
    <n v="0"/>
  </r>
  <r>
    <n v="2675"/>
    <n v="2352"/>
    <n v="0.33333333333333331"/>
    <x v="6"/>
    <d v="2024-07-27T00:00:00"/>
    <x v="5"/>
    <n v="9"/>
    <x v="2588"/>
    <x v="2"/>
    <x v="11"/>
    <n v="3"/>
    <n v="35"/>
    <n v="105"/>
    <n v="0"/>
  </r>
  <r>
    <n v="2676"/>
    <n v="2353"/>
    <n v="1"/>
    <x v="6"/>
    <d v="2024-07-27T00:00:00"/>
    <x v="5"/>
    <n v="18"/>
    <x v="2589"/>
    <x v="2"/>
    <x v="15"/>
    <n v="3"/>
    <n v="25"/>
    <n v="75"/>
    <n v="1"/>
  </r>
  <r>
    <n v="2677"/>
    <n v="2354"/>
    <n v="0.5"/>
    <x v="6"/>
    <d v="2024-07-27T00:00:00"/>
    <x v="5"/>
    <n v="18"/>
    <x v="2590"/>
    <x v="1"/>
    <x v="3"/>
    <n v="4"/>
    <n v="700"/>
    <n v="2800"/>
    <n v="1"/>
  </r>
  <r>
    <n v="2678"/>
    <n v="2354"/>
    <n v="0.5"/>
    <x v="6"/>
    <d v="2024-07-27T00:00:00"/>
    <x v="5"/>
    <n v="17"/>
    <x v="2591"/>
    <x v="3"/>
    <x v="18"/>
    <n v="1"/>
    <n v="45"/>
    <n v="45"/>
    <n v="0"/>
  </r>
  <r>
    <n v="2679"/>
    <n v="2355"/>
    <n v="0.5"/>
    <x v="6"/>
    <d v="2024-07-28T00:00:00"/>
    <x v="6"/>
    <n v="14"/>
    <x v="2592"/>
    <x v="3"/>
    <x v="17"/>
    <n v="5"/>
    <n v="60"/>
    <n v="300"/>
    <n v="1"/>
  </r>
  <r>
    <n v="2680"/>
    <n v="2355"/>
    <n v="0.5"/>
    <x v="6"/>
    <d v="2024-07-28T00:00:00"/>
    <x v="6"/>
    <n v="18"/>
    <x v="2593"/>
    <x v="0"/>
    <x v="7"/>
    <n v="5"/>
    <n v="25"/>
    <n v="125"/>
    <n v="0"/>
  </r>
  <r>
    <n v="2681"/>
    <n v="2356"/>
    <n v="1"/>
    <x v="6"/>
    <d v="2024-07-28T00:00:00"/>
    <x v="6"/>
    <n v="10"/>
    <x v="2594"/>
    <x v="2"/>
    <x v="5"/>
    <n v="1"/>
    <n v="20"/>
    <n v="20"/>
    <n v="1"/>
  </r>
  <r>
    <n v="2682"/>
    <n v="2357"/>
    <n v="1"/>
    <x v="6"/>
    <d v="2024-07-28T00:00:00"/>
    <x v="6"/>
    <n v="9"/>
    <x v="2595"/>
    <x v="0"/>
    <x v="9"/>
    <n v="4"/>
    <n v="15"/>
    <n v="60"/>
    <n v="1"/>
  </r>
  <r>
    <n v="2683"/>
    <n v="2358"/>
    <n v="1"/>
    <x v="6"/>
    <d v="2024-07-28T00:00:00"/>
    <x v="6"/>
    <n v="14"/>
    <x v="2596"/>
    <x v="2"/>
    <x v="5"/>
    <n v="4"/>
    <n v="20"/>
    <n v="80"/>
    <n v="1"/>
  </r>
  <r>
    <n v="2684"/>
    <n v="2359"/>
    <n v="0.5"/>
    <x v="6"/>
    <d v="2024-07-28T00:00:00"/>
    <x v="6"/>
    <n v="11"/>
    <x v="2597"/>
    <x v="0"/>
    <x v="16"/>
    <n v="3"/>
    <n v="5"/>
    <n v="15"/>
    <n v="1"/>
  </r>
  <r>
    <n v="2685"/>
    <n v="2359"/>
    <n v="0.5"/>
    <x v="6"/>
    <d v="2024-07-28T00:00:00"/>
    <x v="6"/>
    <n v="14"/>
    <x v="2598"/>
    <x v="3"/>
    <x v="6"/>
    <n v="4"/>
    <n v="50"/>
    <n v="200"/>
    <n v="0"/>
  </r>
  <r>
    <n v="2686"/>
    <n v="2360"/>
    <n v="1"/>
    <x v="6"/>
    <d v="2024-07-28T00:00:00"/>
    <x v="6"/>
    <n v="16"/>
    <x v="2599"/>
    <x v="1"/>
    <x v="3"/>
    <n v="4"/>
    <n v="700"/>
    <n v="2800"/>
    <n v="1"/>
  </r>
  <r>
    <n v="2687"/>
    <n v="2361"/>
    <n v="1"/>
    <x v="6"/>
    <d v="2024-07-29T00:00:00"/>
    <x v="0"/>
    <n v="19"/>
    <x v="2600"/>
    <x v="1"/>
    <x v="1"/>
    <n v="4"/>
    <n v="650"/>
    <n v="2600"/>
    <n v="1"/>
  </r>
  <r>
    <n v="2688"/>
    <n v="2362"/>
    <n v="0.5"/>
    <x v="6"/>
    <d v="2024-07-29T00:00:00"/>
    <x v="0"/>
    <n v="17"/>
    <x v="1089"/>
    <x v="2"/>
    <x v="15"/>
    <n v="3"/>
    <n v="25"/>
    <n v="75"/>
    <n v="1"/>
  </r>
  <r>
    <n v="2689"/>
    <n v="2362"/>
    <n v="0.5"/>
    <x v="6"/>
    <d v="2024-07-29T00:00:00"/>
    <x v="0"/>
    <n v="20"/>
    <x v="2601"/>
    <x v="3"/>
    <x v="18"/>
    <n v="4"/>
    <n v="45"/>
    <n v="180"/>
    <n v="0"/>
  </r>
  <r>
    <n v="2690"/>
    <n v="2363"/>
    <n v="0.5"/>
    <x v="6"/>
    <d v="2024-07-29T00:00:00"/>
    <x v="0"/>
    <n v="15"/>
    <x v="2602"/>
    <x v="2"/>
    <x v="10"/>
    <n v="4"/>
    <n v="30"/>
    <n v="120"/>
    <n v="1"/>
  </r>
  <r>
    <n v="2691"/>
    <n v="2363"/>
    <n v="0.5"/>
    <x v="6"/>
    <d v="2024-07-29T00:00:00"/>
    <x v="0"/>
    <n v="13"/>
    <x v="34"/>
    <x v="0"/>
    <x v="0"/>
    <n v="3"/>
    <n v="20"/>
    <n v="60"/>
    <n v="0"/>
  </r>
  <r>
    <n v="2692"/>
    <n v="2364"/>
    <n v="1"/>
    <x v="6"/>
    <d v="2024-07-30T00:00:00"/>
    <x v="1"/>
    <n v="13"/>
    <x v="2603"/>
    <x v="3"/>
    <x v="13"/>
    <n v="2"/>
    <n v="55"/>
    <n v="110"/>
    <n v="1"/>
  </r>
  <r>
    <n v="2693"/>
    <n v="2365"/>
    <n v="0.33333333333333331"/>
    <x v="6"/>
    <d v="2024-07-30T00:00:00"/>
    <x v="1"/>
    <n v="16"/>
    <x v="2604"/>
    <x v="0"/>
    <x v="0"/>
    <n v="2"/>
    <n v="20"/>
    <n v="40"/>
    <n v="1"/>
  </r>
  <r>
    <n v="2694"/>
    <n v="2365"/>
    <n v="0.33333333333333331"/>
    <x v="6"/>
    <d v="2024-07-30T00:00:00"/>
    <x v="1"/>
    <n v="10"/>
    <x v="2605"/>
    <x v="1"/>
    <x v="12"/>
    <n v="5"/>
    <n v="1000"/>
    <n v="5000"/>
    <n v="0"/>
  </r>
  <r>
    <n v="2695"/>
    <n v="2365"/>
    <n v="0.33333333333333331"/>
    <x v="6"/>
    <d v="2024-07-30T00:00:00"/>
    <x v="1"/>
    <n v="14"/>
    <x v="2606"/>
    <x v="2"/>
    <x v="5"/>
    <n v="3"/>
    <n v="20"/>
    <n v="60"/>
    <n v="0"/>
  </r>
  <r>
    <n v="2696"/>
    <n v="2366"/>
    <n v="0.33333333333333331"/>
    <x v="6"/>
    <d v="2024-07-30T00:00:00"/>
    <x v="1"/>
    <n v="16"/>
    <x v="2607"/>
    <x v="3"/>
    <x v="14"/>
    <n v="2"/>
    <n v="40"/>
    <n v="80"/>
    <n v="1"/>
  </r>
  <r>
    <n v="2697"/>
    <n v="2366"/>
    <n v="0.33333333333333331"/>
    <x v="6"/>
    <d v="2024-07-30T00:00:00"/>
    <x v="1"/>
    <n v="15"/>
    <x v="2608"/>
    <x v="0"/>
    <x v="0"/>
    <n v="1"/>
    <n v="20"/>
    <n v="20"/>
    <n v="0"/>
  </r>
  <r>
    <n v="2698"/>
    <n v="2366"/>
    <n v="0.33333333333333331"/>
    <x v="6"/>
    <d v="2024-07-30T00:00:00"/>
    <x v="1"/>
    <n v="11"/>
    <x v="2609"/>
    <x v="3"/>
    <x v="18"/>
    <n v="3"/>
    <n v="45"/>
    <n v="135"/>
    <n v="0"/>
  </r>
  <r>
    <n v="2699"/>
    <n v="2367"/>
    <n v="0.33333333333333331"/>
    <x v="6"/>
    <d v="2024-07-30T00:00:00"/>
    <x v="1"/>
    <n v="17"/>
    <x v="2610"/>
    <x v="1"/>
    <x v="4"/>
    <n v="3"/>
    <n v="600"/>
    <n v="1800"/>
    <n v="1"/>
  </r>
  <r>
    <n v="2700"/>
    <n v="2367"/>
    <n v="0.33333333333333331"/>
    <x v="6"/>
    <d v="2024-07-30T00:00:00"/>
    <x v="1"/>
    <n v="9"/>
    <x v="2611"/>
    <x v="0"/>
    <x v="16"/>
    <n v="4"/>
    <n v="5"/>
    <n v="20"/>
    <n v="0"/>
  </r>
  <r>
    <n v="2701"/>
    <n v="2367"/>
    <n v="0.33333333333333331"/>
    <x v="6"/>
    <d v="2024-07-30T00:00:00"/>
    <x v="1"/>
    <n v="15"/>
    <x v="2612"/>
    <x v="0"/>
    <x v="8"/>
    <n v="4"/>
    <n v="10"/>
    <n v="40"/>
    <n v="0"/>
  </r>
  <r>
    <n v="2702"/>
    <n v="2368"/>
    <n v="1"/>
    <x v="6"/>
    <d v="2024-07-30T00:00:00"/>
    <x v="1"/>
    <n v="12"/>
    <x v="2613"/>
    <x v="3"/>
    <x v="18"/>
    <n v="2"/>
    <n v="45"/>
    <n v="90"/>
    <n v="1"/>
  </r>
  <r>
    <n v="2703"/>
    <n v="2369"/>
    <n v="1"/>
    <x v="6"/>
    <d v="2024-07-30T00:00:00"/>
    <x v="1"/>
    <n v="16"/>
    <x v="2614"/>
    <x v="0"/>
    <x v="8"/>
    <n v="2"/>
    <n v="10"/>
    <n v="20"/>
    <n v="1"/>
  </r>
  <r>
    <n v="2704"/>
    <n v="2370"/>
    <n v="1"/>
    <x v="6"/>
    <d v="2024-07-31T00:00:00"/>
    <x v="2"/>
    <n v="9"/>
    <x v="2615"/>
    <x v="3"/>
    <x v="17"/>
    <n v="4"/>
    <n v="60"/>
    <n v="240"/>
    <n v="1"/>
  </r>
  <r>
    <n v="2705"/>
    <n v="2371"/>
    <n v="0.33333333333333331"/>
    <x v="6"/>
    <d v="2024-07-31T00:00:00"/>
    <x v="2"/>
    <n v="10"/>
    <x v="2616"/>
    <x v="2"/>
    <x v="11"/>
    <n v="2"/>
    <n v="35"/>
    <n v="70"/>
    <n v="1"/>
  </r>
  <r>
    <n v="2706"/>
    <n v="2371"/>
    <n v="0.33333333333333331"/>
    <x v="6"/>
    <d v="2024-07-31T00:00:00"/>
    <x v="2"/>
    <n v="14"/>
    <x v="2617"/>
    <x v="1"/>
    <x v="2"/>
    <n v="1"/>
    <n v="680"/>
    <n v="680"/>
    <n v="0"/>
  </r>
  <r>
    <n v="2707"/>
    <n v="2371"/>
    <n v="0.33333333333333331"/>
    <x v="6"/>
    <d v="2024-07-31T00:00:00"/>
    <x v="2"/>
    <n v="14"/>
    <x v="2618"/>
    <x v="3"/>
    <x v="13"/>
    <n v="4"/>
    <n v="55"/>
    <n v="220"/>
    <n v="0"/>
  </r>
  <r>
    <n v="2708"/>
    <n v="2372"/>
    <n v="0.5"/>
    <x v="6"/>
    <d v="2024-07-31T00:00:00"/>
    <x v="2"/>
    <n v="17"/>
    <x v="2619"/>
    <x v="3"/>
    <x v="18"/>
    <n v="4"/>
    <n v="45"/>
    <n v="180"/>
    <n v="1"/>
  </r>
  <r>
    <n v="2709"/>
    <n v="2372"/>
    <n v="0.5"/>
    <x v="6"/>
    <d v="2024-07-31T00:00:00"/>
    <x v="2"/>
    <n v="10"/>
    <x v="2620"/>
    <x v="0"/>
    <x v="9"/>
    <n v="4"/>
    <n v="15"/>
    <n v="60"/>
    <n v="0"/>
  </r>
  <r>
    <n v="2710"/>
    <n v="2373"/>
    <n v="0.33333333333333331"/>
    <x v="6"/>
    <d v="2024-07-31T00:00:00"/>
    <x v="2"/>
    <n v="20"/>
    <x v="2621"/>
    <x v="1"/>
    <x v="1"/>
    <n v="5"/>
    <n v="650"/>
    <n v="3250"/>
    <n v="1"/>
  </r>
  <r>
    <n v="2711"/>
    <n v="2373"/>
    <n v="0.33333333333333331"/>
    <x v="6"/>
    <d v="2024-07-31T00:00:00"/>
    <x v="2"/>
    <n v="17"/>
    <x v="2622"/>
    <x v="3"/>
    <x v="6"/>
    <n v="5"/>
    <n v="50"/>
    <n v="250"/>
    <n v="0"/>
  </r>
  <r>
    <n v="2712"/>
    <n v="2373"/>
    <n v="0.33333333333333331"/>
    <x v="6"/>
    <d v="2024-07-31T00:00:00"/>
    <x v="2"/>
    <n v="10"/>
    <x v="2623"/>
    <x v="3"/>
    <x v="14"/>
    <n v="5"/>
    <n v="40"/>
    <n v="200"/>
    <n v="0"/>
  </r>
  <r>
    <n v="2713"/>
    <n v="2374"/>
    <n v="0.5"/>
    <x v="6"/>
    <d v="2024-07-31T00:00:00"/>
    <x v="2"/>
    <n v="12"/>
    <x v="2624"/>
    <x v="0"/>
    <x v="7"/>
    <n v="5"/>
    <n v="25"/>
    <n v="125"/>
    <n v="1"/>
  </r>
  <r>
    <n v="2714"/>
    <n v="2374"/>
    <n v="0.5"/>
    <x v="6"/>
    <d v="2024-07-31T00:00:00"/>
    <x v="2"/>
    <n v="15"/>
    <x v="2625"/>
    <x v="3"/>
    <x v="13"/>
    <n v="3"/>
    <n v="55"/>
    <n v="165"/>
    <n v="0"/>
  </r>
  <r>
    <n v="2715"/>
    <n v="2375"/>
    <n v="1"/>
    <x v="6"/>
    <d v="2024-07-31T00:00:00"/>
    <x v="2"/>
    <n v="15"/>
    <x v="2626"/>
    <x v="1"/>
    <x v="12"/>
    <n v="5"/>
    <n v="1000"/>
    <n v="5000"/>
    <n v="1"/>
  </r>
  <r>
    <n v="2716"/>
    <n v="2376"/>
    <n v="0.33333333333333331"/>
    <x v="6"/>
    <d v="2024-07-31T00:00:00"/>
    <x v="2"/>
    <n v="11"/>
    <x v="2627"/>
    <x v="2"/>
    <x v="5"/>
    <n v="5"/>
    <n v="20"/>
    <n v="100"/>
    <n v="1"/>
  </r>
  <r>
    <n v="2717"/>
    <n v="2376"/>
    <n v="0.33333333333333331"/>
    <x v="6"/>
    <d v="2024-07-31T00:00:00"/>
    <x v="2"/>
    <n v="20"/>
    <x v="2628"/>
    <x v="2"/>
    <x v="5"/>
    <n v="5"/>
    <n v="20"/>
    <n v="100"/>
    <n v="0"/>
  </r>
  <r>
    <n v="2718"/>
    <n v="2376"/>
    <n v="0.33333333333333331"/>
    <x v="6"/>
    <d v="2024-07-31T00:00:00"/>
    <x v="2"/>
    <n v="19"/>
    <x v="2629"/>
    <x v="3"/>
    <x v="13"/>
    <n v="5"/>
    <n v="55"/>
    <n v="275"/>
    <n v="0"/>
  </r>
  <r>
    <n v="2719"/>
    <n v="2377"/>
    <n v="0.33333333333333331"/>
    <x v="6"/>
    <d v="2024-07-31T00:00:00"/>
    <x v="2"/>
    <n v="14"/>
    <x v="2630"/>
    <x v="0"/>
    <x v="9"/>
    <n v="1"/>
    <n v="15"/>
    <n v="15"/>
    <n v="1"/>
  </r>
  <r>
    <n v="2720"/>
    <n v="2377"/>
    <n v="0.33333333333333331"/>
    <x v="6"/>
    <d v="2024-07-31T00:00:00"/>
    <x v="2"/>
    <n v="17"/>
    <x v="2631"/>
    <x v="3"/>
    <x v="6"/>
    <n v="1"/>
    <n v="50"/>
    <n v="50"/>
    <n v="0"/>
  </r>
  <r>
    <n v="2721"/>
    <n v="2377"/>
    <n v="0.33333333333333331"/>
    <x v="6"/>
    <d v="2024-07-31T00:00:00"/>
    <x v="2"/>
    <n v="20"/>
    <x v="1736"/>
    <x v="2"/>
    <x v="10"/>
    <n v="4"/>
    <n v="30"/>
    <n v="120"/>
    <n v="0"/>
  </r>
  <r>
    <n v="2722"/>
    <n v="2378"/>
    <n v="0.33333333333333331"/>
    <x v="7"/>
    <d v="2024-08-01T00:00:00"/>
    <x v="3"/>
    <n v="10"/>
    <x v="2632"/>
    <x v="1"/>
    <x v="2"/>
    <n v="2"/>
    <n v="680"/>
    <n v="1360"/>
    <n v="1"/>
  </r>
  <r>
    <n v="2723"/>
    <n v="2378"/>
    <n v="0.33333333333333331"/>
    <x v="7"/>
    <d v="2024-08-01T00:00:00"/>
    <x v="3"/>
    <n v="11"/>
    <x v="2633"/>
    <x v="0"/>
    <x v="8"/>
    <n v="5"/>
    <n v="10"/>
    <n v="50"/>
    <n v="0"/>
  </r>
  <r>
    <n v="2724"/>
    <n v="2378"/>
    <n v="0.33333333333333331"/>
    <x v="7"/>
    <d v="2024-08-01T00:00:00"/>
    <x v="3"/>
    <n v="15"/>
    <x v="2634"/>
    <x v="1"/>
    <x v="12"/>
    <n v="1"/>
    <n v="1000"/>
    <n v="1000"/>
    <n v="0"/>
  </r>
  <r>
    <n v="2725"/>
    <n v="2379"/>
    <n v="1"/>
    <x v="7"/>
    <d v="2024-08-01T00:00:00"/>
    <x v="3"/>
    <n v="17"/>
    <x v="2635"/>
    <x v="3"/>
    <x v="14"/>
    <n v="2"/>
    <n v="40"/>
    <n v="80"/>
    <n v="1"/>
  </r>
  <r>
    <n v="2726"/>
    <n v="2380"/>
    <n v="0.33333333333333331"/>
    <x v="7"/>
    <d v="2024-08-01T00:00:00"/>
    <x v="3"/>
    <n v="10"/>
    <x v="2636"/>
    <x v="1"/>
    <x v="2"/>
    <n v="1"/>
    <n v="680"/>
    <n v="680"/>
    <n v="1"/>
  </r>
  <r>
    <n v="2727"/>
    <n v="2380"/>
    <n v="0.33333333333333331"/>
    <x v="7"/>
    <d v="2024-08-01T00:00:00"/>
    <x v="3"/>
    <n v="18"/>
    <x v="1684"/>
    <x v="2"/>
    <x v="11"/>
    <n v="1"/>
    <n v="35"/>
    <n v="35"/>
    <n v="0"/>
  </r>
  <r>
    <n v="2728"/>
    <n v="2380"/>
    <n v="0.33333333333333331"/>
    <x v="7"/>
    <d v="2024-08-01T00:00:00"/>
    <x v="3"/>
    <n v="20"/>
    <x v="2637"/>
    <x v="3"/>
    <x v="14"/>
    <n v="2"/>
    <n v="40"/>
    <n v="80"/>
    <n v="0"/>
  </r>
  <r>
    <n v="2729"/>
    <n v="2381"/>
    <n v="0.33333333333333331"/>
    <x v="7"/>
    <d v="2024-08-01T00:00:00"/>
    <x v="3"/>
    <n v="17"/>
    <x v="2638"/>
    <x v="2"/>
    <x v="11"/>
    <n v="5"/>
    <n v="35"/>
    <n v="175"/>
    <n v="1"/>
  </r>
  <r>
    <n v="2730"/>
    <n v="2381"/>
    <n v="0.33333333333333331"/>
    <x v="7"/>
    <d v="2024-08-01T00:00:00"/>
    <x v="3"/>
    <n v="20"/>
    <x v="2639"/>
    <x v="3"/>
    <x v="6"/>
    <n v="4"/>
    <n v="50"/>
    <n v="200"/>
    <n v="0"/>
  </r>
  <r>
    <n v="2731"/>
    <n v="2381"/>
    <n v="0.33333333333333331"/>
    <x v="7"/>
    <d v="2024-08-01T00:00:00"/>
    <x v="3"/>
    <n v="15"/>
    <x v="2640"/>
    <x v="3"/>
    <x v="18"/>
    <n v="5"/>
    <n v="45"/>
    <n v="225"/>
    <n v="0"/>
  </r>
  <r>
    <n v="2732"/>
    <n v="2382"/>
    <n v="1"/>
    <x v="7"/>
    <d v="2024-08-01T00:00:00"/>
    <x v="3"/>
    <n v="12"/>
    <x v="2641"/>
    <x v="0"/>
    <x v="8"/>
    <n v="1"/>
    <n v="10"/>
    <n v="10"/>
    <n v="1"/>
  </r>
  <r>
    <n v="2733"/>
    <n v="2383"/>
    <n v="0.5"/>
    <x v="7"/>
    <d v="2024-08-01T00:00:00"/>
    <x v="3"/>
    <n v="12"/>
    <x v="2642"/>
    <x v="0"/>
    <x v="9"/>
    <n v="5"/>
    <n v="15"/>
    <n v="75"/>
    <n v="1"/>
  </r>
  <r>
    <n v="2734"/>
    <n v="2383"/>
    <n v="0.5"/>
    <x v="7"/>
    <d v="2024-08-01T00:00:00"/>
    <x v="3"/>
    <n v="19"/>
    <x v="2643"/>
    <x v="0"/>
    <x v="7"/>
    <n v="3"/>
    <n v="25"/>
    <n v="75"/>
    <n v="0"/>
  </r>
  <r>
    <n v="2735"/>
    <n v="2384"/>
    <n v="0.5"/>
    <x v="7"/>
    <d v="2024-08-01T00:00:00"/>
    <x v="3"/>
    <n v="19"/>
    <x v="2644"/>
    <x v="3"/>
    <x v="17"/>
    <n v="1"/>
    <n v="60"/>
    <n v="60"/>
    <n v="1"/>
  </r>
  <r>
    <n v="2736"/>
    <n v="2384"/>
    <n v="0.5"/>
    <x v="7"/>
    <d v="2024-08-01T00:00:00"/>
    <x v="3"/>
    <n v="16"/>
    <x v="2645"/>
    <x v="3"/>
    <x v="13"/>
    <n v="3"/>
    <n v="55"/>
    <n v="165"/>
    <n v="0"/>
  </r>
  <r>
    <n v="2737"/>
    <n v="2385"/>
    <n v="0.33333333333333331"/>
    <x v="7"/>
    <d v="2024-08-01T00:00:00"/>
    <x v="3"/>
    <n v="18"/>
    <x v="440"/>
    <x v="3"/>
    <x v="13"/>
    <n v="1"/>
    <n v="55"/>
    <n v="55"/>
    <n v="1"/>
  </r>
  <r>
    <n v="2738"/>
    <n v="2385"/>
    <n v="0.33333333333333331"/>
    <x v="7"/>
    <d v="2024-08-01T00:00:00"/>
    <x v="3"/>
    <n v="17"/>
    <x v="2646"/>
    <x v="0"/>
    <x v="7"/>
    <n v="3"/>
    <n v="25"/>
    <n v="75"/>
    <n v="0"/>
  </r>
  <r>
    <n v="2739"/>
    <n v="2385"/>
    <n v="0.33333333333333331"/>
    <x v="7"/>
    <d v="2024-08-01T00:00:00"/>
    <x v="3"/>
    <n v="12"/>
    <x v="2647"/>
    <x v="1"/>
    <x v="4"/>
    <n v="5"/>
    <n v="600"/>
    <n v="3000"/>
    <n v="0"/>
  </r>
  <r>
    <n v="2740"/>
    <n v="2386"/>
    <n v="1"/>
    <x v="7"/>
    <d v="2024-08-01T00:00:00"/>
    <x v="3"/>
    <n v="11"/>
    <x v="2648"/>
    <x v="1"/>
    <x v="2"/>
    <n v="4"/>
    <n v="680"/>
    <n v="2720"/>
    <n v="1"/>
  </r>
  <r>
    <n v="2741"/>
    <n v="2387"/>
    <n v="0.33333333333333331"/>
    <x v="7"/>
    <d v="2024-08-01T00:00:00"/>
    <x v="3"/>
    <n v="10"/>
    <x v="2649"/>
    <x v="0"/>
    <x v="8"/>
    <n v="1"/>
    <n v="10"/>
    <n v="10"/>
    <n v="1"/>
  </r>
  <r>
    <n v="2742"/>
    <n v="2387"/>
    <n v="0.33333333333333331"/>
    <x v="7"/>
    <d v="2024-08-01T00:00:00"/>
    <x v="3"/>
    <n v="20"/>
    <x v="2650"/>
    <x v="2"/>
    <x v="15"/>
    <n v="3"/>
    <n v="25"/>
    <n v="75"/>
    <n v="0"/>
  </r>
  <r>
    <n v="2743"/>
    <n v="2387"/>
    <n v="0.33333333333333331"/>
    <x v="7"/>
    <d v="2024-08-01T00:00:00"/>
    <x v="3"/>
    <n v="9"/>
    <x v="2651"/>
    <x v="2"/>
    <x v="15"/>
    <n v="2"/>
    <n v="25"/>
    <n v="50"/>
    <n v="0"/>
  </r>
  <r>
    <n v="2744"/>
    <n v="2388"/>
    <n v="0.33333333333333331"/>
    <x v="7"/>
    <d v="2024-08-02T00:00:00"/>
    <x v="4"/>
    <n v="19"/>
    <x v="2652"/>
    <x v="0"/>
    <x v="8"/>
    <n v="1"/>
    <n v="10"/>
    <n v="10"/>
    <n v="1"/>
  </r>
  <r>
    <n v="2745"/>
    <n v="2388"/>
    <n v="0.33333333333333331"/>
    <x v="7"/>
    <d v="2024-08-02T00:00:00"/>
    <x v="4"/>
    <n v="19"/>
    <x v="2653"/>
    <x v="0"/>
    <x v="7"/>
    <n v="3"/>
    <n v="25"/>
    <n v="75"/>
    <n v="0"/>
  </r>
  <r>
    <n v="2746"/>
    <n v="2388"/>
    <n v="0.33333333333333331"/>
    <x v="7"/>
    <d v="2024-08-02T00:00:00"/>
    <x v="4"/>
    <n v="9"/>
    <x v="2654"/>
    <x v="2"/>
    <x v="15"/>
    <n v="2"/>
    <n v="25"/>
    <n v="50"/>
    <n v="0"/>
  </r>
  <r>
    <n v="2747"/>
    <n v="2389"/>
    <n v="0.5"/>
    <x v="7"/>
    <d v="2024-08-02T00:00:00"/>
    <x v="4"/>
    <n v="13"/>
    <x v="2655"/>
    <x v="2"/>
    <x v="15"/>
    <n v="4"/>
    <n v="25"/>
    <n v="100"/>
    <n v="1"/>
  </r>
  <r>
    <n v="2748"/>
    <n v="2389"/>
    <n v="0.5"/>
    <x v="7"/>
    <d v="2024-08-02T00:00:00"/>
    <x v="4"/>
    <n v="11"/>
    <x v="2656"/>
    <x v="1"/>
    <x v="4"/>
    <n v="3"/>
    <n v="600"/>
    <n v="1800"/>
    <n v="0"/>
  </r>
  <r>
    <n v="2749"/>
    <n v="2390"/>
    <n v="0.33333333333333331"/>
    <x v="7"/>
    <d v="2024-08-02T00:00:00"/>
    <x v="4"/>
    <n v="18"/>
    <x v="2657"/>
    <x v="3"/>
    <x v="13"/>
    <n v="2"/>
    <n v="55"/>
    <n v="110"/>
    <n v="1"/>
  </r>
  <r>
    <n v="2750"/>
    <n v="2390"/>
    <n v="0.33333333333333331"/>
    <x v="7"/>
    <d v="2024-08-02T00:00:00"/>
    <x v="4"/>
    <n v="14"/>
    <x v="2658"/>
    <x v="0"/>
    <x v="7"/>
    <n v="4"/>
    <n v="25"/>
    <n v="100"/>
    <n v="0"/>
  </r>
  <r>
    <n v="2751"/>
    <n v="2390"/>
    <n v="0.33333333333333331"/>
    <x v="7"/>
    <d v="2024-08-02T00:00:00"/>
    <x v="4"/>
    <n v="13"/>
    <x v="2659"/>
    <x v="1"/>
    <x v="4"/>
    <n v="4"/>
    <n v="600"/>
    <n v="2400"/>
    <n v="0"/>
  </r>
  <r>
    <n v="2752"/>
    <n v="2391"/>
    <n v="1"/>
    <x v="7"/>
    <d v="2024-08-02T00:00:00"/>
    <x v="4"/>
    <n v="19"/>
    <x v="2660"/>
    <x v="3"/>
    <x v="17"/>
    <n v="2"/>
    <n v="60"/>
    <n v="120"/>
    <n v="1"/>
  </r>
  <r>
    <n v="2753"/>
    <n v="2392"/>
    <n v="0.33333333333333331"/>
    <x v="7"/>
    <d v="2024-08-02T00:00:00"/>
    <x v="4"/>
    <n v="18"/>
    <x v="2661"/>
    <x v="2"/>
    <x v="5"/>
    <n v="4"/>
    <n v="20"/>
    <n v="80"/>
    <n v="1"/>
  </r>
  <r>
    <n v="2754"/>
    <n v="2392"/>
    <n v="0.33333333333333331"/>
    <x v="7"/>
    <d v="2024-08-02T00:00:00"/>
    <x v="4"/>
    <n v="19"/>
    <x v="2662"/>
    <x v="1"/>
    <x v="2"/>
    <n v="3"/>
    <n v="680"/>
    <n v="2040"/>
    <n v="0"/>
  </r>
  <r>
    <n v="2755"/>
    <n v="2392"/>
    <n v="0.33333333333333331"/>
    <x v="7"/>
    <d v="2024-08-02T00:00:00"/>
    <x v="4"/>
    <n v="13"/>
    <x v="2663"/>
    <x v="3"/>
    <x v="17"/>
    <n v="1"/>
    <n v="60"/>
    <n v="60"/>
    <n v="0"/>
  </r>
  <r>
    <n v="2756"/>
    <n v="2393"/>
    <n v="0.33333333333333331"/>
    <x v="7"/>
    <d v="2024-08-02T00:00:00"/>
    <x v="4"/>
    <n v="20"/>
    <x v="2664"/>
    <x v="0"/>
    <x v="16"/>
    <n v="3"/>
    <n v="5"/>
    <n v="15"/>
    <n v="1"/>
  </r>
  <r>
    <n v="2757"/>
    <n v="2393"/>
    <n v="0.33333333333333331"/>
    <x v="7"/>
    <d v="2024-08-02T00:00:00"/>
    <x v="4"/>
    <n v="18"/>
    <x v="2665"/>
    <x v="2"/>
    <x v="5"/>
    <n v="1"/>
    <n v="20"/>
    <n v="20"/>
    <n v="0"/>
  </r>
  <r>
    <n v="2758"/>
    <n v="2393"/>
    <n v="0.33333333333333331"/>
    <x v="7"/>
    <d v="2024-08-02T00:00:00"/>
    <x v="4"/>
    <n v="16"/>
    <x v="2666"/>
    <x v="0"/>
    <x v="9"/>
    <n v="1"/>
    <n v="15"/>
    <n v="15"/>
    <n v="0"/>
  </r>
  <r>
    <n v="2759"/>
    <n v="2394"/>
    <n v="0.5"/>
    <x v="7"/>
    <d v="2024-08-02T00:00:00"/>
    <x v="4"/>
    <n v="19"/>
    <x v="2667"/>
    <x v="1"/>
    <x v="2"/>
    <n v="5"/>
    <n v="680"/>
    <n v="3400"/>
    <n v="1"/>
  </r>
  <r>
    <n v="2760"/>
    <n v="2394"/>
    <n v="0.5"/>
    <x v="7"/>
    <d v="2024-08-02T00:00:00"/>
    <x v="4"/>
    <n v="11"/>
    <x v="2668"/>
    <x v="2"/>
    <x v="15"/>
    <n v="2"/>
    <n v="25"/>
    <n v="50"/>
    <n v="0"/>
  </r>
  <r>
    <n v="2761"/>
    <n v="2395"/>
    <n v="1"/>
    <x v="7"/>
    <d v="2024-08-02T00:00:00"/>
    <x v="4"/>
    <n v="15"/>
    <x v="2669"/>
    <x v="1"/>
    <x v="3"/>
    <n v="4"/>
    <n v="700"/>
    <n v="2800"/>
    <n v="1"/>
  </r>
  <r>
    <n v="2762"/>
    <n v="2396"/>
    <n v="1"/>
    <x v="7"/>
    <d v="2024-08-03T00:00:00"/>
    <x v="5"/>
    <n v="16"/>
    <x v="2670"/>
    <x v="3"/>
    <x v="18"/>
    <n v="5"/>
    <n v="45"/>
    <n v="225"/>
    <n v="1"/>
  </r>
  <r>
    <n v="2763"/>
    <n v="2397"/>
    <n v="1"/>
    <x v="7"/>
    <d v="2024-08-03T00:00:00"/>
    <x v="5"/>
    <n v="15"/>
    <x v="2671"/>
    <x v="2"/>
    <x v="15"/>
    <n v="1"/>
    <n v="25"/>
    <n v="25"/>
    <n v="1"/>
  </r>
  <r>
    <n v="2764"/>
    <n v="2398"/>
    <n v="1"/>
    <x v="7"/>
    <d v="2024-08-03T00:00:00"/>
    <x v="5"/>
    <n v="15"/>
    <x v="2672"/>
    <x v="2"/>
    <x v="11"/>
    <n v="1"/>
    <n v="35"/>
    <n v="35"/>
    <n v="1"/>
  </r>
  <r>
    <n v="2765"/>
    <n v="2399"/>
    <n v="0.33333333333333331"/>
    <x v="7"/>
    <d v="2024-08-03T00:00:00"/>
    <x v="5"/>
    <n v="17"/>
    <x v="2673"/>
    <x v="2"/>
    <x v="10"/>
    <n v="1"/>
    <n v="30"/>
    <n v="30"/>
    <n v="1"/>
  </r>
  <r>
    <n v="2766"/>
    <n v="2399"/>
    <n v="0.33333333333333331"/>
    <x v="7"/>
    <d v="2024-08-03T00:00:00"/>
    <x v="5"/>
    <n v="19"/>
    <x v="2674"/>
    <x v="0"/>
    <x v="7"/>
    <n v="4"/>
    <n v="25"/>
    <n v="100"/>
    <n v="0"/>
  </r>
  <r>
    <n v="2767"/>
    <n v="2399"/>
    <n v="0.33333333333333331"/>
    <x v="7"/>
    <d v="2024-08-03T00:00:00"/>
    <x v="5"/>
    <n v="9"/>
    <x v="2675"/>
    <x v="3"/>
    <x v="17"/>
    <n v="1"/>
    <n v="60"/>
    <n v="60"/>
    <n v="0"/>
  </r>
  <r>
    <n v="2768"/>
    <n v="2400"/>
    <n v="0.5"/>
    <x v="7"/>
    <d v="2024-08-03T00:00:00"/>
    <x v="5"/>
    <n v="13"/>
    <x v="2676"/>
    <x v="2"/>
    <x v="11"/>
    <n v="2"/>
    <n v="35"/>
    <n v="70"/>
    <n v="1"/>
  </r>
  <r>
    <n v="2769"/>
    <n v="2400"/>
    <n v="0.5"/>
    <x v="7"/>
    <d v="2024-08-03T00:00:00"/>
    <x v="5"/>
    <n v="19"/>
    <x v="2677"/>
    <x v="1"/>
    <x v="1"/>
    <n v="1"/>
    <n v="650"/>
    <n v="650"/>
    <n v="0"/>
  </r>
  <r>
    <n v="2770"/>
    <n v="2401"/>
    <n v="0.33333333333333331"/>
    <x v="7"/>
    <d v="2024-08-03T00:00:00"/>
    <x v="5"/>
    <n v="10"/>
    <x v="2678"/>
    <x v="1"/>
    <x v="1"/>
    <n v="4"/>
    <n v="650"/>
    <n v="2600"/>
    <n v="1"/>
  </r>
  <r>
    <n v="2771"/>
    <n v="2401"/>
    <n v="0.33333333333333331"/>
    <x v="7"/>
    <d v="2024-08-03T00:00:00"/>
    <x v="5"/>
    <n v="14"/>
    <x v="2679"/>
    <x v="0"/>
    <x v="9"/>
    <n v="4"/>
    <n v="15"/>
    <n v="60"/>
    <n v="0"/>
  </r>
  <r>
    <n v="2772"/>
    <n v="2401"/>
    <n v="0.33333333333333331"/>
    <x v="7"/>
    <d v="2024-08-03T00:00:00"/>
    <x v="5"/>
    <n v="16"/>
    <x v="2680"/>
    <x v="1"/>
    <x v="12"/>
    <n v="4"/>
    <n v="1000"/>
    <n v="4000"/>
    <n v="0"/>
  </r>
  <r>
    <n v="2773"/>
    <n v="2402"/>
    <n v="1"/>
    <x v="7"/>
    <d v="2024-08-03T00:00:00"/>
    <x v="5"/>
    <n v="13"/>
    <x v="2681"/>
    <x v="1"/>
    <x v="1"/>
    <n v="4"/>
    <n v="650"/>
    <n v="2600"/>
    <n v="1"/>
  </r>
  <r>
    <n v="2774"/>
    <n v="2403"/>
    <n v="0.5"/>
    <x v="7"/>
    <d v="2024-08-04T00:00:00"/>
    <x v="6"/>
    <n v="18"/>
    <x v="2682"/>
    <x v="0"/>
    <x v="7"/>
    <n v="3"/>
    <n v="25"/>
    <n v="75"/>
    <n v="1"/>
  </r>
  <r>
    <n v="2775"/>
    <n v="2403"/>
    <n v="0.5"/>
    <x v="7"/>
    <d v="2024-08-04T00:00:00"/>
    <x v="6"/>
    <n v="11"/>
    <x v="2683"/>
    <x v="2"/>
    <x v="10"/>
    <n v="1"/>
    <n v="30"/>
    <n v="30"/>
    <n v="0"/>
  </r>
  <r>
    <n v="2776"/>
    <n v="2404"/>
    <n v="0.33333333333333331"/>
    <x v="7"/>
    <d v="2024-08-04T00:00:00"/>
    <x v="6"/>
    <n v="15"/>
    <x v="2684"/>
    <x v="3"/>
    <x v="18"/>
    <n v="1"/>
    <n v="45"/>
    <n v="45"/>
    <n v="1"/>
  </r>
  <r>
    <n v="2777"/>
    <n v="2404"/>
    <n v="0.33333333333333331"/>
    <x v="7"/>
    <d v="2024-08-04T00:00:00"/>
    <x v="6"/>
    <n v="13"/>
    <x v="1792"/>
    <x v="1"/>
    <x v="1"/>
    <n v="2"/>
    <n v="650"/>
    <n v="1300"/>
    <n v="0"/>
  </r>
  <r>
    <n v="2778"/>
    <n v="2404"/>
    <n v="0.33333333333333331"/>
    <x v="7"/>
    <d v="2024-08-04T00:00:00"/>
    <x v="6"/>
    <n v="11"/>
    <x v="2685"/>
    <x v="0"/>
    <x v="16"/>
    <n v="2"/>
    <n v="5"/>
    <n v="10"/>
    <n v="0"/>
  </r>
  <r>
    <n v="2779"/>
    <n v="2405"/>
    <n v="1"/>
    <x v="7"/>
    <d v="2024-08-04T00:00:00"/>
    <x v="6"/>
    <n v="9"/>
    <x v="2686"/>
    <x v="3"/>
    <x v="13"/>
    <n v="4"/>
    <n v="55"/>
    <n v="220"/>
    <n v="1"/>
  </r>
  <r>
    <n v="2780"/>
    <n v="2406"/>
    <n v="0.33333333333333331"/>
    <x v="7"/>
    <d v="2024-08-04T00:00:00"/>
    <x v="6"/>
    <n v="18"/>
    <x v="2687"/>
    <x v="3"/>
    <x v="6"/>
    <n v="5"/>
    <n v="50"/>
    <n v="250"/>
    <n v="1"/>
  </r>
  <r>
    <n v="2781"/>
    <n v="2406"/>
    <n v="0.33333333333333331"/>
    <x v="7"/>
    <d v="2024-08-04T00:00:00"/>
    <x v="6"/>
    <n v="20"/>
    <x v="2688"/>
    <x v="2"/>
    <x v="10"/>
    <n v="5"/>
    <n v="30"/>
    <n v="150"/>
    <n v="0"/>
  </r>
  <r>
    <n v="2782"/>
    <n v="2406"/>
    <n v="0.33333333333333331"/>
    <x v="7"/>
    <d v="2024-08-04T00:00:00"/>
    <x v="6"/>
    <n v="12"/>
    <x v="2689"/>
    <x v="2"/>
    <x v="15"/>
    <n v="4"/>
    <n v="25"/>
    <n v="100"/>
    <n v="0"/>
  </r>
  <r>
    <n v="2783"/>
    <n v="2407"/>
    <n v="0.33333333333333331"/>
    <x v="7"/>
    <d v="2024-08-04T00:00:00"/>
    <x v="6"/>
    <n v="9"/>
    <x v="2690"/>
    <x v="3"/>
    <x v="6"/>
    <n v="1"/>
    <n v="50"/>
    <n v="50"/>
    <n v="1"/>
  </r>
  <r>
    <n v="2784"/>
    <n v="2407"/>
    <n v="0.33333333333333331"/>
    <x v="7"/>
    <d v="2024-08-04T00:00:00"/>
    <x v="6"/>
    <n v="20"/>
    <x v="2691"/>
    <x v="3"/>
    <x v="6"/>
    <n v="5"/>
    <n v="50"/>
    <n v="250"/>
    <n v="0"/>
  </r>
  <r>
    <n v="2785"/>
    <n v="2407"/>
    <n v="0.33333333333333331"/>
    <x v="7"/>
    <d v="2024-08-04T00:00:00"/>
    <x v="6"/>
    <n v="9"/>
    <x v="2692"/>
    <x v="0"/>
    <x v="9"/>
    <n v="3"/>
    <n v="15"/>
    <n v="45"/>
    <n v="0"/>
  </r>
  <r>
    <n v="2786"/>
    <n v="2408"/>
    <n v="1"/>
    <x v="7"/>
    <d v="2024-08-04T00:00:00"/>
    <x v="6"/>
    <n v="16"/>
    <x v="2693"/>
    <x v="3"/>
    <x v="17"/>
    <n v="1"/>
    <n v="60"/>
    <n v="60"/>
    <n v="1"/>
  </r>
  <r>
    <n v="2787"/>
    <n v="2409"/>
    <n v="1"/>
    <x v="7"/>
    <d v="2024-08-05T00:00:00"/>
    <x v="0"/>
    <n v="18"/>
    <x v="2118"/>
    <x v="0"/>
    <x v="7"/>
    <n v="3"/>
    <n v="25"/>
    <n v="75"/>
    <n v="1"/>
  </r>
  <r>
    <n v="2788"/>
    <n v="2410"/>
    <n v="0.33333333333333331"/>
    <x v="7"/>
    <d v="2024-08-05T00:00:00"/>
    <x v="0"/>
    <n v="20"/>
    <x v="2694"/>
    <x v="3"/>
    <x v="17"/>
    <n v="4"/>
    <n v="60"/>
    <n v="240"/>
    <n v="1"/>
  </r>
  <r>
    <n v="2789"/>
    <n v="2410"/>
    <n v="0.33333333333333331"/>
    <x v="7"/>
    <d v="2024-08-05T00:00:00"/>
    <x v="0"/>
    <n v="9"/>
    <x v="2695"/>
    <x v="0"/>
    <x v="9"/>
    <n v="5"/>
    <n v="15"/>
    <n v="75"/>
    <n v="0"/>
  </r>
  <r>
    <n v="2790"/>
    <n v="2410"/>
    <n v="0.33333333333333331"/>
    <x v="7"/>
    <d v="2024-08-05T00:00:00"/>
    <x v="0"/>
    <n v="18"/>
    <x v="2696"/>
    <x v="3"/>
    <x v="14"/>
    <n v="4"/>
    <n v="40"/>
    <n v="160"/>
    <n v="0"/>
  </r>
  <r>
    <n v="2791"/>
    <n v="2411"/>
    <n v="0.33333333333333331"/>
    <x v="7"/>
    <d v="2024-08-05T00:00:00"/>
    <x v="0"/>
    <n v="9"/>
    <x v="2697"/>
    <x v="0"/>
    <x v="0"/>
    <n v="3"/>
    <n v="20"/>
    <n v="60"/>
    <n v="1"/>
  </r>
  <r>
    <n v="2792"/>
    <n v="2411"/>
    <n v="0.33333333333333331"/>
    <x v="7"/>
    <d v="2024-08-05T00:00:00"/>
    <x v="0"/>
    <n v="15"/>
    <x v="2698"/>
    <x v="3"/>
    <x v="13"/>
    <n v="2"/>
    <n v="55"/>
    <n v="110"/>
    <n v="0"/>
  </r>
  <r>
    <n v="2793"/>
    <n v="2411"/>
    <n v="0.33333333333333331"/>
    <x v="7"/>
    <d v="2024-08-05T00:00:00"/>
    <x v="0"/>
    <n v="11"/>
    <x v="2699"/>
    <x v="3"/>
    <x v="14"/>
    <n v="5"/>
    <n v="40"/>
    <n v="200"/>
    <n v="0"/>
  </r>
  <r>
    <n v="2794"/>
    <n v="2412"/>
    <n v="0.33333333333333331"/>
    <x v="7"/>
    <d v="2024-08-05T00:00:00"/>
    <x v="0"/>
    <n v="12"/>
    <x v="2700"/>
    <x v="2"/>
    <x v="15"/>
    <n v="3"/>
    <n v="25"/>
    <n v="75"/>
    <n v="1"/>
  </r>
  <r>
    <n v="2795"/>
    <n v="2412"/>
    <n v="0.33333333333333331"/>
    <x v="7"/>
    <d v="2024-08-05T00:00:00"/>
    <x v="0"/>
    <n v="14"/>
    <x v="2701"/>
    <x v="3"/>
    <x v="14"/>
    <n v="3"/>
    <n v="40"/>
    <n v="120"/>
    <n v="0"/>
  </r>
  <r>
    <n v="2796"/>
    <n v="2412"/>
    <n v="0.33333333333333331"/>
    <x v="7"/>
    <d v="2024-08-05T00:00:00"/>
    <x v="0"/>
    <n v="20"/>
    <x v="2702"/>
    <x v="1"/>
    <x v="4"/>
    <n v="1"/>
    <n v="600"/>
    <n v="600"/>
    <n v="0"/>
  </r>
  <r>
    <n v="2797"/>
    <n v="2413"/>
    <n v="0.33333333333333331"/>
    <x v="7"/>
    <d v="2024-08-05T00:00:00"/>
    <x v="0"/>
    <n v="17"/>
    <x v="2703"/>
    <x v="1"/>
    <x v="12"/>
    <n v="1"/>
    <n v="1000"/>
    <n v="1000"/>
    <n v="1"/>
  </r>
  <r>
    <n v="2798"/>
    <n v="2413"/>
    <n v="0.33333333333333331"/>
    <x v="7"/>
    <d v="2024-08-05T00:00:00"/>
    <x v="0"/>
    <n v="19"/>
    <x v="2704"/>
    <x v="1"/>
    <x v="1"/>
    <n v="2"/>
    <n v="650"/>
    <n v="1300"/>
    <n v="0"/>
  </r>
  <r>
    <n v="2799"/>
    <n v="2413"/>
    <n v="0.33333333333333331"/>
    <x v="7"/>
    <d v="2024-08-05T00:00:00"/>
    <x v="0"/>
    <n v="10"/>
    <x v="2056"/>
    <x v="1"/>
    <x v="12"/>
    <n v="2"/>
    <n v="1000"/>
    <n v="2000"/>
    <n v="0"/>
  </r>
  <r>
    <n v="2800"/>
    <n v="2414"/>
    <n v="0.33333333333333331"/>
    <x v="7"/>
    <d v="2024-08-05T00:00:00"/>
    <x v="0"/>
    <n v="16"/>
    <x v="2705"/>
    <x v="3"/>
    <x v="18"/>
    <n v="2"/>
    <n v="45"/>
    <n v="90"/>
    <n v="1"/>
  </r>
  <r>
    <n v="2801"/>
    <n v="2414"/>
    <n v="0.33333333333333331"/>
    <x v="7"/>
    <d v="2024-08-05T00:00:00"/>
    <x v="0"/>
    <n v="14"/>
    <x v="2706"/>
    <x v="2"/>
    <x v="5"/>
    <n v="3"/>
    <n v="20"/>
    <n v="60"/>
    <n v="0"/>
  </r>
  <r>
    <n v="2802"/>
    <n v="2414"/>
    <n v="0.33333333333333331"/>
    <x v="7"/>
    <d v="2024-08-05T00:00:00"/>
    <x v="0"/>
    <n v="13"/>
    <x v="2707"/>
    <x v="1"/>
    <x v="12"/>
    <n v="3"/>
    <n v="1000"/>
    <n v="3000"/>
    <n v="0"/>
  </r>
  <r>
    <n v="2803"/>
    <n v="2415"/>
    <n v="1"/>
    <x v="7"/>
    <d v="2024-08-05T00:00:00"/>
    <x v="0"/>
    <n v="10"/>
    <x v="2708"/>
    <x v="3"/>
    <x v="14"/>
    <n v="4"/>
    <n v="40"/>
    <n v="160"/>
    <n v="1"/>
  </r>
  <r>
    <n v="2804"/>
    <n v="2416"/>
    <n v="0.5"/>
    <x v="7"/>
    <d v="2024-08-05T00:00:00"/>
    <x v="0"/>
    <n v="19"/>
    <x v="2709"/>
    <x v="3"/>
    <x v="6"/>
    <n v="1"/>
    <n v="50"/>
    <n v="50"/>
    <n v="1"/>
  </r>
  <r>
    <n v="2805"/>
    <n v="2416"/>
    <n v="0.5"/>
    <x v="7"/>
    <d v="2024-08-05T00:00:00"/>
    <x v="0"/>
    <n v="12"/>
    <x v="2710"/>
    <x v="0"/>
    <x v="8"/>
    <n v="4"/>
    <n v="10"/>
    <n v="40"/>
    <n v="0"/>
  </r>
  <r>
    <n v="2806"/>
    <n v="2417"/>
    <n v="1"/>
    <x v="7"/>
    <d v="2024-08-05T00:00:00"/>
    <x v="0"/>
    <n v="14"/>
    <x v="2711"/>
    <x v="1"/>
    <x v="12"/>
    <n v="3"/>
    <n v="1000"/>
    <n v="3000"/>
    <n v="1"/>
  </r>
  <r>
    <n v="2807"/>
    <n v="2418"/>
    <n v="0.5"/>
    <x v="7"/>
    <d v="2024-08-06T00:00:00"/>
    <x v="1"/>
    <n v="11"/>
    <x v="2712"/>
    <x v="1"/>
    <x v="1"/>
    <n v="3"/>
    <n v="650"/>
    <n v="1950"/>
    <n v="1"/>
  </r>
  <r>
    <n v="2808"/>
    <n v="2418"/>
    <n v="0.5"/>
    <x v="7"/>
    <d v="2024-08-06T00:00:00"/>
    <x v="1"/>
    <n v="19"/>
    <x v="2713"/>
    <x v="1"/>
    <x v="1"/>
    <n v="4"/>
    <n v="650"/>
    <n v="2600"/>
    <n v="0"/>
  </r>
  <r>
    <n v="2809"/>
    <n v="2419"/>
    <n v="0.33333333333333331"/>
    <x v="7"/>
    <d v="2024-08-06T00:00:00"/>
    <x v="1"/>
    <n v="20"/>
    <x v="2714"/>
    <x v="0"/>
    <x v="7"/>
    <n v="4"/>
    <n v="25"/>
    <n v="100"/>
    <n v="1"/>
  </r>
  <r>
    <n v="2810"/>
    <n v="2419"/>
    <n v="0.33333333333333331"/>
    <x v="7"/>
    <d v="2024-08-06T00:00:00"/>
    <x v="1"/>
    <n v="20"/>
    <x v="2715"/>
    <x v="0"/>
    <x v="8"/>
    <n v="4"/>
    <n v="10"/>
    <n v="40"/>
    <n v="0"/>
  </r>
  <r>
    <n v="2811"/>
    <n v="2419"/>
    <n v="0.33333333333333331"/>
    <x v="7"/>
    <d v="2024-08-06T00:00:00"/>
    <x v="1"/>
    <n v="9"/>
    <x v="2716"/>
    <x v="1"/>
    <x v="3"/>
    <n v="1"/>
    <n v="700"/>
    <n v="700"/>
    <n v="0"/>
  </r>
  <r>
    <n v="2812"/>
    <n v="2420"/>
    <n v="1"/>
    <x v="7"/>
    <d v="2024-08-06T00:00:00"/>
    <x v="1"/>
    <n v="20"/>
    <x v="2717"/>
    <x v="3"/>
    <x v="13"/>
    <n v="2"/>
    <n v="55"/>
    <n v="110"/>
    <n v="1"/>
  </r>
  <r>
    <n v="2813"/>
    <n v="2421"/>
    <n v="0.33333333333333331"/>
    <x v="7"/>
    <d v="2024-08-07T00:00:00"/>
    <x v="2"/>
    <n v="11"/>
    <x v="2718"/>
    <x v="2"/>
    <x v="5"/>
    <n v="1"/>
    <n v="20"/>
    <n v="20"/>
    <n v="1"/>
  </r>
  <r>
    <n v="2814"/>
    <n v="2421"/>
    <n v="0.33333333333333331"/>
    <x v="7"/>
    <d v="2024-08-07T00:00:00"/>
    <x v="2"/>
    <n v="9"/>
    <x v="2719"/>
    <x v="0"/>
    <x v="0"/>
    <n v="4"/>
    <n v="20"/>
    <n v="80"/>
    <n v="0"/>
  </r>
  <r>
    <n v="2815"/>
    <n v="2421"/>
    <n v="0.33333333333333331"/>
    <x v="7"/>
    <d v="2024-08-07T00:00:00"/>
    <x v="2"/>
    <n v="19"/>
    <x v="2720"/>
    <x v="2"/>
    <x v="15"/>
    <n v="1"/>
    <n v="25"/>
    <n v="25"/>
    <n v="0"/>
  </r>
  <r>
    <n v="2816"/>
    <n v="2422"/>
    <n v="1"/>
    <x v="7"/>
    <d v="2024-08-07T00:00:00"/>
    <x v="2"/>
    <n v="19"/>
    <x v="2721"/>
    <x v="0"/>
    <x v="16"/>
    <n v="1"/>
    <n v="5"/>
    <n v="5"/>
    <n v="1"/>
  </r>
  <r>
    <n v="2817"/>
    <n v="2423"/>
    <n v="0.33333333333333331"/>
    <x v="7"/>
    <d v="2024-08-07T00:00:00"/>
    <x v="2"/>
    <n v="9"/>
    <x v="2722"/>
    <x v="0"/>
    <x v="16"/>
    <n v="1"/>
    <n v="5"/>
    <n v="5"/>
    <n v="1"/>
  </r>
  <r>
    <n v="2818"/>
    <n v="2423"/>
    <n v="0.33333333333333331"/>
    <x v="7"/>
    <d v="2024-08-07T00:00:00"/>
    <x v="2"/>
    <n v="17"/>
    <x v="2723"/>
    <x v="0"/>
    <x v="8"/>
    <n v="2"/>
    <n v="10"/>
    <n v="20"/>
    <n v="0"/>
  </r>
  <r>
    <n v="2819"/>
    <n v="2423"/>
    <n v="0.33333333333333331"/>
    <x v="7"/>
    <d v="2024-08-07T00:00:00"/>
    <x v="2"/>
    <n v="17"/>
    <x v="2724"/>
    <x v="0"/>
    <x v="16"/>
    <n v="2"/>
    <n v="5"/>
    <n v="10"/>
    <n v="0"/>
  </r>
  <r>
    <n v="2820"/>
    <n v="2424"/>
    <n v="0.33333333333333331"/>
    <x v="7"/>
    <d v="2024-08-07T00:00:00"/>
    <x v="2"/>
    <n v="10"/>
    <x v="2725"/>
    <x v="2"/>
    <x v="10"/>
    <n v="3"/>
    <n v="30"/>
    <n v="90"/>
    <n v="1"/>
  </r>
  <r>
    <n v="2821"/>
    <n v="2424"/>
    <n v="0.33333333333333331"/>
    <x v="7"/>
    <d v="2024-08-07T00:00:00"/>
    <x v="2"/>
    <n v="18"/>
    <x v="2726"/>
    <x v="0"/>
    <x v="7"/>
    <n v="5"/>
    <n v="25"/>
    <n v="125"/>
    <n v="0"/>
  </r>
  <r>
    <n v="2822"/>
    <n v="2424"/>
    <n v="0.33333333333333331"/>
    <x v="7"/>
    <d v="2024-08-07T00:00:00"/>
    <x v="2"/>
    <n v="9"/>
    <x v="2727"/>
    <x v="2"/>
    <x v="5"/>
    <n v="3"/>
    <n v="20"/>
    <n v="60"/>
    <n v="0"/>
  </r>
  <r>
    <n v="2823"/>
    <n v="2425"/>
    <n v="0.5"/>
    <x v="7"/>
    <d v="2024-08-07T00:00:00"/>
    <x v="2"/>
    <n v="18"/>
    <x v="2728"/>
    <x v="3"/>
    <x v="17"/>
    <n v="2"/>
    <n v="60"/>
    <n v="120"/>
    <n v="1"/>
  </r>
  <r>
    <n v="2824"/>
    <n v="2425"/>
    <n v="0.5"/>
    <x v="7"/>
    <d v="2024-08-07T00:00:00"/>
    <x v="2"/>
    <n v="17"/>
    <x v="2729"/>
    <x v="1"/>
    <x v="3"/>
    <n v="2"/>
    <n v="700"/>
    <n v="1400"/>
    <n v="0"/>
  </r>
  <r>
    <n v="2825"/>
    <n v="2426"/>
    <n v="0.33333333333333331"/>
    <x v="7"/>
    <d v="2024-08-07T00:00:00"/>
    <x v="2"/>
    <n v="19"/>
    <x v="2730"/>
    <x v="2"/>
    <x v="10"/>
    <n v="3"/>
    <n v="30"/>
    <n v="90"/>
    <n v="1"/>
  </r>
  <r>
    <n v="2826"/>
    <n v="2426"/>
    <n v="0.33333333333333331"/>
    <x v="7"/>
    <d v="2024-08-07T00:00:00"/>
    <x v="2"/>
    <n v="17"/>
    <x v="2731"/>
    <x v="3"/>
    <x v="13"/>
    <n v="3"/>
    <n v="55"/>
    <n v="165"/>
    <n v="0"/>
  </r>
  <r>
    <n v="2827"/>
    <n v="2426"/>
    <n v="0.33333333333333331"/>
    <x v="7"/>
    <d v="2024-08-07T00:00:00"/>
    <x v="2"/>
    <n v="16"/>
    <x v="2732"/>
    <x v="3"/>
    <x v="18"/>
    <n v="2"/>
    <n v="45"/>
    <n v="90"/>
    <n v="0"/>
  </r>
  <r>
    <n v="2828"/>
    <n v="2427"/>
    <n v="0.5"/>
    <x v="7"/>
    <d v="2024-08-07T00:00:00"/>
    <x v="2"/>
    <n v="13"/>
    <x v="2733"/>
    <x v="2"/>
    <x v="5"/>
    <n v="3"/>
    <n v="20"/>
    <n v="60"/>
    <n v="1"/>
  </r>
  <r>
    <n v="2829"/>
    <n v="2427"/>
    <n v="0.5"/>
    <x v="7"/>
    <d v="2024-08-07T00:00:00"/>
    <x v="2"/>
    <n v="13"/>
    <x v="2734"/>
    <x v="2"/>
    <x v="15"/>
    <n v="2"/>
    <n v="25"/>
    <n v="50"/>
    <n v="0"/>
  </r>
  <r>
    <n v="2830"/>
    <n v="2428"/>
    <n v="0.5"/>
    <x v="7"/>
    <d v="2024-08-07T00:00:00"/>
    <x v="2"/>
    <n v="13"/>
    <x v="2735"/>
    <x v="2"/>
    <x v="11"/>
    <n v="1"/>
    <n v="35"/>
    <n v="35"/>
    <n v="1"/>
  </r>
  <r>
    <n v="2831"/>
    <n v="2428"/>
    <n v="0.5"/>
    <x v="7"/>
    <d v="2024-08-07T00:00:00"/>
    <x v="2"/>
    <n v="11"/>
    <x v="2736"/>
    <x v="1"/>
    <x v="12"/>
    <n v="3"/>
    <n v="1000"/>
    <n v="3000"/>
    <n v="0"/>
  </r>
  <r>
    <n v="2832"/>
    <n v="2429"/>
    <n v="1"/>
    <x v="7"/>
    <d v="2024-08-07T00:00:00"/>
    <x v="2"/>
    <n v="20"/>
    <x v="2737"/>
    <x v="0"/>
    <x v="16"/>
    <n v="1"/>
    <n v="5"/>
    <n v="5"/>
    <n v="1"/>
  </r>
  <r>
    <n v="2833"/>
    <n v="2430"/>
    <n v="1"/>
    <x v="7"/>
    <d v="2024-08-07T00:00:00"/>
    <x v="2"/>
    <n v="19"/>
    <x v="2136"/>
    <x v="0"/>
    <x v="16"/>
    <n v="4"/>
    <n v="5"/>
    <n v="20"/>
    <n v="1"/>
  </r>
  <r>
    <n v="2834"/>
    <n v="2431"/>
    <n v="0.33333333333333331"/>
    <x v="7"/>
    <d v="2024-08-08T00:00:00"/>
    <x v="3"/>
    <n v="19"/>
    <x v="2738"/>
    <x v="0"/>
    <x v="7"/>
    <n v="4"/>
    <n v="25"/>
    <n v="100"/>
    <n v="1"/>
  </r>
  <r>
    <n v="2835"/>
    <n v="2431"/>
    <n v="0.33333333333333331"/>
    <x v="7"/>
    <d v="2024-08-08T00:00:00"/>
    <x v="3"/>
    <n v="13"/>
    <x v="2739"/>
    <x v="3"/>
    <x v="13"/>
    <n v="2"/>
    <n v="55"/>
    <n v="110"/>
    <n v="0"/>
  </r>
  <r>
    <n v="2836"/>
    <n v="2431"/>
    <n v="0.33333333333333331"/>
    <x v="7"/>
    <d v="2024-08-08T00:00:00"/>
    <x v="3"/>
    <n v="17"/>
    <x v="2740"/>
    <x v="3"/>
    <x v="17"/>
    <n v="1"/>
    <n v="60"/>
    <n v="60"/>
    <n v="0"/>
  </r>
  <r>
    <n v="2837"/>
    <n v="2432"/>
    <n v="1"/>
    <x v="7"/>
    <d v="2024-08-08T00:00:00"/>
    <x v="3"/>
    <n v="12"/>
    <x v="2741"/>
    <x v="1"/>
    <x v="3"/>
    <n v="2"/>
    <n v="700"/>
    <n v="1400"/>
    <n v="1"/>
  </r>
  <r>
    <n v="2838"/>
    <n v="2433"/>
    <n v="0.5"/>
    <x v="7"/>
    <d v="2024-08-08T00:00:00"/>
    <x v="3"/>
    <n v="14"/>
    <x v="2742"/>
    <x v="2"/>
    <x v="5"/>
    <n v="1"/>
    <n v="20"/>
    <n v="20"/>
    <n v="1"/>
  </r>
  <r>
    <n v="2839"/>
    <n v="2433"/>
    <n v="0.5"/>
    <x v="7"/>
    <d v="2024-08-08T00:00:00"/>
    <x v="3"/>
    <n v="11"/>
    <x v="2743"/>
    <x v="0"/>
    <x v="9"/>
    <n v="3"/>
    <n v="15"/>
    <n v="45"/>
    <n v="0"/>
  </r>
  <r>
    <n v="2840"/>
    <n v="2434"/>
    <n v="0.33333333333333331"/>
    <x v="7"/>
    <d v="2024-08-08T00:00:00"/>
    <x v="3"/>
    <n v="19"/>
    <x v="1222"/>
    <x v="0"/>
    <x v="0"/>
    <n v="1"/>
    <n v="20"/>
    <n v="20"/>
    <n v="1"/>
  </r>
  <r>
    <n v="2841"/>
    <n v="2434"/>
    <n v="0.33333333333333331"/>
    <x v="7"/>
    <d v="2024-08-08T00:00:00"/>
    <x v="3"/>
    <n v="9"/>
    <x v="2744"/>
    <x v="3"/>
    <x v="18"/>
    <n v="5"/>
    <n v="45"/>
    <n v="225"/>
    <n v="0"/>
  </r>
  <r>
    <n v="2842"/>
    <n v="2434"/>
    <n v="0.33333333333333331"/>
    <x v="7"/>
    <d v="2024-08-08T00:00:00"/>
    <x v="3"/>
    <n v="19"/>
    <x v="2745"/>
    <x v="2"/>
    <x v="10"/>
    <n v="3"/>
    <n v="30"/>
    <n v="90"/>
    <n v="0"/>
  </r>
  <r>
    <n v="2843"/>
    <n v="2435"/>
    <n v="0.5"/>
    <x v="7"/>
    <d v="2024-08-08T00:00:00"/>
    <x v="3"/>
    <n v="15"/>
    <x v="2746"/>
    <x v="3"/>
    <x v="18"/>
    <n v="4"/>
    <n v="45"/>
    <n v="180"/>
    <n v="1"/>
  </r>
  <r>
    <n v="2844"/>
    <n v="2435"/>
    <n v="0.5"/>
    <x v="7"/>
    <d v="2024-08-08T00:00:00"/>
    <x v="3"/>
    <n v="15"/>
    <x v="2747"/>
    <x v="0"/>
    <x v="8"/>
    <n v="1"/>
    <n v="10"/>
    <n v="10"/>
    <n v="0"/>
  </r>
  <r>
    <n v="2845"/>
    <n v="2436"/>
    <n v="0.33333333333333331"/>
    <x v="7"/>
    <d v="2024-08-08T00:00:00"/>
    <x v="3"/>
    <n v="20"/>
    <x v="2748"/>
    <x v="3"/>
    <x v="14"/>
    <n v="1"/>
    <n v="40"/>
    <n v="40"/>
    <n v="1"/>
  </r>
  <r>
    <n v="2846"/>
    <n v="2436"/>
    <n v="0.33333333333333331"/>
    <x v="7"/>
    <d v="2024-08-08T00:00:00"/>
    <x v="3"/>
    <n v="12"/>
    <x v="2749"/>
    <x v="2"/>
    <x v="15"/>
    <n v="3"/>
    <n v="25"/>
    <n v="75"/>
    <n v="0"/>
  </r>
  <r>
    <n v="2847"/>
    <n v="2436"/>
    <n v="0.33333333333333331"/>
    <x v="7"/>
    <d v="2024-08-08T00:00:00"/>
    <x v="3"/>
    <n v="16"/>
    <x v="2750"/>
    <x v="0"/>
    <x v="8"/>
    <n v="1"/>
    <n v="10"/>
    <n v="10"/>
    <n v="0"/>
  </r>
  <r>
    <n v="2848"/>
    <n v="2437"/>
    <n v="1"/>
    <x v="7"/>
    <d v="2024-08-08T00:00:00"/>
    <x v="3"/>
    <n v="11"/>
    <x v="2751"/>
    <x v="1"/>
    <x v="12"/>
    <n v="2"/>
    <n v="1000"/>
    <n v="2000"/>
    <n v="1"/>
  </r>
  <r>
    <n v="2849"/>
    <n v="2438"/>
    <n v="0.5"/>
    <x v="7"/>
    <d v="2024-08-08T00:00:00"/>
    <x v="3"/>
    <n v="20"/>
    <x v="2752"/>
    <x v="1"/>
    <x v="4"/>
    <n v="3"/>
    <n v="600"/>
    <n v="1800"/>
    <n v="1"/>
  </r>
  <r>
    <n v="2850"/>
    <n v="2438"/>
    <n v="0.5"/>
    <x v="7"/>
    <d v="2024-08-08T00:00:00"/>
    <x v="3"/>
    <n v="10"/>
    <x v="2753"/>
    <x v="2"/>
    <x v="15"/>
    <n v="2"/>
    <n v="25"/>
    <n v="50"/>
    <n v="0"/>
  </r>
  <r>
    <n v="2851"/>
    <n v="2439"/>
    <n v="0.5"/>
    <x v="7"/>
    <d v="2024-08-08T00:00:00"/>
    <x v="3"/>
    <n v="20"/>
    <x v="2754"/>
    <x v="0"/>
    <x v="16"/>
    <n v="4"/>
    <n v="5"/>
    <n v="20"/>
    <n v="1"/>
  </r>
  <r>
    <n v="2852"/>
    <n v="2439"/>
    <n v="0.5"/>
    <x v="7"/>
    <d v="2024-08-08T00:00:00"/>
    <x v="3"/>
    <n v="15"/>
    <x v="2755"/>
    <x v="3"/>
    <x v="14"/>
    <n v="5"/>
    <n v="40"/>
    <n v="200"/>
    <n v="0"/>
  </r>
  <r>
    <n v="2853"/>
    <n v="2440"/>
    <n v="1"/>
    <x v="7"/>
    <d v="2024-08-08T00:00:00"/>
    <x v="3"/>
    <n v="15"/>
    <x v="2756"/>
    <x v="1"/>
    <x v="3"/>
    <n v="4"/>
    <n v="700"/>
    <n v="2800"/>
    <n v="1"/>
  </r>
  <r>
    <n v="2854"/>
    <n v="2441"/>
    <n v="0.5"/>
    <x v="7"/>
    <d v="2024-08-09T00:00:00"/>
    <x v="4"/>
    <n v="15"/>
    <x v="2757"/>
    <x v="2"/>
    <x v="15"/>
    <n v="5"/>
    <n v="25"/>
    <n v="125"/>
    <n v="1"/>
  </r>
  <r>
    <n v="2855"/>
    <n v="2441"/>
    <n v="0.5"/>
    <x v="7"/>
    <d v="2024-08-09T00:00:00"/>
    <x v="4"/>
    <n v="20"/>
    <x v="2182"/>
    <x v="3"/>
    <x v="6"/>
    <n v="2"/>
    <n v="50"/>
    <n v="100"/>
    <n v="0"/>
  </r>
  <r>
    <n v="2856"/>
    <n v="2442"/>
    <n v="0.33333333333333331"/>
    <x v="7"/>
    <d v="2024-08-09T00:00:00"/>
    <x v="4"/>
    <n v="17"/>
    <x v="2758"/>
    <x v="1"/>
    <x v="1"/>
    <n v="3"/>
    <n v="650"/>
    <n v="1950"/>
    <n v="1"/>
  </r>
  <r>
    <n v="2857"/>
    <n v="2442"/>
    <n v="0.33333333333333331"/>
    <x v="7"/>
    <d v="2024-08-09T00:00:00"/>
    <x v="4"/>
    <n v="20"/>
    <x v="2759"/>
    <x v="1"/>
    <x v="12"/>
    <n v="4"/>
    <n v="1000"/>
    <n v="4000"/>
    <n v="0"/>
  </r>
  <r>
    <n v="2858"/>
    <n v="2442"/>
    <n v="0.33333333333333331"/>
    <x v="7"/>
    <d v="2024-08-09T00:00:00"/>
    <x v="4"/>
    <n v="17"/>
    <x v="2760"/>
    <x v="3"/>
    <x v="17"/>
    <n v="3"/>
    <n v="60"/>
    <n v="180"/>
    <n v="0"/>
  </r>
  <r>
    <n v="2859"/>
    <n v="2443"/>
    <n v="1"/>
    <x v="7"/>
    <d v="2024-08-09T00:00:00"/>
    <x v="4"/>
    <n v="18"/>
    <x v="2761"/>
    <x v="0"/>
    <x v="0"/>
    <n v="2"/>
    <n v="20"/>
    <n v="40"/>
    <n v="1"/>
  </r>
  <r>
    <n v="2860"/>
    <n v="2444"/>
    <n v="1"/>
    <x v="7"/>
    <d v="2024-08-09T00:00:00"/>
    <x v="4"/>
    <n v="12"/>
    <x v="2762"/>
    <x v="0"/>
    <x v="9"/>
    <n v="1"/>
    <n v="15"/>
    <n v="15"/>
    <n v="1"/>
  </r>
  <r>
    <n v="2861"/>
    <n v="2445"/>
    <n v="1"/>
    <x v="7"/>
    <d v="2024-08-09T00:00:00"/>
    <x v="4"/>
    <n v="14"/>
    <x v="2763"/>
    <x v="0"/>
    <x v="0"/>
    <n v="5"/>
    <n v="20"/>
    <n v="100"/>
    <n v="1"/>
  </r>
  <r>
    <n v="2862"/>
    <n v="2446"/>
    <n v="0.5"/>
    <x v="7"/>
    <d v="2024-08-09T00:00:00"/>
    <x v="4"/>
    <n v="12"/>
    <x v="2764"/>
    <x v="0"/>
    <x v="7"/>
    <n v="3"/>
    <n v="25"/>
    <n v="75"/>
    <n v="1"/>
  </r>
  <r>
    <n v="2863"/>
    <n v="2446"/>
    <n v="0.5"/>
    <x v="7"/>
    <d v="2024-08-09T00:00:00"/>
    <x v="4"/>
    <n v="19"/>
    <x v="2765"/>
    <x v="0"/>
    <x v="8"/>
    <n v="2"/>
    <n v="10"/>
    <n v="20"/>
    <n v="0"/>
  </r>
  <r>
    <n v="2864"/>
    <n v="2447"/>
    <n v="1"/>
    <x v="7"/>
    <d v="2024-08-09T00:00:00"/>
    <x v="4"/>
    <n v="13"/>
    <x v="2766"/>
    <x v="2"/>
    <x v="15"/>
    <n v="1"/>
    <n v="25"/>
    <n v="25"/>
    <n v="1"/>
  </r>
  <r>
    <n v="2865"/>
    <n v="2448"/>
    <n v="1"/>
    <x v="7"/>
    <d v="2024-08-09T00:00:00"/>
    <x v="4"/>
    <n v="11"/>
    <x v="2767"/>
    <x v="2"/>
    <x v="5"/>
    <n v="3"/>
    <n v="20"/>
    <n v="60"/>
    <n v="1"/>
  </r>
  <r>
    <n v="2866"/>
    <n v="2449"/>
    <n v="0.33333333333333331"/>
    <x v="7"/>
    <d v="2024-08-09T00:00:00"/>
    <x v="4"/>
    <n v="10"/>
    <x v="2768"/>
    <x v="2"/>
    <x v="11"/>
    <n v="1"/>
    <n v="35"/>
    <n v="35"/>
    <n v="1"/>
  </r>
  <r>
    <n v="2867"/>
    <n v="2449"/>
    <n v="0.33333333333333331"/>
    <x v="7"/>
    <d v="2024-08-09T00:00:00"/>
    <x v="4"/>
    <n v="10"/>
    <x v="2769"/>
    <x v="1"/>
    <x v="2"/>
    <n v="1"/>
    <n v="680"/>
    <n v="680"/>
    <n v="0"/>
  </r>
  <r>
    <n v="2868"/>
    <n v="2449"/>
    <n v="0.33333333333333331"/>
    <x v="7"/>
    <d v="2024-08-09T00:00:00"/>
    <x v="4"/>
    <n v="13"/>
    <x v="2770"/>
    <x v="0"/>
    <x v="16"/>
    <n v="4"/>
    <n v="5"/>
    <n v="20"/>
    <n v="0"/>
  </r>
  <r>
    <n v="2869"/>
    <n v="2450"/>
    <n v="1"/>
    <x v="7"/>
    <d v="2024-08-09T00:00:00"/>
    <x v="4"/>
    <n v="15"/>
    <x v="2771"/>
    <x v="1"/>
    <x v="3"/>
    <n v="5"/>
    <n v="700"/>
    <n v="3500"/>
    <n v="1"/>
  </r>
  <r>
    <n v="2870"/>
    <n v="2451"/>
    <n v="1"/>
    <x v="7"/>
    <d v="2024-08-10T00:00:00"/>
    <x v="5"/>
    <n v="10"/>
    <x v="2772"/>
    <x v="1"/>
    <x v="3"/>
    <n v="1"/>
    <n v="700"/>
    <n v="700"/>
    <n v="1"/>
  </r>
  <r>
    <n v="2871"/>
    <n v="2452"/>
    <n v="0.33333333333333331"/>
    <x v="7"/>
    <d v="2024-08-10T00:00:00"/>
    <x v="5"/>
    <n v="15"/>
    <x v="2773"/>
    <x v="0"/>
    <x v="9"/>
    <n v="1"/>
    <n v="15"/>
    <n v="15"/>
    <n v="1"/>
  </r>
  <r>
    <n v="2872"/>
    <n v="2452"/>
    <n v="0.33333333333333331"/>
    <x v="7"/>
    <d v="2024-08-10T00:00:00"/>
    <x v="5"/>
    <n v="10"/>
    <x v="2774"/>
    <x v="1"/>
    <x v="3"/>
    <n v="4"/>
    <n v="700"/>
    <n v="2800"/>
    <n v="0"/>
  </r>
  <r>
    <n v="2873"/>
    <n v="2452"/>
    <n v="0.33333333333333331"/>
    <x v="7"/>
    <d v="2024-08-10T00:00:00"/>
    <x v="5"/>
    <n v="12"/>
    <x v="2775"/>
    <x v="2"/>
    <x v="11"/>
    <n v="1"/>
    <n v="35"/>
    <n v="35"/>
    <n v="0"/>
  </r>
  <r>
    <n v="2874"/>
    <n v="2453"/>
    <n v="1"/>
    <x v="7"/>
    <d v="2024-08-10T00:00:00"/>
    <x v="5"/>
    <n v="18"/>
    <x v="2776"/>
    <x v="3"/>
    <x v="13"/>
    <n v="1"/>
    <n v="55"/>
    <n v="55"/>
    <n v="1"/>
  </r>
  <r>
    <n v="2875"/>
    <n v="2454"/>
    <n v="1"/>
    <x v="7"/>
    <d v="2024-08-10T00:00:00"/>
    <x v="5"/>
    <n v="9"/>
    <x v="2777"/>
    <x v="2"/>
    <x v="10"/>
    <n v="1"/>
    <n v="30"/>
    <n v="30"/>
    <n v="1"/>
  </r>
  <r>
    <n v="2876"/>
    <n v="2455"/>
    <n v="0.5"/>
    <x v="7"/>
    <d v="2024-08-10T00:00:00"/>
    <x v="5"/>
    <n v="12"/>
    <x v="2778"/>
    <x v="2"/>
    <x v="10"/>
    <n v="4"/>
    <n v="30"/>
    <n v="120"/>
    <n v="1"/>
  </r>
  <r>
    <n v="2877"/>
    <n v="2455"/>
    <n v="0.5"/>
    <x v="7"/>
    <d v="2024-08-10T00:00:00"/>
    <x v="5"/>
    <n v="18"/>
    <x v="2779"/>
    <x v="2"/>
    <x v="10"/>
    <n v="3"/>
    <n v="30"/>
    <n v="90"/>
    <n v="0"/>
  </r>
  <r>
    <n v="2878"/>
    <n v="2456"/>
    <n v="0.33333333333333331"/>
    <x v="7"/>
    <d v="2024-08-10T00:00:00"/>
    <x v="5"/>
    <n v="15"/>
    <x v="2780"/>
    <x v="1"/>
    <x v="2"/>
    <n v="1"/>
    <n v="680"/>
    <n v="680"/>
    <n v="1"/>
  </r>
  <r>
    <n v="2879"/>
    <n v="2456"/>
    <n v="0.33333333333333331"/>
    <x v="7"/>
    <d v="2024-08-10T00:00:00"/>
    <x v="5"/>
    <n v="18"/>
    <x v="2781"/>
    <x v="1"/>
    <x v="3"/>
    <n v="5"/>
    <n v="700"/>
    <n v="3500"/>
    <n v="0"/>
  </r>
  <r>
    <n v="2880"/>
    <n v="2456"/>
    <n v="0.33333333333333331"/>
    <x v="7"/>
    <d v="2024-08-10T00:00:00"/>
    <x v="5"/>
    <n v="11"/>
    <x v="2782"/>
    <x v="1"/>
    <x v="1"/>
    <n v="3"/>
    <n v="650"/>
    <n v="1950"/>
    <n v="0"/>
  </r>
  <r>
    <n v="2881"/>
    <n v="2457"/>
    <n v="0.5"/>
    <x v="7"/>
    <d v="2024-08-10T00:00:00"/>
    <x v="5"/>
    <n v="10"/>
    <x v="2783"/>
    <x v="0"/>
    <x v="8"/>
    <n v="1"/>
    <n v="10"/>
    <n v="10"/>
    <n v="1"/>
  </r>
  <r>
    <n v="2882"/>
    <n v="2457"/>
    <n v="0.5"/>
    <x v="7"/>
    <d v="2024-08-10T00:00:00"/>
    <x v="5"/>
    <n v="19"/>
    <x v="2784"/>
    <x v="0"/>
    <x v="0"/>
    <n v="2"/>
    <n v="20"/>
    <n v="40"/>
    <n v="0"/>
  </r>
  <r>
    <n v="2883"/>
    <n v="2458"/>
    <n v="0.5"/>
    <x v="7"/>
    <d v="2024-08-10T00:00:00"/>
    <x v="5"/>
    <n v="10"/>
    <x v="2785"/>
    <x v="1"/>
    <x v="3"/>
    <n v="2"/>
    <n v="700"/>
    <n v="1400"/>
    <n v="1"/>
  </r>
  <r>
    <n v="2884"/>
    <n v="2458"/>
    <n v="0.5"/>
    <x v="7"/>
    <d v="2024-08-10T00:00:00"/>
    <x v="5"/>
    <n v="12"/>
    <x v="2786"/>
    <x v="3"/>
    <x v="13"/>
    <n v="1"/>
    <n v="55"/>
    <n v="55"/>
    <n v="0"/>
  </r>
  <r>
    <n v="2885"/>
    <n v="2459"/>
    <n v="0.33333333333333331"/>
    <x v="7"/>
    <d v="2024-08-11T00:00:00"/>
    <x v="6"/>
    <n v="17"/>
    <x v="2787"/>
    <x v="1"/>
    <x v="1"/>
    <n v="1"/>
    <n v="650"/>
    <n v="650"/>
    <n v="1"/>
  </r>
  <r>
    <n v="2886"/>
    <n v="2459"/>
    <n v="0.33333333333333331"/>
    <x v="7"/>
    <d v="2024-08-11T00:00:00"/>
    <x v="6"/>
    <n v="18"/>
    <x v="2788"/>
    <x v="3"/>
    <x v="17"/>
    <n v="1"/>
    <n v="60"/>
    <n v="60"/>
    <n v="0"/>
  </r>
  <r>
    <n v="2887"/>
    <n v="2459"/>
    <n v="0.33333333333333331"/>
    <x v="7"/>
    <d v="2024-08-11T00:00:00"/>
    <x v="6"/>
    <n v="13"/>
    <x v="2789"/>
    <x v="3"/>
    <x v="13"/>
    <n v="1"/>
    <n v="55"/>
    <n v="55"/>
    <n v="0"/>
  </r>
  <r>
    <n v="2888"/>
    <n v="2460"/>
    <n v="1"/>
    <x v="7"/>
    <d v="2024-08-11T00:00:00"/>
    <x v="6"/>
    <n v="17"/>
    <x v="2790"/>
    <x v="2"/>
    <x v="11"/>
    <n v="4"/>
    <n v="35"/>
    <n v="140"/>
    <n v="1"/>
  </r>
  <r>
    <n v="2889"/>
    <n v="2461"/>
    <n v="0.5"/>
    <x v="7"/>
    <d v="2024-08-11T00:00:00"/>
    <x v="6"/>
    <n v="10"/>
    <x v="2791"/>
    <x v="1"/>
    <x v="4"/>
    <n v="2"/>
    <n v="600"/>
    <n v="1200"/>
    <n v="1"/>
  </r>
  <r>
    <n v="2890"/>
    <n v="2461"/>
    <n v="0.5"/>
    <x v="7"/>
    <d v="2024-08-11T00:00:00"/>
    <x v="6"/>
    <n v="15"/>
    <x v="2282"/>
    <x v="0"/>
    <x v="7"/>
    <n v="1"/>
    <n v="25"/>
    <n v="25"/>
    <n v="0"/>
  </r>
  <r>
    <n v="2891"/>
    <n v="2462"/>
    <n v="1"/>
    <x v="7"/>
    <d v="2024-08-11T00:00:00"/>
    <x v="6"/>
    <n v="18"/>
    <x v="2792"/>
    <x v="0"/>
    <x v="7"/>
    <n v="5"/>
    <n v="25"/>
    <n v="125"/>
    <n v="1"/>
  </r>
  <r>
    <n v="2892"/>
    <n v="2463"/>
    <n v="0.5"/>
    <x v="7"/>
    <d v="2024-08-11T00:00:00"/>
    <x v="6"/>
    <n v="9"/>
    <x v="2793"/>
    <x v="0"/>
    <x v="9"/>
    <n v="2"/>
    <n v="15"/>
    <n v="30"/>
    <n v="1"/>
  </r>
  <r>
    <n v="2893"/>
    <n v="2463"/>
    <n v="0.5"/>
    <x v="7"/>
    <d v="2024-08-11T00:00:00"/>
    <x v="6"/>
    <n v="11"/>
    <x v="2794"/>
    <x v="3"/>
    <x v="18"/>
    <n v="1"/>
    <n v="45"/>
    <n v="45"/>
    <n v="0"/>
  </r>
  <r>
    <n v="2894"/>
    <n v="2464"/>
    <n v="1"/>
    <x v="7"/>
    <d v="2024-08-11T00:00:00"/>
    <x v="6"/>
    <n v="14"/>
    <x v="2795"/>
    <x v="1"/>
    <x v="3"/>
    <n v="2"/>
    <n v="700"/>
    <n v="1400"/>
    <n v="1"/>
  </r>
  <r>
    <n v="2895"/>
    <n v="2465"/>
    <n v="0.33333333333333331"/>
    <x v="7"/>
    <d v="2024-08-11T00:00:00"/>
    <x v="6"/>
    <n v="18"/>
    <x v="2796"/>
    <x v="3"/>
    <x v="18"/>
    <n v="2"/>
    <n v="45"/>
    <n v="90"/>
    <n v="1"/>
  </r>
  <r>
    <n v="2896"/>
    <n v="2465"/>
    <n v="0.33333333333333331"/>
    <x v="7"/>
    <d v="2024-08-11T00:00:00"/>
    <x v="6"/>
    <n v="10"/>
    <x v="2797"/>
    <x v="0"/>
    <x v="16"/>
    <n v="2"/>
    <n v="5"/>
    <n v="10"/>
    <n v="0"/>
  </r>
  <r>
    <n v="2897"/>
    <n v="2465"/>
    <n v="0.33333333333333331"/>
    <x v="7"/>
    <d v="2024-08-11T00:00:00"/>
    <x v="6"/>
    <n v="11"/>
    <x v="719"/>
    <x v="2"/>
    <x v="10"/>
    <n v="1"/>
    <n v="30"/>
    <n v="30"/>
    <n v="0"/>
  </r>
  <r>
    <n v="2898"/>
    <n v="2466"/>
    <n v="1"/>
    <x v="7"/>
    <d v="2024-08-12T00:00:00"/>
    <x v="0"/>
    <n v="20"/>
    <x v="2031"/>
    <x v="3"/>
    <x v="14"/>
    <n v="1"/>
    <n v="40"/>
    <n v="40"/>
    <n v="1"/>
  </r>
  <r>
    <n v="2899"/>
    <n v="2467"/>
    <n v="0.5"/>
    <x v="7"/>
    <d v="2024-08-12T00:00:00"/>
    <x v="0"/>
    <n v="20"/>
    <x v="2798"/>
    <x v="2"/>
    <x v="15"/>
    <n v="2"/>
    <n v="25"/>
    <n v="50"/>
    <n v="1"/>
  </r>
  <r>
    <n v="2900"/>
    <n v="2467"/>
    <n v="0.5"/>
    <x v="7"/>
    <d v="2024-08-12T00:00:00"/>
    <x v="0"/>
    <n v="11"/>
    <x v="2799"/>
    <x v="0"/>
    <x v="7"/>
    <n v="1"/>
    <n v="25"/>
    <n v="25"/>
    <n v="0"/>
  </r>
  <r>
    <n v="2901"/>
    <n v="2468"/>
    <n v="1"/>
    <x v="7"/>
    <d v="2024-08-12T00:00:00"/>
    <x v="0"/>
    <n v="14"/>
    <x v="2800"/>
    <x v="0"/>
    <x v="8"/>
    <n v="3"/>
    <n v="10"/>
    <n v="30"/>
    <n v="1"/>
  </r>
  <r>
    <n v="2902"/>
    <n v="2469"/>
    <n v="1"/>
    <x v="7"/>
    <d v="2024-08-12T00:00:00"/>
    <x v="0"/>
    <n v="15"/>
    <x v="690"/>
    <x v="3"/>
    <x v="17"/>
    <n v="2"/>
    <n v="60"/>
    <n v="120"/>
    <n v="1"/>
  </r>
  <r>
    <n v="2903"/>
    <n v="2470"/>
    <n v="0.33333333333333331"/>
    <x v="7"/>
    <d v="2024-08-12T00:00:00"/>
    <x v="0"/>
    <n v="17"/>
    <x v="2801"/>
    <x v="2"/>
    <x v="10"/>
    <n v="3"/>
    <n v="30"/>
    <n v="90"/>
    <n v="1"/>
  </r>
  <r>
    <n v="2904"/>
    <n v="2470"/>
    <n v="0.33333333333333331"/>
    <x v="7"/>
    <d v="2024-08-12T00:00:00"/>
    <x v="0"/>
    <n v="14"/>
    <x v="2802"/>
    <x v="0"/>
    <x v="7"/>
    <n v="4"/>
    <n v="25"/>
    <n v="100"/>
    <n v="0"/>
  </r>
  <r>
    <n v="2905"/>
    <n v="2470"/>
    <n v="0.33333333333333331"/>
    <x v="7"/>
    <d v="2024-08-12T00:00:00"/>
    <x v="0"/>
    <n v="20"/>
    <x v="2803"/>
    <x v="2"/>
    <x v="15"/>
    <n v="1"/>
    <n v="25"/>
    <n v="25"/>
    <n v="0"/>
  </r>
  <r>
    <n v="2906"/>
    <n v="2471"/>
    <n v="0.33333333333333331"/>
    <x v="7"/>
    <d v="2024-08-12T00:00:00"/>
    <x v="0"/>
    <n v="19"/>
    <x v="2804"/>
    <x v="0"/>
    <x v="9"/>
    <n v="5"/>
    <n v="15"/>
    <n v="75"/>
    <n v="1"/>
  </r>
  <r>
    <n v="2907"/>
    <n v="2471"/>
    <n v="0.33333333333333331"/>
    <x v="7"/>
    <d v="2024-08-12T00:00:00"/>
    <x v="0"/>
    <n v="15"/>
    <x v="2805"/>
    <x v="1"/>
    <x v="2"/>
    <n v="4"/>
    <n v="680"/>
    <n v="2720"/>
    <n v="0"/>
  </r>
  <r>
    <n v="2908"/>
    <n v="2471"/>
    <n v="0.33333333333333331"/>
    <x v="7"/>
    <d v="2024-08-12T00:00:00"/>
    <x v="0"/>
    <n v="17"/>
    <x v="2806"/>
    <x v="3"/>
    <x v="17"/>
    <n v="2"/>
    <n v="60"/>
    <n v="120"/>
    <n v="0"/>
  </r>
  <r>
    <n v="2909"/>
    <n v="2472"/>
    <n v="1"/>
    <x v="7"/>
    <d v="2024-08-12T00:00:00"/>
    <x v="0"/>
    <n v="9"/>
    <x v="2807"/>
    <x v="1"/>
    <x v="3"/>
    <n v="2"/>
    <n v="700"/>
    <n v="1400"/>
    <n v="1"/>
  </r>
  <r>
    <n v="2910"/>
    <n v="2473"/>
    <n v="1"/>
    <x v="7"/>
    <d v="2024-08-13T00:00:00"/>
    <x v="1"/>
    <n v="11"/>
    <x v="2808"/>
    <x v="1"/>
    <x v="1"/>
    <n v="4"/>
    <n v="650"/>
    <n v="2600"/>
    <n v="1"/>
  </r>
  <r>
    <n v="2911"/>
    <n v="2474"/>
    <n v="1"/>
    <x v="7"/>
    <d v="2024-08-13T00:00:00"/>
    <x v="1"/>
    <n v="18"/>
    <x v="2809"/>
    <x v="1"/>
    <x v="4"/>
    <n v="2"/>
    <n v="600"/>
    <n v="1200"/>
    <n v="1"/>
  </r>
  <r>
    <n v="2912"/>
    <n v="2475"/>
    <n v="1"/>
    <x v="7"/>
    <d v="2024-08-13T00:00:00"/>
    <x v="1"/>
    <n v="15"/>
    <x v="2771"/>
    <x v="1"/>
    <x v="12"/>
    <n v="1"/>
    <n v="1000"/>
    <n v="1000"/>
    <n v="1"/>
  </r>
  <r>
    <n v="2913"/>
    <n v="2476"/>
    <n v="0.33333333333333331"/>
    <x v="7"/>
    <d v="2024-08-13T00:00:00"/>
    <x v="1"/>
    <n v="17"/>
    <x v="2810"/>
    <x v="0"/>
    <x v="16"/>
    <n v="2"/>
    <n v="5"/>
    <n v="10"/>
    <n v="1"/>
  </r>
  <r>
    <n v="2914"/>
    <n v="2476"/>
    <n v="0.33333333333333331"/>
    <x v="7"/>
    <d v="2024-08-13T00:00:00"/>
    <x v="1"/>
    <n v="18"/>
    <x v="1891"/>
    <x v="1"/>
    <x v="2"/>
    <n v="1"/>
    <n v="680"/>
    <n v="680"/>
    <n v="0"/>
  </r>
  <r>
    <n v="2915"/>
    <n v="2476"/>
    <n v="0.33333333333333331"/>
    <x v="7"/>
    <d v="2024-08-13T00:00:00"/>
    <x v="1"/>
    <n v="19"/>
    <x v="2811"/>
    <x v="3"/>
    <x v="6"/>
    <n v="2"/>
    <n v="50"/>
    <n v="100"/>
    <n v="0"/>
  </r>
  <r>
    <n v="2916"/>
    <n v="2477"/>
    <n v="0.33333333333333331"/>
    <x v="7"/>
    <d v="2024-08-13T00:00:00"/>
    <x v="1"/>
    <n v="10"/>
    <x v="2812"/>
    <x v="2"/>
    <x v="15"/>
    <n v="3"/>
    <n v="25"/>
    <n v="75"/>
    <n v="1"/>
  </r>
  <r>
    <n v="2917"/>
    <n v="2477"/>
    <n v="0.33333333333333331"/>
    <x v="7"/>
    <d v="2024-08-13T00:00:00"/>
    <x v="1"/>
    <n v="16"/>
    <x v="2813"/>
    <x v="2"/>
    <x v="11"/>
    <n v="2"/>
    <n v="35"/>
    <n v="70"/>
    <n v="0"/>
  </r>
  <r>
    <n v="2918"/>
    <n v="2477"/>
    <n v="0.33333333333333331"/>
    <x v="7"/>
    <d v="2024-08-13T00:00:00"/>
    <x v="1"/>
    <n v="14"/>
    <x v="2814"/>
    <x v="0"/>
    <x v="0"/>
    <n v="3"/>
    <n v="20"/>
    <n v="60"/>
    <n v="0"/>
  </r>
  <r>
    <n v="2919"/>
    <n v="2478"/>
    <n v="0.33333333333333331"/>
    <x v="7"/>
    <d v="2024-08-13T00:00:00"/>
    <x v="1"/>
    <n v="10"/>
    <x v="2815"/>
    <x v="1"/>
    <x v="12"/>
    <n v="2"/>
    <n v="1000"/>
    <n v="2000"/>
    <n v="1"/>
  </r>
  <r>
    <n v="2920"/>
    <n v="2478"/>
    <n v="0.33333333333333331"/>
    <x v="7"/>
    <d v="2024-08-13T00:00:00"/>
    <x v="1"/>
    <n v="18"/>
    <x v="2816"/>
    <x v="1"/>
    <x v="3"/>
    <n v="4"/>
    <n v="700"/>
    <n v="2800"/>
    <n v="0"/>
  </r>
  <r>
    <n v="2921"/>
    <n v="2478"/>
    <n v="0.33333333333333331"/>
    <x v="7"/>
    <d v="2024-08-13T00:00:00"/>
    <x v="1"/>
    <n v="18"/>
    <x v="2817"/>
    <x v="0"/>
    <x v="7"/>
    <n v="3"/>
    <n v="25"/>
    <n v="75"/>
    <n v="0"/>
  </r>
  <r>
    <n v="2922"/>
    <n v="2479"/>
    <n v="0.33333333333333331"/>
    <x v="7"/>
    <d v="2024-08-13T00:00:00"/>
    <x v="1"/>
    <n v="16"/>
    <x v="2818"/>
    <x v="3"/>
    <x v="13"/>
    <n v="5"/>
    <n v="55"/>
    <n v="275"/>
    <n v="1"/>
  </r>
  <r>
    <n v="2923"/>
    <n v="2479"/>
    <n v="0.33333333333333331"/>
    <x v="7"/>
    <d v="2024-08-13T00:00:00"/>
    <x v="1"/>
    <n v="16"/>
    <x v="2819"/>
    <x v="2"/>
    <x v="10"/>
    <n v="2"/>
    <n v="30"/>
    <n v="60"/>
    <n v="0"/>
  </r>
  <r>
    <n v="2924"/>
    <n v="2479"/>
    <n v="0.33333333333333331"/>
    <x v="7"/>
    <d v="2024-08-13T00:00:00"/>
    <x v="1"/>
    <n v="11"/>
    <x v="2820"/>
    <x v="0"/>
    <x v="16"/>
    <n v="2"/>
    <n v="5"/>
    <n v="10"/>
    <n v="0"/>
  </r>
  <r>
    <n v="2925"/>
    <n v="2480"/>
    <n v="0.33333333333333331"/>
    <x v="7"/>
    <d v="2024-08-13T00:00:00"/>
    <x v="1"/>
    <n v="9"/>
    <x v="2821"/>
    <x v="1"/>
    <x v="4"/>
    <n v="5"/>
    <n v="600"/>
    <n v="3000"/>
    <n v="1"/>
  </r>
  <r>
    <n v="2926"/>
    <n v="2480"/>
    <n v="0.33333333333333331"/>
    <x v="7"/>
    <d v="2024-08-13T00:00:00"/>
    <x v="1"/>
    <n v="13"/>
    <x v="2822"/>
    <x v="2"/>
    <x v="15"/>
    <n v="5"/>
    <n v="25"/>
    <n v="125"/>
    <n v="0"/>
  </r>
  <r>
    <n v="2927"/>
    <n v="2480"/>
    <n v="0.33333333333333331"/>
    <x v="7"/>
    <d v="2024-08-13T00:00:00"/>
    <x v="1"/>
    <n v="9"/>
    <x v="2823"/>
    <x v="0"/>
    <x v="0"/>
    <n v="2"/>
    <n v="20"/>
    <n v="40"/>
    <n v="0"/>
  </r>
  <r>
    <n v="2928"/>
    <n v="2481"/>
    <n v="1"/>
    <x v="7"/>
    <d v="2024-08-13T00:00:00"/>
    <x v="1"/>
    <n v="10"/>
    <x v="2824"/>
    <x v="2"/>
    <x v="5"/>
    <n v="4"/>
    <n v="20"/>
    <n v="80"/>
    <n v="1"/>
  </r>
  <r>
    <n v="2929"/>
    <n v="2482"/>
    <n v="0.33333333333333331"/>
    <x v="7"/>
    <d v="2024-08-13T00:00:00"/>
    <x v="1"/>
    <n v="12"/>
    <x v="2825"/>
    <x v="2"/>
    <x v="5"/>
    <n v="2"/>
    <n v="20"/>
    <n v="40"/>
    <n v="1"/>
  </r>
  <r>
    <n v="2930"/>
    <n v="2482"/>
    <n v="0.33333333333333331"/>
    <x v="7"/>
    <d v="2024-08-13T00:00:00"/>
    <x v="1"/>
    <n v="19"/>
    <x v="2826"/>
    <x v="1"/>
    <x v="12"/>
    <n v="1"/>
    <n v="1000"/>
    <n v="1000"/>
    <n v="0"/>
  </r>
  <r>
    <n v="2931"/>
    <n v="2482"/>
    <n v="0.33333333333333331"/>
    <x v="7"/>
    <d v="2024-08-13T00:00:00"/>
    <x v="1"/>
    <n v="15"/>
    <x v="2827"/>
    <x v="0"/>
    <x v="16"/>
    <n v="2"/>
    <n v="5"/>
    <n v="10"/>
    <n v="0"/>
  </r>
  <r>
    <n v="2932"/>
    <n v="2483"/>
    <n v="0.33333333333333331"/>
    <x v="7"/>
    <d v="2024-08-14T00:00:00"/>
    <x v="2"/>
    <n v="20"/>
    <x v="2828"/>
    <x v="1"/>
    <x v="2"/>
    <n v="3"/>
    <n v="680"/>
    <n v="2040"/>
    <n v="1"/>
  </r>
  <r>
    <n v="2933"/>
    <n v="2483"/>
    <n v="0.33333333333333331"/>
    <x v="7"/>
    <d v="2024-08-14T00:00:00"/>
    <x v="2"/>
    <n v="11"/>
    <x v="2829"/>
    <x v="3"/>
    <x v="13"/>
    <n v="3"/>
    <n v="55"/>
    <n v="165"/>
    <n v="0"/>
  </r>
  <r>
    <n v="2934"/>
    <n v="2483"/>
    <n v="0.33333333333333331"/>
    <x v="7"/>
    <d v="2024-08-14T00:00:00"/>
    <x v="2"/>
    <n v="17"/>
    <x v="2830"/>
    <x v="3"/>
    <x v="14"/>
    <n v="1"/>
    <n v="40"/>
    <n v="40"/>
    <n v="0"/>
  </r>
  <r>
    <n v="2935"/>
    <n v="2484"/>
    <n v="0.33333333333333331"/>
    <x v="7"/>
    <d v="2024-08-14T00:00:00"/>
    <x v="2"/>
    <n v="16"/>
    <x v="2831"/>
    <x v="0"/>
    <x v="0"/>
    <n v="3"/>
    <n v="20"/>
    <n v="60"/>
    <n v="1"/>
  </r>
  <r>
    <n v="2936"/>
    <n v="2484"/>
    <n v="0.33333333333333331"/>
    <x v="7"/>
    <d v="2024-08-14T00:00:00"/>
    <x v="2"/>
    <n v="15"/>
    <x v="2832"/>
    <x v="3"/>
    <x v="6"/>
    <n v="5"/>
    <n v="50"/>
    <n v="250"/>
    <n v="0"/>
  </r>
  <r>
    <n v="2937"/>
    <n v="2484"/>
    <n v="0.33333333333333331"/>
    <x v="7"/>
    <d v="2024-08-14T00:00:00"/>
    <x v="2"/>
    <n v="16"/>
    <x v="2833"/>
    <x v="1"/>
    <x v="2"/>
    <n v="1"/>
    <n v="680"/>
    <n v="680"/>
    <n v="0"/>
  </r>
  <r>
    <n v="2938"/>
    <n v="2485"/>
    <n v="1"/>
    <x v="7"/>
    <d v="2024-08-14T00:00:00"/>
    <x v="2"/>
    <n v="19"/>
    <x v="2834"/>
    <x v="2"/>
    <x v="11"/>
    <n v="5"/>
    <n v="35"/>
    <n v="175"/>
    <n v="1"/>
  </r>
  <r>
    <n v="2939"/>
    <n v="2486"/>
    <n v="0.33333333333333331"/>
    <x v="7"/>
    <d v="2024-08-14T00:00:00"/>
    <x v="2"/>
    <n v="14"/>
    <x v="2835"/>
    <x v="1"/>
    <x v="12"/>
    <n v="1"/>
    <n v="1000"/>
    <n v="1000"/>
    <n v="1"/>
  </r>
  <r>
    <n v="2940"/>
    <n v="2486"/>
    <n v="0.33333333333333331"/>
    <x v="7"/>
    <d v="2024-08-14T00:00:00"/>
    <x v="2"/>
    <n v="10"/>
    <x v="2836"/>
    <x v="1"/>
    <x v="3"/>
    <n v="2"/>
    <n v="700"/>
    <n v="1400"/>
    <n v="0"/>
  </r>
  <r>
    <n v="2941"/>
    <n v="2486"/>
    <n v="0.33333333333333331"/>
    <x v="7"/>
    <d v="2024-08-14T00:00:00"/>
    <x v="2"/>
    <n v="15"/>
    <x v="2837"/>
    <x v="2"/>
    <x v="5"/>
    <n v="1"/>
    <n v="20"/>
    <n v="20"/>
    <n v="0"/>
  </r>
  <r>
    <n v="2942"/>
    <n v="2487"/>
    <n v="0.33333333333333331"/>
    <x v="7"/>
    <d v="2024-08-14T00:00:00"/>
    <x v="2"/>
    <n v="16"/>
    <x v="2838"/>
    <x v="1"/>
    <x v="12"/>
    <n v="1"/>
    <n v="1000"/>
    <n v="1000"/>
    <n v="1"/>
  </r>
  <r>
    <n v="2943"/>
    <n v="2487"/>
    <n v="0.33333333333333331"/>
    <x v="7"/>
    <d v="2024-08-14T00:00:00"/>
    <x v="2"/>
    <n v="13"/>
    <x v="2839"/>
    <x v="0"/>
    <x v="8"/>
    <n v="4"/>
    <n v="10"/>
    <n v="40"/>
    <n v="0"/>
  </r>
  <r>
    <n v="2944"/>
    <n v="2487"/>
    <n v="0.33333333333333331"/>
    <x v="7"/>
    <d v="2024-08-14T00:00:00"/>
    <x v="2"/>
    <n v="16"/>
    <x v="2840"/>
    <x v="3"/>
    <x v="6"/>
    <n v="5"/>
    <n v="50"/>
    <n v="250"/>
    <n v="0"/>
  </r>
  <r>
    <n v="2945"/>
    <n v="2488"/>
    <n v="1"/>
    <x v="7"/>
    <d v="2024-08-14T00:00:00"/>
    <x v="2"/>
    <n v="18"/>
    <x v="2841"/>
    <x v="0"/>
    <x v="8"/>
    <n v="1"/>
    <n v="10"/>
    <n v="10"/>
    <n v="1"/>
  </r>
  <r>
    <n v="2946"/>
    <n v="2489"/>
    <n v="1"/>
    <x v="7"/>
    <d v="2024-08-14T00:00:00"/>
    <x v="2"/>
    <n v="20"/>
    <x v="2842"/>
    <x v="0"/>
    <x v="8"/>
    <n v="4"/>
    <n v="10"/>
    <n v="40"/>
    <n v="1"/>
  </r>
  <r>
    <n v="2947"/>
    <n v="2490"/>
    <n v="0.33333333333333331"/>
    <x v="7"/>
    <d v="2024-08-15T00:00:00"/>
    <x v="3"/>
    <n v="13"/>
    <x v="2843"/>
    <x v="1"/>
    <x v="12"/>
    <n v="1"/>
    <n v="1000"/>
    <n v="1000"/>
    <n v="1"/>
  </r>
  <r>
    <n v="2948"/>
    <n v="2490"/>
    <n v="0.33333333333333331"/>
    <x v="7"/>
    <d v="2024-08-15T00:00:00"/>
    <x v="3"/>
    <n v="20"/>
    <x v="2844"/>
    <x v="3"/>
    <x v="14"/>
    <n v="4"/>
    <n v="40"/>
    <n v="160"/>
    <n v="0"/>
  </r>
  <r>
    <n v="2949"/>
    <n v="2490"/>
    <n v="0.33333333333333331"/>
    <x v="7"/>
    <d v="2024-08-15T00:00:00"/>
    <x v="3"/>
    <n v="19"/>
    <x v="2845"/>
    <x v="3"/>
    <x v="18"/>
    <n v="1"/>
    <n v="45"/>
    <n v="45"/>
    <n v="0"/>
  </r>
  <r>
    <n v="2950"/>
    <n v="2491"/>
    <n v="1"/>
    <x v="7"/>
    <d v="2024-08-15T00:00:00"/>
    <x v="3"/>
    <n v="17"/>
    <x v="2846"/>
    <x v="0"/>
    <x v="8"/>
    <n v="1"/>
    <n v="10"/>
    <n v="10"/>
    <n v="1"/>
  </r>
  <r>
    <n v="2951"/>
    <n v="2492"/>
    <n v="0.5"/>
    <x v="7"/>
    <d v="2024-08-15T00:00:00"/>
    <x v="3"/>
    <n v="17"/>
    <x v="2847"/>
    <x v="3"/>
    <x v="6"/>
    <n v="1"/>
    <n v="50"/>
    <n v="50"/>
    <n v="1"/>
  </r>
  <r>
    <n v="2952"/>
    <n v="2492"/>
    <n v="0.5"/>
    <x v="7"/>
    <d v="2024-08-15T00:00:00"/>
    <x v="3"/>
    <n v="19"/>
    <x v="2848"/>
    <x v="1"/>
    <x v="4"/>
    <n v="3"/>
    <n v="600"/>
    <n v="1800"/>
    <n v="0"/>
  </r>
  <r>
    <n v="2953"/>
    <n v="2493"/>
    <n v="0.33333333333333331"/>
    <x v="7"/>
    <d v="2024-08-15T00:00:00"/>
    <x v="3"/>
    <n v="17"/>
    <x v="2849"/>
    <x v="2"/>
    <x v="15"/>
    <n v="3"/>
    <n v="25"/>
    <n v="75"/>
    <n v="1"/>
  </r>
  <r>
    <n v="2954"/>
    <n v="2493"/>
    <n v="0.33333333333333331"/>
    <x v="7"/>
    <d v="2024-08-15T00:00:00"/>
    <x v="3"/>
    <n v="20"/>
    <x v="2850"/>
    <x v="2"/>
    <x v="10"/>
    <n v="4"/>
    <n v="30"/>
    <n v="120"/>
    <n v="0"/>
  </r>
  <r>
    <n v="2955"/>
    <n v="2493"/>
    <n v="0.33333333333333331"/>
    <x v="7"/>
    <d v="2024-08-15T00:00:00"/>
    <x v="3"/>
    <n v="16"/>
    <x v="881"/>
    <x v="1"/>
    <x v="3"/>
    <n v="1"/>
    <n v="700"/>
    <n v="700"/>
    <n v="0"/>
  </r>
  <r>
    <n v="2956"/>
    <n v="2494"/>
    <n v="0.5"/>
    <x v="7"/>
    <d v="2024-08-15T00:00:00"/>
    <x v="3"/>
    <n v="9"/>
    <x v="2851"/>
    <x v="2"/>
    <x v="11"/>
    <n v="5"/>
    <n v="35"/>
    <n v="175"/>
    <n v="1"/>
  </r>
  <r>
    <n v="2957"/>
    <n v="2494"/>
    <n v="0.5"/>
    <x v="7"/>
    <d v="2024-08-15T00:00:00"/>
    <x v="3"/>
    <n v="9"/>
    <x v="1358"/>
    <x v="2"/>
    <x v="11"/>
    <n v="5"/>
    <n v="35"/>
    <n v="175"/>
    <n v="0"/>
  </r>
  <r>
    <n v="2958"/>
    <n v="2495"/>
    <n v="1"/>
    <x v="7"/>
    <d v="2024-08-15T00:00:00"/>
    <x v="3"/>
    <n v="20"/>
    <x v="2852"/>
    <x v="0"/>
    <x v="9"/>
    <n v="5"/>
    <n v="15"/>
    <n v="75"/>
    <n v="1"/>
  </r>
  <r>
    <n v="2959"/>
    <n v="2496"/>
    <n v="0.33333333333333331"/>
    <x v="7"/>
    <d v="2024-08-16T00:00:00"/>
    <x v="4"/>
    <n v="10"/>
    <x v="2853"/>
    <x v="2"/>
    <x v="10"/>
    <n v="5"/>
    <n v="30"/>
    <n v="150"/>
    <n v="1"/>
  </r>
  <r>
    <n v="2960"/>
    <n v="2496"/>
    <n v="0.33333333333333331"/>
    <x v="7"/>
    <d v="2024-08-16T00:00:00"/>
    <x v="4"/>
    <n v="16"/>
    <x v="2854"/>
    <x v="3"/>
    <x v="13"/>
    <n v="1"/>
    <n v="55"/>
    <n v="55"/>
    <n v="0"/>
  </r>
  <r>
    <n v="2961"/>
    <n v="2496"/>
    <n v="0.33333333333333331"/>
    <x v="7"/>
    <d v="2024-08-16T00:00:00"/>
    <x v="4"/>
    <n v="15"/>
    <x v="2855"/>
    <x v="1"/>
    <x v="12"/>
    <n v="3"/>
    <n v="1000"/>
    <n v="3000"/>
    <n v="0"/>
  </r>
  <r>
    <n v="2962"/>
    <n v="2497"/>
    <n v="0.5"/>
    <x v="7"/>
    <d v="2024-08-16T00:00:00"/>
    <x v="4"/>
    <n v="18"/>
    <x v="2856"/>
    <x v="0"/>
    <x v="0"/>
    <n v="4"/>
    <n v="20"/>
    <n v="80"/>
    <n v="1"/>
  </r>
  <r>
    <n v="2963"/>
    <n v="2497"/>
    <n v="0.5"/>
    <x v="7"/>
    <d v="2024-08-16T00:00:00"/>
    <x v="4"/>
    <n v="11"/>
    <x v="2857"/>
    <x v="3"/>
    <x v="18"/>
    <n v="5"/>
    <n v="45"/>
    <n v="225"/>
    <n v="0"/>
  </r>
  <r>
    <n v="2964"/>
    <n v="2498"/>
    <n v="0.5"/>
    <x v="7"/>
    <d v="2024-08-16T00:00:00"/>
    <x v="4"/>
    <n v="20"/>
    <x v="2858"/>
    <x v="0"/>
    <x v="9"/>
    <n v="2"/>
    <n v="15"/>
    <n v="30"/>
    <n v="1"/>
  </r>
  <r>
    <n v="2965"/>
    <n v="2498"/>
    <n v="0.5"/>
    <x v="7"/>
    <d v="2024-08-16T00:00:00"/>
    <x v="4"/>
    <n v="19"/>
    <x v="2859"/>
    <x v="1"/>
    <x v="3"/>
    <n v="1"/>
    <n v="700"/>
    <n v="700"/>
    <n v="0"/>
  </r>
  <r>
    <n v="2966"/>
    <n v="2499"/>
    <n v="0.5"/>
    <x v="7"/>
    <d v="2024-08-16T00:00:00"/>
    <x v="4"/>
    <n v="9"/>
    <x v="1261"/>
    <x v="1"/>
    <x v="3"/>
    <n v="2"/>
    <n v="700"/>
    <n v="1400"/>
    <n v="1"/>
  </r>
  <r>
    <n v="2967"/>
    <n v="2499"/>
    <n v="0.5"/>
    <x v="7"/>
    <d v="2024-08-16T00:00:00"/>
    <x v="4"/>
    <n v="10"/>
    <x v="2860"/>
    <x v="0"/>
    <x v="0"/>
    <n v="2"/>
    <n v="20"/>
    <n v="40"/>
    <n v="0"/>
  </r>
  <r>
    <n v="2968"/>
    <n v="2500"/>
    <n v="0.5"/>
    <x v="7"/>
    <d v="2024-08-16T00:00:00"/>
    <x v="4"/>
    <n v="17"/>
    <x v="2861"/>
    <x v="2"/>
    <x v="5"/>
    <n v="1"/>
    <n v="20"/>
    <n v="20"/>
    <n v="1"/>
  </r>
  <r>
    <n v="2969"/>
    <n v="2500"/>
    <n v="0.5"/>
    <x v="7"/>
    <d v="2024-08-16T00:00:00"/>
    <x v="4"/>
    <n v="15"/>
    <x v="2862"/>
    <x v="1"/>
    <x v="4"/>
    <n v="2"/>
    <n v="600"/>
    <n v="1200"/>
    <n v="0"/>
  </r>
  <r>
    <n v="2970"/>
    <n v="2501"/>
    <n v="0.33333333333333331"/>
    <x v="7"/>
    <d v="2024-08-16T00:00:00"/>
    <x v="4"/>
    <n v="18"/>
    <x v="2863"/>
    <x v="1"/>
    <x v="4"/>
    <n v="2"/>
    <n v="600"/>
    <n v="1200"/>
    <n v="1"/>
  </r>
  <r>
    <n v="2971"/>
    <n v="2501"/>
    <n v="0.33333333333333331"/>
    <x v="7"/>
    <d v="2024-08-16T00:00:00"/>
    <x v="4"/>
    <n v="16"/>
    <x v="2864"/>
    <x v="0"/>
    <x v="7"/>
    <n v="5"/>
    <n v="25"/>
    <n v="125"/>
    <n v="0"/>
  </r>
  <r>
    <n v="2972"/>
    <n v="2501"/>
    <n v="0.33333333333333331"/>
    <x v="7"/>
    <d v="2024-08-16T00:00:00"/>
    <x v="4"/>
    <n v="15"/>
    <x v="2865"/>
    <x v="3"/>
    <x v="6"/>
    <n v="2"/>
    <n v="50"/>
    <n v="100"/>
    <n v="0"/>
  </r>
  <r>
    <n v="2973"/>
    <n v="2502"/>
    <n v="1"/>
    <x v="7"/>
    <d v="2024-08-16T00:00:00"/>
    <x v="4"/>
    <n v="14"/>
    <x v="2866"/>
    <x v="0"/>
    <x v="9"/>
    <n v="5"/>
    <n v="15"/>
    <n v="75"/>
    <n v="1"/>
  </r>
  <r>
    <n v="2974"/>
    <n v="2503"/>
    <n v="0.5"/>
    <x v="7"/>
    <d v="2024-08-16T00:00:00"/>
    <x v="4"/>
    <n v="10"/>
    <x v="2867"/>
    <x v="2"/>
    <x v="15"/>
    <n v="5"/>
    <n v="25"/>
    <n v="125"/>
    <n v="1"/>
  </r>
  <r>
    <n v="2975"/>
    <n v="2503"/>
    <n v="0.5"/>
    <x v="7"/>
    <d v="2024-08-16T00:00:00"/>
    <x v="4"/>
    <n v="19"/>
    <x v="2296"/>
    <x v="1"/>
    <x v="4"/>
    <n v="3"/>
    <n v="600"/>
    <n v="1800"/>
    <n v="0"/>
  </r>
  <r>
    <n v="2976"/>
    <n v="2504"/>
    <n v="0.33333333333333331"/>
    <x v="7"/>
    <d v="2024-08-16T00:00:00"/>
    <x v="4"/>
    <n v="12"/>
    <x v="2868"/>
    <x v="3"/>
    <x v="14"/>
    <n v="2"/>
    <n v="40"/>
    <n v="80"/>
    <n v="1"/>
  </r>
  <r>
    <n v="2977"/>
    <n v="2504"/>
    <n v="0.33333333333333331"/>
    <x v="7"/>
    <d v="2024-08-16T00:00:00"/>
    <x v="4"/>
    <n v="19"/>
    <x v="2869"/>
    <x v="0"/>
    <x v="8"/>
    <n v="1"/>
    <n v="10"/>
    <n v="10"/>
    <n v="0"/>
  </r>
  <r>
    <n v="2978"/>
    <n v="2504"/>
    <n v="0.33333333333333331"/>
    <x v="7"/>
    <d v="2024-08-16T00:00:00"/>
    <x v="4"/>
    <n v="15"/>
    <x v="2870"/>
    <x v="2"/>
    <x v="10"/>
    <n v="4"/>
    <n v="30"/>
    <n v="120"/>
    <n v="0"/>
  </r>
  <r>
    <n v="2979"/>
    <n v="2505"/>
    <n v="0.5"/>
    <x v="7"/>
    <d v="2024-08-16T00:00:00"/>
    <x v="4"/>
    <n v="13"/>
    <x v="2871"/>
    <x v="3"/>
    <x v="13"/>
    <n v="3"/>
    <n v="55"/>
    <n v="165"/>
    <n v="1"/>
  </r>
  <r>
    <n v="2980"/>
    <n v="2505"/>
    <n v="0.5"/>
    <x v="7"/>
    <d v="2024-08-16T00:00:00"/>
    <x v="4"/>
    <n v="16"/>
    <x v="2872"/>
    <x v="2"/>
    <x v="15"/>
    <n v="1"/>
    <n v="25"/>
    <n v="25"/>
    <n v="0"/>
  </r>
  <r>
    <n v="2981"/>
    <n v="2506"/>
    <n v="0.33333333333333331"/>
    <x v="7"/>
    <d v="2024-08-17T00:00:00"/>
    <x v="5"/>
    <n v="20"/>
    <x v="2873"/>
    <x v="1"/>
    <x v="4"/>
    <n v="1"/>
    <n v="600"/>
    <n v="600"/>
    <n v="1"/>
  </r>
  <r>
    <n v="2982"/>
    <n v="2506"/>
    <n v="0.33333333333333331"/>
    <x v="7"/>
    <d v="2024-08-17T00:00:00"/>
    <x v="5"/>
    <n v="11"/>
    <x v="2874"/>
    <x v="3"/>
    <x v="14"/>
    <n v="4"/>
    <n v="40"/>
    <n v="160"/>
    <n v="0"/>
  </r>
  <r>
    <n v="2983"/>
    <n v="2506"/>
    <n v="0.33333333333333331"/>
    <x v="7"/>
    <d v="2024-08-17T00:00:00"/>
    <x v="5"/>
    <n v="13"/>
    <x v="2875"/>
    <x v="3"/>
    <x v="14"/>
    <n v="4"/>
    <n v="40"/>
    <n v="160"/>
    <n v="0"/>
  </r>
  <r>
    <n v="2984"/>
    <n v="2507"/>
    <n v="0.33333333333333331"/>
    <x v="7"/>
    <d v="2024-08-17T00:00:00"/>
    <x v="5"/>
    <n v="20"/>
    <x v="2876"/>
    <x v="2"/>
    <x v="5"/>
    <n v="4"/>
    <n v="20"/>
    <n v="80"/>
    <n v="1"/>
  </r>
  <r>
    <n v="2985"/>
    <n v="2507"/>
    <n v="0.33333333333333331"/>
    <x v="7"/>
    <d v="2024-08-17T00:00:00"/>
    <x v="5"/>
    <n v="14"/>
    <x v="2877"/>
    <x v="3"/>
    <x v="6"/>
    <n v="5"/>
    <n v="50"/>
    <n v="250"/>
    <n v="0"/>
  </r>
  <r>
    <n v="2986"/>
    <n v="2507"/>
    <n v="0.33333333333333331"/>
    <x v="7"/>
    <d v="2024-08-17T00:00:00"/>
    <x v="5"/>
    <n v="13"/>
    <x v="2878"/>
    <x v="2"/>
    <x v="10"/>
    <n v="2"/>
    <n v="30"/>
    <n v="60"/>
    <n v="0"/>
  </r>
  <r>
    <n v="2987"/>
    <n v="2508"/>
    <n v="1"/>
    <x v="7"/>
    <d v="2024-08-17T00:00:00"/>
    <x v="5"/>
    <n v="13"/>
    <x v="2879"/>
    <x v="1"/>
    <x v="3"/>
    <n v="2"/>
    <n v="700"/>
    <n v="1400"/>
    <n v="1"/>
  </r>
  <r>
    <n v="2988"/>
    <n v="2509"/>
    <n v="0.5"/>
    <x v="7"/>
    <d v="2024-08-17T00:00:00"/>
    <x v="5"/>
    <n v="20"/>
    <x v="2880"/>
    <x v="0"/>
    <x v="7"/>
    <n v="5"/>
    <n v="25"/>
    <n v="125"/>
    <n v="1"/>
  </r>
  <r>
    <n v="2989"/>
    <n v="2509"/>
    <n v="0.5"/>
    <x v="7"/>
    <d v="2024-08-17T00:00:00"/>
    <x v="5"/>
    <n v="18"/>
    <x v="2881"/>
    <x v="2"/>
    <x v="11"/>
    <n v="5"/>
    <n v="35"/>
    <n v="175"/>
    <n v="0"/>
  </r>
  <r>
    <n v="2990"/>
    <n v="2510"/>
    <n v="0.5"/>
    <x v="7"/>
    <d v="2024-08-17T00:00:00"/>
    <x v="5"/>
    <n v="11"/>
    <x v="2882"/>
    <x v="0"/>
    <x v="8"/>
    <n v="3"/>
    <n v="10"/>
    <n v="30"/>
    <n v="1"/>
  </r>
  <r>
    <n v="2991"/>
    <n v="2510"/>
    <n v="0.5"/>
    <x v="7"/>
    <d v="2024-08-17T00:00:00"/>
    <x v="5"/>
    <n v="13"/>
    <x v="2659"/>
    <x v="1"/>
    <x v="2"/>
    <n v="2"/>
    <n v="680"/>
    <n v="1360"/>
    <n v="0"/>
  </r>
  <r>
    <n v="2992"/>
    <n v="2511"/>
    <n v="0.5"/>
    <x v="7"/>
    <d v="2024-08-17T00:00:00"/>
    <x v="5"/>
    <n v="13"/>
    <x v="2883"/>
    <x v="1"/>
    <x v="4"/>
    <n v="3"/>
    <n v="600"/>
    <n v="1800"/>
    <n v="1"/>
  </r>
  <r>
    <n v="2993"/>
    <n v="2511"/>
    <n v="0.5"/>
    <x v="7"/>
    <d v="2024-08-17T00:00:00"/>
    <x v="5"/>
    <n v="13"/>
    <x v="2884"/>
    <x v="2"/>
    <x v="15"/>
    <n v="2"/>
    <n v="25"/>
    <n v="50"/>
    <n v="0"/>
  </r>
  <r>
    <n v="2994"/>
    <n v="2512"/>
    <n v="0.33333333333333331"/>
    <x v="7"/>
    <d v="2024-08-17T00:00:00"/>
    <x v="5"/>
    <n v="10"/>
    <x v="2885"/>
    <x v="0"/>
    <x v="8"/>
    <n v="1"/>
    <n v="10"/>
    <n v="10"/>
    <n v="1"/>
  </r>
  <r>
    <n v="2995"/>
    <n v="2512"/>
    <n v="0.33333333333333331"/>
    <x v="7"/>
    <d v="2024-08-17T00:00:00"/>
    <x v="5"/>
    <n v="10"/>
    <x v="2886"/>
    <x v="0"/>
    <x v="9"/>
    <n v="5"/>
    <n v="15"/>
    <n v="75"/>
    <n v="0"/>
  </r>
  <r>
    <n v="2996"/>
    <n v="2512"/>
    <n v="0.33333333333333331"/>
    <x v="7"/>
    <d v="2024-08-17T00:00:00"/>
    <x v="5"/>
    <n v="16"/>
    <x v="2887"/>
    <x v="1"/>
    <x v="1"/>
    <n v="1"/>
    <n v="650"/>
    <n v="650"/>
    <n v="0"/>
  </r>
  <r>
    <n v="2997"/>
    <n v="2513"/>
    <n v="1"/>
    <x v="7"/>
    <d v="2024-08-18T00:00:00"/>
    <x v="6"/>
    <n v="16"/>
    <x v="2888"/>
    <x v="1"/>
    <x v="3"/>
    <n v="5"/>
    <n v="700"/>
    <n v="3500"/>
    <n v="1"/>
  </r>
  <r>
    <n v="2998"/>
    <n v="2514"/>
    <n v="0.5"/>
    <x v="7"/>
    <d v="2024-08-18T00:00:00"/>
    <x v="6"/>
    <n v="11"/>
    <x v="2889"/>
    <x v="2"/>
    <x v="5"/>
    <n v="2"/>
    <n v="20"/>
    <n v="40"/>
    <n v="1"/>
  </r>
  <r>
    <n v="2999"/>
    <n v="2514"/>
    <n v="0.5"/>
    <x v="7"/>
    <d v="2024-08-18T00:00:00"/>
    <x v="6"/>
    <n v="20"/>
    <x v="2890"/>
    <x v="0"/>
    <x v="8"/>
    <n v="2"/>
    <n v="10"/>
    <n v="20"/>
    <n v="0"/>
  </r>
  <r>
    <n v="3000"/>
    <n v="2515"/>
    <n v="0.33333333333333331"/>
    <x v="7"/>
    <d v="2024-08-18T00:00:00"/>
    <x v="6"/>
    <n v="9"/>
    <x v="2891"/>
    <x v="0"/>
    <x v="7"/>
    <n v="3"/>
    <n v="25"/>
    <n v="75"/>
    <n v="1"/>
  </r>
  <r>
    <n v="3001"/>
    <n v="2515"/>
    <n v="0.33333333333333331"/>
    <x v="7"/>
    <d v="2024-08-18T00:00:00"/>
    <x v="6"/>
    <n v="17"/>
    <x v="2892"/>
    <x v="2"/>
    <x v="11"/>
    <n v="1"/>
    <n v="35"/>
    <n v="35"/>
    <n v="0"/>
  </r>
  <r>
    <n v="3002"/>
    <n v="2515"/>
    <n v="0.33333333333333331"/>
    <x v="7"/>
    <d v="2024-08-18T00:00:00"/>
    <x v="6"/>
    <n v="20"/>
    <x v="2893"/>
    <x v="3"/>
    <x v="18"/>
    <n v="5"/>
    <n v="45"/>
    <n v="225"/>
    <n v="0"/>
  </r>
  <r>
    <n v="3003"/>
    <n v="2516"/>
    <n v="0.33333333333333331"/>
    <x v="7"/>
    <d v="2024-08-19T00:00:00"/>
    <x v="0"/>
    <n v="17"/>
    <x v="2894"/>
    <x v="2"/>
    <x v="15"/>
    <n v="2"/>
    <n v="25"/>
    <n v="50"/>
    <n v="1"/>
  </r>
  <r>
    <n v="3004"/>
    <n v="2516"/>
    <n v="0.33333333333333331"/>
    <x v="7"/>
    <d v="2024-08-19T00:00:00"/>
    <x v="0"/>
    <n v="11"/>
    <x v="2895"/>
    <x v="2"/>
    <x v="10"/>
    <n v="4"/>
    <n v="30"/>
    <n v="120"/>
    <n v="0"/>
  </r>
  <r>
    <n v="3005"/>
    <n v="2516"/>
    <n v="0.33333333333333331"/>
    <x v="7"/>
    <d v="2024-08-19T00:00:00"/>
    <x v="0"/>
    <n v="10"/>
    <x v="2896"/>
    <x v="3"/>
    <x v="18"/>
    <n v="5"/>
    <n v="45"/>
    <n v="225"/>
    <n v="0"/>
  </r>
  <r>
    <n v="3006"/>
    <n v="2517"/>
    <n v="1"/>
    <x v="7"/>
    <d v="2024-08-19T00:00:00"/>
    <x v="0"/>
    <n v="18"/>
    <x v="2897"/>
    <x v="3"/>
    <x v="14"/>
    <n v="5"/>
    <n v="40"/>
    <n v="200"/>
    <n v="1"/>
  </r>
  <r>
    <n v="3007"/>
    <n v="2518"/>
    <n v="0.5"/>
    <x v="7"/>
    <d v="2024-08-19T00:00:00"/>
    <x v="0"/>
    <n v="11"/>
    <x v="2898"/>
    <x v="0"/>
    <x v="16"/>
    <n v="1"/>
    <n v="5"/>
    <n v="5"/>
    <n v="1"/>
  </r>
  <r>
    <n v="3008"/>
    <n v="2518"/>
    <n v="0.5"/>
    <x v="7"/>
    <d v="2024-08-19T00:00:00"/>
    <x v="0"/>
    <n v="13"/>
    <x v="2899"/>
    <x v="2"/>
    <x v="11"/>
    <n v="1"/>
    <n v="35"/>
    <n v="35"/>
    <n v="0"/>
  </r>
  <r>
    <n v="3009"/>
    <n v="2519"/>
    <n v="1"/>
    <x v="7"/>
    <d v="2024-08-19T00:00:00"/>
    <x v="0"/>
    <n v="10"/>
    <x v="2900"/>
    <x v="1"/>
    <x v="3"/>
    <n v="3"/>
    <n v="700"/>
    <n v="2100"/>
    <n v="1"/>
  </r>
  <r>
    <n v="3010"/>
    <n v="2520"/>
    <n v="0.33333333333333331"/>
    <x v="7"/>
    <d v="2024-08-19T00:00:00"/>
    <x v="0"/>
    <n v="18"/>
    <x v="2901"/>
    <x v="3"/>
    <x v="6"/>
    <n v="5"/>
    <n v="50"/>
    <n v="250"/>
    <n v="1"/>
  </r>
  <r>
    <n v="3011"/>
    <n v="2520"/>
    <n v="0.33333333333333331"/>
    <x v="7"/>
    <d v="2024-08-19T00:00:00"/>
    <x v="0"/>
    <n v="16"/>
    <x v="2902"/>
    <x v="0"/>
    <x v="16"/>
    <n v="3"/>
    <n v="5"/>
    <n v="15"/>
    <n v="0"/>
  </r>
  <r>
    <n v="3012"/>
    <n v="2520"/>
    <n v="0.33333333333333331"/>
    <x v="7"/>
    <d v="2024-08-19T00:00:00"/>
    <x v="0"/>
    <n v="17"/>
    <x v="2903"/>
    <x v="0"/>
    <x v="16"/>
    <n v="1"/>
    <n v="5"/>
    <n v="5"/>
    <n v="0"/>
  </r>
  <r>
    <n v="3013"/>
    <n v="2521"/>
    <n v="0.33333333333333331"/>
    <x v="7"/>
    <d v="2024-08-19T00:00:00"/>
    <x v="0"/>
    <n v="19"/>
    <x v="2904"/>
    <x v="0"/>
    <x v="7"/>
    <n v="4"/>
    <n v="25"/>
    <n v="100"/>
    <n v="1"/>
  </r>
  <r>
    <n v="3014"/>
    <n v="2521"/>
    <n v="0.33333333333333331"/>
    <x v="7"/>
    <d v="2024-08-19T00:00:00"/>
    <x v="0"/>
    <n v="17"/>
    <x v="2905"/>
    <x v="0"/>
    <x v="16"/>
    <n v="2"/>
    <n v="5"/>
    <n v="10"/>
    <n v="0"/>
  </r>
  <r>
    <n v="3015"/>
    <n v="2521"/>
    <n v="0.33333333333333331"/>
    <x v="7"/>
    <d v="2024-08-19T00:00:00"/>
    <x v="0"/>
    <n v="12"/>
    <x v="2906"/>
    <x v="2"/>
    <x v="10"/>
    <n v="3"/>
    <n v="30"/>
    <n v="90"/>
    <n v="0"/>
  </r>
  <r>
    <n v="3016"/>
    <n v="2522"/>
    <n v="0.5"/>
    <x v="7"/>
    <d v="2024-08-19T00:00:00"/>
    <x v="0"/>
    <n v="14"/>
    <x v="2907"/>
    <x v="0"/>
    <x v="16"/>
    <n v="1"/>
    <n v="5"/>
    <n v="5"/>
    <n v="1"/>
  </r>
  <r>
    <n v="3017"/>
    <n v="2522"/>
    <n v="0.5"/>
    <x v="7"/>
    <d v="2024-08-19T00:00:00"/>
    <x v="0"/>
    <n v="12"/>
    <x v="2908"/>
    <x v="1"/>
    <x v="4"/>
    <n v="2"/>
    <n v="600"/>
    <n v="1200"/>
    <n v="0"/>
  </r>
  <r>
    <n v="3018"/>
    <n v="2523"/>
    <n v="0.33333333333333331"/>
    <x v="7"/>
    <d v="2024-08-19T00:00:00"/>
    <x v="0"/>
    <n v="16"/>
    <x v="202"/>
    <x v="2"/>
    <x v="10"/>
    <n v="1"/>
    <n v="30"/>
    <n v="30"/>
    <n v="1"/>
  </r>
  <r>
    <n v="3019"/>
    <n v="2523"/>
    <n v="0.33333333333333331"/>
    <x v="7"/>
    <d v="2024-08-19T00:00:00"/>
    <x v="0"/>
    <n v="18"/>
    <x v="2909"/>
    <x v="1"/>
    <x v="1"/>
    <n v="1"/>
    <n v="650"/>
    <n v="650"/>
    <n v="0"/>
  </r>
  <r>
    <n v="3020"/>
    <n v="2523"/>
    <n v="0.33333333333333331"/>
    <x v="7"/>
    <d v="2024-08-19T00:00:00"/>
    <x v="0"/>
    <n v="10"/>
    <x v="2910"/>
    <x v="3"/>
    <x v="14"/>
    <n v="4"/>
    <n v="40"/>
    <n v="160"/>
    <n v="0"/>
  </r>
  <r>
    <n v="3021"/>
    <n v="2524"/>
    <n v="0.33333333333333331"/>
    <x v="7"/>
    <d v="2024-08-19T00:00:00"/>
    <x v="0"/>
    <n v="10"/>
    <x v="2911"/>
    <x v="2"/>
    <x v="15"/>
    <n v="1"/>
    <n v="25"/>
    <n v="25"/>
    <n v="1"/>
  </r>
  <r>
    <n v="3022"/>
    <n v="2524"/>
    <n v="0.33333333333333331"/>
    <x v="7"/>
    <d v="2024-08-19T00:00:00"/>
    <x v="0"/>
    <n v="9"/>
    <x v="2912"/>
    <x v="2"/>
    <x v="15"/>
    <n v="4"/>
    <n v="25"/>
    <n v="100"/>
    <n v="0"/>
  </r>
  <r>
    <n v="3023"/>
    <n v="2524"/>
    <n v="0.33333333333333331"/>
    <x v="7"/>
    <d v="2024-08-19T00:00:00"/>
    <x v="0"/>
    <n v="20"/>
    <x v="2913"/>
    <x v="1"/>
    <x v="12"/>
    <n v="2"/>
    <n v="1000"/>
    <n v="2000"/>
    <n v="0"/>
  </r>
  <r>
    <n v="3024"/>
    <n v="2525"/>
    <n v="0.5"/>
    <x v="7"/>
    <d v="2024-08-20T00:00:00"/>
    <x v="1"/>
    <n v="14"/>
    <x v="2914"/>
    <x v="3"/>
    <x v="14"/>
    <n v="5"/>
    <n v="40"/>
    <n v="200"/>
    <n v="1"/>
  </r>
  <r>
    <n v="3025"/>
    <n v="2525"/>
    <n v="0.5"/>
    <x v="7"/>
    <d v="2024-08-20T00:00:00"/>
    <x v="1"/>
    <n v="11"/>
    <x v="2915"/>
    <x v="2"/>
    <x v="11"/>
    <n v="5"/>
    <n v="35"/>
    <n v="175"/>
    <n v="0"/>
  </r>
  <r>
    <n v="3026"/>
    <n v="2526"/>
    <n v="0.33333333333333331"/>
    <x v="7"/>
    <d v="2024-08-20T00:00:00"/>
    <x v="1"/>
    <n v="11"/>
    <x v="2916"/>
    <x v="0"/>
    <x v="7"/>
    <n v="5"/>
    <n v="25"/>
    <n v="125"/>
    <n v="1"/>
  </r>
  <r>
    <n v="3027"/>
    <n v="2526"/>
    <n v="0.33333333333333331"/>
    <x v="7"/>
    <d v="2024-08-20T00:00:00"/>
    <x v="1"/>
    <n v="16"/>
    <x v="2917"/>
    <x v="0"/>
    <x v="0"/>
    <n v="1"/>
    <n v="20"/>
    <n v="20"/>
    <n v="0"/>
  </r>
  <r>
    <n v="3028"/>
    <n v="2526"/>
    <n v="0.33333333333333331"/>
    <x v="7"/>
    <d v="2024-08-20T00:00:00"/>
    <x v="1"/>
    <n v="19"/>
    <x v="2918"/>
    <x v="1"/>
    <x v="12"/>
    <n v="5"/>
    <n v="1000"/>
    <n v="5000"/>
    <n v="0"/>
  </r>
  <r>
    <n v="3029"/>
    <n v="2527"/>
    <n v="1"/>
    <x v="7"/>
    <d v="2024-08-20T00:00:00"/>
    <x v="1"/>
    <n v="14"/>
    <x v="2919"/>
    <x v="0"/>
    <x v="9"/>
    <n v="2"/>
    <n v="15"/>
    <n v="30"/>
    <n v="1"/>
  </r>
  <r>
    <n v="3030"/>
    <n v="2528"/>
    <n v="1"/>
    <x v="7"/>
    <d v="2024-08-20T00:00:00"/>
    <x v="1"/>
    <n v="9"/>
    <x v="2920"/>
    <x v="2"/>
    <x v="11"/>
    <n v="4"/>
    <n v="35"/>
    <n v="140"/>
    <n v="1"/>
  </r>
  <r>
    <n v="3031"/>
    <n v="2529"/>
    <n v="0.33333333333333331"/>
    <x v="7"/>
    <d v="2024-08-20T00:00:00"/>
    <x v="1"/>
    <n v="12"/>
    <x v="2921"/>
    <x v="1"/>
    <x v="3"/>
    <n v="1"/>
    <n v="700"/>
    <n v="700"/>
    <n v="1"/>
  </r>
  <r>
    <n v="3032"/>
    <n v="2529"/>
    <n v="0.33333333333333331"/>
    <x v="7"/>
    <d v="2024-08-20T00:00:00"/>
    <x v="1"/>
    <n v="9"/>
    <x v="2922"/>
    <x v="1"/>
    <x v="2"/>
    <n v="1"/>
    <n v="680"/>
    <n v="680"/>
    <n v="0"/>
  </r>
  <r>
    <n v="3033"/>
    <n v="2529"/>
    <n v="0.33333333333333331"/>
    <x v="7"/>
    <d v="2024-08-20T00:00:00"/>
    <x v="1"/>
    <n v="16"/>
    <x v="2923"/>
    <x v="2"/>
    <x v="15"/>
    <n v="1"/>
    <n v="25"/>
    <n v="25"/>
    <n v="0"/>
  </r>
  <r>
    <n v="3034"/>
    <n v="2530"/>
    <n v="0.5"/>
    <x v="7"/>
    <d v="2024-08-20T00:00:00"/>
    <x v="1"/>
    <n v="9"/>
    <x v="227"/>
    <x v="3"/>
    <x v="6"/>
    <n v="1"/>
    <n v="50"/>
    <n v="50"/>
    <n v="1"/>
  </r>
  <r>
    <n v="3035"/>
    <n v="2530"/>
    <n v="0.5"/>
    <x v="7"/>
    <d v="2024-08-20T00:00:00"/>
    <x v="1"/>
    <n v="13"/>
    <x v="2924"/>
    <x v="0"/>
    <x v="16"/>
    <n v="5"/>
    <n v="5"/>
    <n v="25"/>
    <n v="0"/>
  </r>
  <r>
    <n v="3036"/>
    <n v="2531"/>
    <n v="0.33333333333333331"/>
    <x v="7"/>
    <d v="2024-08-20T00:00:00"/>
    <x v="1"/>
    <n v="12"/>
    <x v="2925"/>
    <x v="2"/>
    <x v="5"/>
    <n v="1"/>
    <n v="20"/>
    <n v="20"/>
    <n v="1"/>
  </r>
  <r>
    <n v="3037"/>
    <n v="2531"/>
    <n v="0.33333333333333331"/>
    <x v="7"/>
    <d v="2024-08-20T00:00:00"/>
    <x v="1"/>
    <n v="12"/>
    <x v="2926"/>
    <x v="3"/>
    <x v="13"/>
    <n v="4"/>
    <n v="55"/>
    <n v="220"/>
    <n v="0"/>
  </r>
  <r>
    <n v="3038"/>
    <n v="2531"/>
    <n v="0.33333333333333331"/>
    <x v="7"/>
    <d v="2024-08-20T00:00:00"/>
    <x v="1"/>
    <n v="13"/>
    <x v="2927"/>
    <x v="0"/>
    <x v="7"/>
    <n v="2"/>
    <n v="25"/>
    <n v="50"/>
    <n v="0"/>
  </r>
  <r>
    <n v="3039"/>
    <n v="2532"/>
    <n v="1"/>
    <x v="7"/>
    <d v="2024-08-21T00:00:00"/>
    <x v="2"/>
    <n v="16"/>
    <x v="2928"/>
    <x v="1"/>
    <x v="4"/>
    <n v="2"/>
    <n v="600"/>
    <n v="1200"/>
    <n v="1"/>
  </r>
  <r>
    <n v="3040"/>
    <n v="2533"/>
    <n v="0.5"/>
    <x v="7"/>
    <d v="2024-08-21T00:00:00"/>
    <x v="2"/>
    <n v="15"/>
    <x v="2929"/>
    <x v="2"/>
    <x v="11"/>
    <n v="2"/>
    <n v="35"/>
    <n v="70"/>
    <n v="1"/>
  </r>
  <r>
    <n v="3041"/>
    <n v="2533"/>
    <n v="0.5"/>
    <x v="7"/>
    <d v="2024-08-21T00:00:00"/>
    <x v="2"/>
    <n v="12"/>
    <x v="2930"/>
    <x v="1"/>
    <x v="12"/>
    <n v="3"/>
    <n v="1000"/>
    <n v="3000"/>
    <n v="0"/>
  </r>
  <r>
    <n v="3042"/>
    <n v="2534"/>
    <n v="1"/>
    <x v="7"/>
    <d v="2024-08-21T00:00:00"/>
    <x v="2"/>
    <n v="14"/>
    <x v="2931"/>
    <x v="3"/>
    <x v="14"/>
    <n v="2"/>
    <n v="40"/>
    <n v="80"/>
    <n v="1"/>
  </r>
  <r>
    <n v="3043"/>
    <n v="2535"/>
    <n v="0.33333333333333331"/>
    <x v="7"/>
    <d v="2024-08-21T00:00:00"/>
    <x v="2"/>
    <n v="13"/>
    <x v="2932"/>
    <x v="3"/>
    <x v="17"/>
    <n v="2"/>
    <n v="60"/>
    <n v="120"/>
    <n v="1"/>
  </r>
  <r>
    <n v="3044"/>
    <n v="2535"/>
    <n v="0.33333333333333331"/>
    <x v="7"/>
    <d v="2024-08-21T00:00:00"/>
    <x v="2"/>
    <n v="9"/>
    <x v="2933"/>
    <x v="3"/>
    <x v="6"/>
    <n v="5"/>
    <n v="50"/>
    <n v="250"/>
    <n v="0"/>
  </r>
  <r>
    <n v="3045"/>
    <n v="2535"/>
    <n v="0.33333333333333331"/>
    <x v="7"/>
    <d v="2024-08-21T00:00:00"/>
    <x v="2"/>
    <n v="11"/>
    <x v="2934"/>
    <x v="1"/>
    <x v="2"/>
    <n v="4"/>
    <n v="680"/>
    <n v="2720"/>
    <n v="0"/>
  </r>
  <r>
    <n v="3046"/>
    <n v="2536"/>
    <n v="0.5"/>
    <x v="7"/>
    <d v="2024-08-22T00:00:00"/>
    <x v="3"/>
    <n v="10"/>
    <x v="2935"/>
    <x v="3"/>
    <x v="6"/>
    <n v="5"/>
    <n v="50"/>
    <n v="250"/>
    <n v="1"/>
  </r>
  <r>
    <n v="3047"/>
    <n v="2536"/>
    <n v="0.5"/>
    <x v="7"/>
    <d v="2024-08-22T00:00:00"/>
    <x v="3"/>
    <n v="9"/>
    <x v="2936"/>
    <x v="0"/>
    <x v="9"/>
    <n v="3"/>
    <n v="15"/>
    <n v="45"/>
    <n v="0"/>
  </r>
  <r>
    <n v="3048"/>
    <n v="2537"/>
    <n v="0.33333333333333331"/>
    <x v="7"/>
    <d v="2024-08-22T00:00:00"/>
    <x v="3"/>
    <n v="14"/>
    <x v="2937"/>
    <x v="1"/>
    <x v="3"/>
    <n v="2"/>
    <n v="700"/>
    <n v="1400"/>
    <n v="1"/>
  </r>
  <r>
    <n v="3049"/>
    <n v="2537"/>
    <n v="0.33333333333333331"/>
    <x v="7"/>
    <d v="2024-08-22T00:00:00"/>
    <x v="3"/>
    <n v="17"/>
    <x v="2938"/>
    <x v="2"/>
    <x v="10"/>
    <n v="5"/>
    <n v="30"/>
    <n v="150"/>
    <n v="0"/>
  </r>
  <r>
    <n v="3050"/>
    <n v="2537"/>
    <n v="0.33333333333333331"/>
    <x v="7"/>
    <d v="2024-08-22T00:00:00"/>
    <x v="3"/>
    <n v="11"/>
    <x v="2939"/>
    <x v="3"/>
    <x v="17"/>
    <n v="4"/>
    <n v="60"/>
    <n v="240"/>
    <n v="0"/>
  </r>
  <r>
    <n v="3051"/>
    <n v="2538"/>
    <n v="0.33333333333333331"/>
    <x v="7"/>
    <d v="2024-08-22T00:00:00"/>
    <x v="3"/>
    <n v="13"/>
    <x v="2940"/>
    <x v="3"/>
    <x v="13"/>
    <n v="3"/>
    <n v="55"/>
    <n v="165"/>
    <n v="1"/>
  </r>
  <r>
    <n v="3052"/>
    <n v="2538"/>
    <n v="0.33333333333333331"/>
    <x v="7"/>
    <d v="2024-08-22T00:00:00"/>
    <x v="3"/>
    <n v="11"/>
    <x v="2941"/>
    <x v="2"/>
    <x v="15"/>
    <n v="5"/>
    <n v="25"/>
    <n v="125"/>
    <n v="0"/>
  </r>
  <r>
    <n v="3053"/>
    <n v="2538"/>
    <n v="0.33333333333333331"/>
    <x v="7"/>
    <d v="2024-08-22T00:00:00"/>
    <x v="3"/>
    <n v="15"/>
    <x v="2942"/>
    <x v="3"/>
    <x v="14"/>
    <n v="1"/>
    <n v="40"/>
    <n v="40"/>
    <n v="0"/>
  </r>
  <r>
    <n v="3054"/>
    <n v="2539"/>
    <n v="1"/>
    <x v="7"/>
    <d v="2024-08-22T00:00:00"/>
    <x v="3"/>
    <n v="14"/>
    <x v="2943"/>
    <x v="0"/>
    <x v="7"/>
    <n v="5"/>
    <n v="25"/>
    <n v="125"/>
    <n v="1"/>
  </r>
  <r>
    <n v="3055"/>
    <n v="2540"/>
    <n v="0.33333333333333331"/>
    <x v="7"/>
    <d v="2024-08-22T00:00:00"/>
    <x v="3"/>
    <n v="17"/>
    <x v="2944"/>
    <x v="0"/>
    <x v="16"/>
    <n v="4"/>
    <n v="5"/>
    <n v="20"/>
    <n v="1"/>
  </r>
  <r>
    <n v="3056"/>
    <n v="2540"/>
    <n v="0.33333333333333331"/>
    <x v="7"/>
    <d v="2024-08-22T00:00:00"/>
    <x v="3"/>
    <n v="11"/>
    <x v="2945"/>
    <x v="0"/>
    <x v="7"/>
    <n v="1"/>
    <n v="25"/>
    <n v="25"/>
    <n v="0"/>
  </r>
  <r>
    <n v="3057"/>
    <n v="2540"/>
    <n v="0.33333333333333331"/>
    <x v="7"/>
    <d v="2024-08-22T00:00:00"/>
    <x v="3"/>
    <n v="10"/>
    <x v="2946"/>
    <x v="0"/>
    <x v="9"/>
    <n v="2"/>
    <n v="15"/>
    <n v="30"/>
    <n v="0"/>
  </r>
  <r>
    <n v="3058"/>
    <n v="2541"/>
    <n v="0.5"/>
    <x v="7"/>
    <d v="2024-08-22T00:00:00"/>
    <x v="3"/>
    <n v="12"/>
    <x v="2947"/>
    <x v="1"/>
    <x v="2"/>
    <n v="2"/>
    <n v="680"/>
    <n v="1360"/>
    <n v="1"/>
  </r>
  <r>
    <n v="3059"/>
    <n v="2541"/>
    <n v="0.5"/>
    <x v="7"/>
    <d v="2024-08-22T00:00:00"/>
    <x v="3"/>
    <n v="17"/>
    <x v="2948"/>
    <x v="1"/>
    <x v="12"/>
    <n v="3"/>
    <n v="1000"/>
    <n v="3000"/>
    <n v="0"/>
  </r>
  <r>
    <n v="3060"/>
    <n v="2542"/>
    <n v="0.33333333333333331"/>
    <x v="7"/>
    <d v="2024-08-23T00:00:00"/>
    <x v="4"/>
    <n v="11"/>
    <x v="2949"/>
    <x v="2"/>
    <x v="10"/>
    <n v="2"/>
    <n v="30"/>
    <n v="60"/>
    <n v="1"/>
  </r>
  <r>
    <n v="3061"/>
    <n v="2542"/>
    <n v="0.33333333333333331"/>
    <x v="7"/>
    <d v="2024-08-23T00:00:00"/>
    <x v="4"/>
    <n v="19"/>
    <x v="2950"/>
    <x v="0"/>
    <x v="9"/>
    <n v="3"/>
    <n v="15"/>
    <n v="45"/>
    <n v="0"/>
  </r>
  <r>
    <n v="3062"/>
    <n v="2542"/>
    <n v="0.33333333333333331"/>
    <x v="7"/>
    <d v="2024-08-23T00:00:00"/>
    <x v="4"/>
    <n v="16"/>
    <x v="2573"/>
    <x v="2"/>
    <x v="10"/>
    <n v="2"/>
    <n v="30"/>
    <n v="60"/>
    <n v="0"/>
  </r>
  <r>
    <n v="3063"/>
    <n v="2543"/>
    <n v="1"/>
    <x v="7"/>
    <d v="2024-08-23T00:00:00"/>
    <x v="4"/>
    <n v="14"/>
    <x v="2951"/>
    <x v="0"/>
    <x v="0"/>
    <n v="1"/>
    <n v="20"/>
    <n v="20"/>
    <n v="1"/>
  </r>
  <r>
    <n v="3064"/>
    <n v="2544"/>
    <n v="1"/>
    <x v="7"/>
    <d v="2024-08-23T00:00:00"/>
    <x v="4"/>
    <n v="9"/>
    <x v="2952"/>
    <x v="1"/>
    <x v="1"/>
    <n v="1"/>
    <n v="650"/>
    <n v="650"/>
    <n v="1"/>
  </r>
  <r>
    <n v="3065"/>
    <n v="2545"/>
    <n v="0.5"/>
    <x v="7"/>
    <d v="2024-08-23T00:00:00"/>
    <x v="4"/>
    <n v="17"/>
    <x v="2953"/>
    <x v="0"/>
    <x v="0"/>
    <n v="5"/>
    <n v="20"/>
    <n v="100"/>
    <n v="1"/>
  </r>
  <r>
    <n v="3066"/>
    <n v="2545"/>
    <n v="0.5"/>
    <x v="7"/>
    <d v="2024-08-23T00:00:00"/>
    <x v="4"/>
    <n v="10"/>
    <x v="2954"/>
    <x v="3"/>
    <x v="14"/>
    <n v="1"/>
    <n v="40"/>
    <n v="40"/>
    <n v="0"/>
  </r>
  <r>
    <n v="3067"/>
    <n v="2546"/>
    <n v="0.5"/>
    <x v="7"/>
    <d v="2024-08-23T00:00:00"/>
    <x v="4"/>
    <n v="19"/>
    <x v="2955"/>
    <x v="1"/>
    <x v="2"/>
    <n v="4"/>
    <n v="680"/>
    <n v="2720"/>
    <n v="1"/>
  </r>
  <r>
    <n v="3068"/>
    <n v="2546"/>
    <n v="0.5"/>
    <x v="7"/>
    <d v="2024-08-23T00:00:00"/>
    <x v="4"/>
    <n v="13"/>
    <x v="2956"/>
    <x v="0"/>
    <x v="0"/>
    <n v="5"/>
    <n v="20"/>
    <n v="100"/>
    <n v="0"/>
  </r>
  <r>
    <n v="3069"/>
    <n v="2547"/>
    <n v="1"/>
    <x v="7"/>
    <d v="2024-08-23T00:00:00"/>
    <x v="4"/>
    <n v="12"/>
    <x v="2957"/>
    <x v="1"/>
    <x v="4"/>
    <n v="1"/>
    <n v="600"/>
    <n v="600"/>
    <n v="1"/>
  </r>
  <r>
    <n v="3070"/>
    <n v="2548"/>
    <n v="0.33333333333333331"/>
    <x v="7"/>
    <d v="2024-08-24T00:00:00"/>
    <x v="5"/>
    <n v="19"/>
    <x v="2958"/>
    <x v="0"/>
    <x v="8"/>
    <n v="3"/>
    <n v="10"/>
    <n v="30"/>
    <n v="1"/>
  </r>
  <r>
    <n v="3071"/>
    <n v="2548"/>
    <n v="0.33333333333333331"/>
    <x v="7"/>
    <d v="2024-08-24T00:00:00"/>
    <x v="5"/>
    <n v="13"/>
    <x v="2959"/>
    <x v="1"/>
    <x v="2"/>
    <n v="3"/>
    <n v="680"/>
    <n v="2040"/>
    <n v="0"/>
  </r>
  <r>
    <n v="3072"/>
    <n v="2548"/>
    <n v="0.33333333333333331"/>
    <x v="7"/>
    <d v="2024-08-24T00:00:00"/>
    <x v="5"/>
    <n v="14"/>
    <x v="2960"/>
    <x v="1"/>
    <x v="1"/>
    <n v="2"/>
    <n v="650"/>
    <n v="1300"/>
    <n v="0"/>
  </r>
  <r>
    <n v="3073"/>
    <n v="2549"/>
    <n v="0.33333333333333331"/>
    <x v="7"/>
    <d v="2024-08-24T00:00:00"/>
    <x v="5"/>
    <n v="14"/>
    <x v="2961"/>
    <x v="2"/>
    <x v="15"/>
    <n v="5"/>
    <n v="25"/>
    <n v="125"/>
    <n v="1"/>
  </r>
  <r>
    <n v="3074"/>
    <n v="2549"/>
    <n v="0.33333333333333331"/>
    <x v="7"/>
    <d v="2024-08-24T00:00:00"/>
    <x v="5"/>
    <n v="13"/>
    <x v="2962"/>
    <x v="1"/>
    <x v="3"/>
    <n v="2"/>
    <n v="700"/>
    <n v="1400"/>
    <n v="0"/>
  </r>
  <r>
    <n v="3075"/>
    <n v="2549"/>
    <n v="0.33333333333333331"/>
    <x v="7"/>
    <d v="2024-08-24T00:00:00"/>
    <x v="5"/>
    <n v="19"/>
    <x v="2963"/>
    <x v="0"/>
    <x v="8"/>
    <n v="4"/>
    <n v="10"/>
    <n v="40"/>
    <n v="0"/>
  </r>
  <r>
    <n v="3076"/>
    <n v="2550"/>
    <n v="0.5"/>
    <x v="7"/>
    <d v="2024-08-24T00:00:00"/>
    <x v="5"/>
    <n v="18"/>
    <x v="2964"/>
    <x v="1"/>
    <x v="4"/>
    <n v="5"/>
    <n v="600"/>
    <n v="3000"/>
    <n v="1"/>
  </r>
  <r>
    <n v="3077"/>
    <n v="2550"/>
    <n v="0.5"/>
    <x v="7"/>
    <d v="2024-08-24T00:00:00"/>
    <x v="5"/>
    <n v="15"/>
    <x v="2965"/>
    <x v="3"/>
    <x v="17"/>
    <n v="4"/>
    <n v="60"/>
    <n v="240"/>
    <n v="0"/>
  </r>
  <r>
    <n v="3078"/>
    <n v="2551"/>
    <n v="0.5"/>
    <x v="7"/>
    <d v="2024-08-24T00:00:00"/>
    <x v="5"/>
    <n v="17"/>
    <x v="2966"/>
    <x v="3"/>
    <x v="17"/>
    <n v="3"/>
    <n v="60"/>
    <n v="180"/>
    <n v="1"/>
  </r>
  <r>
    <n v="3079"/>
    <n v="2551"/>
    <n v="0.5"/>
    <x v="7"/>
    <d v="2024-08-24T00:00:00"/>
    <x v="5"/>
    <n v="18"/>
    <x v="2967"/>
    <x v="1"/>
    <x v="3"/>
    <n v="5"/>
    <n v="700"/>
    <n v="3500"/>
    <n v="0"/>
  </r>
  <r>
    <n v="3080"/>
    <n v="2552"/>
    <n v="1"/>
    <x v="7"/>
    <d v="2024-08-24T00:00:00"/>
    <x v="5"/>
    <n v="17"/>
    <x v="2968"/>
    <x v="2"/>
    <x v="15"/>
    <n v="3"/>
    <n v="25"/>
    <n v="75"/>
    <n v="1"/>
  </r>
  <r>
    <n v="3081"/>
    <n v="2553"/>
    <n v="0.5"/>
    <x v="7"/>
    <d v="2024-08-24T00:00:00"/>
    <x v="5"/>
    <n v="12"/>
    <x v="2969"/>
    <x v="0"/>
    <x v="16"/>
    <n v="2"/>
    <n v="5"/>
    <n v="10"/>
    <n v="1"/>
  </r>
  <r>
    <n v="3082"/>
    <n v="2553"/>
    <n v="0.5"/>
    <x v="7"/>
    <d v="2024-08-24T00:00:00"/>
    <x v="5"/>
    <n v="11"/>
    <x v="2970"/>
    <x v="0"/>
    <x v="8"/>
    <n v="4"/>
    <n v="10"/>
    <n v="40"/>
    <n v="0"/>
  </r>
  <r>
    <n v="3083"/>
    <n v="2554"/>
    <n v="0.5"/>
    <x v="7"/>
    <d v="2024-08-24T00:00:00"/>
    <x v="5"/>
    <n v="15"/>
    <x v="30"/>
    <x v="2"/>
    <x v="15"/>
    <n v="5"/>
    <n v="25"/>
    <n v="125"/>
    <n v="1"/>
  </r>
  <r>
    <n v="3084"/>
    <n v="2554"/>
    <n v="0.5"/>
    <x v="7"/>
    <d v="2024-08-24T00:00:00"/>
    <x v="5"/>
    <n v="18"/>
    <x v="2971"/>
    <x v="3"/>
    <x v="18"/>
    <n v="3"/>
    <n v="45"/>
    <n v="135"/>
    <n v="0"/>
  </r>
  <r>
    <n v="3085"/>
    <n v="2555"/>
    <n v="1"/>
    <x v="7"/>
    <d v="2024-08-24T00:00:00"/>
    <x v="5"/>
    <n v="18"/>
    <x v="2972"/>
    <x v="2"/>
    <x v="15"/>
    <n v="1"/>
    <n v="25"/>
    <n v="25"/>
    <n v="1"/>
  </r>
  <r>
    <n v="3086"/>
    <n v="2556"/>
    <n v="1"/>
    <x v="7"/>
    <d v="2024-08-24T00:00:00"/>
    <x v="5"/>
    <n v="11"/>
    <x v="2973"/>
    <x v="1"/>
    <x v="4"/>
    <n v="1"/>
    <n v="600"/>
    <n v="600"/>
    <n v="1"/>
  </r>
  <r>
    <n v="3087"/>
    <n v="2557"/>
    <n v="1"/>
    <x v="7"/>
    <d v="2024-08-25T00:00:00"/>
    <x v="6"/>
    <n v="10"/>
    <x v="2974"/>
    <x v="3"/>
    <x v="13"/>
    <n v="1"/>
    <n v="55"/>
    <n v="55"/>
    <n v="1"/>
  </r>
  <r>
    <n v="3088"/>
    <n v="2558"/>
    <n v="0.5"/>
    <x v="7"/>
    <d v="2024-08-25T00:00:00"/>
    <x v="6"/>
    <n v="17"/>
    <x v="2975"/>
    <x v="3"/>
    <x v="6"/>
    <n v="5"/>
    <n v="50"/>
    <n v="250"/>
    <n v="1"/>
  </r>
  <r>
    <n v="3089"/>
    <n v="2558"/>
    <n v="0.5"/>
    <x v="7"/>
    <d v="2024-08-25T00:00:00"/>
    <x v="6"/>
    <n v="15"/>
    <x v="2976"/>
    <x v="1"/>
    <x v="12"/>
    <n v="4"/>
    <n v="1000"/>
    <n v="4000"/>
    <n v="0"/>
  </r>
  <r>
    <n v="3090"/>
    <n v="2559"/>
    <n v="0.5"/>
    <x v="7"/>
    <d v="2024-08-25T00:00:00"/>
    <x v="6"/>
    <n v="20"/>
    <x v="2977"/>
    <x v="2"/>
    <x v="15"/>
    <n v="3"/>
    <n v="25"/>
    <n v="75"/>
    <n v="1"/>
  </r>
  <r>
    <n v="3091"/>
    <n v="2559"/>
    <n v="0.5"/>
    <x v="7"/>
    <d v="2024-08-25T00:00:00"/>
    <x v="6"/>
    <n v="10"/>
    <x v="2978"/>
    <x v="1"/>
    <x v="1"/>
    <n v="5"/>
    <n v="650"/>
    <n v="3250"/>
    <n v="0"/>
  </r>
  <r>
    <n v="3092"/>
    <n v="2560"/>
    <n v="0.33333333333333331"/>
    <x v="7"/>
    <d v="2024-08-26T00:00:00"/>
    <x v="0"/>
    <n v="20"/>
    <x v="2979"/>
    <x v="0"/>
    <x v="0"/>
    <n v="2"/>
    <n v="20"/>
    <n v="40"/>
    <n v="1"/>
  </r>
  <r>
    <n v="3093"/>
    <n v="2560"/>
    <n v="0.33333333333333331"/>
    <x v="7"/>
    <d v="2024-08-26T00:00:00"/>
    <x v="0"/>
    <n v="15"/>
    <x v="2980"/>
    <x v="2"/>
    <x v="10"/>
    <n v="3"/>
    <n v="30"/>
    <n v="90"/>
    <n v="0"/>
  </r>
  <r>
    <n v="3094"/>
    <n v="2560"/>
    <n v="0.33333333333333331"/>
    <x v="7"/>
    <d v="2024-08-26T00:00:00"/>
    <x v="0"/>
    <n v="20"/>
    <x v="2981"/>
    <x v="1"/>
    <x v="1"/>
    <n v="4"/>
    <n v="650"/>
    <n v="2600"/>
    <n v="0"/>
  </r>
  <r>
    <n v="3095"/>
    <n v="2561"/>
    <n v="0.33333333333333331"/>
    <x v="7"/>
    <d v="2024-08-26T00:00:00"/>
    <x v="0"/>
    <n v="18"/>
    <x v="2982"/>
    <x v="1"/>
    <x v="3"/>
    <n v="4"/>
    <n v="700"/>
    <n v="2800"/>
    <n v="1"/>
  </r>
  <r>
    <n v="3096"/>
    <n v="2561"/>
    <n v="0.33333333333333331"/>
    <x v="7"/>
    <d v="2024-08-26T00:00:00"/>
    <x v="0"/>
    <n v="9"/>
    <x v="2983"/>
    <x v="3"/>
    <x v="13"/>
    <n v="1"/>
    <n v="55"/>
    <n v="55"/>
    <n v="0"/>
  </r>
  <r>
    <n v="3097"/>
    <n v="2561"/>
    <n v="0.33333333333333331"/>
    <x v="7"/>
    <d v="2024-08-26T00:00:00"/>
    <x v="0"/>
    <n v="19"/>
    <x v="2984"/>
    <x v="0"/>
    <x v="8"/>
    <n v="5"/>
    <n v="10"/>
    <n v="50"/>
    <n v="0"/>
  </r>
  <r>
    <n v="3098"/>
    <n v="2562"/>
    <n v="1"/>
    <x v="7"/>
    <d v="2024-08-26T00:00:00"/>
    <x v="0"/>
    <n v="15"/>
    <x v="2985"/>
    <x v="0"/>
    <x v="9"/>
    <n v="2"/>
    <n v="15"/>
    <n v="30"/>
    <n v="1"/>
  </r>
  <r>
    <n v="3099"/>
    <n v="2563"/>
    <n v="0.33333333333333331"/>
    <x v="7"/>
    <d v="2024-08-26T00:00:00"/>
    <x v="0"/>
    <n v="19"/>
    <x v="2986"/>
    <x v="0"/>
    <x v="0"/>
    <n v="1"/>
    <n v="20"/>
    <n v="20"/>
    <n v="1"/>
  </r>
  <r>
    <n v="3100"/>
    <n v="2563"/>
    <n v="0.33333333333333331"/>
    <x v="7"/>
    <d v="2024-08-26T00:00:00"/>
    <x v="0"/>
    <n v="9"/>
    <x v="2987"/>
    <x v="0"/>
    <x v="16"/>
    <n v="3"/>
    <n v="5"/>
    <n v="15"/>
    <n v="0"/>
  </r>
  <r>
    <n v="3101"/>
    <n v="2563"/>
    <n v="0.33333333333333331"/>
    <x v="7"/>
    <d v="2024-08-26T00:00:00"/>
    <x v="0"/>
    <n v="13"/>
    <x v="2988"/>
    <x v="1"/>
    <x v="3"/>
    <n v="4"/>
    <n v="700"/>
    <n v="2800"/>
    <n v="0"/>
  </r>
  <r>
    <n v="3102"/>
    <n v="2564"/>
    <n v="1"/>
    <x v="7"/>
    <d v="2024-08-27T00:00:00"/>
    <x v="1"/>
    <n v="13"/>
    <x v="2989"/>
    <x v="3"/>
    <x v="6"/>
    <n v="5"/>
    <n v="50"/>
    <n v="250"/>
    <n v="1"/>
  </r>
  <r>
    <n v="3103"/>
    <n v="2565"/>
    <n v="0.5"/>
    <x v="7"/>
    <d v="2024-08-27T00:00:00"/>
    <x v="1"/>
    <n v="18"/>
    <x v="2990"/>
    <x v="1"/>
    <x v="12"/>
    <n v="4"/>
    <n v="1000"/>
    <n v="4000"/>
    <n v="1"/>
  </r>
  <r>
    <n v="3104"/>
    <n v="2565"/>
    <n v="0.5"/>
    <x v="7"/>
    <d v="2024-08-27T00:00:00"/>
    <x v="1"/>
    <n v="14"/>
    <x v="2991"/>
    <x v="1"/>
    <x v="2"/>
    <n v="2"/>
    <n v="680"/>
    <n v="1360"/>
    <n v="0"/>
  </r>
  <r>
    <n v="3105"/>
    <n v="2566"/>
    <n v="0.5"/>
    <x v="7"/>
    <d v="2024-08-27T00:00:00"/>
    <x v="1"/>
    <n v="12"/>
    <x v="2992"/>
    <x v="1"/>
    <x v="4"/>
    <n v="4"/>
    <n v="600"/>
    <n v="2400"/>
    <n v="1"/>
  </r>
  <r>
    <n v="3106"/>
    <n v="2566"/>
    <n v="0.5"/>
    <x v="7"/>
    <d v="2024-08-27T00:00:00"/>
    <x v="1"/>
    <n v="9"/>
    <x v="2993"/>
    <x v="3"/>
    <x v="14"/>
    <n v="3"/>
    <n v="40"/>
    <n v="120"/>
    <n v="0"/>
  </r>
  <r>
    <n v="3107"/>
    <n v="2567"/>
    <n v="0.5"/>
    <x v="7"/>
    <d v="2024-08-27T00:00:00"/>
    <x v="1"/>
    <n v="12"/>
    <x v="2994"/>
    <x v="3"/>
    <x v="13"/>
    <n v="3"/>
    <n v="55"/>
    <n v="165"/>
    <n v="1"/>
  </r>
  <r>
    <n v="3108"/>
    <n v="2567"/>
    <n v="0.5"/>
    <x v="7"/>
    <d v="2024-08-27T00:00:00"/>
    <x v="1"/>
    <n v="9"/>
    <x v="2995"/>
    <x v="0"/>
    <x v="16"/>
    <n v="3"/>
    <n v="5"/>
    <n v="15"/>
    <n v="0"/>
  </r>
  <r>
    <n v="3109"/>
    <n v="2568"/>
    <n v="0.33333333333333331"/>
    <x v="7"/>
    <d v="2024-08-27T00:00:00"/>
    <x v="1"/>
    <n v="19"/>
    <x v="2996"/>
    <x v="2"/>
    <x v="5"/>
    <n v="5"/>
    <n v="20"/>
    <n v="100"/>
    <n v="1"/>
  </r>
  <r>
    <n v="3110"/>
    <n v="2568"/>
    <n v="0.33333333333333331"/>
    <x v="7"/>
    <d v="2024-08-27T00:00:00"/>
    <x v="1"/>
    <n v="19"/>
    <x v="2997"/>
    <x v="2"/>
    <x v="10"/>
    <n v="2"/>
    <n v="30"/>
    <n v="60"/>
    <n v="0"/>
  </r>
  <r>
    <n v="3111"/>
    <n v="2568"/>
    <n v="0.33333333333333331"/>
    <x v="7"/>
    <d v="2024-08-27T00:00:00"/>
    <x v="1"/>
    <n v="12"/>
    <x v="2998"/>
    <x v="0"/>
    <x v="9"/>
    <n v="5"/>
    <n v="15"/>
    <n v="75"/>
    <n v="0"/>
  </r>
  <r>
    <n v="3112"/>
    <n v="2569"/>
    <n v="0.33333333333333331"/>
    <x v="7"/>
    <d v="2024-08-27T00:00:00"/>
    <x v="1"/>
    <n v="20"/>
    <x v="2999"/>
    <x v="0"/>
    <x v="9"/>
    <n v="1"/>
    <n v="15"/>
    <n v="15"/>
    <n v="1"/>
  </r>
  <r>
    <n v="3113"/>
    <n v="2569"/>
    <n v="0.33333333333333331"/>
    <x v="7"/>
    <d v="2024-08-27T00:00:00"/>
    <x v="1"/>
    <n v="9"/>
    <x v="3000"/>
    <x v="3"/>
    <x v="13"/>
    <n v="4"/>
    <n v="55"/>
    <n v="220"/>
    <n v="0"/>
  </r>
  <r>
    <n v="3114"/>
    <n v="2569"/>
    <n v="0.33333333333333331"/>
    <x v="7"/>
    <d v="2024-08-27T00:00:00"/>
    <x v="1"/>
    <n v="14"/>
    <x v="3001"/>
    <x v="1"/>
    <x v="3"/>
    <n v="5"/>
    <n v="700"/>
    <n v="3500"/>
    <n v="0"/>
  </r>
  <r>
    <n v="3115"/>
    <n v="2570"/>
    <n v="1"/>
    <x v="7"/>
    <d v="2024-08-27T00:00:00"/>
    <x v="1"/>
    <n v="10"/>
    <x v="3002"/>
    <x v="0"/>
    <x v="9"/>
    <n v="3"/>
    <n v="15"/>
    <n v="45"/>
    <n v="1"/>
  </r>
  <r>
    <n v="3116"/>
    <n v="2571"/>
    <n v="0.33333333333333331"/>
    <x v="7"/>
    <d v="2024-08-27T00:00:00"/>
    <x v="1"/>
    <n v="15"/>
    <x v="3003"/>
    <x v="0"/>
    <x v="7"/>
    <n v="1"/>
    <n v="25"/>
    <n v="25"/>
    <n v="1"/>
  </r>
  <r>
    <n v="3117"/>
    <n v="2571"/>
    <n v="0.33333333333333331"/>
    <x v="7"/>
    <d v="2024-08-27T00:00:00"/>
    <x v="1"/>
    <n v="10"/>
    <x v="3004"/>
    <x v="1"/>
    <x v="1"/>
    <n v="4"/>
    <n v="650"/>
    <n v="2600"/>
    <n v="0"/>
  </r>
  <r>
    <n v="3118"/>
    <n v="2571"/>
    <n v="0.33333333333333331"/>
    <x v="7"/>
    <d v="2024-08-27T00:00:00"/>
    <x v="1"/>
    <n v="15"/>
    <x v="3005"/>
    <x v="2"/>
    <x v="10"/>
    <n v="4"/>
    <n v="30"/>
    <n v="120"/>
    <n v="0"/>
  </r>
  <r>
    <n v="3119"/>
    <n v="2572"/>
    <n v="0.5"/>
    <x v="7"/>
    <d v="2024-08-27T00:00:00"/>
    <x v="1"/>
    <n v="14"/>
    <x v="3006"/>
    <x v="2"/>
    <x v="10"/>
    <n v="2"/>
    <n v="30"/>
    <n v="60"/>
    <n v="1"/>
  </r>
  <r>
    <n v="3120"/>
    <n v="2572"/>
    <n v="0.5"/>
    <x v="7"/>
    <d v="2024-08-27T00:00:00"/>
    <x v="1"/>
    <n v="10"/>
    <x v="1012"/>
    <x v="0"/>
    <x v="9"/>
    <n v="4"/>
    <n v="15"/>
    <n v="60"/>
    <n v="0"/>
  </r>
  <r>
    <n v="3121"/>
    <n v="2573"/>
    <n v="1"/>
    <x v="7"/>
    <d v="2024-08-28T00:00:00"/>
    <x v="2"/>
    <n v="17"/>
    <x v="1953"/>
    <x v="2"/>
    <x v="5"/>
    <n v="4"/>
    <n v="20"/>
    <n v="80"/>
    <n v="1"/>
  </r>
  <r>
    <n v="3122"/>
    <n v="2574"/>
    <n v="1"/>
    <x v="7"/>
    <d v="2024-08-28T00:00:00"/>
    <x v="2"/>
    <n v="17"/>
    <x v="3007"/>
    <x v="0"/>
    <x v="0"/>
    <n v="2"/>
    <n v="20"/>
    <n v="40"/>
    <n v="1"/>
  </r>
  <r>
    <n v="3123"/>
    <n v="2575"/>
    <n v="1"/>
    <x v="7"/>
    <d v="2024-08-28T00:00:00"/>
    <x v="2"/>
    <n v="10"/>
    <x v="3008"/>
    <x v="2"/>
    <x v="11"/>
    <n v="2"/>
    <n v="35"/>
    <n v="70"/>
    <n v="1"/>
  </r>
  <r>
    <n v="3124"/>
    <n v="2576"/>
    <n v="0.5"/>
    <x v="7"/>
    <d v="2024-08-28T00:00:00"/>
    <x v="2"/>
    <n v="16"/>
    <x v="3009"/>
    <x v="3"/>
    <x v="17"/>
    <n v="4"/>
    <n v="60"/>
    <n v="240"/>
    <n v="1"/>
  </r>
  <r>
    <n v="3125"/>
    <n v="2576"/>
    <n v="0.5"/>
    <x v="7"/>
    <d v="2024-08-28T00:00:00"/>
    <x v="2"/>
    <n v="19"/>
    <x v="3010"/>
    <x v="2"/>
    <x v="11"/>
    <n v="5"/>
    <n v="35"/>
    <n v="175"/>
    <n v="0"/>
  </r>
  <r>
    <n v="3126"/>
    <n v="2577"/>
    <n v="0.33333333333333331"/>
    <x v="7"/>
    <d v="2024-08-28T00:00:00"/>
    <x v="2"/>
    <n v="15"/>
    <x v="3011"/>
    <x v="1"/>
    <x v="4"/>
    <n v="1"/>
    <n v="600"/>
    <n v="600"/>
    <n v="1"/>
  </r>
  <r>
    <n v="3127"/>
    <n v="2577"/>
    <n v="0.33333333333333331"/>
    <x v="7"/>
    <d v="2024-08-28T00:00:00"/>
    <x v="2"/>
    <n v="14"/>
    <x v="3012"/>
    <x v="2"/>
    <x v="10"/>
    <n v="1"/>
    <n v="30"/>
    <n v="30"/>
    <n v="0"/>
  </r>
  <r>
    <n v="3128"/>
    <n v="2577"/>
    <n v="0.33333333333333331"/>
    <x v="7"/>
    <d v="2024-08-28T00:00:00"/>
    <x v="2"/>
    <n v="13"/>
    <x v="3013"/>
    <x v="0"/>
    <x v="0"/>
    <n v="2"/>
    <n v="20"/>
    <n v="40"/>
    <n v="0"/>
  </r>
  <r>
    <n v="3129"/>
    <n v="2578"/>
    <n v="0.33333333333333331"/>
    <x v="7"/>
    <d v="2024-08-28T00:00:00"/>
    <x v="2"/>
    <n v="16"/>
    <x v="3014"/>
    <x v="2"/>
    <x v="11"/>
    <n v="5"/>
    <n v="35"/>
    <n v="175"/>
    <n v="1"/>
  </r>
  <r>
    <n v="3130"/>
    <n v="2578"/>
    <n v="0.33333333333333331"/>
    <x v="7"/>
    <d v="2024-08-28T00:00:00"/>
    <x v="2"/>
    <n v="16"/>
    <x v="3015"/>
    <x v="2"/>
    <x v="10"/>
    <n v="1"/>
    <n v="30"/>
    <n v="30"/>
    <n v="0"/>
  </r>
  <r>
    <n v="3131"/>
    <n v="2578"/>
    <n v="0.33333333333333331"/>
    <x v="7"/>
    <d v="2024-08-28T00:00:00"/>
    <x v="2"/>
    <n v="13"/>
    <x v="3016"/>
    <x v="0"/>
    <x v="7"/>
    <n v="1"/>
    <n v="25"/>
    <n v="25"/>
    <n v="0"/>
  </r>
  <r>
    <n v="3132"/>
    <n v="2579"/>
    <n v="0.5"/>
    <x v="7"/>
    <d v="2024-08-29T00:00:00"/>
    <x v="3"/>
    <n v="13"/>
    <x v="3017"/>
    <x v="2"/>
    <x v="5"/>
    <n v="1"/>
    <n v="20"/>
    <n v="20"/>
    <n v="1"/>
  </r>
  <r>
    <n v="3133"/>
    <n v="2579"/>
    <n v="0.5"/>
    <x v="7"/>
    <d v="2024-08-29T00:00:00"/>
    <x v="3"/>
    <n v="17"/>
    <x v="3018"/>
    <x v="2"/>
    <x v="10"/>
    <n v="2"/>
    <n v="30"/>
    <n v="60"/>
    <n v="0"/>
  </r>
  <r>
    <n v="3134"/>
    <n v="2580"/>
    <n v="1"/>
    <x v="7"/>
    <d v="2024-08-29T00:00:00"/>
    <x v="3"/>
    <n v="10"/>
    <x v="1922"/>
    <x v="0"/>
    <x v="9"/>
    <n v="1"/>
    <n v="15"/>
    <n v="15"/>
    <n v="1"/>
  </r>
  <r>
    <n v="3135"/>
    <n v="2581"/>
    <n v="0.5"/>
    <x v="7"/>
    <d v="2024-08-29T00:00:00"/>
    <x v="3"/>
    <n v="10"/>
    <x v="3019"/>
    <x v="2"/>
    <x v="11"/>
    <n v="1"/>
    <n v="35"/>
    <n v="35"/>
    <n v="1"/>
  </r>
  <r>
    <n v="3136"/>
    <n v="2581"/>
    <n v="0.5"/>
    <x v="7"/>
    <d v="2024-08-29T00:00:00"/>
    <x v="3"/>
    <n v="13"/>
    <x v="3020"/>
    <x v="0"/>
    <x v="7"/>
    <n v="5"/>
    <n v="25"/>
    <n v="125"/>
    <n v="0"/>
  </r>
  <r>
    <n v="3137"/>
    <n v="2582"/>
    <n v="1"/>
    <x v="7"/>
    <d v="2024-08-29T00:00:00"/>
    <x v="3"/>
    <n v="15"/>
    <x v="3021"/>
    <x v="3"/>
    <x v="17"/>
    <n v="3"/>
    <n v="60"/>
    <n v="180"/>
    <n v="1"/>
  </r>
  <r>
    <n v="3138"/>
    <n v="2583"/>
    <n v="0.33333333333333331"/>
    <x v="7"/>
    <d v="2024-08-29T00:00:00"/>
    <x v="3"/>
    <n v="9"/>
    <x v="3022"/>
    <x v="1"/>
    <x v="1"/>
    <n v="2"/>
    <n v="650"/>
    <n v="1300"/>
    <n v="1"/>
  </r>
  <r>
    <n v="3139"/>
    <n v="2583"/>
    <n v="0.33333333333333331"/>
    <x v="7"/>
    <d v="2024-08-29T00:00:00"/>
    <x v="3"/>
    <n v="12"/>
    <x v="3023"/>
    <x v="0"/>
    <x v="9"/>
    <n v="2"/>
    <n v="15"/>
    <n v="30"/>
    <n v="0"/>
  </r>
  <r>
    <n v="3140"/>
    <n v="2583"/>
    <n v="0.33333333333333331"/>
    <x v="7"/>
    <d v="2024-08-29T00:00:00"/>
    <x v="3"/>
    <n v="9"/>
    <x v="3024"/>
    <x v="3"/>
    <x v="17"/>
    <n v="3"/>
    <n v="60"/>
    <n v="180"/>
    <n v="0"/>
  </r>
  <r>
    <n v="3141"/>
    <n v="2584"/>
    <n v="0.5"/>
    <x v="7"/>
    <d v="2024-08-29T00:00:00"/>
    <x v="3"/>
    <n v="17"/>
    <x v="2790"/>
    <x v="0"/>
    <x v="9"/>
    <n v="2"/>
    <n v="15"/>
    <n v="30"/>
    <n v="1"/>
  </r>
  <r>
    <n v="3142"/>
    <n v="2584"/>
    <n v="0.5"/>
    <x v="7"/>
    <d v="2024-08-29T00:00:00"/>
    <x v="3"/>
    <n v="19"/>
    <x v="3025"/>
    <x v="1"/>
    <x v="2"/>
    <n v="2"/>
    <n v="680"/>
    <n v="1360"/>
    <n v="0"/>
  </r>
  <r>
    <n v="3143"/>
    <n v="2585"/>
    <n v="1"/>
    <x v="7"/>
    <d v="2024-08-30T00:00:00"/>
    <x v="4"/>
    <n v="19"/>
    <x v="3026"/>
    <x v="0"/>
    <x v="8"/>
    <n v="4"/>
    <n v="10"/>
    <n v="40"/>
    <n v="1"/>
  </r>
  <r>
    <n v="3144"/>
    <n v="2586"/>
    <n v="0.5"/>
    <x v="7"/>
    <d v="2024-08-30T00:00:00"/>
    <x v="4"/>
    <n v="10"/>
    <x v="3027"/>
    <x v="2"/>
    <x v="15"/>
    <n v="3"/>
    <n v="25"/>
    <n v="75"/>
    <n v="1"/>
  </r>
  <r>
    <n v="3145"/>
    <n v="2586"/>
    <n v="0.5"/>
    <x v="7"/>
    <d v="2024-08-30T00:00:00"/>
    <x v="4"/>
    <n v="9"/>
    <x v="3028"/>
    <x v="1"/>
    <x v="12"/>
    <n v="4"/>
    <n v="1000"/>
    <n v="4000"/>
    <n v="0"/>
  </r>
  <r>
    <n v="3146"/>
    <n v="2587"/>
    <n v="0.5"/>
    <x v="7"/>
    <d v="2024-08-30T00:00:00"/>
    <x v="4"/>
    <n v="15"/>
    <x v="3029"/>
    <x v="0"/>
    <x v="7"/>
    <n v="4"/>
    <n v="25"/>
    <n v="100"/>
    <n v="1"/>
  </r>
  <r>
    <n v="3147"/>
    <n v="2587"/>
    <n v="0.5"/>
    <x v="7"/>
    <d v="2024-08-30T00:00:00"/>
    <x v="4"/>
    <n v="12"/>
    <x v="3030"/>
    <x v="0"/>
    <x v="9"/>
    <n v="3"/>
    <n v="15"/>
    <n v="45"/>
    <n v="0"/>
  </r>
  <r>
    <n v="3148"/>
    <n v="2588"/>
    <n v="0.33333333333333331"/>
    <x v="7"/>
    <d v="2024-08-30T00:00:00"/>
    <x v="4"/>
    <n v="17"/>
    <x v="3031"/>
    <x v="2"/>
    <x v="15"/>
    <n v="3"/>
    <n v="25"/>
    <n v="75"/>
    <n v="1"/>
  </r>
  <r>
    <n v="3149"/>
    <n v="2588"/>
    <n v="0.33333333333333331"/>
    <x v="7"/>
    <d v="2024-08-30T00:00:00"/>
    <x v="4"/>
    <n v="19"/>
    <x v="3032"/>
    <x v="2"/>
    <x v="5"/>
    <n v="1"/>
    <n v="20"/>
    <n v="20"/>
    <n v="0"/>
  </r>
  <r>
    <n v="3150"/>
    <n v="2588"/>
    <n v="0.33333333333333331"/>
    <x v="7"/>
    <d v="2024-08-30T00:00:00"/>
    <x v="4"/>
    <n v="14"/>
    <x v="2530"/>
    <x v="2"/>
    <x v="10"/>
    <n v="1"/>
    <n v="30"/>
    <n v="30"/>
    <n v="0"/>
  </r>
  <r>
    <n v="3151"/>
    <n v="2589"/>
    <n v="1"/>
    <x v="7"/>
    <d v="2024-08-31T00:00:00"/>
    <x v="5"/>
    <n v="15"/>
    <x v="3033"/>
    <x v="2"/>
    <x v="11"/>
    <n v="2"/>
    <n v="35"/>
    <n v="70"/>
    <n v="1"/>
  </r>
  <r>
    <n v="3152"/>
    <n v="2590"/>
    <n v="1"/>
    <x v="7"/>
    <d v="2024-08-31T00:00:00"/>
    <x v="5"/>
    <n v="18"/>
    <x v="3034"/>
    <x v="0"/>
    <x v="16"/>
    <n v="4"/>
    <n v="5"/>
    <n v="20"/>
    <n v="1"/>
  </r>
  <r>
    <n v="3153"/>
    <n v="2591"/>
    <n v="1"/>
    <x v="7"/>
    <d v="2024-08-31T00:00:00"/>
    <x v="5"/>
    <n v="14"/>
    <x v="3035"/>
    <x v="0"/>
    <x v="16"/>
    <n v="5"/>
    <n v="5"/>
    <n v="25"/>
    <n v="1"/>
  </r>
  <r>
    <n v="3154"/>
    <n v="2592"/>
    <n v="0.5"/>
    <x v="7"/>
    <d v="2024-08-31T00:00:00"/>
    <x v="5"/>
    <n v="17"/>
    <x v="3036"/>
    <x v="3"/>
    <x v="6"/>
    <n v="2"/>
    <n v="50"/>
    <n v="100"/>
    <n v="1"/>
  </r>
  <r>
    <n v="3155"/>
    <n v="2592"/>
    <n v="0.5"/>
    <x v="7"/>
    <d v="2024-08-31T00:00:00"/>
    <x v="5"/>
    <n v="14"/>
    <x v="3037"/>
    <x v="2"/>
    <x v="15"/>
    <n v="3"/>
    <n v="25"/>
    <n v="75"/>
    <n v="0"/>
  </r>
  <r>
    <n v="3156"/>
    <n v="2593"/>
    <n v="0.5"/>
    <x v="7"/>
    <d v="2024-08-31T00:00:00"/>
    <x v="5"/>
    <n v="14"/>
    <x v="3038"/>
    <x v="0"/>
    <x v="16"/>
    <n v="4"/>
    <n v="5"/>
    <n v="20"/>
    <n v="1"/>
  </r>
  <r>
    <n v="3157"/>
    <n v="2593"/>
    <n v="0.5"/>
    <x v="7"/>
    <d v="2024-08-31T00:00:00"/>
    <x v="5"/>
    <n v="11"/>
    <x v="3039"/>
    <x v="0"/>
    <x v="9"/>
    <n v="5"/>
    <n v="15"/>
    <n v="75"/>
    <n v="0"/>
  </r>
  <r>
    <n v="3158"/>
    <n v="2594"/>
    <n v="1"/>
    <x v="7"/>
    <d v="2024-08-31T00:00:00"/>
    <x v="5"/>
    <n v="18"/>
    <x v="3040"/>
    <x v="3"/>
    <x v="14"/>
    <n v="2"/>
    <n v="40"/>
    <n v="80"/>
    <n v="1"/>
  </r>
  <r>
    <n v="3159"/>
    <n v="2595"/>
    <n v="0.5"/>
    <x v="8"/>
    <d v="2024-09-01T00:00:00"/>
    <x v="6"/>
    <n v="18"/>
    <x v="3041"/>
    <x v="3"/>
    <x v="17"/>
    <n v="5"/>
    <n v="60"/>
    <n v="300"/>
    <n v="1"/>
  </r>
  <r>
    <n v="3160"/>
    <n v="2595"/>
    <n v="0.5"/>
    <x v="8"/>
    <d v="2024-09-01T00:00:00"/>
    <x v="6"/>
    <n v="9"/>
    <x v="2575"/>
    <x v="0"/>
    <x v="0"/>
    <n v="2"/>
    <n v="20"/>
    <n v="40"/>
    <n v="0"/>
  </r>
  <r>
    <n v="3161"/>
    <n v="2596"/>
    <n v="0.5"/>
    <x v="8"/>
    <d v="2024-09-01T00:00:00"/>
    <x v="6"/>
    <n v="15"/>
    <x v="3042"/>
    <x v="3"/>
    <x v="17"/>
    <n v="2"/>
    <n v="60"/>
    <n v="120"/>
    <n v="1"/>
  </r>
  <r>
    <n v="3162"/>
    <n v="2596"/>
    <n v="0.5"/>
    <x v="8"/>
    <d v="2024-09-01T00:00:00"/>
    <x v="6"/>
    <n v="17"/>
    <x v="3043"/>
    <x v="2"/>
    <x v="10"/>
    <n v="2"/>
    <n v="30"/>
    <n v="60"/>
    <n v="0"/>
  </r>
  <r>
    <n v="3163"/>
    <n v="2597"/>
    <n v="1"/>
    <x v="8"/>
    <d v="2024-09-01T00:00:00"/>
    <x v="6"/>
    <n v="18"/>
    <x v="3044"/>
    <x v="1"/>
    <x v="12"/>
    <n v="4"/>
    <n v="1000"/>
    <n v="4000"/>
    <n v="1"/>
  </r>
  <r>
    <n v="3164"/>
    <n v="2598"/>
    <n v="1"/>
    <x v="8"/>
    <d v="2024-09-01T00:00:00"/>
    <x v="6"/>
    <n v="10"/>
    <x v="3045"/>
    <x v="1"/>
    <x v="12"/>
    <n v="4"/>
    <n v="1000"/>
    <n v="4000"/>
    <n v="1"/>
  </r>
  <r>
    <n v="3165"/>
    <n v="2599"/>
    <n v="1"/>
    <x v="8"/>
    <d v="2024-09-01T00:00:00"/>
    <x v="6"/>
    <n v="9"/>
    <x v="3046"/>
    <x v="0"/>
    <x v="7"/>
    <n v="5"/>
    <n v="25"/>
    <n v="125"/>
    <n v="1"/>
  </r>
  <r>
    <n v="3166"/>
    <n v="2600"/>
    <n v="0.5"/>
    <x v="8"/>
    <d v="2024-09-01T00:00:00"/>
    <x v="6"/>
    <n v="14"/>
    <x v="3047"/>
    <x v="2"/>
    <x v="11"/>
    <n v="1"/>
    <n v="35"/>
    <n v="35"/>
    <n v="1"/>
  </r>
  <r>
    <n v="3167"/>
    <n v="2600"/>
    <n v="0.5"/>
    <x v="8"/>
    <d v="2024-09-01T00:00:00"/>
    <x v="6"/>
    <n v="17"/>
    <x v="3048"/>
    <x v="0"/>
    <x v="7"/>
    <n v="1"/>
    <n v="25"/>
    <n v="25"/>
    <n v="0"/>
  </r>
  <r>
    <n v="3168"/>
    <n v="2601"/>
    <n v="1"/>
    <x v="8"/>
    <d v="2024-09-01T00:00:00"/>
    <x v="6"/>
    <n v="14"/>
    <x v="3049"/>
    <x v="0"/>
    <x v="9"/>
    <n v="4"/>
    <n v="15"/>
    <n v="60"/>
    <n v="1"/>
  </r>
  <r>
    <n v="3169"/>
    <n v="2602"/>
    <n v="1"/>
    <x v="8"/>
    <d v="2024-09-01T00:00:00"/>
    <x v="6"/>
    <n v="12"/>
    <x v="3050"/>
    <x v="0"/>
    <x v="16"/>
    <n v="4"/>
    <n v="5"/>
    <n v="20"/>
    <n v="1"/>
  </r>
  <r>
    <n v="3170"/>
    <n v="2603"/>
    <n v="0.5"/>
    <x v="8"/>
    <d v="2024-09-01T00:00:00"/>
    <x v="6"/>
    <n v="13"/>
    <x v="3051"/>
    <x v="0"/>
    <x v="9"/>
    <n v="4"/>
    <n v="15"/>
    <n v="60"/>
    <n v="1"/>
  </r>
  <r>
    <n v="3171"/>
    <n v="2603"/>
    <n v="0.5"/>
    <x v="8"/>
    <d v="2024-09-01T00:00:00"/>
    <x v="6"/>
    <n v="17"/>
    <x v="3052"/>
    <x v="3"/>
    <x v="17"/>
    <n v="5"/>
    <n v="60"/>
    <n v="300"/>
    <n v="0"/>
  </r>
  <r>
    <n v="3172"/>
    <n v="2604"/>
    <n v="0.33333333333333331"/>
    <x v="8"/>
    <d v="2024-09-02T00:00:00"/>
    <x v="0"/>
    <n v="20"/>
    <x v="3053"/>
    <x v="1"/>
    <x v="1"/>
    <n v="1"/>
    <n v="650"/>
    <n v="650"/>
    <n v="1"/>
  </r>
  <r>
    <n v="3173"/>
    <n v="2604"/>
    <n v="0.33333333333333331"/>
    <x v="8"/>
    <d v="2024-09-02T00:00:00"/>
    <x v="0"/>
    <n v="13"/>
    <x v="3054"/>
    <x v="1"/>
    <x v="1"/>
    <n v="3"/>
    <n v="650"/>
    <n v="1950"/>
    <n v="0"/>
  </r>
  <r>
    <n v="3174"/>
    <n v="2604"/>
    <n v="0.33333333333333331"/>
    <x v="8"/>
    <d v="2024-09-02T00:00:00"/>
    <x v="0"/>
    <n v="10"/>
    <x v="3055"/>
    <x v="1"/>
    <x v="1"/>
    <n v="1"/>
    <n v="650"/>
    <n v="650"/>
    <n v="0"/>
  </r>
  <r>
    <n v="3175"/>
    <n v="2605"/>
    <n v="0.33333333333333331"/>
    <x v="8"/>
    <d v="2024-09-02T00:00:00"/>
    <x v="0"/>
    <n v="16"/>
    <x v="3056"/>
    <x v="1"/>
    <x v="1"/>
    <n v="4"/>
    <n v="650"/>
    <n v="2600"/>
    <n v="1"/>
  </r>
  <r>
    <n v="3176"/>
    <n v="2605"/>
    <n v="0.33333333333333331"/>
    <x v="8"/>
    <d v="2024-09-02T00:00:00"/>
    <x v="0"/>
    <n v="14"/>
    <x v="3057"/>
    <x v="2"/>
    <x v="15"/>
    <n v="2"/>
    <n v="25"/>
    <n v="50"/>
    <n v="0"/>
  </r>
  <r>
    <n v="3177"/>
    <n v="2605"/>
    <n v="0.33333333333333331"/>
    <x v="8"/>
    <d v="2024-09-02T00:00:00"/>
    <x v="0"/>
    <n v="10"/>
    <x v="3058"/>
    <x v="0"/>
    <x v="0"/>
    <n v="2"/>
    <n v="20"/>
    <n v="40"/>
    <n v="0"/>
  </r>
  <r>
    <n v="3178"/>
    <n v="2606"/>
    <n v="0.5"/>
    <x v="8"/>
    <d v="2024-09-02T00:00:00"/>
    <x v="0"/>
    <n v="9"/>
    <x v="3059"/>
    <x v="3"/>
    <x v="13"/>
    <n v="5"/>
    <n v="55"/>
    <n v="275"/>
    <n v="1"/>
  </r>
  <r>
    <n v="3179"/>
    <n v="2606"/>
    <n v="0.5"/>
    <x v="8"/>
    <d v="2024-09-02T00:00:00"/>
    <x v="0"/>
    <n v="9"/>
    <x v="3060"/>
    <x v="3"/>
    <x v="13"/>
    <n v="1"/>
    <n v="55"/>
    <n v="55"/>
    <n v="0"/>
  </r>
  <r>
    <n v="3180"/>
    <n v="2607"/>
    <n v="0.33333333333333331"/>
    <x v="8"/>
    <d v="2024-09-02T00:00:00"/>
    <x v="0"/>
    <n v="14"/>
    <x v="3061"/>
    <x v="0"/>
    <x v="0"/>
    <n v="4"/>
    <n v="20"/>
    <n v="80"/>
    <n v="1"/>
  </r>
  <r>
    <n v="3181"/>
    <n v="2607"/>
    <n v="0.33333333333333331"/>
    <x v="8"/>
    <d v="2024-09-02T00:00:00"/>
    <x v="0"/>
    <n v="10"/>
    <x v="3062"/>
    <x v="2"/>
    <x v="11"/>
    <n v="5"/>
    <n v="35"/>
    <n v="175"/>
    <n v="0"/>
  </r>
  <r>
    <n v="3182"/>
    <n v="2607"/>
    <n v="0.33333333333333331"/>
    <x v="8"/>
    <d v="2024-09-02T00:00:00"/>
    <x v="0"/>
    <n v="14"/>
    <x v="3063"/>
    <x v="3"/>
    <x v="17"/>
    <n v="5"/>
    <n v="60"/>
    <n v="300"/>
    <n v="0"/>
  </r>
  <r>
    <n v="3183"/>
    <n v="2608"/>
    <n v="0.33333333333333331"/>
    <x v="8"/>
    <d v="2024-09-02T00:00:00"/>
    <x v="0"/>
    <n v="20"/>
    <x v="3064"/>
    <x v="1"/>
    <x v="2"/>
    <n v="5"/>
    <n v="680"/>
    <n v="3400"/>
    <n v="1"/>
  </r>
  <r>
    <n v="3184"/>
    <n v="2608"/>
    <n v="0.33333333333333331"/>
    <x v="8"/>
    <d v="2024-09-02T00:00:00"/>
    <x v="0"/>
    <n v="16"/>
    <x v="3065"/>
    <x v="3"/>
    <x v="18"/>
    <n v="3"/>
    <n v="45"/>
    <n v="135"/>
    <n v="0"/>
  </r>
  <r>
    <n v="3185"/>
    <n v="2608"/>
    <n v="0.33333333333333331"/>
    <x v="8"/>
    <d v="2024-09-02T00:00:00"/>
    <x v="0"/>
    <n v="18"/>
    <x v="3066"/>
    <x v="3"/>
    <x v="14"/>
    <n v="1"/>
    <n v="40"/>
    <n v="40"/>
    <n v="0"/>
  </r>
  <r>
    <n v="3186"/>
    <n v="2609"/>
    <n v="0.5"/>
    <x v="8"/>
    <d v="2024-09-02T00:00:00"/>
    <x v="0"/>
    <n v="18"/>
    <x v="3067"/>
    <x v="3"/>
    <x v="17"/>
    <n v="1"/>
    <n v="60"/>
    <n v="60"/>
    <n v="1"/>
  </r>
  <r>
    <n v="3187"/>
    <n v="2609"/>
    <n v="0.5"/>
    <x v="8"/>
    <d v="2024-09-02T00:00:00"/>
    <x v="0"/>
    <n v="12"/>
    <x v="3068"/>
    <x v="2"/>
    <x v="15"/>
    <n v="2"/>
    <n v="25"/>
    <n v="50"/>
    <n v="0"/>
  </r>
  <r>
    <n v="3188"/>
    <n v="2610"/>
    <n v="0.5"/>
    <x v="8"/>
    <d v="2024-09-02T00:00:00"/>
    <x v="0"/>
    <n v="16"/>
    <x v="3069"/>
    <x v="1"/>
    <x v="3"/>
    <n v="5"/>
    <n v="700"/>
    <n v="3500"/>
    <n v="1"/>
  </r>
  <r>
    <n v="3189"/>
    <n v="2610"/>
    <n v="0.5"/>
    <x v="8"/>
    <d v="2024-09-02T00:00:00"/>
    <x v="0"/>
    <n v="14"/>
    <x v="3070"/>
    <x v="0"/>
    <x v="9"/>
    <n v="3"/>
    <n v="15"/>
    <n v="45"/>
    <n v="0"/>
  </r>
  <r>
    <n v="3190"/>
    <n v="2611"/>
    <n v="1"/>
    <x v="8"/>
    <d v="2024-09-02T00:00:00"/>
    <x v="0"/>
    <n v="16"/>
    <x v="3071"/>
    <x v="0"/>
    <x v="9"/>
    <n v="2"/>
    <n v="15"/>
    <n v="30"/>
    <n v="1"/>
  </r>
  <r>
    <n v="3191"/>
    <n v="2612"/>
    <n v="1"/>
    <x v="8"/>
    <d v="2024-09-02T00:00:00"/>
    <x v="0"/>
    <n v="9"/>
    <x v="3072"/>
    <x v="2"/>
    <x v="11"/>
    <n v="1"/>
    <n v="35"/>
    <n v="35"/>
    <n v="1"/>
  </r>
  <r>
    <n v="3192"/>
    <n v="2613"/>
    <n v="0.33333333333333331"/>
    <x v="8"/>
    <d v="2024-09-03T00:00:00"/>
    <x v="1"/>
    <n v="20"/>
    <x v="331"/>
    <x v="0"/>
    <x v="8"/>
    <n v="3"/>
    <n v="10"/>
    <n v="30"/>
    <n v="1"/>
  </r>
  <r>
    <n v="3193"/>
    <n v="2613"/>
    <n v="0.33333333333333331"/>
    <x v="8"/>
    <d v="2024-09-03T00:00:00"/>
    <x v="1"/>
    <n v="11"/>
    <x v="3073"/>
    <x v="1"/>
    <x v="4"/>
    <n v="4"/>
    <n v="600"/>
    <n v="2400"/>
    <n v="0"/>
  </r>
  <r>
    <n v="3194"/>
    <n v="2613"/>
    <n v="0.33333333333333331"/>
    <x v="8"/>
    <d v="2024-09-03T00:00:00"/>
    <x v="1"/>
    <n v="20"/>
    <x v="3074"/>
    <x v="1"/>
    <x v="12"/>
    <n v="5"/>
    <n v="1000"/>
    <n v="5000"/>
    <n v="0"/>
  </r>
  <r>
    <n v="3195"/>
    <n v="2614"/>
    <n v="1"/>
    <x v="8"/>
    <d v="2024-09-03T00:00:00"/>
    <x v="1"/>
    <n v="18"/>
    <x v="3075"/>
    <x v="3"/>
    <x v="13"/>
    <n v="1"/>
    <n v="55"/>
    <n v="55"/>
    <n v="1"/>
  </r>
  <r>
    <n v="3196"/>
    <n v="2615"/>
    <n v="0.5"/>
    <x v="8"/>
    <d v="2024-09-03T00:00:00"/>
    <x v="1"/>
    <n v="9"/>
    <x v="3076"/>
    <x v="3"/>
    <x v="17"/>
    <n v="3"/>
    <n v="60"/>
    <n v="180"/>
    <n v="1"/>
  </r>
  <r>
    <n v="3197"/>
    <n v="2615"/>
    <n v="0.5"/>
    <x v="8"/>
    <d v="2024-09-03T00:00:00"/>
    <x v="1"/>
    <n v="9"/>
    <x v="3077"/>
    <x v="1"/>
    <x v="2"/>
    <n v="3"/>
    <n v="680"/>
    <n v="2040"/>
    <n v="0"/>
  </r>
  <r>
    <n v="3198"/>
    <n v="2616"/>
    <n v="0.5"/>
    <x v="8"/>
    <d v="2024-09-03T00:00:00"/>
    <x v="1"/>
    <n v="13"/>
    <x v="3078"/>
    <x v="0"/>
    <x v="0"/>
    <n v="4"/>
    <n v="20"/>
    <n v="80"/>
    <n v="1"/>
  </r>
  <r>
    <n v="3199"/>
    <n v="2616"/>
    <n v="0.5"/>
    <x v="8"/>
    <d v="2024-09-03T00:00:00"/>
    <x v="1"/>
    <n v="9"/>
    <x v="3079"/>
    <x v="3"/>
    <x v="18"/>
    <n v="1"/>
    <n v="45"/>
    <n v="45"/>
    <n v="0"/>
  </r>
  <r>
    <n v="3200"/>
    <n v="2617"/>
    <n v="0.33333333333333331"/>
    <x v="8"/>
    <d v="2024-09-03T00:00:00"/>
    <x v="1"/>
    <n v="10"/>
    <x v="3080"/>
    <x v="1"/>
    <x v="4"/>
    <n v="5"/>
    <n v="600"/>
    <n v="3000"/>
    <n v="1"/>
  </r>
  <r>
    <n v="3201"/>
    <n v="2617"/>
    <n v="0.33333333333333331"/>
    <x v="8"/>
    <d v="2024-09-03T00:00:00"/>
    <x v="1"/>
    <n v="9"/>
    <x v="3081"/>
    <x v="3"/>
    <x v="14"/>
    <n v="3"/>
    <n v="40"/>
    <n v="120"/>
    <n v="0"/>
  </r>
  <r>
    <n v="3202"/>
    <n v="2617"/>
    <n v="0.33333333333333331"/>
    <x v="8"/>
    <d v="2024-09-03T00:00:00"/>
    <x v="1"/>
    <n v="11"/>
    <x v="3082"/>
    <x v="2"/>
    <x v="15"/>
    <n v="4"/>
    <n v="25"/>
    <n v="100"/>
    <n v="0"/>
  </r>
  <r>
    <n v="3203"/>
    <n v="2618"/>
    <n v="1"/>
    <x v="8"/>
    <d v="2024-09-04T00:00:00"/>
    <x v="2"/>
    <n v="12"/>
    <x v="3083"/>
    <x v="1"/>
    <x v="4"/>
    <n v="3"/>
    <n v="600"/>
    <n v="1800"/>
    <n v="1"/>
  </r>
  <r>
    <n v="3204"/>
    <n v="2619"/>
    <n v="0.5"/>
    <x v="8"/>
    <d v="2024-09-04T00:00:00"/>
    <x v="2"/>
    <n v="12"/>
    <x v="3084"/>
    <x v="3"/>
    <x v="13"/>
    <n v="2"/>
    <n v="55"/>
    <n v="110"/>
    <n v="1"/>
  </r>
  <r>
    <n v="3205"/>
    <n v="2619"/>
    <n v="0.5"/>
    <x v="8"/>
    <d v="2024-09-04T00:00:00"/>
    <x v="2"/>
    <n v="11"/>
    <x v="3085"/>
    <x v="1"/>
    <x v="12"/>
    <n v="3"/>
    <n v="1000"/>
    <n v="3000"/>
    <n v="0"/>
  </r>
  <r>
    <n v="3206"/>
    <n v="2620"/>
    <n v="0.5"/>
    <x v="8"/>
    <d v="2024-09-04T00:00:00"/>
    <x v="2"/>
    <n v="13"/>
    <x v="3086"/>
    <x v="0"/>
    <x v="8"/>
    <n v="3"/>
    <n v="10"/>
    <n v="30"/>
    <n v="1"/>
  </r>
  <r>
    <n v="3207"/>
    <n v="2620"/>
    <n v="0.5"/>
    <x v="8"/>
    <d v="2024-09-04T00:00:00"/>
    <x v="2"/>
    <n v="11"/>
    <x v="3087"/>
    <x v="3"/>
    <x v="13"/>
    <n v="3"/>
    <n v="55"/>
    <n v="165"/>
    <n v="0"/>
  </r>
  <r>
    <n v="3208"/>
    <n v="2621"/>
    <n v="0.33333333333333331"/>
    <x v="8"/>
    <d v="2024-09-04T00:00:00"/>
    <x v="2"/>
    <n v="16"/>
    <x v="1106"/>
    <x v="2"/>
    <x v="11"/>
    <n v="2"/>
    <n v="35"/>
    <n v="70"/>
    <n v="1"/>
  </r>
  <r>
    <n v="3209"/>
    <n v="2621"/>
    <n v="0.33333333333333331"/>
    <x v="8"/>
    <d v="2024-09-04T00:00:00"/>
    <x v="2"/>
    <n v="11"/>
    <x v="1751"/>
    <x v="0"/>
    <x v="9"/>
    <n v="5"/>
    <n v="15"/>
    <n v="75"/>
    <n v="0"/>
  </r>
  <r>
    <n v="3210"/>
    <n v="2621"/>
    <n v="0.33333333333333331"/>
    <x v="8"/>
    <d v="2024-09-04T00:00:00"/>
    <x v="2"/>
    <n v="9"/>
    <x v="3088"/>
    <x v="0"/>
    <x v="16"/>
    <n v="5"/>
    <n v="5"/>
    <n v="25"/>
    <n v="0"/>
  </r>
  <r>
    <n v="3211"/>
    <n v="2622"/>
    <n v="0.33333333333333331"/>
    <x v="8"/>
    <d v="2024-09-04T00:00:00"/>
    <x v="2"/>
    <n v="17"/>
    <x v="3089"/>
    <x v="3"/>
    <x v="18"/>
    <n v="2"/>
    <n v="45"/>
    <n v="90"/>
    <n v="1"/>
  </r>
  <r>
    <n v="3212"/>
    <n v="2622"/>
    <n v="0.33333333333333331"/>
    <x v="8"/>
    <d v="2024-09-04T00:00:00"/>
    <x v="2"/>
    <n v="14"/>
    <x v="3090"/>
    <x v="1"/>
    <x v="1"/>
    <n v="5"/>
    <n v="650"/>
    <n v="3250"/>
    <n v="0"/>
  </r>
  <r>
    <n v="3213"/>
    <n v="2622"/>
    <n v="0.33333333333333331"/>
    <x v="8"/>
    <d v="2024-09-04T00:00:00"/>
    <x v="2"/>
    <n v="9"/>
    <x v="3091"/>
    <x v="2"/>
    <x v="15"/>
    <n v="5"/>
    <n v="25"/>
    <n v="125"/>
    <n v="0"/>
  </r>
  <r>
    <n v="3214"/>
    <n v="2623"/>
    <n v="1"/>
    <x v="8"/>
    <d v="2024-09-05T00:00:00"/>
    <x v="3"/>
    <n v="14"/>
    <x v="3092"/>
    <x v="2"/>
    <x v="5"/>
    <n v="1"/>
    <n v="20"/>
    <n v="20"/>
    <n v="1"/>
  </r>
  <r>
    <n v="3215"/>
    <n v="2624"/>
    <n v="0.5"/>
    <x v="8"/>
    <d v="2024-09-05T00:00:00"/>
    <x v="3"/>
    <n v="16"/>
    <x v="3093"/>
    <x v="2"/>
    <x v="15"/>
    <n v="2"/>
    <n v="25"/>
    <n v="50"/>
    <n v="1"/>
  </r>
  <r>
    <n v="3216"/>
    <n v="2624"/>
    <n v="0.5"/>
    <x v="8"/>
    <d v="2024-09-05T00:00:00"/>
    <x v="3"/>
    <n v="16"/>
    <x v="3094"/>
    <x v="0"/>
    <x v="7"/>
    <n v="2"/>
    <n v="25"/>
    <n v="50"/>
    <n v="0"/>
  </r>
  <r>
    <n v="3217"/>
    <n v="2625"/>
    <n v="0.33333333333333331"/>
    <x v="8"/>
    <d v="2024-09-05T00:00:00"/>
    <x v="3"/>
    <n v="19"/>
    <x v="3095"/>
    <x v="2"/>
    <x v="11"/>
    <n v="3"/>
    <n v="35"/>
    <n v="105"/>
    <n v="1"/>
  </r>
  <r>
    <n v="3218"/>
    <n v="2625"/>
    <n v="0.33333333333333331"/>
    <x v="8"/>
    <d v="2024-09-05T00:00:00"/>
    <x v="3"/>
    <n v="13"/>
    <x v="3096"/>
    <x v="2"/>
    <x v="15"/>
    <n v="2"/>
    <n v="25"/>
    <n v="50"/>
    <n v="0"/>
  </r>
  <r>
    <n v="3219"/>
    <n v="2625"/>
    <n v="0.33333333333333331"/>
    <x v="8"/>
    <d v="2024-09-05T00:00:00"/>
    <x v="3"/>
    <n v="14"/>
    <x v="3097"/>
    <x v="1"/>
    <x v="2"/>
    <n v="1"/>
    <n v="680"/>
    <n v="680"/>
    <n v="0"/>
  </r>
  <r>
    <n v="3220"/>
    <n v="2626"/>
    <n v="1"/>
    <x v="8"/>
    <d v="2024-09-05T00:00:00"/>
    <x v="3"/>
    <n v="11"/>
    <x v="3098"/>
    <x v="0"/>
    <x v="16"/>
    <n v="5"/>
    <n v="5"/>
    <n v="25"/>
    <n v="1"/>
  </r>
  <r>
    <n v="3221"/>
    <n v="2627"/>
    <n v="0.33333333333333331"/>
    <x v="8"/>
    <d v="2024-09-05T00:00:00"/>
    <x v="3"/>
    <n v="15"/>
    <x v="3099"/>
    <x v="1"/>
    <x v="12"/>
    <n v="2"/>
    <n v="1000"/>
    <n v="2000"/>
    <n v="1"/>
  </r>
  <r>
    <n v="3222"/>
    <n v="2627"/>
    <n v="0.33333333333333331"/>
    <x v="8"/>
    <d v="2024-09-05T00:00:00"/>
    <x v="3"/>
    <n v="16"/>
    <x v="3100"/>
    <x v="3"/>
    <x v="17"/>
    <n v="1"/>
    <n v="60"/>
    <n v="60"/>
    <n v="0"/>
  </r>
  <r>
    <n v="3223"/>
    <n v="2627"/>
    <n v="0.33333333333333331"/>
    <x v="8"/>
    <d v="2024-09-05T00:00:00"/>
    <x v="3"/>
    <n v="19"/>
    <x v="3101"/>
    <x v="3"/>
    <x v="17"/>
    <n v="3"/>
    <n v="60"/>
    <n v="180"/>
    <n v="0"/>
  </r>
  <r>
    <n v="3224"/>
    <n v="2628"/>
    <n v="0.5"/>
    <x v="8"/>
    <d v="2024-09-06T00:00:00"/>
    <x v="4"/>
    <n v="18"/>
    <x v="3102"/>
    <x v="2"/>
    <x v="5"/>
    <n v="4"/>
    <n v="20"/>
    <n v="80"/>
    <n v="1"/>
  </r>
  <r>
    <n v="3225"/>
    <n v="2628"/>
    <n v="0.5"/>
    <x v="8"/>
    <d v="2024-09-06T00:00:00"/>
    <x v="4"/>
    <n v="12"/>
    <x v="3103"/>
    <x v="3"/>
    <x v="17"/>
    <n v="3"/>
    <n v="60"/>
    <n v="180"/>
    <n v="0"/>
  </r>
  <r>
    <n v="3226"/>
    <n v="2629"/>
    <n v="1"/>
    <x v="8"/>
    <d v="2024-09-06T00:00:00"/>
    <x v="4"/>
    <n v="16"/>
    <x v="3104"/>
    <x v="3"/>
    <x v="18"/>
    <n v="2"/>
    <n v="45"/>
    <n v="90"/>
    <n v="1"/>
  </r>
  <r>
    <n v="3227"/>
    <n v="2630"/>
    <n v="1"/>
    <x v="8"/>
    <d v="2024-09-06T00:00:00"/>
    <x v="4"/>
    <n v="19"/>
    <x v="3105"/>
    <x v="3"/>
    <x v="13"/>
    <n v="2"/>
    <n v="55"/>
    <n v="110"/>
    <n v="1"/>
  </r>
  <r>
    <n v="3228"/>
    <n v="2631"/>
    <n v="1"/>
    <x v="8"/>
    <d v="2024-09-06T00:00:00"/>
    <x v="4"/>
    <n v="13"/>
    <x v="3106"/>
    <x v="3"/>
    <x v="13"/>
    <n v="3"/>
    <n v="55"/>
    <n v="165"/>
    <n v="1"/>
  </r>
  <r>
    <n v="3229"/>
    <n v="2632"/>
    <n v="1"/>
    <x v="8"/>
    <d v="2024-09-06T00:00:00"/>
    <x v="4"/>
    <n v="14"/>
    <x v="3107"/>
    <x v="0"/>
    <x v="16"/>
    <n v="3"/>
    <n v="5"/>
    <n v="15"/>
    <n v="1"/>
  </r>
  <r>
    <n v="3230"/>
    <n v="2633"/>
    <n v="0.5"/>
    <x v="8"/>
    <d v="2024-09-07T00:00:00"/>
    <x v="5"/>
    <n v="16"/>
    <x v="3108"/>
    <x v="2"/>
    <x v="15"/>
    <n v="2"/>
    <n v="25"/>
    <n v="50"/>
    <n v="1"/>
  </r>
  <r>
    <n v="3231"/>
    <n v="2633"/>
    <n v="0.5"/>
    <x v="8"/>
    <d v="2024-09-07T00:00:00"/>
    <x v="5"/>
    <n v="16"/>
    <x v="2872"/>
    <x v="3"/>
    <x v="18"/>
    <n v="1"/>
    <n v="45"/>
    <n v="45"/>
    <n v="0"/>
  </r>
  <r>
    <n v="3232"/>
    <n v="2634"/>
    <n v="1"/>
    <x v="8"/>
    <d v="2024-09-07T00:00:00"/>
    <x v="5"/>
    <n v="13"/>
    <x v="3109"/>
    <x v="1"/>
    <x v="1"/>
    <n v="2"/>
    <n v="650"/>
    <n v="1300"/>
    <n v="1"/>
  </r>
  <r>
    <n v="3233"/>
    <n v="2635"/>
    <n v="1"/>
    <x v="8"/>
    <d v="2024-09-07T00:00:00"/>
    <x v="5"/>
    <n v="20"/>
    <x v="3110"/>
    <x v="0"/>
    <x v="0"/>
    <n v="5"/>
    <n v="20"/>
    <n v="100"/>
    <n v="1"/>
  </r>
  <r>
    <n v="3234"/>
    <n v="2636"/>
    <n v="1"/>
    <x v="8"/>
    <d v="2024-09-07T00:00:00"/>
    <x v="5"/>
    <n v="19"/>
    <x v="1178"/>
    <x v="2"/>
    <x v="11"/>
    <n v="2"/>
    <n v="35"/>
    <n v="70"/>
    <n v="1"/>
  </r>
  <r>
    <n v="3235"/>
    <n v="2637"/>
    <n v="1"/>
    <x v="8"/>
    <d v="2024-09-07T00:00:00"/>
    <x v="5"/>
    <n v="18"/>
    <x v="3111"/>
    <x v="1"/>
    <x v="3"/>
    <n v="5"/>
    <n v="700"/>
    <n v="3500"/>
    <n v="1"/>
  </r>
  <r>
    <n v="3236"/>
    <n v="2638"/>
    <n v="0.33333333333333331"/>
    <x v="8"/>
    <d v="2024-09-07T00:00:00"/>
    <x v="5"/>
    <n v="20"/>
    <x v="3112"/>
    <x v="1"/>
    <x v="12"/>
    <n v="2"/>
    <n v="1000"/>
    <n v="2000"/>
    <n v="1"/>
  </r>
  <r>
    <n v="3237"/>
    <n v="2638"/>
    <n v="0.33333333333333331"/>
    <x v="8"/>
    <d v="2024-09-07T00:00:00"/>
    <x v="5"/>
    <n v="14"/>
    <x v="3113"/>
    <x v="1"/>
    <x v="12"/>
    <n v="4"/>
    <n v="1000"/>
    <n v="4000"/>
    <n v="0"/>
  </r>
  <r>
    <n v="3238"/>
    <n v="2638"/>
    <n v="0.33333333333333331"/>
    <x v="8"/>
    <d v="2024-09-07T00:00:00"/>
    <x v="5"/>
    <n v="13"/>
    <x v="3114"/>
    <x v="2"/>
    <x v="11"/>
    <n v="5"/>
    <n v="35"/>
    <n v="175"/>
    <n v="0"/>
  </r>
  <r>
    <n v="3239"/>
    <n v="2639"/>
    <n v="1"/>
    <x v="8"/>
    <d v="2024-09-07T00:00:00"/>
    <x v="5"/>
    <n v="10"/>
    <x v="3115"/>
    <x v="0"/>
    <x v="8"/>
    <n v="4"/>
    <n v="10"/>
    <n v="40"/>
    <n v="1"/>
  </r>
  <r>
    <n v="3240"/>
    <n v="2640"/>
    <n v="1"/>
    <x v="8"/>
    <d v="2024-09-08T00:00:00"/>
    <x v="6"/>
    <n v="15"/>
    <x v="3116"/>
    <x v="1"/>
    <x v="12"/>
    <n v="1"/>
    <n v="1000"/>
    <n v="1000"/>
    <n v="1"/>
  </r>
  <r>
    <n v="3241"/>
    <n v="2641"/>
    <n v="1"/>
    <x v="8"/>
    <d v="2024-09-08T00:00:00"/>
    <x v="6"/>
    <n v="15"/>
    <x v="3117"/>
    <x v="3"/>
    <x v="17"/>
    <n v="3"/>
    <n v="60"/>
    <n v="180"/>
    <n v="1"/>
  </r>
  <r>
    <n v="3242"/>
    <n v="2642"/>
    <n v="0.33333333333333331"/>
    <x v="8"/>
    <d v="2024-09-08T00:00:00"/>
    <x v="6"/>
    <n v="19"/>
    <x v="3118"/>
    <x v="1"/>
    <x v="2"/>
    <n v="4"/>
    <n v="680"/>
    <n v="2720"/>
    <n v="1"/>
  </r>
  <r>
    <n v="3243"/>
    <n v="2642"/>
    <n v="0.33333333333333331"/>
    <x v="8"/>
    <d v="2024-09-08T00:00:00"/>
    <x v="6"/>
    <n v="11"/>
    <x v="3119"/>
    <x v="2"/>
    <x v="11"/>
    <n v="1"/>
    <n v="35"/>
    <n v="35"/>
    <n v="0"/>
  </r>
  <r>
    <n v="3244"/>
    <n v="2642"/>
    <n v="0.33333333333333331"/>
    <x v="8"/>
    <d v="2024-09-08T00:00:00"/>
    <x v="6"/>
    <n v="13"/>
    <x v="3120"/>
    <x v="2"/>
    <x v="11"/>
    <n v="2"/>
    <n v="35"/>
    <n v="70"/>
    <n v="0"/>
  </r>
  <r>
    <n v="3245"/>
    <n v="2643"/>
    <n v="0.5"/>
    <x v="8"/>
    <d v="2024-09-08T00:00:00"/>
    <x v="6"/>
    <n v="18"/>
    <x v="3121"/>
    <x v="0"/>
    <x v="9"/>
    <n v="1"/>
    <n v="15"/>
    <n v="15"/>
    <n v="1"/>
  </r>
  <r>
    <n v="3246"/>
    <n v="2643"/>
    <n v="0.5"/>
    <x v="8"/>
    <d v="2024-09-08T00:00:00"/>
    <x v="6"/>
    <n v="13"/>
    <x v="3122"/>
    <x v="3"/>
    <x v="14"/>
    <n v="2"/>
    <n v="40"/>
    <n v="80"/>
    <n v="0"/>
  </r>
  <r>
    <n v="3247"/>
    <n v="2644"/>
    <n v="0.5"/>
    <x v="8"/>
    <d v="2024-09-08T00:00:00"/>
    <x v="6"/>
    <n v="13"/>
    <x v="3123"/>
    <x v="2"/>
    <x v="5"/>
    <n v="5"/>
    <n v="20"/>
    <n v="100"/>
    <n v="1"/>
  </r>
  <r>
    <n v="3248"/>
    <n v="2644"/>
    <n v="0.5"/>
    <x v="8"/>
    <d v="2024-09-08T00:00:00"/>
    <x v="6"/>
    <n v="15"/>
    <x v="3124"/>
    <x v="1"/>
    <x v="3"/>
    <n v="2"/>
    <n v="700"/>
    <n v="1400"/>
    <n v="0"/>
  </r>
  <r>
    <n v="3249"/>
    <n v="2645"/>
    <n v="0.33333333333333331"/>
    <x v="8"/>
    <d v="2024-09-09T00:00:00"/>
    <x v="0"/>
    <n v="9"/>
    <x v="3125"/>
    <x v="1"/>
    <x v="1"/>
    <n v="4"/>
    <n v="650"/>
    <n v="2600"/>
    <n v="1"/>
  </r>
  <r>
    <n v="3250"/>
    <n v="2645"/>
    <n v="0.33333333333333331"/>
    <x v="8"/>
    <d v="2024-09-09T00:00:00"/>
    <x v="0"/>
    <n v="13"/>
    <x v="3126"/>
    <x v="1"/>
    <x v="3"/>
    <n v="5"/>
    <n v="700"/>
    <n v="3500"/>
    <n v="0"/>
  </r>
  <r>
    <n v="3251"/>
    <n v="2645"/>
    <n v="0.33333333333333331"/>
    <x v="8"/>
    <d v="2024-09-09T00:00:00"/>
    <x v="0"/>
    <n v="18"/>
    <x v="3127"/>
    <x v="2"/>
    <x v="5"/>
    <n v="3"/>
    <n v="20"/>
    <n v="60"/>
    <n v="0"/>
  </r>
  <r>
    <n v="3252"/>
    <n v="2646"/>
    <n v="0.33333333333333331"/>
    <x v="8"/>
    <d v="2024-09-09T00:00:00"/>
    <x v="0"/>
    <n v="11"/>
    <x v="3128"/>
    <x v="0"/>
    <x v="9"/>
    <n v="2"/>
    <n v="15"/>
    <n v="30"/>
    <n v="1"/>
  </r>
  <r>
    <n v="3253"/>
    <n v="2646"/>
    <n v="0.33333333333333331"/>
    <x v="8"/>
    <d v="2024-09-09T00:00:00"/>
    <x v="0"/>
    <n v="20"/>
    <x v="3129"/>
    <x v="1"/>
    <x v="4"/>
    <n v="5"/>
    <n v="600"/>
    <n v="3000"/>
    <n v="0"/>
  </r>
  <r>
    <n v="3254"/>
    <n v="2646"/>
    <n v="0.33333333333333331"/>
    <x v="8"/>
    <d v="2024-09-09T00:00:00"/>
    <x v="0"/>
    <n v="10"/>
    <x v="3130"/>
    <x v="2"/>
    <x v="11"/>
    <n v="5"/>
    <n v="35"/>
    <n v="175"/>
    <n v="0"/>
  </r>
  <r>
    <n v="3255"/>
    <n v="2647"/>
    <n v="0.33333333333333331"/>
    <x v="8"/>
    <d v="2024-09-09T00:00:00"/>
    <x v="0"/>
    <n v="20"/>
    <x v="3131"/>
    <x v="1"/>
    <x v="3"/>
    <n v="1"/>
    <n v="700"/>
    <n v="700"/>
    <n v="1"/>
  </r>
  <r>
    <n v="3256"/>
    <n v="2647"/>
    <n v="0.33333333333333331"/>
    <x v="8"/>
    <d v="2024-09-09T00:00:00"/>
    <x v="0"/>
    <n v="9"/>
    <x v="876"/>
    <x v="0"/>
    <x v="0"/>
    <n v="5"/>
    <n v="20"/>
    <n v="100"/>
    <n v="0"/>
  </r>
  <r>
    <n v="3257"/>
    <n v="2647"/>
    <n v="0.33333333333333331"/>
    <x v="8"/>
    <d v="2024-09-09T00:00:00"/>
    <x v="0"/>
    <n v="18"/>
    <x v="3132"/>
    <x v="2"/>
    <x v="11"/>
    <n v="5"/>
    <n v="35"/>
    <n v="175"/>
    <n v="0"/>
  </r>
  <r>
    <n v="3258"/>
    <n v="2648"/>
    <n v="0.5"/>
    <x v="8"/>
    <d v="2024-09-09T00:00:00"/>
    <x v="0"/>
    <n v="9"/>
    <x v="3133"/>
    <x v="2"/>
    <x v="5"/>
    <n v="5"/>
    <n v="20"/>
    <n v="100"/>
    <n v="1"/>
  </r>
  <r>
    <n v="3259"/>
    <n v="2648"/>
    <n v="0.5"/>
    <x v="8"/>
    <d v="2024-09-09T00:00:00"/>
    <x v="0"/>
    <n v="19"/>
    <x v="3134"/>
    <x v="2"/>
    <x v="10"/>
    <n v="5"/>
    <n v="30"/>
    <n v="150"/>
    <n v="0"/>
  </r>
  <r>
    <n v="3260"/>
    <n v="2649"/>
    <n v="0.33333333333333331"/>
    <x v="8"/>
    <d v="2024-09-09T00:00:00"/>
    <x v="0"/>
    <n v="20"/>
    <x v="3135"/>
    <x v="3"/>
    <x v="14"/>
    <n v="4"/>
    <n v="40"/>
    <n v="160"/>
    <n v="1"/>
  </r>
  <r>
    <n v="3261"/>
    <n v="2649"/>
    <n v="0.33333333333333331"/>
    <x v="8"/>
    <d v="2024-09-09T00:00:00"/>
    <x v="0"/>
    <n v="9"/>
    <x v="3136"/>
    <x v="3"/>
    <x v="17"/>
    <n v="5"/>
    <n v="60"/>
    <n v="300"/>
    <n v="0"/>
  </r>
  <r>
    <n v="3262"/>
    <n v="2649"/>
    <n v="0.33333333333333331"/>
    <x v="8"/>
    <d v="2024-09-09T00:00:00"/>
    <x v="0"/>
    <n v="16"/>
    <x v="3137"/>
    <x v="3"/>
    <x v="17"/>
    <n v="2"/>
    <n v="60"/>
    <n v="120"/>
    <n v="0"/>
  </r>
  <r>
    <n v="3263"/>
    <n v="2650"/>
    <n v="0.33333333333333331"/>
    <x v="8"/>
    <d v="2024-09-09T00:00:00"/>
    <x v="0"/>
    <n v="14"/>
    <x v="3138"/>
    <x v="2"/>
    <x v="5"/>
    <n v="4"/>
    <n v="20"/>
    <n v="80"/>
    <n v="1"/>
  </r>
  <r>
    <n v="3264"/>
    <n v="2650"/>
    <n v="0.33333333333333331"/>
    <x v="8"/>
    <d v="2024-09-09T00:00:00"/>
    <x v="0"/>
    <n v="10"/>
    <x v="3139"/>
    <x v="0"/>
    <x v="0"/>
    <n v="3"/>
    <n v="20"/>
    <n v="60"/>
    <n v="0"/>
  </r>
  <r>
    <n v="3265"/>
    <n v="2650"/>
    <n v="0.33333333333333331"/>
    <x v="8"/>
    <d v="2024-09-09T00:00:00"/>
    <x v="0"/>
    <n v="18"/>
    <x v="3140"/>
    <x v="3"/>
    <x v="17"/>
    <n v="5"/>
    <n v="60"/>
    <n v="300"/>
    <n v="0"/>
  </r>
  <r>
    <n v="3266"/>
    <n v="2651"/>
    <n v="0.5"/>
    <x v="8"/>
    <d v="2024-09-09T00:00:00"/>
    <x v="0"/>
    <n v="14"/>
    <x v="3141"/>
    <x v="3"/>
    <x v="18"/>
    <n v="5"/>
    <n v="45"/>
    <n v="225"/>
    <n v="1"/>
  </r>
  <r>
    <n v="3267"/>
    <n v="2651"/>
    <n v="0.5"/>
    <x v="8"/>
    <d v="2024-09-09T00:00:00"/>
    <x v="0"/>
    <n v="12"/>
    <x v="3142"/>
    <x v="3"/>
    <x v="13"/>
    <n v="3"/>
    <n v="55"/>
    <n v="165"/>
    <n v="0"/>
  </r>
  <r>
    <n v="3268"/>
    <n v="2652"/>
    <n v="1"/>
    <x v="8"/>
    <d v="2024-09-10T00:00:00"/>
    <x v="1"/>
    <n v="12"/>
    <x v="3143"/>
    <x v="1"/>
    <x v="1"/>
    <n v="4"/>
    <n v="650"/>
    <n v="2600"/>
    <n v="1"/>
  </r>
  <r>
    <n v="3269"/>
    <n v="2653"/>
    <n v="0.5"/>
    <x v="8"/>
    <d v="2024-09-10T00:00:00"/>
    <x v="1"/>
    <n v="19"/>
    <x v="3144"/>
    <x v="1"/>
    <x v="12"/>
    <n v="5"/>
    <n v="1000"/>
    <n v="5000"/>
    <n v="1"/>
  </r>
  <r>
    <n v="3270"/>
    <n v="2653"/>
    <n v="0.5"/>
    <x v="8"/>
    <d v="2024-09-10T00:00:00"/>
    <x v="1"/>
    <n v="17"/>
    <x v="3145"/>
    <x v="2"/>
    <x v="15"/>
    <n v="5"/>
    <n v="25"/>
    <n v="125"/>
    <n v="0"/>
  </r>
  <r>
    <n v="3271"/>
    <n v="2654"/>
    <n v="0.33333333333333331"/>
    <x v="8"/>
    <d v="2024-09-10T00:00:00"/>
    <x v="1"/>
    <n v="16"/>
    <x v="3146"/>
    <x v="1"/>
    <x v="12"/>
    <n v="3"/>
    <n v="1000"/>
    <n v="3000"/>
    <n v="1"/>
  </r>
  <r>
    <n v="3272"/>
    <n v="2654"/>
    <n v="0.33333333333333331"/>
    <x v="8"/>
    <d v="2024-09-10T00:00:00"/>
    <x v="1"/>
    <n v="16"/>
    <x v="3147"/>
    <x v="1"/>
    <x v="4"/>
    <n v="3"/>
    <n v="600"/>
    <n v="1800"/>
    <n v="0"/>
  </r>
  <r>
    <n v="3273"/>
    <n v="2654"/>
    <n v="0.33333333333333331"/>
    <x v="8"/>
    <d v="2024-09-10T00:00:00"/>
    <x v="1"/>
    <n v="20"/>
    <x v="3148"/>
    <x v="2"/>
    <x v="5"/>
    <n v="2"/>
    <n v="20"/>
    <n v="40"/>
    <n v="0"/>
  </r>
  <r>
    <n v="3274"/>
    <n v="2655"/>
    <n v="0.33333333333333331"/>
    <x v="8"/>
    <d v="2024-09-10T00:00:00"/>
    <x v="1"/>
    <n v="19"/>
    <x v="3149"/>
    <x v="0"/>
    <x v="8"/>
    <n v="5"/>
    <n v="10"/>
    <n v="50"/>
    <n v="1"/>
  </r>
  <r>
    <n v="3275"/>
    <n v="2655"/>
    <n v="0.33333333333333331"/>
    <x v="8"/>
    <d v="2024-09-10T00:00:00"/>
    <x v="1"/>
    <n v="9"/>
    <x v="3150"/>
    <x v="0"/>
    <x v="8"/>
    <n v="3"/>
    <n v="10"/>
    <n v="30"/>
    <n v="0"/>
  </r>
  <r>
    <n v="3276"/>
    <n v="2655"/>
    <n v="0.33333333333333331"/>
    <x v="8"/>
    <d v="2024-09-10T00:00:00"/>
    <x v="1"/>
    <n v="11"/>
    <x v="3151"/>
    <x v="1"/>
    <x v="2"/>
    <n v="3"/>
    <n v="680"/>
    <n v="2040"/>
    <n v="0"/>
  </r>
  <r>
    <n v="3277"/>
    <n v="2656"/>
    <n v="1"/>
    <x v="8"/>
    <d v="2024-09-10T00:00:00"/>
    <x v="1"/>
    <n v="9"/>
    <x v="3152"/>
    <x v="3"/>
    <x v="17"/>
    <n v="5"/>
    <n v="60"/>
    <n v="300"/>
    <n v="1"/>
  </r>
  <r>
    <n v="3278"/>
    <n v="2657"/>
    <n v="1"/>
    <x v="8"/>
    <d v="2024-09-10T00:00:00"/>
    <x v="1"/>
    <n v="17"/>
    <x v="3153"/>
    <x v="0"/>
    <x v="7"/>
    <n v="4"/>
    <n v="25"/>
    <n v="100"/>
    <n v="1"/>
  </r>
  <r>
    <n v="3279"/>
    <n v="2658"/>
    <n v="1"/>
    <x v="8"/>
    <d v="2024-09-10T00:00:00"/>
    <x v="1"/>
    <n v="15"/>
    <x v="3154"/>
    <x v="1"/>
    <x v="3"/>
    <n v="2"/>
    <n v="700"/>
    <n v="1400"/>
    <n v="1"/>
  </r>
  <r>
    <n v="3280"/>
    <n v="2659"/>
    <n v="0.5"/>
    <x v="8"/>
    <d v="2024-09-10T00:00:00"/>
    <x v="1"/>
    <n v="10"/>
    <x v="3155"/>
    <x v="1"/>
    <x v="1"/>
    <n v="1"/>
    <n v="650"/>
    <n v="650"/>
    <n v="1"/>
  </r>
  <r>
    <n v="3281"/>
    <n v="2659"/>
    <n v="0.5"/>
    <x v="8"/>
    <d v="2024-09-10T00:00:00"/>
    <x v="1"/>
    <n v="18"/>
    <x v="3156"/>
    <x v="3"/>
    <x v="18"/>
    <n v="3"/>
    <n v="45"/>
    <n v="135"/>
    <n v="0"/>
  </r>
  <r>
    <n v="3282"/>
    <n v="2660"/>
    <n v="0.33333333333333331"/>
    <x v="8"/>
    <d v="2024-09-10T00:00:00"/>
    <x v="1"/>
    <n v="20"/>
    <x v="3157"/>
    <x v="2"/>
    <x v="5"/>
    <n v="2"/>
    <n v="20"/>
    <n v="40"/>
    <n v="1"/>
  </r>
  <r>
    <n v="3283"/>
    <n v="2660"/>
    <n v="0.33333333333333331"/>
    <x v="8"/>
    <d v="2024-09-10T00:00:00"/>
    <x v="1"/>
    <n v="14"/>
    <x v="3158"/>
    <x v="2"/>
    <x v="5"/>
    <n v="5"/>
    <n v="20"/>
    <n v="100"/>
    <n v="0"/>
  </r>
  <r>
    <n v="3284"/>
    <n v="2660"/>
    <n v="0.33333333333333331"/>
    <x v="8"/>
    <d v="2024-09-10T00:00:00"/>
    <x v="1"/>
    <n v="20"/>
    <x v="3159"/>
    <x v="0"/>
    <x v="16"/>
    <n v="2"/>
    <n v="5"/>
    <n v="10"/>
    <n v="0"/>
  </r>
  <r>
    <n v="3285"/>
    <n v="2661"/>
    <n v="1"/>
    <x v="8"/>
    <d v="2024-09-11T00:00:00"/>
    <x v="2"/>
    <n v="13"/>
    <x v="3160"/>
    <x v="1"/>
    <x v="3"/>
    <n v="1"/>
    <n v="700"/>
    <n v="700"/>
    <n v="1"/>
  </r>
  <r>
    <n v="3286"/>
    <n v="2662"/>
    <n v="0.33333333333333331"/>
    <x v="8"/>
    <d v="2024-09-11T00:00:00"/>
    <x v="2"/>
    <n v="20"/>
    <x v="3161"/>
    <x v="0"/>
    <x v="0"/>
    <n v="4"/>
    <n v="20"/>
    <n v="80"/>
    <n v="1"/>
  </r>
  <r>
    <n v="3287"/>
    <n v="2662"/>
    <n v="0.33333333333333331"/>
    <x v="8"/>
    <d v="2024-09-11T00:00:00"/>
    <x v="2"/>
    <n v="9"/>
    <x v="3162"/>
    <x v="0"/>
    <x v="7"/>
    <n v="2"/>
    <n v="25"/>
    <n v="50"/>
    <n v="0"/>
  </r>
  <r>
    <n v="3288"/>
    <n v="2662"/>
    <n v="0.33333333333333331"/>
    <x v="8"/>
    <d v="2024-09-11T00:00:00"/>
    <x v="2"/>
    <n v="10"/>
    <x v="3163"/>
    <x v="0"/>
    <x v="9"/>
    <n v="1"/>
    <n v="15"/>
    <n v="15"/>
    <n v="0"/>
  </r>
  <r>
    <n v="3289"/>
    <n v="2663"/>
    <n v="1"/>
    <x v="8"/>
    <d v="2024-09-11T00:00:00"/>
    <x v="2"/>
    <n v="14"/>
    <x v="3164"/>
    <x v="1"/>
    <x v="4"/>
    <n v="2"/>
    <n v="600"/>
    <n v="1200"/>
    <n v="1"/>
  </r>
  <r>
    <n v="3290"/>
    <n v="2664"/>
    <n v="0.33333333333333331"/>
    <x v="8"/>
    <d v="2024-09-11T00:00:00"/>
    <x v="2"/>
    <n v="18"/>
    <x v="3165"/>
    <x v="2"/>
    <x v="10"/>
    <n v="3"/>
    <n v="30"/>
    <n v="90"/>
    <n v="1"/>
  </r>
  <r>
    <n v="3291"/>
    <n v="2664"/>
    <n v="0.33333333333333331"/>
    <x v="8"/>
    <d v="2024-09-11T00:00:00"/>
    <x v="2"/>
    <n v="14"/>
    <x v="3166"/>
    <x v="0"/>
    <x v="9"/>
    <n v="2"/>
    <n v="15"/>
    <n v="30"/>
    <n v="0"/>
  </r>
  <r>
    <n v="3292"/>
    <n v="2664"/>
    <n v="0.33333333333333331"/>
    <x v="8"/>
    <d v="2024-09-11T00:00:00"/>
    <x v="2"/>
    <n v="10"/>
    <x v="3167"/>
    <x v="3"/>
    <x v="13"/>
    <n v="1"/>
    <n v="55"/>
    <n v="55"/>
    <n v="0"/>
  </r>
  <r>
    <n v="3293"/>
    <n v="2665"/>
    <n v="0.33333333333333331"/>
    <x v="8"/>
    <d v="2024-09-11T00:00:00"/>
    <x v="2"/>
    <n v="15"/>
    <x v="3168"/>
    <x v="1"/>
    <x v="3"/>
    <n v="2"/>
    <n v="700"/>
    <n v="1400"/>
    <n v="1"/>
  </r>
  <r>
    <n v="3294"/>
    <n v="2665"/>
    <n v="0.33333333333333331"/>
    <x v="8"/>
    <d v="2024-09-11T00:00:00"/>
    <x v="2"/>
    <n v="16"/>
    <x v="3169"/>
    <x v="3"/>
    <x v="18"/>
    <n v="2"/>
    <n v="45"/>
    <n v="90"/>
    <n v="0"/>
  </r>
  <r>
    <n v="3295"/>
    <n v="2665"/>
    <n v="0.33333333333333331"/>
    <x v="8"/>
    <d v="2024-09-11T00:00:00"/>
    <x v="2"/>
    <n v="14"/>
    <x v="3170"/>
    <x v="2"/>
    <x v="10"/>
    <n v="2"/>
    <n v="30"/>
    <n v="60"/>
    <n v="0"/>
  </r>
  <r>
    <n v="3296"/>
    <n v="2666"/>
    <n v="0.33333333333333331"/>
    <x v="8"/>
    <d v="2024-09-12T00:00:00"/>
    <x v="3"/>
    <n v="13"/>
    <x v="3171"/>
    <x v="2"/>
    <x v="11"/>
    <n v="1"/>
    <n v="35"/>
    <n v="35"/>
    <n v="1"/>
  </r>
  <r>
    <n v="3297"/>
    <n v="2666"/>
    <n v="0.33333333333333331"/>
    <x v="8"/>
    <d v="2024-09-12T00:00:00"/>
    <x v="3"/>
    <n v="20"/>
    <x v="3172"/>
    <x v="2"/>
    <x v="10"/>
    <n v="5"/>
    <n v="30"/>
    <n v="150"/>
    <n v="0"/>
  </r>
  <r>
    <n v="3298"/>
    <n v="2666"/>
    <n v="0.33333333333333331"/>
    <x v="8"/>
    <d v="2024-09-12T00:00:00"/>
    <x v="3"/>
    <n v="9"/>
    <x v="3173"/>
    <x v="0"/>
    <x v="16"/>
    <n v="1"/>
    <n v="5"/>
    <n v="5"/>
    <n v="0"/>
  </r>
  <r>
    <n v="3299"/>
    <n v="2667"/>
    <n v="0.5"/>
    <x v="8"/>
    <d v="2024-09-12T00:00:00"/>
    <x v="3"/>
    <n v="13"/>
    <x v="3174"/>
    <x v="1"/>
    <x v="1"/>
    <n v="3"/>
    <n v="650"/>
    <n v="1950"/>
    <n v="1"/>
  </r>
  <r>
    <n v="3300"/>
    <n v="2667"/>
    <n v="0.5"/>
    <x v="8"/>
    <d v="2024-09-12T00:00:00"/>
    <x v="3"/>
    <n v="19"/>
    <x v="3175"/>
    <x v="0"/>
    <x v="9"/>
    <n v="3"/>
    <n v="15"/>
    <n v="45"/>
    <n v="0"/>
  </r>
  <r>
    <n v="3301"/>
    <n v="2668"/>
    <n v="1"/>
    <x v="8"/>
    <d v="2024-09-12T00:00:00"/>
    <x v="3"/>
    <n v="16"/>
    <x v="3176"/>
    <x v="3"/>
    <x v="17"/>
    <n v="3"/>
    <n v="60"/>
    <n v="180"/>
    <n v="1"/>
  </r>
  <r>
    <n v="3302"/>
    <n v="2669"/>
    <n v="0.5"/>
    <x v="8"/>
    <d v="2024-09-12T00:00:00"/>
    <x v="3"/>
    <n v="19"/>
    <x v="3177"/>
    <x v="1"/>
    <x v="2"/>
    <n v="5"/>
    <n v="680"/>
    <n v="3400"/>
    <n v="1"/>
  </r>
  <r>
    <n v="3303"/>
    <n v="2669"/>
    <n v="0.5"/>
    <x v="8"/>
    <d v="2024-09-12T00:00:00"/>
    <x v="3"/>
    <n v="20"/>
    <x v="3178"/>
    <x v="2"/>
    <x v="15"/>
    <n v="4"/>
    <n v="25"/>
    <n v="100"/>
    <n v="0"/>
  </r>
  <r>
    <n v="3304"/>
    <n v="2670"/>
    <n v="0.33333333333333331"/>
    <x v="8"/>
    <d v="2024-09-12T00:00:00"/>
    <x v="3"/>
    <n v="19"/>
    <x v="3179"/>
    <x v="0"/>
    <x v="16"/>
    <n v="4"/>
    <n v="5"/>
    <n v="20"/>
    <n v="1"/>
  </r>
  <r>
    <n v="3305"/>
    <n v="2670"/>
    <n v="0.33333333333333331"/>
    <x v="8"/>
    <d v="2024-09-12T00:00:00"/>
    <x v="3"/>
    <n v="15"/>
    <x v="3180"/>
    <x v="0"/>
    <x v="7"/>
    <n v="3"/>
    <n v="25"/>
    <n v="75"/>
    <n v="0"/>
  </r>
  <r>
    <n v="3306"/>
    <n v="2670"/>
    <n v="0.33333333333333331"/>
    <x v="8"/>
    <d v="2024-09-12T00:00:00"/>
    <x v="3"/>
    <n v="15"/>
    <x v="3181"/>
    <x v="3"/>
    <x v="6"/>
    <n v="4"/>
    <n v="50"/>
    <n v="200"/>
    <n v="0"/>
  </r>
  <r>
    <n v="3307"/>
    <n v="2671"/>
    <n v="0.33333333333333331"/>
    <x v="8"/>
    <d v="2024-09-12T00:00:00"/>
    <x v="3"/>
    <n v="11"/>
    <x v="3182"/>
    <x v="0"/>
    <x v="8"/>
    <n v="5"/>
    <n v="10"/>
    <n v="50"/>
    <n v="1"/>
  </r>
  <r>
    <n v="3308"/>
    <n v="2671"/>
    <n v="0.33333333333333331"/>
    <x v="8"/>
    <d v="2024-09-12T00:00:00"/>
    <x v="3"/>
    <n v="20"/>
    <x v="3183"/>
    <x v="2"/>
    <x v="11"/>
    <n v="5"/>
    <n v="35"/>
    <n v="175"/>
    <n v="0"/>
  </r>
  <r>
    <n v="3309"/>
    <n v="2671"/>
    <n v="0.33333333333333331"/>
    <x v="8"/>
    <d v="2024-09-12T00:00:00"/>
    <x v="3"/>
    <n v="19"/>
    <x v="3184"/>
    <x v="1"/>
    <x v="3"/>
    <n v="5"/>
    <n v="700"/>
    <n v="3500"/>
    <n v="0"/>
  </r>
  <r>
    <n v="3310"/>
    <n v="2672"/>
    <n v="0.5"/>
    <x v="8"/>
    <d v="2024-09-12T00:00:00"/>
    <x v="3"/>
    <n v="11"/>
    <x v="3185"/>
    <x v="0"/>
    <x v="7"/>
    <n v="4"/>
    <n v="25"/>
    <n v="100"/>
    <n v="1"/>
  </r>
  <r>
    <n v="3311"/>
    <n v="2672"/>
    <n v="0.5"/>
    <x v="8"/>
    <d v="2024-09-12T00:00:00"/>
    <x v="3"/>
    <n v="14"/>
    <x v="3061"/>
    <x v="3"/>
    <x v="17"/>
    <n v="4"/>
    <n v="60"/>
    <n v="240"/>
    <n v="0"/>
  </r>
  <r>
    <n v="3312"/>
    <n v="2673"/>
    <n v="0.33333333333333331"/>
    <x v="8"/>
    <d v="2024-09-12T00:00:00"/>
    <x v="3"/>
    <n v="13"/>
    <x v="3186"/>
    <x v="1"/>
    <x v="3"/>
    <n v="2"/>
    <n v="700"/>
    <n v="1400"/>
    <n v="1"/>
  </r>
  <r>
    <n v="3313"/>
    <n v="2673"/>
    <n v="0.33333333333333331"/>
    <x v="8"/>
    <d v="2024-09-12T00:00:00"/>
    <x v="3"/>
    <n v="15"/>
    <x v="3187"/>
    <x v="1"/>
    <x v="3"/>
    <n v="1"/>
    <n v="700"/>
    <n v="700"/>
    <n v="0"/>
  </r>
  <r>
    <n v="3314"/>
    <n v="2673"/>
    <n v="0.33333333333333331"/>
    <x v="8"/>
    <d v="2024-09-12T00:00:00"/>
    <x v="3"/>
    <n v="11"/>
    <x v="3188"/>
    <x v="3"/>
    <x v="13"/>
    <n v="3"/>
    <n v="55"/>
    <n v="165"/>
    <n v="0"/>
  </r>
  <r>
    <n v="3315"/>
    <n v="2674"/>
    <n v="0.33333333333333331"/>
    <x v="8"/>
    <d v="2024-09-12T00:00:00"/>
    <x v="3"/>
    <n v="19"/>
    <x v="2027"/>
    <x v="1"/>
    <x v="2"/>
    <n v="2"/>
    <n v="680"/>
    <n v="1360"/>
    <n v="1"/>
  </r>
  <r>
    <n v="3316"/>
    <n v="2674"/>
    <n v="0.33333333333333331"/>
    <x v="8"/>
    <d v="2024-09-12T00:00:00"/>
    <x v="3"/>
    <n v="16"/>
    <x v="386"/>
    <x v="0"/>
    <x v="9"/>
    <n v="2"/>
    <n v="15"/>
    <n v="30"/>
    <n v="0"/>
  </r>
  <r>
    <n v="3317"/>
    <n v="2674"/>
    <n v="0.33333333333333331"/>
    <x v="8"/>
    <d v="2024-09-12T00:00:00"/>
    <x v="3"/>
    <n v="13"/>
    <x v="3189"/>
    <x v="1"/>
    <x v="3"/>
    <n v="3"/>
    <n v="700"/>
    <n v="2100"/>
    <n v="0"/>
  </r>
  <r>
    <n v="3318"/>
    <n v="2675"/>
    <n v="0.5"/>
    <x v="8"/>
    <d v="2024-09-12T00:00:00"/>
    <x v="3"/>
    <n v="13"/>
    <x v="3190"/>
    <x v="1"/>
    <x v="4"/>
    <n v="2"/>
    <n v="600"/>
    <n v="1200"/>
    <n v="1"/>
  </r>
  <r>
    <n v="3319"/>
    <n v="2675"/>
    <n v="0.5"/>
    <x v="8"/>
    <d v="2024-09-12T00:00:00"/>
    <x v="3"/>
    <n v="18"/>
    <x v="3191"/>
    <x v="0"/>
    <x v="0"/>
    <n v="5"/>
    <n v="20"/>
    <n v="100"/>
    <n v="0"/>
  </r>
  <r>
    <n v="3320"/>
    <n v="2676"/>
    <n v="0.33333333333333331"/>
    <x v="8"/>
    <d v="2024-09-13T00:00:00"/>
    <x v="4"/>
    <n v="19"/>
    <x v="3192"/>
    <x v="2"/>
    <x v="10"/>
    <n v="3"/>
    <n v="30"/>
    <n v="90"/>
    <n v="1"/>
  </r>
  <r>
    <n v="3321"/>
    <n v="2676"/>
    <n v="0.33333333333333331"/>
    <x v="8"/>
    <d v="2024-09-13T00:00:00"/>
    <x v="4"/>
    <n v="15"/>
    <x v="3193"/>
    <x v="2"/>
    <x v="10"/>
    <n v="2"/>
    <n v="30"/>
    <n v="60"/>
    <n v="0"/>
  </r>
  <r>
    <n v="3322"/>
    <n v="2676"/>
    <n v="0.33333333333333331"/>
    <x v="8"/>
    <d v="2024-09-13T00:00:00"/>
    <x v="4"/>
    <n v="19"/>
    <x v="3194"/>
    <x v="2"/>
    <x v="15"/>
    <n v="3"/>
    <n v="25"/>
    <n v="75"/>
    <n v="0"/>
  </r>
  <r>
    <n v="3323"/>
    <n v="2677"/>
    <n v="0.5"/>
    <x v="8"/>
    <d v="2024-09-13T00:00:00"/>
    <x v="4"/>
    <n v="19"/>
    <x v="3195"/>
    <x v="3"/>
    <x v="18"/>
    <n v="3"/>
    <n v="45"/>
    <n v="135"/>
    <n v="1"/>
  </r>
  <r>
    <n v="3324"/>
    <n v="2677"/>
    <n v="0.5"/>
    <x v="8"/>
    <d v="2024-09-13T00:00:00"/>
    <x v="4"/>
    <n v="12"/>
    <x v="3196"/>
    <x v="1"/>
    <x v="12"/>
    <n v="1"/>
    <n v="1000"/>
    <n v="1000"/>
    <n v="0"/>
  </r>
  <r>
    <n v="3325"/>
    <n v="2678"/>
    <n v="1"/>
    <x v="8"/>
    <d v="2024-09-13T00:00:00"/>
    <x v="4"/>
    <n v="12"/>
    <x v="3197"/>
    <x v="3"/>
    <x v="13"/>
    <n v="1"/>
    <n v="55"/>
    <n v="55"/>
    <n v="1"/>
  </r>
  <r>
    <n v="3326"/>
    <n v="2679"/>
    <n v="0.33333333333333331"/>
    <x v="8"/>
    <d v="2024-09-14T00:00:00"/>
    <x v="5"/>
    <n v="14"/>
    <x v="3198"/>
    <x v="2"/>
    <x v="11"/>
    <n v="5"/>
    <n v="35"/>
    <n v="175"/>
    <n v="1"/>
  </r>
  <r>
    <n v="3327"/>
    <n v="2679"/>
    <n v="0.33333333333333331"/>
    <x v="8"/>
    <d v="2024-09-14T00:00:00"/>
    <x v="5"/>
    <n v="10"/>
    <x v="3199"/>
    <x v="2"/>
    <x v="5"/>
    <n v="2"/>
    <n v="20"/>
    <n v="40"/>
    <n v="0"/>
  </r>
  <r>
    <n v="3328"/>
    <n v="2679"/>
    <n v="0.33333333333333331"/>
    <x v="8"/>
    <d v="2024-09-14T00:00:00"/>
    <x v="5"/>
    <n v="9"/>
    <x v="3200"/>
    <x v="2"/>
    <x v="11"/>
    <n v="5"/>
    <n v="35"/>
    <n v="175"/>
    <n v="0"/>
  </r>
  <r>
    <n v="3329"/>
    <n v="2680"/>
    <n v="0.33333333333333331"/>
    <x v="8"/>
    <d v="2024-09-14T00:00:00"/>
    <x v="5"/>
    <n v="18"/>
    <x v="3201"/>
    <x v="0"/>
    <x v="16"/>
    <n v="3"/>
    <n v="5"/>
    <n v="15"/>
    <n v="1"/>
  </r>
  <r>
    <n v="3330"/>
    <n v="2680"/>
    <n v="0.33333333333333331"/>
    <x v="8"/>
    <d v="2024-09-14T00:00:00"/>
    <x v="5"/>
    <n v="15"/>
    <x v="3202"/>
    <x v="0"/>
    <x v="9"/>
    <n v="1"/>
    <n v="15"/>
    <n v="15"/>
    <n v="0"/>
  </r>
  <r>
    <n v="3331"/>
    <n v="2680"/>
    <n v="0.33333333333333331"/>
    <x v="8"/>
    <d v="2024-09-14T00:00:00"/>
    <x v="5"/>
    <n v="19"/>
    <x v="3203"/>
    <x v="0"/>
    <x v="7"/>
    <n v="4"/>
    <n v="25"/>
    <n v="100"/>
    <n v="0"/>
  </r>
  <r>
    <n v="3332"/>
    <n v="2681"/>
    <n v="1"/>
    <x v="8"/>
    <d v="2024-09-14T00:00:00"/>
    <x v="5"/>
    <n v="11"/>
    <x v="3204"/>
    <x v="0"/>
    <x v="0"/>
    <n v="5"/>
    <n v="20"/>
    <n v="100"/>
    <n v="1"/>
  </r>
  <r>
    <n v="3333"/>
    <n v="2682"/>
    <n v="0.33333333333333331"/>
    <x v="8"/>
    <d v="2024-09-14T00:00:00"/>
    <x v="5"/>
    <n v="12"/>
    <x v="3205"/>
    <x v="0"/>
    <x v="7"/>
    <n v="5"/>
    <n v="25"/>
    <n v="125"/>
    <n v="1"/>
  </r>
  <r>
    <n v="3334"/>
    <n v="2682"/>
    <n v="0.33333333333333331"/>
    <x v="8"/>
    <d v="2024-09-14T00:00:00"/>
    <x v="5"/>
    <n v="16"/>
    <x v="3206"/>
    <x v="0"/>
    <x v="16"/>
    <n v="4"/>
    <n v="5"/>
    <n v="20"/>
    <n v="0"/>
  </r>
  <r>
    <n v="3335"/>
    <n v="2682"/>
    <n v="0.33333333333333331"/>
    <x v="8"/>
    <d v="2024-09-14T00:00:00"/>
    <x v="5"/>
    <n v="10"/>
    <x v="3207"/>
    <x v="1"/>
    <x v="4"/>
    <n v="2"/>
    <n v="600"/>
    <n v="1200"/>
    <n v="0"/>
  </r>
  <r>
    <n v="3336"/>
    <n v="2683"/>
    <n v="0.33333333333333331"/>
    <x v="8"/>
    <d v="2024-09-14T00:00:00"/>
    <x v="5"/>
    <n v="9"/>
    <x v="3208"/>
    <x v="1"/>
    <x v="12"/>
    <n v="2"/>
    <n v="1000"/>
    <n v="2000"/>
    <n v="1"/>
  </r>
  <r>
    <n v="3337"/>
    <n v="2683"/>
    <n v="0.33333333333333331"/>
    <x v="8"/>
    <d v="2024-09-14T00:00:00"/>
    <x v="5"/>
    <n v="12"/>
    <x v="3209"/>
    <x v="0"/>
    <x v="8"/>
    <n v="3"/>
    <n v="10"/>
    <n v="30"/>
    <n v="0"/>
  </r>
  <r>
    <n v="3338"/>
    <n v="2683"/>
    <n v="0.33333333333333331"/>
    <x v="8"/>
    <d v="2024-09-14T00:00:00"/>
    <x v="5"/>
    <n v="12"/>
    <x v="3210"/>
    <x v="3"/>
    <x v="18"/>
    <n v="1"/>
    <n v="45"/>
    <n v="45"/>
    <n v="0"/>
  </r>
  <r>
    <n v="3339"/>
    <n v="2684"/>
    <n v="0.33333333333333331"/>
    <x v="8"/>
    <d v="2024-09-15T00:00:00"/>
    <x v="6"/>
    <n v="17"/>
    <x v="3211"/>
    <x v="1"/>
    <x v="4"/>
    <n v="1"/>
    <n v="600"/>
    <n v="600"/>
    <n v="1"/>
  </r>
  <r>
    <n v="3340"/>
    <n v="2684"/>
    <n v="0.33333333333333331"/>
    <x v="8"/>
    <d v="2024-09-15T00:00:00"/>
    <x v="6"/>
    <n v="13"/>
    <x v="3212"/>
    <x v="2"/>
    <x v="15"/>
    <n v="4"/>
    <n v="25"/>
    <n v="100"/>
    <n v="0"/>
  </r>
  <r>
    <n v="3341"/>
    <n v="2684"/>
    <n v="0.33333333333333331"/>
    <x v="8"/>
    <d v="2024-09-15T00:00:00"/>
    <x v="6"/>
    <n v="16"/>
    <x v="3213"/>
    <x v="3"/>
    <x v="6"/>
    <n v="1"/>
    <n v="50"/>
    <n v="50"/>
    <n v="0"/>
  </r>
  <r>
    <n v="3342"/>
    <n v="2685"/>
    <n v="1"/>
    <x v="8"/>
    <d v="2024-09-15T00:00:00"/>
    <x v="6"/>
    <n v="10"/>
    <x v="3214"/>
    <x v="3"/>
    <x v="14"/>
    <n v="2"/>
    <n v="40"/>
    <n v="80"/>
    <n v="1"/>
  </r>
  <r>
    <n v="3343"/>
    <n v="2686"/>
    <n v="0.33333333333333331"/>
    <x v="8"/>
    <d v="2024-09-15T00:00:00"/>
    <x v="6"/>
    <n v="13"/>
    <x v="3215"/>
    <x v="2"/>
    <x v="5"/>
    <n v="3"/>
    <n v="20"/>
    <n v="60"/>
    <n v="1"/>
  </r>
  <r>
    <n v="3344"/>
    <n v="2686"/>
    <n v="0.33333333333333331"/>
    <x v="8"/>
    <d v="2024-09-15T00:00:00"/>
    <x v="6"/>
    <n v="9"/>
    <x v="3216"/>
    <x v="0"/>
    <x v="7"/>
    <n v="5"/>
    <n v="25"/>
    <n v="125"/>
    <n v="0"/>
  </r>
  <r>
    <n v="3345"/>
    <n v="2686"/>
    <n v="0.33333333333333331"/>
    <x v="8"/>
    <d v="2024-09-15T00:00:00"/>
    <x v="6"/>
    <n v="15"/>
    <x v="3217"/>
    <x v="1"/>
    <x v="3"/>
    <n v="4"/>
    <n v="700"/>
    <n v="2800"/>
    <n v="0"/>
  </r>
  <r>
    <n v="3346"/>
    <n v="2687"/>
    <n v="1"/>
    <x v="8"/>
    <d v="2024-09-15T00:00:00"/>
    <x v="6"/>
    <n v="12"/>
    <x v="3218"/>
    <x v="2"/>
    <x v="15"/>
    <n v="3"/>
    <n v="25"/>
    <n v="75"/>
    <n v="1"/>
  </r>
  <r>
    <n v="3347"/>
    <n v="2688"/>
    <n v="0.5"/>
    <x v="8"/>
    <d v="2024-09-15T00:00:00"/>
    <x v="6"/>
    <n v="20"/>
    <x v="3219"/>
    <x v="1"/>
    <x v="4"/>
    <n v="2"/>
    <n v="600"/>
    <n v="1200"/>
    <n v="1"/>
  </r>
  <r>
    <n v="3348"/>
    <n v="2688"/>
    <n v="0.5"/>
    <x v="8"/>
    <d v="2024-09-15T00:00:00"/>
    <x v="6"/>
    <n v="9"/>
    <x v="3220"/>
    <x v="3"/>
    <x v="18"/>
    <n v="2"/>
    <n v="45"/>
    <n v="90"/>
    <n v="0"/>
  </r>
  <r>
    <n v="3349"/>
    <n v="2689"/>
    <n v="0.5"/>
    <x v="8"/>
    <d v="2024-09-15T00:00:00"/>
    <x v="6"/>
    <n v="19"/>
    <x v="3221"/>
    <x v="2"/>
    <x v="5"/>
    <n v="1"/>
    <n v="20"/>
    <n v="20"/>
    <n v="1"/>
  </r>
  <r>
    <n v="3350"/>
    <n v="2689"/>
    <n v="0.5"/>
    <x v="8"/>
    <d v="2024-09-15T00:00:00"/>
    <x v="6"/>
    <n v="16"/>
    <x v="3222"/>
    <x v="2"/>
    <x v="10"/>
    <n v="2"/>
    <n v="30"/>
    <n v="60"/>
    <n v="0"/>
  </r>
  <r>
    <n v="3351"/>
    <n v="2690"/>
    <n v="0.5"/>
    <x v="8"/>
    <d v="2024-09-16T00:00:00"/>
    <x v="0"/>
    <n v="12"/>
    <x v="3223"/>
    <x v="1"/>
    <x v="1"/>
    <n v="3"/>
    <n v="650"/>
    <n v="1950"/>
    <n v="1"/>
  </r>
  <r>
    <n v="3352"/>
    <n v="2690"/>
    <n v="0.5"/>
    <x v="8"/>
    <d v="2024-09-16T00:00:00"/>
    <x v="0"/>
    <n v="16"/>
    <x v="3224"/>
    <x v="0"/>
    <x v="9"/>
    <n v="4"/>
    <n v="15"/>
    <n v="60"/>
    <n v="0"/>
  </r>
  <r>
    <n v="3353"/>
    <n v="2691"/>
    <n v="1"/>
    <x v="8"/>
    <d v="2024-09-16T00:00:00"/>
    <x v="0"/>
    <n v="17"/>
    <x v="3225"/>
    <x v="0"/>
    <x v="7"/>
    <n v="5"/>
    <n v="25"/>
    <n v="125"/>
    <n v="1"/>
  </r>
  <r>
    <n v="3354"/>
    <n v="2692"/>
    <n v="0.5"/>
    <x v="8"/>
    <d v="2024-09-16T00:00:00"/>
    <x v="0"/>
    <n v="17"/>
    <x v="3226"/>
    <x v="3"/>
    <x v="18"/>
    <n v="4"/>
    <n v="45"/>
    <n v="180"/>
    <n v="1"/>
  </r>
  <r>
    <n v="3355"/>
    <n v="2692"/>
    <n v="0.5"/>
    <x v="8"/>
    <d v="2024-09-16T00:00:00"/>
    <x v="0"/>
    <n v="9"/>
    <x v="3227"/>
    <x v="2"/>
    <x v="5"/>
    <n v="1"/>
    <n v="20"/>
    <n v="20"/>
    <n v="0"/>
  </r>
  <r>
    <n v="3356"/>
    <n v="2693"/>
    <n v="1"/>
    <x v="8"/>
    <d v="2024-09-17T00:00:00"/>
    <x v="1"/>
    <n v="13"/>
    <x v="3228"/>
    <x v="3"/>
    <x v="6"/>
    <n v="3"/>
    <n v="50"/>
    <n v="150"/>
    <n v="1"/>
  </r>
  <r>
    <n v="3357"/>
    <n v="2694"/>
    <n v="1"/>
    <x v="8"/>
    <d v="2024-09-17T00:00:00"/>
    <x v="1"/>
    <n v="14"/>
    <x v="3229"/>
    <x v="2"/>
    <x v="11"/>
    <n v="2"/>
    <n v="35"/>
    <n v="70"/>
    <n v="1"/>
  </r>
  <r>
    <n v="3358"/>
    <n v="2695"/>
    <n v="0.5"/>
    <x v="8"/>
    <d v="2024-09-17T00:00:00"/>
    <x v="1"/>
    <n v="12"/>
    <x v="3230"/>
    <x v="2"/>
    <x v="10"/>
    <n v="5"/>
    <n v="30"/>
    <n v="150"/>
    <n v="1"/>
  </r>
  <r>
    <n v="3359"/>
    <n v="2695"/>
    <n v="0.5"/>
    <x v="8"/>
    <d v="2024-09-17T00:00:00"/>
    <x v="1"/>
    <n v="12"/>
    <x v="3231"/>
    <x v="3"/>
    <x v="18"/>
    <n v="3"/>
    <n v="45"/>
    <n v="135"/>
    <n v="0"/>
  </r>
  <r>
    <n v="3360"/>
    <n v="2696"/>
    <n v="1"/>
    <x v="8"/>
    <d v="2024-09-17T00:00:00"/>
    <x v="1"/>
    <n v="14"/>
    <x v="3232"/>
    <x v="1"/>
    <x v="3"/>
    <n v="5"/>
    <n v="700"/>
    <n v="3500"/>
    <n v="1"/>
  </r>
  <r>
    <n v="3361"/>
    <n v="2697"/>
    <n v="1"/>
    <x v="8"/>
    <d v="2024-09-17T00:00:00"/>
    <x v="1"/>
    <n v="18"/>
    <x v="3233"/>
    <x v="3"/>
    <x v="13"/>
    <n v="3"/>
    <n v="55"/>
    <n v="165"/>
    <n v="1"/>
  </r>
  <r>
    <n v="3362"/>
    <n v="2698"/>
    <n v="0.33333333333333331"/>
    <x v="8"/>
    <d v="2024-09-17T00:00:00"/>
    <x v="1"/>
    <n v="20"/>
    <x v="3234"/>
    <x v="0"/>
    <x v="16"/>
    <n v="3"/>
    <n v="5"/>
    <n v="15"/>
    <n v="1"/>
  </r>
  <r>
    <n v="3363"/>
    <n v="2698"/>
    <n v="0.33333333333333331"/>
    <x v="8"/>
    <d v="2024-09-17T00:00:00"/>
    <x v="1"/>
    <n v="18"/>
    <x v="3235"/>
    <x v="1"/>
    <x v="4"/>
    <n v="4"/>
    <n v="600"/>
    <n v="2400"/>
    <n v="0"/>
  </r>
  <r>
    <n v="3364"/>
    <n v="2698"/>
    <n v="0.33333333333333331"/>
    <x v="8"/>
    <d v="2024-09-17T00:00:00"/>
    <x v="1"/>
    <n v="10"/>
    <x v="3236"/>
    <x v="3"/>
    <x v="6"/>
    <n v="5"/>
    <n v="50"/>
    <n v="250"/>
    <n v="0"/>
  </r>
  <r>
    <n v="3365"/>
    <n v="2699"/>
    <n v="0.33333333333333331"/>
    <x v="8"/>
    <d v="2024-09-18T00:00:00"/>
    <x v="2"/>
    <n v="18"/>
    <x v="3237"/>
    <x v="2"/>
    <x v="10"/>
    <n v="5"/>
    <n v="30"/>
    <n v="150"/>
    <n v="1"/>
  </r>
  <r>
    <n v="3366"/>
    <n v="2699"/>
    <n v="0.33333333333333331"/>
    <x v="8"/>
    <d v="2024-09-18T00:00:00"/>
    <x v="2"/>
    <n v="12"/>
    <x v="3238"/>
    <x v="0"/>
    <x v="16"/>
    <n v="1"/>
    <n v="5"/>
    <n v="5"/>
    <n v="0"/>
  </r>
  <r>
    <n v="3367"/>
    <n v="2699"/>
    <n v="0.33333333333333331"/>
    <x v="8"/>
    <d v="2024-09-18T00:00:00"/>
    <x v="2"/>
    <n v="11"/>
    <x v="3239"/>
    <x v="0"/>
    <x v="16"/>
    <n v="2"/>
    <n v="5"/>
    <n v="10"/>
    <n v="0"/>
  </r>
  <r>
    <n v="3368"/>
    <n v="2700"/>
    <n v="1"/>
    <x v="8"/>
    <d v="2024-09-18T00:00:00"/>
    <x v="2"/>
    <n v="15"/>
    <x v="3240"/>
    <x v="2"/>
    <x v="10"/>
    <n v="5"/>
    <n v="30"/>
    <n v="150"/>
    <n v="1"/>
  </r>
  <r>
    <n v="3369"/>
    <n v="2701"/>
    <n v="1"/>
    <x v="8"/>
    <d v="2024-09-18T00:00:00"/>
    <x v="2"/>
    <n v="15"/>
    <x v="3241"/>
    <x v="2"/>
    <x v="5"/>
    <n v="5"/>
    <n v="20"/>
    <n v="100"/>
    <n v="1"/>
  </r>
  <r>
    <n v="3370"/>
    <n v="2702"/>
    <n v="1"/>
    <x v="8"/>
    <d v="2024-09-18T00:00:00"/>
    <x v="2"/>
    <n v="11"/>
    <x v="3242"/>
    <x v="2"/>
    <x v="10"/>
    <n v="4"/>
    <n v="30"/>
    <n v="120"/>
    <n v="1"/>
  </r>
  <r>
    <n v="3371"/>
    <n v="2703"/>
    <n v="0.5"/>
    <x v="8"/>
    <d v="2024-09-19T00:00:00"/>
    <x v="3"/>
    <n v="15"/>
    <x v="3243"/>
    <x v="3"/>
    <x v="17"/>
    <n v="3"/>
    <n v="60"/>
    <n v="180"/>
    <n v="1"/>
  </r>
  <r>
    <n v="3372"/>
    <n v="2703"/>
    <n v="0.5"/>
    <x v="8"/>
    <d v="2024-09-19T00:00:00"/>
    <x v="3"/>
    <n v="9"/>
    <x v="3244"/>
    <x v="0"/>
    <x v="8"/>
    <n v="1"/>
    <n v="10"/>
    <n v="10"/>
    <n v="0"/>
  </r>
  <r>
    <n v="3373"/>
    <n v="2704"/>
    <n v="1"/>
    <x v="8"/>
    <d v="2024-09-19T00:00:00"/>
    <x v="3"/>
    <n v="20"/>
    <x v="926"/>
    <x v="3"/>
    <x v="14"/>
    <n v="5"/>
    <n v="40"/>
    <n v="200"/>
    <n v="1"/>
  </r>
  <r>
    <n v="3374"/>
    <n v="2705"/>
    <n v="0.33333333333333331"/>
    <x v="8"/>
    <d v="2024-09-19T00:00:00"/>
    <x v="3"/>
    <n v="15"/>
    <x v="3245"/>
    <x v="0"/>
    <x v="0"/>
    <n v="3"/>
    <n v="20"/>
    <n v="60"/>
    <n v="1"/>
  </r>
  <r>
    <n v="3375"/>
    <n v="2705"/>
    <n v="0.33333333333333331"/>
    <x v="8"/>
    <d v="2024-09-19T00:00:00"/>
    <x v="3"/>
    <n v="13"/>
    <x v="3246"/>
    <x v="2"/>
    <x v="10"/>
    <n v="5"/>
    <n v="30"/>
    <n v="150"/>
    <n v="0"/>
  </r>
  <r>
    <n v="3376"/>
    <n v="2705"/>
    <n v="0.33333333333333331"/>
    <x v="8"/>
    <d v="2024-09-19T00:00:00"/>
    <x v="3"/>
    <n v="20"/>
    <x v="3247"/>
    <x v="3"/>
    <x v="17"/>
    <n v="5"/>
    <n v="60"/>
    <n v="300"/>
    <n v="0"/>
  </r>
  <r>
    <n v="3377"/>
    <n v="2706"/>
    <n v="1"/>
    <x v="8"/>
    <d v="2024-09-20T00:00:00"/>
    <x v="4"/>
    <n v="19"/>
    <x v="3248"/>
    <x v="3"/>
    <x v="14"/>
    <n v="2"/>
    <n v="40"/>
    <n v="80"/>
    <n v="1"/>
  </r>
  <r>
    <n v="3378"/>
    <n v="2707"/>
    <n v="0.5"/>
    <x v="8"/>
    <d v="2024-09-20T00:00:00"/>
    <x v="4"/>
    <n v="14"/>
    <x v="3249"/>
    <x v="2"/>
    <x v="10"/>
    <n v="3"/>
    <n v="30"/>
    <n v="90"/>
    <n v="1"/>
  </r>
  <r>
    <n v="3379"/>
    <n v="2707"/>
    <n v="0.5"/>
    <x v="8"/>
    <d v="2024-09-20T00:00:00"/>
    <x v="4"/>
    <n v="12"/>
    <x v="3250"/>
    <x v="0"/>
    <x v="0"/>
    <n v="3"/>
    <n v="20"/>
    <n v="60"/>
    <n v="0"/>
  </r>
  <r>
    <n v="3380"/>
    <n v="2708"/>
    <n v="1"/>
    <x v="8"/>
    <d v="2024-09-20T00:00:00"/>
    <x v="4"/>
    <n v="9"/>
    <x v="3251"/>
    <x v="0"/>
    <x v="7"/>
    <n v="4"/>
    <n v="25"/>
    <n v="100"/>
    <n v="1"/>
  </r>
  <r>
    <n v="3381"/>
    <n v="2709"/>
    <n v="1"/>
    <x v="8"/>
    <d v="2024-09-20T00:00:00"/>
    <x v="4"/>
    <n v="16"/>
    <x v="3252"/>
    <x v="3"/>
    <x v="13"/>
    <n v="1"/>
    <n v="55"/>
    <n v="55"/>
    <n v="1"/>
  </r>
  <r>
    <n v="3382"/>
    <n v="2710"/>
    <n v="0.5"/>
    <x v="8"/>
    <d v="2024-09-20T00:00:00"/>
    <x v="4"/>
    <n v="19"/>
    <x v="3253"/>
    <x v="3"/>
    <x v="17"/>
    <n v="3"/>
    <n v="60"/>
    <n v="180"/>
    <n v="1"/>
  </r>
  <r>
    <n v="3383"/>
    <n v="2710"/>
    <n v="0.5"/>
    <x v="8"/>
    <d v="2024-09-20T00:00:00"/>
    <x v="4"/>
    <n v="19"/>
    <x v="696"/>
    <x v="3"/>
    <x v="14"/>
    <n v="3"/>
    <n v="40"/>
    <n v="120"/>
    <n v="0"/>
  </r>
  <r>
    <n v="3384"/>
    <n v="2711"/>
    <n v="0.5"/>
    <x v="8"/>
    <d v="2024-09-21T00:00:00"/>
    <x v="5"/>
    <n v="18"/>
    <x v="3254"/>
    <x v="1"/>
    <x v="12"/>
    <n v="3"/>
    <n v="1000"/>
    <n v="3000"/>
    <n v="1"/>
  </r>
  <r>
    <n v="3385"/>
    <n v="2711"/>
    <n v="0.5"/>
    <x v="8"/>
    <d v="2024-09-21T00:00:00"/>
    <x v="5"/>
    <n v="11"/>
    <x v="3255"/>
    <x v="3"/>
    <x v="14"/>
    <n v="3"/>
    <n v="40"/>
    <n v="120"/>
    <n v="0"/>
  </r>
  <r>
    <n v="3386"/>
    <n v="2712"/>
    <n v="1"/>
    <x v="8"/>
    <d v="2024-09-21T00:00:00"/>
    <x v="5"/>
    <n v="18"/>
    <x v="3256"/>
    <x v="1"/>
    <x v="12"/>
    <n v="3"/>
    <n v="1000"/>
    <n v="3000"/>
    <n v="1"/>
  </r>
  <r>
    <n v="3387"/>
    <n v="2713"/>
    <n v="0.33333333333333331"/>
    <x v="8"/>
    <d v="2024-09-21T00:00:00"/>
    <x v="5"/>
    <n v="19"/>
    <x v="3257"/>
    <x v="1"/>
    <x v="2"/>
    <n v="3"/>
    <n v="680"/>
    <n v="2040"/>
    <n v="1"/>
  </r>
  <r>
    <n v="3388"/>
    <n v="2713"/>
    <n v="0.33333333333333331"/>
    <x v="8"/>
    <d v="2024-09-21T00:00:00"/>
    <x v="5"/>
    <n v="12"/>
    <x v="3258"/>
    <x v="1"/>
    <x v="3"/>
    <n v="4"/>
    <n v="700"/>
    <n v="2800"/>
    <n v="0"/>
  </r>
  <r>
    <n v="3389"/>
    <n v="2713"/>
    <n v="0.33333333333333331"/>
    <x v="8"/>
    <d v="2024-09-21T00:00:00"/>
    <x v="5"/>
    <n v="15"/>
    <x v="3259"/>
    <x v="3"/>
    <x v="13"/>
    <n v="1"/>
    <n v="55"/>
    <n v="55"/>
    <n v="0"/>
  </r>
  <r>
    <n v="3390"/>
    <n v="2714"/>
    <n v="0.5"/>
    <x v="8"/>
    <d v="2024-09-21T00:00:00"/>
    <x v="5"/>
    <n v="15"/>
    <x v="3260"/>
    <x v="3"/>
    <x v="17"/>
    <n v="2"/>
    <n v="60"/>
    <n v="120"/>
    <n v="1"/>
  </r>
  <r>
    <n v="3391"/>
    <n v="2714"/>
    <n v="0.5"/>
    <x v="8"/>
    <d v="2024-09-21T00:00:00"/>
    <x v="5"/>
    <n v="9"/>
    <x v="3261"/>
    <x v="0"/>
    <x v="16"/>
    <n v="3"/>
    <n v="5"/>
    <n v="15"/>
    <n v="0"/>
  </r>
  <r>
    <n v="3392"/>
    <n v="2715"/>
    <n v="0.5"/>
    <x v="8"/>
    <d v="2024-09-21T00:00:00"/>
    <x v="5"/>
    <n v="10"/>
    <x v="3262"/>
    <x v="3"/>
    <x v="6"/>
    <n v="2"/>
    <n v="50"/>
    <n v="100"/>
    <n v="1"/>
  </r>
  <r>
    <n v="3393"/>
    <n v="2715"/>
    <n v="0.5"/>
    <x v="8"/>
    <d v="2024-09-21T00:00:00"/>
    <x v="5"/>
    <n v="15"/>
    <x v="3263"/>
    <x v="0"/>
    <x v="16"/>
    <n v="3"/>
    <n v="5"/>
    <n v="15"/>
    <n v="0"/>
  </r>
  <r>
    <n v="3394"/>
    <n v="2716"/>
    <n v="0.5"/>
    <x v="8"/>
    <d v="2024-09-21T00:00:00"/>
    <x v="5"/>
    <n v="14"/>
    <x v="3264"/>
    <x v="3"/>
    <x v="13"/>
    <n v="1"/>
    <n v="55"/>
    <n v="55"/>
    <n v="1"/>
  </r>
  <r>
    <n v="3395"/>
    <n v="2716"/>
    <n v="0.5"/>
    <x v="8"/>
    <d v="2024-09-21T00:00:00"/>
    <x v="5"/>
    <n v="16"/>
    <x v="3265"/>
    <x v="0"/>
    <x v="0"/>
    <n v="3"/>
    <n v="20"/>
    <n v="60"/>
    <n v="0"/>
  </r>
  <r>
    <n v="3396"/>
    <n v="2717"/>
    <n v="1"/>
    <x v="8"/>
    <d v="2024-09-21T00:00:00"/>
    <x v="5"/>
    <n v="11"/>
    <x v="3266"/>
    <x v="1"/>
    <x v="1"/>
    <n v="1"/>
    <n v="650"/>
    <n v="650"/>
    <n v="1"/>
  </r>
  <r>
    <n v="3397"/>
    <n v="2718"/>
    <n v="0.33333333333333331"/>
    <x v="8"/>
    <d v="2024-09-21T00:00:00"/>
    <x v="5"/>
    <n v="19"/>
    <x v="3267"/>
    <x v="2"/>
    <x v="11"/>
    <n v="5"/>
    <n v="35"/>
    <n v="175"/>
    <n v="1"/>
  </r>
  <r>
    <n v="3398"/>
    <n v="2718"/>
    <n v="0.33333333333333331"/>
    <x v="8"/>
    <d v="2024-09-21T00:00:00"/>
    <x v="5"/>
    <n v="13"/>
    <x v="3268"/>
    <x v="0"/>
    <x v="8"/>
    <n v="2"/>
    <n v="10"/>
    <n v="20"/>
    <n v="0"/>
  </r>
  <r>
    <n v="3399"/>
    <n v="2718"/>
    <n v="0.33333333333333331"/>
    <x v="8"/>
    <d v="2024-09-21T00:00:00"/>
    <x v="5"/>
    <n v="11"/>
    <x v="3269"/>
    <x v="1"/>
    <x v="4"/>
    <n v="3"/>
    <n v="600"/>
    <n v="1800"/>
    <n v="0"/>
  </r>
  <r>
    <n v="3400"/>
    <n v="2719"/>
    <n v="1"/>
    <x v="8"/>
    <d v="2024-09-21T00:00:00"/>
    <x v="5"/>
    <n v="9"/>
    <x v="3270"/>
    <x v="3"/>
    <x v="17"/>
    <n v="2"/>
    <n v="60"/>
    <n v="120"/>
    <n v="1"/>
  </r>
  <r>
    <n v="3401"/>
    <n v="2720"/>
    <n v="0.5"/>
    <x v="8"/>
    <d v="2024-09-21T00:00:00"/>
    <x v="5"/>
    <n v="17"/>
    <x v="3271"/>
    <x v="1"/>
    <x v="4"/>
    <n v="1"/>
    <n v="600"/>
    <n v="600"/>
    <n v="1"/>
  </r>
  <r>
    <n v="3402"/>
    <n v="2720"/>
    <n v="0.5"/>
    <x v="8"/>
    <d v="2024-09-21T00:00:00"/>
    <x v="5"/>
    <n v="16"/>
    <x v="3272"/>
    <x v="1"/>
    <x v="1"/>
    <n v="5"/>
    <n v="650"/>
    <n v="3250"/>
    <n v="0"/>
  </r>
  <r>
    <n v="3403"/>
    <n v="2721"/>
    <n v="0.5"/>
    <x v="8"/>
    <d v="2024-09-22T00:00:00"/>
    <x v="6"/>
    <n v="15"/>
    <x v="3273"/>
    <x v="2"/>
    <x v="5"/>
    <n v="2"/>
    <n v="20"/>
    <n v="40"/>
    <n v="1"/>
  </r>
  <r>
    <n v="3404"/>
    <n v="2721"/>
    <n v="0.5"/>
    <x v="8"/>
    <d v="2024-09-22T00:00:00"/>
    <x v="6"/>
    <n v="12"/>
    <x v="3274"/>
    <x v="3"/>
    <x v="6"/>
    <n v="1"/>
    <n v="50"/>
    <n v="50"/>
    <n v="0"/>
  </r>
  <r>
    <n v="3405"/>
    <n v="2722"/>
    <n v="0.5"/>
    <x v="8"/>
    <d v="2024-09-22T00:00:00"/>
    <x v="6"/>
    <n v="19"/>
    <x v="3275"/>
    <x v="3"/>
    <x v="13"/>
    <n v="2"/>
    <n v="55"/>
    <n v="110"/>
    <n v="1"/>
  </r>
  <r>
    <n v="3406"/>
    <n v="2722"/>
    <n v="0.5"/>
    <x v="8"/>
    <d v="2024-09-22T00:00:00"/>
    <x v="6"/>
    <n v="20"/>
    <x v="3276"/>
    <x v="0"/>
    <x v="0"/>
    <n v="1"/>
    <n v="20"/>
    <n v="20"/>
    <n v="0"/>
  </r>
  <r>
    <n v="3407"/>
    <n v="2723"/>
    <n v="1"/>
    <x v="8"/>
    <d v="2024-09-22T00:00:00"/>
    <x v="6"/>
    <n v="16"/>
    <x v="1077"/>
    <x v="2"/>
    <x v="15"/>
    <n v="5"/>
    <n v="25"/>
    <n v="125"/>
    <n v="1"/>
  </r>
  <r>
    <n v="3408"/>
    <n v="2724"/>
    <n v="1"/>
    <x v="8"/>
    <d v="2024-09-22T00:00:00"/>
    <x v="6"/>
    <n v="19"/>
    <x v="3277"/>
    <x v="0"/>
    <x v="7"/>
    <n v="1"/>
    <n v="25"/>
    <n v="25"/>
    <n v="1"/>
  </r>
  <r>
    <n v="3409"/>
    <n v="2725"/>
    <n v="0.5"/>
    <x v="8"/>
    <d v="2024-09-22T00:00:00"/>
    <x v="6"/>
    <n v="15"/>
    <x v="3278"/>
    <x v="3"/>
    <x v="17"/>
    <n v="5"/>
    <n v="60"/>
    <n v="300"/>
    <n v="1"/>
  </r>
  <r>
    <n v="3410"/>
    <n v="2725"/>
    <n v="0.5"/>
    <x v="8"/>
    <d v="2024-09-22T00:00:00"/>
    <x v="6"/>
    <n v="17"/>
    <x v="3279"/>
    <x v="1"/>
    <x v="2"/>
    <n v="3"/>
    <n v="680"/>
    <n v="2040"/>
    <n v="0"/>
  </r>
  <r>
    <n v="3411"/>
    <n v="2726"/>
    <n v="0.33333333333333331"/>
    <x v="8"/>
    <d v="2024-09-22T00:00:00"/>
    <x v="6"/>
    <n v="19"/>
    <x v="3280"/>
    <x v="3"/>
    <x v="13"/>
    <n v="4"/>
    <n v="55"/>
    <n v="220"/>
    <n v="1"/>
  </r>
  <r>
    <n v="3412"/>
    <n v="2726"/>
    <n v="0.33333333333333331"/>
    <x v="8"/>
    <d v="2024-09-22T00:00:00"/>
    <x v="6"/>
    <n v="16"/>
    <x v="3281"/>
    <x v="1"/>
    <x v="1"/>
    <n v="1"/>
    <n v="650"/>
    <n v="650"/>
    <n v="0"/>
  </r>
  <r>
    <n v="3413"/>
    <n v="2726"/>
    <n v="0.33333333333333331"/>
    <x v="8"/>
    <d v="2024-09-22T00:00:00"/>
    <x v="6"/>
    <n v="13"/>
    <x v="3282"/>
    <x v="0"/>
    <x v="0"/>
    <n v="4"/>
    <n v="20"/>
    <n v="80"/>
    <n v="0"/>
  </r>
  <r>
    <n v="3414"/>
    <n v="2727"/>
    <n v="1"/>
    <x v="8"/>
    <d v="2024-09-22T00:00:00"/>
    <x v="6"/>
    <n v="12"/>
    <x v="3283"/>
    <x v="2"/>
    <x v="10"/>
    <n v="3"/>
    <n v="30"/>
    <n v="90"/>
    <n v="1"/>
  </r>
  <r>
    <n v="3415"/>
    <n v="2728"/>
    <n v="1"/>
    <x v="8"/>
    <d v="2024-09-22T00:00:00"/>
    <x v="6"/>
    <n v="19"/>
    <x v="3284"/>
    <x v="2"/>
    <x v="11"/>
    <n v="2"/>
    <n v="35"/>
    <n v="70"/>
    <n v="1"/>
  </r>
  <r>
    <n v="3416"/>
    <n v="2729"/>
    <n v="0.5"/>
    <x v="8"/>
    <d v="2024-09-22T00:00:00"/>
    <x v="6"/>
    <n v="13"/>
    <x v="1268"/>
    <x v="0"/>
    <x v="7"/>
    <n v="4"/>
    <n v="25"/>
    <n v="100"/>
    <n v="1"/>
  </r>
  <r>
    <n v="3417"/>
    <n v="2729"/>
    <n v="0.5"/>
    <x v="8"/>
    <d v="2024-09-22T00:00:00"/>
    <x v="6"/>
    <n v="11"/>
    <x v="3285"/>
    <x v="3"/>
    <x v="13"/>
    <n v="5"/>
    <n v="55"/>
    <n v="275"/>
    <n v="0"/>
  </r>
  <r>
    <n v="3418"/>
    <n v="2730"/>
    <n v="0.33333333333333331"/>
    <x v="8"/>
    <d v="2024-09-23T00:00:00"/>
    <x v="0"/>
    <n v="13"/>
    <x v="3286"/>
    <x v="2"/>
    <x v="11"/>
    <n v="2"/>
    <n v="35"/>
    <n v="70"/>
    <n v="1"/>
  </r>
  <r>
    <n v="3419"/>
    <n v="2730"/>
    <n v="0.33333333333333331"/>
    <x v="8"/>
    <d v="2024-09-23T00:00:00"/>
    <x v="0"/>
    <n v="16"/>
    <x v="3287"/>
    <x v="1"/>
    <x v="1"/>
    <n v="1"/>
    <n v="650"/>
    <n v="650"/>
    <n v="0"/>
  </r>
  <r>
    <n v="3420"/>
    <n v="2730"/>
    <n v="0.33333333333333331"/>
    <x v="8"/>
    <d v="2024-09-23T00:00:00"/>
    <x v="0"/>
    <n v="19"/>
    <x v="3288"/>
    <x v="1"/>
    <x v="4"/>
    <n v="4"/>
    <n v="600"/>
    <n v="2400"/>
    <n v="0"/>
  </r>
  <r>
    <n v="3421"/>
    <n v="2731"/>
    <n v="0.33333333333333331"/>
    <x v="8"/>
    <d v="2024-09-23T00:00:00"/>
    <x v="0"/>
    <n v="18"/>
    <x v="3289"/>
    <x v="1"/>
    <x v="2"/>
    <n v="1"/>
    <n v="680"/>
    <n v="680"/>
    <n v="1"/>
  </r>
  <r>
    <n v="3422"/>
    <n v="2731"/>
    <n v="0.33333333333333331"/>
    <x v="8"/>
    <d v="2024-09-23T00:00:00"/>
    <x v="0"/>
    <n v="13"/>
    <x v="167"/>
    <x v="1"/>
    <x v="2"/>
    <n v="3"/>
    <n v="680"/>
    <n v="2040"/>
    <n v="0"/>
  </r>
  <r>
    <n v="3423"/>
    <n v="2731"/>
    <n v="0.33333333333333331"/>
    <x v="8"/>
    <d v="2024-09-23T00:00:00"/>
    <x v="0"/>
    <n v="19"/>
    <x v="3290"/>
    <x v="2"/>
    <x v="11"/>
    <n v="1"/>
    <n v="35"/>
    <n v="35"/>
    <n v="0"/>
  </r>
  <r>
    <n v="3424"/>
    <n v="2732"/>
    <n v="1"/>
    <x v="8"/>
    <d v="2024-09-23T00:00:00"/>
    <x v="0"/>
    <n v="11"/>
    <x v="3291"/>
    <x v="3"/>
    <x v="6"/>
    <n v="3"/>
    <n v="50"/>
    <n v="150"/>
    <n v="1"/>
  </r>
  <r>
    <n v="3425"/>
    <n v="2733"/>
    <n v="1"/>
    <x v="8"/>
    <d v="2024-09-23T00:00:00"/>
    <x v="0"/>
    <n v="17"/>
    <x v="3292"/>
    <x v="0"/>
    <x v="8"/>
    <n v="4"/>
    <n v="10"/>
    <n v="40"/>
    <n v="1"/>
  </r>
  <r>
    <n v="3426"/>
    <n v="2734"/>
    <n v="1"/>
    <x v="8"/>
    <d v="2024-09-23T00:00:00"/>
    <x v="0"/>
    <n v="12"/>
    <x v="3293"/>
    <x v="3"/>
    <x v="6"/>
    <n v="3"/>
    <n v="50"/>
    <n v="150"/>
    <n v="1"/>
  </r>
  <r>
    <n v="3427"/>
    <n v="2735"/>
    <n v="0.33333333333333331"/>
    <x v="8"/>
    <d v="2024-09-23T00:00:00"/>
    <x v="0"/>
    <n v="12"/>
    <x v="3294"/>
    <x v="3"/>
    <x v="6"/>
    <n v="1"/>
    <n v="50"/>
    <n v="50"/>
    <n v="1"/>
  </r>
  <r>
    <n v="3428"/>
    <n v="2735"/>
    <n v="0.33333333333333331"/>
    <x v="8"/>
    <d v="2024-09-23T00:00:00"/>
    <x v="0"/>
    <n v="17"/>
    <x v="3295"/>
    <x v="3"/>
    <x v="18"/>
    <n v="4"/>
    <n v="45"/>
    <n v="180"/>
    <n v="0"/>
  </r>
  <r>
    <n v="3429"/>
    <n v="2735"/>
    <n v="0.33333333333333331"/>
    <x v="8"/>
    <d v="2024-09-23T00:00:00"/>
    <x v="0"/>
    <n v="14"/>
    <x v="3296"/>
    <x v="2"/>
    <x v="15"/>
    <n v="2"/>
    <n v="25"/>
    <n v="50"/>
    <n v="0"/>
  </r>
  <r>
    <n v="3430"/>
    <n v="2736"/>
    <n v="0.33333333333333331"/>
    <x v="8"/>
    <d v="2024-09-23T00:00:00"/>
    <x v="0"/>
    <n v="18"/>
    <x v="3297"/>
    <x v="2"/>
    <x v="10"/>
    <n v="5"/>
    <n v="30"/>
    <n v="150"/>
    <n v="1"/>
  </r>
  <r>
    <n v="3431"/>
    <n v="2736"/>
    <n v="0.33333333333333331"/>
    <x v="8"/>
    <d v="2024-09-23T00:00:00"/>
    <x v="0"/>
    <n v="16"/>
    <x v="3298"/>
    <x v="3"/>
    <x v="18"/>
    <n v="3"/>
    <n v="45"/>
    <n v="135"/>
    <n v="0"/>
  </r>
  <r>
    <n v="3432"/>
    <n v="2736"/>
    <n v="0.33333333333333331"/>
    <x v="8"/>
    <d v="2024-09-23T00:00:00"/>
    <x v="0"/>
    <n v="18"/>
    <x v="3299"/>
    <x v="1"/>
    <x v="12"/>
    <n v="5"/>
    <n v="1000"/>
    <n v="5000"/>
    <n v="0"/>
  </r>
  <r>
    <n v="3433"/>
    <n v="2737"/>
    <n v="0.5"/>
    <x v="8"/>
    <d v="2024-09-23T00:00:00"/>
    <x v="0"/>
    <n v="9"/>
    <x v="3300"/>
    <x v="3"/>
    <x v="6"/>
    <n v="5"/>
    <n v="50"/>
    <n v="250"/>
    <n v="1"/>
  </r>
  <r>
    <n v="3434"/>
    <n v="2737"/>
    <n v="0.5"/>
    <x v="8"/>
    <d v="2024-09-23T00:00:00"/>
    <x v="0"/>
    <n v="19"/>
    <x v="3301"/>
    <x v="0"/>
    <x v="8"/>
    <n v="3"/>
    <n v="10"/>
    <n v="30"/>
    <n v="0"/>
  </r>
  <r>
    <n v="3435"/>
    <n v="2738"/>
    <n v="0.5"/>
    <x v="8"/>
    <d v="2024-09-24T00:00:00"/>
    <x v="1"/>
    <n v="18"/>
    <x v="3302"/>
    <x v="0"/>
    <x v="7"/>
    <n v="4"/>
    <n v="25"/>
    <n v="100"/>
    <n v="1"/>
  </r>
  <r>
    <n v="3436"/>
    <n v="2738"/>
    <n v="0.5"/>
    <x v="8"/>
    <d v="2024-09-24T00:00:00"/>
    <x v="1"/>
    <n v="14"/>
    <x v="3303"/>
    <x v="0"/>
    <x v="7"/>
    <n v="1"/>
    <n v="25"/>
    <n v="25"/>
    <n v="0"/>
  </r>
  <r>
    <n v="3437"/>
    <n v="2739"/>
    <n v="0.33333333333333331"/>
    <x v="8"/>
    <d v="2024-09-24T00:00:00"/>
    <x v="1"/>
    <n v="9"/>
    <x v="1455"/>
    <x v="1"/>
    <x v="12"/>
    <n v="3"/>
    <n v="1000"/>
    <n v="3000"/>
    <n v="1"/>
  </r>
  <r>
    <n v="3438"/>
    <n v="2739"/>
    <n v="0.33333333333333331"/>
    <x v="8"/>
    <d v="2024-09-24T00:00:00"/>
    <x v="1"/>
    <n v="15"/>
    <x v="3304"/>
    <x v="2"/>
    <x v="15"/>
    <n v="2"/>
    <n v="25"/>
    <n v="50"/>
    <n v="0"/>
  </r>
  <r>
    <n v="3439"/>
    <n v="2739"/>
    <n v="0.33333333333333331"/>
    <x v="8"/>
    <d v="2024-09-24T00:00:00"/>
    <x v="1"/>
    <n v="11"/>
    <x v="3305"/>
    <x v="2"/>
    <x v="11"/>
    <n v="5"/>
    <n v="35"/>
    <n v="175"/>
    <n v="0"/>
  </r>
  <r>
    <n v="3440"/>
    <n v="2740"/>
    <n v="1"/>
    <x v="8"/>
    <d v="2024-09-24T00:00:00"/>
    <x v="1"/>
    <n v="15"/>
    <x v="3306"/>
    <x v="2"/>
    <x v="5"/>
    <n v="1"/>
    <n v="20"/>
    <n v="20"/>
    <n v="1"/>
  </r>
  <r>
    <n v="3441"/>
    <n v="2741"/>
    <n v="0.33333333333333331"/>
    <x v="8"/>
    <d v="2024-09-24T00:00:00"/>
    <x v="1"/>
    <n v="13"/>
    <x v="3307"/>
    <x v="1"/>
    <x v="12"/>
    <n v="4"/>
    <n v="1000"/>
    <n v="4000"/>
    <n v="1"/>
  </r>
  <r>
    <n v="3442"/>
    <n v="2741"/>
    <n v="0.33333333333333331"/>
    <x v="8"/>
    <d v="2024-09-24T00:00:00"/>
    <x v="1"/>
    <n v="16"/>
    <x v="3308"/>
    <x v="3"/>
    <x v="13"/>
    <n v="3"/>
    <n v="55"/>
    <n v="165"/>
    <n v="0"/>
  </r>
  <r>
    <n v="3443"/>
    <n v="2741"/>
    <n v="0.33333333333333331"/>
    <x v="8"/>
    <d v="2024-09-24T00:00:00"/>
    <x v="1"/>
    <n v="14"/>
    <x v="3309"/>
    <x v="1"/>
    <x v="12"/>
    <n v="5"/>
    <n v="1000"/>
    <n v="5000"/>
    <n v="0"/>
  </r>
  <r>
    <n v="3444"/>
    <n v="2742"/>
    <n v="0.5"/>
    <x v="8"/>
    <d v="2024-09-24T00:00:00"/>
    <x v="1"/>
    <n v="13"/>
    <x v="3310"/>
    <x v="1"/>
    <x v="3"/>
    <n v="4"/>
    <n v="700"/>
    <n v="2800"/>
    <n v="1"/>
  </r>
  <r>
    <n v="3445"/>
    <n v="2742"/>
    <n v="0.5"/>
    <x v="8"/>
    <d v="2024-09-24T00:00:00"/>
    <x v="1"/>
    <n v="20"/>
    <x v="1743"/>
    <x v="2"/>
    <x v="15"/>
    <n v="1"/>
    <n v="25"/>
    <n v="25"/>
    <n v="0"/>
  </r>
  <r>
    <n v="3446"/>
    <n v="2743"/>
    <n v="1"/>
    <x v="8"/>
    <d v="2024-09-24T00:00:00"/>
    <x v="1"/>
    <n v="15"/>
    <x v="3311"/>
    <x v="0"/>
    <x v="0"/>
    <n v="4"/>
    <n v="20"/>
    <n v="80"/>
    <n v="1"/>
  </r>
  <r>
    <n v="3447"/>
    <n v="2744"/>
    <n v="0.33333333333333331"/>
    <x v="8"/>
    <d v="2024-09-24T00:00:00"/>
    <x v="1"/>
    <n v="20"/>
    <x v="3312"/>
    <x v="1"/>
    <x v="1"/>
    <n v="2"/>
    <n v="650"/>
    <n v="1300"/>
    <n v="1"/>
  </r>
  <r>
    <n v="3448"/>
    <n v="2744"/>
    <n v="0.33333333333333331"/>
    <x v="8"/>
    <d v="2024-09-24T00:00:00"/>
    <x v="1"/>
    <n v="16"/>
    <x v="2195"/>
    <x v="0"/>
    <x v="9"/>
    <n v="3"/>
    <n v="15"/>
    <n v="45"/>
    <n v="0"/>
  </r>
  <r>
    <n v="3449"/>
    <n v="2744"/>
    <n v="0.33333333333333331"/>
    <x v="8"/>
    <d v="2024-09-24T00:00:00"/>
    <x v="1"/>
    <n v="9"/>
    <x v="3313"/>
    <x v="0"/>
    <x v="0"/>
    <n v="2"/>
    <n v="20"/>
    <n v="40"/>
    <n v="0"/>
  </r>
  <r>
    <n v="3450"/>
    <n v="2745"/>
    <n v="0.33333333333333331"/>
    <x v="8"/>
    <d v="2024-09-25T00:00:00"/>
    <x v="2"/>
    <n v="20"/>
    <x v="3314"/>
    <x v="0"/>
    <x v="8"/>
    <n v="1"/>
    <n v="10"/>
    <n v="10"/>
    <n v="1"/>
  </r>
  <r>
    <n v="3451"/>
    <n v="2745"/>
    <n v="0.33333333333333331"/>
    <x v="8"/>
    <d v="2024-09-25T00:00:00"/>
    <x v="2"/>
    <n v="15"/>
    <x v="3315"/>
    <x v="2"/>
    <x v="10"/>
    <n v="4"/>
    <n v="30"/>
    <n v="120"/>
    <n v="0"/>
  </r>
  <r>
    <n v="3452"/>
    <n v="2745"/>
    <n v="0.33333333333333331"/>
    <x v="8"/>
    <d v="2024-09-25T00:00:00"/>
    <x v="2"/>
    <n v="18"/>
    <x v="3316"/>
    <x v="1"/>
    <x v="3"/>
    <n v="5"/>
    <n v="700"/>
    <n v="3500"/>
    <n v="0"/>
  </r>
  <r>
    <n v="3453"/>
    <n v="2746"/>
    <n v="0.33333333333333331"/>
    <x v="8"/>
    <d v="2024-09-25T00:00:00"/>
    <x v="2"/>
    <n v="10"/>
    <x v="3317"/>
    <x v="0"/>
    <x v="9"/>
    <n v="1"/>
    <n v="15"/>
    <n v="15"/>
    <n v="1"/>
  </r>
  <r>
    <n v="3454"/>
    <n v="2746"/>
    <n v="0.33333333333333331"/>
    <x v="8"/>
    <d v="2024-09-25T00:00:00"/>
    <x v="2"/>
    <n v="14"/>
    <x v="3318"/>
    <x v="0"/>
    <x v="8"/>
    <n v="1"/>
    <n v="10"/>
    <n v="10"/>
    <n v="0"/>
  </r>
  <r>
    <n v="3455"/>
    <n v="2746"/>
    <n v="0.33333333333333331"/>
    <x v="8"/>
    <d v="2024-09-25T00:00:00"/>
    <x v="2"/>
    <n v="12"/>
    <x v="3319"/>
    <x v="0"/>
    <x v="7"/>
    <n v="4"/>
    <n v="25"/>
    <n v="100"/>
    <n v="0"/>
  </r>
  <r>
    <n v="3456"/>
    <n v="2747"/>
    <n v="1"/>
    <x v="8"/>
    <d v="2024-09-25T00:00:00"/>
    <x v="2"/>
    <n v="18"/>
    <x v="3320"/>
    <x v="2"/>
    <x v="10"/>
    <n v="3"/>
    <n v="30"/>
    <n v="90"/>
    <n v="1"/>
  </r>
  <r>
    <n v="3457"/>
    <n v="2748"/>
    <n v="0.5"/>
    <x v="8"/>
    <d v="2024-09-26T00:00:00"/>
    <x v="3"/>
    <n v="16"/>
    <x v="3321"/>
    <x v="2"/>
    <x v="15"/>
    <n v="2"/>
    <n v="25"/>
    <n v="50"/>
    <n v="1"/>
  </r>
  <r>
    <n v="3458"/>
    <n v="2748"/>
    <n v="0.5"/>
    <x v="8"/>
    <d v="2024-09-26T00:00:00"/>
    <x v="3"/>
    <n v="18"/>
    <x v="3322"/>
    <x v="3"/>
    <x v="14"/>
    <n v="1"/>
    <n v="40"/>
    <n v="40"/>
    <n v="0"/>
  </r>
  <r>
    <n v="3459"/>
    <n v="2749"/>
    <n v="0.33333333333333331"/>
    <x v="8"/>
    <d v="2024-09-26T00:00:00"/>
    <x v="3"/>
    <n v="14"/>
    <x v="3323"/>
    <x v="2"/>
    <x v="5"/>
    <n v="2"/>
    <n v="20"/>
    <n v="40"/>
    <n v="1"/>
  </r>
  <r>
    <n v="3460"/>
    <n v="2749"/>
    <n v="0.33333333333333331"/>
    <x v="8"/>
    <d v="2024-09-26T00:00:00"/>
    <x v="3"/>
    <n v="15"/>
    <x v="3324"/>
    <x v="2"/>
    <x v="5"/>
    <n v="2"/>
    <n v="20"/>
    <n v="40"/>
    <n v="0"/>
  </r>
  <r>
    <n v="3461"/>
    <n v="2749"/>
    <n v="0.33333333333333331"/>
    <x v="8"/>
    <d v="2024-09-26T00:00:00"/>
    <x v="3"/>
    <n v="16"/>
    <x v="3325"/>
    <x v="2"/>
    <x v="11"/>
    <n v="5"/>
    <n v="35"/>
    <n v="175"/>
    <n v="0"/>
  </r>
  <r>
    <n v="3462"/>
    <n v="2750"/>
    <n v="1"/>
    <x v="8"/>
    <d v="2024-09-26T00:00:00"/>
    <x v="3"/>
    <n v="10"/>
    <x v="3326"/>
    <x v="1"/>
    <x v="3"/>
    <n v="2"/>
    <n v="700"/>
    <n v="1400"/>
    <n v="1"/>
  </r>
  <r>
    <n v="3463"/>
    <n v="2751"/>
    <n v="0.33333333333333331"/>
    <x v="8"/>
    <d v="2024-09-26T00:00:00"/>
    <x v="3"/>
    <n v="13"/>
    <x v="3327"/>
    <x v="0"/>
    <x v="7"/>
    <n v="5"/>
    <n v="25"/>
    <n v="125"/>
    <n v="1"/>
  </r>
  <r>
    <n v="3464"/>
    <n v="2751"/>
    <n v="0.33333333333333331"/>
    <x v="8"/>
    <d v="2024-09-26T00:00:00"/>
    <x v="3"/>
    <n v="11"/>
    <x v="3328"/>
    <x v="1"/>
    <x v="12"/>
    <n v="5"/>
    <n v="1000"/>
    <n v="5000"/>
    <n v="0"/>
  </r>
  <r>
    <n v="3465"/>
    <n v="2751"/>
    <n v="0.33333333333333331"/>
    <x v="8"/>
    <d v="2024-09-26T00:00:00"/>
    <x v="3"/>
    <n v="20"/>
    <x v="852"/>
    <x v="2"/>
    <x v="15"/>
    <n v="3"/>
    <n v="25"/>
    <n v="75"/>
    <n v="0"/>
  </r>
  <r>
    <n v="3466"/>
    <n v="2752"/>
    <n v="0.33333333333333331"/>
    <x v="8"/>
    <d v="2024-09-26T00:00:00"/>
    <x v="3"/>
    <n v="14"/>
    <x v="3329"/>
    <x v="1"/>
    <x v="12"/>
    <n v="1"/>
    <n v="1000"/>
    <n v="1000"/>
    <n v="1"/>
  </r>
  <r>
    <n v="3467"/>
    <n v="2752"/>
    <n v="0.33333333333333331"/>
    <x v="8"/>
    <d v="2024-09-26T00:00:00"/>
    <x v="3"/>
    <n v="18"/>
    <x v="3330"/>
    <x v="2"/>
    <x v="5"/>
    <n v="3"/>
    <n v="20"/>
    <n v="60"/>
    <n v="0"/>
  </r>
  <r>
    <n v="3468"/>
    <n v="2752"/>
    <n v="0.33333333333333331"/>
    <x v="8"/>
    <d v="2024-09-26T00:00:00"/>
    <x v="3"/>
    <n v="20"/>
    <x v="3331"/>
    <x v="1"/>
    <x v="12"/>
    <n v="3"/>
    <n v="1000"/>
    <n v="3000"/>
    <n v="0"/>
  </r>
  <r>
    <n v="3469"/>
    <n v="2753"/>
    <n v="1"/>
    <x v="8"/>
    <d v="2024-09-26T00:00:00"/>
    <x v="3"/>
    <n v="10"/>
    <x v="3332"/>
    <x v="1"/>
    <x v="4"/>
    <n v="1"/>
    <n v="600"/>
    <n v="600"/>
    <n v="1"/>
  </r>
  <r>
    <n v="3470"/>
    <n v="2754"/>
    <n v="0.33333333333333331"/>
    <x v="8"/>
    <d v="2024-09-27T00:00:00"/>
    <x v="4"/>
    <n v="19"/>
    <x v="3333"/>
    <x v="3"/>
    <x v="14"/>
    <n v="5"/>
    <n v="40"/>
    <n v="200"/>
    <n v="1"/>
  </r>
  <r>
    <n v="3471"/>
    <n v="2754"/>
    <n v="0.33333333333333331"/>
    <x v="8"/>
    <d v="2024-09-27T00:00:00"/>
    <x v="4"/>
    <n v="12"/>
    <x v="3334"/>
    <x v="1"/>
    <x v="2"/>
    <n v="1"/>
    <n v="680"/>
    <n v="680"/>
    <n v="0"/>
  </r>
  <r>
    <n v="3472"/>
    <n v="2754"/>
    <n v="0.33333333333333331"/>
    <x v="8"/>
    <d v="2024-09-27T00:00:00"/>
    <x v="4"/>
    <n v="15"/>
    <x v="3335"/>
    <x v="3"/>
    <x v="14"/>
    <n v="4"/>
    <n v="40"/>
    <n v="160"/>
    <n v="0"/>
  </r>
  <r>
    <n v="3473"/>
    <n v="2755"/>
    <n v="0.33333333333333331"/>
    <x v="8"/>
    <d v="2024-09-27T00:00:00"/>
    <x v="4"/>
    <n v="16"/>
    <x v="3336"/>
    <x v="0"/>
    <x v="8"/>
    <n v="2"/>
    <n v="10"/>
    <n v="20"/>
    <n v="1"/>
  </r>
  <r>
    <n v="3474"/>
    <n v="2755"/>
    <n v="0.33333333333333331"/>
    <x v="8"/>
    <d v="2024-09-27T00:00:00"/>
    <x v="4"/>
    <n v="16"/>
    <x v="3337"/>
    <x v="3"/>
    <x v="18"/>
    <n v="3"/>
    <n v="45"/>
    <n v="135"/>
    <n v="0"/>
  </r>
  <r>
    <n v="3475"/>
    <n v="2755"/>
    <n v="0.33333333333333331"/>
    <x v="8"/>
    <d v="2024-09-27T00:00:00"/>
    <x v="4"/>
    <n v="13"/>
    <x v="3338"/>
    <x v="0"/>
    <x v="9"/>
    <n v="3"/>
    <n v="15"/>
    <n v="45"/>
    <n v="0"/>
  </r>
  <r>
    <n v="3476"/>
    <n v="2756"/>
    <n v="1"/>
    <x v="8"/>
    <d v="2024-09-27T00:00:00"/>
    <x v="4"/>
    <n v="13"/>
    <x v="3339"/>
    <x v="2"/>
    <x v="5"/>
    <n v="1"/>
    <n v="20"/>
    <n v="20"/>
    <n v="1"/>
  </r>
  <r>
    <n v="3477"/>
    <n v="2757"/>
    <n v="0.5"/>
    <x v="8"/>
    <d v="2024-09-27T00:00:00"/>
    <x v="4"/>
    <n v="9"/>
    <x v="2540"/>
    <x v="2"/>
    <x v="11"/>
    <n v="3"/>
    <n v="35"/>
    <n v="105"/>
    <n v="1"/>
  </r>
  <r>
    <n v="3478"/>
    <n v="2757"/>
    <n v="0.5"/>
    <x v="8"/>
    <d v="2024-09-27T00:00:00"/>
    <x v="4"/>
    <n v="20"/>
    <x v="3340"/>
    <x v="2"/>
    <x v="11"/>
    <n v="3"/>
    <n v="35"/>
    <n v="105"/>
    <n v="0"/>
  </r>
  <r>
    <n v="3479"/>
    <n v="2758"/>
    <n v="1"/>
    <x v="8"/>
    <d v="2024-09-27T00:00:00"/>
    <x v="4"/>
    <n v="18"/>
    <x v="3341"/>
    <x v="2"/>
    <x v="15"/>
    <n v="1"/>
    <n v="25"/>
    <n v="25"/>
    <n v="1"/>
  </r>
  <r>
    <n v="3480"/>
    <n v="2759"/>
    <n v="0.33333333333333331"/>
    <x v="8"/>
    <d v="2024-09-27T00:00:00"/>
    <x v="4"/>
    <n v="16"/>
    <x v="3342"/>
    <x v="1"/>
    <x v="4"/>
    <n v="3"/>
    <n v="600"/>
    <n v="1800"/>
    <n v="1"/>
  </r>
  <r>
    <n v="3481"/>
    <n v="2759"/>
    <n v="0.33333333333333331"/>
    <x v="8"/>
    <d v="2024-09-27T00:00:00"/>
    <x v="4"/>
    <n v="15"/>
    <x v="3343"/>
    <x v="3"/>
    <x v="17"/>
    <n v="3"/>
    <n v="60"/>
    <n v="180"/>
    <n v="0"/>
  </r>
  <r>
    <n v="3482"/>
    <n v="2759"/>
    <n v="0.33333333333333331"/>
    <x v="8"/>
    <d v="2024-09-27T00:00:00"/>
    <x v="4"/>
    <n v="19"/>
    <x v="3344"/>
    <x v="0"/>
    <x v="9"/>
    <n v="5"/>
    <n v="15"/>
    <n v="75"/>
    <n v="0"/>
  </r>
  <r>
    <n v="3483"/>
    <n v="2760"/>
    <n v="0.5"/>
    <x v="8"/>
    <d v="2024-09-27T00:00:00"/>
    <x v="4"/>
    <n v="17"/>
    <x v="3345"/>
    <x v="0"/>
    <x v="8"/>
    <n v="2"/>
    <n v="10"/>
    <n v="20"/>
    <n v="1"/>
  </r>
  <r>
    <n v="3484"/>
    <n v="2760"/>
    <n v="0.5"/>
    <x v="8"/>
    <d v="2024-09-27T00:00:00"/>
    <x v="4"/>
    <n v="19"/>
    <x v="3346"/>
    <x v="2"/>
    <x v="15"/>
    <n v="4"/>
    <n v="25"/>
    <n v="100"/>
    <n v="0"/>
  </r>
  <r>
    <n v="3485"/>
    <n v="2761"/>
    <n v="1"/>
    <x v="8"/>
    <d v="2024-09-27T00:00:00"/>
    <x v="4"/>
    <n v="9"/>
    <x v="3347"/>
    <x v="2"/>
    <x v="5"/>
    <n v="4"/>
    <n v="20"/>
    <n v="80"/>
    <n v="1"/>
  </r>
  <r>
    <n v="3486"/>
    <n v="2762"/>
    <n v="0.5"/>
    <x v="8"/>
    <d v="2024-09-27T00:00:00"/>
    <x v="4"/>
    <n v="18"/>
    <x v="3348"/>
    <x v="0"/>
    <x v="0"/>
    <n v="3"/>
    <n v="20"/>
    <n v="60"/>
    <n v="1"/>
  </r>
  <r>
    <n v="3487"/>
    <n v="2762"/>
    <n v="0.5"/>
    <x v="8"/>
    <d v="2024-09-27T00:00:00"/>
    <x v="4"/>
    <n v="20"/>
    <x v="3349"/>
    <x v="2"/>
    <x v="10"/>
    <n v="4"/>
    <n v="30"/>
    <n v="120"/>
    <n v="0"/>
  </r>
  <r>
    <n v="3488"/>
    <n v="2763"/>
    <n v="1"/>
    <x v="8"/>
    <d v="2024-09-27T00:00:00"/>
    <x v="4"/>
    <n v="16"/>
    <x v="3350"/>
    <x v="2"/>
    <x v="5"/>
    <n v="5"/>
    <n v="20"/>
    <n v="100"/>
    <n v="1"/>
  </r>
  <r>
    <n v="3489"/>
    <n v="2764"/>
    <n v="1"/>
    <x v="8"/>
    <d v="2024-09-28T00:00:00"/>
    <x v="5"/>
    <n v="9"/>
    <x v="3351"/>
    <x v="0"/>
    <x v="0"/>
    <n v="1"/>
    <n v="20"/>
    <n v="20"/>
    <n v="1"/>
  </r>
  <r>
    <n v="3490"/>
    <n v="2765"/>
    <n v="0.33333333333333331"/>
    <x v="8"/>
    <d v="2024-09-28T00:00:00"/>
    <x v="5"/>
    <n v="14"/>
    <x v="3352"/>
    <x v="1"/>
    <x v="1"/>
    <n v="4"/>
    <n v="650"/>
    <n v="2600"/>
    <n v="1"/>
  </r>
  <r>
    <n v="3491"/>
    <n v="2765"/>
    <n v="0.33333333333333331"/>
    <x v="8"/>
    <d v="2024-09-28T00:00:00"/>
    <x v="5"/>
    <n v="13"/>
    <x v="3353"/>
    <x v="0"/>
    <x v="7"/>
    <n v="3"/>
    <n v="25"/>
    <n v="75"/>
    <n v="0"/>
  </r>
  <r>
    <n v="3492"/>
    <n v="2765"/>
    <n v="0.33333333333333331"/>
    <x v="8"/>
    <d v="2024-09-28T00:00:00"/>
    <x v="5"/>
    <n v="11"/>
    <x v="3354"/>
    <x v="1"/>
    <x v="3"/>
    <n v="2"/>
    <n v="700"/>
    <n v="1400"/>
    <n v="0"/>
  </r>
  <r>
    <n v="3493"/>
    <n v="2766"/>
    <n v="0.5"/>
    <x v="8"/>
    <d v="2024-09-28T00:00:00"/>
    <x v="5"/>
    <n v="13"/>
    <x v="3355"/>
    <x v="0"/>
    <x v="7"/>
    <n v="5"/>
    <n v="25"/>
    <n v="125"/>
    <n v="1"/>
  </r>
  <r>
    <n v="3494"/>
    <n v="2766"/>
    <n v="0.5"/>
    <x v="8"/>
    <d v="2024-09-28T00:00:00"/>
    <x v="5"/>
    <n v="18"/>
    <x v="3356"/>
    <x v="1"/>
    <x v="2"/>
    <n v="2"/>
    <n v="680"/>
    <n v="1360"/>
    <n v="0"/>
  </r>
  <r>
    <n v="3495"/>
    <n v="2767"/>
    <n v="0.33333333333333331"/>
    <x v="8"/>
    <d v="2024-09-28T00:00:00"/>
    <x v="5"/>
    <n v="14"/>
    <x v="3357"/>
    <x v="3"/>
    <x v="6"/>
    <n v="1"/>
    <n v="50"/>
    <n v="50"/>
    <n v="1"/>
  </r>
  <r>
    <n v="3496"/>
    <n v="2767"/>
    <n v="0.33333333333333331"/>
    <x v="8"/>
    <d v="2024-09-28T00:00:00"/>
    <x v="5"/>
    <n v="10"/>
    <x v="3358"/>
    <x v="1"/>
    <x v="12"/>
    <n v="4"/>
    <n v="1000"/>
    <n v="4000"/>
    <n v="0"/>
  </r>
  <r>
    <n v="3497"/>
    <n v="2767"/>
    <n v="0.33333333333333331"/>
    <x v="8"/>
    <d v="2024-09-28T00:00:00"/>
    <x v="5"/>
    <n v="17"/>
    <x v="2567"/>
    <x v="2"/>
    <x v="10"/>
    <n v="5"/>
    <n v="30"/>
    <n v="150"/>
    <n v="0"/>
  </r>
  <r>
    <n v="3498"/>
    <n v="2768"/>
    <n v="0.5"/>
    <x v="8"/>
    <d v="2024-09-28T00:00:00"/>
    <x v="5"/>
    <n v="11"/>
    <x v="3359"/>
    <x v="0"/>
    <x v="8"/>
    <n v="5"/>
    <n v="10"/>
    <n v="50"/>
    <n v="1"/>
  </r>
  <r>
    <n v="3499"/>
    <n v="2768"/>
    <n v="0.5"/>
    <x v="8"/>
    <d v="2024-09-28T00:00:00"/>
    <x v="5"/>
    <n v="10"/>
    <x v="3360"/>
    <x v="0"/>
    <x v="8"/>
    <n v="3"/>
    <n v="10"/>
    <n v="30"/>
    <n v="0"/>
  </r>
  <r>
    <n v="3500"/>
    <n v="2769"/>
    <n v="0.5"/>
    <x v="8"/>
    <d v="2024-09-28T00:00:00"/>
    <x v="5"/>
    <n v="13"/>
    <x v="3361"/>
    <x v="1"/>
    <x v="2"/>
    <n v="2"/>
    <n v="680"/>
    <n v="1360"/>
    <n v="1"/>
  </r>
  <r>
    <n v="3501"/>
    <n v="2769"/>
    <n v="0.5"/>
    <x v="8"/>
    <d v="2024-09-28T00:00:00"/>
    <x v="5"/>
    <n v="13"/>
    <x v="3362"/>
    <x v="3"/>
    <x v="13"/>
    <n v="2"/>
    <n v="55"/>
    <n v="110"/>
    <n v="0"/>
  </r>
  <r>
    <n v="3502"/>
    <n v="2770"/>
    <n v="1"/>
    <x v="8"/>
    <d v="2024-09-29T00:00:00"/>
    <x v="6"/>
    <n v="17"/>
    <x v="3363"/>
    <x v="1"/>
    <x v="1"/>
    <n v="1"/>
    <n v="650"/>
    <n v="650"/>
    <n v="1"/>
  </r>
  <r>
    <n v="3503"/>
    <n v="2771"/>
    <n v="0.5"/>
    <x v="8"/>
    <d v="2024-09-29T00:00:00"/>
    <x v="6"/>
    <n v="15"/>
    <x v="3364"/>
    <x v="3"/>
    <x v="14"/>
    <n v="4"/>
    <n v="40"/>
    <n v="160"/>
    <n v="1"/>
  </r>
  <r>
    <n v="3504"/>
    <n v="2771"/>
    <n v="0.5"/>
    <x v="8"/>
    <d v="2024-09-29T00:00:00"/>
    <x v="6"/>
    <n v="13"/>
    <x v="3365"/>
    <x v="2"/>
    <x v="10"/>
    <n v="3"/>
    <n v="30"/>
    <n v="90"/>
    <n v="0"/>
  </r>
  <r>
    <n v="3505"/>
    <n v="2772"/>
    <n v="1"/>
    <x v="8"/>
    <d v="2024-09-29T00:00:00"/>
    <x v="6"/>
    <n v="20"/>
    <x v="3366"/>
    <x v="2"/>
    <x v="10"/>
    <n v="2"/>
    <n v="30"/>
    <n v="60"/>
    <n v="1"/>
  </r>
  <r>
    <n v="3506"/>
    <n v="2773"/>
    <n v="0.33333333333333331"/>
    <x v="8"/>
    <d v="2024-09-29T00:00:00"/>
    <x v="6"/>
    <n v="14"/>
    <x v="3367"/>
    <x v="0"/>
    <x v="7"/>
    <n v="5"/>
    <n v="25"/>
    <n v="125"/>
    <n v="1"/>
  </r>
  <r>
    <n v="3507"/>
    <n v="2773"/>
    <n v="0.33333333333333331"/>
    <x v="8"/>
    <d v="2024-09-29T00:00:00"/>
    <x v="6"/>
    <n v="12"/>
    <x v="3368"/>
    <x v="0"/>
    <x v="7"/>
    <n v="1"/>
    <n v="25"/>
    <n v="25"/>
    <n v="0"/>
  </r>
  <r>
    <n v="3508"/>
    <n v="2773"/>
    <n v="0.33333333333333331"/>
    <x v="8"/>
    <d v="2024-09-29T00:00:00"/>
    <x v="6"/>
    <n v="16"/>
    <x v="3369"/>
    <x v="0"/>
    <x v="9"/>
    <n v="5"/>
    <n v="15"/>
    <n v="75"/>
    <n v="0"/>
  </r>
  <r>
    <n v="3509"/>
    <n v="2774"/>
    <n v="1"/>
    <x v="8"/>
    <d v="2024-09-29T00:00:00"/>
    <x v="6"/>
    <n v="13"/>
    <x v="3370"/>
    <x v="2"/>
    <x v="15"/>
    <n v="3"/>
    <n v="25"/>
    <n v="75"/>
    <n v="1"/>
  </r>
  <r>
    <n v="3510"/>
    <n v="2775"/>
    <n v="0.5"/>
    <x v="8"/>
    <d v="2024-09-29T00:00:00"/>
    <x v="6"/>
    <n v="20"/>
    <x v="3371"/>
    <x v="1"/>
    <x v="1"/>
    <n v="3"/>
    <n v="650"/>
    <n v="1950"/>
    <n v="1"/>
  </r>
  <r>
    <n v="3511"/>
    <n v="2775"/>
    <n v="0.5"/>
    <x v="8"/>
    <d v="2024-09-29T00:00:00"/>
    <x v="6"/>
    <n v="10"/>
    <x v="3372"/>
    <x v="0"/>
    <x v="7"/>
    <n v="1"/>
    <n v="25"/>
    <n v="25"/>
    <n v="0"/>
  </r>
  <r>
    <n v="3512"/>
    <n v="2776"/>
    <n v="1"/>
    <x v="8"/>
    <d v="2024-09-29T00:00:00"/>
    <x v="6"/>
    <n v="10"/>
    <x v="3373"/>
    <x v="3"/>
    <x v="13"/>
    <n v="2"/>
    <n v="55"/>
    <n v="110"/>
    <n v="1"/>
  </r>
  <r>
    <n v="3513"/>
    <n v="2777"/>
    <n v="0.5"/>
    <x v="8"/>
    <d v="2024-09-30T00:00:00"/>
    <x v="0"/>
    <n v="19"/>
    <x v="3374"/>
    <x v="0"/>
    <x v="9"/>
    <n v="2"/>
    <n v="15"/>
    <n v="30"/>
    <n v="1"/>
  </r>
  <r>
    <n v="3514"/>
    <n v="2777"/>
    <n v="0.5"/>
    <x v="8"/>
    <d v="2024-09-30T00:00:00"/>
    <x v="0"/>
    <n v="10"/>
    <x v="3375"/>
    <x v="0"/>
    <x v="16"/>
    <n v="1"/>
    <n v="5"/>
    <n v="5"/>
    <n v="0"/>
  </r>
  <r>
    <n v="3515"/>
    <n v="2778"/>
    <n v="0.33333333333333331"/>
    <x v="8"/>
    <d v="2024-09-30T00:00:00"/>
    <x v="0"/>
    <n v="19"/>
    <x v="3376"/>
    <x v="1"/>
    <x v="4"/>
    <n v="5"/>
    <n v="600"/>
    <n v="3000"/>
    <n v="1"/>
  </r>
  <r>
    <n v="3516"/>
    <n v="2778"/>
    <n v="0.33333333333333331"/>
    <x v="8"/>
    <d v="2024-09-30T00:00:00"/>
    <x v="0"/>
    <n v="9"/>
    <x v="3377"/>
    <x v="1"/>
    <x v="12"/>
    <n v="3"/>
    <n v="1000"/>
    <n v="3000"/>
    <n v="0"/>
  </r>
  <r>
    <n v="3517"/>
    <n v="2778"/>
    <n v="0.33333333333333331"/>
    <x v="8"/>
    <d v="2024-09-30T00:00:00"/>
    <x v="0"/>
    <n v="9"/>
    <x v="3378"/>
    <x v="1"/>
    <x v="2"/>
    <n v="4"/>
    <n v="680"/>
    <n v="2720"/>
    <n v="0"/>
  </r>
  <r>
    <n v="3518"/>
    <n v="2779"/>
    <n v="0.5"/>
    <x v="8"/>
    <d v="2024-09-30T00:00:00"/>
    <x v="0"/>
    <n v="10"/>
    <x v="3379"/>
    <x v="3"/>
    <x v="14"/>
    <n v="3"/>
    <n v="40"/>
    <n v="120"/>
    <n v="1"/>
  </r>
  <r>
    <n v="3519"/>
    <n v="2779"/>
    <n v="0.5"/>
    <x v="8"/>
    <d v="2024-09-30T00:00:00"/>
    <x v="0"/>
    <n v="18"/>
    <x v="3380"/>
    <x v="3"/>
    <x v="6"/>
    <n v="4"/>
    <n v="50"/>
    <n v="200"/>
    <n v="0"/>
  </r>
  <r>
    <n v="3520"/>
    <n v="2780"/>
    <n v="1"/>
    <x v="8"/>
    <d v="2024-09-30T00:00:00"/>
    <x v="0"/>
    <n v="17"/>
    <x v="3381"/>
    <x v="0"/>
    <x v="8"/>
    <n v="3"/>
    <n v="10"/>
    <n v="30"/>
    <n v="1"/>
  </r>
  <r>
    <n v="3521"/>
    <n v="2781"/>
    <n v="0.33333333333333331"/>
    <x v="8"/>
    <d v="2024-09-30T00:00:00"/>
    <x v="0"/>
    <n v="9"/>
    <x v="3382"/>
    <x v="2"/>
    <x v="10"/>
    <n v="5"/>
    <n v="30"/>
    <n v="150"/>
    <n v="1"/>
  </r>
  <r>
    <n v="3522"/>
    <n v="2781"/>
    <n v="0.33333333333333331"/>
    <x v="8"/>
    <d v="2024-09-30T00:00:00"/>
    <x v="0"/>
    <n v="17"/>
    <x v="3383"/>
    <x v="3"/>
    <x v="6"/>
    <n v="5"/>
    <n v="50"/>
    <n v="250"/>
    <n v="0"/>
  </r>
  <r>
    <n v="3523"/>
    <n v="2781"/>
    <n v="0.33333333333333331"/>
    <x v="8"/>
    <d v="2024-09-30T00:00:00"/>
    <x v="0"/>
    <n v="16"/>
    <x v="3384"/>
    <x v="1"/>
    <x v="1"/>
    <n v="4"/>
    <n v="650"/>
    <n v="2600"/>
    <n v="0"/>
  </r>
  <r>
    <n v="3524"/>
    <n v="2782"/>
    <n v="1"/>
    <x v="8"/>
    <d v="2024-09-30T00:00:00"/>
    <x v="0"/>
    <n v="19"/>
    <x v="3385"/>
    <x v="0"/>
    <x v="8"/>
    <n v="2"/>
    <n v="10"/>
    <n v="20"/>
    <n v="1"/>
  </r>
  <r>
    <n v="3525"/>
    <n v="2783"/>
    <n v="0.33333333333333331"/>
    <x v="9"/>
    <d v="2024-10-01T00:00:00"/>
    <x v="1"/>
    <n v="14"/>
    <x v="3386"/>
    <x v="1"/>
    <x v="4"/>
    <n v="4"/>
    <n v="600"/>
    <n v="2400"/>
    <n v="1"/>
  </r>
  <r>
    <n v="3526"/>
    <n v="2783"/>
    <n v="0.33333333333333331"/>
    <x v="9"/>
    <d v="2024-10-01T00:00:00"/>
    <x v="1"/>
    <n v="11"/>
    <x v="3387"/>
    <x v="0"/>
    <x v="8"/>
    <n v="4"/>
    <n v="10"/>
    <n v="40"/>
    <n v="0"/>
  </r>
  <r>
    <n v="3527"/>
    <n v="2783"/>
    <n v="0.33333333333333331"/>
    <x v="9"/>
    <d v="2024-10-01T00:00:00"/>
    <x v="1"/>
    <n v="17"/>
    <x v="3388"/>
    <x v="1"/>
    <x v="12"/>
    <n v="4"/>
    <n v="1000"/>
    <n v="4000"/>
    <n v="0"/>
  </r>
  <r>
    <n v="3528"/>
    <n v="2784"/>
    <n v="1"/>
    <x v="9"/>
    <d v="2024-10-01T00:00:00"/>
    <x v="1"/>
    <n v="11"/>
    <x v="3389"/>
    <x v="0"/>
    <x v="0"/>
    <n v="1"/>
    <n v="20"/>
    <n v="20"/>
    <n v="1"/>
  </r>
  <r>
    <n v="3529"/>
    <n v="2785"/>
    <n v="0.33333333333333331"/>
    <x v="9"/>
    <d v="2024-10-01T00:00:00"/>
    <x v="1"/>
    <n v="15"/>
    <x v="3390"/>
    <x v="3"/>
    <x v="17"/>
    <n v="1"/>
    <n v="60"/>
    <n v="60"/>
    <n v="1"/>
  </r>
  <r>
    <n v="3530"/>
    <n v="2785"/>
    <n v="0.33333333333333331"/>
    <x v="9"/>
    <d v="2024-10-01T00:00:00"/>
    <x v="1"/>
    <n v="13"/>
    <x v="3391"/>
    <x v="3"/>
    <x v="6"/>
    <n v="1"/>
    <n v="50"/>
    <n v="50"/>
    <n v="0"/>
  </r>
  <r>
    <n v="3531"/>
    <n v="2785"/>
    <n v="0.33333333333333331"/>
    <x v="9"/>
    <d v="2024-10-01T00:00:00"/>
    <x v="1"/>
    <n v="19"/>
    <x v="3392"/>
    <x v="1"/>
    <x v="3"/>
    <n v="4"/>
    <n v="700"/>
    <n v="2800"/>
    <n v="0"/>
  </r>
  <r>
    <n v="3532"/>
    <n v="2786"/>
    <n v="0.5"/>
    <x v="9"/>
    <d v="2024-10-01T00:00:00"/>
    <x v="1"/>
    <n v="15"/>
    <x v="3393"/>
    <x v="3"/>
    <x v="13"/>
    <n v="3"/>
    <n v="55"/>
    <n v="165"/>
    <n v="1"/>
  </r>
  <r>
    <n v="3533"/>
    <n v="2786"/>
    <n v="0.5"/>
    <x v="9"/>
    <d v="2024-10-01T00:00:00"/>
    <x v="1"/>
    <n v="20"/>
    <x v="3394"/>
    <x v="2"/>
    <x v="10"/>
    <n v="3"/>
    <n v="30"/>
    <n v="90"/>
    <n v="0"/>
  </r>
  <r>
    <n v="3534"/>
    <n v="2787"/>
    <n v="0.5"/>
    <x v="9"/>
    <d v="2024-10-02T00:00:00"/>
    <x v="2"/>
    <n v="18"/>
    <x v="3395"/>
    <x v="0"/>
    <x v="7"/>
    <n v="4"/>
    <n v="25"/>
    <n v="100"/>
    <n v="1"/>
  </r>
  <r>
    <n v="3535"/>
    <n v="2787"/>
    <n v="0.5"/>
    <x v="9"/>
    <d v="2024-10-02T00:00:00"/>
    <x v="2"/>
    <n v="10"/>
    <x v="3396"/>
    <x v="3"/>
    <x v="18"/>
    <n v="2"/>
    <n v="45"/>
    <n v="90"/>
    <n v="0"/>
  </r>
  <r>
    <n v="3536"/>
    <n v="2788"/>
    <n v="0.33333333333333331"/>
    <x v="9"/>
    <d v="2024-10-02T00:00:00"/>
    <x v="2"/>
    <n v="15"/>
    <x v="3397"/>
    <x v="0"/>
    <x v="9"/>
    <n v="3"/>
    <n v="15"/>
    <n v="45"/>
    <n v="1"/>
  </r>
  <r>
    <n v="3537"/>
    <n v="2788"/>
    <n v="0.33333333333333331"/>
    <x v="9"/>
    <d v="2024-10-02T00:00:00"/>
    <x v="2"/>
    <n v="17"/>
    <x v="3398"/>
    <x v="0"/>
    <x v="7"/>
    <n v="5"/>
    <n v="25"/>
    <n v="125"/>
    <n v="0"/>
  </r>
  <r>
    <n v="3538"/>
    <n v="2788"/>
    <n v="0.33333333333333331"/>
    <x v="9"/>
    <d v="2024-10-02T00:00:00"/>
    <x v="2"/>
    <n v="16"/>
    <x v="3399"/>
    <x v="0"/>
    <x v="7"/>
    <n v="1"/>
    <n v="25"/>
    <n v="25"/>
    <n v="0"/>
  </r>
  <r>
    <n v="3539"/>
    <n v="2789"/>
    <n v="1"/>
    <x v="9"/>
    <d v="2024-10-02T00:00:00"/>
    <x v="2"/>
    <n v="11"/>
    <x v="3400"/>
    <x v="3"/>
    <x v="18"/>
    <n v="2"/>
    <n v="45"/>
    <n v="90"/>
    <n v="1"/>
  </r>
  <r>
    <n v="3540"/>
    <n v="2790"/>
    <n v="1"/>
    <x v="9"/>
    <d v="2024-10-02T00:00:00"/>
    <x v="2"/>
    <n v="10"/>
    <x v="3401"/>
    <x v="0"/>
    <x v="16"/>
    <n v="2"/>
    <n v="5"/>
    <n v="10"/>
    <n v="1"/>
  </r>
  <r>
    <n v="3541"/>
    <n v="2791"/>
    <n v="1"/>
    <x v="9"/>
    <d v="2024-10-03T00:00:00"/>
    <x v="3"/>
    <n v="10"/>
    <x v="3402"/>
    <x v="1"/>
    <x v="12"/>
    <n v="3"/>
    <n v="1000"/>
    <n v="3000"/>
    <n v="1"/>
  </r>
  <r>
    <n v="3542"/>
    <n v="2792"/>
    <n v="0.33333333333333331"/>
    <x v="9"/>
    <d v="2024-10-03T00:00:00"/>
    <x v="3"/>
    <n v="11"/>
    <x v="3403"/>
    <x v="0"/>
    <x v="8"/>
    <n v="2"/>
    <n v="10"/>
    <n v="20"/>
    <n v="1"/>
  </r>
  <r>
    <n v="3543"/>
    <n v="2792"/>
    <n v="0.33333333333333331"/>
    <x v="9"/>
    <d v="2024-10-03T00:00:00"/>
    <x v="3"/>
    <n v="10"/>
    <x v="3404"/>
    <x v="3"/>
    <x v="17"/>
    <n v="4"/>
    <n v="60"/>
    <n v="240"/>
    <n v="0"/>
  </r>
  <r>
    <n v="3544"/>
    <n v="2792"/>
    <n v="0.33333333333333331"/>
    <x v="9"/>
    <d v="2024-10-03T00:00:00"/>
    <x v="3"/>
    <n v="9"/>
    <x v="3405"/>
    <x v="0"/>
    <x v="8"/>
    <n v="3"/>
    <n v="10"/>
    <n v="30"/>
    <n v="0"/>
  </r>
  <r>
    <n v="3545"/>
    <n v="2793"/>
    <n v="1"/>
    <x v="9"/>
    <d v="2024-10-03T00:00:00"/>
    <x v="3"/>
    <n v="11"/>
    <x v="3406"/>
    <x v="2"/>
    <x v="11"/>
    <n v="2"/>
    <n v="35"/>
    <n v="70"/>
    <n v="1"/>
  </r>
  <r>
    <n v="3546"/>
    <n v="2794"/>
    <n v="0.5"/>
    <x v="9"/>
    <d v="2024-10-03T00:00:00"/>
    <x v="3"/>
    <n v="13"/>
    <x v="3407"/>
    <x v="0"/>
    <x v="7"/>
    <n v="1"/>
    <n v="25"/>
    <n v="25"/>
    <n v="1"/>
  </r>
  <r>
    <n v="3547"/>
    <n v="2794"/>
    <n v="0.5"/>
    <x v="9"/>
    <d v="2024-10-03T00:00:00"/>
    <x v="3"/>
    <n v="16"/>
    <x v="3408"/>
    <x v="2"/>
    <x v="10"/>
    <n v="2"/>
    <n v="30"/>
    <n v="60"/>
    <n v="0"/>
  </r>
  <r>
    <n v="3548"/>
    <n v="2795"/>
    <n v="0.33333333333333331"/>
    <x v="9"/>
    <d v="2024-10-03T00:00:00"/>
    <x v="3"/>
    <n v="16"/>
    <x v="881"/>
    <x v="1"/>
    <x v="3"/>
    <n v="3"/>
    <n v="700"/>
    <n v="2100"/>
    <n v="1"/>
  </r>
  <r>
    <n v="3549"/>
    <n v="2795"/>
    <n v="0.33333333333333331"/>
    <x v="9"/>
    <d v="2024-10-03T00:00:00"/>
    <x v="3"/>
    <n v="19"/>
    <x v="3409"/>
    <x v="2"/>
    <x v="11"/>
    <n v="4"/>
    <n v="35"/>
    <n v="140"/>
    <n v="0"/>
  </r>
  <r>
    <n v="3550"/>
    <n v="2795"/>
    <n v="0.33333333333333331"/>
    <x v="9"/>
    <d v="2024-10-03T00:00:00"/>
    <x v="3"/>
    <n v="19"/>
    <x v="3410"/>
    <x v="1"/>
    <x v="4"/>
    <n v="2"/>
    <n v="600"/>
    <n v="1200"/>
    <n v="0"/>
  </r>
  <r>
    <n v="3551"/>
    <n v="2796"/>
    <n v="0.33333333333333331"/>
    <x v="9"/>
    <d v="2024-10-04T00:00:00"/>
    <x v="4"/>
    <n v="20"/>
    <x v="3411"/>
    <x v="3"/>
    <x v="6"/>
    <n v="2"/>
    <n v="50"/>
    <n v="100"/>
    <n v="1"/>
  </r>
  <r>
    <n v="3552"/>
    <n v="2796"/>
    <n v="0.33333333333333331"/>
    <x v="9"/>
    <d v="2024-10-04T00:00:00"/>
    <x v="4"/>
    <n v="9"/>
    <x v="3412"/>
    <x v="1"/>
    <x v="2"/>
    <n v="5"/>
    <n v="680"/>
    <n v="3400"/>
    <n v="0"/>
  </r>
  <r>
    <n v="3553"/>
    <n v="2796"/>
    <n v="0.33333333333333331"/>
    <x v="9"/>
    <d v="2024-10-04T00:00:00"/>
    <x v="4"/>
    <n v="9"/>
    <x v="3413"/>
    <x v="0"/>
    <x v="16"/>
    <n v="3"/>
    <n v="5"/>
    <n v="15"/>
    <n v="0"/>
  </r>
  <r>
    <n v="3554"/>
    <n v="2797"/>
    <n v="0.5"/>
    <x v="9"/>
    <d v="2024-10-04T00:00:00"/>
    <x v="4"/>
    <n v="15"/>
    <x v="3414"/>
    <x v="2"/>
    <x v="10"/>
    <n v="3"/>
    <n v="30"/>
    <n v="90"/>
    <n v="1"/>
  </r>
  <r>
    <n v="3555"/>
    <n v="2797"/>
    <n v="0.5"/>
    <x v="9"/>
    <d v="2024-10-04T00:00:00"/>
    <x v="4"/>
    <n v="20"/>
    <x v="3415"/>
    <x v="3"/>
    <x v="14"/>
    <n v="5"/>
    <n v="40"/>
    <n v="200"/>
    <n v="0"/>
  </r>
  <r>
    <n v="3556"/>
    <n v="2798"/>
    <n v="0.33333333333333331"/>
    <x v="9"/>
    <d v="2024-10-04T00:00:00"/>
    <x v="4"/>
    <n v="18"/>
    <x v="3416"/>
    <x v="0"/>
    <x v="16"/>
    <n v="1"/>
    <n v="5"/>
    <n v="5"/>
    <n v="1"/>
  </r>
  <r>
    <n v="3557"/>
    <n v="2798"/>
    <n v="0.33333333333333331"/>
    <x v="9"/>
    <d v="2024-10-04T00:00:00"/>
    <x v="4"/>
    <n v="17"/>
    <x v="3417"/>
    <x v="2"/>
    <x v="15"/>
    <n v="3"/>
    <n v="25"/>
    <n v="75"/>
    <n v="0"/>
  </r>
  <r>
    <n v="3558"/>
    <n v="2798"/>
    <n v="0.33333333333333331"/>
    <x v="9"/>
    <d v="2024-10-04T00:00:00"/>
    <x v="4"/>
    <n v="9"/>
    <x v="3418"/>
    <x v="0"/>
    <x v="0"/>
    <n v="3"/>
    <n v="20"/>
    <n v="60"/>
    <n v="0"/>
  </r>
  <r>
    <n v="3559"/>
    <n v="2799"/>
    <n v="0.5"/>
    <x v="9"/>
    <d v="2024-10-04T00:00:00"/>
    <x v="4"/>
    <n v="19"/>
    <x v="3419"/>
    <x v="3"/>
    <x v="6"/>
    <n v="4"/>
    <n v="50"/>
    <n v="200"/>
    <n v="1"/>
  </r>
  <r>
    <n v="3560"/>
    <n v="2799"/>
    <n v="0.5"/>
    <x v="9"/>
    <d v="2024-10-04T00:00:00"/>
    <x v="4"/>
    <n v="11"/>
    <x v="3420"/>
    <x v="0"/>
    <x v="0"/>
    <n v="4"/>
    <n v="20"/>
    <n v="80"/>
    <n v="0"/>
  </r>
  <r>
    <n v="3561"/>
    <n v="2800"/>
    <n v="0.33333333333333331"/>
    <x v="9"/>
    <d v="2024-10-04T00:00:00"/>
    <x v="4"/>
    <n v="12"/>
    <x v="3421"/>
    <x v="2"/>
    <x v="15"/>
    <n v="2"/>
    <n v="25"/>
    <n v="50"/>
    <n v="1"/>
  </r>
  <r>
    <n v="3562"/>
    <n v="2800"/>
    <n v="0.33333333333333331"/>
    <x v="9"/>
    <d v="2024-10-04T00:00:00"/>
    <x v="4"/>
    <n v="11"/>
    <x v="1067"/>
    <x v="0"/>
    <x v="0"/>
    <n v="3"/>
    <n v="20"/>
    <n v="60"/>
    <n v="0"/>
  </r>
  <r>
    <n v="3563"/>
    <n v="2800"/>
    <n v="0.33333333333333331"/>
    <x v="9"/>
    <d v="2024-10-04T00:00:00"/>
    <x v="4"/>
    <n v="12"/>
    <x v="3422"/>
    <x v="1"/>
    <x v="3"/>
    <n v="5"/>
    <n v="700"/>
    <n v="3500"/>
    <n v="0"/>
  </r>
  <r>
    <n v="3564"/>
    <n v="2801"/>
    <n v="1"/>
    <x v="9"/>
    <d v="2024-10-05T00:00:00"/>
    <x v="5"/>
    <n v="19"/>
    <x v="3423"/>
    <x v="1"/>
    <x v="12"/>
    <n v="4"/>
    <n v="1000"/>
    <n v="4000"/>
    <n v="1"/>
  </r>
  <r>
    <n v="3565"/>
    <n v="2802"/>
    <n v="0.33333333333333331"/>
    <x v="9"/>
    <d v="2024-10-05T00:00:00"/>
    <x v="5"/>
    <n v="9"/>
    <x v="3424"/>
    <x v="0"/>
    <x v="9"/>
    <n v="2"/>
    <n v="15"/>
    <n v="30"/>
    <n v="1"/>
  </r>
  <r>
    <n v="3566"/>
    <n v="2802"/>
    <n v="0.33333333333333331"/>
    <x v="9"/>
    <d v="2024-10-05T00:00:00"/>
    <x v="5"/>
    <n v="15"/>
    <x v="3425"/>
    <x v="2"/>
    <x v="11"/>
    <n v="2"/>
    <n v="35"/>
    <n v="70"/>
    <n v="0"/>
  </r>
  <r>
    <n v="3567"/>
    <n v="2802"/>
    <n v="0.33333333333333331"/>
    <x v="9"/>
    <d v="2024-10-05T00:00:00"/>
    <x v="5"/>
    <n v="14"/>
    <x v="3426"/>
    <x v="3"/>
    <x v="18"/>
    <n v="4"/>
    <n v="45"/>
    <n v="180"/>
    <n v="0"/>
  </r>
  <r>
    <n v="3568"/>
    <n v="2803"/>
    <n v="0.5"/>
    <x v="9"/>
    <d v="2024-10-05T00:00:00"/>
    <x v="5"/>
    <n v="20"/>
    <x v="3427"/>
    <x v="1"/>
    <x v="1"/>
    <n v="2"/>
    <n v="650"/>
    <n v="1300"/>
    <n v="1"/>
  </r>
  <r>
    <n v="3569"/>
    <n v="2803"/>
    <n v="0.5"/>
    <x v="9"/>
    <d v="2024-10-05T00:00:00"/>
    <x v="5"/>
    <n v="19"/>
    <x v="3428"/>
    <x v="1"/>
    <x v="12"/>
    <n v="3"/>
    <n v="1000"/>
    <n v="3000"/>
    <n v="0"/>
  </r>
  <r>
    <n v="3570"/>
    <n v="2804"/>
    <n v="1"/>
    <x v="9"/>
    <d v="2024-10-05T00:00:00"/>
    <x v="5"/>
    <n v="15"/>
    <x v="3429"/>
    <x v="3"/>
    <x v="17"/>
    <n v="4"/>
    <n v="60"/>
    <n v="240"/>
    <n v="1"/>
  </r>
  <r>
    <n v="3571"/>
    <n v="2805"/>
    <n v="0.33333333333333331"/>
    <x v="9"/>
    <d v="2024-10-05T00:00:00"/>
    <x v="5"/>
    <n v="12"/>
    <x v="3430"/>
    <x v="1"/>
    <x v="12"/>
    <n v="5"/>
    <n v="1000"/>
    <n v="5000"/>
    <n v="1"/>
  </r>
  <r>
    <n v="3572"/>
    <n v="2805"/>
    <n v="0.33333333333333331"/>
    <x v="9"/>
    <d v="2024-10-05T00:00:00"/>
    <x v="5"/>
    <n v="9"/>
    <x v="3431"/>
    <x v="3"/>
    <x v="17"/>
    <n v="1"/>
    <n v="60"/>
    <n v="60"/>
    <n v="0"/>
  </r>
  <r>
    <n v="3573"/>
    <n v="2805"/>
    <n v="0.33333333333333331"/>
    <x v="9"/>
    <d v="2024-10-05T00:00:00"/>
    <x v="5"/>
    <n v="10"/>
    <x v="1848"/>
    <x v="2"/>
    <x v="11"/>
    <n v="3"/>
    <n v="35"/>
    <n v="105"/>
    <n v="0"/>
  </r>
  <r>
    <n v="3574"/>
    <n v="2806"/>
    <n v="0.33333333333333331"/>
    <x v="9"/>
    <d v="2024-10-05T00:00:00"/>
    <x v="5"/>
    <n v="17"/>
    <x v="3432"/>
    <x v="1"/>
    <x v="3"/>
    <n v="1"/>
    <n v="700"/>
    <n v="700"/>
    <n v="1"/>
  </r>
  <r>
    <n v="3575"/>
    <n v="2806"/>
    <n v="0.33333333333333331"/>
    <x v="9"/>
    <d v="2024-10-05T00:00:00"/>
    <x v="5"/>
    <n v="13"/>
    <x v="3433"/>
    <x v="1"/>
    <x v="1"/>
    <n v="5"/>
    <n v="650"/>
    <n v="3250"/>
    <n v="0"/>
  </r>
  <r>
    <n v="3576"/>
    <n v="2806"/>
    <n v="0.33333333333333331"/>
    <x v="9"/>
    <d v="2024-10-05T00:00:00"/>
    <x v="5"/>
    <n v="12"/>
    <x v="3434"/>
    <x v="1"/>
    <x v="3"/>
    <n v="2"/>
    <n v="700"/>
    <n v="1400"/>
    <n v="0"/>
  </r>
  <r>
    <n v="3577"/>
    <n v="2807"/>
    <n v="0.33333333333333331"/>
    <x v="9"/>
    <d v="2024-10-05T00:00:00"/>
    <x v="5"/>
    <n v="13"/>
    <x v="3435"/>
    <x v="1"/>
    <x v="1"/>
    <n v="1"/>
    <n v="650"/>
    <n v="650"/>
    <n v="1"/>
  </r>
  <r>
    <n v="3578"/>
    <n v="2807"/>
    <n v="0.33333333333333331"/>
    <x v="9"/>
    <d v="2024-10-05T00:00:00"/>
    <x v="5"/>
    <n v="9"/>
    <x v="3436"/>
    <x v="0"/>
    <x v="16"/>
    <n v="1"/>
    <n v="5"/>
    <n v="5"/>
    <n v="0"/>
  </r>
  <r>
    <n v="3579"/>
    <n v="2807"/>
    <n v="0.33333333333333331"/>
    <x v="9"/>
    <d v="2024-10-05T00:00:00"/>
    <x v="5"/>
    <n v="20"/>
    <x v="3437"/>
    <x v="1"/>
    <x v="12"/>
    <n v="4"/>
    <n v="1000"/>
    <n v="4000"/>
    <n v="0"/>
  </r>
  <r>
    <n v="3580"/>
    <n v="2808"/>
    <n v="0.33333333333333331"/>
    <x v="9"/>
    <d v="2024-10-05T00:00:00"/>
    <x v="5"/>
    <n v="20"/>
    <x v="3438"/>
    <x v="1"/>
    <x v="1"/>
    <n v="2"/>
    <n v="650"/>
    <n v="1300"/>
    <n v="1"/>
  </r>
  <r>
    <n v="3581"/>
    <n v="2808"/>
    <n v="0.33333333333333331"/>
    <x v="9"/>
    <d v="2024-10-05T00:00:00"/>
    <x v="5"/>
    <n v="11"/>
    <x v="3439"/>
    <x v="1"/>
    <x v="4"/>
    <n v="2"/>
    <n v="600"/>
    <n v="1200"/>
    <n v="0"/>
  </r>
  <r>
    <n v="3582"/>
    <n v="2808"/>
    <n v="0.33333333333333331"/>
    <x v="9"/>
    <d v="2024-10-05T00:00:00"/>
    <x v="5"/>
    <n v="18"/>
    <x v="3440"/>
    <x v="2"/>
    <x v="15"/>
    <n v="5"/>
    <n v="25"/>
    <n v="125"/>
    <n v="0"/>
  </r>
  <r>
    <n v="3583"/>
    <n v="2809"/>
    <n v="0.33333333333333331"/>
    <x v="9"/>
    <d v="2024-10-05T00:00:00"/>
    <x v="5"/>
    <n v="10"/>
    <x v="3441"/>
    <x v="3"/>
    <x v="14"/>
    <n v="3"/>
    <n v="40"/>
    <n v="120"/>
    <n v="1"/>
  </r>
  <r>
    <n v="3584"/>
    <n v="2809"/>
    <n v="0.33333333333333331"/>
    <x v="9"/>
    <d v="2024-10-05T00:00:00"/>
    <x v="5"/>
    <n v="14"/>
    <x v="3442"/>
    <x v="2"/>
    <x v="5"/>
    <n v="3"/>
    <n v="20"/>
    <n v="60"/>
    <n v="0"/>
  </r>
  <r>
    <n v="3585"/>
    <n v="2809"/>
    <n v="0.33333333333333331"/>
    <x v="9"/>
    <d v="2024-10-05T00:00:00"/>
    <x v="5"/>
    <n v="14"/>
    <x v="3443"/>
    <x v="2"/>
    <x v="10"/>
    <n v="2"/>
    <n v="30"/>
    <n v="60"/>
    <n v="0"/>
  </r>
  <r>
    <n v="3586"/>
    <n v="2810"/>
    <n v="0.33333333333333331"/>
    <x v="9"/>
    <d v="2024-10-06T00:00:00"/>
    <x v="6"/>
    <n v="20"/>
    <x v="3444"/>
    <x v="2"/>
    <x v="15"/>
    <n v="5"/>
    <n v="25"/>
    <n v="125"/>
    <n v="1"/>
  </r>
  <r>
    <n v="3587"/>
    <n v="2810"/>
    <n v="0.33333333333333331"/>
    <x v="9"/>
    <d v="2024-10-06T00:00:00"/>
    <x v="6"/>
    <n v="15"/>
    <x v="3445"/>
    <x v="1"/>
    <x v="4"/>
    <n v="4"/>
    <n v="600"/>
    <n v="2400"/>
    <n v="0"/>
  </r>
  <r>
    <n v="3588"/>
    <n v="2810"/>
    <n v="0.33333333333333331"/>
    <x v="9"/>
    <d v="2024-10-06T00:00:00"/>
    <x v="6"/>
    <n v="16"/>
    <x v="3446"/>
    <x v="1"/>
    <x v="2"/>
    <n v="1"/>
    <n v="680"/>
    <n v="680"/>
    <n v="0"/>
  </r>
  <r>
    <n v="3589"/>
    <n v="2811"/>
    <n v="0.5"/>
    <x v="9"/>
    <d v="2024-10-06T00:00:00"/>
    <x v="6"/>
    <n v="9"/>
    <x v="3447"/>
    <x v="0"/>
    <x v="9"/>
    <n v="1"/>
    <n v="15"/>
    <n v="15"/>
    <n v="1"/>
  </r>
  <r>
    <n v="3590"/>
    <n v="2811"/>
    <n v="0.5"/>
    <x v="9"/>
    <d v="2024-10-06T00:00:00"/>
    <x v="6"/>
    <n v="15"/>
    <x v="3448"/>
    <x v="1"/>
    <x v="12"/>
    <n v="4"/>
    <n v="1000"/>
    <n v="4000"/>
    <n v="0"/>
  </r>
  <r>
    <n v="3591"/>
    <n v="2812"/>
    <n v="1"/>
    <x v="9"/>
    <d v="2024-10-06T00:00:00"/>
    <x v="6"/>
    <n v="18"/>
    <x v="3449"/>
    <x v="3"/>
    <x v="13"/>
    <n v="4"/>
    <n v="55"/>
    <n v="220"/>
    <n v="1"/>
  </r>
  <r>
    <n v="3592"/>
    <n v="2813"/>
    <n v="0.5"/>
    <x v="9"/>
    <d v="2024-10-06T00:00:00"/>
    <x v="6"/>
    <n v="11"/>
    <x v="3450"/>
    <x v="0"/>
    <x v="8"/>
    <n v="1"/>
    <n v="10"/>
    <n v="10"/>
    <n v="1"/>
  </r>
  <r>
    <n v="3593"/>
    <n v="2813"/>
    <n v="0.5"/>
    <x v="9"/>
    <d v="2024-10-06T00:00:00"/>
    <x v="6"/>
    <n v="10"/>
    <x v="3451"/>
    <x v="2"/>
    <x v="11"/>
    <n v="4"/>
    <n v="35"/>
    <n v="140"/>
    <n v="0"/>
  </r>
  <r>
    <n v="3594"/>
    <n v="2814"/>
    <n v="0.33333333333333331"/>
    <x v="9"/>
    <d v="2024-10-07T00:00:00"/>
    <x v="0"/>
    <n v="16"/>
    <x v="3452"/>
    <x v="3"/>
    <x v="6"/>
    <n v="2"/>
    <n v="50"/>
    <n v="100"/>
    <n v="1"/>
  </r>
  <r>
    <n v="3595"/>
    <n v="2814"/>
    <n v="0.33333333333333331"/>
    <x v="9"/>
    <d v="2024-10-07T00:00:00"/>
    <x v="0"/>
    <n v="11"/>
    <x v="3453"/>
    <x v="0"/>
    <x v="9"/>
    <n v="1"/>
    <n v="15"/>
    <n v="15"/>
    <n v="0"/>
  </r>
  <r>
    <n v="3596"/>
    <n v="2814"/>
    <n v="0.33333333333333331"/>
    <x v="9"/>
    <d v="2024-10-07T00:00:00"/>
    <x v="0"/>
    <n v="12"/>
    <x v="3454"/>
    <x v="0"/>
    <x v="0"/>
    <n v="1"/>
    <n v="20"/>
    <n v="20"/>
    <n v="0"/>
  </r>
  <r>
    <n v="3597"/>
    <n v="2815"/>
    <n v="1"/>
    <x v="9"/>
    <d v="2024-10-07T00:00:00"/>
    <x v="0"/>
    <n v="9"/>
    <x v="3455"/>
    <x v="3"/>
    <x v="14"/>
    <n v="5"/>
    <n v="40"/>
    <n v="200"/>
    <n v="1"/>
  </r>
  <r>
    <n v="3598"/>
    <n v="2816"/>
    <n v="0.5"/>
    <x v="9"/>
    <d v="2024-10-07T00:00:00"/>
    <x v="0"/>
    <n v="16"/>
    <x v="3176"/>
    <x v="3"/>
    <x v="14"/>
    <n v="2"/>
    <n v="40"/>
    <n v="80"/>
    <n v="1"/>
  </r>
  <r>
    <n v="3599"/>
    <n v="2816"/>
    <n v="0.5"/>
    <x v="9"/>
    <d v="2024-10-07T00:00:00"/>
    <x v="0"/>
    <n v="11"/>
    <x v="3456"/>
    <x v="3"/>
    <x v="14"/>
    <n v="3"/>
    <n v="40"/>
    <n v="120"/>
    <n v="0"/>
  </r>
  <r>
    <n v="3600"/>
    <n v="2817"/>
    <n v="0.33333333333333331"/>
    <x v="9"/>
    <d v="2024-10-07T00:00:00"/>
    <x v="0"/>
    <n v="11"/>
    <x v="3457"/>
    <x v="2"/>
    <x v="10"/>
    <n v="1"/>
    <n v="30"/>
    <n v="30"/>
    <n v="1"/>
  </r>
  <r>
    <n v="3601"/>
    <n v="2817"/>
    <n v="0.33333333333333331"/>
    <x v="9"/>
    <d v="2024-10-07T00:00:00"/>
    <x v="0"/>
    <n v="10"/>
    <x v="3458"/>
    <x v="0"/>
    <x v="9"/>
    <n v="3"/>
    <n v="15"/>
    <n v="45"/>
    <n v="0"/>
  </r>
  <r>
    <n v="3602"/>
    <n v="2817"/>
    <n v="0.33333333333333331"/>
    <x v="9"/>
    <d v="2024-10-07T00:00:00"/>
    <x v="0"/>
    <n v="18"/>
    <x v="3459"/>
    <x v="1"/>
    <x v="3"/>
    <n v="4"/>
    <n v="700"/>
    <n v="2800"/>
    <n v="0"/>
  </r>
  <r>
    <n v="3603"/>
    <n v="2818"/>
    <n v="0.33333333333333331"/>
    <x v="9"/>
    <d v="2024-10-07T00:00:00"/>
    <x v="0"/>
    <n v="18"/>
    <x v="3460"/>
    <x v="3"/>
    <x v="17"/>
    <n v="5"/>
    <n v="60"/>
    <n v="300"/>
    <n v="1"/>
  </r>
  <r>
    <n v="3604"/>
    <n v="2818"/>
    <n v="0.33333333333333331"/>
    <x v="9"/>
    <d v="2024-10-07T00:00:00"/>
    <x v="0"/>
    <n v="19"/>
    <x v="3461"/>
    <x v="3"/>
    <x v="13"/>
    <n v="4"/>
    <n v="55"/>
    <n v="220"/>
    <n v="0"/>
  </r>
  <r>
    <n v="3605"/>
    <n v="2818"/>
    <n v="0.33333333333333331"/>
    <x v="9"/>
    <d v="2024-10-07T00:00:00"/>
    <x v="0"/>
    <n v="20"/>
    <x v="3462"/>
    <x v="1"/>
    <x v="12"/>
    <n v="4"/>
    <n v="1000"/>
    <n v="4000"/>
    <n v="0"/>
  </r>
  <r>
    <n v="3606"/>
    <n v="2819"/>
    <n v="0.5"/>
    <x v="9"/>
    <d v="2024-10-07T00:00:00"/>
    <x v="0"/>
    <n v="10"/>
    <x v="3463"/>
    <x v="3"/>
    <x v="13"/>
    <n v="2"/>
    <n v="55"/>
    <n v="110"/>
    <n v="1"/>
  </r>
  <r>
    <n v="3607"/>
    <n v="2819"/>
    <n v="0.5"/>
    <x v="9"/>
    <d v="2024-10-07T00:00:00"/>
    <x v="0"/>
    <n v="20"/>
    <x v="3464"/>
    <x v="1"/>
    <x v="3"/>
    <n v="5"/>
    <n v="700"/>
    <n v="3500"/>
    <n v="0"/>
  </r>
  <r>
    <n v="3608"/>
    <n v="2820"/>
    <n v="1"/>
    <x v="9"/>
    <d v="2024-10-08T00:00:00"/>
    <x v="1"/>
    <n v="12"/>
    <x v="3465"/>
    <x v="2"/>
    <x v="5"/>
    <n v="4"/>
    <n v="20"/>
    <n v="80"/>
    <n v="1"/>
  </r>
  <r>
    <n v="3609"/>
    <n v="2821"/>
    <n v="0.33333333333333331"/>
    <x v="9"/>
    <d v="2024-10-08T00:00:00"/>
    <x v="1"/>
    <n v="13"/>
    <x v="3466"/>
    <x v="2"/>
    <x v="11"/>
    <n v="5"/>
    <n v="35"/>
    <n v="175"/>
    <n v="1"/>
  </r>
  <r>
    <n v="3610"/>
    <n v="2821"/>
    <n v="0.33333333333333331"/>
    <x v="9"/>
    <d v="2024-10-08T00:00:00"/>
    <x v="1"/>
    <n v="18"/>
    <x v="3467"/>
    <x v="3"/>
    <x v="17"/>
    <n v="3"/>
    <n v="60"/>
    <n v="180"/>
    <n v="0"/>
  </r>
  <r>
    <n v="3611"/>
    <n v="2821"/>
    <n v="0.33333333333333331"/>
    <x v="9"/>
    <d v="2024-10-08T00:00:00"/>
    <x v="1"/>
    <n v="16"/>
    <x v="3468"/>
    <x v="1"/>
    <x v="2"/>
    <n v="3"/>
    <n v="680"/>
    <n v="2040"/>
    <n v="0"/>
  </r>
  <r>
    <n v="3612"/>
    <n v="2822"/>
    <n v="0.5"/>
    <x v="9"/>
    <d v="2024-10-08T00:00:00"/>
    <x v="1"/>
    <n v="19"/>
    <x v="3469"/>
    <x v="3"/>
    <x v="14"/>
    <n v="3"/>
    <n v="40"/>
    <n v="120"/>
    <n v="1"/>
  </r>
  <r>
    <n v="3613"/>
    <n v="2822"/>
    <n v="0.5"/>
    <x v="9"/>
    <d v="2024-10-08T00:00:00"/>
    <x v="1"/>
    <n v="9"/>
    <x v="3470"/>
    <x v="1"/>
    <x v="3"/>
    <n v="4"/>
    <n v="700"/>
    <n v="2800"/>
    <n v="0"/>
  </r>
  <r>
    <n v="3614"/>
    <n v="2823"/>
    <n v="0.33333333333333331"/>
    <x v="9"/>
    <d v="2024-10-08T00:00:00"/>
    <x v="1"/>
    <n v="17"/>
    <x v="3471"/>
    <x v="3"/>
    <x v="6"/>
    <n v="2"/>
    <n v="50"/>
    <n v="100"/>
    <n v="1"/>
  </r>
  <r>
    <n v="3615"/>
    <n v="2823"/>
    <n v="0.33333333333333331"/>
    <x v="9"/>
    <d v="2024-10-08T00:00:00"/>
    <x v="1"/>
    <n v="15"/>
    <x v="3472"/>
    <x v="3"/>
    <x v="17"/>
    <n v="1"/>
    <n v="60"/>
    <n v="60"/>
    <n v="0"/>
  </r>
  <r>
    <n v="3616"/>
    <n v="2823"/>
    <n v="0.33333333333333331"/>
    <x v="9"/>
    <d v="2024-10-08T00:00:00"/>
    <x v="1"/>
    <n v="15"/>
    <x v="3473"/>
    <x v="0"/>
    <x v="9"/>
    <n v="1"/>
    <n v="15"/>
    <n v="15"/>
    <n v="0"/>
  </r>
  <r>
    <n v="3617"/>
    <n v="2824"/>
    <n v="1"/>
    <x v="9"/>
    <d v="2024-10-08T00:00:00"/>
    <x v="1"/>
    <n v="17"/>
    <x v="3474"/>
    <x v="3"/>
    <x v="18"/>
    <n v="2"/>
    <n v="45"/>
    <n v="90"/>
    <n v="1"/>
  </r>
  <r>
    <n v="3618"/>
    <n v="2825"/>
    <n v="1"/>
    <x v="9"/>
    <d v="2024-10-08T00:00:00"/>
    <x v="1"/>
    <n v="14"/>
    <x v="3475"/>
    <x v="1"/>
    <x v="4"/>
    <n v="2"/>
    <n v="600"/>
    <n v="1200"/>
    <n v="1"/>
  </r>
  <r>
    <n v="3619"/>
    <n v="2826"/>
    <n v="0.5"/>
    <x v="9"/>
    <d v="2024-10-08T00:00:00"/>
    <x v="1"/>
    <n v="10"/>
    <x v="3476"/>
    <x v="0"/>
    <x v="7"/>
    <n v="4"/>
    <n v="25"/>
    <n v="100"/>
    <n v="1"/>
  </r>
  <r>
    <n v="3620"/>
    <n v="2826"/>
    <n v="0.5"/>
    <x v="9"/>
    <d v="2024-10-08T00:00:00"/>
    <x v="1"/>
    <n v="20"/>
    <x v="3477"/>
    <x v="1"/>
    <x v="1"/>
    <n v="3"/>
    <n v="650"/>
    <n v="1950"/>
    <n v="0"/>
  </r>
  <r>
    <n v="3621"/>
    <n v="2827"/>
    <n v="0.33333333333333331"/>
    <x v="9"/>
    <d v="2024-10-08T00:00:00"/>
    <x v="1"/>
    <n v="16"/>
    <x v="3478"/>
    <x v="2"/>
    <x v="15"/>
    <n v="1"/>
    <n v="25"/>
    <n v="25"/>
    <n v="1"/>
  </r>
  <r>
    <n v="3622"/>
    <n v="2827"/>
    <n v="0.33333333333333331"/>
    <x v="9"/>
    <d v="2024-10-08T00:00:00"/>
    <x v="1"/>
    <n v="16"/>
    <x v="1366"/>
    <x v="0"/>
    <x v="16"/>
    <n v="5"/>
    <n v="5"/>
    <n v="25"/>
    <n v="0"/>
  </r>
  <r>
    <n v="3623"/>
    <n v="2827"/>
    <n v="0.33333333333333331"/>
    <x v="9"/>
    <d v="2024-10-08T00:00:00"/>
    <x v="1"/>
    <n v="18"/>
    <x v="2491"/>
    <x v="0"/>
    <x v="9"/>
    <n v="2"/>
    <n v="15"/>
    <n v="30"/>
    <n v="0"/>
  </r>
  <r>
    <n v="3624"/>
    <n v="2828"/>
    <n v="1"/>
    <x v="9"/>
    <d v="2024-10-08T00:00:00"/>
    <x v="1"/>
    <n v="17"/>
    <x v="3479"/>
    <x v="0"/>
    <x v="16"/>
    <n v="1"/>
    <n v="5"/>
    <n v="5"/>
    <n v="1"/>
  </r>
  <r>
    <n v="3625"/>
    <n v="2829"/>
    <n v="0.33333333333333331"/>
    <x v="9"/>
    <d v="2024-10-09T00:00:00"/>
    <x v="2"/>
    <n v="14"/>
    <x v="3480"/>
    <x v="2"/>
    <x v="5"/>
    <n v="1"/>
    <n v="20"/>
    <n v="20"/>
    <n v="1"/>
  </r>
  <r>
    <n v="3626"/>
    <n v="2829"/>
    <n v="0.33333333333333331"/>
    <x v="9"/>
    <d v="2024-10-09T00:00:00"/>
    <x v="2"/>
    <n v="13"/>
    <x v="3481"/>
    <x v="3"/>
    <x v="14"/>
    <n v="2"/>
    <n v="40"/>
    <n v="80"/>
    <n v="0"/>
  </r>
  <r>
    <n v="3627"/>
    <n v="2829"/>
    <n v="0.33333333333333331"/>
    <x v="9"/>
    <d v="2024-10-09T00:00:00"/>
    <x v="2"/>
    <n v="17"/>
    <x v="3482"/>
    <x v="2"/>
    <x v="5"/>
    <n v="5"/>
    <n v="20"/>
    <n v="100"/>
    <n v="0"/>
  </r>
  <r>
    <n v="3628"/>
    <n v="2830"/>
    <n v="0.33333333333333331"/>
    <x v="9"/>
    <d v="2024-10-09T00:00:00"/>
    <x v="2"/>
    <n v="14"/>
    <x v="3483"/>
    <x v="3"/>
    <x v="13"/>
    <n v="5"/>
    <n v="55"/>
    <n v="275"/>
    <n v="1"/>
  </r>
  <r>
    <n v="3629"/>
    <n v="2830"/>
    <n v="0.33333333333333331"/>
    <x v="9"/>
    <d v="2024-10-09T00:00:00"/>
    <x v="2"/>
    <n v="14"/>
    <x v="3484"/>
    <x v="3"/>
    <x v="17"/>
    <n v="3"/>
    <n v="60"/>
    <n v="180"/>
    <n v="0"/>
  </r>
  <r>
    <n v="3630"/>
    <n v="2830"/>
    <n v="0.33333333333333331"/>
    <x v="9"/>
    <d v="2024-10-09T00:00:00"/>
    <x v="2"/>
    <n v="15"/>
    <x v="3485"/>
    <x v="0"/>
    <x v="9"/>
    <n v="1"/>
    <n v="15"/>
    <n v="15"/>
    <n v="0"/>
  </r>
  <r>
    <n v="3631"/>
    <n v="2831"/>
    <n v="1"/>
    <x v="9"/>
    <d v="2024-10-09T00:00:00"/>
    <x v="2"/>
    <n v="14"/>
    <x v="929"/>
    <x v="2"/>
    <x v="15"/>
    <n v="2"/>
    <n v="25"/>
    <n v="50"/>
    <n v="1"/>
  </r>
  <r>
    <n v="3632"/>
    <n v="2832"/>
    <n v="0.33333333333333331"/>
    <x v="9"/>
    <d v="2024-10-09T00:00:00"/>
    <x v="2"/>
    <n v="10"/>
    <x v="3486"/>
    <x v="1"/>
    <x v="2"/>
    <n v="3"/>
    <n v="680"/>
    <n v="2040"/>
    <n v="1"/>
  </r>
  <r>
    <n v="3633"/>
    <n v="2832"/>
    <n v="0.33333333333333331"/>
    <x v="9"/>
    <d v="2024-10-09T00:00:00"/>
    <x v="2"/>
    <n v="16"/>
    <x v="3487"/>
    <x v="3"/>
    <x v="17"/>
    <n v="2"/>
    <n v="60"/>
    <n v="120"/>
    <n v="0"/>
  </r>
  <r>
    <n v="3634"/>
    <n v="2832"/>
    <n v="0.33333333333333331"/>
    <x v="9"/>
    <d v="2024-10-09T00:00:00"/>
    <x v="2"/>
    <n v="20"/>
    <x v="3488"/>
    <x v="1"/>
    <x v="12"/>
    <n v="2"/>
    <n v="1000"/>
    <n v="2000"/>
    <n v="0"/>
  </r>
  <r>
    <n v="3635"/>
    <n v="2833"/>
    <n v="0.33333333333333331"/>
    <x v="9"/>
    <d v="2024-10-09T00:00:00"/>
    <x v="2"/>
    <n v="20"/>
    <x v="3489"/>
    <x v="1"/>
    <x v="4"/>
    <n v="1"/>
    <n v="600"/>
    <n v="600"/>
    <n v="1"/>
  </r>
  <r>
    <n v="3636"/>
    <n v="2833"/>
    <n v="0.33333333333333331"/>
    <x v="9"/>
    <d v="2024-10-09T00:00:00"/>
    <x v="2"/>
    <n v="10"/>
    <x v="1124"/>
    <x v="3"/>
    <x v="13"/>
    <n v="4"/>
    <n v="55"/>
    <n v="220"/>
    <n v="0"/>
  </r>
  <r>
    <n v="3637"/>
    <n v="2833"/>
    <n v="0.33333333333333331"/>
    <x v="9"/>
    <d v="2024-10-09T00:00:00"/>
    <x v="2"/>
    <n v="15"/>
    <x v="3490"/>
    <x v="0"/>
    <x v="16"/>
    <n v="3"/>
    <n v="5"/>
    <n v="15"/>
    <n v="0"/>
  </r>
  <r>
    <n v="3638"/>
    <n v="2834"/>
    <n v="0.33333333333333331"/>
    <x v="9"/>
    <d v="2024-10-10T00:00:00"/>
    <x v="3"/>
    <n v="20"/>
    <x v="3491"/>
    <x v="0"/>
    <x v="7"/>
    <n v="3"/>
    <n v="25"/>
    <n v="75"/>
    <n v="1"/>
  </r>
  <r>
    <n v="3639"/>
    <n v="2834"/>
    <n v="0.33333333333333331"/>
    <x v="9"/>
    <d v="2024-10-10T00:00:00"/>
    <x v="3"/>
    <n v="18"/>
    <x v="3492"/>
    <x v="2"/>
    <x v="5"/>
    <n v="3"/>
    <n v="20"/>
    <n v="60"/>
    <n v="0"/>
  </r>
  <r>
    <n v="3640"/>
    <n v="2834"/>
    <n v="0.33333333333333331"/>
    <x v="9"/>
    <d v="2024-10-10T00:00:00"/>
    <x v="3"/>
    <n v="12"/>
    <x v="3493"/>
    <x v="3"/>
    <x v="6"/>
    <n v="5"/>
    <n v="50"/>
    <n v="250"/>
    <n v="0"/>
  </r>
  <r>
    <n v="3641"/>
    <n v="2835"/>
    <n v="0.33333333333333331"/>
    <x v="9"/>
    <d v="2024-10-10T00:00:00"/>
    <x v="3"/>
    <n v="12"/>
    <x v="2778"/>
    <x v="2"/>
    <x v="5"/>
    <n v="2"/>
    <n v="20"/>
    <n v="40"/>
    <n v="1"/>
  </r>
  <r>
    <n v="3642"/>
    <n v="2835"/>
    <n v="0.33333333333333331"/>
    <x v="9"/>
    <d v="2024-10-10T00:00:00"/>
    <x v="3"/>
    <n v="13"/>
    <x v="3494"/>
    <x v="3"/>
    <x v="13"/>
    <n v="1"/>
    <n v="55"/>
    <n v="55"/>
    <n v="0"/>
  </r>
  <r>
    <n v="3643"/>
    <n v="2835"/>
    <n v="0.33333333333333331"/>
    <x v="9"/>
    <d v="2024-10-10T00:00:00"/>
    <x v="3"/>
    <n v="13"/>
    <x v="3495"/>
    <x v="0"/>
    <x v="7"/>
    <n v="5"/>
    <n v="25"/>
    <n v="125"/>
    <n v="0"/>
  </r>
  <r>
    <n v="3644"/>
    <n v="2836"/>
    <n v="0.5"/>
    <x v="9"/>
    <d v="2024-10-10T00:00:00"/>
    <x v="3"/>
    <n v="10"/>
    <x v="3496"/>
    <x v="3"/>
    <x v="14"/>
    <n v="2"/>
    <n v="40"/>
    <n v="80"/>
    <n v="1"/>
  </r>
  <r>
    <n v="3645"/>
    <n v="2836"/>
    <n v="0.5"/>
    <x v="9"/>
    <d v="2024-10-10T00:00:00"/>
    <x v="3"/>
    <n v="20"/>
    <x v="3497"/>
    <x v="3"/>
    <x v="14"/>
    <n v="4"/>
    <n v="40"/>
    <n v="160"/>
    <n v="0"/>
  </r>
  <r>
    <n v="3646"/>
    <n v="2837"/>
    <n v="1"/>
    <x v="9"/>
    <d v="2024-10-10T00:00:00"/>
    <x v="3"/>
    <n v="20"/>
    <x v="3498"/>
    <x v="1"/>
    <x v="12"/>
    <n v="2"/>
    <n v="1000"/>
    <n v="2000"/>
    <n v="1"/>
  </r>
  <r>
    <n v="3647"/>
    <n v="2838"/>
    <n v="0.5"/>
    <x v="9"/>
    <d v="2024-10-11T00:00:00"/>
    <x v="4"/>
    <n v="11"/>
    <x v="3499"/>
    <x v="2"/>
    <x v="15"/>
    <n v="5"/>
    <n v="25"/>
    <n v="125"/>
    <n v="1"/>
  </r>
  <r>
    <n v="3648"/>
    <n v="2838"/>
    <n v="0.5"/>
    <x v="9"/>
    <d v="2024-10-11T00:00:00"/>
    <x v="4"/>
    <n v="15"/>
    <x v="3500"/>
    <x v="2"/>
    <x v="11"/>
    <n v="1"/>
    <n v="35"/>
    <n v="35"/>
    <n v="0"/>
  </r>
  <r>
    <n v="3649"/>
    <n v="2839"/>
    <n v="1"/>
    <x v="9"/>
    <d v="2024-10-11T00:00:00"/>
    <x v="4"/>
    <n v="19"/>
    <x v="3501"/>
    <x v="2"/>
    <x v="5"/>
    <n v="3"/>
    <n v="20"/>
    <n v="60"/>
    <n v="1"/>
  </r>
  <r>
    <n v="3650"/>
    <n v="2840"/>
    <n v="1"/>
    <x v="9"/>
    <d v="2024-10-11T00:00:00"/>
    <x v="4"/>
    <n v="17"/>
    <x v="3502"/>
    <x v="3"/>
    <x v="6"/>
    <n v="1"/>
    <n v="50"/>
    <n v="50"/>
    <n v="1"/>
  </r>
  <r>
    <n v="3651"/>
    <n v="2841"/>
    <n v="0.33333333333333331"/>
    <x v="9"/>
    <d v="2024-10-11T00:00:00"/>
    <x v="4"/>
    <n v="9"/>
    <x v="3503"/>
    <x v="0"/>
    <x v="16"/>
    <n v="2"/>
    <n v="5"/>
    <n v="10"/>
    <n v="1"/>
  </r>
  <r>
    <n v="3652"/>
    <n v="2841"/>
    <n v="0.33333333333333331"/>
    <x v="9"/>
    <d v="2024-10-11T00:00:00"/>
    <x v="4"/>
    <n v="19"/>
    <x v="3504"/>
    <x v="0"/>
    <x v="0"/>
    <n v="5"/>
    <n v="20"/>
    <n v="100"/>
    <n v="0"/>
  </r>
  <r>
    <n v="3653"/>
    <n v="2841"/>
    <n v="0.33333333333333331"/>
    <x v="9"/>
    <d v="2024-10-11T00:00:00"/>
    <x v="4"/>
    <n v="13"/>
    <x v="3505"/>
    <x v="0"/>
    <x v="16"/>
    <n v="3"/>
    <n v="5"/>
    <n v="15"/>
    <n v="0"/>
  </r>
  <r>
    <n v="3654"/>
    <n v="2842"/>
    <n v="0.5"/>
    <x v="9"/>
    <d v="2024-10-11T00:00:00"/>
    <x v="4"/>
    <n v="19"/>
    <x v="3506"/>
    <x v="3"/>
    <x v="17"/>
    <n v="5"/>
    <n v="60"/>
    <n v="300"/>
    <n v="1"/>
  </r>
  <r>
    <n v="3655"/>
    <n v="2842"/>
    <n v="0.5"/>
    <x v="9"/>
    <d v="2024-10-11T00:00:00"/>
    <x v="4"/>
    <n v="12"/>
    <x v="3507"/>
    <x v="1"/>
    <x v="2"/>
    <n v="1"/>
    <n v="680"/>
    <n v="680"/>
    <n v="0"/>
  </r>
  <r>
    <n v="3656"/>
    <n v="2843"/>
    <n v="0.5"/>
    <x v="9"/>
    <d v="2024-10-12T00:00:00"/>
    <x v="5"/>
    <n v="9"/>
    <x v="3508"/>
    <x v="2"/>
    <x v="15"/>
    <n v="5"/>
    <n v="25"/>
    <n v="125"/>
    <n v="1"/>
  </r>
  <r>
    <n v="3657"/>
    <n v="2843"/>
    <n v="0.5"/>
    <x v="9"/>
    <d v="2024-10-12T00:00:00"/>
    <x v="5"/>
    <n v="14"/>
    <x v="3509"/>
    <x v="2"/>
    <x v="5"/>
    <n v="4"/>
    <n v="20"/>
    <n v="80"/>
    <n v="0"/>
  </r>
  <r>
    <n v="3658"/>
    <n v="2844"/>
    <n v="1"/>
    <x v="9"/>
    <d v="2024-10-12T00:00:00"/>
    <x v="5"/>
    <n v="18"/>
    <x v="3510"/>
    <x v="0"/>
    <x v="16"/>
    <n v="2"/>
    <n v="5"/>
    <n v="10"/>
    <n v="1"/>
  </r>
  <r>
    <n v="3659"/>
    <n v="2845"/>
    <n v="0.33333333333333331"/>
    <x v="9"/>
    <d v="2024-10-12T00:00:00"/>
    <x v="5"/>
    <n v="10"/>
    <x v="610"/>
    <x v="0"/>
    <x v="0"/>
    <n v="1"/>
    <n v="20"/>
    <n v="20"/>
    <n v="1"/>
  </r>
  <r>
    <n v="3660"/>
    <n v="2845"/>
    <n v="0.33333333333333331"/>
    <x v="9"/>
    <d v="2024-10-12T00:00:00"/>
    <x v="5"/>
    <n v="18"/>
    <x v="3341"/>
    <x v="3"/>
    <x v="17"/>
    <n v="1"/>
    <n v="60"/>
    <n v="60"/>
    <n v="0"/>
  </r>
  <r>
    <n v="3661"/>
    <n v="2845"/>
    <n v="0.33333333333333331"/>
    <x v="9"/>
    <d v="2024-10-12T00:00:00"/>
    <x v="5"/>
    <n v="11"/>
    <x v="3511"/>
    <x v="2"/>
    <x v="5"/>
    <n v="1"/>
    <n v="20"/>
    <n v="20"/>
    <n v="0"/>
  </r>
  <r>
    <n v="3662"/>
    <n v="2846"/>
    <n v="0.33333333333333331"/>
    <x v="9"/>
    <d v="2024-10-12T00:00:00"/>
    <x v="5"/>
    <n v="17"/>
    <x v="3512"/>
    <x v="2"/>
    <x v="15"/>
    <n v="2"/>
    <n v="25"/>
    <n v="50"/>
    <n v="1"/>
  </r>
  <r>
    <n v="3663"/>
    <n v="2846"/>
    <n v="0.33333333333333331"/>
    <x v="9"/>
    <d v="2024-10-12T00:00:00"/>
    <x v="5"/>
    <n v="18"/>
    <x v="1718"/>
    <x v="1"/>
    <x v="3"/>
    <n v="3"/>
    <n v="700"/>
    <n v="2100"/>
    <n v="0"/>
  </r>
  <r>
    <n v="3664"/>
    <n v="2846"/>
    <n v="0.33333333333333331"/>
    <x v="9"/>
    <d v="2024-10-12T00:00:00"/>
    <x v="5"/>
    <n v="16"/>
    <x v="3513"/>
    <x v="1"/>
    <x v="2"/>
    <n v="2"/>
    <n v="680"/>
    <n v="1360"/>
    <n v="0"/>
  </r>
  <r>
    <n v="3665"/>
    <n v="2847"/>
    <n v="0.5"/>
    <x v="9"/>
    <d v="2024-10-12T00:00:00"/>
    <x v="5"/>
    <n v="12"/>
    <x v="3514"/>
    <x v="2"/>
    <x v="11"/>
    <n v="5"/>
    <n v="35"/>
    <n v="175"/>
    <n v="1"/>
  </r>
  <r>
    <n v="3666"/>
    <n v="2847"/>
    <n v="0.5"/>
    <x v="9"/>
    <d v="2024-10-12T00:00:00"/>
    <x v="5"/>
    <n v="12"/>
    <x v="3515"/>
    <x v="2"/>
    <x v="11"/>
    <n v="2"/>
    <n v="35"/>
    <n v="70"/>
    <n v="0"/>
  </r>
  <r>
    <n v="3667"/>
    <n v="2848"/>
    <n v="1"/>
    <x v="9"/>
    <d v="2024-10-12T00:00:00"/>
    <x v="5"/>
    <n v="19"/>
    <x v="3516"/>
    <x v="2"/>
    <x v="5"/>
    <n v="4"/>
    <n v="20"/>
    <n v="80"/>
    <n v="1"/>
  </r>
  <r>
    <n v="3668"/>
    <n v="2849"/>
    <n v="0.5"/>
    <x v="9"/>
    <d v="2024-10-12T00:00:00"/>
    <x v="5"/>
    <n v="13"/>
    <x v="3517"/>
    <x v="3"/>
    <x v="13"/>
    <n v="1"/>
    <n v="55"/>
    <n v="55"/>
    <n v="1"/>
  </r>
  <r>
    <n v="3669"/>
    <n v="2849"/>
    <n v="0.5"/>
    <x v="9"/>
    <d v="2024-10-12T00:00:00"/>
    <x v="5"/>
    <n v="18"/>
    <x v="3518"/>
    <x v="2"/>
    <x v="5"/>
    <n v="3"/>
    <n v="20"/>
    <n v="60"/>
    <n v="0"/>
  </r>
  <r>
    <n v="3670"/>
    <n v="2850"/>
    <n v="0.5"/>
    <x v="9"/>
    <d v="2024-10-13T00:00:00"/>
    <x v="6"/>
    <n v="12"/>
    <x v="3519"/>
    <x v="3"/>
    <x v="14"/>
    <n v="2"/>
    <n v="40"/>
    <n v="80"/>
    <n v="1"/>
  </r>
  <r>
    <n v="3671"/>
    <n v="2850"/>
    <n v="0.5"/>
    <x v="9"/>
    <d v="2024-10-13T00:00:00"/>
    <x v="6"/>
    <n v="10"/>
    <x v="3520"/>
    <x v="1"/>
    <x v="4"/>
    <n v="2"/>
    <n v="600"/>
    <n v="1200"/>
    <n v="0"/>
  </r>
  <r>
    <n v="3672"/>
    <n v="2851"/>
    <n v="1"/>
    <x v="9"/>
    <d v="2024-10-13T00:00:00"/>
    <x v="6"/>
    <n v="18"/>
    <x v="3521"/>
    <x v="2"/>
    <x v="15"/>
    <n v="1"/>
    <n v="25"/>
    <n v="25"/>
    <n v="1"/>
  </r>
  <r>
    <n v="3673"/>
    <n v="2852"/>
    <n v="0.33333333333333331"/>
    <x v="9"/>
    <d v="2024-10-13T00:00:00"/>
    <x v="6"/>
    <n v="11"/>
    <x v="3522"/>
    <x v="3"/>
    <x v="6"/>
    <n v="4"/>
    <n v="50"/>
    <n v="200"/>
    <n v="1"/>
  </r>
  <r>
    <n v="3674"/>
    <n v="2852"/>
    <n v="0.33333333333333331"/>
    <x v="9"/>
    <d v="2024-10-13T00:00:00"/>
    <x v="6"/>
    <n v="12"/>
    <x v="3523"/>
    <x v="3"/>
    <x v="18"/>
    <n v="2"/>
    <n v="45"/>
    <n v="90"/>
    <n v="0"/>
  </r>
  <r>
    <n v="3675"/>
    <n v="2852"/>
    <n v="0.33333333333333331"/>
    <x v="9"/>
    <d v="2024-10-13T00:00:00"/>
    <x v="6"/>
    <n v="16"/>
    <x v="3524"/>
    <x v="3"/>
    <x v="18"/>
    <n v="1"/>
    <n v="45"/>
    <n v="45"/>
    <n v="0"/>
  </r>
  <r>
    <n v="3676"/>
    <n v="2853"/>
    <n v="1"/>
    <x v="9"/>
    <d v="2024-10-13T00:00:00"/>
    <x v="6"/>
    <n v="14"/>
    <x v="3525"/>
    <x v="3"/>
    <x v="13"/>
    <n v="2"/>
    <n v="55"/>
    <n v="110"/>
    <n v="1"/>
  </r>
  <r>
    <n v="3677"/>
    <n v="2854"/>
    <n v="1"/>
    <x v="9"/>
    <d v="2024-10-14T00:00:00"/>
    <x v="0"/>
    <n v="11"/>
    <x v="3526"/>
    <x v="2"/>
    <x v="15"/>
    <n v="2"/>
    <n v="25"/>
    <n v="50"/>
    <n v="1"/>
  </r>
  <r>
    <n v="3678"/>
    <n v="2855"/>
    <n v="0.33333333333333331"/>
    <x v="9"/>
    <d v="2024-10-14T00:00:00"/>
    <x v="0"/>
    <n v="13"/>
    <x v="3527"/>
    <x v="1"/>
    <x v="3"/>
    <n v="3"/>
    <n v="700"/>
    <n v="2100"/>
    <n v="1"/>
  </r>
  <r>
    <n v="3679"/>
    <n v="2855"/>
    <n v="0.33333333333333331"/>
    <x v="9"/>
    <d v="2024-10-14T00:00:00"/>
    <x v="0"/>
    <n v="19"/>
    <x v="3528"/>
    <x v="1"/>
    <x v="4"/>
    <n v="2"/>
    <n v="600"/>
    <n v="1200"/>
    <n v="0"/>
  </r>
  <r>
    <n v="3680"/>
    <n v="2855"/>
    <n v="0.33333333333333331"/>
    <x v="9"/>
    <d v="2024-10-14T00:00:00"/>
    <x v="0"/>
    <n v="16"/>
    <x v="3529"/>
    <x v="1"/>
    <x v="12"/>
    <n v="5"/>
    <n v="1000"/>
    <n v="5000"/>
    <n v="0"/>
  </r>
  <r>
    <n v="3681"/>
    <n v="2856"/>
    <n v="0.5"/>
    <x v="9"/>
    <d v="2024-10-14T00:00:00"/>
    <x v="0"/>
    <n v="9"/>
    <x v="3530"/>
    <x v="1"/>
    <x v="12"/>
    <n v="1"/>
    <n v="1000"/>
    <n v="1000"/>
    <n v="1"/>
  </r>
  <r>
    <n v="3682"/>
    <n v="2856"/>
    <n v="0.5"/>
    <x v="9"/>
    <d v="2024-10-14T00:00:00"/>
    <x v="0"/>
    <n v="18"/>
    <x v="3531"/>
    <x v="3"/>
    <x v="17"/>
    <n v="2"/>
    <n v="60"/>
    <n v="120"/>
    <n v="0"/>
  </r>
  <r>
    <n v="3683"/>
    <n v="2857"/>
    <n v="0.5"/>
    <x v="9"/>
    <d v="2024-10-15T00:00:00"/>
    <x v="1"/>
    <n v="20"/>
    <x v="3532"/>
    <x v="3"/>
    <x v="13"/>
    <n v="5"/>
    <n v="55"/>
    <n v="275"/>
    <n v="1"/>
  </r>
  <r>
    <n v="3684"/>
    <n v="2857"/>
    <n v="0.5"/>
    <x v="9"/>
    <d v="2024-10-15T00:00:00"/>
    <x v="1"/>
    <n v="20"/>
    <x v="3533"/>
    <x v="3"/>
    <x v="6"/>
    <n v="2"/>
    <n v="50"/>
    <n v="100"/>
    <n v="0"/>
  </r>
  <r>
    <n v="3685"/>
    <n v="2858"/>
    <n v="1"/>
    <x v="9"/>
    <d v="2024-10-15T00:00:00"/>
    <x v="1"/>
    <n v="17"/>
    <x v="3534"/>
    <x v="1"/>
    <x v="1"/>
    <n v="2"/>
    <n v="650"/>
    <n v="1300"/>
    <n v="1"/>
  </r>
  <r>
    <n v="3686"/>
    <n v="2859"/>
    <n v="1"/>
    <x v="9"/>
    <d v="2024-10-15T00:00:00"/>
    <x v="1"/>
    <n v="9"/>
    <x v="3535"/>
    <x v="3"/>
    <x v="6"/>
    <n v="2"/>
    <n v="50"/>
    <n v="100"/>
    <n v="1"/>
  </r>
  <r>
    <n v="3687"/>
    <n v="2860"/>
    <n v="0.5"/>
    <x v="9"/>
    <d v="2024-10-15T00:00:00"/>
    <x v="1"/>
    <n v="15"/>
    <x v="3536"/>
    <x v="0"/>
    <x v="7"/>
    <n v="2"/>
    <n v="25"/>
    <n v="50"/>
    <n v="1"/>
  </r>
  <r>
    <n v="3688"/>
    <n v="2860"/>
    <n v="0.5"/>
    <x v="9"/>
    <d v="2024-10-15T00:00:00"/>
    <x v="1"/>
    <n v="18"/>
    <x v="3537"/>
    <x v="1"/>
    <x v="2"/>
    <n v="1"/>
    <n v="680"/>
    <n v="680"/>
    <n v="0"/>
  </r>
  <r>
    <n v="3689"/>
    <n v="2861"/>
    <n v="0.5"/>
    <x v="9"/>
    <d v="2024-10-15T00:00:00"/>
    <x v="1"/>
    <n v="10"/>
    <x v="3538"/>
    <x v="2"/>
    <x v="15"/>
    <n v="1"/>
    <n v="25"/>
    <n v="25"/>
    <n v="1"/>
  </r>
  <r>
    <n v="3690"/>
    <n v="2861"/>
    <n v="0.5"/>
    <x v="9"/>
    <d v="2024-10-15T00:00:00"/>
    <x v="1"/>
    <n v="13"/>
    <x v="554"/>
    <x v="1"/>
    <x v="2"/>
    <n v="1"/>
    <n v="680"/>
    <n v="680"/>
    <n v="0"/>
  </r>
  <r>
    <n v="3691"/>
    <n v="2862"/>
    <n v="1"/>
    <x v="9"/>
    <d v="2024-10-15T00:00:00"/>
    <x v="1"/>
    <n v="12"/>
    <x v="3539"/>
    <x v="2"/>
    <x v="5"/>
    <n v="5"/>
    <n v="20"/>
    <n v="100"/>
    <n v="1"/>
  </r>
  <r>
    <n v="3692"/>
    <n v="2863"/>
    <n v="1"/>
    <x v="9"/>
    <d v="2024-10-15T00:00:00"/>
    <x v="1"/>
    <n v="18"/>
    <x v="3540"/>
    <x v="3"/>
    <x v="18"/>
    <n v="2"/>
    <n v="45"/>
    <n v="90"/>
    <n v="1"/>
  </r>
  <r>
    <n v="3693"/>
    <n v="2864"/>
    <n v="0.5"/>
    <x v="9"/>
    <d v="2024-10-16T00:00:00"/>
    <x v="2"/>
    <n v="10"/>
    <x v="3541"/>
    <x v="3"/>
    <x v="14"/>
    <n v="2"/>
    <n v="40"/>
    <n v="80"/>
    <n v="1"/>
  </r>
  <r>
    <n v="3694"/>
    <n v="2864"/>
    <n v="0.5"/>
    <x v="9"/>
    <d v="2024-10-16T00:00:00"/>
    <x v="2"/>
    <n v="9"/>
    <x v="3542"/>
    <x v="2"/>
    <x v="15"/>
    <n v="4"/>
    <n v="25"/>
    <n v="100"/>
    <n v="0"/>
  </r>
  <r>
    <n v="3695"/>
    <n v="2865"/>
    <n v="0.33333333333333331"/>
    <x v="9"/>
    <d v="2024-10-16T00:00:00"/>
    <x v="2"/>
    <n v="11"/>
    <x v="3543"/>
    <x v="1"/>
    <x v="2"/>
    <n v="4"/>
    <n v="680"/>
    <n v="2720"/>
    <n v="1"/>
  </r>
  <r>
    <n v="3696"/>
    <n v="2865"/>
    <n v="0.33333333333333331"/>
    <x v="9"/>
    <d v="2024-10-16T00:00:00"/>
    <x v="2"/>
    <n v="12"/>
    <x v="3544"/>
    <x v="0"/>
    <x v="9"/>
    <n v="2"/>
    <n v="15"/>
    <n v="30"/>
    <n v="0"/>
  </r>
  <r>
    <n v="3697"/>
    <n v="2865"/>
    <n v="0.33333333333333331"/>
    <x v="9"/>
    <d v="2024-10-16T00:00:00"/>
    <x v="2"/>
    <n v="14"/>
    <x v="3545"/>
    <x v="0"/>
    <x v="7"/>
    <n v="2"/>
    <n v="25"/>
    <n v="50"/>
    <n v="0"/>
  </r>
  <r>
    <n v="3698"/>
    <n v="2866"/>
    <n v="0.33333333333333331"/>
    <x v="9"/>
    <d v="2024-10-16T00:00:00"/>
    <x v="2"/>
    <n v="19"/>
    <x v="3546"/>
    <x v="0"/>
    <x v="7"/>
    <n v="4"/>
    <n v="25"/>
    <n v="100"/>
    <n v="1"/>
  </r>
  <r>
    <n v="3699"/>
    <n v="2866"/>
    <n v="0.33333333333333331"/>
    <x v="9"/>
    <d v="2024-10-16T00:00:00"/>
    <x v="2"/>
    <n v="16"/>
    <x v="3547"/>
    <x v="3"/>
    <x v="6"/>
    <n v="1"/>
    <n v="50"/>
    <n v="50"/>
    <n v="0"/>
  </r>
  <r>
    <n v="3700"/>
    <n v="2866"/>
    <n v="0.33333333333333331"/>
    <x v="9"/>
    <d v="2024-10-16T00:00:00"/>
    <x v="2"/>
    <n v="9"/>
    <x v="3548"/>
    <x v="0"/>
    <x v="8"/>
    <n v="1"/>
    <n v="10"/>
    <n v="10"/>
    <n v="0"/>
  </r>
  <r>
    <n v="3701"/>
    <n v="2867"/>
    <n v="0.5"/>
    <x v="9"/>
    <d v="2024-10-16T00:00:00"/>
    <x v="2"/>
    <n v="11"/>
    <x v="3549"/>
    <x v="3"/>
    <x v="13"/>
    <n v="4"/>
    <n v="55"/>
    <n v="220"/>
    <n v="1"/>
  </r>
  <r>
    <n v="3702"/>
    <n v="2867"/>
    <n v="0.5"/>
    <x v="9"/>
    <d v="2024-10-16T00:00:00"/>
    <x v="2"/>
    <n v="11"/>
    <x v="3550"/>
    <x v="2"/>
    <x v="5"/>
    <n v="2"/>
    <n v="20"/>
    <n v="40"/>
    <n v="0"/>
  </r>
  <r>
    <n v="3703"/>
    <n v="2868"/>
    <n v="1"/>
    <x v="9"/>
    <d v="2024-10-16T00:00:00"/>
    <x v="2"/>
    <n v="16"/>
    <x v="3551"/>
    <x v="2"/>
    <x v="5"/>
    <n v="3"/>
    <n v="20"/>
    <n v="60"/>
    <n v="1"/>
  </r>
  <r>
    <n v="3704"/>
    <n v="2869"/>
    <n v="1"/>
    <x v="9"/>
    <d v="2024-10-16T00:00:00"/>
    <x v="2"/>
    <n v="10"/>
    <x v="3552"/>
    <x v="1"/>
    <x v="4"/>
    <n v="5"/>
    <n v="600"/>
    <n v="3000"/>
    <n v="1"/>
  </r>
  <r>
    <n v="3705"/>
    <n v="2870"/>
    <n v="1"/>
    <x v="9"/>
    <d v="2024-10-16T00:00:00"/>
    <x v="2"/>
    <n v="15"/>
    <x v="3553"/>
    <x v="2"/>
    <x v="11"/>
    <n v="1"/>
    <n v="35"/>
    <n v="35"/>
    <n v="1"/>
  </r>
  <r>
    <n v="3706"/>
    <n v="2871"/>
    <n v="1"/>
    <x v="9"/>
    <d v="2024-10-16T00:00:00"/>
    <x v="2"/>
    <n v="19"/>
    <x v="3554"/>
    <x v="2"/>
    <x v="10"/>
    <n v="2"/>
    <n v="30"/>
    <n v="60"/>
    <n v="1"/>
  </r>
  <r>
    <n v="3707"/>
    <n v="2872"/>
    <n v="0.33333333333333331"/>
    <x v="9"/>
    <d v="2024-10-17T00:00:00"/>
    <x v="3"/>
    <n v="16"/>
    <x v="3555"/>
    <x v="2"/>
    <x v="11"/>
    <n v="4"/>
    <n v="35"/>
    <n v="140"/>
    <n v="1"/>
  </r>
  <r>
    <n v="3708"/>
    <n v="2872"/>
    <n v="0.33333333333333331"/>
    <x v="9"/>
    <d v="2024-10-17T00:00:00"/>
    <x v="3"/>
    <n v="9"/>
    <x v="3556"/>
    <x v="0"/>
    <x v="16"/>
    <n v="5"/>
    <n v="5"/>
    <n v="25"/>
    <n v="0"/>
  </r>
  <r>
    <n v="3709"/>
    <n v="2872"/>
    <n v="0.33333333333333331"/>
    <x v="9"/>
    <d v="2024-10-17T00:00:00"/>
    <x v="3"/>
    <n v="9"/>
    <x v="3557"/>
    <x v="3"/>
    <x v="6"/>
    <n v="2"/>
    <n v="50"/>
    <n v="100"/>
    <n v="0"/>
  </r>
  <r>
    <n v="3710"/>
    <n v="2873"/>
    <n v="0.33333333333333331"/>
    <x v="9"/>
    <d v="2024-10-17T00:00:00"/>
    <x v="3"/>
    <n v="16"/>
    <x v="3558"/>
    <x v="2"/>
    <x v="15"/>
    <n v="3"/>
    <n v="25"/>
    <n v="75"/>
    <n v="1"/>
  </r>
  <r>
    <n v="3711"/>
    <n v="2873"/>
    <n v="0.33333333333333331"/>
    <x v="9"/>
    <d v="2024-10-17T00:00:00"/>
    <x v="3"/>
    <n v="11"/>
    <x v="3559"/>
    <x v="2"/>
    <x v="5"/>
    <n v="4"/>
    <n v="20"/>
    <n v="80"/>
    <n v="0"/>
  </r>
  <r>
    <n v="3712"/>
    <n v="2873"/>
    <n v="0.33333333333333331"/>
    <x v="9"/>
    <d v="2024-10-17T00:00:00"/>
    <x v="3"/>
    <n v="10"/>
    <x v="3560"/>
    <x v="0"/>
    <x v="7"/>
    <n v="5"/>
    <n v="25"/>
    <n v="125"/>
    <n v="0"/>
  </r>
  <r>
    <n v="3713"/>
    <n v="2874"/>
    <n v="0.33333333333333331"/>
    <x v="9"/>
    <d v="2024-10-17T00:00:00"/>
    <x v="3"/>
    <n v="10"/>
    <x v="3561"/>
    <x v="3"/>
    <x v="13"/>
    <n v="5"/>
    <n v="55"/>
    <n v="275"/>
    <n v="1"/>
  </r>
  <r>
    <n v="3714"/>
    <n v="2874"/>
    <n v="0.33333333333333331"/>
    <x v="9"/>
    <d v="2024-10-17T00:00:00"/>
    <x v="3"/>
    <n v="15"/>
    <x v="3562"/>
    <x v="0"/>
    <x v="9"/>
    <n v="4"/>
    <n v="15"/>
    <n v="60"/>
    <n v="0"/>
  </r>
  <r>
    <n v="3715"/>
    <n v="2874"/>
    <n v="0.33333333333333331"/>
    <x v="9"/>
    <d v="2024-10-17T00:00:00"/>
    <x v="3"/>
    <n v="19"/>
    <x v="2644"/>
    <x v="1"/>
    <x v="12"/>
    <n v="1"/>
    <n v="1000"/>
    <n v="1000"/>
    <n v="0"/>
  </r>
  <r>
    <n v="3716"/>
    <n v="2875"/>
    <n v="0.5"/>
    <x v="9"/>
    <d v="2024-10-17T00:00:00"/>
    <x v="3"/>
    <n v="16"/>
    <x v="3563"/>
    <x v="3"/>
    <x v="6"/>
    <n v="4"/>
    <n v="50"/>
    <n v="200"/>
    <n v="1"/>
  </r>
  <r>
    <n v="3717"/>
    <n v="2875"/>
    <n v="0.5"/>
    <x v="9"/>
    <d v="2024-10-17T00:00:00"/>
    <x v="3"/>
    <n v="20"/>
    <x v="3564"/>
    <x v="2"/>
    <x v="15"/>
    <n v="1"/>
    <n v="25"/>
    <n v="25"/>
    <n v="0"/>
  </r>
  <r>
    <n v="3718"/>
    <n v="2876"/>
    <n v="0.33333333333333331"/>
    <x v="9"/>
    <d v="2024-10-17T00:00:00"/>
    <x v="3"/>
    <n v="16"/>
    <x v="3565"/>
    <x v="3"/>
    <x v="14"/>
    <n v="3"/>
    <n v="40"/>
    <n v="120"/>
    <n v="1"/>
  </r>
  <r>
    <n v="3719"/>
    <n v="2876"/>
    <n v="0.33333333333333331"/>
    <x v="9"/>
    <d v="2024-10-17T00:00:00"/>
    <x v="3"/>
    <n v="17"/>
    <x v="3566"/>
    <x v="1"/>
    <x v="12"/>
    <n v="4"/>
    <n v="1000"/>
    <n v="4000"/>
    <n v="0"/>
  </r>
  <r>
    <n v="3720"/>
    <n v="2876"/>
    <n v="0.33333333333333331"/>
    <x v="9"/>
    <d v="2024-10-17T00:00:00"/>
    <x v="3"/>
    <n v="14"/>
    <x v="3567"/>
    <x v="2"/>
    <x v="15"/>
    <n v="2"/>
    <n v="25"/>
    <n v="50"/>
    <n v="0"/>
  </r>
  <r>
    <n v="3721"/>
    <n v="2877"/>
    <n v="0.5"/>
    <x v="9"/>
    <d v="2024-10-17T00:00:00"/>
    <x v="3"/>
    <n v="16"/>
    <x v="3568"/>
    <x v="3"/>
    <x v="6"/>
    <n v="5"/>
    <n v="50"/>
    <n v="250"/>
    <n v="1"/>
  </r>
  <r>
    <n v="3722"/>
    <n v="2877"/>
    <n v="0.5"/>
    <x v="9"/>
    <d v="2024-10-17T00:00:00"/>
    <x v="3"/>
    <n v="10"/>
    <x v="3569"/>
    <x v="3"/>
    <x v="6"/>
    <n v="3"/>
    <n v="50"/>
    <n v="150"/>
    <n v="0"/>
  </r>
  <r>
    <n v="3723"/>
    <n v="2878"/>
    <n v="1"/>
    <x v="9"/>
    <d v="2024-10-17T00:00:00"/>
    <x v="3"/>
    <n v="19"/>
    <x v="3570"/>
    <x v="3"/>
    <x v="18"/>
    <n v="5"/>
    <n v="45"/>
    <n v="225"/>
    <n v="1"/>
  </r>
  <r>
    <n v="3724"/>
    <n v="2879"/>
    <n v="1"/>
    <x v="9"/>
    <d v="2024-10-18T00:00:00"/>
    <x v="4"/>
    <n v="10"/>
    <x v="640"/>
    <x v="2"/>
    <x v="11"/>
    <n v="2"/>
    <n v="35"/>
    <n v="70"/>
    <n v="1"/>
  </r>
  <r>
    <n v="3725"/>
    <n v="2880"/>
    <n v="1"/>
    <x v="9"/>
    <d v="2024-10-18T00:00:00"/>
    <x v="4"/>
    <n v="15"/>
    <x v="3571"/>
    <x v="2"/>
    <x v="5"/>
    <n v="5"/>
    <n v="20"/>
    <n v="100"/>
    <n v="1"/>
  </r>
  <r>
    <n v="3726"/>
    <n v="2881"/>
    <n v="0.33333333333333331"/>
    <x v="9"/>
    <d v="2024-10-18T00:00:00"/>
    <x v="4"/>
    <n v="15"/>
    <x v="3572"/>
    <x v="2"/>
    <x v="15"/>
    <n v="1"/>
    <n v="25"/>
    <n v="25"/>
    <n v="1"/>
  </r>
  <r>
    <n v="3727"/>
    <n v="2881"/>
    <n v="0.33333333333333331"/>
    <x v="9"/>
    <d v="2024-10-18T00:00:00"/>
    <x v="4"/>
    <n v="17"/>
    <x v="3573"/>
    <x v="2"/>
    <x v="15"/>
    <n v="2"/>
    <n v="25"/>
    <n v="50"/>
    <n v="0"/>
  </r>
  <r>
    <n v="3728"/>
    <n v="2881"/>
    <n v="0.33333333333333331"/>
    <x v="9"/>
    <d v="2024-10-18T00:00:00"/>
    <x v="4"/>
    <n v="15"/>
    <x v="3574"/>
    <x v="0"/>
    <x v="8"/>
    <n v="2"/>
    <n v="10"/>
    <n v="20"/>
    <n v="0"/>
  </r>
  <r>
    <n v="3729"/>
    <n v="2882"/>
    <n v="0.33333333333333331"/>
    <x v="9"/>
    <d v="2024-10-18T00:00:00"/>
    <x v="4"/>
    <n v="9"/>
    <x v="3575"/>
    <x v="1"/>
    <x v="3"/>
    <n v="5"/>
    <n v="700"/>
    <n v="3500"/>
    <n v="1"/>
  </r>
  <r>
    <n v="3730"/>
    <n v="2882"/>
    <n v="0.33333333333333331"/>
    <x v="9"/>
    <d v="2024-10-18T00:00:00"/>
    <x v="4"/>
    <n v="9"/>
    <x v="3576"/>
    <x v="0"/>
    <x v="9"/>
    <n v="5"/>
    <n v="15"/>
    <n v="75"/>
    <n v="0"/>
  </r>
  <r>
    <n v="3731"/>
    <n v="2882"/>
    <n v="0.33333333333333331"/>
    <x v="9"/>
    <d v="2024-10-18T00:00:00"/>
    <x v="4"/>
    <n v="13"/>
    <x v="3577"/>
    <x v="0"/>
    <x v="8"/>
    <n v="2"/>
    <n v="10"/>
    <n v="20"/>
    <n v="0"/>
  </r>
  <r>
    <n v="3732"/>
    <n v="2883"/>
    <n v="0.5"/>
    <x v="9"/>
    <d v="2024-10-19T00:00:00"/>
    <x v="5"/>
    <n v="11"/>
    <x v="578"/>
    <x v="3"/>
    <x v="6"/>
    <n v="1"/>
    <n v="50"/>
    <n v="50"/>
    <n v="1"/>
  </r>
  <r>
    <n v="3733"/>
    <n v="2883"/>
    <n v="0.5"/>
    <x v="9"/>
    <d v="2024-10-19T00:00:00"/>
    <x v="5"/>
    <n v="14"/>
    <x v="3578"/>
    <x v="3"/>
    <x v="18"/>
    <n v="5"/>
    <n v="45"/>
    <n v="225"/>
    <n v="0"/>
  </r>
  <r>
    <n v="3734"/>
    <n v="2884"/>
    <n v="0.33333333333333331"/>
    <x v="9"/>
    <d v="2024-10-19T00:00:00"/>
    <x v="5"/>
    <n v="9"/>
    <x v="3579"/>
    <x v="3"/>
    <x v="14"/>
    <n v="3"/>
    <n v="40"/>
    <n v="120"/>
    <n v="1"/>
  </r>
  <r>
    <n v="3735"/>
    <n v="2884"/>
    <n v="0.33333333333333331"/>
    <x v="9"/>
    <d v="2024-10-19T00:00:00"/>
    <x v="5"/>
    <n v="10"/>
    <x v="3580"/>
    <x v="3"/>
    <x v="18"/>
    <n v="2"/>
    <n v="45"/>
    <n v="90"/>
    <n v="0"/>
  </r>
  <r>
    <n v="3736"/>
    <n v="2884"/>
    <n v="0.33333333333333331"/>
    <x v="9"/>
    <d v="2024-10-19T00:00:00"/>
    <x v="5"/>
    <n v="15"/>
    <x v="3581"/>
    <x v="3"/>
    <x v="18"/>
    <n v="1"/>
    <n v="45"/>
    <n v="45"/>
    <n v="0"/>
  </r>
  <r>
    <n v="3737"/>
    <n v="2885"/>
    <n v="0.33333333333333331"/>
    <x v="9"/>
    <d v="2024-10-19T00:00:00"/>
    <x v="5"/>
    <n v="14"/>
    <x v="3038"/>
    <x v="1"/>
    <x v="4"/>
    <n v="1"/>
    <n v="600"/>
    <n v="600"/>
    <n v="1"/>
  </r>
  <r>
    <n v="3738"/>
    <n v="2885"/>
    <n v="0.33333333333333331"/>
    <x v="9"/>
    <d v="2024-10-19T00:00:00"/>
    <x v="5"/>
    <n v="12"/>
    <x v="3582"/>
    <x v="2"/>
    <x v="15"/>
    <n v="5"/>
    <n v="25"/>
    <n v="125"/>
    <n v="0"/>
  </r>
  <r>
    <n v="3739"/>
    <n v="2885"/>
    <n v="0.33333333333333331"/>
    <x v="9"/>
    <d v="2024-10-19T00:00:00"/>
    <x v="5"/>
    <n v="18"/>
    <x v="3583"/>
    <x v="3"/>
    <x v="13"/>
    <n v="2"/>
    <n v="55"/>
    <n v="110"/>
    <n v="0"/>
  </r>
  <r>
    <n v="3740"/>
    <n v="2886"/>
    <n v="0.33333333333333331"/>
    <x v="9"/>
    <d v="2024-10-19T00:00:00"/>
    <x v="5"/>
    <n v="12"/>
    <x v="3584"/>
    <x v="3"/>
    <x v="13"/>
    <n v="1"/>
    <n v="55"/>
    <n v="55"/>
    <n v="1"/>
  </r>
  <r>
    <n v="3741"/>
    <n v="2886"/>
    <n v="0.33333333333333331"/>
    <x v="9"/>
    <d v="2024-10-19T00:00:00"/>
    <x v="5"/>
    <n v="13"/>
    <x v="3585"/>
    <x v="3"/>
    <x v="13"/>
    <n v="2"/>
    <n v="55"/>
    <n v="110"/>
    <n v="0"/>
  </r>
  <r>
    <n v="3742"/>
    <n v="2886"/>
    <n v="0.33333333333333331"/>
    <x v="9"/>
    <d v="2024-10-19T00:00:00"/>
    <x v="5"/>
    <n v="19"/>
    <x v="3586"/>
    <x v="1"/>
    <x v="4"/>
    <n v="5"/>
    <n v="600"/>
    <n v="3000"/>
    <n v="0"/>
  </r>
  <r>
    <n v="3743"/>
    <n v="2887"/>
    <n v="0.5"/>
    <x v="9"/>
    <d v="2024-10-19T00:00:00"/>
    <x v="5"/>
    <n v="15"/>
    <x v="3587"/>
    <x v="3"/>
    <x v="6"/>
    <n v="3"/>
    <n v="50"/>
    <n v="150"/>
    <n v="1"/>
  </r>
  <r>
    <n v="3744"/>
    <n v="2887"/>
    <n v="0.5"/>
    <x v="9"/>
    <d v="2024-10-19T00:00:00"/>
    <x v="5"/>
    <n v="15"/>
    <x v="3588"/>
    <x v="1"/>
    <x v="12"/>
    <n v="3"/>
    <n v="1000"/>
    <n v="3000"/>
    <n v="0"/>
  </r>
  <r>
    <n v="3745"/>
    <n v="2888"/>
    <n v="0.5"/>
    <x v="9"/>
    <d v="2024-10-19T00:00:00"/>
    <x v="5"/>
    <n v="18"/>
    <x v="3589"/>
    <x v="1"/>
    <x v="3"/>
    <n v="4"/>
    <n v="700"/>
    <n v="2800"/>
    <n v="1"/>
  </r>
  <r>
    <n v="3746"/>
    <n v="2888"/>
    <n v="0.5"/>
    <x v="9"/>
    <d v="2024-10-19T00:00:00"/>
    <x v="5"/>
    <n v="15"/>
    <x v="3590"/>
    <x v="0"/>
    <x v="9"/>
    <n v="2"/>
    <n v="15"/>
    <n v="30"/>
    <n v="0"/>
  </r>
  <r>
    <n v="3747"/>
    <n v="2889"/>
    <n v="0.5"/>
    <x v="9"/>
    <d v="2024-10-19T00:00:00"/>
    <x v="5"/>
    <n v="19"/>
    <x v="3591"/>
    <x v="1"/>
    <x v="1"/>
    <n v="1"/>
    <n v="650"/>
    <n v="650"/>
    <n v="1"/>
  </r>
  <r>
    <n v="3748"/>
    <n v="2889"/>
    <n v="0.5"/>
    <x v="9"/>
    <d v="2024-10-19T00:00:00"/>
    <x v="5"/>
    <n v="16"/>
    <x v="3592"/>
    <x v="1"/>
    <x v="1"/>
    <n v="3"/>
    <n v="650"/>
    <n v="1950"/>
    <n v="0"/>
  </r>
  <r>
    <n v="3749"/>
    <n v="2890"/>
    <n v="0.5"/>
    <x v="9"/>
    <d v="2024-10-20T00:00:00"/>
    <x v="6"/>
    <n v="16"/>
    <x v="374"/>
    <x v="1"/>
    <x v="1"/>
    <n v="2"/>
    <n v="650"/>
    <n v="1300"/>
    <n v="1"/>
  </r>
  <r>
    <n v="3750"/>
    <n v="2890"/>
    <n v="0.5"/>
    <x v="9"/>
    <d v="2024-10-20T00:00:00"/>
    <x v="6"/>
    <n v="18"/>
    <x v="3593"/>
    <x v="3"/>
    <x v="18"/>
    <n v="5"/>
    <n v="45"/>
    <n v="225"/>
    <n v="0"/>
  </r>
  <r>
    <n v="3751"/>
    <n v="2891"/>
    <n v="0.5"/>
    <x v="9"/>
    <d v="2024-10-20T00:00:00"/>
    <x v="6"/>
    <n v="19"/>
    <x v="3594"/>
    <x v="3"/>
    <x v="6"/>
    <n v="1"/>
    <n v="50"/>
    <n v="50"/>
    <n v="1"/>
  </r>
  <r>
    <n v="3752"/>
    <n v="2891"/>
    <n v="0.5"/>
    <x v="9"/>
    <d v="2024-10-20T00:00:00"/>
    <x v="6"/>
    <n v="16"/>
    <x v="3595"/>
    <x v="0"/>
    <x v="9"/>
    <n v="1"/>
    <n v="15"/>
    <n v="15"/>
    <n v="0"/>
  </r>
  <r>
    <n v="3753"/>
    <n v="2892"/>
    <n v="0.5"/>
    <x v="9"/>
    <d v="2024-10-20T00:00:00"/>
    <x v="6"/>
    <n v="15"/>
    <x v="3596"/>
    <x v="3"/>
    <x v="14"/>
    <n v="5"/>
    <n v="40"/>
    <n v="200"/>
    <n v="1"/>
  </r>
  <r>
    <n v="3754"/>
    <n v="2892"/>
    <n v="0.5"/>
    <x v="9"/>
    <d v="2024-10-20T00:00:00"/>
    <x v="6"/>
    <n v="12"/>
    <x v="3597"/>
    <x v="0"/>
    <x v="8"/>
    <n v="3"/>
    <n v="10"/>
    <n v="30"/>
    <n v="0"/>
  </r>
  <r>
    <n v="3755"/>
    <n v="2893"/>
    <n v="0.5"/>
    <x v="9"/>
    <d v="2024-10-20T00:00:00"/>
    <x v="6"/>
    <n v="19"/>
    <x v="3598"/>
    <x v="3"/>
    <x v="17"/>
    <n v="1"/>
    <n v="60"/>
    <n v="60"/>
    <n v="1"/>
  </r>
  <r>
    <n v="3756"/>
    <n v="2893"/>
    <n v="0.5"/>
    <x v="9"/>
    <d v="2024-10-20T00:00:00"/>
    <x v="6"/>
    <n v="18"/>
    <x v="3599"/>
    <x v="1"/>
    <x v="12"/>
    <n v="1"/>
    <n v="1000"/>
    <n v="1000"/>
    <n v="0"/>
  </r>
  <r>
    <n v="3757"/>
    <n v="2894"/>
    <n v="0.33333333333333331"/>
    <x v="9"/>
    <d v="2024-10-20T00:00:00"/>
    <x v="6"/>
    <n v="18"/>
    <x v="3600"/>
    <x v="3"/>
    <x v="14"/>
    <n v="4"/>
    <n v="40"/>
    <n v="160"/>
    <n v="1"/>
  </r>
  <r>
    <n v="3758"/>
    <n v="2894"/>
    <n v="0.33333333333333331"/>
    <x v="9"/>
    <d v="2024-10-20T00:00:00"/>
    <x v="6"/>
    <n v="13"/>
    <x v="3601"/>
    <x v="2"/>
    <x v="10"/>
    <n v="4"/>
    <n v="30"/>
    <n v="120"/>
    <n v="0"/>
  </r>
  <r>
    <n v="3759"/>
    <n v="2894"/>
    <n v="0.33333333333333331"/>
    <x v="9"/>
    <d v="2024-10-20T00:00:00"/>
    <x v="6"/>
    <n v="16"/>
    <x v="3602"/>
    <x v="2"/>
    <x v="5"/>
    <n v="2"/>
    <n v="20"/>
    <n v="40"/>
    <n v="0"/>
  </r>
  <r>
    <n v="3760"/>
    <n v="2895"/>
    <n v="1"/>
    <x v="9"/>
    <d v="2024-10-20T00:00:00"/>
    <x v="6"/>
    <n v="17"/>
    <x v="3603"/>
    <x v="2"/>
    <x v="11"/>
    <n v="4"/>
    <n v="35"/>
    <n v="140"/>
    <n v="1"/>
  </r>
  <r>
    <n v="3761"/>
    <n v="2896"/>
    <n v="0.5"/>
    <x v="9"/>
    <d v="2024-10-20T00:00:00"/>
    <x v="6"/>
    <n v="10"/>
    <x v="3604"/>
    <x v="0"/>
    <x v="16"/>
    <n v="5"/>
    <n v="5"/>
    <n v="25"/>
    <n v="1"/>
  </r>
  <r>
    <n v="3762"/>
    <n v="2896"/>
    <n v="0.5"/>
    <x v="9"/>
    <d v="2024-10-20T00:00:00"/>
    <x v="6"/>
    <n v="10"/>
    <x v="3605"/>
    <x v="2"/>
    <x v="11"/>
    <n v="1"/>
    <n v="35"/>
    <n v="35"/>
    <n v="0"/>
  </r>
  <r>
    <n v="3763"/>
    <n v="2897"/>
    <n v="0.5"/>
    <x v="9"/>
    <d v="2024-10-20T00:00:00"/>
    <x v="6"/>
    <n v="14"/>
    <x v="3606"/>
    <x v="1"/>
    <x v="2"/>
    <n v="4"/>
    <n v="680"/>
    <n v="2720"/>
    <n v="1"/>
  </r>
  <r>
    <n v="3764"/>
    <n v="2897"/>
    <n v="0.5"/>
    <x v="9"/>
    <d v="2024-10-20T00:00:00"/>
    <x v="6"/>
    <n v="19"/>
    <x v="3570"/>
    <x v="0"/>
    <x v="7"/>
    <n v="2"/>
    <n v="25"/>
    <n v="50"/>
    <n v="0"/>
  </r>
  <r>
    <n v="3765"/>
    <n v="2898"/>
    <n v="0.33333333333333331"/>
    <x v="9"/>
    <d v="2024-10-21T00:00:00"/>
    <x v="0"/>
    <n v="20"/>
    <x v="3607"/>
    <x v="2"/>
    <x v="10"/>
    <n v="4"/>
    <n v="30"/>
    <n v="120"/>
    <n v="1"/>
  </r>
  <r>
    <n v="3766"/>
    <n v="2898"/>
    <n v="0.33333333333333331"/>
    <x v="9"/>
    <d v="2024-10-21T00:00:00"/>
    <x v="0"/>
    <n v="14"/>
    <x v="3608"/>
    <x v="1"/>
    <x v="3"/>
    <n v="1"/>
    <n v="700"/>
    <n v="700"/>
    <n v="0"/>
  </r>
  <r>
    <n v="3767"/>
    <n v="2898"/>
    <n v="0.33333333333333331"/>
    <x v="9"/>
    <d v="2024-10-21T00:00:00"/>
    <x v="0"/>
    <n v="17"/>
    <x v="3609"/>
    <x v="0"/>
    <x v="9"/>
    <n v="2"/>
    <n v="15"/>
    <n v="30"/>
    <n v="0"/>
  </r>
  <r>
    <n v="3768"/>
    <n v="2899"/>
    <n v="0.5"/>
    <x v="9"/>
    <d v="2024-10-21T00:00:00"/>
    <x v="0"/>
    <n v="14"/>
    <x v="2618"/>
    <x v="3"/>
    <x v="17"/>
    <n v="4"/>
    <n v="60"/>
    <n v="240"/>
    <n v="1"/>
  </r>
  <r>
    <n v="3769"/>
    <n v="2899"/>
    <n v="0.5"/>
    <x v="9"/>
    <d v="2024-10-21T00:00:00"/>
    <x v="0"/>
    <n v="17"/>
    <x v="3610"/>
    <x v="2"/>
    <x v="11"/>
    <n v="4"/>
    <n v="35"/>
    <n v="140"/>
    <n v="0"/>
  </r>
  <r>
    <n v="3770"/>
    <n v="2900"/>
    <n v="1"/>
    <x v="9"/>
    <d v="2024-10-21T00:00:00"/>
    <x v="0"/>
    <n v="20"/>
    <x v="3611"/>
    <x v="1"/>
    <x v="2"/>
    <n v="1"/>
    <n v="680"/>
    <n v="680"/>
    <n v="1"/>
  </r>
  <r>
    <n v="3771"/>
    <n v="2901"/>
    <n v="0.5"/>
    <x v="9"/>
    <d v="2024-10-21T00:00:00"/>
    <x v="0"/>
    <n v="10"/>
    <x v="3612"/>
    <x v="1"/>
    <x v="3"/>
    <n v="3"/>
    <n v="700"/>
    <n v="2100"/>
    <n v="1"/>
  </r>
  <r>
    <n v="3772"/>
    <n v="2901"/>
    <n v="0.5"/>
    <x v="9"/>
    <d v="2024-10-21T00:00:00"/>
    <x v="0"/>
    <n v="18"/>
    <x v="3613"/>
    <x v="2"/>
    <x v="5"/>
    <n v="3"/>
    <n v="20"/>
    <n v="60"/>
    <n v="0"/>
  </r>
  <r>
    <n v="3773"/>
    <n v="2902"/>
    <n v="1"/>
    <x v="9"/>
    <d v="2024-10-21T00:00:00"/>
    <x v="0"/>
    <n v="16"/>
    <x v="3614"/>
    <x v="3"/>
    <x v="13"/>
    <n v="3"/>
    <n v="55"/>
    <n v="165"/>
    <n v="1"/>
  </r>
  <r>
    <n v="3774"/>
    <n v="2903"/>
    <n v="0.5"/>
    <x v="9"/>
    <d v="2024-10-21T00:00:00"/>
    <x v="0"/>
    <n v="11"/>
    <x v="3615"/>
    <x v="2"/>
    <x v="5"/>
    <n v="4"/>
    <n v="20"/>
    <n v="80"/>
    <n v="1"/>
  </r>
  <r>
    <n v="3775"/>
    <n v="2903"/>
    <n v="0.5"/>
    <x v="9"/>
    <d v="2024-10-21T00:00:00"/>
    <x v="0"/>
    <n v="11"/>
    <x v="3616"/>
    <x v="1"/>
    <x v="2"/>
    <n v="4"/>
    <n v="680"/>
    <n v="2720"/>
    <n v="0"/>
  </r>
  <r>
    <n v="3776"/>
    <n v="2904"/>
    <n v="0.33333333333333331"/>
    <x v="9"/>
    <d v="2024-10-21T00:00:00"/>
    <x v="0"/>
    <n v="19"/>
    <x v="3617"/>
    <x v="1"/>
    <x v="3"/>
    <n v="3"/>
    <n v="700"/>
    <n v="2100"/>
    <n v="1"/>
  </r>
  <r>
    <n v="3777"/>
    <n v="2904"/>
    <n v="0.33333333333333331"/>
    <x v="9"/>
    <d v="2024-10-21T00:00:00"/>
    <x v="0"/>
    <n v="18"/>
    <x v="3618"/>
    <x v="2"/>
    <x v="5"/>
    <n v="3"/>
    <n v="20"/>
    <n v="60"/>
    <n v="0"/>
  </r>
  <r>
    <n v="3778"/>
    <n v="2904"/>
    <n v="0.33333333333333331"/>
    <x v="9"/>
    <d v="2024-10-21T00:00:00"/>
    <x v="0"/>
    <n v="9"/>
    <x v="3619"/>
    <x v="1"/>
    <x v="2"/>
    <n v="5"/>
    <n v="680"/>
    <n v="3400"/>
    <n v="0"/>
  </r>
  <r>
    <n v="3779"/>
    <n v="2905"/>
    <n v="0.33333333333333331"/>
    <x v="9"/>
    <d v="2024-10-21T00:00:00"/>
    <x v="0"/>
    <n v="17"/>
    <x v="3620"/>
    <x v="2"/>
    <x v="11"/>
    <n v="5"/>
    <n v="35"/>
    <n v="175"/>
    <n v="1"/>
  </r>
  <r>
    <n v="3780"/>
    <n v="2905"/>
    <n v="0.33333333333333331"/>
    <x v="9"/>
    <d v="2024-10-21T00:00:00"/>
    <x v="0"/>
    <n v="15"/>
    <x v="778"/>
    <x v="1"/>
    <x v="12"/>
    <n v="1"/>
    <n v="1000"/>
    <n v="1000"/>
    <n v="0"/>
  </r>
  <r>
    <n v="3781"/>
    <n v="2905"/>
    <n v="0.33333333333333331"/>
    <x v="9"/>
    <d v="2024-10-21T00:00:00"/>
    <x v="0"/>
    <n v="20"/>
    <x v="3621"/>
    <x v="0"/>
    <x v="0"/>
    <n v="4"/>
    <n v="20"/>
    <n v="80"/>
    <n v="0"/>
  </r>
  <r>
    <n v="3782"/>
    <n v="2906"/>
    <n v="0.33333333333333331"/>
    <x v="9"/>
    <d v="2024-10-21T00:00:00"/>
    <x v="0"/>
    <n v="13"/>
    <x v="3622"/>
    <x v="3"/>
    <x v="18"/>
    <n v="5"/>
    <n v="45"/>
    <n v="225"/>
    <n v="1"/>
  </r>
  <r>
    <n v="3783"/>
    <n v="2906"/>
    <n v="0.33333333333333331"/>
    <x v="9"/>
    <d v="2024-10-21T00:00:00"/>
    <x v="0"/>
    <n v="14"/>
    <x v="3623"/>
    <x v="2"/>
    <x v="15"/>
    <n v="2"/>
    <n v="25"/>
    <n v="50"/>
    <n v="0"/>
  </r>
  <r>
    <n v="3784"/>
    <n v="2906"/>
    <n v="0.33333333333333331"/>
    <x v="9"/>
    <d v="2024-10-21T00:00:00"/>
    <x v="0"/>
    <n v="11"/>
    <x v="3624"/>
    <x v="0"/>
    <x v="8"/>
    <n v="4"/>
    <n v="10"/>
    <n v="40"/>
    <n v="0"/>
  </r>
  <r>
    <n v="3785"/>
    <n v="2907"/>
    <n v="0.5"/>
    <x v="9"/>
    <d v="2024-10-21T00:00:00"/>
    <x v="0"/>
    <n v="17"/>
    <x v="1312"/>
    <x v="2"/>
    <x v="11"/>
    <n v="5"/>
    <n v="35"/>
    <n v="175"/>
    <n v="1"/>
  </r>
  <r>
    <n v="3786"/>
    <n v="2907"/>
    <n v="0.5"/>
    <x v="9"/>
    <d v="2024-10-21T00:00:00"/>
    <x v="0"/>
    <n v="15"/>
    <x v="3625"/>
    <x v="3"/>
    <x v="14"/>
    <n v="4"/>
    <n v="40"/>
    <n v="160"/>
    <n v="0"/>
  </r>
  <r>
    <n v="3787"/>
    <n v="2908"/>
    <n v="0.5"/>
    <x v="9"/>
    <d v="2024-10-22T00:00:00"/>
    <x v="1"/>
    <n v="11"/>
    <x v="3626"/>
    <x v="3"/>
    <x v="13"/>
    <n v="1"/>
    <n v="55"/>
    <n v="55"/>
    <n v="1"/>
  </r>
  <r>
    <n v="3788"/>
    <n v="2908"/>
    <n v="0.5"/>
    <x v="9"/>
    <d v="2024-10-22T00:00:00"/>
    <x v="1"/>
    <n v="18"/>
    <x v="3627"/>
    <x v="0"/>
    <x v="8"/>
    <n v="2"/>
    <n v="10"/>
    <n v="20"/>
    <n v="0"/>
  </r>
  <r>
    <n v="3789"/>
    <n v="2909"/>
    <n v="1"/>
    <x v="9"/>
    <d v="2024-10-22T00:00:00"/>
    <x v="1"/>
    <n v="14"/>
    <x v="3628"/>
    <x v="0"/>
    <x v="16"/>
    <n v="3"/>
    <n v="5"/>
    <n v="15"/>
    <n v="1"/>
  </r>
  <r>
    <n v="3790"/>
    <n v="2910"/>
    <n v="0.5"/>
    <x v="9"/>
    <d v="2024-10-22T00:00:00"/>
    <x v="1"/>
    <n v="13"/>
    <x v="3629"/>
    <x v="3"/>
    <x v="17"/>
    <n v="3"/>
    <n v="60"/>
    <n v="180"/>
    <n v="1"/>
  </r>
  <r>
    <n v="3791"/>
    <n v="2910"/>
    <n v="0.5"/>
    <x v="9"/>
    <d v="2024-10-22T00:00:00"/>
    <x v="1"/>
    <n v="12"/>
    <x v="3630"/>
    <x v="0"/>
    <x v="8"/>
    <n v="1"/>
    <n v="10"/>
    <n v="10"/>
    <n v="0"/>
  </r>
  <r>
    <n v="3792"/>
    <n v="2911"/>
    <n v="1"/>
    <x v="9"/>
    <d v="2024-10-22T00:00:00"/>
    <x v="1"/>
    <n v="13"/>
    <x v="3631"/>
    <x v="1"/>
    <x v="2"/>
    <n v="2"/>
    <n v="680"/>
    <n v="1360"/>
    <n v="1"/>
  </r>
  <r>
    <n v="3793"/>
    <n v="2912"/>
    <n v="0.5"/>
    <x v="9"/>
    <d v="2024-10-22T00:00:00"/>
    <x v="1"/>
    <n v="15"/>
    <x v="3632"/>
    <x v="3"/>
    <x v="13"/>
    <n v="3"/>
    <n v="55"/>
    <n v="165"/>
    <n v="1"/>
  </r>
  <r>
    <n v="3794"/>
    <n v="2912"/>
    <n v="0.5"/>
    <x v="9"/>
    <d v="2024-10-22T00:00:00"/>
    <x v="1"/>
    <n v="19"/>
    <x v="3633"/>
    <x v="2"/>
    <x v="10"/>
    <n v="3"/>
    <n v="30"/>
    <n v="90"/>
    <n v="0"/>
  </r>
  <r>
    <n v="3795"/>
    <n v="2913"/>
    <n v="0.33333333333333331"/>
    <x v="9"/>
    <d v="2024-10-22T00:00:00"/>
    <x v="1"/>
    <n v="9"/>
    <x v="3634"/>
    <x v="3"/>
    <x v="6"/>
    <n v="1"/>
    <n v="50"/>
    <n v="50"/>
    <n v="1"/>
  </r>
  <r>
    <n v="3796"/>
    <n v="2913"/>
    <n v="0.33333333333333331"/>
    <x v="9"/>
    <d v="2024-10-22T00:00:00"/>
    <x v="1"/>
    <n v="15"/>
    <x v="3635"/>
    <x v="3"/>
    <x v="18"/>
    <n v="3"/>
    <n v="45"/>
    <n v="135"/>
    <n v="0"/>
  </r>
  <r>
    <n v="3797"/>
    <n v="2913"/>
    <n v="0.33333333333333331"/>
    <x v="9"/>
    <d v="2024-10-22T00:00:00"/>
    <x v="1"/>
    <n v="15"/>
    <x v="3636"/>
    <x v="1"/>
    <x v="3"/>
    <n v="3"/>
    <n v="700"/>
    <n v="2100"/>
    <n v="0"/>
  </r>
  <r>
    <n v="3798"/>
    <n v="2914"/>
    <n v="1"/>
    <x v="9"/>
    <d v="2024-10-22T00:00:00"/>
    <x v="1"/>
    <n v="19"/>
    <x v="3637"/>
    <x v="3"/>
    <x v="14"/>
    <n v="1"/>
    <n v="40"/>
    <n v="40"/>
    <n v="1"/>
  </r>
  <r>
    <n v="3799"/>
    <n v="2915"/>
    <n v="0.5"/>
    <x v="9"/>
    <d v="2024-10-22T00:00:00"/>
    <x v="1"/>
    <n v="20"/>
    <x v="3638"/>
    <x v="1"/>
    <x v="12"/>
    <n v="4"/>
    <n v="1000"/>
    <n v="4000"/>
    <n v="1"/>
  </r>
  <r>
    <n v="3800"/>
    <n v="2915"/>
    <n v="0.5"/>
    <x v="9"/>
    <d v="2024-10-22T00:00:00"/>
    <x v="1"/>
    <n v="17"/>
    <x v="3639"/>
    <x v="0"/>
    <x v="8"/>
    <n v="1"/>
    <n v="10"/>
    <n v="10"/>
    <n v="0"/>
  </r>
  <r>
    <n v="3801"/>
    <n v="2916"/>
    <n v="0.5"/>
    <x v="9"/>
    <d v="2024-10-22T00:00:00"/>
    <x v="1"/>
    <n v="19"/>
    <x v="3640"/>
    <x v="2"/>
    <x v="5"/>
    <n v="5"/>
    <n v="20"/>
    <n v="100"/>
    <n v="1"/>
  </r>
  <r>
    <n v="3802"/>
    <n v="2916"/>
    <n v="0.5"/>
    <x v="9"/>
    <d v="2024-10-22T00:00:00"/>
    <x v="1"/>
    <n v="13"/>
    <x v="3641"/>
    <x v="0"/>
    <x v="0"/>
    <n v="5"/>
    <n v="20"/>
    <n v="100"/>
    <n v="0"/>
  </r>
  <r>
    <n v="3803"/>
    <n v="2917"/>
    <n v="0.33333333333333331"/>
    <x v="9"/>
    <d v="2024-10-22T00:00:00"/>
    <x v="1"/>
    <n v="20"/>
    <x v="3642"/>
    <x v="3"/>
    <x v="17"/>
    <n v="5"/>
    <n v="60"/>
    <n v="300"/>
    <n v="1"/>
  </r>
  <r>
    <n v="3804"/>
    <n v="2917"/>
    <n v="0.33333333333333331"/>
    <x v="9"/>
    <d v="2024-10-22T00:00:00"/>
    <x v="1"/>
    <n v="16"/>
    <x v="3643"/>
    <x v="3"/>
    <x v="13"/>
    <n v="2"/>
    <n v="55"/>
    <n v="110"/>
    <n v="0"/>
  </r>
  <r>
    <n v="3805"/>
    <n v="2917"/>
    <n v="0.33333333333333331"/>
    <x v="9"/>
    <d v="2024-10-22T00:00:00"/>
    <x v="1"/>
    <n v="10"/>
    <x v="3644"/>
    <x v="0"/>
    <x v="16"/>
    <n v="3"/>
    <n v="5"/>
    <n v="15"/>
    <n v="0"/>
  </r>
  <r>
    <n v="3806"/>
    <n v="2918"/>
    <n v="1"/>
    <x v="9"/>
    <d v="2024-10-23T00:00:00"/>
    <x v="2"/>
    <n v="12"/>
    <x v="3645"/>
    <x v="2"/>
    <x v="5"/>
    <n v="4"/>
    <n v="20"/>
    <n v="80"/>
    <n v="1"/>
  </r>
  <r>
    <n v="3807"/>
    <n v="2919"/>
    <n v="1"/>
    <x v="9"/>
    <d v="2024-10-23T00:00:00"/>
    <x v="2"/>
    <n v="10"/>
    <x v="3646"/>
    <x v="3"/>
    <x v="18"/>
    <n v="3"/>
    <n v="45"/>
    <n v="135"/>
    <n v="1"/>
  </r>
  <r>
    <n v="3808"/>
    <n v="2920"/>
    <n v="1"/>
    <x v="9"/>
    <d v="2024-10-23T00:00:00"/>
    <x v="2"/>
    <n v="17"/>
    <x v="3647"/>
    <x v="2"/>
    <x v="5"/>
    <n v="2"/>
    <n v="20"/>
    <n v="40"/>
    <n v="1"/>
  </r>
  <r>
    <n v="3809"/>
    <n v="2921"/>
    <n v="0.5"/>
    <x v="9"/>
    <d v="2024-10-23T00:00:00"/>
    <x v="2"/>
    <n v="9"/>
    <x v="3648"/>
    <x v="2"/>
    <x v="10"/>
    <n v="5"/>
    <n v="30"/>
    <n v="150"/>
    <n v="1"/>
  </r>
  <r>
    <n v="3810"/>
    <n v="2921"/>
    <n v="0.5"/>
    <x v="9"/>
    <d v="2024-10-23T00:00:00"/>
    <x v="2"/>
    <n v="11"/>
    <x v="3649"/>
    <x v="3"/>
    <x v="14"/>
    <n v="5"/>
    <n v="40"/>
    <n v="200"/>
    <n v="0"/>
  </r>
  <r>
    <n v="3811"/>
    <n v="2922"/>
    <n v="0.33333333333333331"/>
    <x v="9"/>
    <d v="2024-10-23T00:00:00"/>
    <x v="2"/>
    <n v="20"/>
    <x v="3650"/>
    <x v="2"/>
    <x v="10"/>
    <n v="5"/>
    <n v="30"/>
    <n v="150"/>
    <n v="1"/>
  </r>
  <r>
    <n v="3812"/>
    <n v="2922"/>
    <n v="0.33333333333333331"/>
    <x v="9"/>
    <d v="2024-10-23T00:00:00"/>
    <x v="2"/>
    <n v="19"/>
    <x v="3651"/>
    <x v="2"/>
    <x v="10"/>
    <n v="4"/>
    <n v="30"/>
    <n v="120"/>
    <n v="0"/>
  </r>
  <r>
    <n v="3813"/>
    <n v="2922"/>
    <n v="0.33333333333333331"/>
    <x v="9"/>
    <d v="2024-10-23T00:00:00"/>
    <x v="2"/>
    <n v="14"/>
    <x v="3652"/>
    <x v="2"/>
    <x v="15"/>
    <n v="1"/>
    <n v="25"/>
    <n v="25"/>
    <n v="0"/>
  </r>
  <r>
    <n v="3814"/>
    <n v="2923"/>
    <n v="1"/>
    <x v="9"/>
    <d v="2024-10-23T00:00:00"/>
    <x v="2"/>
    <n v="14"/>
    <x v="3653"/>
    <x v="0"/>
    <x v="7"/>
    <n v="4"/>
    <n v="25"/>
    <n v="100"/>
    <n v="1"/>
  </r>
  <r>
    <n v="3815"/>
    <n v="2924"/>
    <n v="0.33333333333333331"/>
    <x v="9"/>
    <d v="2024-10-23T00:00:00"/>
    <x v="2"/>
    <n v="11"/>
    <x v="3654"/>
    <x v="2"/>
    <x v="15"/>
    <n v="5"/>
    <n v="25"/>
    <n v="125"/>
    <n v="1"/>
  </r>
  <r>
    <n v="3816"/>
    <n v="2924"/>
    <n v="0.33333333333333331"/>
    <x v="9"/>
    <d v="2024-10-23T00:00:00"/>
    <x v="2"/>
    <n v="10"/>
    <x v="3655"/>
    <x v="2"/>
    <x v="5"/>
    <n v="2"/>
    <n v="20"/>
    <n v="40"/>
    <n v="0"/>
  </r>
  <r>
    <n v="3817"/>
    <n v="2924"/>
    <n v="0.33333333333333331"/>
    <x v="9"/>
    <d v="2024-10-23T00:00:00"/>
    <x v="2"/>
    <n v="19"/>
    <x v="3026"/>
    <x v="1"/>
    <x v="4"/>
    <n v="5"/>
    <n v="600"/>
    <n v="3000"/>
    <n v="0"/>
  </r>
  <r>
    <n v="3818"/>
    <n v="2925"/>
    <n v="0.33333333333333331"/>
    <x v="9"/>
    <d v="2024-10-23T00:00:00"/>
    <x v="2"/>
    <n v="12"/>
    <x v="3656"/>
    <x v="2"/>
    <x v="10"/>
    <n v="3"/>
    <n v="30"/>
    <n v="90"/>
    <n v="1"/>
  </r>
  <r>
    <n v="3819"/>
    <n v="2925"/>
    <n v="0.33333333333333331"/>
    <x v="9"/>
    <d v="2024-10-23T00:00:00"/>
    <x v="2"/>
    <n v="13"/>
    <x v="3657"/>
    <x v="1"/>
    <x v="2"/>
    <n v="1"/>
    <n v="680"/>
    <n v="680"/>
    <n v="0"/>
  </r>
  <r>
    <n v="3820"/>
    <n v="2925"/>
    <n v="0.33333333333333331"/>
    <x v="9"/>
    <d v="2024-10-23T00:00:00"/>
    <x v="2"/>
    <n v="15"/>
    <x v="3658"/>
    <x v="1"/>
    <x v="1"/>
    <n v="3"/>
    <n v="650"/>
    <n v="1950"/>
    <n v="0"/>
  </r>
  <r>
    <n v="3821"/>
    <n v="2926"/>
    <n v="1"/>
    <x v="9"/>
    <d v="2024-10-24T00:00:00"/>
    <x v="3"/>
    <n v="20"/>
    <x v="3659"/>
    <x v="2"/>
    <x v="5"/>
    <n v="2"/>
    <n v="20"/>
    <n v="40"/>
    <n v="1"/>
  </r>
  <r>
    <n v="3822"/>
    <n v="2927"/>
    <n v="0.33333333333333331"/>
    <x v="9"/>
    <d v="2024-10-24T00:00:00"/>
    <x v="3"/>
    <n v="15"/>
    <x v="247"/>
    <x v="2"/>
    <x v="15"/>
    <n v="3"/>
    <n v="25"/>
    <n v="75"/>
    <n v="1"/>
  </r>
  <r>
    <n v="3823"/>
    <n v="2927"/>
    <n v="0.33333333333333331"/>
    <x v="9"/>
    <d v="2024-10-24T00:00:00"/>
    <x v="3"/>
    <n v="16"/>
    <x v="3602"/>
    <x v="0"/>
    <x v="16"/>
    <n v="5"/>
    <n v="5"/>
    <n v="25"/>
    <n v="0"/>
  </r>
  <r>
    <n v="3824"/>
    <n v="2927"/>
    <n v="0.33333333333333331"/>
    <x v="9"/>
    <d v="2024-10-24T00:00:00"/>
    <x v="3"/>
    <n v="17"/>
    <x v="3660"/>
    <x v="2"/>
    <x v="10"/>
    <n v="4"/>
    <n v="30"/>
    <n v="120"/>
    <n v="0"/>
  </r>
  <r>
    <n v="3825"/>
    <n v="2928"/>
    <n v="0.5"/>
    <x v="9"/>
    <d v="2024-10-24T00:00:00"/>
    <x v="3"/>
    <n v="11"/>
    <x v="3661"/>
    <x v="3"/>
    <x v="18"/>
    <n v="1"/>
    <n v="45"/>
    <n v="45"/>
    <n v="1"/>
  </r>
  <r>
    <n v="3826"/>
    <n v="2928"/>
    <n v="0.5"/>
    <x v="9"/>
    <d v="2024-10-24T00:00:00"/>
    <x v="3"/>
    <n v="11"/>
    <x v="3662"/>
    <x v="1"/>
    <x v="2"/>
    <n v="5"/>
    <n v="680"/>
    <n v="3400"/>
    <n v="0"/>
  </r>
  <r>
    <n v="3827"/>
    <n v="2929"/>
    <n v="0.33333333333333331"/>
    <x v="9"/>
    <d v="2024-10-24T00:00:00"/>
    <x v="3"/>
    <n v="12"/>
    <x v="3663"/>
    <x v="3"/>
    <x v="17"/>
    <n v="5"/>
    <n v="60"/>
    <n v="300"/>
    <n v="1"/>
  </r>
  <r>
    <n v="3828"/>
    <n v="2929"/>
    <n v="0.33333333333333331"/>
    <x v="9"/>
    <d v="2024-10-24T00:00:00"/>
    <x v="3"/>
    <n v="9"/>
    <x v="3664"/>
    <x v="1"/>
    <x v="4"/>
    <n v="4"/>
    <n v="600"/>
    <n v="2400"/>
    <n v="0"/>
  </r>
  <r>
    <n v="3829"/>
    <n v="2929"/>
    <n v="0.33333333333333331"/>
    <x v="9"/>
    <d v="2024-10-24T00:00:00"/>
    <x v="3"/>
    <n v="19"/>
    <x v="3665"/>
    <x v="0"/>
    <x v="0"/>
    <n v="1"/>
    <n v="20"/>
    <n v="20"/>
    <n v="0"/>
  </r>
  <r>
    <n v="3830"/>
    <n v="2930"/>
    <n v="0.5"/>
    <x v="9"/>
    <d v="2024-10-24T00:00:00"/>
    <x v="3"/>
    <n v="16"/>
    <x v="3666"/>
    <x v="0"/>
    <x v="8"/>
    <n v="3"/>
    <n v="10"/>
    <n v="30"/>
    <n v="1"/>
  </r>
  <r>
    <n v="3831"/>
    <n v="2930"/>
    <n v="0.5"/>
    <x v="9"/>
    <d v="2024-10-24T00:00:00"/>
    <x v="3"/>
    <n v="13"/>
    <x v="3667"/>
    <x v="0"/>
    <x v="8"/>
    <n v="4"/>
    <n v="10"/>
    <n v="40"/>
    <n v="0"/>
  </r>
  <r>
    <n v="3832"/>
    <n v="2931"/>
    <n v="0.5"/>
    <x v="9"/>
    <d v="2024-10-24T00:00:00"/>
    <x v="3"/>
    <n v="12"/>
    <x v="3668"/>
    <x v="3"/>
    <x v="17"/>
    <n v="5"/>
    <n v="60"/>
    <n v="300"/>
    <n v="1"/>
  </r>
  <r>
    <n v="3833"/>
    <n v="2931"/>
    <n v="0.5"/>
    <x v="9"/>
    <d v="2024-10-24T00:00:00"/>
    <x v="3"/>
    <n v="13"/>
    <x v="3669"/>
    <x v="3"/>
    <x v="13"/>
    <n v="1"/>
    <n v="55"/>
    <n v="55"/>
    <n v="0"/>
  </r>
  <r>
    <n v="3834"/>
    <n v="2932"/>
    <n v="0.5"/>
    <x v="9"/>
    <d v="2024-10-25T00:00:00"/>
    <x v="4"/>
    <n v="13"/>
    <x v="3670"/>
    <x v="1"/>
    <x v="1"/>
    <n v="2"/>
    <n v="650"/>
    <n v="1300"/>
    <n v="1"/>
  </r>
  <r>
    <n v="3835"/>
    <n v="2932"/>
    <n v="0.5"/>
    <x v="9"/>
    <d v="2024-10-25T00:00:00"/>
    <x v="4"/>
    <n v="11"/>
    <x v="3671"/>
    <x v="1"/>
    <x v="2"/>
    <n v="5"/>
    <n v="680"/>
    <n v="3400"/>
    <n v="0"/>
  </r>
  <r>
    <n v="3836"/>
    <n v="2933"/>
    <n v="1"/>
    <x v="9"/>
    <d v="2024-10-25T00:00:00"/>
    <x v="4"/>
    <n v="18"/>
    <x v="3672"/>
    <x v="3"/>
    <x v="18"/>
    <n v="3"/>
    <n v="45"/>
    <n v="135"/>
    <n v="1"/>
  </r>
  <r>
    <n v="3837"/>
    <n v="2934"/>
    <n v="0.33333333333333331"/>
    <x v="9"/>
    <d v="2024-10-25T00:00:00"/>
    <x v="4"/>
    <n v="17"/>
    <x v="3673"/>
    <x v="2"/>
    <x v="5"/>
    <n v="4"/>
    <n v="20"/>
    <n v="80"/>
    <n v="1"/>
  </r>
  <r>
    <n v="3838"/>
    <n v="2934"/>
    <n v="0.33333333333333331"/>
    <x v="9"/>
    <d v="2024-10-25T00:00:00"/>
    <x v="4"/>
    <n v="20"/>
    <x v="3674"/>
    <x v="1"/>
    <x v="12"/>
    <n v="1"/>
    <n v="1000"/>
    <n v="1000"/>
    <n v="0"/>
  </r>
  <r>
    <n v="3839"/>
    <n v="2934"/>
    <n v="0.33333333333333331"/>
    <x v="9"/>
    <d v="2024-10-25T00:00:00"/>
    <x v="4"/>
    <n v="17"/>
    <x v="3675"/>
    <x v="1"/>
    <x v="1"/>
    <n v="2"/>
    <n v="650"/>
    <n v="1300"/>
    <n v="0"/>
  </r>
  <r>
    <n v="3840"/>
    <n v="2935"/>
    <n v="0.5"/>
    <x v="9"/>
    <d v="2024-10-25T00:00:00"/>
    <x v="4"/>
    <n v="11"/>
    <x v="3676"/>
    <x v="2"/>
    <x v="5"/>
    <n v="2"/>
    <n v="20"/>
    <n v="40"/>
    <n v="1"/>
  </r>
  <r>
    <n v="3841"/>
    <n v="2935"/>
    <n v="0.5"/>
    <x v="9"/>
    <d v="2024-10-25T00:00:00"/>
    <x v="4"/>
    <n v="19"/>
    <x v="3677"/>
    <x v="3"/>
    <x v="18"/>
    <n v="5"/>
    <n v="45"/>
    <n v="225"/>
    <n v="0"/>
  </r>
  <r>
    <n v="3842"/>
    <n v="2936"/>
    <n v="0.33333333333333331"/>
    <x v="9"/>
    <d v="2024-10-25T00:00:00"/>
    <x v="4"/>
    <n v="10"/>
    <x v="3678"/>
    <x v="1"/>
    <x v="3"/>
    <n v="1"/>
    <n v="700"/>
    <n v="700"/>
    <n v="1"/>
  </r>
  <r>
    <n v="3843"/>
    <n v="2936"/>
    <n v="0.33333333333333331"/>
    <x v="9"/>
    <d v="2024-10-25T00:00:00"/>
    <x v="4"/>
    <n v="20"/>
    <x v="3679"/>
    <x v="0"/>
    <x v="7"/>
    <n v="5"/>
    <n v="25"/>
    <n v="125"/>
    <n v="0"/>
  </r>
  <r>
    <n v="3844"/>
    <n v="2936"/>
    <n v="0.33333333333333331"/>
    <x v="9"/>
    <d v="2024-10-25T00:00:00"/>
    <x v="4"/>
    <n v="19"/>
    <x v="3680"/>
    <x v="1"/>
    <x v="4"/>
    <n v="1"/>
    <n v="600"/>
    <n v="600"/>
    <n v="0"/>
  </r>
  <r>
    <n v="3845"/>
    <n v="2937"/>
    <n v="0.5"/>
    <x v="9"/>
    <d v="2024-10-25T00:00:00"/>
    <x v="4"/>
    <n v="18"/>
    <x v="3681"/>
    <x v="1"/>
    <x v="2"/>
    <n v="1"/>
    <n v="680"/>
    <n v="680"/>
    <n v="1"/>
  </r>
  <r>
    <n v="3846"/>
    <n v="2937"/>
    <n v="0.5"/>
    <x v="9"/>
    <d v="2024-10-25T00:00:00"/>
    <x v="4"/>
    <n v="10"/>
    <x v="3682"/>
    <x v="3"/>
    <x v="13"/>
    <n v="1"/>
    <n v="55"/>
    <n v="55"/>
    <n v="0"/>
  </r>
  <r>
    <n v="3847"/>
    <n v="2938"/>
    <n v="0.5"/>
    <x v="9"/>
    <d v="2024-10-25T00:00:00"/>
    <x v="4"/>
    <n v="20"/>
    <x v="3683"/>
    <x v="3"/>
    <x v="18"/>
    <n v="2"/>
    <n v="45"/>
    <n v="90"/>
    <n v="1"/>
  </r>
  <r>
    <n v="3848"/>
    <n v="2938"/>
    <n v="0.5"/>
    <x v="9"/>
    <d v="2024-10-25T00:00:00"/>
    <x v="4"/>
    <n v="13"/>
    <x v="3684"/>
    <x v="1"/>
    <x v="3"/>
    <n v="4"/>
    <n v="700"/>
    <n v="2800"/>
    <n v="0"/>
  </r>
  <r>
    <n v="3849"/>
    <n v="2939"/>
    <n v="0.33333333333333331"/>
    <x v="9"/>
    <d v="2024-10-25T00:00:00"/>
    <x v="4"/>
    <n v="19"/>
    <x v="3685"/>
    <x v="0"/>
    <x v="9"/>
    <n v="5"/>
    <n v="15"/>
    <n v="75"/>
    <n v="1"/>
  </r>
  <r>
    <n v="3850"/>
    <n v="2939"/>
    <n v="0.33333333333333331"/>
    <x v="9"/>
    <d v="2024-10-25T00:00:00"/>
    <x v="4"/>
    <n v="16"/>
    <x v="3686"/>
    <x v="2"/>
    <x v="10"/>
    <n v="5"/>
    <n v="30"/>
    <n v="150"/>
    <n v="0"/>
  </r>
  <r>
    <n v="3851"/>
    <n v="2939"/>
    <n v="0.33333333333333331"/>
    <x v="9"/>
    <d v="2024-10-25T00:00:00"/>
    <x v="4"/>
    <n v="11"/>
    <x v="3687"/>
    <x v="0"/>
    <x v="0"/>
    <n v="5"/>
    <n v="20"/>
    <n v="100"/>
    <n v="0"/>
  </r>
  <r>
    <n v="3852"/>
    <n v="2940"/>
    <n v="1"/>
    <x v="9"/>
    <d v="2024-10-25T00:00:00"/>
    <x v="4"/>
    <n v="19"/>
    <x v="3688"/>
    <x v="1"/>
    <x v="2"/>
    <n v="1"/>
    <n v="680"/>
    <n v="680"/>
    <n v="1"/>
  </r>
  <r>
    <n v="3853"/>
    <n v="2941"/>
    <n v="0.33333333333333331"/>
    <x v="9"/>
    <d v="2024-10-26T00:00:00"/>
    <x v="5"/>
    <n v="13"/>
    <x v="3689"/>
    <x v="1"/>
    <x v="1"/>
    <n v="3"/>
    <n v="650"/>
    <n v="1950"/>
    <n v="1"/>
  </r>
  <r>
    <n v="3854"/>
    <n v="2941"/>
    <n v="0.33333333333333331"/>
    <x v="9"/>
    <d v="2024-10-26T00:00:00"/>
    <x v="5"/>
    <n v="17"/>
    <x v="3690"/>
    <x v="0"/>
    <x v="7"/>
    <n v="5"/>
    <n v="25"/>
    <n v="125"/>
    <n v="0"/>
  </r>
  <r>
    <n v="3855"/>
    <n v="2941"/>
    <n v="0.33333333333333331"/>
    <x v="9"/>
    <d v="2024-10-26T00:00:00"/>
    <x v="5"/>
    <n v="11"/>
    <x v="3691"/>
    <x v="1"/>
    <x v="3"/>
    <n v="4"/>
    <n v="700"/>
    <n v="2800"/>
    <n v="0"/>
  </r>
  <r>
    <n v="3856"/>
    <n v="2942"/>
    <n v="1"/>
    <x v="9"/>
    <d v="2024-10-26T00:00:00"/>
    <x v="5"/>
    <n v="9"/>
    <x v="3692"/>
    <x v="3"/>
    <x v="13"/>
    <n v="2"/>
    <n v="55"/>
    <n v="110"/>
    <n v="1"/>
  </r>
  <r>
    <n v="3857"/>
    <n v="2943"/>
    <n v="0.33333333333333331"/>
    <x v="9"/>
    <d v="2024-10-26T00:00:00"/>
    <x v="5"/>
    <n v="18"/>
    <x v="3693"/>
    <x v="1"/>
    <x v="3"/>
    <n v="1"/>
    <n v="700"/>
    <n v="700"/>
    <n v="1"/>
  </r>
  <r>
    <n v="3858"/>
    <n v="2943"/>
    <n v="0.33333333333333331"/>
    <x v="9"/>
    <d v="2024-10-26T00:00:00"/>
    <x v="5"/>
    <n v="18"/>
    <x v="3694"/>
    <x v="2"/>
    <x v="10"/>
    <n v="1"/>
    <n v="30"/>
    <n v="30"/>
    <n v="0"/>
  </r>
  <r>
    <n v="3859"/>
    <n v="2943"/>
    <n v="0.33333333333333331"/>
    <x v="9"/>
    <d v="2024-10-26T00:00:00"/>
    <x v="5"/>
    <n v="13"/>
    <x v="3695"/>
    <x v="0"/>
    <x v="0"/>
    <n v="5"/>
    <n v="20"/>
    <n v="100"/>
    <n v="0"/>
  </r>
  <r>
    <n v="3860"/>
    <n v="2944"/>
    <n v="0.5"/>
    <x v="9"/>
    <d v="2024-10-26T00:00:00"/>
    <x v="5"/>
    <n v="10"/>
    <x v="3696"/>
    <x v="3"/>
    <x v="17"/>
    <n v="3"/>
    <n v="60"/>
    <n v="180"/>
    <n v="1"/>
  </r>
  <r>
    <n v="3861"/>
    <n v="2944"/>
    <n v="0.5"/>
    <x v="9"/>
    <d v="2024-10-26T00:00:00"/>
    <x v="5"/>
    <n v="20"/>
    <x v="3697"/>
    <x v="3"/>
    <x v="14"/>
    <n v="1"/>
    <n v="40"/>
    <n v="40"/>
    <n v="0"/>
  </r>
  <r>
    <n v="3862"/>
    <n v="2945"/>
    <n v="0.5"/>
    <x v="9"/>
    <d v="2024-10-26T00:00:00"/>
    <x v="5"/>
    <n v="9"/>
    <x v="3698"/>
    <x v="0"/>
    <x v="9"/>
    <n v="4"/>
    <n v="15"/>
    <n v="60"/>
    <n v="1"/>
  </r>
  <r>
    <n v="3863"/>
    <n v="2945"/>
    <n v="0.5"/>
    <x v="9"/>
    <d v="2024-10-26T00:00:00"/>
    <x v="5"/>
    <n v="9"/>
    <x v="3699"/>
    <x v="2"/>
    <x v="15"/>
    <n v="4"/>
    <n v="25"/>
    <n v="100"/>
    <n v="0"/>
  </r>
  <r>
    <n v="3864"/>
    <n v="2946"/>
    <n v="1"/>
    <x v="9"/>
    <d v="2024-10-26T00:00:00"/>
    <x v="5"/>
    <n v="11"/>
    <x v="3700"/>
    <x v="2"/>
    <x v="11"/>
    <n v="1"/>
    <n v="35"/>
    <n v="35"/>
    <n v="1"/>
  </r>
  <r>
    <n v="3865"/>
    <n v="2947"/>
    <n v="0.33333333333333331"/>
    <x v="9"/>
    <d v="2024-10-26T00:00:00"/>
    <x v="5"/>
    <n v="20"/>
    <x v="3701"/>
    <x v="1"/>
    <x v="4"/>
    <n v="2"/>
    <n v="600"/>
    <n v="1200"/>
    <n v="1"/>
  </r>
  <r>
    <n v="3866"/>
    <n v="2947"/>
    <n v="0.33333333333333331"/>
    <x v="9"/>
    <d v="2024-10-26T00:00:00"/>
    <x v="5"/>
    <n v="17"/>
    <x v="3702"/>
    <x v="1"/>
    <x v="2"/>
    <n v="5"/>
    <n v="680"/>
    <n v="3400"/>
    <n v="0"/>
  </r>
  <r>
    <n v="3867"/>
    <n v="2947"/>
    <n v="0.33333333333333331"/>
    <x v="9"/>
    <d v="2024-10-26T00:00:00"/>
    <x v="5"/>
    <n v="18"/>
    <x v="3703"/>
    <x v="1"/>
    <x v="3"/>
    <n v="2"/>
    <n v="700"/>
    <n v="1400"/>
    <n v="0"/>
  </r>
  <r>
    <n v="3868"/>
    <n v="2948"/>
    <n v="1"/>
    <x v="9"/>
    <d v="2024-10-26T00:00:00"/>
    <x v="5"/>
    <n v="18"/>
    <x v="3704"/>
    <x v="0"/>
    <x v="7"/>
    <n v="2"/>
    <n v="25"/>
    <n v="50"/>
    <n v="1"/>
  </r>
  <r>
    <n v="3869"/>
    <n v="2949"/>
    <n v="0.33333333333333331"/>
    <x v="9"/>
    <d v="2024-10-26T00:00:00"/>
    <x v="5"/>
    <n v="17"/>
    <x v="3705"/>
    <x v="2"/>
    <x v="11"/>
    <n v="1"/>
    <n v="35"/>
    <n v="35"/>
    <n v="1"/>
  </r>
  <r>
    <n v="3870"/>
    <n v="2949"/>
    <n v="0.33333333333333331"/>
    <x v="9"/>
    <d v="2024-10-26T00:00:00"/>
    <x v="5"/>
    <n v="17"/>
    <x v="3706"/>
    <x v="3"/>
    <x v="18"/>
    <n v="4"/>
    <n v="45"/>
    <n v="180"/>
    <n v="0"/>
  </r>
  <r>
    <n v="3871"/>
    <n v="2949"/>
    <n v="0.33333333333333331"/>
    <x v="9"/>
    <d v="2024-10-26T00:00:00"/>
    <x v="5"/>
    <n v="12"/>
    <x v="3707"/>
    <x v="1"/>
    <x v="4"/>
    <n v="5"/>
    <n v="600"/>
    <n v="3000"/>
    <n v="0"/>
  </r>
  <r>
    <n v="3872"/>
    <n v="2950"/>
    <n v="1"/>
    <x v="9"/>
    <d v="2024-10-26T00:00:00"/>
    <x v="5"/>
    <n v="9"/>
    <x v="3708"/>
    <x v="0"/>
    <x v="16"/>
    <n v="4"/>
    <n v="5"/>
    <n v="20"/>
    <n v="1"/>
  </r>
  <r>
    <n v="3873"/>
    <n v="2951"/>
    <n v="0.5"/>
    <x v="9"/>
    <d v="2024-10-27T00:00:00"/>
    <x v="6"/>
    <n v="19"/>
    <x v="3709"/>
    <x v="0"/>
    <x v="16"/>
    <n v="2"/>
    <n v="5"/>
    <n v="10"/>
    <n v="1"/>
  </r>
  <r>
    <n v="3874"/>
    <n v="2951"/>
    <n v="0.5"/>
    <x v="9"/>
    <d v="2024-10-27T00:00:00"/>
    <x v="6"/>
    <n v="9"/>
    <x v="3710"/>
    <x v="2"/>
    <x v="10"/>
    <n v="4"/>
    <n v="30"/>
    <n v="120"/>
    <n v="0"/>
  </r>
  <r>
    <n v="3875"/>
    <n v="2952"/>
    <n v="0.5"/>
    <x v="9"/>
    <d v="2024-10-27T00:00:00"/>
    <x v="6"/>
    <n v="13"/>
    <x v="3711"/>
    <x v="0"/>
    <x v="9"/>
    <n v="3"/>
    <n v="15"/>
    <n v="45"/>
    <n v="1"/>
  </r>
  <r>
    <n v="3876"/>
    <n v="2952"/>
    <n v="0.5"/>
    <x v="9"/>
    <d v="2024-10-27T00:00:00"/>
    <x v="6"/>
    <n v="14"/>
    <x v="3712"/>
    <x v="2"/>
    <x v="5"/>
    <n v="5"/>
    <n v="20"/>
    <n v="100"/>
    <n v="0"/>
  </r>
  <r>
    <n v="3877"/>
    <n v="2953"/>
    <n v="0.33333333333333331"/>
    <x v="9"/>
    <d v="2024-10-27T00:00:00"/>
    <x v="6"/>
    <n v="12"/>
    <x v="3713"/>
    <x v="2"/>
    <x v="15"/>
    <n v="4"/>
    <n v="25"/>
    <n v="100"/>
    <n v="1"/>
  </r>
  <r>
    <n v="3878"/>
    <n v="2953"/>
    <n v="0.33333333333333331"/>
    <x v="9"/>
    <d v="2024-10-27T00:00:00"/>
    <x v="6"/>
    <n v="13"/>
    <x v="3714"/>
    <x v="0"/>
    <x v="7"/>
    <n v="2"/>
    <n v="25"/>
    <n v="50"/>
    <n v="0"/>
  </r>
  <r>
    <n v="3879"/>
    <n v="2953"/>
    <n v="0.33333333333333331"/>
    <x v="9"/>
    <d v="2024-10-27T00:00:00"/>
    <x v="6"/>
    <n v="18"/>
    <x v="2125"/>
    <x v="1"/>
    <x v="12"/>
    <n v="5"/>
    <n v="1000"/>
    <n v="5000"/>
    <n v="0"/>
  </r>
  <r>
    <n v="3880"/>
    <n v="2954"/>
    <n v="0.33333333333333331"/>
    <x v="9"/>
    <d v="2024-10-27T00:00:00"/>
    <x v="6"/>
    <n v="9"/>
    <x v="3715"/>
    <x v="2"/>
    <x v="11"/>
    <n v="2"/>
    <n v="35"/>
    <n v="70"/>
    <n v="1"/>
  </r>
  <r>
    <n v="3881"/>
    <n v="2954"/>
    <n v="0.33333333333333331"/>
    <x v="9"/>
    <d v="2024-10-27T00:00:00"/>
    <x v="6"/>
    <n v="16"/>
    <x v="3716"/>
    <x v="1"/>
    <x v="4"/>
    <n v="4"/>
    <n v="600"/>
    <n v="2400"/>
    <n v="0"/>
  </r>
  <r>
    <n v="3882"/>
    <n v="2954"/>
    <n v="0.33333333333333331"/>
    <x v="9"/>
    <d v="2024-10-27T00:00:00"/>
    <x v="6"/>
    <n v="9"/>
    <x v="3717"/>
    <x v="3"/>
    <x v="6"/>
    <n v="4"/>
    <n v="50"/>
    <n v="200"/>
    <n v="0"/>
  </r>
  <r>
    <n v="3883"/>
    <n v="2955"/>
    <n v="0.5"/>
    <x v="9"/>
    <d v="2024-10-27T00:00:00"/>
    <x v="6"/>
    <n v="18"/>
    <x v="3718"/>
    <x v="3"/>
    <x v="6"/>
    <n v="2"/>
    <n v="50"/>
    <n v="100"/>
    <n v="1"/>
  </r>
  <r>
    <n v="3884"/>
    <n v="2955"/>
    <n v="0.5"/>
    <x v="9"/>
    <d v="2024-10-27T00:00:00"/>
    <x v="6"/>
    <n v="20"/>
    <x v="3719"/>
    <x v="2"/>
    <x v="15"/>
    <n v="4"/>
    <n v="25"/>
    <n v="100"/>
    <n v="0"/>
  </r>
  <r>
    <n v="3885"/>
    <n v="2956"/>
    <n v="0.33333333333333331"/>
    <x v="9"/>
    <d v="2024-10-27T00:00:00"/>
    <x v="6"/>
    <n v="16"/>
    <x v="3720"/>
    <x v="0"/>
    <x v="9"/>
    <n v="5"/>
    <n v="15"/>
    <n v="75"/>
    <n v="1"/>
  </r>
  <r>
    <n v="3886"/>
    <n v="2956"/>
    <n v="0.33333333333333331"/>
    <x v="9"/>
    <d v="2024-10-27T00:00:00"/>
    <x v="6"/>
    <n v="12"/>
    <x v="3721"/>
    <x v="3"/>
    <x v="18"/>
    <n v="2"/>
    <n v="45"/>
    <n v="90"/>
    <n v="0"/>
  </r>
  <r>
    <n v="3887"/>
    <n v="2956"/>
    <n v="0.33333333333333331"/>
    <x v="9"/>
    <d v="2024-10-27T00:00:00"/>
    <x v="6"/>
    <n v="16"/>
    <x v="3722"/>
    <x v="3"/>
    <x v="13"/>
    <n v="5"/>
    <n v="55"/>
    <n v="275"/>
    <n v="0"/>
  </r>
  <r>
    <n v="3888"/>
    <n v="2957"/>
    <n v="0.33333333333333331"/>
    <x v="9"/>
    <d v="2024-10-27T00:00:00"/>
    <x v="6"/>
    <n v="9"/>
    <x v="3723"/>
    <x v="0"/>
    <x v="9"/>
    <n v="2"/>
    <n v="15"/>
    <n v="30"/>
    <n v="1"/>
  </r>
  <r>
    <n v="3889"/>
    <n v="2957"/>
    <n v="0.33333333333333331"/>
    <x v="9"/>
    <d v="2024-10-27T00:00:00"/>
    <x v="6"/>
    <n v="12"/>
    <x v="3724"/>
    <x v="1"/>
    <x v="3"/>
    <n v="2"/>
    <n v="700"/>
    <n v="1400"/>
    <n v="0"/>
  </r>
  <r>
    <n v="3890"/>
    <n v="2957"/>
    <n v="0.33333333333333331"/>
    <x v="9"/>
    <d v="2024-10-27T00:00:00"/>
    <x v="6"/>
    <n v="15"/>
    <x v="3725"/>
    <x v="2"/>
    <x v="5"/>
    <n v="5"/>
    <n v="20"/>
    <n v="100"/>
    <n v="0"/>
  </r>
  <r>
    <n v="3891"/>
    <n v="2958"/>
    <n v="0.5"/>
    <x v="9"/>
    <d v="2024-10-27T00:00:00"/>
    <x v="6"/>
    <n v="10"/>
    <x v="1355"/>
    <x v="1"/>
    <x v="2"/>
    <n v="4"/>
    <n v="680"/>
    <n v="2720"/>
    <n v="1"/>
  </r>
  <r>
    <n v="3892"/>
    <n v="2958"/>
    <n v="0.5"/>
    <x v="9"/>
    <d v="2024-10-27T00:00:00"/>
    <x v="6"/>
    <n v="13"/>
    <x v="3726"/>
    <x v="1"/>
    <x v="2"/>
    <n v="1"/>
    <n v="680"/>
    <n v="680"/>
    <n v="0"/>
  </r>
  <r>
    <n v="3893"/>
    <n v="2959"/>
    <n v="0.33333333333333331"/>
    <x v="9"/>
    <d v="2024-10-27T00:00:00"/>
    <x v="6"/>
    <n v="10"/>
    <x v="3727"/>
    <x v="1"/>
    <x v="4"/>
    <n v="4"/>
    <n v="600"/>
    <n v="2400"/>
    <n v="1"/>
  </r>
  <r>
    <n v="3894"/>
    <n v="2959"/>
    <n v="0.33333333333333331"/>
    <x v="9"/>
    <d v="2024-10-27T00:00:00"/>
    <x v="6"/>
    <n v="9"/>
    <x v="3548"/>
    <x v="2"/>
    <x v="15"/>
    <n v="3"/>
    <n v="25"/>
    <n v="75"/>
    <n v="0"/>
  </r>
  <r>
    <n v="3895"/>
    <n v="2959"/>
    <n v="0.33333333333333331"/>
    <x v="9"/>
    <d v="2024-10-27T00:00:00"/>
    <x v="6"/>
    <n v="11"/>
    <x v="3728"/>
    <x v="1"/>
    <x v="2"/>
    <n v="4"/>
    <n v="680"/>
    <n v="2720"/>
    <n v="0"/>
  </r>
  <r>
    <n v="3896"/>
    <n v="2960"/>
    <n v="1"/>
    <x v="9"/>
    <d v="2024-10-28T00:00:00"/>
    <x v="0"/>
    <n v="10"/>
    <x v="3729"/>
    <x v="3"/>
    <x v="6"/>
    <n v="4"/>
    <n v="50"/>
    <n v="200"/>
    <n v="1"/>
  </r>
  <r>
    <n v="3897"/>
    <n v="2961"/>
    <n v="0.5"/>
    <x v="9"/>
    <d v="2024-10-28T00:00:00"/>
    <x v="0"/>
    <n v="17"/>
    <x v="3730"/>
    <x v="1"/>
    <x v="2"/>
    <n v="3"/>
    <n v="680"/>
    <n v="2040"/>
    <n v="1"/>
  </r>
  <r>
    <n v="3898"/>
    <n v="2961"/>
    <n v="0.5"/>
    <x v="9"/>
    <d v="2024-10-28T00:00:00"/>
    <x v="0"/>
    <n v="19"/>
    <x v="3731"/>
    <x v="2"/>
    <x v="11"/>
    <n v="1"/>
    <n v="35"/>
    <n v="35"/>
    <n v="0"/>
  </r>
  <r>
    <n v="3899"/>
    <n v="2962"/>
    <n v="1"/>
    <x v="9"/>
    <d v="2024-10-28T00:00:00"/>
    <x v="0"/>
    <n v="20"/>
    <x v="1123"/>
    <x v="1"/>
    <x v="2"/>
    <n v="2"/>
    <n v="680"/>
    <n v="1360"/>
    <n v="1"/>
  </r>
  <r>
    <n v="3900"/>
    <n v="2963"/>
    <n v="1"/>
    <x v="9"/>
    <d v="2024-10-28T00:00:00"/>
    <x v="0"/>
    <n v="9"/>
    <x v="3732"/>
    <x v="1"/>
    <x v="4"/>
    <n v="4"/>
    <n v="600"/>
    <n v="2400"/>
    <n v="1"/>
  </r>
  <r>
    <n v="3901"/>
    <n v="2964"/>
    <n v="1"/>
    <x v="9"/>
    <d v="2024-10-29T00:00:00"/>
    <x v="1"/>
    <n v="18"/>
    <x v="3733"/>
    <x v="0"/>
    <x v="7"/>
    <n v="1"/>
    <n v="25"/>
    <n v="25"/>
    <n v="1"/>
  </r>
  <r>
    <n v="3902"/>
    <n v="2965"/>
    <n v="1"/>
    <x v="9"/>
    <d v="2024-10-29T00:00:00"/>
    <x v="1"/>
    <n v="16"/>
    <x v="3734"/>
    <x v="0"/>
    <x v="0"/>
    <n v="2"/>
    <n v="20"/>
    <n v="40"/>
    <n v="1"/>
  </r>
  <r>
    <n v="3903"/>
    <n v="2966"/>
    <n v="0.33333333333333331"/>
    <x v="9"/>
    <d v="2024-10-29T00:00:00"/>
    <x v="1"/>
    <n v="14"/>
    <x v="3735"/>
    <x v="3"/>
    <x v="14"/>
    <n v="2"/>
    <n v="40"/>
    <n v="80"/>
    <n v="1"/>
  </r>
  <r>
    <n v="3904"/>
    <n v="2966"/>
    <n v="0.33333333333333331"/>
    <x v="9"/>
    <d v="2024-10-29T00:00:00"/>
    <x v="1"/>
    <n v="10"/>
    <x v="3736"/>
    <x v="1"/>
    <x v="2"/>
    <n v="1"/>
    <n v="680"/>
    <n v="680"/>
    <n v="0"/>
  </r>
  <r>
    <n v="3905"/>
    <n v="2966"/>
    <n v="0.33333333333333331"/>
    <x v="9"/>
    <d v="2024-10-29T00:00:00"/>
    <x v="1"/>
    <n v="11"/>
    <x v="3737"/>
    <x v="3"/>
    <x v="14"/>
    <n v="2"/>
    <n v="40"/>
    <n v="80"/>
    <n v="0"/>
  </r>
  <r>
    <n v="3906"/>
    <n v="2967"/>
    <n v="1"/>
    <x v="9"/>
    <d v="2024-10-29T00:00:00"/>
    <x v="1"/>
    <n v="10"/>
    <x v="3738"/>
    <x v="1"/>
    <x v="3"/>
    <n v="4"/>
    <n v="700"/>
    <n v="2800"/>
    <n v="1"/>
  </r>
  <r>
    <n v="3907"/>
    <n v="2968"/>
    <n v="0.5"/>
    <x v="9"/>
    <d v="2024-10-29T00:00:00"/>
    <x v="1"/>
    <n v="18"/>
    <x v="2153"/>
    <x v="2"/>
    <x v="10"/>
    <n v="3"/>
    <n v="30"/>
    <n v="90"/>
    <n v="1"/>
  </r>
  <r>
    <n v="3908"/>
    <n v="2968"/>
    <n v="0.5"/>
    <x v="9"/>
    <d v="2024-10-29T00:00:00"/>
    <x v="1"/>
    <n v="15"/>
    <x v="3739"/>
    <x v="1"/>
    <x v="4"/>
    <n v="3"/>
    <n v="600"/>
    <n v="1800"/>
    <n v="0"/>
  </r>
  <r>
    <n v="3909"/>
    <n v="2969"/>
    <n v="1"/>
    <x v="9"/>
    <d v="2024-10-29T00:00:00"/>
    <x v="1"/>
    <n v="11"/>
    <x v="3740"/>
    <x v="2"/>
    <x v="10"/>
    <n v="2"/>
    <n v="30"/>
    <n v="60"/>
    <n v="1"/>
  </r>
  <r>
    <n v="3910"/>
    <n v="2970"/>
    <n v="1"/>
    <x v="9"/>
    <d v="2024-10-29T00:00:00"/>
    <x v="1"/>
    <n v="10"/>
    <x v="3741"/>
    <x v="1"/>
    <x v="2"/>
    <n v="1"/>
    <n v="680"/>
    <n v="680"/>
    <n v="1"/>
  </r>
  <r>
    <n v="3911"/>
    <n v="2971"/>
    <n v="0.5"/>
    <x v="9"/>
    <d v="2024-10-29T00:00:00"/>
    <x v="1"/>
    <n v="18"/>
    <x v="3742"/>
    <x v="3"/>
    <x v="13"/>
    <n v="4"/>
    <n v="55"/>
    <n v="220"/>
    <n v="1"/>
  </r>
  <r>
    <n v="3912"/>
    <n v="2971"/>
    <n v="0.5"/>
    <x v="9"/>
    <d v="2024-10-29T00:00:00"/>
    <x v="1"/>
    <n v="10"/>
    <x v="3743"/>
    <x v="2"/>
    <x v="10"/>
    <n v="2"/>
    <n v="30"/>
    <n v="60"/>
    <n v="0"/>
  </r>
  <r>
    <n v="3913"/>
    <n v="2972"/>
    <n v="1"/>
    <x v="9"/>
    <d v="2024-10-29T00:00:00"/>
    <x v="1"/>
    <n v="19"/>
    <x v="3744"/>
    <x v="2"/>
    <x v="5"/>
    <n v="4"/>
    <n v="20"/>
    <n v="80"/>
    <n v="1"/>
  </r>
  <r>
    <n v="3914"/>
    <n v="2973"/>
    <n v="0.5"/>
    <x v="9"/>
    <d v="2024-10-30T00:00:00"/>
    <x v="2"/>
    <n v="11"/>
    <x v="1921"/>
    <x v="0"/>
    <x v="7"/>
    <n v="1"/>
    <n v="25"/>
    <n v="25"/>
    <n v="1"/>
  </r>
  <r>
    <n v="3915"/>
    <n v="2973"/>
    <n v="0.5"/>
    <x v="9"/>
    <d v="2024-10-30T00:00:00"/>
    <x v="2"/>
    <n v="20"/>
    <x v="3745"/>
    <x v="3"/>
    <x v="17"/>
    <n v="4"/>
    <n v="60"/>
    <n v="240"/>
    <n v="0"/>
  </r>
  <r>
    <n v="3916"/>
    <n v="2974"/>
    <n v="0.33333333333333331"/>
    <x v="9"/>
    <d v="2024-10-30T00:00:00"/>
    <x v="2"/>
    <n v="12"/>
    <x v="3746"/>
    <x v="3"/>
    <x v="14"/>
    <n v="2"/>
    <n v="40"/>
    <n v="80"/>
    <n v="1"/>
  </r>
  <r>
    <n v="3917"/>
    <n v="2974"/>
    <n v="0.33333333333333331"/>
    <x v="9"/>
    <d v="2024-10-30T00:00:00"/>
    <x v="2"/>
    <n v="9"/>
    <x v="3747"/>
    <x v="3"/>
    <x v="13"/>
    <n v="5"/>
    <n v="55"/>
    <n v="275"/>
    <n v="0"/>
  </r>
  <r>
    <n v="3918"/>
    <n v="2974"/>
    <n v="0.33333333333333331"/>
    <x v="9"/>
    <d v="2024-10-30T00:00:00"/>
    <x v="2"/>
    <n v="11"/>
    <x v="2177"/>
    <x v="1"/>
    <x v="12"/>
    <n v="2"/>
    <n v="1000"/>
    <n v="2000"/>
    <n v="0"/>
  </r>
  <r>
    <n v="3919"/>
    <n v="2975"/>
    <n v="1"/>
    <x v="9"/>
    <d v="2024-10-30T00:00:00"/>
    <x v="2"/>
    <n v="15"/>
    <x v="3748"/>
    <x v="0"/>
    <x v="8"/>
    <n v="3"/>
    <n v="10"/>
    <n v="30"/>
    <n v="1"/>
  </r>
  <r>
    <n v="3920"/>
    <n v="2976"/>
    <n v="0.33333333333333331"/>
    <x v="9"/>
    <d v="2024-10-30T00:00:00"/>
    <x v="2"/>
    <n v="18"/>
    <x v="3749"/>
    <x v="0"/>
    <x v="8"/>
    <n v="4"/>
    <n v="10"/>
    <n v="40"/>
    <n v="1"/>
  </r>
  <r>
    <n v="3921"/>
    <n v="2976"/>
    <n v="0.33333333333333331"/>
    <x v="9"/>
    <d v="2024-10-30T00:00:00"/>
    <x v="2"/>
    <n v="19"/>
    <x v="3750"/>
    <x v="2"/>
    <x v="10"/>
    <n v="4"/>
    <n v="30"/>
    <n v="120"/>
    <n v="0"/>
  </r>
  <r>
    <n v="3922"/>
    <n v="2976"/>
    <n v="0.33333333333333331"/>
    <x v="9"/>
    <d v="2024-10-30T00:00:00"/>
    <x v="2"/>
    <n v="9"/>
    <x v="3619"/>
    <x v="0"/>
    <x v="0"/>
    <n v="5"/>
    <n v="20"/>
    <n v="100"/>
    <n v="0"/>
  </r>
  <r>
    <n v="3923"/>
    <n v="2977"/>
    <n v="0.33333333333333331"/>
    <x v="9"/>
    <d v="2024-10-30T00:00:00"/>
    <x v="2"/>
    <n v="9"/>
    <x v="3751"/>
    <x v="3"/>
    <x v="13"/>
    <n v="2"/>
    <n v="55"/>
    <n v="110"/>
    <n v="1"/>
  </r>
  <r>
    <n v="3924"/>
    <n v="2977"/>
    <n v="0.33333333333333331"/>
    <x v="9"/>
    <d v="2024-10-30T00:00:00"/>
    <x v="2"/>
    <n v="19"/>
    <x v="3752"/>
    <x v="0"/>
    <x v="8"/>
    <n v="2"/>
    <n v="10"/>
    <n v="20"/>
    <n v="0"/>
  </r>
  <r>
    <n v="3925"/>
    <n v="2977"/>
    <n v="0.33333333333333331"/>
    <x v="9"/>
    <d v="2024-10-30T00:00:00"/>
    <x v="2"/>
    <n v="14"/>
    <x v="3753"/>
    <x v="2"/>
    <x v="15"/>
    <n v="4"/>
    <n v="25"/>
    <n v="100"/>
    <n v="0"/>
  </r>
  <r>
    <n v="3926"/>
    <n v="2978"/>
    <n v="0.33333333333333331"/>
    <x v="9"/>
    <d v="2024-10-30T00:00:00"/>
    <x v="2"/>
    <n v="15"/>
    <x v="3754"/>
    <x v="1"/>
    <x v="2"/>
    <n v="5"/>
    <n v="680"/>
    <n v="3400"/>
    <n v="1"/>
  </r>
  <r>
    <n v="3927"/>
    <n v="2978"/>
    <n v="0.33333333333333331"/>
    <x v="9"/>
    <d v="2024-10-30T00:00:00"/>
    <x v="2"/>
    <n v="18"/>
    <x v="3755"/>
    <x v="1"/>
    <x v="1"/>
    <n v="1"/>
    <n v="650"/>
    <n v="650"/>
    <n v="0"/>
  </r>
  <r>
    <n v="3928"/>
    <n v="2978"/>
    <n v="0.33333333333333331"/>
    <x v="9"/>
    <d v="2024-10-30T00:00:00"/>
    <x v="2"/>
    <n v="11"/>
    <x v="3756"/>
    <x v="1"/>
    <x v="12"/>
    <n v="2"/>
    <n v="1000"/>
    <n v="2000"/>
    <n v="0"/>
  </r>
  <r>
    <n v="3929"/>
    <n v="2979"/>
    <n v="1"/>
    <x v="9"/>
    <d v="2024-10-31T00:00:00"/>
    <x v="3"/>
    <n v="14"/>
    <x v="3757"/>
    <x v="1"/>
    <x v="3"/>
    <n v="4"/>
    <n v="700"/>
    <n v="2800"/>
    <n v="1"/>
  </r>
  <r>
    <n v="3930"/>
    <n v="2980"/>
    <n v="0.5"/>
    <x v="9"/>
    <d v="2024-10-31T00:00:00"/>
    <x v="3"/>
    <n v="20"/>
    <x v="3758"/>
    <x v="2"/>
    <x v="10"/>
    <n v="1"/>
    <n v="30"/>
    <n v="30"/>
    <n v="1"/>
  </r>
  <r>
    <n v="3931"/>
    <n v="2980"/>
    <n v="0.5"/>
    <x v="9"/>
    <d v="2024-10-31T00:00:00"/>
    <x v="3"/>
    <n v="17"/>
    <x v="3759"/>
    <x v="3"/>
    <x v="18"/>
    <n v="5"/>
    <n v="45"/>
    <n v="225"/>
    <n v="0"/>
  </r>
  <r>
    <n v="3932"/>
    <n v="2981"/>
    <n v="0.33333333333333331"/>
    <x v="9"/>
    <d v="2024-10-31T00:00:00"/>
    <x v="3"/>
    <n v="18"/>
    <x v="3760"/>
    <x v="1"/>
    <x v="12"/>
    <n v="3"/>
    <n v="1000"/>
    <n v="3000"/>
    <n v="1"/>
  </r>
  <r>
    <n v="3933"/>
    <n v="2981"/>
    <n v="0.33333333333333331"/>
    <x v="9"/>
    <d v="2024-10-31T00:00:00"/>
    <x v="3"/>
    <n v="13"/>
    <x v="3761"/>
    <x v="2"/>
    <x v="5"/>
    <n v="5"/>
    <n v="20"/>
    <n v="100"/>
    <n v="0"/>
  </r>
  <r>
    <n v="3934"/>
    <n v="2981"/>
    <n v="0.33333333333333331"/>
    <x v="9"/>
    <d v="2024-10-31T00:00:00"/>
    <x v="3"/>
    <n v="15"/>
    <x v="3762"/>
    <x v="1"/>
    <x v="3"/>
    <n v="1"/>
    <n v="700"/>
    <n v="700"/>
    <n v="0"/>
  </r>
  <r>
    <n v="3935"/>
    <n v="2982"/>
    <n v="0.5"/>
    <x v="9"/>
    <d v="2024-10-31T00:00:00"/>
    <x v="3"/>
    <n v="14"/>
    <x v="3763"/>
    <x v="0"/>
    <x v="0"/>
    <n v="2"/>
    <n v="20"/>
    <n v="40"/>
    <n v="1"/>
  </r>
  <r>
    <n v="3936"/>
    <n v="2982"/>
    <n v="0.5"/>
    <x v="9"/>
    <d v="2024-10-31T00:00:00"/>
    <x v="3"/>
    <n v="18"/>
    <x v="3764"/>
    <x v="3"/>
    <x v="17"/>
    <n v="5"/>
    <n v="60"/>
    <n v="300"/>
    <n v="0"/>
  </r>
  <r>
    <n v="3937"/>
    <n v="2983"/>
    <n v="0.5"/>
    <x v="9"/>
    <d v="2024-10-31T00:00:00"/>
    <x v="3"/>
    <n v="17"/>
    <x v="3765"/>
    <x v="0"/>
    <x v="9"/>
    <n v="1"/>
    <n v="15"/>
    <n v="15"/>
    <n v="1"/>
  </r>
  <r>
    <n v="3938"/>
    <n v="2983"/>
    <n v="0.5"/>
    <x v="9"/>
    <d v="2024-10-31T00:00:00"/>
    <x v="3"/>
    <n v="20"/>
    <x v="3766"/>
    <x v="3"/>
    <x v="17"/>
    <n v="3"/>
    <n v="60"/>
    <n v="180"/>
    <n v="0"/>
  </r>
  <r>
    <n v="3939"/>
    <n v="2984"/>
    <n v="1"/>
    <x v="9"/>
    <d v="2024-10-31T00:00:00"/>
    <x v="3"/>
    <n v="14"/>
    <x v="3767"/>
    <x v="0"/>
    <x v="8"/>
    <n v="1"/>
    <n v="10"/>
    <n v="10"/>
    <n v="1"/>
  </r>
  <r>
    <n v="3940"/>
    <n v="2985"/>
    <n v="0.5"/>
    <x v="9"/>
    <d v="2024-10-31T00:00:00"/>
    <x v="3"/>
    <n v="17"/>
    <x v="3768"/>
    <x v="3"/>
    <x v="6"/>
    <n v="1"/>
    <n v="50"/>
    <n v="50"/>
    <n v="1"/>
  </r>
  <r>
    <n v="3941"/>
    <n v="2985"/>
    <n v="0.5"/>
    <x v="9"/>
    <d v="2024-10-31T00:00:00"/>
    <x v="3"/>
    <n v="19"/>
    <x v="3769"/>
    <x v="3"/>
    <x v="6"/>
    <n v="2"/>
    <n v="50"/>
    <n v="100"/>
    <n v="0"/>
  </r>
  <r>
    <n v="3942"/>
    <n v="2986"/>
    <n v="0.5"/>
    <x v="9"/>
    <d v="2024-10-31T00:00:00"/>
    <x v="3"/>
    <n v="12"/>
    <x v="3770"/>
    <x v="2"/>
    <x v="5"/>
    <n v="3"/>
    <n v="20"/>
    <n v="60"/>
    <n v="1"/>
  </r>
  <r>
    <n v="3943"/>
    <n v="2986"/>
    <n v="0.5"/>
    <x v="9"/>
    <d v="2024-10-31T00:00:00"/>
    <x v="3"/>
    <n v="19"/>
    <x v="3771"/>
    <x v="0"/>
    <x v="16"/>
    <n v="1"/>
    <n v="5"/>
    <n v="5"/>
    <n v="0"/>
  </r>
  <r>
    <n v="3944"/>
    <n v="2987"/>
    <n v="0.33333333333333331"/>
    <x v="10"/>
    <d v="2024-11-01T00:00:00"/>
    <x v="4"/>
    <n v="16"/>
    <x v="3772"/>
    <x v="0"/>
    <x v="9"/>
    <n v="3"/>
    <n v="15"/>
    <n v="45"/>
    <n v="1"/>
  </r>
  <r>
    <n v="3945"/>
    <n v="2987"/>
    <n v="0.33333333333333331"/>
    <x v="10"/>
    <d v="2024-11-01T00:00:00"/>
    <x v="4"/>
    <n v="19"/>
    <x v="3773"/>
    <x v="1"/>
    <x v="12"/>
    <n v="4"/>
    <n v="1000"/>
    <n v="4000"/>
    <n v="0"/>
  </r>
  <r>
    <n v="3946"/>
    <n v="2987"/>
    <n v="0.33333333333333331"/>
    <x v="10"/>
    <d v="2024-11-01T00:00:00"/>
    <x v="4"/>
    <n v="15"/>
    <x v="3774"/>
    <x v="0"/>
    <x v="0"/>
    <n v="4"/>
    <n v="20"/>
    <n v="80"/>
    <n v="0"/>
  </r>
  <r>
    <n v="3947"/>
    <n v="2988"/>
    <n v="0.5"/>
    <x v="10"/>
    <d v="2024-11-01T00:00:00"/>
    <x v="4"/>
    <n v="11"/>
    <x v="3775"/>
    <x v="1"/>
    <x v="12"/>
    <n v="2"/>
    <n v="1000"/>
    <n v="2000"/>
    <n v="1"/>
  </r>
  <r>
    <n v="3948"/>
    <n v="2988"/>
    <n v="0.5"/>
    <x v="10"/>
    <d v="2024-11-01T00:00:00"/>
    <x v="4"/>
    <n v="18"/>
    <x v="3776"/>
    <x v="2"/>
    <x v="5"/>
    <n v="5"/>
    <n v="20"/>
    <n v="100"/>
    <n v="0"/>
  </r>
  <r>
    <n v="3949"/>
    <n v="2989"/>
    <n v="0.5"/>
    <x v="10"/>
    <d v="2024-11-01T00:00:00"/>
    <x v="4"/>
    <n v="10"/>
    <x v="1917"/>
    <x v="3"/>
    <x v="14"/>
    <n v="1"/>
    <n v="40"/>
    <n v="40"/>
    <n v="1"/>
  </r>
  <r>
    <n v="3950"/>
    <n v="2989"/>
    <n v="0.5"/>
    <x v="10"/>
    <d v="2024-11-01T00:00:00"/>
    <x v="4"/>
    <n v="18"/>
    <x v="3777"/>
    <x v="2"/>
    <x v="15"/>
    <n v="2"/>
    <n v="25"/>
    <n v="50"/>
    <n v="0"/>
  </r>
  <r>
    <n v="3951"/>
    <n v="2990"/>
    <n v="0.33333333333333331"/>
    <x v="10"/>
    <d v="2024-11-01T00:00:00"/>
    <x v="4"/>
    <n v="18"/>
    <x v="1803"/>
    <x v="1"/>
    <x v="12"/>
    <n v="4"/>
    <n v="1000"/>
    <n v="4000"/>
    <n v="1"/>
  </r>
  <r>
    <n v="3952"/>
    <n v="2990"/>
    <n v="0.33333333333333331"/>
    <x v="10"/>
    <d v="2024-11-01T00:00:00"/>
    <x v="4"/>
    <n v="15"/>
    <x v="3778"/>
    <x v="0"/>
    <x v="7"/>
    <n v="4"/>
    <n v="25"/>
    <n v="100"/>
    <n v="0"/>
  </r>
  <r>
    <n v="3953"/>
    <n v="2990"/>
    <n v="0.33333333333333331"/>
    <x v="10"/>
    <d v="2024-11-01T00:00:00"/>
    <x v="4"/>
    <n v="17"/>
    <x v="3779"/>
    <x v="3"/>
    <x v="17"/>
    <n v="5"/>
    <n v="60"/>
    <n v="300"/>
    <n v="0"/>
  </r>
  <r>
    <n v="3954"/>
    <n v="2991"/>
    <n v="1"/>
    <x v="10"/>
    <d v="2024-11-01T00:00:00"/>
    <x v="4"/>
    <n v="17"/>
    <x v="3780"/>
    <x v="3"/>
    <x v="17"/>
    <n v="4"/>
    <n v="60"/>
    <n v="240"/>
    <n v="1"/>
  </r>
  <r>
    <n v="3955"/>
    <n v="2992"/>
    <n v="0.33333333333333331"/>
    <x v="10"/>
    <d v="2024-11-01T00:00:00"/>
    <x v="4"/>
    <n v="13"/>
    <x v="3781"/>
    <x v="2"/>
    <x v="15"/>
    <n v="1"/>
    <n v="25"/>
    <n v="25"/>
    <n v="1"/>
  </r>
  <r>
    <n v="3956"/>
    <n v="2992"/>
    <n v="0.33333333333333331"/>
    <x v="10"/>
    <d v="2024-11-01T00:00:00"/>
    <x v="4"/>
    <n v="18"/>
    <x v="3782"/>
    <x v="0"/>
    <x v="16"/>
    <n v="1"/>
    <n v="5"/>
    <n v="5"/>
    <n v="0"/>
  </r>
  <r>
    <n v="3957"/>
    <n v="2992"/>
    <n v="0.33333333333333331"/>
    <x v="10"/>
    <d v="2024-11-01T00:00:00"/>
    <x v="4"/>
    <n v="16"/>
    <x v="3783"/>
    <x v="2"/>
    <x v="5"/>
    <n v="4"/>
    <n v="20"/>
    <n v="80"/>
    <n v="0"/>
  </r>
  <r>
    <n v="3958"/>
    <n v="2993"/>
    <n v="1"/>
    <x v="10"/>
    <d v="2024-11-01T00:00:00"/>
    <x v="4"/>
    <n v="16"/>
    <x v="3093"/>
    <x v="3"/>
    <x v="14"/>
    <n v="5"/>
    <n v="40"/>
    <n v="200"/>
    <n v="1"/>
  </r>
  <r>
    <n v="3959"/>
    <n v="2994"/>
    <n v="0.33333333333333331"/>
    <x v="10"/>
    <d v="2024-11-02T00:00:00"/>
    <x v="5"/>
    <n v="13"/>
    <x v="3784"/>
    <x v="1"/>
    <x v="3"/>
    <n v="1"/>
    <n v="700"/>
    <n v="700"/>
    <n v="1"/>
  </r>
  <r>
    <n v="3960"/>
    <n v="2994"/>
    <n v="0.33333333333333331"/>
    <x v="10"/>
    <d v="2024-11-02T00:00:00"/>
    <x v="5"/>
    <n v="9"/>
    <x v="3785"/>
    <x v="3"/>
    <x v="6"/>
    <n v="4"/>
    <n v="50"/>
    <n v="200"/>
    <n v="0"/>
  </r>
  <r>
    <n v="3961"/>
    <n v="2994"/>
    <n v="0.33333333333333331"/>
    <x v="10"/>
    <d v="2024-11-02T00:00:00"/>
    <x v="5"/>
    <n v="17"/>
    <x v="3786"/>
    <x v="2"/>
    <x v="10"/>
    <n v="5"/>
    <n v="30"/>
    <n v="150"/>
    <n v="0"/>
  </r>
  <r>
    <n v="3962"/>
    <n v="2995"/>
    <n v="0.5"/>
    <x v="10"/>
    <d v="2024-11-02T00:00:00"/>
    <x v="5"/>
    <n v="14"/>
    <x v="3787"/>
    <x v="2"/>
    <x v="11"/>
    <n v="2"/>
    <n v="35"/>
    <n v="70"/>
    <n v="1"/>
  </r>
  <r>
    <n v="3963"/>
    <n v="2995"/>
    <n v="0.5"/>
    <x v="10"/>
    <d v="2024-11-02T00:00:00"/>
    <x v="5"/>
    <n v="12"/>
    <x v="3788"/>
    <x v="1"/>
    <x v="3"/>
    <n v="4"/>
    <n v="700"/>
    <n v="2800"/>
    <n v="0"/>
  </r>
  <r>
    <n v="3964"/>
    <n v="2996"/>
    <n v="0.33333333333333331"/>
    <x v="10"/>
    <d v="2024-11-02T00:00:00"/>
    <x v="5"/>
    <n v="16"/>
    <x v="3789"/>
    <x v="1"/>
    <x v="1"/>
    <n v="3"/>
    <n v="650"/>
    <n v="1950"/>
    <n v="1"/>
  </r>
  <r>
    <n v="3965"/>
    <n v="2996"/>
    <n v="0.33333333333333331"/>
    <x v="10"/>
    <d v="2024-11-02T00:00:00"/>
    <x v="5"/>
    <n v="15"/>
    <x v="3790"/>
    <x v="2"/>
    <x v="15"/>
    <n v="1"/>
    <n v="25"/>
    <n v="25"/>
    <n v="0"/>
  </r>
  <r>
    <n v="3966"/>
    <n v="2996"/>
    <n v="0.33333333333333331"/>
    <x v="10"/>
    <d v="2024-11-02T00:00:00"/>
    <x v="5"/>
    <n v="12"/>
    <x v="3791"/>
    <x v="1"/>
    <x v="1"/>
    <n v="4"/>
    <n v="650"/>
    <n v="2600"/>
    <n v="0"/>
  </r>
  <r>
    <n v="3967"/>
    <n v="2997"/>
    <n v="0.33333333333333331"/>
    <x v="10"/>
    <d v="2024-11-02T00:00:00"/>
    <x v="5"/>
    <n v="11"/>
    <x v="3792"/>
    <x v="2"/>
    <x v="5"/>
    <n v="3"/>
    <n v="20"/>
    <n v="60"/>
    <n v="1"/>
  </r>
  <r>
    <n v="3968"/>
    <n v="2997"/>
    <n v="0.33333333333333331"/>
    <x v="10"/>
    <d v="2024-11-02T00:00:00"/>
    <x v="5"/>
    <n v="16"/>
    <x v="3793"/>
    <x v="0"/>
    <x v="16"/>
    <n v="1"/>
    <n v="5"/>
    <n v="5"/>
    <n v="0"/>
  </r>
  <r>
    <n v="3969"/>
    <n v="2997"/>
    <n v="0.33333333333333331"/>
    <x v="10"/>
    <d v="2024-11-02T00:00:00"/>
    <x v="5"/>
    <n v="19"/>
    <x v="3794"/>
    <x v="2"/>
    <x v="11"/>
    <n v="4"/>
    <n v="35"/>
    <n v="140"/>
    <n v="0"/>
  </r>
  <r>
    <n v="3970"/>
    <n v="2998"/>
    <n v="1"/>
    <x v="10"/>
    <d v="2024-11-02T00:00:00"/>
    <x v="5"/>
    <n v="9"/>
    <x v="3795"/>
    <x v="1"/>
    <x v="2"/>
    <n v="2"/>
    <n v="680"/>
    <n v="1360"/>
    <n v="1"/>
  </r>
  <r>
    <n v="3971"/>
    <n v="2999"/>
    <n v="0.33333333333333331"/>
    <x v="10"/>
    <d v="2024-11-03T00:00:00"/>
    <x v="6"/>
    <n v="14"/>
    <x v="3796"/>
    <x v="1"/>
    <x v="12"/>
    <n v="2"/>
    <n v="1000"/>
    <n v="2000"/>
    <n v="1"/>
  </r>
  <r>
    <n v="3972"/>
    <n v="2999"/>
    <n v="0.33333333333333331"/>
    <x v="10"/>
    <d v="2024-11-03T00:00:00"/>
    <x v="6"/>
    <n v="15"/>
    <x v="3797"/>
    <x v="2"/>
    <x v="11"/>
    <n v="4"/>
    <n v="35"/>
    <n v="140"/>
    <n v="0"/>
  </r>
  <r>
    <n v="3973"/>
    <n v="2999"/>
    <n v="0.33333333333333331"/>
    <x v="10"/>
    <d v="2024-11-03T00:00:00"/>
    <x v="6"/>
    <n v="11"/>
    <x v="3798"/>
    <x v="0"/>
    <x v="16"/>
    <n v="1"/>
    <n v="5"/>
    <n v="5"/>
    <n v="0"/>
  </r>
  <r>
    <n v="3974"/>
    <n v="3000"/>
    <n v="1"/>
    <x v="10"/>
    <d v="2024-11-03T00:00:00"/>
    <x v="6"/>
    <n v="15"/>
    <x v="3799"/>
    <x v="3"/>
    <x v="14"/>
    <n v="2"/>
    <n v="40"/>
    <n v="80"/>
    <n v="1"/>
  </r>
  <r>
    <n v="3975"/>
    <n v="3001"/>
    <n v="1"/>
    <x v="10"/>
    <d v="2024-11-03T00:00:00"/>
    <x v="6"/>
    <n v="17"/>
    <x v="3800"/>
    <x v="3"/>
    <x v="17"/>
    <n v="3"/>
    <n v="60"/>
    <n v="180"/>
    <n v="1"/>
  </r>
  <r>
    <n v="3976"/>
    <n v="3002"/>
    <n v="0.33333333333333331"/>
    <x v="10"/>
    <d v="2024-11-03T00:00:00"/>
    <x v="6"/>
    <n v="12"/>
    <x v="3801"/>
    <x v="3"/>
    <x v="17"/>
    <n v="2"/>
    <n v="60"/>
    <n v="120"/>
    <n v="1"/>
  </r>
  <r>
    <n v="3977"/>
    <n v="3002"/>
    <n v="0.33333333333333331"/>
    <x v="10"/>
    <d v="2024-11-03T00:00:00"/>
    <x v="6"/>
    <n v="10"/>
    <x v="3802"/>
    <x v="0"/>
    <x v="9"/>
    <n v="1"/>
    <n v="15"/>
    <n v="15"/>
    <n v="0"/>
  </r>
  <r>
    <n v="3978"/>
    <n v="3002"/>
    <n v="0.33333333333333331"/>
    <x v="10"/>
    <d v="2024-11-03T00:00:00"/>
    <x v="6"/>
    <n v="12"/>
    <x v="3803"/>
    <x v="0"/>
    <x v="7"/>
    <n v="3"/>
    <n v="25"/>
    <n v="75"/>
    <n v="0"/>
  </r>
  <r>
    <n v="3979"/>
    <n v="3003"/>
    <n v="0.5"/>
    <x v="10"/>
    <d v="2024-11-03T00:00:00"/>
    <x v="6"/>
    <n v="13"/>
    <x v="3804"/>
    <x v="2"/>
    <x v="11"/>
    <n v="5"/>
    <n v="35"/>
    <n v="175"/>
    <n v="1"/>
  </r>
  <r>
    <n v="3980"/>
    <n v="3003"/>
    <n v="0.5"/>
    <x v="10"/>
    <d v="2024-11-03T00:00:00"/>
    <x v="6"/>
    <n v="18"/>
    <x v="3805"/>
    <x v="2"/>
    <x v="11"/>
    <n v="3"/>
    <n v="35"/>
    <n v="105"/>
    <n v="0"/>
  </r>
  <r>
    <n v="3981"/>
    <n v="3004"/>
    <n v="1"/>
    <x v="10"/>
    <d v="2024-11-03T00:00:00"/>
    <x v="6"/>
    <n v="10"/>
    <x v="3806"/>
    <x v="1"/>
    <x v="4"/>
    <n v="2"/>
    <n v="600"/>
    <n v="1200"/>
    <n v="1"/>
  </r>
  <r>
    <n v="3982"/>
    <n v="3005"/>
    <n v="1"/>
    <x v="10"/>
    <d v="2024-11-03T00:00:00"/>
    <x v="6"/>
    <n v="18"/>
    <x v="3807"/>
    <x v="2"/>
    <x v="15"/>
    <n v="4"/>
    <n v="25"/>
    <n v="100"/>
    <n v="1"/>
  </r>
  <r>
    <n v="3983"/>
    <n v="3006"/>
    <n v="0.33333333333333331"/>
    <x v="10"/>
    <d v="2024-11-03T00:00:00"/>
    <x v="6"/>
    <n v="20"/>
    <x v="3808"/>
    <x v="3"/>
    <x v="13"/>
    <n v="5"/>
    <n v="55"/>
    <n v="275"/>
    <n v="1"/>
  </r>
  <r>
    <n v="3984"/>
    <n v="3006"/>
    <n v="0.33333333333333331"/>
    <x v="10"/>
    <d v="2024-11-03T00:00:00"/>
    <x v="6"/>
    <n v="10"/>
    <x v="3809"/>
    <x v="2"/>
    <x v="11"/>
    <n v="4"/>
    <n v="35"/>
    <n v="140"/>
    <n v="0"/>
  </r>
  <r>
    <n v="3985"/>
    <n v="3006"/>
    <n v="0.33333333333333331"/>
    <x v="10"/>
    <d v="2024-11-03T00:00:00"/>
    <x v="6"/>
    <n v="13"/>
    <x v="3810"/>
    <x v="2"/>
    <x v="11"/>
    <n v="5"/>
    <n v="35"/>
    <n v="175"/>
    <n v="0"/>
  </r>
  <r>
    <n v="3986"/>
    <n v="3007"/>
    <n v="1"/>
    <x v="10"/>
    <d v="2024-11-03T00:00:00"/>
    <x v="6"/>
    <n v="12"/>
    <x v="3811"/>
    <x v="0"/>
    <x v="9"/>
    <n v="5"/>
    <n v="15"/>
    <n v="75"/>
    <n v="1"/>
  </r>
  <r>
    <n v="3987"/>
    <n v="3008"/>
    <n v="0.5"/>
    <x v="10"/>
    <d v="2024-11-03T00:00:00"/>
    <x v="6"/>
    <n v="18"/>
    <x v="3812"/>
    <x v="0"/>
    <x v="7"/>
    <n v="5"/>
    <n v="25"/>
    <n v="125"/>
    <n v="1"/>
  </r>
  <r>
    <n v="3988"/>
    <n v="3008"/>
    <n v="0.5"/>
    <x v="10"/>
    <d v="2024-11-03T00:00:00"/>
    <x v="6"/>
    <n v="15"/>
    <x v="3813"/>
    <x v="3"/>
    <x v="14"/>
    <n v="5"/>
    <n v="40"/>
    <n v="200"/>
    <n v="0"/>
  </r>
  <r>
    <n v="3989"/>
    <n v="3009"/>
    <n v="0.33333333333333331"/>
    <x v="10"/>
    <d v="2024-11-04T00:00:00"/>
    <x v="0"/>
    <n v="13"/>
    <x v="1492"/>
    <x v="3"/>
    <x v="13"/>
    <n v="1"/>
    <n v="55"/>
    <n v="55"/>
    <n v="1"/>
  </r>
  <r>
    <n v="3990"/>
    <n v="3009"/>
    <n v="0.33333333333333331"/>
    <x v="10"/>
    <d v="2024-11-04T00:00:00"/>
    <x v="0"/>
    <n v="18"/>
    <x v="3814"/>
    <x v="3"/>
    <x v="18"/>
    <n v="4"/>
    <n v="45"/>
    <n v="180"/>
    <n v="0"/>
  </r>
  <r>
    <n v="3991"/>
    <n v="3009"/>
    <n v="0.33333333333333331"/>
    <x v="10"/>
    <d v="2024-11-04T00:00:00"/>
    <x v="0"/>
    <n v="10"/>
    <x v="3815"/>
    <x v="0"/>
    <x v="7"/>
    <n v="4"/>
    <n v="25"/>
    <n v="100"/>
    <n v="0"/>
  </r>
  <r>
    <n v="3992"/>
    <n v="3010"/>
    <n v="1"/>
    <x v="10"/>
    <d v="2024-11-04T00:00:00"/>
    <x v="0"/>
    <n v="17"/>
    <x v="3816"/>
    <x v="2"/>
    <x v="10"/>
    <n v="1"/>
    <n v="30"/>
    <n v="30"/>
    <n v="1"/>
  </r>
  <r>
    <n v="3993"/>
    <n v="3011"/>
    <n v="1"/>
    <x v="10"/>
    <d v="2024-11-04T00:00:00"/>
    <x v="0"/>
    <n v="12"/>
    <x v="3817"/>
    <x v="0"/>
    <x v="16"/>
    <n v="4"/>
    <n v="5"/>
    <n v="20"/>
    <n v="1"/>
  </r>
  <r>
    <n v="3994"/>
    <n v="3012"/>
    <n v="1"/>
    <x v="10"/>
    <d v="2024-11-05T00:00:00"/>
    <x v="1"/>
    <n v="20"/>
    <x v="3818"/>
    <x v="2"/>
    <x v="5"/>
    <n v="3"/>
    <n v="20"/>
    <n v="60"/>
    <n v="1"/>
  </r>
  <r>
    <n v="3995"/>
    <n v="3013"/>
    <n v="0.5"/>
    <x v="10"/>
    <d v="2024-11-05T00:00:00"/>
    <x v="1"/>
    <n v="19"/>
    <x v="3819"/>
    <x v="0"/>
    <x v="16"/>
    <n v="3"/>
    <n v="5"/>
    <n v="15"/>
    <n v="1"/>
  </r>
  <r>
    <n v="3996"/>
    <n v="3013"/>
    <n v="0.5"/>
    <x v="10"/>
    <d v="2024-11-05T00:00:00"/>
    <x v="1"/>
    <n v="19"/>
    <x v="3820"/>
    <x v="3"/>
    <x v="17"/>
    <n v="5"/>
    <n v="60"/>
    <n v="300"/>
    <n v="0"/>
  </r>
  <r>
    <n v="3997"/>
    <n v="3014"/>
    <n v="0.33333333333333331"/>
    <x v="10"/>
    <d v="2024-11-05T00:00:00"/>
    <x v="1"/>
    <n v="14"/>
    <x v="3821"/>
    <x v="2"/>
    <x v="5"/>
    <n v="1"/>
    <n v="20"/>
    <n v="20"/>
    <n v="1"/>
  </r>
  <r>
    <n v="3998"/>
    <n v="3014"/>
    <n v="0.33333333333333331"/>
    <x v="10"/>
    <d v="2024-11-05T00:00:00"/>
    <x v="1"/>
    <n v="9"/>
    <x v="3822"/>
    <x v="2"/>
    <x v="11"/>
    <n v="5"/>
    <n v="35"/>
    <n v="175"/>
    <n v="0"/>
  </r>
  <r>
    <n v="3999"/>
    <n v="3014"/>
    <n v="0.33333333333333331"/>
    <x v="10"/>
    <d v="2024-11-05T00:00:00"/>
    <x v="1"/>
    <n v="11"/>
    <x v="3823"/>
    <x v="1"/>
    <x v="2"/>
    <n v="4"/>
    <n v="680"/>
    <n v="2720"/>
    <n v="0"/>
  </r>
  <r>
    <n v="4000"/>
    <n v="3015"/>
    <n v="0.33333333333333331"/>
    <x v="10"/>
    <d v="2024-11-05T00:00:00"/>
    <x v="1"/>
    <n v="12"/>
    <x v="3824"/>
    <x v="2"/>
    <x v="11"/>
    <n v="2"/>
    <n v="35"/>
    <n v="70"/>
    <n v="1"/>
  </r>
  <r>
    <n v="4001"/>
    <n v="3015"/>
    <n v="0.33333333333333331"/>
    <x v="10"/>
    <d v="2024-11-05T00:00:00"/>
    <x v="1"/>
    <n v="17"/>
    <x v="3825"/>
    <x v="2"/>
    <x v="10"/>
    <n v="4"/>
    <n v="30"/>
    <n v="120"/>
    <n v="0"/>
  </r>
  <r>
    <n v="4002"/>
    <n v="3015"/>
    <n v="0.33333333333333331"/>
    <x v="10"/>
    <d v="2024-11-05T00:00:00"/>
    <x v="1"/>
    <n v="9"/>
    <x v="3826"/>
    <x v="2"/>
    <x v="11"/>
    <n v="1"/>
    <n v="35"/>
    <n v="35"/>
    <n v="0"/>
  </r>
  <r>
    <n v="4003"/>
    <n v="3016"/>
    <n v="0.33333333333333331"/>
    <x v="10"/>
    <d v="2024-11-05T00:00:00"/>
    <x v="1"/>
    <n v="16"/>
    <x v="3827"/>
    <x v="3"/>
    <x v="13"/>
    <n v="2"/>
    <n v="55"/>
    <n v="110"/>
    <n v="1"/>
  </r>
  <r>
    <n v="4004"/>
    <n v="3016"/>
    <n v="0.33333333333333331"/>
    <x v="10"/>
    <d v="2024-11-05T00:00:00"/>
    <x v="1"/>
    <n v="17"/>
    <x v="3828"/>
    <x v="1"/>
    <x v="4"/>
    <n v="1"/>
    <n v="600"/>
    <n v="600"/>
    <n v="0"/>
  </r>
  <r>
    <n v="4005"/>
    <n v="3016"/>
    <n v="0.33333333333333331"/>
    <x v="10"/>
    <d v="2024-11-05T00:00:00"/>
    <x v="1"/>
    <n v="16"/>
    <x v="3829"/>
    <x v="1"/>
    <x v="2"/>
    <n v="3"/>
    <n v="680"/>
    <n v="2040"/>
    <n v="0"/>
  </r>
  <r>
    <n v="4006"/>
    <n v="3017"/>
    <n v="0.33333333333333331"/>
    <x v="10"/>
    <d v="2024-11-05T00:00:00"/>
    <x v="1"/>
    <n v="15"/>
    <x v="3830"/>
    <x v="3"/>
    <x v="18"/>
    <n v="5"/>
    <n v="45"/>
    <n v="225"/>
    <n v="1"/>
  </r>
  <r>
    <n v="4007"/>
    <n v="3017"/>
    <n v="0.33333333333333331"/>
    <x v="10"/>
    <d v="2024-11-05T00:00:00"/>
    <x v="1"/>
    <n v="17"/>
    <x v="3831"/>
    <x v="2"/>
    <x v="11"/>
    <n v="2"/>
    <n v="35"/>
    <n v="70"/>
    <n v="0"/>
  </r>
  <r>
    <n v="4008"/>
    <n v="3017"/>
    <n v="0.33333333333333331"/>
    <x v="10"/>
    <d v="2024-11-05T00:00:00"/>
    <x v="1"/>
    <n v="19"/>
    <x v="3832"/>
    <x v="2"/>
    <x v="11"/>
    <n v="1"/>
    <n v="35"/>
    <n v="35"/>
    <n v="0"/>
  </r>
  <r>
    <n v="4009"/>
    <n v="3018"/>
    <n v="0.5"/>
    <x v="10"/>
    <d v="2024-11-05T00:00:00"/>
    <x v="1"/>
    <n v="10"/>
    <x v="3833"/>
    <x v="1"/>
    <x v="4"/>
    <n v="2"/>
    <n v="600"/>
    <n v="1200"/>
    <n v="1"/>
  </r>
  <r>
    <n v="4010"/>
    <n v="3018"/>
    <n v="0.5"/>
    <x v="10"/>
    <d v="2024-11-05T00:00:00"/>
    <x v="1"/>
    <n v="14"/>
    <x v="3834"/>
    <x v="2"/>
    <x v="15"/>
    <n v="1"/>
    <n v="25"/>
    <n v="25"/>
    <n v="0"/>
  </r>
  <r>
    <n v="4011"/>
    <n v="3019"/>
    <n v="1"/>
    <x v="10"/>
    <d v="2024-11-05T00:00:00"/>
    <x v="1"/>
    <n v="9"/>
    <x v="3835"/>
    <x v="0"/>
    <x v="0"/>
    <n v="5"/>
    <n v="20"/>
    <n v="100"/>
    <n v="1"/>
  </r>
  <r>
    <n v="4012"/>
    <n v="3020"/>
    <n v="0.5"/>
    <x v="10"/>
    <d v="2024-11-06T00:00:00"/>
    <x v="2"/>
    <n v="10"/>
    <x v="3836"/>
    <x v="0"/>
    <x v="9"/>
    <n v="5"/>
    <n v="15"/>
    <n v="75"/>
    <n v="1"/>
  </r>
  <r>
    <n v="4013"/>
    <n v="3020"/>
    <n v="0.5"/>
    <x v="10"/>
    <d v="2024-11-06T00:00:00"/>
    <x v="2"/>
    <n v="18"/>
    <x v="3837"/>
    <x v="0"/>
    <x v="7"/>
    <n v="2"/>
    <n v="25"/>
    <n v="50"/>
    <n v="0"/>
  </r>
  <r>
    <n v="4014"/>
    <n v="3021"/>
    <n v="0.5"/>
    <x v="10"/>
    <d v="2024-11-06T00:00:00"/>
    <x v="2"/>
    <n v="17"/>
    <x v="1566"/>
    <x v="1"/>
    <x v="4"/>
    <n v="2"/>
    <n v="600"/>
    <n v="1200"/>
    <n v="1"/>
  </r>
  <r>
    <n v="4015"/>
    <n v="3021"/>
    <n v="0.5"/>
    <x v="10"/>
    <d v="2024-11-06T00:00:00"/>
    <x v="2"/>
    <n v="17"/>
    <x v="3838"/>
    <x v="0"/>
    <x v="9"/>
    <n v="1"/>
    <n v="15"/>
    <n v="15"/>
    <n v="0"/>
  </r>
  <r>
    <n v="4016"/>
    <n v="3022"/>
    <n v="0.33333333333333331"/>
    <x v="10"/>
    <d v="2024-11-06T00:00:00"/>
    <x v="2"/>
    <n v="10"/>
    <x v="3839"/>
    <x v="0"/>
    <x v="7"/>
    <n v="5"/>
    <n v="25"/>
    <n v="125"/>
    <n v="1"/>
  </r>
  <r>
    <n v="4017"/>
    <n v="3022"/>
    <n v="0.33333333333333331"/>
    <x v="10"/>
    <d v="2024-11-06T00:00:00"/>
    <x v="2"/>
    <n v="16"/>
    <x v="3840"/>
    <x v="1"/>
    <x v="12"/>
    <n v="5"/>
    <n v="1000"/>
    <n v="5000"/>
    <n v="0"/>
  </r>
  <r>
    <n v="4018"/>
    <n v="3022"/>
    <n v="0.33333333333333331"/>
    <x v="10"/>
    <d v="2024-11-06T00:00:00"/>
    <x v="2"/>
    <n v="13"/>
    <x v="3841"/>
    <x v="1"/>
    <x v="12"/>
    <n v="2"/>
    <n v="1000"/>
    <n v="2000"/>
    <n v="0"/>
  </r>
  <r>
    <n v="4019"/>
    <n v="3023"/>
    <n v="0.33333333333333331"/>
    <x v="10"/>
    <d v="2024-11-06T00:00:00"/>
    <x v="2"/>
    <n v="10"/>
    <x v="3842"/>
    <x v="2"/>
    <x v="11"/>
    <n v="3"/>
    <n v="35"/>
    <n v="105"/>
    <n v="1"/>
  </r>
  <r>
    <n v="4020"/>
    <n v="3023"/>
    <n v="0.33333333333333331"/>
    <x v="10"/>
    <d v="2024-11-06T00:00:00"/>
    <x v="2"/>
    <n v="12"/>
    <x v="1706"/>
    <x v="2"/>
    <x v="10"/>
    <n v="2"/>
    <n v="30"/>
    <n v="60"/>
    <n v="0"/>
  </r>
  <r>
    <n v="4021"/>
    <n v="3023"/>
    <n v="0.33333333333333331"/>
    <x v="10"/>
    <d v="2024-11-06T00:00:00"/>
    <x v="2"/>
    <n v="19"/>
    <x v="3843"/>
    <x v="0"/>
    <x v="9"/>
    <n v="5"/>
    <n v="15"/>
    <n v="75"/>
    <n v="0"/>
  </r>
  <r>
    <n v="4022"/>
    <n v="3024"/>
    <n v="0.33333333333333331"/>
    <x v="10"/>
    <d v="2024-11-06T00:00:00"/>
    <x v="2"/>
    <n v="18"/>
    <x v="3844"/>
    <x v="2"/>
    <x v="11"/>
    <n v="5"/>
    <n v="35"/>
    <n v="175"/>
    <n v="1"/>
  </r>
  <r>
    <n v="4023"/>
    <n v="3024"/>
    <n v="0.33333333333333331"/>
    <x v="10"/>
    <d v="2024-11-06T00:00:00"/>
    <x v="2"/>
    <n v="16"/>
    <x v="3845"/>
    <x v="3"/>
    <x v="17"/>
    <n v="2"/>
    <n v="60"/>
    <n v="120"/>
    <n v="0"/>
  </r>
  <r>
    <n v="4024"/>
    <n v="3024"/>
    <n v="0.33333333333333331"/>
    <x v="10"/>
    <d v="2024-11-06T00:00:00"/>
    <x v="2"/>
    <n v="14"/>
    <x v="3846"/>
    <x v="3"/>
    <x v="14"/>
    <n v="4"/>
    <n v="40"/>
    <n v="160"/>
    <n v="0"/>
  </r>
  <r>
    <n v="4025"/>
    <n v="3025"/>
    <n v="0.33333333333333331"/>
    <x v="10"/>
    <d v="2024-11-06T00:00:00"/>
    <x v="2"/>
    <n v="16"/>
    <x v="3847"/>
    <x v="1"/>
    <x v="2"/>
    <n v="2"/>
    <n v="680"/>
    <n v="1360"/>
    <n v="1"/>
  </r>
  <r>
    <n v="4026"/>
    <n v="3025"/>
    <n v="0.33333333333333331"/>
    <x v="10"/>
    <d v="2024-11-06T00:00:00"/>
    <x v="2"/>
    <n v="14"/>
    <x v="3848"/>
    <x v="2"/>
    <x v="15"/>
    <n v="2"/>
    <n v="25"/>
    <n v="50"/>
    <n v="0"/>
  </r>
  <r>
    <n v="4027"/>
    <n v="3025"/>
    <n v="0.33333333333333331"/>
    <x v="10"/>
    <d v="2024-11-06T00:00:00"/>
    <x v="2"/>
    <n v="17"/>
    <x v="3849"/>
    <x v="0"/>
    <x v="9"/>
    <n v="1"/>
    <n v="15"/>
    <n v="15"/>
    <n v="0"/>
  </r>
  <r>
    <n v="4028"/>
    <n v="3026"/>
    <n v="0.5"/>
    <x v="10"/>
    <d v="2024-11-07T00:00:00"/>
    <x v="3"/>
    <n v="12"/>
    <x v="3850"/>
    <x v="0"/>
    <x v="8"/>
    <n v="3"/>
    <n v="10"/>
    <n v="30"/>
    <n v="1"/>
  </r>
  <r>
    <n v="4029"/>
    <n v="3026"/>
    <n v="0.5"/>
    <x v="10"/>
    <d v="2024-11-07T00:00:00"/>
    <x v="3"/>
    <n v="11"/>
    <x v="3851"/>
    <x v="0"/>
    <x v="7"/>
    <n v="4"/>
    <n v="25"/>
    <n v="100"/>
    <n v="0"/>
  </r>
  <r>
    <n v="4030"/>
    <n v="3027"/>
    <n v="1"/>
    <x v="10"/>
    <d v="2024-11-07T00:00:00"/>
    <x v="3"/>
    <n v="19"/>
    <x v="3852"/>
    <x v="2"/>
    <x v="10"/>
    <n v="4"/>
    <n v="30"/>
    <n v="120"/>
    <n v="1"/>
  </r>
  <r>
    <n v="4031"/>
    <n v="3028"/>
    <n v="0.5"/>
    <x v="10"/>
    <d v="2024-11-07T00:00:00"/>
    <x v="3"/>
    <n v="12"/>
    <x v="3853"/>
    <x v="2"/>
    <x v="5"/>
    <n v="5"/>
    <n v="20"/>
    <n v="100"/>
    <n v="1"/>
  </r>
  <r>
    <n v="4032"/>
    <n v="3028"/>
    <n v="0.5"/>
    <x v="10"/>
    <d v="2024-11-07T00:00:00"/>
    <x v="3"/>
    <n v="12"/>
    <x v="3854"/>
    <x v="2"/>
    <x v="5"/>
    <n v="1"/>
    <n v="20"/>
    <n v="20"/>
    <n v="0"/>
  </r>
  <r>
    <n v="4033"/>
    <n v="3029"/>
    <n v="1"/>
    <x v="10"/>
    <d v="2024-11-07T00:00:00"/>
    <x v="3"/>
    <n v="15"/>
    <x v="3855"/>
    <x v="3"/>
    <x v="6"/>
    <n v="3"/>
    <n v="50"/>
    <n v="150"/>
    <n v="1"/>
  </r>
  <r>
    <n v="4034"/>
    <n v="3030"/>
    <n v="1"/>
    <x v="10"/>
    <d v="2024-11-07T00:00:00"/>
    <x v="3"/>
    <n v="9"/>
    <x v="3856"/>
    <x v="2"/>
    <x v="15"/>
    <n v="4"/>
    <n v="25"/>
    <n v="100"/>
    <n v="1"/>
  </r>
  <r>
    <n v="4035"/>
    <n v="3031"/>
    <n v="1"/>
    <x v="10"/>
    <d v="2024-11-07T00:00:00"/>
    <x v="3"/>
    <n v="9"/>
    <x v="3857"/>
    <x v="1"/>
    <x v="2"/>
    <n v="1"/>
    <n v="680"/>
    <n v="680"/>
    <n v="1"/>
  </r>
  <r>
    <n v="4036"/>
    <n v="3032"/>
    <n v="1"/>
    <x v="10"/>
    <d v="2024-11-07T00:00:00"/>
    <x v="3"/>
    <n v="12"/>
    <x v="2647"/>
    <x v="0"/>
    <x v="9"/>
    <n v="5"/>
    <n v="15"/>
    <n v="75"/>
    <n v="1"/>
  </r>
  <r>
    <n v="4037"/>
    <n v="3033"/>
    <n v="1"/>
    <x v="10"/>
    <d v="2024-11-08T00:00:00"/>
    <x v="4"/>
    <n v="18"/>
    <x v="3858"/>
    <x v="0"/>
    <x v="16"/>
    <n v="2"/>
    <n v="5"/>
    <n v="10"/>
    <n v="1"/>
  </r>
  <r>
    <n v="4038"/>
    <n v="3034"/>
    <n v="0.33333333333333331"/>
    <x v="10"/>
    <d v="2024-11-08T00:00:00"/>
    <x v="4"/>
    <n v="14"/>
    <x v="3859"/>
    <x v="2"/>
    <x v="5"/>
    <n v="3"/>
    <n v="20"/>
    <n v="60"/>
    <n v="1"/>
  </r>
  <r>
    <n v="4039"/>
    <n v="3034"/>
    <n v="0.33333333333333331"/>
    <x v="10"/>
    <d v="2024-11-08T00:00:00"/>
    <x v="4"/>
    <n v="19"/>
    <x v="3860"/>
    <x v="2"/>
    <x v="11"/>
    <n v="4"/>
    <n v="35"/>
    <n v="140"/>
    <n v="0"/>
  </r>
  <r>
    <n v="4040"/>
    <n v="3034"/>
    <n v="0.33333333333333331"/>
    <x v="10"/>
    <d v="2024-11-08T00:00:00"/>
    <x v="4"/>
    <n v="11"/>
    <x v="3861"/>
    <x v="1"/>
    <x v="1"/>
    <n v="5"/>
    <n v="650"/>
    <n v="3250"/>
    <n v="0"/>
  </r>
  <r>
    <n v="4041"/>
    <n v="3035"/>
    <n v="0.5"/>
    <x v="10"/>
    <d v="2024-11-08T00:00:00"/>
    <x v="4"/>
    <n v="17"/>
    <x v="3862"/>
    <x v="2"/>
    <x v="15"/>
    <n v="4"/>
    <n v="25"/>
    <n v="100"/>
    <n v="1"/>
  </r>
  <r>
    <n v="4042"/>
    <n v="3035"/>
    <n v="0.5"/>
    <x v="10"/>
    <d v="2024-11-08T00:00:00"/>
    <x v="4"/>
    <n v="9"/>
    <x v="3863"/>
    <x v="3"/>
    <x v="13"/>
    <n v="2"/>
    <n v="55"/>
    <n v="110"/>
    <n v="0"/>
  </r>
  <r>
    <n v="4043"/>
    <n v="3036"/>
    <n v="0.5"/>
    <x v="10"/>
    <d v="2024-11-08T00:00:00"/>
    <x v="4"/>
    <n v="19"/>
    <x v="3864"/>
    <x v="2"/>
    <x v="10"/>
    <n v="2"/>
    <n v="30"/>
    <n v="60"/>
    <n v="1"/>
  </r>
  <r>
    <n v="4044"/>
    <n v="3036"/>
    <n v="0.5"/>
    <x v="10"/>
    <d v="2024-11-08T00:00:00"/>
    <x v="4"/>
    <n v="18"/>
    <x v="3865"/>
    <x v="2"/>
    <x v="11"/>
    <n v="5"/>
    <n v="35"/>
    <n v="175"/>
    <n v="0"/>
  </r>
  <r>
    <n v="4045"/>
    <n v="3037"/>
    <n v="1"/>
    <x v="10"/>
    <d v="2024-11-08T00:00:00"/>
    <x v="4"/>
    <n v="20"/>
    <x v="3866"/>
    <x v="3"/>
    <x v="18"/>
    <n v="2"/>
    <n v="45"/>
    <n v="90"/>
    <n v="1"/>
  </r>
  <r>
    <n v="4046"/>
    <n v="3038"/>
    <n v="0.33333333333333331"/>
    <x v="10"/>
    <d v="2024-11-08T00:00:00"/>
    <x v="4"/>
    <n v="20"/>
    <x v="3867"/>
    <x v="1"/>
    <x v="3"/>
    <n v="3"/>
    <n v="700"/>
    <n v="2100"/>
    <n v="1"/>
  </r>
  <r>
    <n v="4047"/>
    <n v="3038"/>
    <n v="0.33333333333333331"/>
    <x v="10"/>
    <d v="2024-11-08T00:00:00"/>
    <x v="4"/>
    <n v="19"/>
    <x v="3868"/>
    <x v="3"/>
    <x v="14"/>
    <n v="2"/>
    <n v="40"/>
    <n v="80"/>
    <n v="0"/>
  </r>
  <r>
    <n v="4048"/>
    <n v="3038"/>
    <n v="0.33333333333333331"/>
    <x v="10"/>
    <d v="2024-11-08T00:00:00"/>
    <x v="4"/>
    <n v="15"/>
    <x v="3869"/>
    <x v="1"/>
    <x v="12"/>
    <n v="1"/>
    <n v="1000"/>
    <n v="1000"/>
    <n v="0"/>
  </r>
  <r>
    <n v="4049"/>
    <n v="3039"/>
    <n v="0.33333333333333331"/>
    <x v="10"/>
    <d v="2024-11-09T00:00:00"/>
    <x v="5"/>
    <n v="17"/>
    <x v="3870"/>
    <x v="2"/>
    <x v="10"/>
    <n v="1"/>
    <n v="30"/>
    <n v="30"/>
    <n v="1"/>
  </r>
  <r>
    <n v="4050"/>
    <n v="3039"/>
    <n v="0.33333333333333331"/>
    <x v="10"/>
    <d v="2024-11-09T00:00:00"/>
    <x v="5"/>
    <n v="17"/>
    <x v="3871"/>
    <x v="3"/>
    <x v="18"/>
    <n v="4"/>
    <n v="45"/>
    <n v="180"/>
    <n v="0"/>
  </r>
  <r>
    <n v="4051"/>
    <n v="3039"/>
    <n v="0.33333333333333331"/>
    <x v="10"/>
    <d v="2024-11-09T00:00:00"/>
    <x v="5"/>
    <n v="18"/>
    <x v="546"/>
    <x v="3"/>
    <x v="17"/>
    <n v="3"/>
    <n v="60"/>
    <n v="180"/>
    <n v="0"/>
  </r>
  <r>
    <n v="4052"/>
    <n v="3040"/>
    <n v="0.5"/>
    <x v="10"/>
    <d v="2024-11-09T00:00:00"/>
    <x v="5"/>
    <n v="14"/>
    <x v="3872"/>
    <x v="2"/>
    <x v="15"/>
    <n v="1"/>
    <n v="25"/>
    <n v="25"/>
    <n v="1"/>
  </r>
  <r>
    <n v="4053"/>
    <n v="3040"/>
    <n v="0.5"/>
    <x v="10"/>
    <d v="2024-11-09T00:00:00"/>
    <x v="5"/>
    <n v="11"/>
    <x v="3873"/>
    <x v="1"/>
    <x v="2"/>
    <n v="2"/>
    <n v="680"/>
    <n v="1360"/>
    <n v="0"/>
  </r>
  <r>
    <n v="4054"/>
    <n v="3041"/>
    <n v="0.33333333333333331"/>
    <x v="10"/>
    <d v="2024-11-09T00:00:00"/>
    <x v="5"/>
    <n v="17"/>
    <x v="3874"/>
    <x v="1"/>
    <x v="1"/>
    <n v="3"/>
    <n v="650"/>
    <n v="1950"/>
    <n v="1"/>
  </r>
  <r>
    <n v="4055"/>
    <n v="3041"/>
    <n v="0.33333333333333331"/>
    <x v="10"/>
    <d v="2024-11-09T00:00:00"/>
    <x v="5"/>
    <n v="10"/>
    <x v="3875"/>
    <x v="1"/>
    <x v="12"/>
    <n v="2"/>
    <n v="1000"/>
    <n v="2000"/>
    <n v="0"/>
  </r>
  <r>
    <n v="4056"/>
    <n v="3041"/>
    <n v="0.33333333333333331"/>
    <x v="10"/>
    <d v="2024-11-09T00:00:00"/>
    <x v="5"/>
    <n v="12"/>
    <x v="3876"/>
    <x v="1"/>
    <x v="4"/>
    <n v="2"/>
    <n v="600"/>
    <n v="1200"/>
    <n v="0"/>
  </r>
  <r>
    <n v="4057"/>
    <n v="3042"/>
    <n v="0.5"/>
    <x v="10"/>
    <d v="2024-11-09T00:00:00"/>
    <x v="5"/>
    <n v="20"/>
    <x v="3877"/>
    <x v="0"/>
    <x v="0"/>
    <n v="5"/>
    <n v="20"/>
    <n v="100"/>
    <n v="1"/>
  </r>
  <r>
    <n v="4058"/>
    <n v="3042"/>
    <n v="0.5"/>
    <x v="10"/>
    <d v="2024-11-09T00:00:00"/>
    <x v="5"/>
    <n v="12"/>
    <x v="3878"/>
    <x v="2"/>
    <x v="15"/>
    <n v="1"/>
    <n v="25"/>
    <n v="25"/>
    <n v="0"/>
  </r>
  <r>
    <n v="4059"/>
    <n v="3043"/>
    <n v="0.33333333333333331"/>
    <x v="10"/>
    <d v="2024-11-09T00:00:00"/>
    <x v="5"/>
    <n v="20"/>
    <x v="3879"/>
    <x v="3"/>
    <x v="17"/>
    <n v="4"/>
    <n v="60"/>
    <n v="240"/>
    <n v="1"/>
  </r>
  <r>
    <n v="4060"/>
    <n v="3043"/>
    <n v="0.33333333333333331"/>
    <x v="10"/>
    <d v="2024-11-09T00:00:00"/>
    <x v="5"/>
    <n v="17"/>
    <x v="3880"/>
    <x v="2"/>
    <x v="15"/>
    <n v="3"/>
    <n v="25"/>
    <n v="75"/>
    <n v="0"/>
  </r>
  <r>
    <n v="4061"/>
    <n v="3043"/>
    <n v="0.33333333333333331"/>
    <x v="10"/>
    <d v="2024-11-09T00:00:00"/>
    <x v="5"/>
    <n v="13"/>
    <x v="3881"/>
    <x v="2"/>
    <x v="5"/>
    <n v="5"/>
    <n v="20"/>
    <n v="100"/>
    <n v="0"/>
  </r>
  <r>
    <n v="4062"/>
    <n v="3044"/>
    <n v="0.33333333333333331"/>
    <x v="10"/>
    <d v="2024-11-09T00:00:00"/>
    <x v="5"/>
    <n v="10"/>
    <x v="3882"/>
    <x v="1"/>
    <x v="2"/>
    <n v="1"/>
    <n v="680"/>
    <n v="680"/>
    <n v="1"/>
  </r>
  <r>
    <n v="4063"/>
    <n v="3044"/>
    <n v="0.33333333333333331"/>
    <x v="10"/>
    <d v="2024-11-09T00:00:00"/>
    <x v="5"/>
    <n v="17"/>
    <x v="3883"/>
    <x v="2"/>
    <x v="15"/>
    <n v="4"/>
    <n v="25"/>
    <n v="100"/>
    <n v="0"/>
  </r>
  <r>
    <n v="4064"/>
    <n v="3044"/>
    <n v="0.33333333333333331"/>
    <x v="10"/>
    <d v="2024-11-09T00:00:00"/>
    <x v="5"/>
    <n v="20"/>
    <x v="3884"/>
    <x v="3"/>
    <x v="18"/>
    <n v="5"/>
    <n v="45"/>
    <n v="225"/>
    <n v="0"/>
  </r>
  <r>
    <n v="4065"/>
    <n v="3045"/>
    <n v="0.5"/>
    <x v="10"/>
    <d v="2024-11-09T00:00:00"/>
    <x v="5"/>
    <n v="15"/>
    <x v="3885"/>
    <x v="1"/>
    <x v="2"/>
    <n v="2"/>
    <n v="680"/>
    <n v="1360"/>
    <n v="1"/>
  </r>
  <r>
    <n v="4066"/>
    <n v="3045"/>
    <n v="0.5"/>
    <x v="10"/>
    <d v="2024-11-09T00:00:00"/>
    <x v="5"/>
    <n v="17"/>
    <x v="3886"/>
    <x v="1"/>
    <x v="12"/>
    <n v="2"/>
    <n v="1000"/>
    <n v="2000"/>
    <n v="0"/>
  </r>
  <r>
    <n v="4067"/>
    <n v="3046"/>
    <n v="1"/>
    <x v="10"/>
    <d v="2024-11-10T00:00:00"/>
    <x v="6"/>
    <n v="19"/>
    <x v="3887"/>
    <x v="0"/>
    <x v="16"/>
    <n v="1"/>
    <n v="5"/>
    <n v="5"/>
    <n v="1"/>
  </r>
  <r>
    <n v="4068"/>
    <n v="3047"/>
    <n v="1"/>
    <x v="10"/>
    <d v="2024-11-10T00:00:00"/>
    <x v="6"/>
    <n v="9"/>
    <x v="3888"/>
    <x v="0"/>
    <x v="9"/>
    <n v="1"/>
    <n v="15"/>
    <n v="15"/>
    <n v="1"/>
  </r>
  <r>
    <n v="4069"/>
    <n v="3048"/>
    <n v="0.5"/>
    <x v="10"/>
    <d v="2024-11-10T00:00:00"/>
    <x v="6"/>
    <n v="18"/>
    <x v="3889"/>
    <x v="3"/>
    <x v="14"/>
    <n v="4"/>
    <n v="40"/>
    <n v="160"/>
    <n v="1"/>
  </r>
  <r>
    <n v="4070"/>
    <n v="3048"/>
    <n v="0.5"/>
    <x v="10"/>
    <d v="2024-11-10T00:00:00"/>
    <x v="6"/>
    <n v="9"/>
    <x v="3890"/>
    <x v="0"/>
    <x v="0"/>
    <n v="1"/>
    <n v="20"/>
    <n v="20"/>
    <n v="0"/>
  </r>
  <r>
    <n v="4071"/>
    <n v="3049"/>
    <n v="1"/>
    <x v="10"/>
    <d v="2024-11-11T00:00:00"/>
    <x v="0"/>
    <n v="20"/>
    <x v="3891"/>
    <x v="3"/>
    <x v="13"/>
    <n v="2"/>
    <n v="55"/>
    <n v="110"/>
    <n v="1"/>
  </r>
  <r>
    <n v="4072"/>
    <n v="3050"/>
    <n v="0.33333333333333331"/>
    <x v="10"/>
    <d v="2024-11-11T00:00:00"/>
    <x v="0"/>
    <n v="20"/>
    <x v="3892"/>
    <x v="1"/>
    <x v="3"/>
    <n v="2"/>
    <n v="700"/>
    <n v="1400"/>
    <n v="1"/>
  </r>
  <r>
    <n v="4073"/>
    <n v="3050"/>
    <n v="0.33333333333333331"/>
    <x v="10"/>
    <d v="2024-11-11T00:00:00"/>
    <x v="0"/>
    <n v="10"/>
    <x v="3893"/>
    <x v="3"/>
    <x v="18"/>
    <n v="5"/>
    <n v="45"/>
    <n v="225"/>
    <n v="0"/>
  </r>
  <r>
    <n v="4074"/>
    <n v="3050"/>
    <n v="0.33333333333333331"/>
    <x v="10"/>
    <d v="2024-11-11T00:00:00"/>
    <x v="0"/>
    <n v="19"/>
    <x v="3894"/>
    <x v="1"/>
    <x v="1"/>
    <n v="5"/>
    <n v="650"/>
    <n v="3250"/>
    <n v="0"/>
  </r>
  <r>
    <n v="4075"/>
    <n v="3051"/>
    <n v="0.33333333333333331"/>
    <x v="10"/>
    <d v="2024-11-11T00:00:00"/>
    <x v="0"/>
    <n v="14"/>
    <x v="3895"/>
    <x v="3"/>
    <x v="18"/>
    <n v="3"/>
    <n v="45"/>
    <n v="135"/>
    <n v="1"/>
  </r>
  <r>
    <n v="4076"/>
    <n v="3051"/>
    <n v="0.33333333333333331"/>
    <x v="10"/>
    <d v="2024-11-11T00:00:00"/>
    <x v="0"/>
    <n v="18"/>
    <x v="3896"/>
    <x v="2"/>
    <x v="11"/>
    <n v="4"/>
    <n v="35"/>
    <n v="140"/>
    <n v="0"/>
  </r>
  <r>
    <n v="4077"/>
    <n v="3051"/>
    <n v="0.33333333333333331"/>
    <x v="10"/>
    <d v="2024-11-11T00:00:00"/>
    <x v="0"/>
    <n v="12"/>
    <x v="3897"/>
    <x v="3"/>
    <x v="13"/>
    <n v="2"/>
    <n v="55"/>
    <n v="110"/>
    <n v="0"/>
  </r>
  <r>
    <n v="4078"/>
    <n v="3052"/>
    <n v="0.5"/>
    <x v="10"/>
    <d v="2024-11-11T00:00:00"/>
    <x v="0"/>
    <n v="9"/>
    <x v="3898"/>
    <x v="2"/>
    <x v="10"/>
    <n v="1"/>
    <n v="30"/>
    <n v="30"/>
    <n v="1"/>
  </r>
  <r>
    <n v="4079"/>
    <n v="3052"/>
    <n v="0.5"/>
    <x v="10"/>
    <d v="2024-11-11T00:00:00"/>
    <x v="0"/>
    <n v="12"/>
    <x v="3899"/>
    <x v="1"/>
    <x v="2"/>
    <n v="5"/>
    <n v="680"/>
    <n v="3400"/>
    <n v="0"/>
  </r>
  <r>
    <n v="4080"/>
    <n v="3053"/>
    <n v="0.33333333333333331"/>
    <x v="10"/>
    <d v="2024-11-11T00:00:00"/>
    <x v="0"/>
    <n v="9"/>
    <x v="68"/>
    <x v="1"/>
    <x v="4"/>
    <n v="3"/>
    <n v="600"/>
    <n v="1800"/>
    <n v="1"/>
  </r>
  <r>
    <n v="4081"/>
    <n v="3053"/>
    <n v="0.33333333333333331"/>
    <x v="10"/>
    <d v="2024-11-11T00:00:00"/>
    <x v="0"/>
    <n v="20"/>
    <x v="3900"/>
    <x v="1"/>
    <x v="1"/>
    <n v="2"/>
    <n v="650"/>
    <n v="1300"/>
    <n v="0"/>
  </r>
  <r>
    <n v="4082"/>
    <n v="3053"/>
    <n v="0.33333333333333331"/>
    <x v="10"/>
    <d v="2024-11-11T00:00:00"/>
    <x v="0"/>
    <n v="18"/>
    <x v="3901"/>
    <x v="2"/>
    <x v="10"/>
    <n v="1"/>
    <n v="30"/>
    <n v="30"/>
    <n v="0"/>
  </r>
  <r>
    <n v="4083"/>
    <n v="3054"/>
    <n v="0.5"/>
    <x v="10"/>
    <d v="2024-11-11T00:00:00"/>
    <x v="0"/>
    <n v="18"/>
    <x v="3902"/>
    <x v="0"/>
    <x v="8"/>
    <n v="2"/>
    <n v="10"/>
    <n v="20"/>
    <n v="1"/>
  </r>
  <r>
    <n v="4084"/>
    <n v="3054"/>
    <n v="0.5"/>
    <x v="10"/>
    <d v="2024-11-11T00:00:00"/>
    <x v="0"/>
    <n v="10"/>
    <x v="3903"/>
    <x v="0"/>
    <x v="7"/>
    <n v="3"/>
    <n v="25"/>
    <n v="75"/>
    <n v="0"/>
  </r>
  <r>
    <n v="4085"/>
    <n v="3055"/>
    <n v="1"/>
    <x v="10"/>
    <d v="2024-11-12T00:00:00"/>
    <x v="1"/>
    <n v="13"/>
    <x v="3904"/>
    <x v="0"/>
    <x v="9"/>
    <n v="4"/>
    <n v="15"/>
    <n v="60"/>
    <n v="1"/>
  </r>
  <r>
    <n v="4086"/>
    <n v="3056"/>
    <n v="1"/>
    <x v="10"/>
    <d v="2024-11-12T00:00:00"/>
    <x v="1"/>
    <n v="19"/>
    <x v="3905"/>
    <x v="3"/>
    <x v="18"/>
    <n v="4"/>
    <n v="45"/>
    <n v="180"/>
    <n v="1"/>
  </r>
  <r>
    <n v="4087"/>
    <n v="3057"/>
    <n v="0.5"/>
    <x v="10"/>
    <d v="2024-11-12T00:00:00"/>
    <x v="1"/>
    <n v="18"/>
    <x v="3906"/>
    <x v="1"/>
    <x v="1"/>
    <n v="3"/>
    <n v="650"/>
    <n v="1950"/>
    <n v="1"/>
  </r>
  <r>
    <n v="4088"/>
    <n v="3057"/>
    <n v="0.5"/>
    <x v="10"/>
    <d v="2024-11-12T00:00:00"/>
    <x v="1"/>
    <n v="15"/>
    <x v="3907"/>
    <x v="1"/>
    <x v="3"/>
    <n v="4"/>
    <n v="700"/>
    <n v="2800"/>
    <n v="0"/>
  </r>
  <r>
    <n v="4089"/>
    <n v="3058"/>
    <n v="0.33333333333333331"/>
    <x v="10"/>
    <d v="2024-11-12T00:00:00"/>
    <x v="1"/>
    <n v="16"/>
    <x v="3908"/>
    <x v="3"/>
    <x v="6"/>
    <n v="3"/>
    <n v="50"/>
    <n v="150"/>
    <n v="1"/>
  </r>
  <r>
    <n v="4090"/>
    <n v="3058"/>
    <n v="0.33333333333333331"/>
    <x v="10"/>
    <d v="2024-11-12T00:00:00"/>
    <x v="1"/>
    <n v="20"/>
    <x v="3909"/>
    <x v="3"/>
    <x v="6"/>
    <n v="1"/>
    <n v="50"/>
    <n v="50"/>
    <n v="0"/>
  </r>
  <r>
    <n v="4091"/>
    <n v="3058"/>
    <n v="0.33333333333333331"/>
    <x v="10"/>
    <d v="2024-11-12T00:00:00"/>
    <x v="1"/>
    <n v="17"/>
    <x v="3910"/>
    <x v="3"/>
    <x v="17"/>
    <n v="5"/>
    <n v="60"/>
    <n v="300"/>
    <n v="0"/>
  </r>
  <r>
    <n v="4092"/>
    <n v="3059"/>
    <n v="0.5"/>
    <x v="10"/>
    <d v="2024-11-12T00:00:00"/>
    <x v="1"/>
    <n v="18"/>
    <x v="3911"/>
    <x v="2"/>
    <x v="10"/>
    <n v="2"/>
    <n v="30"/>
    <n v="60"/>
    <n v="1"/>
  </r>
  <r>
    <n v="4093"/>
    <n v="3059"/>
    <n v="0.5"/>
    <x v="10"/>
    <d v="2024-11-12T00:00:00"/>
    <x v="1"/>
    <n v="19"/>
    <x v="3912"/>
    <x v="2"/>
    <x v="10"/>
    <n v="4"/>
    <n v="30"/>
    <n v="120"/>
    <n v="0"/>
  </r>
  <r>
    <n v="4094"/>
    <n v="3060"/>
    <n v="1"/>
    <x v="10"/>
    <d v="2024-11-12T00:00:00"/>
    <x v="1"/>
    <n v="11"/>
    <x v="3913"/>
    <x v="2"/>
    <x v="11"/>
    <n v="1"/>
    <n v="35"/>
    <n v="35"/>
    <n v="1"/>
  </r>
  <r>
    <n v="4095"/>
    <n v="3061"/>
    <n v="1"/>
    <x v="10"/>
    <d v="2024-11-12T00:00:00"/>
    <x v="1"/>
    <n v="16"/>
    <x v="3914"/>
    <x v="0"/>
    <x v="9"/>
    <n v="2"/>
    <n v="15"/>
    <n v="30"/>
    <n v="1"/>
  </r>
  <r>
    <n v="4096"/>
    <n v="3062"/>
    <n v="1"/>
    <x v="10"/>
    <d v="2024-11-12T00:00:00"/>
    <x v="1"/>
    <n v="9"/>
    <x v="3915"/>
    <x v="0"/>
    <x v="0"/>
    <n v="5"/>
    <n v="20"/>
    <n v="100"/>
    <n v="1"/>
  </r>
  <r>
    <n v="4097"/>
    <n v="3063"/>
    <n v="0.33333333333333331"/>
    <x v="10"/>
    <d v="2024-11-12T00:00:00"/>
    <x v="1"/>
    <n v="16"/>
    <x v="3916"/>
    <x v="3"/>
    <x v="17"/>
    <n v="5"/>
    <n v="60"/>
    <n v="300"/>
    <n v="1"/>
  </r>
  <r>
    <n v="4098"/>
    <n v="3063"/>
    <n v="0.33333333333333331"/>
    <x v="10"/>
    <d v="2024-11-12T00:00:00"/>
    <x v="1"/>
    <n v="19"/>
    <x v="3917"/>
    <x v="1"/>
    <x v="3"/>
    <n v="1"/>
    <n v="700"/>
    <n v="700"/>
    <n v="0"/>
  </r>
  <r>
    <n v="4099"/>
    <n v="3063"/>
    <n v="0.33333333333333331"/>
    <x v="10"/>
    <d v="2024-11-12T00:00:00"/>
    <x v="1"/>
    <n v="12"/>
    <x v="3918"/>
    <x v="1"/>
    <x v="4"/>
    <n v="3"/>
    <n v="600"/>
    <n v="1800"/>
    <n v="0"/>
  </r>
  <r>
    <n v="4100"/>
    <n v="3064"/>
    <n v="1"/>
    <x v="10"/>
    <d v="2024-11-12T00:00:00"/>
    <x v="1"/>
    <n v="20"/>
    <x v="3919"/>
    <x v="3"/>
    <x v="6"/>
    <n v="3"/>
    <n v="50"/>
    <n v="150"/>
    <n v="1"/>
  </r>
  <r>
    <n v="4101"/>
    <n v="3065"/>
    <n v="1"/>
    <x v="10"/>
    <d v="2024-11-13T00:00:00"/>
    <x v="2"/>
    <n v="16"/>
    <x v="3920"/>
    <x v="1"/>
    <x v="12"/>
    <n v="2"/>
    <n v="1000"/>
    <n v="2000"/>
    <n v="1"/>
  </r>
  <r>
    <n v="4102"/>
    <n v="3066"/>
    <n v="1"/>
    <x v="10"/>
    <d v="2024-11-13T00:00:00"/>
    <x v="2"/>
    <n v="17"/>
    <x v="3921"/>
    <x v="1"/>
    <x v="3"/>
    <n v="2"/>
    <n v="700"/>
    <n v="1400"/>
    <n v="1"/>
  </r>
  <r>
    <n v="4103"/>
    <n v="3067"/>
    <n v="1"/>
    <x v="10"/>
    <d v="2024-11-13T00:00:00"/>
    <x v="2"/>
    <n v="15"/>
    <x v="3922"/>
    <x v="3"/>
    <x v="17"/>
    <n v="3"/>
    <n v="60"/>
    <n v="180"/>
    <n v="1"/>
  </r>
  <r>
    <n v="4104"/>
    <n v="3068"/>
    <n v="0.33333333333333331"/>
    <x v="10"/>
    <d v="2024-11-13T00:00:00"/>
    <x v="2"/>
    <n v="10"/>
    <x v="3923"/>
    <x v="3"/>
    <x v="6"/>
    <n v="1"/>
    <n v="50"/>
    <n v="50"/>
    <n v="1"/>
  </r>
  <r>
    <n v="4105"/>
    <n v="3068"/>
    <n v="0.33333333333333331"/>
    <x v="10"/>
    <d v="2024-11-13T00:00:00"/>
    <x v="2"/>
    <n v="10"/>
    <x v="3924"/>
    <x v="1"/>
    <x v="2"/>
    <n v="1"/>
    <n v="680"/>
    <n v="680"/>
    <n v="0"/>
  </r>
  <r>
    <n v="4106"/>
    <n v="3068"/>
    <n v="0.33333333333333331"/>
    <x v="10"/>
    <d v="2024-11-13T00:00:00"/>
    <x v="2"/>
    <n v="19"/>
    <x v="3925"/>
    <x v="0"/>
    <x v="7"/>
    <n v="2"/>
    <n v="25"/>
    <n v="50"/>
    <n v="0"/>
  </r>
  <r>
    <n v="4107"/>
    <n v="3069"/>
    <n v="1"/>
    <x v="10"/>
    <d v="2024-11-14T00:00:00"/>
    <x v="3"/>
    <n v="19"/>
    <x v="3926"/>
    <x v="0"/>
    <x v="8"/>
    <n v="1"/>
    <n v="10"/>
    <n v="10"/>
    <n v="1"/>
  </r>
  <r>
    <n v="4108"/>
    <n v="3070"/>
    <n v="0.33333333333333331"/>
    <x v="10"/>
    <d v="2024-11-14T00:00:00"/>
    <x v="3"/>
    <n v="11"/>
    <x v="3927"/>
    <x v="0"/>
    <x v="7"/>
    <n v="4"/>
    <n v="25"/>
    <n v="100"/>
    <n v="1"/>
  </r>
  <r>
    <n v="4109"/>
    <n v="3070"/>
    <n v="0.33333333333333331"/>
    <x v="10"/>
    <d v="2024-11-14T00:00:00"/>
    <x v="3"/>
    <n v="16"/>
    <x v="592"/>
    <x v="1"/>
    <x v="3"/>
    <n v="4"/>
    <n v="700"/>
    <n v="2800"/>
    <n v="0"/>
  </r>
  <r>
    <n v="4110"/>
    <n v="3070"/>
    <n v="0.33333333333333331"/>
    <x v="10"/>
    <d v="2024-11-14T00:00:00"/>
    <x v="3"/>
    <n v="15"/>
    <x v="3928"/>
    <x v="3"/>
    <x v="13"/>
    <n v="1"/>
    <n v="55"/>
    <n v="55"/>
    <n v="0"/>
  </r>
  <r>
    <n v="4111"/>
    <n v="3071"/>
    <n v="1"/>
    <x v="10"/>
    <d v="2024-11-14T00:00:00"/>
    <x v="3"/>
    <n v="11"/>
    <x v="2490"/>
    <x v="0"/>
    <x v="9"/>
    <n v="1"/>
    <n v="15"/>
    <n v="15"/>
    <n v="1"/>
  </r>
  <r>
    <n v="4112"/>
    <n v="3072"/>
    <n v="0.5"/>
    <x v="10"/>
    <d v="2024-11-14T00:00:00"/>
    <x v="3"/>
    <n v="20"/>
    <x v="3929"/>
    <x v="2"/>
    <x v="15"/>
    <n v="2"/>
    <n v="25"/>
    <n v="50"/>
    <n v="1"/>
  </r>
  <r>
    <n v="4113"/>
    <n v="3072"/>
    <n v="0.5"/>
    <x v="10"/>
    <d v="2024-11-14T00:00:00"/>
    <x v="3"/>
    <n v="17"/>
    <x v="3930"/>
    <x v="3"/>
    <x v="18"/>
    <n v="3"/>
    <n v="45"/>
    <n v="135"/>
    <n v="0"/>
  </r>
  <r>
    <n v="4114"/>
    <n v="3073"/>
    <n v="0.33333333333333331"/>
    <x v="10"/>
    <d v="2024-11-14T00:00:00"/>
    <x v="3"/>
    <n v="20"/>
    <x v="3931"/>
    <x v="3"/>
    <x v="6"/>
    <n v="5"/>
    <n v="50"/>
    <n v="250"/>
    <n v="1"/>
  </r>
  <r>
    <n v="4115"/>
    <n v="3073"/>
    <n v="0.33333333333333331"/>
    <x v="10"/>
    <d v="2024-11-14T00:00:00"/>
    <x v="3"/>
    <n v="11"/>
    <x v="3932"/>
    <x v="2"/>
    <x v="5"/>
    <n v="1"/>
    <n v="20"/>
    <n v="20"/>
    <n v="0"/>
  </r>
  <r>
    <n v="4116"/>
    <n v="3073"/>
    <n v="0.33333333333333331"/>
    <x v="10"/>
    <d v="2024-11-14T00:00:00"/>
    <x v="3"/>
    <n v="18"/>
    <x v="3933"/>
    <x v="3"/>
    <x v="13"/>
    <n v="3"/>
    <n v="55"/>
    <n v="165"/>
    <n v="0"/>
  </r>
  <r>
    <n v="4117"/>
    <n v="3074"/>
    <n v="0.33333333333333331"/>
    <x v="10"/>
    <d v="2024-11-14T00:00:00"/>
    <x v="3"/>
    <n v="11"/>
    <x v="3934"/>
    <x v="3"/>
    <x v="6"/>
    <n v="5"/>
    <n v="50"/>
    <n v="250"/>
    <n v="1"/>
  </r>
  <r>
    <n v="4118"/>
    <n v="3074"/>
    <n v="0.33333333333333331"/>
    <x v="10"/>
    <d v="2024-11-14T00:00:00"/>
    <x v="3"/>
    <n v="16"/>
    <x v="3935"/>
    <x v="0"/>
    <x v="7"/>
    <n v="4"/>
    <n v="25"/>
    <n v="100"/>
    <n v="0"/>
  </r>
  <r>
    <n v="4119"/>
    <n v="3074"/>
    <n v="0.33333333333333331"/>
    <x v="10"/>
    <d v="2024-11-14T00:00:00"/>
    <x v="3"/>
    <n v="19"/>
    <x v="3936"/>
    <x v="2"/>
    <x v="5"/>
    <n v="5"/>
    <n v="20"/>
    <n v="100"/>
    <n v="0"/>
  </r>
  <r>
    <n v="4120"/>
    <n v="3075"/>
    <n v="1"/>
    <x v="10"/>
    <d v="2024-11-14T00:00:00"/>
    <x v="3"/>
    <n v="15"/>
    <x v="3937"/>
    <x v="3"/>
    <x v="17"/>
    <n v="3"/>
    <n v="60"/>
    <n v="180"/>
    <n v="1"/>
  </r>
  <r>
    <n v="4121"/>
    <n v="3076"/>
    <n v="0.5"/>
    <x v="10"/>
    <d v="2024-11-14T00:00:00"/>
    <x v="3"/>
    <n v="18"/>
    <x v="2111"/>
    <x v="1"/>
    <x v="3"/>
    <n v="4"/>
    <n v="700"/>
    <n v="2800"/>
    <n v="1"/>
  </r>
  <r>
    <n v="4122"/>
    <n v="3076"/>
    <n v="0.5"/>
    <x v="10"/>
    <d v="2024-11-14T00:00:00"/>
    <x v="3"/>
    <n v="15"/>
    <x v="3938"/>
    <x v="2"/>
    <x v="10"/>
    <n v="4"/>
    <n v="30"/>
    <n v="120"/>
    <n v="0"/>
  </r>
  <r>
    <n v="4123"/>
    <n v="3077"/>
    <n v="0.5"/>
    <x v="10"/>
    <d v="2024-11-14T00:00:00"/>
    <x v="3"/>
    <n v="15"/>
    <x v="3939"/>
    <x v="2"/>
    <x v="10"/>
    <n v="5"/>
    <n v="30"/>
    <n v="150"/>
    <n v="1"/>
  </r>
  <r>
    <n v="4124"/>
    <n v="3077"/>
    <n v="0.5"/>
    <x v="10"/>
    <d v="2024-11-14T00:00:00"/>
    <x v="3"/>
    <n v="14"/>
    <x v="3940"/>
    <x v="1"/>
    <x v="4"/>
    <n v="4"/>
    <n v="600"/>
    <n v="2400"/>
    <n v="0"/>
  </r>
  <r>
    <n v="4125"/>
    <n v="3078"/>
    <n v="1"/>
    <x v="10"/>
    <d v="2024-11-15T00:00:00"/>
    <x v="4"/>
    <n v="12"/>
    <x v="3941"/>
    <x v="2"/>
    <x v="15"/>
    <n v="2"/>
    <n v="25"/>
    <n v="50"/>
    <n v="1"/>
  </r>
  <r>
    <n v="4126"/>
    <n v="3079"/>
    <n v="0.5"/>
    <x v="10"/>
    <d v="2024-11-15T00:00:00"/>
    <x v="4"/>
    <n v="16"/>
    <x v="3942"/>
    <x v="0"/>
    <x v="16"/>
    <n v="1"/>
    <n v="5"/>
    <n v="5"/>
    <n v="1"/>
  </r>
  <r>
    <n v="4127"/>
    <n v="3079"/>
    <n v="0.5"/>
    <x v="10"/>
    <d v="2024-11-15T00:00:00"/>
    <x v="4"/>
    <n v="20"/>
    <x v="3943"/>
    <x v="1"/>
    <x v="12"/>
    <n v="1"/>
    <n v="1000"/>
    <n v="1000"/>
    <n v="0"/>
  </r>
  <r>
    <n v="4128"/>
    <n v="3080"/>
    <n v="0.5"/>
    <x v="10"/>
    <d v="2024-11-15T00:00:00"/>
    <x v="4"/>
    <n v="12"/>
    <x v="3944"/>
    <x v="2"/>
    <x v="11"/>
    <n v="1"/>
    <n v="35"/>
    <n v="35"/>
    <n v="1"/>
  </r>
  <r>
    <n v="4129"/>
    <n v="3080"/>
    <n v="0.5"/>
    <x v="10"/>
    <d v="2024-11-15T00:00:00"/>
    <x v="4"/>
    <n v="9"/>
    <x v="3945"/>
    <x v="3"/>
    <x v="6"/>
    <n v="5"/>
    <n v="50"/>
    <n v="250"/>
    <n v="0"/>
  </r>
  <r>
    <n v="4130"/>
    <n v="3081"/>
    <n v="0.5"/>
    <x v="10"/>
    <d v="2024-11-15T00:00:00"/>
    <x v="4"/>
    <n v="10"/>
    <x v="3946"/>
    <x v="1"/>
    <x v="2"/>
    <n v="5"/>
    <n v="680"/>
    <n v="3400"/>
    <n v="1"/>
  </r>
  <r>
    <n v="4131"/>
    <n v="3081"/>
    <n v="0.5"/>
    <x v="10"/>
    <d v="2024-11-15T00:00:00"/>
    <x v="4"/>
    <n v="11"/>
    <x v="3947"/>
    <x v="1"/>
    <x v="2"/>
    <n v="2"/>
    <n v="680"/>
    <n v="1360"/>
    <n v="0"/>
  </r>
  <r>
    <n v="4132"/>
    <n v="3082"/>
    <n v="0.5"/>
    <x v="10"/>
    <d v="2024-11-15T00:00:00"/>
    <x v="4"/>
    <n v="16"/>
    <x v="3948"/>
    <x v="0"/>
    <x v="0"/>
    <n v="4"/>
    <n v="20"/>
    <n v="80"/>
    <n v="1"/>
  </r>
  <r>
    <n v="4133"/>
    <n v="3082"/>
    <n v="0.5"/>
    <x v="10"/>
    <d v="2024-11-15T00:00:00"/>
    <x v="4"/>
    <n v="16"/>
    <x v="3949"/>
    <x v="0"/>
    <x v="9"/>
    <n v="2"/>
    <n v="15"/>
    <n v="30"/>
    <n v="0"/>
  </r>
  <r>
    <n v="4134"/>
    <n v="3083"/>
    <n v="0.5"/>
    <x v="10"/>
    <d v="2024-11-15T00:00:00"/>
    <x v="4"/>
    <n v="13"/>
    <x v="3950"/>
    <x v="0"/>
    <x v="8"/>
    <n v="1"/>
    <n v="10"/>
    <n v="10"/>
    <n v="1"/>
  </r>
  <r>
    <n v="4135"/>
    <n v="3083"/>
    <n v="0.5"/>
    <x v="10"/>
    <d v="2024-11-15T00:00:00"/>
    <x v="4"/>
    <n v="20"/>
    <x v="3951"/>
    <x v="1"/>
    <x v="2"/>
    <n v="2"/>
    <n v="680"/>
    <n v="1360"/>
    <n v="0"/>
  </r>
  <r>
    <n v="4136"/>
    <n v="3084"/>
    <n v="0.33333333333333331"/>
    <x v="10"/>
    <d v="2024-11-15T00:00:00"/>
    <x v="4"/>
    <n v="13"/>
    <x v="3952"/>
    <x v="0"/>
    <x v="7"/>
    <n v="4"/>
    <n v="25"/>
    <n v="100"/>
    <n v="1"/>
  </r>
  <r>
    <n v="4137"/>
    <n v="3084"/>
    <n v="0.33333333333333331"/>
    <x v="10"/>
    <d v="2024-11-15T00:00:00"/>
    <x v="4"/>
    <n v="18"/>
    <x v="1051"/>
    <x v="1"/>
    <x v="12"/>
    <n v="5"/>
    <n v="1000"/>
    <n v="5000"/>
    <n v="0"/>
  </r>
  <r>
    <n v="4138"/>
    <n v="3084"/>
    <n v="0.33333333333333331"/>
    <x v="10"/>
    <d v="2024-11-15T00:00:00"/>
    <x v="4"/>
    <n v="9"/>
    <x v="3953"/>
    <x v="3"/>
    <x v="18"/>
    <n v="4"/>
    <n v="45"/>
    <n v="180"/>
    <n v="0"/>
  </r>
  <r>
    <n v="4139"/>
    <n v="3085"/>
    <n v="0.33333333333333331"/>
    <x v="10"/>
    <d v="2024-11-15T00:00:00"/>
    <x v="4"/>
    <n v="11"/>
    <x v="3954"/>
    <x v="3"/>
    <x v="13"/>
    <n v="5"/>
    <n v="55"/>
    <n v="275"/>
    <n v="1"/>
  </r>
  <r>
    <n v="4140"/>
    <n v="3085"/>
    <n v="0.33333333333333331"/>
    <x v="10"/>
    <d v="2024-11-15T00:00:00"/>
    <x v="4"/>
    <n v="10"/>
    <x v="3955"/>
    <x v="0"/>
    <x v="16"/>
    <n v="5"/>
    <n v="5"/>
    <n v="25"/>
    <n v="0"/>
  </r>
  <r>
    <n v="4141"/>
    <n v="3085"/>
    <n v="0.33333333333333331"/>
    <x v="10"/>
    <d v="2024-11-15T00:00:00"/>
    <x v="4"/>
    <n v="10"/>
    <x v="3956"/>
    <x v="1"/>
    <x v="4"/>
    <n v="4"/>
    <n v="600"/>
    <n v="2400"/>
    <n v="0"/>
  </r>
  <r>
    <n v="4142"/>
    <n v="3086"/>
    <n v="0.5"/>
    <x v="10"/>
    <d v="2024-11-15T00:00:00"/>
    <x v="4"/>
    <n v="19"/>
    <x v="3957"/>
    <x v="2"/>
    <x v="15"/>
    <n v="3"/>
    <n v="25"/>
    <n v="75"/>
    <n v="1"/>
  </r>
  <r>
    <n v="4143"/>
    <n v="3086"/>
    <n v="0.5"/>
    <x v="10"/>
    <d v="2024-11-15T00:00:00"/>
    <x v="4"/>
    <n v="20"/>
    <x v="3958"/>
    <x v="1"/>
    <x v="4"/>
    <n v="4"/>
    <n v="600"/>
    <n v="2400"/>
    <n v="0"/>
  </r>
  <r>
    <n v="4144"/>
    <n v="3087"/>
    <n v="0.5"/>
    <x v="10"/>
    <d v="2024-11-16T00:00:00"/>
    <x v="5"/>
    <n v="11"/>
    <x v="3959"/>
    <x v="2"/>
    <x v="15"/>
    <n v="2"/>
    <n v="25"/>
    <n v="50"/>
    <n v="1"/>
  </r>
  <r>
    <n v="4145"/>
    <n v="3087"/>
    <n v="0.5"/>
    <x v="10"/>
    <d v="2024-11-16T00:00:00"/>
    <x v="5"/>
    <n v="19"/>
    <x v="3960"/>
    <x v="2"/>
    <x v="15"/>
    <n v="1"/>
    <n v="25"/>
    <n v="25"/>
    <n v="0"/>
  </r>
  <r>
    <n v="4146"/>
    <n v="3088"/>
    <n v="0.33333333333333331"/>
    <x v="10"/>
    <d v="2024-11-16T00:00:00"/>
    <x v="5"/>
    <n v="11"/>
    <x v="3961"/>
    <x v="0"/>
    <x v="7"/>
    <n v="5"/>
    <n v="25"/>
    <n v="125"/>
    <n v="1"/>
  </r>
  <r>
    <n v="4147"/>
    <n v="3088"/>
    <n v="0.33333333333333331"/>
    <x v="10"/>
    <d v="2024-11-16T00:00:00"/>
    <x v="5"/>
    <n v="18"/>
    <x v="3962"/>
    <x v="3"/>
    <x v="18"/>
    <n v="5"/>
    <n v="45"/>
    <n v="225"/>
    <n v="0"/>
  </r>
  <r>
    <n v="4148"/>
    <n v="3088"/>
    <n v="0.33333333333333331"/>
    <x v="10"/>
    <d v="2024-11-16T00:00:00"/>
    <x v="5"/>
    <n v="14"/>
    <x v="3963"/>
    <x v="0"/>
    <x v="8"/>
    <n v="3"/>
    <n v="10"/>
    <n v="30"/>
    <n v="0"/>
  </r>
  <r>
    <n v="4149"/>
    <n v="3089"/>
    <n v="1"/>
    <x v="10"/>
    <d v="2024-11-16T00:00:00"/>
    <x v="5"/>
    <n v="16"/>
    <x v="643"/>
    <x v="2"/>
    <x v="11"/>
    <n v="4"/>
    <n v="35"/>
    <n v="140"/>
    <n v="1"/>
  </r>
  <r>
    <n v="4150"/>
    <n v="3090"/>
    <n v="0.5"/>
    <x v="10"/>
    <d v="2024-11-16T00:00:00"/>
    <x v="5"/>
    <n v="10"/>
    <x v="3964"/>
    <x v="0"/>
    <x v="9"/>
    <n v="4"/>
    <n v="15"/>
    <n v="60"/>
    <n v="1"/>
  </r>
  <r>
    <n v="4151"/>
    <n v="3090"/>
    <n v="0.5"/>
    <x v="10"/>
    <d v="2024-11-16T00:00:00"/>
    <x v="5"/>
    <n v="11"/>
    <x v="3965"/>
    <x v="0"/>
    <x v="8"/>
    <n v="4"/>
    <n v="10"/>
    <n v="40"/>
    <n v="0"/>
  </r>
  <r>
    <n v="4152"/>
    <n v="3091"/>
    <n v="0.33333333333333331"/>
    <x v="10"/>
    <d v="2024-11-16T00:00:00"/>
    <x v="5"/>
    <n v="19"/>
    <x v="3966"/>
    <x v="2"/>
    <x v="11"/>
    <n v="4"/>
    <n v="35"/>
    <n v="140"/>
    <n v="1"/>
  </r>
  <r>
    <n v="4153"/>
    <n v="3091"/>
    <n v="0.33333333333333331"/>
    <x v="10"/>
    <d v="2024-11-16T00:00:00"/>
    <x v="5"/>
    <n v="13"/>
    <x v="3967"/>
    <x v="0"/>
    <x v="0"/>
    <n v="2"/>
    <n v="20"/>
    <n v="40"/>
    <n v="0"/>
  </r>
  <r>
    <n v="4154"/>
    <n v="3091"/>
    <n v="0.33333333333333331"/>
    <x v="10"/>
    <d v="2024-11-16T00:00:00"/>
    <x v="5"/>
    <n v="13"/>
    <x v="3968"/>
    <x v="2"/>
    <x v="5"/>
    <n v="4"/>
    <n v="20"/>
    <n v="80"/>
    <n v="0"/>
  </r>
  <r>
    <n v="4155"/>
    <n v="3092"/>
    <n v="1"/>
    <x v="10"/>
    <d v="2024-11-17T00:00:00"/>
    <x v="6"/>
    <n v="17"/>
    <x v="3969"/>
    <x v="0"/>
    <x v="0"/>
    <n v="5"/>
    <n v="20"/>
    <n v="100"/>
    <n v="1"/>
  </r>
  <r>
    <n v="4156"/>
    <n v="3093"/>
    <n v="0.5"/>
    <x v="10"/>
    <d v="2024-11-17T00:00:00"/>
    <x v="6"/>
    <n v="15"/>
    <x v="697"/>
    <x v="1"/>
    <x v="3"/>
    <n v="3"/>
    <n v="700"/>
    <n v="2100"/>
    <n v="1"/>
  </r>
  <r>
    <n v="4157"/>
    <n v="3093"/>
    <n v="0.5"/>
    <x v="10"/>
    <d v="2024-11-17T00:00:00"/>
    <x v="6"/>
    <n v="18"/>
    <x v="3970"/>
    <x v="3"/>
    <x v="13"/>
    <n v="4"/>
    <n v="55"/>
    <n v="220"/>
    <n v="0"/>
  </r>
  <r>
    <n v="4158"/>
    <n v="3094"/>
    <n v="0.33333333333333331"/>
    <x v="10"/>
    <d v="2024-11-17T00:00:00"/>
    <x v="6"/>
    <n v="19"/>
    <x v="3971"/>
    <x v="0"/>
    <x v="16"/>
    <n v="5"/>
    <n v="5"/>
    <n v="25"/>
    <n v="1"/>
  </r>
  <r>
    <n v="4159"/>
    <n v="3094"/>
    <n v="0.33333333333333331"/>
    <x v="10"/>
    <d v="2024-11-17T00:00:00"/>
    <x v="6"/>
    <n v="10"/>
    <x v="3972"/>
    <x v="3"/>
    <x v="17"/>
    <n v="4"/>
    <n v="60"/>
    <n v="240"/>
    <n v="0"/>
  </r>
  <r>
    <n v="4160"/>
    <n v="3094"/>
    <n v="0.33333333333333331"/>
    <x v="10"/>
    <d v="2024-11-17T00:00:00"/>
    <x v="6"/>
    <n v="18"/>
    <x v="3973"/>
    <x v="2"/>
    <x v="10"/>
    <n v="2"/>
    <n v="30"/>
    <n v="60"/>
    <n v="0"/>
  </r>
  <r>
    <n v="4161"/>
    <n v="3095"/>
    <n v="1"/>
    <x v="10"/>
    <d v="2024-11-17T00:00:00"/>
    <x v="6"/>
    <n v="11"/>
    <x v="1274"/>
    <x v="2"/>
    <x v="15"/>
    <n v="1"/>
    <n v="25"/>
    <n v="25"/>
    <n v="1"/>
  </r>
  <r>
    <n v="4162"/>
    <n v="3096"/>
    <n v="0.5"/>
    <x v="10"/>
    <d v="2024-11-18T00:00:00"/>
    <x v="0"/>
    <n v="20"/>
    <x v="1579"/>
    <x v="1"/>
    <x v="2"/>
    <n v="5"/>
    <n v="680"/>
    <n v="3400"/>
    <n v="1"/>
  </r>
  <r>
    <n v="4163"/>
    <n v="3096"/>
    <n v="0.5"/>
    <x v="10"/>
    <d v="2024-11-18T00:00:00"/>
    <x v="0"/>
    <n v="11"/>
    <x v="3974"/>
    <x v="2"/>
    <x v="10"/>
    <n v="3"/>
    <n v="30"/>
    <n v="90"/>
    <n v="0"/>
  </r>
  <r>
    <n v="4164"/>
    <n v="3097"/>
    <n v="0.33333333333333331"/>
    <x v="10"/>
    <d v="2024-11-18T00:00:00"/>
    <x v="0"/>
    <n v="10"/>
    <x v="1824"/>
    <x v="3"/>
    <x v="18"/>
    <n v="3"/>
    <n v="45"/>
    <n v="135"/>
    <n v="1"/>
  </r>
  <r>
    <n v="4165"/>
    <n v="3097"/>
    <n v="0.33333333333333331"/>
    <x v="10"/>
    <d v="2024-11-18T00:00:00"/>
    <x v="0"/>
    <n v="12"/>
    <x v="3975"/>
    <x v="1"/>
    <x v="2"/>
    <n v="2"/>
    <n v="680"/>
    <n v="1360"/>
    <n v="0"/>
  </r>
  <r>
    <n v="4166"/>
    <n v="3097"/>
    <n v="0.33333333333333331"/>
    <x v="10"/>
    <d v="2024-11-18T00:00:00"/>
    <x v="0"/>
    <n v="19"/>
    <x v="2476"/>
    <x v="2"/>
    <x v="10"/>
    <n v="2"/>
    <n v="30"/>
    <n v="60"/>
    <n v="0"/>
  </r>
  <r>
    <n v="4167"/>
    <n v="3098"/>
    <n v="0.33333333333333331"/>
    <x v="10"/>
    <d v="2024-11-18T00:00:00"/>
    <x v="0"/>
    <n v="14"/>
    <x v="3976"/>
    <x v="1"/>
    <x v="3"/>
    <n v="4"/>
    <n v="700"/>
    <n v="2800"/>
    <n v="1"/>
  </r>
  <r>
    <n v="4168"/>
    <n v="3098"/>
    <n v="0.33333333333333331"/>
    <x v="10"/>
    <d v="2024-11-18T00:00:00"/>
    <x v="0"/>
    <n v="20"/>
    <x v="3977"/>
    <x v="1"/>
    <x v="4"/>
    <n v="4"/>
    <n v="600"/>
    <n v="2400"/>
    <n v="0"/>
  </r>
  <r>
    <n v="4169"/>
    <n v="3098"/>
    <n v="0.33333333333333331"/>
    <x v="10"/>
    <d v="2024-11-18T00:00:00"/>
    <x v="0"/>
    <n v="11"/>
    <x v="3978"/>
    <x v="3"/>
    <x v="6"/>
    <n v="3"/>
    <n v="50"/>
    <n v="150"/>
    <n v="0"/>
  </r>
  <r>
    <n v="4170"/>
    <n v="3099"/>
    <n v="0.33333333333333331"/>
    <x v="10"/>
    <d v="2024-11-18T00:00:00"/>
    <x v="0"/>
    <n v="18"/>
    <x v="3979"/>
    <x v="3"/>
    <x v="6"/>
    <n v="5"/>
    <n v="50"/>
    <n v="250"/>
    <n v="1"/>
  </r>
  <r>
    <n v="4171"/>
    <n v="3099"/>
    <n v="0.33333333333333331"/>
    <x v="10"/>
    <d v="2024-11-18T00:00:00"/>
    <x v="0"/>
    <n v="13"/>
    <x v="3980"/>
    <x v="2"/>
    <x v="5"/>
    <n v="5"/>
    <n v="20"/>
    <n v="100"/>
    <n v="0"/>
  </r>
  <r>
    <n v="4172"/>
    <n v="3099"/>
    <n v="0.33333333333333331"/>
    <x v="10"/>
    <d v="2024-11-18T00:00:00"/>
    <x v="0"/>
    <n v="20"/>
    <x v="3981"/>
    <x v="3"/>
    <x v="14"/>
    <n v="4"/>
    <n v="40"/>
    <n v="160"/>
    <n v="0"/>
  </r>
  <r>
    <n v="4173"/>
    <n v="3100"/>
    <n v="1"/>
    <x v="10"/>
    <d v="2024-11-18T00:00:00"/>
    <x v="0"/>
    <n v="19"/>
    <x v="3982"/>
    <x v="2"/>
    <x v="5"/>
    <n v="2"/>
    <n v="20"/>
    <n v="40"/>
    <n v="1"/>
  </r>
  <r>
    <n v="4174"/>
    <n v="3101"/>
    <n v="0.33333333333333331"/>
    <x v="10"/>
    <d v="2024-11-18T00:00:00"/>
    <x v="0"/>
    <n v="12"/>
    <x v="3983"/>
    <x v="1"/>
    <x v="1"/>
    <n v="4"/>
    <n v="650"/>
    <n v="2600"/>
    <n v="1"/>
  </r>
  <r>
    <n v="4175"/>
    <n v="3101"/>
    <n v="0.33333333333333331"/>
    <x v="10"/>
    <d v="2024-11-18T00:00:00"/>
    <x v="0"/>
    <n v="14"/>
    <x v="3984"/>
    <x v="0"/>
    <x v="8"/>
    <n v="1"/>
    <n v="10"/>
    <n v="10"/>
    <n v="0"/>
  </r>
  <r>
    <n v="4176"/>
    <n v="3101"/>
    <n v="0.33333333333333331"/>
    <x v="10"/>
    <d v="2024-11-18T00:00:00"/>
    <x v="0"/>
    <n v="13"/>
    <x v="3985"/>
    <x v="1"/>
    <x v="12"/>
    <n v="5"/>
    <n v="1000"/>
    <n v="5000"/>
    <n v="0"/>
  </r>
  <r>
    <n v="4177"/>
    <n v="3102"/>
    <n v="0.33333333333333331"/>
    <x v="10"/>
    <d v="2024-11-18T00:00:00"/>
    <x v="0"/>
    <n v="12"/>
    <x v="40"/>
    <x v="2"/>
    <x v="15"/>
    <n v="4"/>
    <n v="25"/>
    <n v="100"/>
    <n v="1"/>
  </r>
  <r>
    <n v="4178"/>
    <n v="3102"/>
    <n v="0.33333333333333331"/>
    <x v="10"/>
    <d v="2024-11-18T00:00:00"/>
    <x v="0"/>
    <n v="17"/>
    <x v="3986"/>
    <x v="3"/>
    <x v="17"/>
    <n v="5"/>
    <n v="60"/>
    <n v="300"/>
    <n v="0"/>
  </r>
  <r>
    <n v="4179"/>
    <n v="3102"/>
    <n v="0.33333333333333331"/>
    <x v="10"/>
    <d v="2024-11-18T00:00:00"/>
    <x v="0"/>
    <n v="11"/>
    <x v="3987"/>
    <x v="1"/>
    <x v="12"/>
    <n v="2"/>
    <n v="1000"/>
    <n v="2000"/>
    <n v="0"/>
  </r>
  <r>
    <n v="4180"/>
    <n v="3103"/>
    <n v="0.5"/>
    <x v="10"/>
    <d v="2024-11-18T00:00:00"/>
    <x v="0"/>
    <n v="14"/>
    <x v="3988"/>
    <x v="3"/>
    <x v="6"/>
    <n v="4"/>
    <n v="50"/>
    <n v="200"/>
    <n v="1"/>
  </r>
  <r>
    <n v="4181"/>
    <n v="3103"/>
    <n v="0.5"/>
    <x v="10"/>
    <d v="2024-11-18T00:00:00"/>
    <x v="0"/>
    <n v="13"/>
    <x v="1533"/>
    <x v="3"/>
    <x v="14"/>
    <n v="1"/>
    <n v="40"/>
    <n v="40"/>
    <n v="0"/>
  </r>
  <r>
    <n v="4182"/>
    <n v="3104"/>
    <n v="0.33333333333333331"/>
    <x v="10"/>
    <d v="2024-11-19T00:00:00"/>
    <x v="1"/>
    <n v="15"/>
    <x v="3989"/>
    <x v="1"/>
    <x v="1"/>
    <n v="4"/>
    <n v="650"/>
    <n v="2600"/>
    <n v="1"/>
  </r>
  <r>
    <n v="4183"/>
    <n v="3104"/>
    <n v="0.33333333333333331"/>
    <x v="10"/>
    <d v="2024-11-19T00:00:00"/>
    <x v="1"/>
    <n v="18"/>
    <x v="3990"/>
    <x v="3"/>
    <x v="17"/>
    <n v="1"/>
    <n v="60"/>
    <n v="60"/>
    <n v="0"/>
  </r>
  <r>
    <n v="4184"/>
    <n v="3104"/>
    <n v="0.33333333333333331"/>
    <x v="10"/>
    <d v="2024-11-19T00:00:00"/>
    <x v="1"/>
    <n v="19"/>
    <x v="3991"/>
    <x v="0"/>
    <x v="8"/>
    <n v="3"/>
    <n v="10"/>
    <n v="30"/>
    <n v="0"/>
  </r>
  <r>
    <n v="4185"/>
    <n v="3105"/>
    <n v="1"/>
    <x v="10"/>
    <d v="2024-11-19T00:00:00"/>
    <x v="1"/>
    <n v="20"/>
    <x v="3992"/>
    <x v="3"/>
    <x v="18"/>
    <n v="3"/>
    <n v="45"/>
    <n v="135"/>
    <n v="1"/>
  </r>
  <r>
    <n v="4186"/>
    <n v="3106"/>
    <n v="1"/>
    <x v="10"/>
    <d v="2024-11-19T00:00:00"/>
    <x v="1"/>
    <n v="18"/>
    <x v="3993"/>
    <x v="3"/>
    <x v="17"/>
    <n v="5"/>
    <n v="60"/>
    <n v="300"/>
    <n v="1"/>
  </r>
  <r>
    <n v="4187"/>
    <n v="3107"/>
    <n v="1"/>
    <x v="10"/>
    <d v="2024-11-19T00:00:00"/>
    <x v="1"/>
    <n v="15"/>
    <x v="3994"/>
    <x v="0"/>
    <x v="8"/>
    <n v="2"/>
    <n v="10"/>
    <n v="20"/>
    <n v="1"/>
  </r>
  <r>
    <n v="4188"/>
    <n v="3108"/>
    <n v="0.33333333333333331"/>
    <x v="10"/>
    <d v="2024-11-19T00:00:00"/>
    <x v="1"/>
    <n v="17"/>
    <x v="3995"/>
    <x v="3"/>
    <x v="18"/>
    <n v="5"/>
    <n v="45"/>
    <n v="225"/>
    <n v="1"/>
  </r>
  <r>
    <n v="4189"/>
    <n v="3108"/>
    <n v="0.33333333333333331"/>
    <x v="10"/>
    <d v="2024-11-19T00:00:00"/>
    <x v="1"/>
    <n v="13"/>
    <x v="3996"/>
    <x v="0"/>
    <x v="7"/>
    <n v="3"/>
    <n v="25"/>
    <n v="75"/>
    <n v="0"/>
  </r>
  <r>
    <n v="4190"/>
    <n v="3108"/>
    <n v="0.33333333333333331"/>
    <x v="10"/>
    <d v="2024-11-19T00:00:00"/>
    <x v="1"/>
    <n v="15"/>
    <x v="3997"/>
    <x v="1"/>
    <x v="12"/>
    <n v="5"/>
    <n v="1000"/>
    <n v="5000"/>
    <n v="0"/>
  </r>
  <r>
    <n v="4191"/>
    <n v="3109"/>
    <n v="0.33333333333333331"/>
    <x v="10"/>
    <d v="2024-11-19T00:00:00"/>
    <x v="1"/>
    <n v="11"/>
    <x v="3998"/>
    <x v="3"/>
    <x v="13"/>
    <n v="1"/>
    <n v="55"/>
    <n v="55"/>
    <n v="1"/>
  </r>
  <r>
    <n v="4192"/>
    <n v="3109"/>
    <n v="0.33333333333333331"/>
    <x v="10"/>
    <d v="2024-11-19T00:00:00"/>
    <x v="1"/>
    <n v="16"/>
    <x v="3999"/>
    <x v="2"/>
    <x v="10"/>
    <n v="5"/>
    <n v="30"/>
    <n v="150"/>
    <n v="0"/>
  </r>
  <r>
    <n v="4193"/>
    <n v="3109"/>
    <n v="0.33333333333333331"/>
    <x v="10"/>
    <d v="2024-11-19T00:00:00"/>
    <x v="1"/>
    <n v="9"/>
    <x v="4000"/>
    <x v="0"/>
    <x v="16"/>
    <n v="1"/>
    <n v="5"/>
    <n v="5"/>
    <n v="0"/>
  </r>
  <r>
    <n v="4194"/>
    <n v="3110"/>
    <n v="1"/>
    <x v="10"/>
    <d v="2024-11-19T00:00:00"/>
    <x v="1"/>
    <n v="11"/>
    <x v="4001"/>
    <x v="2"/>
    <x v="10"/>
    <n v="5"/>
    <n v="30"/>
    <n v="150"/>
    <n v="1"/>
  </r>
  <r>
    <n v="4195"/>
    <n v="3111"/>
    <n v="0.33333333333333331"/>
    <x v="10"/>
    <d v="2024-11-19T00:00:00"/>
    <x v="1"/>
    <n v="13"/>
    <x v="4002"/>
    <x v="0"/>
    <x v="8"/>
    <n v="3"/>
    <n v="10"/>
    <n v="30"/>
    <n v="1"/>
  </r>
  <r>
    <n v="4196"/>
    <n v="3111"/>
    <n v="0.33333333333333331"/>
    <x v="10"/>
    <d v="2024-11-19T00:00:00"/>
    <x v="1"/>
    <n v="16"/>
    <x v="4003"/>
    <x v="2"/>
    <x v="5"/>
    <n v="1"/>
    <n v="20"/>
    <n v="20"/>
    <n v="0"/>
  </r>
  <r>
    <n v="4197"/>
    <n v="3111"/>
    <n v="0.33333333333333331"/>
    <x v="10"/>
    <d v="2024-11-19T00:00:00"/>
    <x v="1"/>
    <n v="20"/>
    <x v="4004"/>
    <x v="1"/>
    <x v="2"/>
    <n v="1"/>
    <n v="680"/>
    <n v="680"/>
    <n v="0"/>
  </r>
  <r>
    <n v="4198"/>
    <n v="3112"/>
    <n v="0.33333333333333331"/>
    <x v="10"/>
    <d v="2024-11-19T00:00:00"/>
    <x v="1"/>
    <n v="10"/>
    <x v="4005"/>
    <x v="3"/>
    <x v="17"/>
    <n v="4"/>
    <n v="60"/>
    <n v="240"/>
    <n v="1"/>
  </r>
  <r>
    <n v="4199"/>
    <n v="3112"/>
    <n v="0.33333333333333331"/>
    <x v="10"/>
    <d v="2024-11-19T00:00:00"/>
    <x v="1"/>
    <n v="12"/>
    <x v="4006"/>
    <x v="0"/>
    <x v="7"/>
    <n v="4"/>
    <n v="25"/>
    <n v="100"/>
    <n v="0"/>
  </r>
  <r>
    <n v="4200"/>
    <n v="3112"/>
    <n v="0.33333333333333331"/>
    <x v="10"/>
    <d v="2024-11-19T00:00:00"/>
    <x v="1"/>
    <n v="9"/>
    <x v="2611"/>
    <x v="2"/>
    <x v="5"/>
    <n v="3"/>
    <n v="20"/>
    <n v="60"/>
    <n v="0"/>
  </r>
  <r>
    <n v="4201"/>
    <n v="3113"/>
    <n v="1"/>
    <x v="10"/>
    <d v="2024-11-20T00:00:00"/>
    <x v="2"/>
    <n v="10"/>
    <x v="4007"/>
    <x v="1"/>
    <x v="2"/>
    <n v="1"/>
    <n v="680"/>
    <n v="680"/>
    <n v="1"/>
  </r>
  <r>
    <n v="4202"/>
    <n v="3114"/>
    <n v="0.5"/>
    <x v="10"/>
    <d v="2024-11-20T00:00:00"/>
    <x v="2"/>
    <n v="12"/>
    <x v="4008"/>
    <x v="2"/>
    <x v="11"/>
    <n v="5"/>
    <n v="35"/>
    <n v="175"/>
    <n v="1"/>
  </r>
  <r>
    <n v="4203"/>
    <n v="3114"/>
    <n v="0.5"/>
    <x v="10"/>
    <d v="2024-11-20T00:00:00"/>
    <x v="2"/>
    <n v="17"/>
    <x v="4009"/>
    <x v="0"/>
    <x v="16"/>
    <n v="5"/>
    <n v="5"/>
    <n v="25"/>
    <n v="0"/>
  </r>
  <r>
    <n v="4204"/>
    <n v="3115"/>
    <n v="0.33333333333333331"/>
    <x v="10"/>
    <d v="2024-11-20T00:00:00"/>
    <x v="2"/>
    <n v="20"/>
    <x v="985"/>
    <x v="3"/>
    <x v="18"/>
    <n v="4"/>
    <n v="45"/>
    <n v="180"/>
    <n v="1"/>
  </r>
  <r>
    <n v="4205"/>
    <n v="3115"/>
    <n v="0.33333333333333331"/>
    <x v="10"/>
    <d v="2024-11-20T00:00:00"/>
    <x v="2"/>
    <n v="12"/>
    <x v="4010"/>
    <x v="1"/>
    <x v="1"/>
    <n v="4"/>
    <n v="650"/>
    <n v="2600"/>
    <n v="0"/>
  </r>
  <r>
    <n v="4206"/>
    <n v="3115"/>
    <n v="0.33333333333333331"/>
    <x v="10"/>
    <d v="2024-11-20T00:00:00"/>
    <x v="2"/>
    <n v="12"/>
    <x v="4011"/>
    <x v="2"/>
    <x v="5"/>
    <n v="1"/>
    <n v="20"/>
    <n v="20"/>
    <n v="0"/>
  </r>
  <r>
    <n v="4207"/>
    <n v="3116"/>
    <n v="0.5"/>
    <x v="10"/>
    <d v="2024-11-20T00:00:00"/>
    <x v="2"/>
    <n v="16"/>
    <x v="4012"/>
    <x v="1"/>
    <x v="4"/>
    <n v="3"/>
    <n v="600"/>
    <n v="1800"/>
    <n v="1"/>
  </r>
  <r>
    <n v="4208"/>
    <n v="3116"/>
    <n v="0.5"/>
    <x v="10"/>
    <d v="2024-11-20T00:00:00"/>
    <x v="2"/>
    <n v="12"/>
    <x v="4013"/>
    <x v="1"/>
    <x v="1"/>
    <n v="3"/>
    <n v="650"/>
    <n v="1950"/>
    <n v="0"/>
  </r>
  <r>
    <n v="4209"/>
    <n v="3117"/>
    <n v="0.5"/>
    <x v="10"/>
    <d v="2024-11-20T00:00:00"/>
    <x v="2"/>
    <n v="20"/>
    <x v="4014"/>
    <x v="3"/>
    <x v="18"/>
    <n v="1"/>
    <n v="45"/>
    <n v="45"/>
    <n v="1"/>
  </r>
  <r>
    <n v="4210"/>
    <n v="3117"/>
    <n v="0.5"/>
    <x v="10"/>
    <d v="2024-11-20T00:00:00"/>
    <x v="2"/>
    <n v="15"/>
    <x v="4015"/>
    <x v="2"/>
    <x v="10"/>
    <n v="2"/>
    <n v="30"/>
    <n v="60"/>
    <n v="0"/>
  </r>
  <r>
    <n v="4211"/>
    <n v="3118"/>
    <n v="0.33333333333333331"/>
    <x v="10"/>
    <d v="2024-11-20T00:00:00"/>
    <x v="2"/>
    <n v="10"/>
    <x v="4016"/>
    <x v="0"/>
    <x v="16"/>
    <n v="4"/>
    <n v="5"/>
    <n v="20"/>
    <n v="1"/>
  </r>
  <r>
    <n v="4212"/>
    <n v="3118"/>
    <n v="0.33333333333333331"/>
    <x v="10"/>
    <d v="2024-11-20T00:00:00"/>
    <x v="2"/>
    <n v="18"/>
    <x v="4017"/>
    <x v="1"/>
    <x v="3"/>
    <n v="3"/>
    <n v="700"/>
    <n v="2100"/>
    <n v="0"/>
  </r>
  <r>
    <n v="4213"/>
    <n v="3118"/>
    <n v="0.33333333333333331"/>
    <x v="10"/>
    <d v="2024-11-20T00:00:00"/>
    <x v="2"/>
    <n v="10"/>
    <x v="4018"/>
    <x v="1"/>
    <x v="3"/>
    <n v="4"/>
    <n v="700"/>
    <n v="2800"/>
    <n v="0"/>
  </r>
  <r>
    <n v="4214"/>
    <n v="3119"/>
    <n v="0.33333333333333331"/>
    <x v="10"/>
    <d v="2024-11-20T00:00:00"/>
    <x v="2"/>
    <n v="18"/>
    <x v="3395"/>
    <x v="3"/>
    <x v="6"/>
    <n v="3"/>
    <n v="50"/>
    <n v="150"/>
    <n v="1"/>
  </r>
  <r>
    <n v="4215"/>
    <n v="3119"/>
    <n v="0.33333333333333331"/>
    <x v="10"/>
    <d v="2024-11-20T00:00:00"/>
    <x v="2"/>
    <n v="11"/>
    <x v="4019"/>
    <x v="0"/>
    <x v="16"/>
    <n v="4"/>
    <n v="5"/>
    <n v="20"/>
    <n v="0"/>
  </r>
  <r>
    <n v="4216"/>
    <n v="3119"/>
    <n v="0.33333333333333331"/>
    <x v="10"/>
    <d v="2024-11-20T00:00:00"/>
    <x v="2"/>
    <n v="9"/>
    <x v="4020"/>
    <x v="1"/>
    <x v="3"/>
    <n v="4"/>
    <n v="700"/>
    <n v="2800"/>
    <n v="0"/>
  </r>
  <r>
    <n v="4217"/>
    <n v="3120"/>
    <n v="0.33333333333333331"/>
    <x v="10"/>
    <d v="2024-11-20T00:00:00"/>
    <x v="2"/>
    <n v="10"/>
    <x v="3463"/>
    <x v="3"/>
    <x v="18"/>
    <n v="2"/>
    <n v="45"/>
    <n v="90"/>
    <n v="1"/>
  </r>
  <r>
    <n v="4218"/>
    <n v="3120"/>
    <n v="0.33333333333333331"/>
    <x v="10"/>
    <d v="2024-11-20T00:00:00"/>
    <x v="2"/>
    <n v="17"/>
    <x v="4021"/>
    <x v="2"/>
    <x v="15"/>
    <n v="2"/>
    <n v="25"/>
    <n v="50"/>
    <n v="0"/>
  </r>
  <r>
    <n v="4219"/>
    <n v="3120"/>
    <n v="0.33333333333333331"/>
    <x v="10"/>
    <d v="2024-11-20T00:00:00"/>
    <x v="2"/>
    <n v="17"/>
    <x v="4022"/>
    <x v="3"/>
    <x v="17"/>
    <n v="2"/>
    <n v="60"/>
    <n v="120"/>
    <n v="0"/>
  </r>
  <r>
    <n v="4220"/>
    <n v="3121"/>
    <n v="1"/>
    <x v="10"/>
    <d v="2024-11-20T00:00:00"/>
    <x v="2"/>
    <n v="15"/>
    <x v="237"/>
    <x v="0"/>
    <x v="8"/>
    <n v="3"/>
    <n v="10"/>
    <n v="30"/>
    <n v="1"/>
  </r>
  <r>
    <n v="4221"/>
    <n v="3122"/>
    <n v="0.33333333333333331"/>
    <x v="10"/>
    <d v="2024-11-21T00:00:00"/>
    <x v="3"/>
    <n v="18"/>
    <x v="2181"/>
    <x v="3"/>
    <x v="14"/>
    <n v="3"/>
    <n v="40"/>
    <n v="120"/>
    <n v="1"/>
  </r>
  <r>
    <n v="4222"/>
    <n v="3122"/>
    <n v="0.33333333333333331"/>
    <x v="10"/>
    <d v="2024-11-21T00:00:00"/>
    <x v="3"/>
    <n v="17"/>
    <x v="4023"/>
    <x v="2"/>
    <x v="5"/>
    <n v="5"/>
    <n v="20"/>
    <n v="100"/>
    <n v="0"/>
  </r>
  <r>
    <n v="4223"/>
    <n v="3122"/>
    <n v="0.33333333333333331"/>
    <x v="10"/>
    <d v="2024-11-21T00:00:00"/>
    <x v="3"/>
    <n v="17"/>
    <x v="4024"/>
    <x v="3"/>
    <x v="18"/>
    <n v="1"/>
    <n v="45"/>
    <n v="45"/>
    <n v="0"/>
  </r>
  <r>
    <n v="4224"/>
    <n v="3123"/>
    <n v="0.5"/>
    <x v="10"/>
    <d v="2024-11-21T00:00:00"/>
    <x v="3"/>
    <n v="16"/>
    <x v="4025"/>
    <x v="2"/>
    <x v="11"/>
    <n v="2"/>
    <n v="35"/>
    <n v="70"/>
    <n v="1"/>
  </r>
  <r>
    <n v="4225"/>
    <n v="3123"/>
    <n v="0.5"/>
    <x v="10"/>
    <d v="2024-11-21T00:00:00"/>
    <x v="3"/>
    <n v="20"/>
    <x v="4026"/>
    <x v="1"/>
    <x v="4"/>
    <n v="5"/>
    <n v="600"/>
    <n v="3000"/>
    <n v="0"/>
  </r>
  <r>
    <n v="4226"/>
    <n v="3124"/>
    <n v="0.5"/>
    <x v="10"/>
    <d v="2024-11-21T00:00:00"/>
    <x v="3"/>
    <n v="9"/>
    <x v="4027"/>
    <x v="3"/>
    <x v="17"/>
    <n v="5"/>
    <n v="60"/>
    <n v="300"/>
    <n v="1"/>
  </r>
  <r>
    <n v="4227"/>
    <n v="3124"/>
    <n v="0.5"/>
    <x v="10"/>
    <d v="2024-11-21T00:00:00"/>
    <x v="3"/>
    <n v="18"/>
    <x v="3704"/>
    <x v="0"/>
    <x v="0"/>
    <n v="4"/>
    <n v="20"/>
    <n v="80"/>
    <n v="0"/>
  </r>
  <r>
    <n v="4228"/>
    <n v="3125"/>
    <n v="1"/>
    <x v="10"/>
    <d v="2024-11-21T00:00:00"/>
    <x v="3"/>
    <n v="19"/>
    <x v="4028"/>
    <x v="3"/>
    <x v="18"/>
    <n v="2"/>
    <n v="45"/>
    <n v="90"/>
    <n v="1"/>
  </r>
  <r>
    <n v="4229"/>
    <n v="3126"/>
    <n v="0.33333333333333331"/>
    <x v="10"/>
    <d v="2024-11-21T00:00:00"/>
    <x v="3"/>
    <n v="10"/>
    <x v="4029"/>
    <x v="3"/>
    <x v="18"/>
    <n v="5"/>
    <n v="45"/>
    <n v="225"/>
    <n v="1"/>
  </r>
  <r>
    <n v="4230"/>
    <n v="3126"/>
    <n v="0.33333333333333331"/>
    <x v="10"/>
    <d v="2024-11-21T00:00:00"/>
    <x v="3"/>
    <n v="20"/>
    <x v="4030"/>
    <x v="2"/>
    <x v="15"/>
    <n v="3"/>
    <n v="25"/>
    <n v="75"/>
    <n v="0"/>
  </r>
  <r>
    <n v="4231"/>
    <n v="3126"/>
    <n v="0.33333333333333331"/>
    <x v="10"/>
    <d v="2024-11-21T00:00:00"/>
    <x v="3"/>
    <n v="20"/>
    <x v="4031"/>
    <x v="0"/>
    <x v="16"/>
    <n v="1"/>
    <n v="5"/>
    <n v="5"/>
    <n v="0"/>
  </r>
  <r>
    <n v="4232"/>
    <n v="3127"/>
    <n v="0.33333333333333331"/>
    <x v="10"/>
    <d v="2024-11-21T00:00:00"/>
    <x v="3"/>
    <n v="14"/>
    <x v="4032"/>
    <x v="3"/>
    <x v="18"/>
    <n v="4"/>
    <n v="45"/>
    <n v="180"/>
    <n v="1"/>
  </r>
  <r>
    <n v="4233"/>
    <n v="3127"/>
    <n v="0.33333333333333331"/>
    <x v="10"/>
    <d v="2024-11-21T00:00:00"/>
    <x v="3"/>
    <n v="15"/>
    <x v="1270"/>
    <x v="0"/>
    <x v="7"/>
    <n v="4"/>
    <n v="25"/>
    <n v="100"/>
    <n v="0"/>
  </r>
  <r>
    <n v="4234"/>
    <n v="3127"/>
    <n v="0.33333333333333331"/>
    <x v="10"/>
    <d v="2024-11-21T00:00:00"/>
    <x v="3"/>
    <n v="10"/>
    <x v="340"/>
    <x v="1"/>
    <x v="2"/>
    <n v="3"/>
    <n v="680"/>
    <n v="2040"/>
    <n v="0"/>
  </r>
  <r>
    <n v="4235"/>
    <n v="3128"/>
    <n v="0.5"/>
    <x v="10"/>
    <d v="2024-11-21T00:00:00"/>
    <x v="3"/>
    <n v="19"/>
    <x v="4033"/>
    <x v="3"/>
    <x v="6"/>
    <n v="5"/>
    <n v="50"/>
    <n v="250"/>
    <n v="1"/>
  </r>
  <r>
    <n v="4236"/>
    <n v="3128"/>
    <n v="0.5"/>
    <x v="10"/>
    <d v="2024-11-21T00:00:00"/>
    <x v="3"/>
    <n v="9"/>
    <x v="4034"/>
    <x v="1"/>
    <x v="12"/>
    <n v="1"/>
    <n v="1000"/>
    <n v="1000"/>
    <n v="0"/>
  </r>
  <r>
    <n v="4237"/>
    <n v="3129"/>
    <n v="0.5"/>
    <x v="10"/>
    <d v="2024-11-21T00:00:00"/>
    <x v="3"/>
    <n v="14"/>
    <x v="4035"/>
    <x v="3"/>
    <x v="6"/>
    <n v="2"/>
    <n v="50"/>
    <n v="100"/>
    <n v="1"/>
  </r>
  <r>
    <n v="4238"/>
    <n v="3129"/>
    <n v="0.5"/>
    <x v="10"/>
    <d v="2024-11-21T00:00:00"/>
    <x v="3"/>
    <n v="11"/>
    <x v="4036"/>
    <x v="2"/>
    <x v="10"/>
    <n v="2"/>
    <n v="30"/>
    <n v="60"/>
    <n v="0"/>
  </r>
  <r>
    <n v="4239"/>
    <n v="3130"/>
    <n v="0.33333333333333331"/>
    <x v="10"/>
    <d v="2024-11-22T00:00:00"/>
    <x v="4"/>
    <n v="9"/>
    <x v="4037"/>
    <x v="2"/>
    <x v="5"/>
    <n v="3"/>
    <n v="20"/>
    <n v="60"/>
    <n v="1"/>
  </r>
  <r>
    <n v="4240"/>
    <n v="3130"/>
    <n v="0.33333333333333331"/>
    <x v="10"/>
    <d v="2024-11-22T00:00:00"/>
    <x v="4"/>
    <n v="11"/>
    <x v="4038"/>
    <x v="1"/>
    <x v="12"/>
    <n v="3"/>
    <n v="1000"/>
    <n v="3000"/>
    <n v="0"/>
  </r>
  <r>
    <n v="4241"/>
    <n v="3130"/>
    <n v="0.33333333333333331"/>
    <x v="10"/>
    <d v="2024-11-22T00:00:00"/>
    <x v="4"/>
    <n v="17"/>
    <x v="4039"/>
    <x v="3"/>
    <x v="17"/>
    <n v="5"/>
    <n v="60"/>
    <n v="300"/>
    <n v="0"/>
  </r>
  <r>
    <n v="4242"/>
    <n v="3131"/>
    <n v="0.5"/>
    <x v="10"/>
    <d v="2024-11-22T00:00:00"/>
    <x v="4"/>
    <n v="11"/>
    <x v="4040"/>
    <x v="2"/>
    <x v="5"/>
    <n v="2"/>
    <n v="20"/>
    <n v="40"/>
    <n v="1"/>
  </r>
  <r>
    <n v="4243"/>
    <n v="3131"/>
    <n v="0.5"/>
    <x v="10"/>
    <d v="2024-11-22T00:00:00"/>
    <x v="4"/>
    <n v="16"/>
    <x v="4041"/>
    <x v="1"/>
    <x v="12"/>
    <n v="2"/>
    <n v="1000"/>
    <n v="2000"/>
    <n v="0"/>
  </r>
  <r>
    <n v="4244"/>
    <n v="3132"/>
    <n v="0.5"/>
    <x v="10"/>
    <d v="2024-11-22T00:00:00"/>
    <x v="4"/>
    <n v="19"/>
    <x v="4042"/>
    <x v="0"/>
    <x v="9"/>
    <n v="1"/>
    <n v="15"/>
    <n v="15"/>
    <n v="1"/>
  </r>
  <r>
    <n v="4245"/>
    <n v="3132"/>
    <n v="0.5"/>
    <x v="10"/>
    <d v="2024-11-22T00:00:00"/>
    <x v="4"/>
    <n v="11"/>
    <x v="4043"/>
    <x v="3"/>
    <x v="14"/>
    <n v="2"/>
    <n v="40"/>
    <n v="80"/>
    <n v="0"/>
  </r>
  <r>
    <n v="4246"/>
    <n v="3133"/>
    <n v="0.5"/>
    <x v="10"/>
    <d v="2024-11-22T00:00:00"/>
    <x v="4"/>
    <n v="20"/>
    <x v="4044"/>
    <x v="3"/>
    <x v="18"/>
    <n v="1"/>
    <n v="45"/>
    <n v="45"/>
    <n v="1"/>
  </r>
  <r>
    <n v="4247"/>
    <n v="3133"/>
    <n v="0.5"/>
    <x v="10"/>
    <d v="2024-11-22T00:00:00"/>
    <x v="4"/>
    <n v="15"/>
    <x v="4045"/>
    <x v="0"/>
    <x v="9"/>
    <n v="2"/>
    <n v="15"/>
    <n v="30"/>
    <n v="0"/>
  </r>
  <r>
    <n v="4248"/>
    <n v="3134"/>
    <n v="1"/>
    <x v="10"/>
    <d v="2024-11-22T00:00:00"/>
    <x v="4"/>
    <n v="20"/>
    <x v="4046"/>
    <x v="0"/>
    <x v="0"/>
    <n v="4"/>
    <n v="20"/>
    <n v="80"/>
    <n v="1"/>
  </r>
  <r>
    <n v="4249"/>
    <n v="3135"/>
    <n v="1"/>
    <x v="10"/>
    <d v="2024-11-22T00:00:00"/>
    <x v="4"/>
    <n v="15"/>
    <x v="4047"/>
    <x v="1"/>
    <x v="3"/>
    <n v="1"/>
    <n v="700"/>
    <n v="700"/>
    <n v="1"/>
  </r>
  <r>
    <n v="4250"/>
    <n v="3136"/>
    <n v="0.5"/>
    <x v="10"/>
    <d v="2024-11-22T00:00:00"/>
    <x v="4"/>
    <n v="9"/>
    <x v="4048"/>
    <x v="2"/>
    <x v="5"/>
    <n v="3"/>
    <n v="20"/>
    <n v="60"/>
    <n v="1"/>
  </r>
  <r>
    <n v="4251"/>
    <n v="3136"/>
    <n v="0.5"/>
    <x v="10"/>
    <d v="2024-11-22T00:00:00"/>
    <x v="4"/>
    <n v="19"/>
    <x v="4049"/>
    <x v="2"/>
    <x v="10"/>
    <n v="2"/>
    <n v="30"/>
    <n v="60"/>
    <n v="0"/>
  </r>
  <r>
    <n v="4252"/>
    <n v="3137"/>
    <n v="1"/>
    <x v="10"/>
    <d v="2024-11-22T00:00:00"/>
    <x v="4"/>
    <n v="10"/>
    <x v="786"/>
    <x v="1"/>
    <x v="2"/>
    <n v="1"/>
    <n v="680"/>
    <n v="680"/>
    <n v="1"/>
  </r>
  <r>
    <n v="4253"/>
    <n v="3138"/>
    <n v="1"/>
    <x v="10"/>
    <d v="2024-11-22T00:00:00"/>
    <x v="4"/>
    <n v="14"/>
    <x v="4050"/>
    <x v="2"/>
    <x v="15"/>
    <n v="2"/>
    <n v="25"/>
    <n v="50"/>
    <n v="1"/>
  </r>
  <r>
    <n v="4254"/>
    <n v="3139"/>
    <n v="0.5"/>
    <x v="10"/>
    <d v="2024-11-22T00:00:00"/>
    <x v="4"/>
    <n v="17"/>
    <x v="4051"/>
    <x v="3"/>
    <x v="17"/>
    <n v="4"/>
    <n v="60"/>
    <n v="240"/>
    <n v="1"/>
  </r>
  <r>
    <n v="4255"/>
    <n v="3139"/>
    <n v="0.5"/>
    <x v="10"/>
    <d v="2024-11-22T00:00:00"/>
    <x v="4"/>
    <n v="13"/>
    <x v="4052"/>
    <x v="0"/>
    <x v="7"/>
    <n v="5"/>
    <n v="25"/>
    <n v="125"/>
    <n v="0"/>
  </r>
  <r>
    <n v="4256"/>
    <n v="3140"/>
    <n v="0.5"/>
    <x v="10"/>
    <d v="2024-11-23T00:00:00"/>
    <x v="5"/>
    <n v="10"/>
    <x v="4053"/>
    <x v="1"/>
    <x v="1"/>
    <n v="1"/>
    <n v="650"/>
    <n v="650"/>
    <n v="1"/>
  </r>
  <r>
    <n v="4257"/>
    <n v="3140"/>
    <n v="0.5"/>
    <x v="10"/>
    <d v="2024-11-23T00:00:00"/>
    <x v="5"/>
    <n v="16"/>
    <x v="4054"/>
    <x v="3"/>
    <x v="13"/>
    <n v="3"/>
    <n v="55"/>
    <n v="165"/>
    <n v="0"/>
  </r>
  <r>
    <n v="4258"/>
    <n v="3141"/>
    <n v="0.33333333333333331"/>
    <x v="10"/>
    <d v="2024-11-23T00:00:00"/>
    <x v="5"/>
    <n v="20"/>
    <x v="4055"/>
    <x v="3"/>
    <x v="14"/>
    <n v="1"/>
    <n v="40"/>
    <n v="40"/>
    <n v="1"/>
  </r>
  <r>
    <n v="4259"/>
    <n v="3141"/>
    <n v="0.33333333333333331"/>
    <x v="10"/>
    <d v="2024-11-23T00:00:00"/>
    <x v="5"/>
    <n v="20"/>
    <x v="4056"/>
    <x v="1"/>
    <x v="4"/>
    <n v="2"/>
    <n v="600"/>
    <n v="1200"/>
    <n v="0"/>
  </r>
  <r>
    <n v="4260"/>
    <n v="3141"/>
    <n v="0.33333333333333331"/>
    <x v="10"/>
    <d v="2024-11-23T00:00:00"/>
    <x v="5"/>
    <n v="16"/>
    <x v="4057"/>
    <x v="2"/>
    <x v="10"/>
    <n v="2"/>
    <n v="30"/>
    <n v="60"/>
    <n v="0"/>
  </r>
  <r>
    <n v="4261"/>
    <n v="3142"/>
    <n v="0.5"/>
    <x v="10"/>
    <d v="2024-11-23T00:00:00"/>
    <x v="5"/>
    <n v="10"/>
    <x v="4058"/>
    <x v="2"/>
    <x v="10"/>
    <n v="5"/>
    <n v="30"/>
    <n v="150"/>
    <n v="1"/>
  </r>
  <r>
    <n v="4262"/>
    <n v="3142"/>
    <n v="0.5"/>
    <x v="10"/>
    <d v="2024-11-23T00:00:00"/>
    <x v="5"/>
    <n v="9"/>
    <x v="4059"/>
    <x v="2"/>
    <x v="5"/>
    <n v="4"/>
    <n v="20"/>
    <n v="80"/>
    <n v="0"/>
  </r>
  <r>
    <n v="4263"/>
    <n v="3143"/>
    <n v="0.33333333333333331"/>
    <x v="10"/>
    <d v="2024-11-23T00:00:00"/>
    <x v="5"/>
    <n v="11"/>
    <x v="4060"/>
    <x v="3"/>
    <x v="13"/>
    <n v="5"/>
    <n v="55"/>
    <n v="275"/>
    <n v="1"/>
  </r>
  <r>
    <n v="4264"/>
    <n v="3143"/>
    <n v="0.33333333333333331"/>
    <x v="10"/>
    <d v="2024-11-23T00:00:00"/>
    <x v="5"/>
    <n v="14"/>
    <x v="4061"/>
    <x v="2"/>
    <x v="5"/>
    <n v="4"/>
    <n v="20"/>
    <n v="80"/>
    <n v="0"/>
  </r>
  <r>
    <n v="4265"/>
    <n v="3143"/>
    <n v="0.33333333333333331"/>
    <x v="10"/>
    <d v="2024-11-23T00:00:00"/>
    <x v="5"/>
    <n v="12"/>
    <x v="4062"/>
    <x v="1"/>
    <x v="1"/>
    <n v="5"/>
    <n v="650"/>
    <n v="3250"/>
    <n v="0"/>
  </r>
  <r>
    <n v="4266"/>
    <n v="3144"/>
    <n v="1"/>
    <x v="10"/>
    <d v="2024-11-23T00:00:00"/>
    <x v="5"/>
    <n v="12"/>
    <x v="4063"/>
    <x v="2"/>
    <x v="11"/>
    <n v="4"/>
    <n v="35"/>
    <n v="140"/>
    <n v="1"/>
  </r>
  <r>
    <n v="4267"/>
    <n v="3145"/>
    <n v="1"/>
    <x v="10"/>
    <d v="2024-11-23T00:00:00"/>
    <x v="5"/>
    <n v="12"/>
    <x v="4064"/>
    <x v="3"/>
    <x v="6"/>
    <n v="5"/>
    <n v="50"/>
    <n v="250"/>
    <n v="1"/>
  </r>
  <r>
    <n v="4268"/>
    <n v="3146"/>
    <n v="0.33333333333333331"/>
    <x v="10"/>
    <d v="2024-11-23T00:00:00"/>
    <x v="5"/>
    <n v="10"/>
    <x v="4065"/>
    <x v="1"/>
    <x v="12"/>
    <n v="3"/>
    <n v="1000"/>
    <n v="3000"/>
    <n v="1"/>
  </r>
  <r>
    <n v="4269"/>
    <n v="3146"/>
    <n v="0.33333333333333331"/>
    <x v="10"/>
    <d v="2024-11-23T00:00:00"/>
    <x v="5"/>
    <n v="17"/>
    <x v="4066"/>
    <x v="0"/>
    <x v="7"/>
    <n v="1"/>
    <n v="25"/>
    <n v="25"/>
    <n v="0"/>
  </r>
  <r>
    <n v="4270"/>
    <n v="3146"/>
    <n v="0.33333333333333331"/>
    <x v="10"/>
    <d v="2024-11-23T00:00:00"/>
    <x v="5"/>
    <n v="15"/>
    <x v="4067"/>
    <x v="2"/>
    <x v="15"/>
    <n v="1"/>
    <n v="25"/>
    <n v="25"/>
    <n v="0"/>
  </r>
  <r>
    <n v="4271"/>
    <n v="3147"/>
    <n v="0.5"/>
    <x v="10"/>
    <d v="2024-11-23T00:00:00"/>
    <x v="5"/>
    <n v="16"/>
    <x v="3408"/>
    <x v="3"/>
    <x v="13"/>
    <n v="2"/>
    <n v="55"/>
    <n v="110"/>
    <n v="1"/>
  </r>
  <r>
    <n v="4272"/>
    <n v="3147"/>
    <n v="0.5"/>
    <x v="10"/>
    <d v="2024-11-23T00:00:00"/>
    <x v="5"/>
    <n v="11"/>
    <x v="4068"/>
    <x v="0"/>
    <x v="8"/>
    <n v="2"/>
    <n v="10"/>
    <n v="20"/>
    <n v="0"/>
  </r>
  <r>
    <n v="4273"/>
    <n v="3148"/>
    <n v="0.5"/>
    <x v="10"/>
    <d v="2024-11-23T00:00:00"/>
    <x v="5"/>
    <n v="12"/>
    <x v="4069"/>
    <x v="1"/>
    <x v="12"/>
    <n v="3"/>
    <n v="1000"/>
    <n v="3000"/>
    <n v="1"/>
  </r>
  <r>
    <n v="4274"/>
    <n v="3148"/>
    <n v="0.5"/>
    <x v="10"/>
    <d v="2024-11-23T00:00:00"/>
    <x v="5"/>
    <n v="11"/>
    <x v="4070"/>
    <x v="3"/>
    <x v="14"/>
    <n v="5"/>
    <n v="40"/>
    <n v="200"/>
    <n v="0"/>
  </r>
  <r>
    <n v="4275"/>
    <n v="3149"/>
    <n v="0.5"/>
    <x v="10"/>
    <d v="2024-11-24T00:00:00"/>
    <x v="6"/>
    <n v="19"/>
    <x v="4071"/>
    <x v="1"/>
    <x v="2"/>
    <n v="4"/>
    <n v="680"/>
    <n v="2720"/>
    <n v="1"/>
  </r>
  <r>
    <n v="4276"/>
    <n v="3149"/>
    <n v="0.5"/>
    <x v="10"/>
    <d v="2024-11-24T00:00:00"/>
    <x v="6"/>
    <n v="11"/>
    <x v="4072"/>
    <x v="3"/>
    <x v="13"/>
    <n v="1"/>
    <n v="55"/>
    <n v="55"/>
    <n v="0"/>
  </r>
  <r>
    <n v="4277"/>
    <n v="3150"/>
    <n v="0.5"/>
    <x v="10"/>
    <d v="2024-11-24T00:00:00"/>
    <x v="6"/>
    <n v="10"/>
    <x v="4073"/>
    <x v="1"/>
    <x v="4"/>
    <n v="4"/>
    <n v="600"/>
    <n v="2400"/>
    <n v="1"/>
  </r>
  <r>
    <n v="4278"/>
    <n v="3150"/>
    <n v="0.5"/>
    <x v="10"/>
    <d v="2024-11-24T00:00:00"/>
    <x v="6"/>
    <n v="12"/>
    <x v="4074"/>
    <x v="1"/>
    <x v="3"/>
    <n v="3"/>
    <n v="700"/>
    <n v="2100"/>
    <n v="0"/>
  </r>
  <r>
    <n v="4279"/>
    <n v="3151"/>
    <n v="0.5"/>
    <x v="10"/>
    <d v="2024-11-24T00:00:00"/>
    <x v="6"/>
    <n v="9"/>
    <x v="4075"/>
    <x v="0"/>
    <x v="8"/>
    <n v="5"/>
    <n v="10"/>
    <n v="50"/>
    <n v="1"/>
  </r>
  <r>
    <n v="4280"/>
    <n v="3151"/>
    <n v="0.5"/>
    <x v="10"/>
    <d v="2024-11-24T00:00:00"/>
    <x v="6"/>
    <n v="11"/>
    <x v="4076"/>
    <x v="3"/>
    <x v="13"/>
    <n v="3"/>
    <n v="55"/>
    <n v="165"/>
    <n v="0"/>
  </r>
  <r>
    <n v="4281"/>
    <n v="3152"/>
    <n v="0.33333333333333331"/>
    <x v="10"/>
    <d v="2024-11-24T00:00:00"/>
    <x v="6"/>
    <n v="15"/>
    <x v="1585"/>
    <x v="3"/>
    <x v="14"/>
    <n v="2"/>
    <n v="40"/>
    <n v="80"/>
    <n v="1"/>
  </r>
  <r>
    <n v="4282"/>
    <n v="3152"/>
    <n v="0.33333333333333331"/>
    <x v="10"/>
    <d v="2024-11-24T00:00:00"/>
    <x v="6"/>
    <n v="19"/>
    <x v="4077"/>
    <x v="1"/>
    <x v="4"/>
    <n v="5"/>
    <n v="600"/>
    <n v="3000"/>
    <n v="0"/>
  </r>
  <r>
    <n v="4283"/>
    <n v="3152"/>
    <n v="0.33333333333333331"/>
    <x v="10"/>
    <d v="2024-11-24T00:00:00"/>
    <x v="6"/>
    <n v="14"/>
    <x v="4078"/>
    <x v="3"/>
    <x v="6"/>
    <n v="1"/>
    <n v="50"/>
    <n v="50"/>
    <n v="0"/>
  </r>
  <r>
    <n v="4284"/>
    <n v="3153"/>
    <n v="0.5"/>
    <x v="10"/>
    <d v="2024-11-25T00:00:00"/>
    <x v="0"/>
    <n v="17"/>
    <x v="4079"/>
    <x v="1"/>
    <x v="12"/>
    <n v="3"/>
    <n v="1000"/>
    <n v="3000"/>
    <n v="1"/>
  </r>
  <r>
    <n v="4285"/>
    <n v="3153"/>
    <n v="0.5"/>
    <x v="10"/>
    <d v="2024-11-25T00:00:00"/>
    <x v="0"/>
    <n v="19"/>
    <x v="4080"/>
    <x v="3"/>
    <x v="14"/>
    <n v="4"/>
    <n v="40"/>
    <n v="160"/>
    <n v="0"/>
  </r>
  <r>
    <n v="4286"/>
    <n v="3154"/>
    <n v="1"/>
    <x v="10"/>
    <d v="2024-11-25T00:00:00"/>
    <x v="0"/>
    <n v="12"/>
    <x v="4081"/>
    <x v="3"/>
    <x v="14"/>
    <n v="5"/>
    <n v="40"/>
    <n v="200"/>
    <n v="1"/>
  </r>
  <r>
    <n v="4287"/>
    <n v="3155"/>
    <n v="0.33333333333333331"/>
    <x v="10"/>
    <d v="2024-11-25T00:00:00"/>
    <x v="0"/>
    <n v="11"/>
    <x v="4082"/>
    <x v="0"/>
    <x v="0"/>
    <n v="4"/>
    <n v="20"/>
    <n v="80"/>
    <n v="1"/>
  </r>
  <r>
    <n v="4288"/>
    <n v="3155"/>
    <n v="0.33333333333333331"/>
    <x v="10"/>
    <d v="2024-11-25T00:00:00"/>
    <x v="0"/>
    <n v="11"/>
    <x v="4083"/>
    <x v="0"/>
    <x v="8"/>
    <n v="1"/>
    <n v="10"/>
    <n v="10"/>
    <n v="0"/>
  </r>
  <r>
    <n v="4289"/>
    <n v="3155"/>
    <n v="0.33333333333333331"/>
    <x v="10"/>
    <d v="2024-11-25T00:00:00"/>
    <x v="0"/>
    <n v="11"/>
    <x v="4084"/>
    <x v="3"/>
    <x v="14"/>
    <n v="5"/>
    <n v="40"/>
    <n v="200"/>
    <n v="0"/>
  </r>
  <r>
    <n v="4290"/>
    <n v="3156"/>
    <n v="0.5"/>
    <x v="10"/>
    <d v="2024-11-25T00:00:00"/>
    <x v="0"/>
    <n v="12"/>
    <x v="4085"/>
    <x v="2"/>
    <x v="11"/>
    <n v="2"/>
    <n v="35"/>
    <n v="70"/>
    <n v="1"/>
  </r>
  <r>
    <n v="4291"/>
    <n v="3156"/>
    <n v="0.5"/>
    <x v="10"/>
    <d v="2024-11-25T00:00:00"/>
    <x v="0"/>
    <n v="14"/>
    <x v="1985"/>
    <x v="0"/>
    <x v="7"/>
    <n v="4"/>
    <n v="25"/>
    <n v="100"/>
    <n v="0"/>
  </r>
  <r>
    <n v="4292"/>
    <n v="3157"/>
    <n v="0.5"/>
    <x v="10"/>
    <d v="2024-11-25T00:00:00"/>
    <x v="0"/>
    <n v="20"/>
    <x v="4086"/>
    <x v="2"/>
    <x v="10"/>
    <n v="3"/>
    <n v="30"/>
    <n v="90"/>
    <n v="1"/>
  </r>
  <r>
    <n v="4293"/>
    <n v="3157"/>
    <n v="0.5"/>
    <x v="10"/>
    <d v="2024-11-25T00:00:00"/>
    <x v="0"/>
    <n v="14"/>
    <x v="4087"/>
    <x v="3"/>
    <x v="17"/>
    <n v="2"/>
    <n v="60"/>
    <n v="120"/>
    <n v="0"/>
  </r>
  <r>
    <n v="4294"/>
    <n v="3158"/>
    <n v="0.5"/>
    <x v="10"/>
    <d v="2024-11-25T00:00:00"/>
    <x v="0"/>
    <n v="15"/>
    <x v="4088"/>
    <x v="1"/>
    <x v="4"/>
    <n v="2"/>
    <n v="600"/>
    <n v="1200"/>
    <n v="1"/>
  </r>
  <r>
    <n v="4295"/>
    <n v="3158"/>
    <n v="0.5"/>
    <x v="10"/>
    <d v="2024-11-25T00:00:00"/>
    <x v="0"/>
    <n v="20"/>
    <x v="4089"/>
    <x v="1"/>
    <x v="1"/>
    <n v="3"/>
    <n v="650"/>
    <n v="1950"/>
    <n v="0"/>
  </r>
  <r>
    <n v="4296"/>
    <n v="3159"/>
    <n v="0.33333333333333331"/>
    <x v="10"/>
    <d v="2024-11-26T00:00:00"/>
    <x v="1"/>
    <n v="13"/>
    <x v="4090"/>
    <x v="1"/>
    <x v="4"/>
    <n v="3"/>
    <n v="600"/>
    <n v="1800"/>
    <n v="1"/>
  </r>
  <r>
    <n v="4297"/>
    <n v="3159"/>
    <n v="0.33333333333333331"/>
    <x v="10"/>
    <d v="2024-11-26T00:00:00"/>
    <x v="1"/>
    <n v="10"/>
    <x v="4091"/>
    <x v="3"/>
    <x v="14"/>
    <n v="1"/>
    <n v="40"/>
    <n v="40"/>
    <n v="0"/>
  </r>
  <r>
    <n v="4298"/>
    <n v="3159"/>
    <n v="0.33333333333333331"/>
    <x v="10"/>
    <d v="2024-11-26T00:00:00"/>
    <x v="1"/>
    <n v="9"/>
    <x v="4092"/>
    <x v="3"/>
    <x v="14"/>
    <n v="5"/>
    <n v="40"/>
    <n v="200"/>
    <n v="0"/>
  </r>
  <r>
    <n v="4299"/>
    <n v="3160"/>
    <n v="0.33333333333333331"/>
    <x v="10"/>
    <d v="2024-11-26T00:00:00"/>
    <x v="1"/>
    <n v="19"/>
    <x v="4093"/>
    <x v="0"/>
    <x v="0"/>
    <n v="1"/>
    <n v="20"/>
    <n v="20"/>
    <n v="1"/>
  </r>
  <r>
    <n v="4300"/>
    <n v="3160"/>
    <n v="0.33333333333333331"/>
    <x v="10"/>
    <d v="2024-11-26T00:00:00"/>
    <x v="1"/>
    <n v="16"/>
    <x v="4094"/>
    <x v="2"/>
    <x v="5"/>
    <n v="4"/>
    <n v="20"/>
    <n v="80"/>
    <n v="0"/>
  </r>
  <r>
    <n v="4301"/>
    <n v="3160"/>
    <n v="0.33333333333333331"/>
    <x v="10"/>
    <d v="2024-11-26T00:00:00"/>
    <x v="1"/>
    <n v="19"/>
    <x v="4095"/>
    <x v="1"/>
    <x v="2"/>
    <n v="3"/>
    <n v="680"/>
    <n v="2040"/>
    <n v="0"/>
  </r>
  <r>
    <n v="4302"/>
    <n v="3161"/>
    <n v="1"/>
    <x v="10"/>
    <d v="2024-11-26T00:00:00"/>
    <x v="1"/>
    <n v="14"/>
    <x v="4096"/>
    <x v="0"/>
    <x v="16"/>
    <n v="2"/>
    <n v="5"/>
    <n v="10"/>
    <n v="1"/>
  </r>
  <r>
    <n v="4303"/>
    <n v="3162"/>
    <n v="0.33333333333333331"/>
    <x v="10"/>
    <d v="2024-11-26T00:00:00"/>
    <x v="1"/>
    <n v="11"/>
    <x v="3403"/>
    <x v="0"/>
    <x v="0"/>
    <n v="2"/>
    <n v="20"/>
    <n v="40"/>
    <n v="1"/>
  </r>
  <r>
    <n v="4304"/>
    <n v="3162"/>
    <n v="0.33333333333333331"/>
    <x v="10"/>
    <d v="2024-11-26T00:00:00"/>
    <x v="1"/>
    <n v="15"/>
    <x v="4097"/>
    <x v="0"/>
    <x v="0"/>
    <n v="5"/>
    <n v="20"/>
    <n v="100"/>
    <n v="0"/>
  </r>
  <r>
    <n v="4305"/>
    <n v="3162"/>
    <n v="0.33333333333333331"/>
    <x v="10"/>
    <d v="2024-11-26T00:00:00"/>
    <x v="1"/>
    <n v="9"/>
    <x v="4098"/>
    <x v="2"/>
    <x v="10"/>
    <n v="3"/>
    <n v="30"/>
    <n v="90"/>
    <n v="0"/>
  </r>
  <r>
    <n v="4306"/>
    <n v="3163"/>
    <n v="1"/>
    <x v="10"/>
    <d v="2024-11-26T00:00:00"/>
    <x v="1"/>
    <n v="16"/>
    <x v="4099"/>
    <x v="1"/>
    <x v="3"/>
    <n v="1"/>
    <n v="700"/>
    <n v="700"/>
    <n v="1"/>
  </r>
  <r>
    <n v="4307"/>
    <n v="3164"/>
    <n v="0.33333333333333331"/>
    <x v="10"/>
    <d v="2024-11-26T00:00:00"/>
    <x v="1"/>
    <n v="14"/>
    <x v="4100"/>
    <x v="1"/>
    <x v="12"/>
    <n v="3"/>
    <n v="1000"/>
    <n v="3000"/>
    <n v="1"/>
  </r>
  <r>
    <n v="4308"/>
    <n v="3164"/>
    <n v="0.33333333333333331"/>
    <x v="10"/>
    <d v="2024-11-26T00:00:00"/>
    <x v="1"/>
    <n v="12"/>
    <x v="4101"/>
    <x v="3"/>
    <x v="13"/>
    <n v="3"/>
    <n v="55"/>
    <n v="165"/>
    <n v="0"/>
  </r>
  <r>
    <n v="4309"/>
    <n v="3164"/>
    <n v="0.33333333333333331"/>
    <x v="10"/>
    <d v="2024-11-26T00:00:00"/>
    <x v="1"/>
    <n v="19"/>
    <x v="2984"/>
    <x v="2"/>
    <x v="10"/>
    <n v="1"/>
    <n v="30"/>
    <n v="30"/>
    <n v="0"/>
  </r>
  <r>
    <n v="4310"/>
    <n v="3165"/>
    <n v="1"/>
    <x v="10"/>
    <d v="2024-11-26T00:00:00"/>
    <x v="1"/>
    <n v="19"/>
    <x v="4102"/>
    <x v="3"/>
    <x v="6"/>
    <n v="4"/>
    <n v="50"/>
    <n v="200"/>
    <n v="1"/>
  </r>
  <r>
    <n v="4311"/>
    <n v="3166"/>
    <n v="0.5"/>
    <x v="10"/>
    <d v="2024-11-26T00:00:00"/>
    <x v="1"/>
    <n v="14"/>
    <x v="4103"/>
    <x v="1"/>
    <x v="12"/>
    <n v="4"/>
    <n v="1000"/>
    <n v="4000"/>
    <n v="1"/>
  </r>
  <r>
    <n v="4312"/>
    <n v="3166"/>
    <n v="0.5"/>
    <x v="10"/>
    <d v="2024-11-26T00:00:00"/>
    <x v="1"/>
    <n v="15"/>
    <x v="4104"/>
    <x v="1"/>
    <x v="3"/>
    <n v="2"/>
    <n v="700"/>
    <n v="1400"/>
    <n v="0"/>
  </r>
  <r>
    <n v="4313"/>
    <n v="3167"/>
    <n v="1"/>
    <x v="10"/>
    <d v="2024-11-26T00:00:00"/>
    <x v="1"/>
    <n v="11"/>
    <x v="4105"/>
    <x v="1"/>
    <x v="4"/>
    <n v="2"/>
    <n v="600"/>
    <n v="1200"/>
    <n v="1"/>
  </r>
  <r>
    <n v="4314"/>
    <n v="3168"/>
    <n v="0.5"/>
    <x v="10"/>
    <d v="2024-11-26T00:00:00"/>
    <x v="1"/>
    <n v="17"/>
    <x v="4106"/>
    <x v="2"/>
    <x v="11"/>
    <n v="4"/>
    <n v="35"/>
    <n v="140"/>
    <n v="1"/>
  </r>
  <r>
    <n v="4315"/>
    <n v="3168"/>
    <n v="0.5"/>
    <x v="10"/>
    <d v="2024-11-26T00:00:00"/>
    <x v="1"/>
    <n v="20"/>
    <x v="4107"/>
    <x v="0"/>
    <x v="7"/>
    <n v="2"/>
    <n v="25"/>
    <n v="50"/>
    <n v="0"/>
  </r>
  <r>
    <n v="4316"/>
    <n v="3169"/>
    <n v="0.5"/>
    <x v="10"/>
    <d v="2024-11-27T00:00:00"/>
    <x v="2"/>
    <n v="13"/>
    <x v="4108"/>
    <x v="2"/>
    <x v="10"/>
    <n v="1"/>
    <n v="30"/>
    <n v="30"/>
    <n v="1"/>
  </r>
  <r>
    <n v="4317"/>
    <n v="3169"/>
    <n v="0.5"/>
    <x v="10"/>
    <d v="2024-11-27T00:00:00"/>
    <x v="2"/>
    <n v="20"/>
    <x v="2535"/>
    <x v="2"/>
    <x v="15"/>
    <n v="3"/>
    <n v="25"/>
    <n v="75"/>
    <n v="0"/>
  </r>
  <r>
    <n v="4318"/>
    <n v="3170"/>
    <n v="0.5"/>
    <x v="10"/>
    <d v="2024-11-27T00:00:00"/>
    <x v="2"/>
    <n v="13"/>
    <x v="4109"/>
    <x v="2"/>
    <x v="11"/>
    <n v="5"/>
    <n v="35"/>
    <n v="175"/>
    <n v="1"/>
  </r>
  <r>
    <n v="4319"/>
    <n v="3170"/>
    <n v="0.5"/>
    <x v="10"/>
    <d v="2024-11-27T00:00:00"/>
    <x v="2"/>
    <n v="18"/>
    <x v="4110"/>
    <x v="1"/>
    <x v="12"/>
    <n v="4"/>
    <n v="1000"/>
    <n v="4000"/>
    <n v="0"/>
  </r>
  <r>
    <n v="4320"/>
    <n v="3171"/>
    <n v="0.5"/>
    <x v="10"/>
    <d v="2024-11-27T00:00:00"/>
    <x v="2"/>
    <n v="9"/>
    <x v="4111"/>
    <x v="3"/>
    <x v="14"/>
    <n v="2"/>
    <n v="40"/>
    <n v="80"/>
    <n v="1"/>
  </r>
  <r>
    <n v="4321"/>
    <n v="3171"/>
    <n v="0.5"/>
    <x v="10"/>
    <d v="2024-11-27T00:00:00"/>
    <x v="2"/>
    <n v="13"/>
    <x v="4112"/>
    <x v="0"/>
    <x v="16"/>
    <n v="1"/>
    <n v="5"/>
    <n v="5"/>
    <n v="0"/>
  </r>
  <r>
    <n v="4322"/>
    <n v="3172"/>
    <n v="1"/>
    <x v="10"/>
    <d v="2024-11-27T00:00:00"/>
    <x v="2"/>
    <n v="20"/>
    <x v="4113"/>
    <x v="0"/>
    <x v="8"/>
    <n v="2"/>
    <n v="10"/>
    <n v="20"/>
    <n v="1"/>
  </r>
  <r>
    <n v="4323"/>
    <n v="3173"/>
    <n v="0.33333333333333331"/>
    <x v="10"/>
    <d v="2024-11-27T00:00:00"/>
    <x v="2"/>
    <n v="9"/>
    <x v="4114"/>
    <x v="2"/>
    <x v="15"/>
    <n v="4"/>
    <n v="25"/>
    <n v="100"/>
    <n v="1"/>
  </r>
  <r>
    <n v="4324"/>
    <n v="3173"/>
    <n v="0.33333333333333331"/>
    <x v="10"/>
    <d v="2024-11-27T00:00:00"/>
    <x v="2"/>
    <n v="12"/>
    <x v="4115"/>
    <x v="3"/>
    <x v="17"/>
    <n v="4"/>
    <n v="60"/>
    <n v="240"/>
    <n v="0"/>
  </r>
  <r>
    <n v="4325"/>
    <n v="3173"/>
    <n v="0.33333333333333331"/>
    <x v="10"/>
    <d v="2024-11-27T00:00:00"/>
    <x v="2"/>
    <n v="18"/>
    <x v="4116"/>
    <x v="0"/>
    <x v="7"/>
    <n v="5"/>
    <n v="25"/>
    <n v="125"/>
    <n v="0"/>
  </r>
  <r>
    <n v="4326"/>
    <n v="3174"/>
    <n v="1"/>
    <x v="10"/>
    <d v="2024-11-27T00:00:00"/>
    <x v="2"/>
    <n v="19"/>
    <x v="4117"/>
    <x v="2"/>
    <x v="11"/>
    <n v="2"/>
    <n v="35"/>
    <n v="70"/>
    <n v="1"/>
  </r>
  <r>
    <n v="4327"/>
    <n v="3175"/>
    <n v="0.5"/>
    <x v="10"/>
    <d v="2024-11-27T00:00:00"/>
    <x v="2"/>
    <n v="18"/>
    <x v="4118"/>
    <x v="3"/>
    <x v="14"/>
    <n v="5"/>
    <n v="40"/>
    <n v="200"/>
    <n v="1"/>
  </r>
  <r>
    <n v="4328"/>
    <n v="3175"/>
    <n v="0.5"/>
    <x v="10"/>
    <d v="2024-11-27T00:00:00"/>
    <x v="2"/>
    <n v="16"/>
    <x v="3265"/>
    <x v="0"/>
    <x v="7"/>
    <n v="5"/>
    <n v="25"/>
    <n v="125"/>
    <n v="0"/>
  </r>
  <r>
    <n v="4329"/>
    <n v="3176"/>
    <n v="1"/>
    <x v="10"/>
    <d v="2024-11-27T00:00:00"/>
    <x v="2"/>
    <n v="14"/>
    <x v="4119"/>
    <x v="0"/>
    <x v="7"/>
    <n v="3"/>
    <n v="25"/>
    <n v="75"/>
    <n v="1"/>
  </r>
  <r>
    <n v="4330"/>
    <n v="3177"/>
    <n v="0.33333333333333331"/>
    <x v="10"/>
    <d v="2024-11-27T00:00:00"/>
    <x v="2"/>
    <n v="10"/>
    <x v="4120"/>
    <x v="3"/>
    <x v="6"/>
    <n v="2"/>
    <n v="50"/>
    <n v="100"/>
    <n v="1"/>
  </r>
  <r>
    <n v="4331"/>
    <n v="3177"/>
    <n v="0.33333333333333331"/>
    <x v="10"/>
    <d v="2024-11-27T00:00:00"/>
    <x v="2"/>
    <n v="17"/>
    <x v="4121"/>
    <x v="1"/>
    <x v="4"/>
    <n v="2"/>
    <n v="600"/>
    <n v="1200"/>
    <n v="0"/>
  </r>
  <r>
    <n v="4332"/>
    <n v="3177"/>
    <n v="0.33333333333333331"/>
    <x v="10"/>
    <d v="2024-11-27T00:00:00"/>
    <x v="2"/>
    <n v="12"/>
    <x v="4122"/>
    <x v="0"/>
    <x v="7"/>
    <n v="3"/>
    <n v="25"/>
    <n v="75"/>
    <n v="0"/>
  </r>
  <r>
    <n v="4333"/>
    <n v="3178"/>
    <n v="0.33333333333333331"/>
    <x v="10"/>
    <d v="2024-11-28T00:00:00"/>
    <x v="3"/>
    <n v="10"/>
    <x v="4123"/>
    <x v="0"/>
    <x v="16"/>
    <n v="5"/>
    <n v="5"/>
    <n v="25"/>
    <n v="1"/>
  </r>
  <r>
    <n v="4334"/>
    <n v="3178"/>
    <n v="0.33333333333333331"/>
    <x v="10"/>
    <d v="2024-11-28T00:00:00"/>
    <x v="3"/>
    <n v="19"/>
    <x v="4124"/>
    <x v="0"/>
    <x v="9"/>
    <n v="1"/>
    <n v="15"/>
    <n v="15"/>
    <n v="0"/>
  </r>
  <r>
    <n v="4335"/>
    <n v="3178"/>
    <n v="0.33333333333333331"/>
    <x v="10"/>
    <d v="2024-11-28T00:00:00"/>
    <x v="3"/>
    <n v="12"/>
    <x v="4125"/>
    <x v="0"/>
    <x v="9"/>
    <n v="3"/>
    <n v="15"/>
    <n v="45"/>
    <n v="0"/>
  </r>
  <r>
    <n v="4336"/>
    <n v="3179"/>
    <n v="1"/>
    <x v="10"/>
    <d v="2024-11-28T00:00:00"/>
    <x v="3"/>
    <n v="15"/>
    <x v="4126"/>
    <x v="0"/>
    <x v="0"/>
    <n v="3"/>
    <n v="20"/>
    <n v="60"/>
    <n v="1"/>
  </r>
  <r>
    <n v="4337"/>
    <n v="3180"/>
    <n v="0.5"/>
    <x v="10"/>
    <d v="2024-11-28T00:00:00"/>
    <x v="3"/>
    <n v="12"/>
    <x v="4127"/>
    <x v="1"/>
    <x v="3"/>
    <n v="5"/>
    <n v="700"/>
    <n v="3500"/>
    <n v="1"/>
  </r>
  <r>
    <n v="4338"/>
    <n v="3180"/>
    <n v="0.5"/>
    <x v="10"/>
    <d v="2024-11-28T00:00:00"/>
    <x v="3"/>
    <n v="14"/>
    <x v="4128"/>
    <x v="2"/>
    <x v="5"/>
    <n v="3"/>
    <n v="20"/>
    <n v="60"/>
    <n v="0"/>
  </r>
  <r>
    <n v="4339"/>
    <n v="3181"/>
    <n v="1"/>
    <x v="10"/>
    <d v="2024-11-28T00:00:00"/>
    <x v="3"/>
    <n v="17"/>
    <x v="4129"/>
    <x v="0"/>
    <x v="8"/>
    <n v="1"/>
    <n v="10"/>
    <n v="10"/>
    <n v="1"/>
  </r>
  <r>
    <n v="4340"/>
    <n v="3182"/>
    <n v="0.5"/>
    <x v="10"/>
    <d v="2024-11-28T00:00:00"/>
    <x v="3"/>
    <n v="17"/>
    <x v="4130"/>
    <x v="1"/>
    <x v="3"/>
    <n v="3"/>
    <n v="700"/>
    <n v="2100"/>
    <n v="1"/>
  </r>
  <r>
    <n v="4341"/>
    <n v="3182"/>
    <n v="0.5"/>
    <x v="10"/>
    <d v="2024-11-28T00:00:00"/>
    <x v="3"/>
    <n v="10"/>
    <x v="4131"/>
    <x v="1"/>
    <x v="12"/>
    <n v="4"/>
    <n v="1000"/>
    <n v="4000"/>
    <n v="0"/>
  </r>
  <r>
    <n v="4342"/>
    <n v="3183"/>
    <n v="1"/>
    <x v="10"/>
    <d v="2024-11-28T00:00:00"/>
    <x v="3"/>
    <n v="19"/>
    <x v="4132"/>
    <x v="1"/>
    <x v="4"/>
    <n v="4"/>
    <n v="600"/>
    <n v="2400"/>
    <n v="1"/>
  </r>
  <r>
    <n v="4343"/>
    <n v="3184"/>
    <n v="0.33333333333333331"/>
    <x v="10"/>
    <d v="2024-11-28T00:00:00"/>
    <x v="3"/>
    <n v="18"/>
    <x v="4133"/>
    <x v="0"/>
    <x v="16"/>
    <n v="5"/>
    <n v="5"/>
    <n v="25"/>
    <n v="1"/>
  </r>
  <r>
    <n v="4344"/>
    <n v="3184"/>
    <n v="0.33333333333333331"/>
    <x v="10"/>
    <d v="2024-11-28T00:00:00"/>
    <x v="3"/>
    <n v="15"/>
    <x v="4134"/>
    <x v="1"/>
    <x v="1"/>
    <n v="4"/>
    <n v="650"/>
    <n v="2600"/>
    <n v="0"/>
  </r>
  <r>
    <n v="4345"/>
    <n v="3184"/>
    <n v="0.33333333333333331"/>
    <x v="10"/>
    <d v="2024-11-28T00:00:00"/>
    <x v="3"/>
    <n v="11"/>
    <x v="4135"/>
    <x v="0"/>
    <x v="9"/>
    <n v="3"/>
    <n v="15"/>
    <n v="45"/>
    <n v="0"/>
  </r>
  <r>
    <n v="4346"/>
    <n v="3185"/>
    <n v="0.5"/>
    <x v="10"/>
    <d v="2024-11-28T00:00:00"/>
    <x v="3"/>
    <n v="20"/>
    <x v="4136"/>
    <x v="3"/>
    <x v="17"/>
    <n v="1"/>
    <n v="60"/>
    <n v="60"/>
    <n v="1"/>
  </r>
  <r>
    <n v="4347"/>
    <n v="3185"/>
    <n v="0.5"/>
    <x v="10"/>
    <d v="2024-11-28T00:00:00"/>
    <x v="3"/>
    <n v="12"/>
    <x v="4137"/>
    <x v="1"/>
    <x v="1"/>
    <n v="3"/>
    <n v="650"/>
    <n v="1950"/>
    <n v="0"/>
  </r>
  <r>
    <n v="4348"/>
    <n v="3186"/>
    <n v="0.5"/>
    <x v="10"/>
    <d v="2024-11-29T00:00:00"/>
    <x v="4"/>
    <n v="14"/>
    <x v="4138"/>
    <x v="0"/>
    <x v="0"/>
    <n v="5"/>
    <n v="20"/>
    <n v="100"/>
    <n v="1"/>
  </r>
  <r>
    <n v="4349"/>
    <n v="3186"/>
    <n v="0.5"/>
    <x v="10"/>
    <d v="2024-11-29T00:00:00"/>
    <x v="4"/>
    <n v="17"/>
    <x v="4139"/>
    <x v="2"/>
    <x v="15"/>
    <n v="1"/>
    <n v="25"/>
    <n v="25"/>
    <n v="0"/>
  </r>
  <r>
    <n v="4350"/>
    <n v="3187"/>
    <n v="1"/>
    <x v="10"/>
    <d v="2024-11-29T00:00:00"/>
    <x v="4"/>
    <n v="13"/>
    <x v="4140"/>
    <x v="1"/>
    <x v="12"/>
    <n v="2"/>
    <n v="1000"/>
    <n v="2000"/>
    <n v="1"/>
  </r>
  <r>
    <n v="4351"/>
    <n v="3188"/>
    <n v="0.5"/>
    <x v="10"/>
    <d v="2024-11-29T00:00:00"/>
    <x v="4"/>
    <n v="16"/>
    <x v="4141"/>
    <x v="3"/>
    <x v="17"/>
    <n v="4"/>
    <n v="60"/>
    <n v="240"/>
    <n v="1"/>
  </r>
  <r>
    <n v="4352"/>
    <n v="3188"/>
    <n v="0.5"/>
    <x v="10"/>
    <d v="2024-11-29T00:00:00"/>
    <x v="4"/>
    <n v="14"/>
    <x v="4142"/>
    <x v="2"/>
    <x v="15"/>
    <n v="5"/>
    <n v="25"/>
    <n v="125"/>
    <n v="0"/>
  </r>
  <r>
    <n v="4353"/>
    <n v="3189"/>
    <n v="1"/>
    <x v="10"/>
    <d v="2024-11-30T00:00:00"/>
    <x v="5"/>
    <n v="15"/>
    <x v="4143"/>
    <x v="0"/>
    <x v="8"/>
    <n v="1"/>
    <n v="10"/>
    <n v="10"/>
    <n v="1"/>
  </r>
  <r>
    <n v="4354"/>
    <n v="3190"/>
    <n v="0.5"/>
    <x v="10"/>
    <d v="2024-11-30T00:00:00"/>
    <x v="5"/>
    <n v="16"/>
    <x v="1110"/>
    <x v="3"/>
    <x v="17"/>
    <n v="5"/>
    <n v="60"/>
    <n v="300"/>
    <n v="1"/>
  </r>
  <r>
    <n v="4355"/>
    <n v="3190"/>
    <n v="0.5"/>
    <x v="10"/>
    <d v="2024-11-30T00:00:00"/>
    <x v="5"/>
    <n v="15"/>
    <x v="4144"/>
    <x v="2"/>
    <x v="11"/>
    <n v="2"/>
    <n v="35"/>
    <n v="70"/>
    <n v="0"/>
  </r>
  <r>
    <n v="4356"/>
    <n v="3191"/>
    <n v="0.33333333333333331"/>
    <x v="10"/>
    <d v="2024-11-30T00:00:00"/>
    <x v="5"/>
    <n v="11"/>
    <x v="4145"/>
    <x v="2"/>
    <x v="11"/>
    <n v="2"/>
    <n v="35"/>
    <n v="70"/>
    <n v="1"/>
  </r>
  <r>
    <n v="4357"/>
    <n v="3191"/>
    <n v="0.33333333333333331"/>
    <x v="10"/>
    <d v="2024-11-30T00:00:00"/>
    <x v="5"/>
    <n v="17"/>
    <x v="4146"/>
    <x v="2"/>
    <x v="15"/>
    <n v="3"/>
    <n v="25"/>
    <n v="75"/>
    <n v="0"/>
  </r>
  <r>
    <n v="4358"/>
    <n v="3191"/>
    <n v="0.33333333333333331"/>
    <x v="10"/>
    <d v="2024-11-30T00:00:00"/>
    <x v="5"/>
    <n v="13"/>
    <x v="4147"/>
    <x v="0"/>
    <x v="8"/>
    <n v="2"/>
    <n v="10"/>
    <n v="20"/>
    <n v="0"/>
  </r>
  <r>
    <n v="4359"/>
    <n v="3192"/>
    <n v="1"/>
    <x v="10"/>
    <d v="2024-11-30T00:00:00"/>
    <x v="5"/>
    <n v="11"/>
    <x v="4148"/>
    <x v="2"/>
    <x v="15"/>
    <n v="3"/>
    <n v="25"/>
    <n v="75"/>
    <n v="1"/>
  </r>
  <r>
    <n v="4360"/>
    <n v="3193"/>
    <n v="0.33333333333333331"/>
    <x v="10"/>
    <d v="2024-11-30T00:00:00"/>
    <x v="5"/>
    <n v="15"/>
    <x v="276"/>
    <x v="3"/>
    <x v="18"/>
    <n v="5"/>
    <n v="45"/>
    <n v="225"/>
    <n v="1"/>
  </r>
  <r>
    <n v="4361"/>
    <n v="3193"/>
    <n v="0.33333333333333331"/>
    <x v="10"/>
    <d v="2024-11-30T00:00:00"/>
    <x v="5"/>
    <n v="9"/>
    <x v="4149"/>
    <x v="1"/>
    <x v="1"/>
    <n v="5"/>
    <n v="650"/>
    <n v="3250"/>
    <n v="0"/>
  </r>
  <r>
    <n v="4362"/>
    <n v="3193"/>
    <n v="0.33333333333333331"/>
    <x v="10"/>
    <d v="2024-11-30T00:00:00"/>
    <x v="5"/>
    <n v="17"/>
    <x v="4150"/>
    <x v="2"/>
    <x v="11"/>
    <n v="1"/>
    <n v="35"/>
    <n v="35"/>
    <n v="0"/>
  </r>
  <r>
    <n v="4363"/>
    <n v="3194"/>
    <n v="0.5"/>
    <x v="10"/>
    <d v="2024-11-30T00:00:00"/>
    <x v="5"/>
    <n v="11"/>
    <x v="4151"/>
    <x v="1"/>
    <x v="12"/>
    <n v="2"/>
    <n v="1000"/>
    <n v="2000"/>
    <n v="1"/>
  </r>
  <r>
    <n v="4364"/>
    <n v="3194"/>
    <n v="0.5"/>
    <x v="10"/>
    <d v="2024-11-30T00:00:00"/>
    <x v="5"/>
    <n v="11"/>
    <x v="4152"/>
    <x v="3"/>
    <x v="17"/>
    <n v="4"/>
    <n v="60"/>
    <n v="240"/>
    <n v="0"/>
  </r>
  <r>
    <n v="4365"/>
    <n v="3195"/>
    <n v="0.33333333333333331"/>
    <x v="10"/>
    <d v="2024-11-30T00:00:00"/>
    <x v="5"/>
    <n v="13"/>
    <x v="4153"/>
    <x v="0"/>
    <x v="7"/>
    <n v="3"/>
    <n v="25"/>
    <n v="75"/>
    <n v="1"/>
  </r>
  <r>
    <n v="4366"/>
    <n v="3195"/>
    <n v="0.33333333333333331"/>
    <x v="10"/>
    <d v="2024-11-30T00:00:00"/>
    <x v="5"/>
    <n v="18"/>
    <x v="4154"/>
    <x v="2"/>
    <x v="11"/>
    <n v="1"/>
    <n v="35"/>
    <n v="35"/>
    <n v="0"/>
  </r>
  <r>
    <n v="4367"/>
    <n v="3195"/>
    <n v="0.33333333333333331"/>
    <x v="10"/>
    <d v="2024-11-30T00:00:00"/>
    <x v="5"/>
    <n v="18"/>
    <x v="4155"/>
    <x v="2"/>
    <x v="15"/>
    <n v="5"/>
    <n v="25"/>
    <n v="125"/>
    <n v="0"/>
  </r>
  <r>
    <n v="4368"/>
    <n v="3196"/>
    <n v="0.33333333333333331"/>
    <x v="10"/>
    <d v="2024-11-30T00:00:00"/>
    <x v="5"/>
    <n v="17"/>
    <x v="1965"/>
    <x v="0"/>
    <x v="16"/>
    <n v="2"/>
    <n v="5"/>
    <n v="10"/>
    <n v="1"/>
  </r>
  <r>
    <n v="4369"/>
    <n v="3196"/>
    <n v="0.33333333333333331"/>
    <x v="10"/>
    <d v="2024-11-30T00:00:00"/>
    <x v="5"/>
    <n v="9"/>
    <x v="2727"/>
    <x v="0"/>
    <x v="16"/>
    <n v="5"/>
    <n v="5"/>
    <n v="25"/>
    <n v="0"/>
  </r>
  <r>
    <n v="4370"/>
    <n v="3196"/>
    <n v="0.33333333333333331"/>
    <x v="10"/>
    <d v="2024-11-30T00:00:00"/>
    <x v="5"/>
    <n v="14"/>
    <x v="4156"/>
    <x v="3"/>
    <x v="18"/>
    <n v="1"/>
    <n v="45"/>
    <n v="45"/>
    <n v="0"/>
  </r>
  <r>
    <n v="4371"/>
    <n v="3197"/>
    <n v="1"/>
    <x v="10"/>
    <d v="2024-11-30T00:00:00"/>
    <x v="5"/>
    <n v="16"/>
    <x v="4157"/>
    <x v="2"/>
    <x v="15"/>
    <n v="3"/>
    <n v="25"/>
    <n v="75"/>
    <n v="1"/>
  </r>
  <r>
    <n v="4372"/>
    <n v="3198"/>
    <n v="1"/>
    <x v="11"/>
    <d v="2024-12-01T00:00:00"/>
    <x v="6"/>
    <n v="13"/>
    <x v="4158"/>
    <x v="1"/>
    <x v="3"/>
    <n v="1"/>
    <n v="700"/>
    <n v="700"/>
    <n v="1"/>
  </r>
  <r>
    <n v="4373"/>
    <n v="3199"/>
    <n v="0.33333333333333331"/>
    <x v="11"/>
    <d v="2024-12-01T00:00:00"/>
    <x v="6"/>
    <n v="16"/>
    <x v="4159"/>
    <x v="0"/>
    <x v="9"/>
    <n v="1"/>
    <n v="15"/>
    <n v="15"/>
    <n v="1"/>
  </r>
  <r>
    <n v="4374"/>
    <n v="3199"/>
    <n v="0.33333333333333331"/>
    <x v="11"/>
    <d v="2024-12-01T00:00:00"/>
    <x v="6"/>
    <n v="16"/>
    <x v="4160"/>
    <x v="2"/>
    <x v="15"/>
    <n v="1"/>
    <n v="25"/>
    <n v="25"/>
    <n v="0"/>
  </r>
  <r>
    <n v="4375"/>
    <n v="3199"/>
    <n v="0.33333333333333331"/>
    <x v="11"/>
    <d v="2024-12-01T00:00:00"/>
    <x v="6"/>
    <n v="19"/>
    <x v="4161"/>
    <x v="1"/>
    <x v="2"/>
    <n v="2"/>
    <n v="680"/>
    <n v="1360"/>
    <n v="0"/>
  </r>
  <r>
    <n v="4376"/>
    <n v="3200"/>
    <n v="0.5"/>
    <x v="11"/>
    <d v="2024-12-01T00:00:00"/>
    <x v="6"/>
    <n v="18"/>
    <x v="4162"/>
    <x v="2"/>
    <x v="5"/>
    <n v="2"/>
    <n v="20"/>
    <n v="40"/>
    <n v="1"/>
  </r>
  <r>
    <n v="4377"/>
    <n v="3200"/>
    <n v="0.5"/>
    <x v="11"/>
    <d v="2024-12-01T00:00:00"/>
    <x v="6"/>
    <n v="17"/>
    <x v="4163"/>
    <x v="2"/>
    <x v="15"/>
    <n v="2"/>
    <n v="25"/>
    <n v="50"/>
    <n v="0"/>
  </r>
  <r>
    <n v="4378"/>
    <n v="3201"/>
    <n v="0.33333333333333331"/>
    <x v="11"/>
    <d v="2024-12-01T00:00:00"/>
    <x v="6"/>
    <n v="18"/>
    <x v="1718"/>
    <x v="2"/>
    <x v="5"/>
    <n v="1"/>
    <n v="20"/>
    <n v="20"/>
    <n v="1"/>
  </r>
  <r>
    <n v="4379"/>
    <n v="3201"/>
    <n v="0.33333333333333331"/>
    <x v="11"/>
    <d v="2024-12-01T00:00:00"/>
    <x v="6"/>
    <n v="9"/>
    <x v="3300"/>
    <x v="3"/>
    <x v="18"/>
    <n v="4"/>
    <n v="45"/>
    <n v="180"/>
    <n v="0"/>
  </r>
  <r>
    <n v="4380"/>
    <n v="3201"/>
    <n v="0.33333333333333331"/>
    <x v="11"/>
    <d v="2024-12-01T00:00:00"/>
    <x v="6"/>
    <n v="18"/>
    <x v="4164"/>
    <x v="1"/>
    <x v="12"/>
    <n v="3"/>
    <n v="1000"/>
    <n v="3000"/>
    <n v="0"/>
  </r>
  <r>
    <n v="4381"/>
    <n v="3202"/>
    <n v="1"/>
    <x v="11"/>
    <d v="2024-12-01T00:00:00"/>
    <x v="6"/>
    <n v="15"/>
    <x v="1144"/>
    <x v="2"/>
    <x v="11"/>
    <n v="2"/>
    <n v="35"/>
    <n v="70"/>
    <n v="1"/>
  </r>
  <r>
    <n v="4382"/>
    <n v="3203"/>
    <n v="0.5"/>
    <x v="11"/>
    <d v="2024-12-01T00:00:00"/>
    <x v="6"/>
    <n v="17"/>
    <x v="4165"/>
    <x v="2"/>
    <x v="10"/>
    <n v="4"/>
    <n v="30"/>
    <n v="120"/>
    <n v="1"/>
  </r>
  <r>
    <n v="4383"/>
    <n v="3203"/>
    <n v="0.5"/>
    <x v="11"/>
    <d v="2024-12-01T00:00:00"/>
    <x v="6"/>
    <n v="20"/>
    <x v="4166"/>
    <x v="2"/>
    <x v="5"/>
    <n v="3"/>
    <n v="20"/>
    <n v="60"/>
    <n v="0"/>
  </r>
  <r>
    <n v="4384"/>
    <n v="3204"/>
    <n v="0.33333333333333331"/>
    <x v="11"/>
    <d v="2024-12-01T00:00:00"/>
    <x v="6"/>
    <n v="11"/>
    <x v="4167"/>
    <x v="1"/>
    <x v="2"/>
    <n v="4"/>
    <n v="680"/>
    <n v="2720"/>
    <n v="1"/>
  </r>
  <r>
    <n v="4385"/>
    <n v="3204"/>
    <n v="0.33333333333333331"/>
    <x v="11"/>
    <d v="2024-12-01T00:00:00"/>
    <x v="6"/>
    <n v="18"/>
    <x v="4168"/>
    <x v="1"/>
    <x v="12"/>
    <n v="3"/>
    <n v="1000"/>
    <n v="3000"/>
    <n v="0"/>
  </r>
  <r>
    <n v="4386"/>
    <n v="3204"/>
    <n v="0.33333333333333331"/>
    <x v="11"/>
    <d v="2024-12-01T00:00:00"/>
    <x v="6"/>
    <n v="16"/>
    <x v="4169"/>
    <x v="0"/>
    <x v="7"/>
    <n v="1"/>
    <n v="25"/>
    <n v="25"/>
    <n v="0"/>
  </r>
  <r>
    <n v="4387"/>
    <n v="3205"/>
    <n v="1"/>
    <x v="11"/>
    <d v="2024-12-02T00:00:00"/>
    <x v="0"/>
    <n v="9"/>
    <x v="4170"/>
    <x v="2"/>
    <x v="11"/>
    <n v="2"/>
    <n v="35"/>
    <n v="70"/>
    <n v="1"/>
  </r>
  <r>
    <n v="4388"/>
    <n v="3206"/>
    <n v="1"/>
    <x v="11"/>
    <d v="2024-12-02T00:00:00"/>
    <x v="0"/>
    <n v="12"/>
    <x v="4171"/>
    <x v="0"/>
    <x v="0"/>
    <n v="4"/>
    <n v="20"/>
    <n v="80"/>
    <n v="1"/>
  </r>
  <r>
    <n v="4389"/>
    <n v="3207"/>
    <n v="0.5"/>
    <x v="11"/>
    <d v="2024-12-02T00:00:00"/>
    <x v="0"/>
    <n v="10"/>
    <x v="4172"/>
    <x v="1"/>
    <x v="1"/>
    <n v="2"/>
    <n v="650"/>
    <n v="1300"/>
    <n v="1"/>
  </r>
  <r>
    <n v="4390"/>
    <n v="3207"/>
    <n v="0.5"/>
    <x v="11"/>
    <d v="2024-12-02T00:00:00"/>
    <x v="0"/>
    <n v="20"/>
    <x v="2850"/>
    <x v="3"/>
    <x v="17"/>
    <n v="2"/>
    <n v="60"/>
    <n v="120"/>
    <n v="0"/>
  </r>
  <r>
    <n v="4391"/>
    <n v="3208"/>
    <n v="0.5"/>
    <x v="11"/>
    <d v="2024-12-03T00:00:00"/>
    <x v="1"/>
    <n v="15"/>
    <x v="4173"/>
    <x v="2"/>
    <x v="11"/>
    <n v="4"/>
    <n v="35"/>
    <n v="140"/>
    <n v="1"/>
  </r>
  <r>
    <n v="4392"/>
    <n v="3208"/>
    <n v="0.5"/>
    <x v="11"/>
    <d v="2024-12-03T00:00:00"/>
    <x v="1"/>
    <n v="18"/>
    <x v="4174"/>
    <x v="1"/>
    <x v="1"/>
    <n v="1"/>
    <n v="650"/>
    <n v="650"/>
    <n v="0"/>
  </r>
  <r>
    <n v="4393"/>
    <n v="3209"/>
    <n v="0.5"/>
    <x v="11"/>
    <d v="2024-12-03T00:00:00"/>
    <x v="1"/>
    <n v="9"/>
    <x v="4175"/>
    <x v="2"/>
    <x v="5"/>
    <n v="3"/>
    <n v="20"/>
    <n v="60"/>
    <n v="1"/>
  </r>
  <r>
    <n v="4394"/>
    <n v="3209"/>
    <n v="0.5"/>
    <x v="11"/>
    <d v="2024-12-03T00:00:00"/>
    <x v="1"/>
    <n v="17"/>
    <x v="372"/>
    <x v="2"/>
    <x v="15"/>
    <n v="1"/>
    <n v="25"/>
    <n v="25"/>
    <n v="0"/>
  </r>
  <r>
    <n v="4395"/>
    <n v="3210"/>
    <n v="0.5"/>
    <x v="11"/>
    <d v="2024-12-03T00:00:00"/>
    <x v="1"/>
    <n v="11"/>
    <x v="4176"/>
    <x v="3"/>
    <x v="13"/>
    <n v="1"/>
    <n v="55"/>
    <n v="55"/>
    <n v="1"/>
  </r>
  <r>
    <n v="4396"/>
    <n v="3210"/>
    <n v="0.5"/>
    <x v="11"/>
    <d v="2024-12-03T00:00:00"/>
    <x v="1"/>
    <n v="16"/>
    <x v="4177"/>
    <x v="0"/>
    <x v="16"/>
    <n v="4"/>
    <n v="5"/>
    <n v="20"/>
    <n v="0"/>
  </r>
  <r>
    <n v="4397"/>
    <n v="3211"/>
    <n v="0.5"/>
    <x v="11"/>
    <d v="2024-12-03T00:00:00"/>
    <x v="1"/>
    <n v="18"/>
    <x v="4178"/>
    <x v="3"/>
    <x v="14"/>
    <n v="1"/>
    <n v="40"/>
    <n v="40"/>
    <n v="1"/>
  </r>
  <r>
    <n v="4398"/>
    <n v="3211"/>
    <n v="0.5"/>
    <x v="11"/>
    <d v="2024-12-03T00:00:00"/>
    <x v="1"/>
    <n v="17"/>
    <x v="4179"/>
    <x v="3"/>
    <x v="18"/>
    <n v="3"/>
    <n v="45"/>
    <n v="135"/>
    <n v="0"/>
  </r>
  <r>
    <n v="4399"/>
    <n v="3212"/>
    <n v="0.5"/>
    <x v="11"/>
    <d v="2024-12-03T00:00:00"/>
    <x v="1"/>
    <n v="14"/>
    <x v="4180"/>
    <x v="0"/>
    <x v="7"/>
    <n v="5"/>
    <n v="25"/>
    <n v="125"/>
    <n v="1"/>
  </r>
  <r>
    <n v="4400"/>
    <n v="3212"/>
    <n v="0.5"/>
    <x v="11"/>
    <d v="2024-12-03T00:00:00"/>
    <x v="1"/>
    <n v="19"/>
    <x v="1379"/>
    <x v="3"/>
    <x v="18"/>
    <n v="1"/>
    <n v="45"/>
    <n v="45"/>
    <n v="0"/>
  </r>
  <r>
    <n v="4401"/>
    <n v="3213"/>
    <n v="1"/>
    <x v="11"/>
    <d v="2024-12-03T00:00:00"/>
    <x v="1"/>
    <n v="20"/>
    <x v="4181"/>
    <x v="1"/>
    <x v="2"/>
    <n v="2"/>
    <n v="680"/>
    <n v="1360"/>
    <n v="1"/>
  </r>
  <r>
    <n v="4402"/>
    <n v="3214"/>
    <n v="1"/>
    <x v="11"/>
    <d v="2024-12-03T00:00:00"/>
    <x v="1"/>
    <n v="16"/>
    <x v="4182"/>
    <x v="3"/>
    <x v="13"/>
    <n v="4"/>
    <n v="55"/>
    <n v="220"/>
    <n v="1"/>
  </r>
  <r>
    <n v="4403"/>
    <n v="3215"/>
    <n v="0.5"/>
    <x v="11"/>
    <d v="2024-12-03T00:00:00"/>
    <x v="1"/>
    <n v="19"/>
    <x v="1506"/>
    <x v="3"/>
    <x v="18"/>
    <n v="2"/>
    <n v="45"/>
    <n v="90"/>
    <n v="1"/>
  </r>
  <r>
    <n v="4404"/>
    <n v="3215"/>
    <n v="0.5"/>
    <x v="11"/>
    <d v="2024-12-03T00:00:00"/>
    <x v="1"/>
    <n v="10"/>
    <x v="4183"/>
    <x v="2"/>
    <x v="11"/>
    <n v="5"/>
    <n v="35"/>
    <n v="175"/>
    <n v="0"/>
  </r>
  <r>
    <n v="4405"/>
    <n v="3216"/>
    <n v="0.33333333333333331"/>
    <x v="11"/>
    <d v="2024-12-03T00:00:00"/>
    <x v="1"/>
    <n v="17"/>
    <x v="4184"/>
    <x v="3"/>
    <x v="6"/>
    <n v="1"/>
    <n v="50"/>
    <n v="50"/>
    <n v="1"/>
  </r>
  <r>
    <n v="4406"/>
    <n v="3216"/>
    <n v="0.33333333333333331"/>
    <x v="11"/>
    <d v="2024-12-03T00:00:00"/>
    <x v="1"/>
    <n v="19"/>
    <x v="4185"/>
    <x v="1"/>
    <x v="12"/>
    <n v="2"/>
    <n v="1000"/>
    <n v="2000"/>
    <n v="0"/>
  </r>
  <r>
    <n v="4407"/>
    <n v="3216"/>
    <n v="0.33333333333333331"/>
    <x v="11"/>
    <d v="2024-12-03T00:00:00"/>
    <x v="1"/>
    <n v="10"/>
    <x v="4186"/>
    <x v="2"/>
    <x v="5"/>
    <n v="5"/>
    <n v="20"/>
    <n v="100"/>
    <n v="0"/>
  </r>
  <r>
    <n v="4408"/>
    <n v="3217"/>
    <n v="0.5"/>
    <x v="11"/>
    <d v="2024-12-03T00:00:00"/>
    <x v="1"/>
    <n v="20"/>
    <x v="2288"/>
    <x v="3"/>
    <x v="17"/>
    <n v="2"/>
    <n v="60"/>
    <n v="120"/>
    <n v="1"/>
  </r>
  <r>
    <n v="4409"/>
    <n v="3217"/>
    <n v="0.5"/>
    <x v="11"/>
    <d v="2024-12-03T00:00:00"/>
    <x v="1"/>
    <n v="20"/>
    <x v="4187"/>
    <x v="0"/>
    <x v="0"/>
    <n v="5"/>
    <n v="20"/>
    <n v="100"/>
    <n v="0"/>
  </r>
  <r>
    <n v="4410"/>
    <n v="3218"/>
    <n v="1"/>
    <x v="11"/>
    <d v="2024-12-04T00:00:00"/>
    <x v="2"/>
    <n v="20"/>
    <x v="4188"/>
    <x v="1"/>
    <x v="1"/>
    <n v="2"/>
    <n v="650"/>
    <n v="1300"/>
    <n v="1"/>
  </r>
  <r>
    <n v="4411"/>
    <n v="3219"/>
    <n v="1"/>
    <x v="11"/>
    <d v="2024-12-04T00:00:00"/>
    <x v="2"/>
    <n v="12"/>
    <x v="703"/>
    <x v="2"/>
    <x v="11"/>
    <n v="3"/>
    <n v="35"/>
    <n v="105"/>
    <n v="1"/>
  </r>
  <r>
    <n v="4412"/>
    <n v="3220"/>
    <n v="0.5"/>
    <x v="11"/>
    <d v="2024-12-04T00:00:00"/>
    <x v="2"/>
    <n v="11"/>
    <x v="4189"/>
    <x v="1"/>
    <x v="12"/>
    <n v="1"/>
    <n v="1000"/>
    <n v="1000"/>
    <n v="1"/>
  </r>
  <r>
    <n v="4413"/>
    <n v="3220"/>
    <n v="0.5"/>
    <x v="11"/>
    <d v="2024-12-04T00:00:00"/>
    <x v="2"/>
    <n v="14"/>
    <x v="4190"/>
    <x v="3"/>
    <x v="14"/>
    <n v="5"/>
    <n v="40"/>
    <n v="200"/>
    <n v="0"/>
  </r>
  <r>
    <n v="4414"/>
    <n v="3221"/>
    <n v="0.5"/>
    <x v="11"/>
    <d v="2024-12-04T00:00:00"/>
    <x v="2"/>
    <n v="10"/>
    <x v="1802"/>
    <x v="1"/>
    <x v="1"/>
    <n v="2"/>
    <n v="650"/>
    <n v="1300"/>
    <n v="1"/>
  </r>
  <r>
    <n v="4415"/>
    <n v="3221"/>
    <n v="0.5"/>
    <x v="11"/>
    <d v="2024-12-04T00:00:00"/>
    <x v="2"/>
    <n v="18"/>
    <x v="4191"/>
    <x v="1"/>
    <x v="12"/>
    <n v="2"/>
    <n v="1000"/>
    <n v="2000"/>
    <n v="0"/>
  </r>
  <r>
    <n v="4416"/>
    <n v="3222"/>
    <n v="0.33333333333333331"/>
    <x v="11"/>
    <d v="2024-12-05T00:00:00"/>
    <x v="3"/>
    <n v="17"/>
    <x v="4192"/>
    <x v="2"/>
    <x v="11"/>
    <n v="1"/>
    <n v="35"/>
    <n v="35"/>
    <n v="1"/>
  </r>
  <r>
    <n v="4417"/>
    <n v="3222"/>
    <n v="0.33333333333333331"/>
    <x v="11"/>
    <d v="2024-12-05T00:00:00"/>
    <x v="3"/>
    <n v="15"/>
    <x v="4193"/>
    <x v="1"/>
    <x v="3"/>
    <n v="1"/>
    <n v="700"/>
    <n v="700"/>
    <n v="0"/>
  </r>
  <r>
    <n v="4418"/>
    <n v="3222"/>
    <n v="0.33333333333333331"/>
    <x v="11"/>
    <d v="2024-12-05T00:00:00"/>
    <x v="3"/>
    <n v="18"/>
    <x v="4194"/>
    <x v="0"/>
    <x v="7"/>
    <n v="1"/>
    <n v="25"/>
    <n v="25"/>
    <n v="0"/>
  </r>
  <r>
    <n v="4419"/>
    <n v="3223"/>
    <n v="0.5"/>
    <x v="11"/>
    <d v="2024-12-05T00:00:00"/>
    <x v="3"/>
    <n v="20"/>
    <x v="4195"/>
    <x v="0"/>
    <x v="0"/>
    <n v="3"/>
    <n v="20"/>
    <n v="60"/>
    <n v="1"/>
  </r>
  <r>
    <n v="4420"/>
    <n v="3223"/>
    <n v="0.5"/>
    <x v="11"/>
    <d v="2024-12-05T00:00:00"/>
    <x v="3"/>
    <n v="17"/>
    <x v="4196"/>
    <x v="3"/>
    <x v="13"/>
    <n v="2"/>
    <n v="55"/>
    <n v="110"/>
    <n v="0"/>
  </r>
  <r>
    <n v="4421"/>
    <n v="3224"/>
    <n v="0.33333333333333331"/>
    <x v="11"/>
    <d v="2024-12-05T00:00:00"/>
    <x v="3"/>
    <n v="10"/>
    <x v="4197"/>
    <x v="2"/>
    <x v="5"/>
    <n v="3"/>
    <n v="20"/>
    <n v="60"/>
    <n v="1"/>
  </r>
  <r>
    <n v="4422"/>
    <n v="3224"/>
    <n v="0.33333333333333331"/>
    <x v="11"/>
    <d v="2024-12-05T00:00:00"/>
    <x v="3"/>
    <n v="17"/>
    <x v="4198"/>
    <x v="0"/>
    <x v="9"/>
    <n v="1"/>
    <n v="15"/>
    <n v="15"/>
    <n v="0"/>
  </r>
  <r>
    <n v="4423"/>
    <n v="3224"/>
    <n v="0.33333333333333331"/>
    <x v="11"/>
    <d v="2024-12-05T00:00:00"/>
    <x v="3"/>
    <n v="16"/>
    <x v="4199"/>
    <x v="2"/>
    <x v="11"/>
    <n v="4"/>
    <n v="35"/>
    <n v="140"/>
    <n v="0"/>
  </r>
  <r>
    <n v="4424"/>
    <n v="3225"/>
    <n v="0.5"/>
    <x v="11"/>
    <d v="2024-12-06T00:00:00"/>
    <x v="4"/>
    <n v="11"/>
    <x v="4200"/>
    <x v="0"/>
    <x v="7"/>
    <n v="5"/>
    <n v="25"/>
    <n v="125"/>
    <n v="1"/>
  </r>
  <r>
    <n v="4425"/>
    <n v="3225"/>
    <n v="0.5"/>
    <x v="11"/>
    <d v="2024-12-06T00:00:00"/>
    <x v="4"/>
    <n v="15"/>
    <x v="4201"/>
    <x v="3"/>
    <x v="14"/>
    <n v="1"/>
    <n v="40"/>
    <n v="40"/>
    <n v="0"/>
  </r>
  <r>
    <n v="4426"/>
    <n v="3226"/>
    <n v="0.5"/>
    <x v="11"/>
    <d v="2024-12-06T00:00:00"/>
    <x v="4"/>
    <n v="14"/>
    <x v="4202"/>
    <x v="3"/>
    <x v="13"/>
    <n v="2"/>
    <n v="55"/>
    <n v="110"/>
    <n v="1"/>
  </r>
  <r>
    <n v="4427"/>
    <n v="3226"/>
    <n v="0.5"/>
    <x v="11"/>
    <d v="2024-12-06T00:00:00"/>
    <x v="4"/>
    <n v="17"/>
    <x v="4203"/>
    <x v="3"/>
    <x v="14"/>
    <n v="4"/>
    <n v="40"/>
    <n v="160"/>
    <n v="0"/>
  </r>
  <r>
    <n v="4428"/>
    <n v="3227"/>
    <n v="1"/>
    <x v="11"/>
    <d v="2024-12-06T00:00:00"/>
    <x v="4"/>
    <n v="12"/>
    <x v="4204"/>
    <x v="1"/>
    <x v="4"/>
    <n v="4"/>
    <n v="600"/>
    <n v="2400"/>
    <n v="1"/>
  </r>
  <r>
    <n v="4429"/>
    <n v="3228"/>
    <n v="0.5"/>
    <x v="11"/>
    <d v="2024-12-07T00:00:00"/>
    <x v="5"/>
    <n v="10"/>
    <x v="92"/>
    <x v="2"/>
    <x v="11"/>
    <n v="1"/>
    <n v="35"/>
    <n v="35"/>
    <n v="1"/>
  </r>
  <r>
    <n v="4430"/>
    <n v="3228"/>
    <n v="0.5"/>
    <x v="11"/>
    <d v="2024-12-07T00:00:00"/>
    <x v="5"/>
    <n v="16"/>
    <x v="4205"/>
    <x v="1"/>
    <x v="1"/>
    <n v="5"/>
    <n v="650"/>
    <n v="3250"/>
    <n v="0"/>
  </r>
  <r>
    <n v="4431"/>
    <n v="3229"/>
    <n v="0.33333333333333331"/>
    <x v="11"/>
    <d v="2024-12-07T00:00:00"/>
    <x v="5"/>
    <n v="13"/>
    <x v="4206"/>
    <x v="2"/>
    <x v="11"/>
    <n v="3"/>
    <n v="35"/>
    <n v="105"/>
    <n v="1"/>
  </r>
  <r>
    <n v="4432"/>
    <n v="3229"/>
    <n v="0.33333333333333331"/>
    <x v="11"/>
    <d v="2024-12-07T00:00:00"/>
    <x v="5"/>
    <n v="13"/>
    <x v="4207"/>
    <x v="0"/>
    <x v="9"/>
    <n v="3"/>
    <n v="15"/>
    <n v="45"/>
    <n v="0"/>
  </r>
  <r>
    <n v="4433"/>
    <n v="3229"/>
    <n v="0.33333333333333331"/>
    <x v="11"/>
    <d v="2024-12-07T00:00:00"/>
    <x v="5"/>
    <n v="17"/>
    <x v="4208"/>
    <x v="1"/>
    <x v="2"/>
    <n v="1"/>
    <n v="680"/>
    <n v="680"/>
    <n v="0"/>
  </r>
  <r>
    <n v="4434"/>
    <n v="3230"/>
    <n v="0.5"/>
    <x v="11"/>
    <d v="2024-12-07T00:00:00"/>
    <x v="5"/>
    <n v="11"/>
    <x v="4209"/>
    <x v="3"/>
    <x v="14"/>
    <n v="4"/>
    <n v="40"/>
    <n v="160"/>
    <n v="1"/>
  </r>
  <r>
    <n v="4435"/>
    <n v="3230"/>
    <n v="0.5"/>
    <x v="11"/>
    <d v="2024-12-07T00:00:00"/>
    <x v="5"/>
    <n v="18"/>
    <x v="4210"/>
    <x v="0"/>
    <x v="0"/>
    <n v="1"/>
    <n v="20"/>
    <n v="20"/>
    <n v="0"/>
  </r>
  <r>
    <n v="4436"/>
    <n v="3231"/>
    <n v="1"/>
    <x v="11"/>
    <d v="2024-12-07T00:00:00"/>
    <x v="5"/>
    <n v="9"/>
    <x v="4211"/>
    <x v="0"/>
    <x v="9"/>
    <n v="3"/>
    <n v="15"/>
    <n v="45"/>
    <n v="1"/>
  </r>
  <r>
    <n v="4437"/>
    <n v="3232"/>
    <n v="0.33333333333333331"/>
    <x v="11"/>
    <d v="2024-12-07T00:00:00"/>
    <x v="5"/>
    <n v="12"/>
    <x v="4212"/>
    <x v="1"/>
    <x v="1"/>
    <n v="4"/>
    <n v="650"/>
    <n v="2600"/>
    <n v="1"/>
  </r>
  <r>
    <n v="4438"/>
    <n v="3232"/>
    <n v="0.33333333333333331"/>
    <x v="11"/>
    <d v="2024-12-07T00:00:00"/>
    <x v="5"/>
    <n v="11"/>
    <x v="4213"/>
    <x v="3"/>
    <x v="17"/>
    <n v="1"/>
    <n v="60"/>
    <n v="60"/>
    <n v="0"/>
  </r>
  <r>
    <n v="4439"/>
    <n v="3232"/>
    <n v="0.33333333333333331"/>
    <x v="11"/>
    <d v="2024-12-07T00:00:00"/>
    <x v="5"/>
    <n v="12"/>
    <x v="4214"/>
    <x v="2"/>
    <x v="11"/>
    <n v="2"/>
    <n v="35"/>
    <n v="70"/>
    <n v="0"/>
  </r>
  <r>
    <n v="4440"/>
    <n v="3233"/>
    <n v="1"/>
    <x v="11"/>
    <d v="2024-12-07T00:00:00"/>
    <x v="5"/>
    <n v="15"/>
    <x v="3243"/>
    <x v="2"/>
    <x v="10"/>
    <n v="3"/>
    <n v="30"/>
    <n v="90"/>
    <n v="1"/>
  </r>
  <r>
    <n v="4441"/>
    <n v="3234"/>
    <n v="0.5"/>
    <x v="11"/>
    <d v="2024-12-08T00:00:00"/>
    <x v="6"/>
    <n v="18"/>
    <x v="4215"/>
    <x v="2"/>
    <x v="10"/>
    <n v="3"/>
    <n v="30"/>
    <n v="90"/>
    <n v="1"/>
  </r>
  <r>
    <n v="4442"/>
    <n v="3234"/>
    <n v="0.5"/>
    <x v="11"/>
    <d v="2024-12-08T00:00:00"/>
    <x v="6"/>
    <n v="17"/>
    <x v="4216"/>
    <x v="2"/>
    <x v="5"/>
    <n v="5"/>
    <n v="20"/>
    <n v="100"/>
    <n v="0"/>
  </r>
  <r>
    <n v="4443"/>
    <n v="3235"/>
    <n v="0.5"/>
    <x v="11"/>
    <d v="2024-12-08T00:00:00"/>
    <x v="6"/>
    <n v="10"/>
    <x v="4217"/>
    <x v="2"/>
    <x v="15"/>
    <n v="5"/>
    <n v="25"/>
    <n v="125"/>
    <n v="1"/>
  </r>
  <r>
    <n v="4444"/>
    <n v="3235"/>
    <n v="0.5"/>
    <x v="11"/>
    <d v="2024-12-08T00:00:00"/>
    <x v="6"/>
    <n v="16"/>
    <x v="4218"/>
    <x v="1"/>
    <x v="2"/>
    <n v="3"/>
    <n v="680"/>
    <n v="2040"/>
    <n v="0"/>
  </r>
  <r>
    <n v="4445"/>
    <n v="3236"/>
    <n v="0.33333333333333331"/>
    <x v="11"/>
    <d v="2024-12-08T00:00:00"/>
    <x v="6"/>
    <n v="18"/>
    <x v="3254"/>
    <x v="0"/>
    <x v="9"/>
    <n v="3"/>
    <n v="15"/>
    <n v="45"/>
    <n v="1"/>
  </r>
  <r>
    <n v="4446"/>
    <n v="3236"/>
    <n v="0.33333333333333331"/>
    <x v="11"/>
    <d v="2024-12-08T00:00:00"/>
    <x v="6"/>
    <n v="9"/>
    <x v="4219"/>
    <x v="1"/>
    <x v="2"/>
    <n v="5"/>
    <n v="680"/>
    <n v="3400"/>
    <n v="0"/>
  </r>
  <r>
    <n v="4447"/>
    <n v="3236"/>
    <n v="0.33333333333333331"/>
    <x v="11"/>
    <d v="2024-12-08T00:00:00"/>
    <x v="6"/>
    <n v="15"/>
    <x v="4220"/>
    <x v="2"/>
    <x v="10"/>
    <n v="4"/>
    <n v="30"/>
    <n v="120"/>
    <n v="0"/>
  </r>
  <r>
    <n v="4448"/>
    <n v="3237"/>
    <n v="1"/>
    <x v="11"/>
    <d v="2024-12-08T00:00:00"/>
    <x v="6"/>
    <n v="18"/>
    <x v="4221"/>
    <x v="2"/>
    <x v="5"/>
    <n v="5"/>
    <n v="20"/>
    <n v="100"/>
    <n v="1"/>
  </r>
  <r>
    <n v="4449"/>
    <n v="3238"/>
    <n v="0.33333333333333331"/>
    <x v="11"/>
    <d v="2024-12-08T00:00:00"/>
    <x v="6"/>
    <n v="9"/>
    <x v="4222"/>
    <x v="0"/>
    <x v="16"/>
    <n v="2"/>
    <n v="5"/>
    <n v="10"/>
    <n v="1"/>
  </r>
  <r>
    <n v="4450"/>
    <n v="3238"/>
    <n v="0.33333333333333331"/>
    <x v="11"/>
    <d v="2024-12-08T00:00:00"/>
    <x v="6"/>
    <n v="11"/>
    <x v="2712"/>
    <x v="2"/>
    <x v="15"/>
    <n v="2"/>
    <n v="25"/>
    <n v="50"/>
    <n v="0"/>
  </r>
  <r>
    <n v="4451"/>
    <n v="3238"/>
    <n v="0.33333333333333331"/>
    <x v="11"/>
    <d v="2024-12-08T00:00:00"/>
    <x v="6"/>
    <n v="13"/>
    <x v="4223"/>
    <x v="2"/>
    <x v="11"/>
    <n v="1"/>
    <n v="35"/>
    <n v="35"/>
    <n v="0"/>
  </r>
  <r>
    <n v="4452"/>
    <n v="3239"/>
    <n v="0.33333333333333331"/>
    <x v="11"/>
    <d v="2024-12-08T00:00:00"/>
    <x v="6"/>
    <n v="10"/>
    <x v="4224"/>
    <x v="2"/>
    <x v="10"/>
    <n v="2"/>
    <n v="30"/>
    <n v="60"/>
    <n v="1"/>
  </r>
  <r>
    <n v="4453"/>
    <n v="3239"/>
    <n v="0.33333333333333331"/>
    <x v="11"/>
    <d v="2024-12-08T00:00:00"/>
    <x v="6"/>
    <n v="20"/>
    <x v="4225"/>
    <x v="2"/>
    <x v="10"/>
    <n v="2"/>
    <n v="30"/>
    <n v="60"/>
    <n v="0"/>
  </r>
  <r>
    <n v="4454"/>
    <n v="3239"/>
    <n v="0.33333333333333331"/>
    <x v="11"/>
    <d v="2024-12-08T00:00:00"/>
    <x v="6"/>
    <n v="11"/>
    <x v="4226"/>
    <x v="1"/>
    <x v="2"/>
    <n v="3"/>
    <n v="680"/>
    <n v="2040"/>
    <n v="0"/>
  </r>
  <r>
    <n v="4455"/>
    <n v="3240"/>
    <n v="0.33333333333333331"/>
    <x v="11"/>
    <d v="2024-12-08T00:00:00"/>
    <x v="6"/>
    <n v="15"/>
    <x v="4227"/>
    <x v="1"/>
    <x v="1"/>
    <n v="5"/>
    <n v="650"/>
    <n v="3250"/>
    <n v="1"/>
  </r>
  <r>
    <n v="4456"/>
    <n v="3240"/>
    <n v="0.33333333333333331"/>
    <x v="11"/>
    <d v="2024-12-08T00:00:00"/>
    <x v="6"/>
    <n v="10"/>
    <x v="4228"/>
    <x v="3"/>
    <x v="6"/>
    <n v="2"/>
    <n v="50"/>
    <n v="100"/>
    <n v="0"/>
  </r>
  <r>
    <n v="4457"/>
    <n v="3240"/>
    <n v="0.33333333333333331"/>
    <x v="11"/>
    <d v="2024-12-08T00:00:00"/>
    <x v="6"/>
    <n v="14"/>
    <x v="4229"/>
    <x v="1"/>
    <x v="4"/>
    <n v="4"/>
    <n v="600"/>
    <n v="2400"/>
    <n v="0"/>
  </r>
  <r>
    <n v="4458"/>
    <n v="3241"/>
    <n v="0.33333333333333331"/>
    <x v="11"/>
    <d v="2024-12-08T00:00:00"/>
    <x v="6"/>
    <n v="18"/>
    <x v="4230"/>
    <x v="0"/>
    <x v="0"/>
    <n v="4"/>
    <n v="20"/>
    <n v="80"/>
    <n v="1"/>
  </r>
  <r>
    <n v="4459"/>
    <n v="3241"/>
    <n v="0.33333333333333331"/>
    <x v="11"/>
    <d v="2024-12-08T00:00:00"/>
    <x v="6"/>
    <n v="15"/>
    <x v="4231"/>
    <x v="1"/>
    <x v="4"/>
    <n v="2"/>
    <n v="600"/>
    <n v="1200"/>
    <n v="0"/>
  </r>
  <r>
    <n v="4460"/>
    <n v="3241"/>
    <n v="0.33333333333333331"/>
    <x v="11"/>
    <d v="2024-12-08T00:00:00"/>
    <x v="6"/>
    <n v="14"/>
    <x v="4232"/>
    <x v="2"/>
    <x v="11"/>
    <n v="1"/>
    <n v="35"/>
    <n v="35"/>
    <n v="0"/>
  </r>
  <r>
    <n v="4461"/>
    <n v="3242"/>
    <n v="1"/>
    <x v="11"/>
    <d v="2024-12-08T00:00:00"/>
    <x v="6"/>
    <n v="15"/>
    <x v="4233"/>
    <x v="3"/>
    <x v="14"/>
    <n v="5"/>
    <n v="40"/>
    <n v="200"/>
    <n v="1"/>
  </r>
  <r>
    <n v="4462"/>
    <n v="3243"/>
    <n v="0.33333333333333331"/>
    <x v="11"/>
    <d v="2024-12-08T00:00:00"/>
    <x v="6"/>
    <n v="17"/>
    <x v="4234"/>
    <x v="0"/>
    <x v="16"/>
    <n v="4"/>
    <n v="5"/>
    <n v="20"/>
    <n v="1"/>
  </r>
  <r>
    <n v="4463"/>
    <n v="3243"/>
    <n v="0.33333333333333331"/>
    <x v="11"/>
    <d v="2024-12-08T00:00:00"/>
    <x v="6"/>
    <n v="10"/>
    <x v="2394"/>
    <x v="2"/>
    <x v="10"/>
    <n v="5"/>
    <n v="30"/>
    <n v="150"/>
    <n v="0"/>
  </r>
  <r>
    <n v="4464"/>
    <n v="3243"/>
    <n v="0.33333333333333331"/>
    <x v="11"/>
    <d v="2024-12-08T00:00:00"/>
    <x v="6"/>
    <n v="11"/>
    <x v="4235"/>
    <x v="2"/>
    <x v="11"/>
    <n v="2"/>
    <n v="35"/>
    <n v="70"/>
    <n v="0"/>
  </r>
  <r>
    <n v="4465"/>
    <n v="3244"/>
    <n v="0.5"/>
    <x v="11"/>
    <d v="2024-12-09T00:00:00"/>
    <x v="0"/>
    <n v="14"/>
    <x v="4236"/>
    <x v="0"/>
    <x v="16"/>
    <n v="5"/>
    <n v="5"/>
    <n v="25"/>
    <n v="1"/>
  </r>
  <r>
    <n v="4466"/>
    <n v="3244"/>
    <n v="0.5"/>
    <x v="11"/>
    <d v="2024-12-09T00:00:00"/>
    <x v="0"/>
    <n v="12"/>
    <x v="4237"/>
    <x v="2"/>
    <x v="5"/>
    <n v="2"/>
    <n v="20"/>
    <n v="40"/>
    <n v="0"/>
  </r>
  <r>
    <n v="4467"/>
    <n v="3245"/>
    <n v="0.5"/>
    <x v="11"/>
    <d v="2024-12-09T00:00:00"/>
    <x v="0"/>
    <n v="20"/>
    <x v="4238"/>
    <x v="2"/>
    <x v="15"/>
    <n v="5"/>
    <n v="25"/>
    <n v="125"/>
    <n v="1"/>
  </r>
  <r>
    <n v="4468"/>
    <n v="3245"/>
    <n v="0.5"/>
    <x v="11"/>
    <d v="2024-12-09T00:00:00"/>
    <x v="0"/>
    <n v="20"/>
    <x v="4239"/>
    <x v="1"/>
    <x v="3"/>
    <n v="4"/>
    <n v="700"/>
    <n v="2800"/>
    <n v="0"/>
  </r>
  <r>
    <n v="4469"/>
    <n v="3246"/>
    <n v="0.5"/>
    <x v="11"/>
    <d v="2024-12-09T00:00:00"/>
    <x v="0"/>
    <n v="11"/>
    <x v="4240"/>
    <x v="3"/>
    <x v="17"/>
    <n v="3"/>
    <n v="60"/>
    <n v="180"/>
    <n v="1"/>
  </r>
  <r>
    <n v="4470"/>
    <n v="3246"/>
    <n v="0.5"/>
    <x v="11"/>
    <d v="2024-12-09T00:00:00"/>
    <x v="0"/>
    <n v="14"/>
    <x v="4241"/>
    <x v="2"/>
    <x v="10"/>
    <n v="5"/>
    <n v="30"/>
    <n v="150"/>
    <n v="0"/>
  </r>
  <r>
    <n v="4471"/>
    <n v="3247"/>
    <n v="1"/>
    <x v="11"/>
    <d v="2024-12-09T00:00:00"/>
    <x v="0"/>
    <n v="9"/>
    <x v="4242"/>
    <x v="2"/>
    <x v="11"/>
    <n v="4"/>
    <n v="35"/>
    <n v="140"/>
    <n v="1"/>
  </r>
  <r>
    <n v="4472"/>
    <n v="3248"/>
    <n v="0.33333333333333331"/>
    <x v="11"/>
    <d v="2024-12-09T00:00:00"/>
    <x v="0"/>
    <n v="14"/>
    <x v="4243"/>
    <x v="1"/>
    <x v="12"/>
    <n v="3"/>
    <n v="1000"/>
    <n v="3000"/>
    <n v="1"/>
  </r>
  <r>
    <n v="4473"/>
    <n v="3248"/>
    <n v="0.33333333333333331"/>
    <x v="11"/>
    <d v="2024-12-09T00:00:00"/>
    <x v="0"/>
    <n v="15"/>
    <x v="4244"/>
    <x v="0"/>
    <x v="9"/>
    <n v="3"/>
    <n v="15"/>
    <n v="45"/>
    <n v="0"/>
  </r>
  <r>
    <n v="4474"/>
    <n v="3248"/>
    <n v="0.33333333333333331"/>
    <x v="11"/>
    <d v="2024-12-09T00:00:00"/>
    <x v="0"/>
    <n v="14"/>
    <x v="4245"/>
    <x v="2"/>
    <x v="10"/>
    <n v="1"/>
    <n v="30"/>
    <n v="30"/>
    <n v="0"/>
  </r>
  <r>
    <n v="4475"/>
    <n v="3249"/>
    <n v="1"/>
    <x v="11"/>
    <d v="2024-12-09T00:00:00"/>
    <x v="0"/>
    <n v="12"/>
    <x v="703"/>
    <x v="1"/>
    <x v="12"/>
    <n v="4"/>
    <n v="1000"/>
    <n v="4000"/>
    <n v="1"/>
  </r>
  <r>
    <n v="4476"/>
    <n v="3250"/>
    <n v="1"/>
    <x v="11"/>
    <d v="2024-12-09T00:00:00"/>
    <x v="0"/>
    <n v="17"/>
    <x v="4246"/>
    <x v="3"/>
    <x v="17"/>
    <n v="2"/>
    <n v="60"/>
    <n v="120"/>
    <n v="1"/>
  </r>
  <r>
    <n v="4477"/>
    <n v="3251"/>
    <n v="0.33333333333333331"/>
    <x v="11"/>
    <d v="2024-12-10T00:00:00"/>
    <x v="1"/>
    <n v="10"/>
    <x v="4247"/>
    <x v="0"/>
    <x v="7"/>
    <n v="2"/>
    <n v="25"/>
    <n v="50"/>
    <n v="1"/>
  </r>
  <r>
    <n v="4478"/>
    <n v="3251"/>
    <n v="0.33333333333333331"/>
    <x v="11"/>
    <d v="2024-12-10T00:00:00"/>
    <x v="1"/>
    <n v="9"/>
    <x v="4248"/>
    <x v="3"/>
    <x v="13"/>
    <n v="5"/>
    <n v="55"/>
    <n v="275"/>
    <n v="0"/>
  </r>
  <r>
    <n v="4479"/>
    <n v="3251"/>
    <n v="0.33333333333333331"/>
    <x v="11"/>
    <d v="2024-12-10T00:00:00"/>
    <x v="1"/>
    <n v="10"/>
    <x v="4249"/>
    <x v="0"/>
    <x v="7"/>
    <n v="5"/>
    <n v="25"/>
    <n v="125"/>
    <n v="0"/>
  </r>
  <r>
    <n v="4480"/>
    <n v="3252"/>
    <n v="0.5"/>
    <x v="11"/>
    <d v="2024-12-10T00:00:00"/>
    <x v="1"/>
    <n v="17"/>
    <x v="3828"/>
    <x v="0"/>
    <x v="9"/>
    <n v="3"/>
    <n v="15"/>
    <n v="45"/>
    <n v="1"/>
  </r>
  <r>
    <n v="4481"/>
    <n v="3252"/>
    <n v="0.5"/>
    <x v="11"/>
    <d v="2024-12-10T00:00:00"/>
    <x v="1"/>
    <n v="16"/>
    <x v="4250"/>
    <x v="2"/>
    <x v="10"/>
    <n v="2"/>
    <n v="30"/>
    <n v="60"/>
    <n v="0"/>
  </r>
  <r>
    <n v="4482"/>
    <n v="3253"/>
    <n v="0.33333333333333331"/>
    <x v="11"/>
    <d v="2024-12-10T00:00:00"/>
    <x v="1"/>
    <n v="19"/>
    <x v="4251"/>
    <x v="2"/>
    <x v="15"/>
    <n v="3"/>
    <n v="25"/>
    <n v="75"/>
    <n v="1"/>
  </r>
  <r>
    <n v="4483"/>
    <n v="3253"/>
    <n v="0.33333333333333331"/>
    <x v="11"/>
    <d v="2024-12-10T00:00:00"/>
    <x v="1"/>
    <n v="12"/>
    <x v="4252"/>
    <x v="0"/>
    <x v="9"/>
    <n v="3"/>
    <n v="15"/>
    <n v="45"/>
    <n v="0"/>
  </r>
  <r>
    <n v="4484"/>
    <n v="3253"/>
    <n v="0.33333333333333331"/>
    <x v="11"/>
    <d v="2024-12-10T00:00:00"/>
    <x v="1"/>
    <n v="20"/>
    <x v="4253"/>
    <x v="0"/>
    <x v="0"/>
    <n v="1"/>
    <n v="20"/>
    <n v="20"/>
    <n v="0"/>
  </r>
  <r>
    <n v="4485"/>
    <n v="3254"/>
    <n v="0.33333333333333331"/>
    <x v="11"/>
    <d v="2024-12-10T00:00:00"/>
    <x v="1"/>
    <n v="17"/>
    <x v="4254"/>
    <x v="0"/>
    <x v="16"/>
    <n v="2"/>
    <n v="5"/>
    <n v="10"/>
    <n v="1"/>
  </r>
  <r>
    <n v="4486"/>
    <n v="3254"/>
    <n v="0.33333333333333331"/>
    <x v="11"/>
    <d v="2024-12-10T00:00:00"/>
    <x v="1"/>
    <n v="12"/>
    <x v="4255"/>
    <x v="0"/>
    <x v="8"/>
    <n v="1"/>
    <n v="10"/>
    <n v="10"/>
    <n v="0"/>
  </r>
  <r>
    <n v="4487"/>
    <n v="3254"/>
    <n v="0.33333333333333331"/>
    <x v="11"/>
    <d v="2024-12-10T00:00:00"/>
    <x v="1"/>
    <n v="19"/>
    <x v="4256"/>
    <x v="2"/>
    <x v="15"/>
    <n v="3"/>
    <n v="25"/>
    <n v="75"/>
    <n v="0"/>
  </r>
  <r>
    <n v="4488"/>
    <n v="3255"/>
    <n v="0.5"/>
    <x v="11"/>
    <d v="2024-12-11T00:00:00"/>
    <x v="2"/>
    <n v="19"/>
    <x v="4257"/>
    <x v="1"/>
    <x v="1"/>
    <n v="2"/>
    <n v="650"/>
    <n v="1300"/>
    <n v="1"/>
  </r>
  <r>
    <n v="4489"/>
    <n v="3255"/>
    <n v="0.5"/>
    <x v="11"/>
    <d v="2024-12-11T00:00:00"/>
    <x v="2"/>
    <n v="17"/>
    <x v="4258"/>
    <x v="1"/>
    <x v="3"/>
    <n v="5"/>
    <n v="700"/>
    <n v="3500"/>
    <n v="0"/>
  </r>
  <r>
    <n v="4490"/>
    <n v="3256"/>
    <n v="1"/>
    <x v="11"/>
    <d v="2024-12-11T00:00:00"/>
    <x v="2"/>
    <n v="10"/>
    <x v="4259"/>
    <x v="0"/>
    <x v="16"/>
    <n v="2"/>
    <n v="5"/>
    <n v="10"/>
    <n v="1"/>
  </r>
  <r>
    <n v="4491"/>
    <n v="3257"/>
    <n v="1"/>
    <x v="11"/>
    <d v="2024-12-11T00:00:00"/>
    <x v="2"/>
    <n v="9"/>
    <x v="4260"/>
    <x v="3"/>
    <x v="6"/>
    <n v="3"/>
    <n v="50"/>
    <n v="150"/>
    <n v="1"/>
  </r>
  <r>
    <n v="4492"/>
    <n v="3258"/>
    <n v="1"/>
    <x v="11"/>
    <d v="2024-12-11T00:00:00"/>
    <x v="2"/>
    <n v="19"/>
    <x v="4261"/>
    <x v="1"/>
    <x v="1"/>
    <n v="4"/>
    <n v="650"/>
    <n v="2600"/>
    <n v="1"/>
  </r>
  <r>
    <n v="4493"/>
    <n v="3259"/>
    <n v="1"/>
    <x v="11"/>
    <d v="2024-12-12T00:00:00"/>
    <x v="3"/>
    <n v="12"/>
    <x v="4262"/>
    <x v="2"/>
    <x v="5"/>
    <n v="5"/>
    <n v="20"/>
    <n v="100"/>
    <n v="1"/>
  </r>
  <r>
    <n v="4494"/>
    <n v="3260"/>
    <n v="0.5"/>
    <x v="11"/>
    <d v="2024-12-12T00:00:00"/>
    <x v="3"/>
    <n v="19"/>
    <x v="609"/>
    <x v="2"/>
    <x v="5"/>
    <n v="3"/>
    <n v="20"/>
    <n v="60"/>
    <n v="1"/>
  </r>
  <r>
    <n v="4495"/>
    <n v="3260"/>
    <n v="0.5"/>
    <x v="11"/>
    <d v="2024-12-12T00:00:00"/>
    <x v="3"/>
    <n v="17"/>
    <x v="67"/>
    <x v="1"/>
    <x v="12"/>
    <n v="4"/>
    <n v="1000"/>
    <n v="4000"/>
    <n v="0"/>
  </r>
  <r>
    <n v="4496"/>
    <n v="3261"/>
    <n v="0.33333333333333331"/>
    <x v="11"/>
    <d v="2024-12-12T00:00:00"/>
    <x v="3"/>
    <n v="12"/>
    <x v="4263"/>
    <x v="2"/>
    <x v="15"/>
    <n v="2"/>
    <n v="25"/>
    <n v="50"/>
    <n v="1"/>
  </r>
  <r>
    <n v="4497"/>
    <n v="3261"/>
    <n v="0.33333333333333331"/>
    <x v="11"/>
    <d v="2024-12-12T00:00:00"/>
    <x v="3"/>
    <n v="11"/>
    <x v="4264"/>
    <x v="2"/>
    <x v="11"/>
    <n v="3"/>
    <n v="35"/>
    <n v="105"/>
    <n v="0"/>
  </r>
  <r>
    <n v="4498"/>
    <n v="3261"/>
    <n v="0.33333333333333331"/>
    <x v="11"/>
    <d v="2024-12-12T00:00:00"/>
    <x v="3"/>
    <n v="13"/>
    <x v="4265"/>
    <x v="1"/>
    <x v="1"/>
    <n v="2"/>
    <n v="650"/>
    <n v="1300"/>
    <n v="0"/>
  </r>
  <r>
    <n v="4499"/>
    <n v="3262"/>
    <n v="0.33333333333333331"/>
    <x v="11"/>
    <d v="2024-12-12T00:00:00"/>
    <x v="3"/>
    <n v="20"/>
    <x v="4266"/>
    <x v="2"/>
    <x v="5"/>
    <n v="2"/>
    <n v="20"/>
    <n v="40"/>
    <n v="1"/>
  </r>
  <r>
    <n v="4500"/>
    <n v="3262"/>
    <n v="0.33333333333333331"/>
    <x v="11"/>
    <d v="2024-12-12T00:00:00"/>
    <x v="3"/>
    <n v="14"/>
    <x v="4267"/>
    <x v="2"/>
    <x v="11"/>
    <n v="4"/>
    <n v="35"/>
    <n v="140"/>
    <n v="0"/>
  </r>
  <r>
    <n v="4501"/>
    <n v="3262"/>
    <n v="0.33333333333333331"/>
    <x v="11"/>
    <d v="2024-12-12T00:00:00"/>
    <x v="3"/>
    <n v="11"/>
    <x v="4268"/>
    <x v="3"/>
    <x v="13"/>
    <n v="1"/>
    <n v="55"/>
    <n v="55"/>
    <n v="0"/>
  </r>
  <r>
    <n v="4502"/>
    <n v="3263"/>
    <n v="1"/>
    <x v="11"/>
    <d v="2024-12-12T00:00:00"/>
    <x v="3"/>
    <n v="9"/>
    <x v="477"/>
    <x v="1"/>
    <x v="12"/>
    <n v="1"/>
    <n v="1000"/>
    <n v="1000"/>
    <n v="1"/>
  </r>
  <r>
    <n v="4503"/>
    <n v="3264"/>
    <n v="0.33333333333333331"/>
    <x v="11"/>
    <d v="2024-12-12T00:00:00"/>
    <x v="3"/>
    <n v="16"/>
    <x v="4269"/>
    <x v="0"/>
    <x v="9"/>
    <n v="3"/>
    <n v="15"/>
    <n v="45"/>
    <n v="1"/>
  </r>
  <r>
    <n v="4504"/>
    <n v="3264"/>
    <n v="0.33333333333333331"/>
    <x v="11"/>
    <d v="2024-12-12T00:00:00"/>
    <x v="3"/>
    <n v="20"/>
    <x v="4270"/>
    <x v="2"/>
    <x v="11"/>
    <n v="1"/>
    <n v="35"/>
    <n v="35"/>
    <n v="0"/>
  </r>
  <r>
    <n v="4505"/>
    <n v="3264"/>
    <n v="0.33333333333333331"/>
    <x v="11"/>
    <d v="2024-12-12T00:00:00"/>
    <x v="3"/>
    <n v="10"/>
    <x v="4271"/>
    <x v="2"/>
    <x v="10"/>
    <n v="2"/>
    <n v="30"/>
    <n v="60"/>
    <n v="0"/>
  </r>
  <r>
    <n v="4506"/>
    <n v="3265"/>
    <n v="0.5"/>
    <x v="11"/>
    <d v="2024-12-13T00:00:00"/>
    <x v="4"/>
    <n v="19"/>
    <x v="4272"/>
    <x v="1"/>
    <x v="4"/>
    <n v="1"/>
    <n v="600"/>
    <n v="600"/>
    <n v="1"/>
  </r>
  <r>
    <n v="4507"/>
    <n v="3265"/>
    <n v="0.5"/>
    <x v="11"/>
    <d v="2024-12-13T00:00:00"/>
    <x v="4"/>
    <n v="19"/>
    <x v="4273"/>
    <x v="3"/>
    <x v="6"/>
    <n v="3"/>
    <n v="50"/>
    <n v="150"/>
    <n v="0"/>
  </r>
  <r>
    <n v="4508"/>
    <n v="3266"/>
    <n v="0.33333333333333331"/>
    <x v="11"/>
    <d v="2024-12-13T00:00:00"/>
    <x v="4"/>
    <n v="13"/>
    <x v="4274"/>
    <x v="3"/>
    <x v="13"/>
    <n v="5"/>
    <n v="55"/>
    <n v="275"/>
    <n v="1"/>
  </r>
  <r>
    <n v="4509"/>
    <n v="3266"/>
    <n v="0.33333333333333331"/>
    <x v="11"/>
    <d v="2024-12-13T00:00:00"/>
    <x v="4"/>
    <n v="12"/>
    <x v="4275"/>
    <x v="2"/>
    <x v="5"/>
    <n v="3"/>
    <n v="20"/>
    <n v="60"/>
    <n v="0"/>
  </r>
  <r>
    <n v="4510"/>
    <n v="3266"/>
    <n v="0.33333333333333331"/>
    <x v="11"/>
    <d v="2024-12-13T00:00:00"/>
    <x v="4"/>
    <n v="17"/>
    <x v="4276"/>
    <x v="0"/>
    <x v="7"/>
    <n v="4"/>
    <n v="25"/>
    <n v="100"/>
    <n v="0"/>
  </r>
  <r>
    <n v="4511"/>
    <n v="3267"/>
    <n v="0.5"/>
    <x v="11"/>
    <d v="2024-12-13T00:00:00"/>
    <x v="4"/>
    <n v="18"/>
    <x v="4277"/>
    <x v="2"/>
    <x v="10"/>
    <n v="4"/>
    <n v="30"/>
    <n v="120"/>
    <n v="1"/>
  </r>
  <r>
    <n v="4512"/>
    <n v="3267"/>
    <n v="0.5"/>
    <x v="11"/>
    <d v="2024-12-13T00:00:00"/>
    <x v="4"/>
    <n v="15"/>
    <x v="4278"/>
    <x v="2"/>
    <x v="15"/>
    <n v="5"/>
    <n v="25"/>
    <n v="125"/>
    <n v="0"/>
  </r>
  <r>
    <n v="4513"/>
    <n v="3268"/>
    <n v="1"/>
    <x v="11"/>
    <d v="2024-12-13T00:00:00"/>
    <x v="4"/>
    <n v="19"/>
    <x v="4279"/>
    <x v="3"/>
    <x v="17"/>
    <n v="2"/>
    <n v="60"/>
    <n v="120"/>
    <n v="1"/>
  </r>
  <r>
    <n v="4514"/>
    <n v="3269"/>
    <n v="1"/>
    <x v="11"/>
    <d v="2024-12-13T00:00:00"/>
    <x v="4"/>
    <n v="12"/>
    <x v="4280"/>
    <x v="0"/>
    <x v="0"/>
    <n v="3"/>
    <n v="20"/>
    <n v="60"/>
    <n v="1"/>
  </r>
  <r>
    <n v="4515"/>
    <n v="3270"/>
    <n v="0.33333333333333331"/>
    <x v="11"/>
    <d v="2024-12-13T00:00:00"/>
    <x v="4"/>
    <n v="9"/>
    <x v="4281"/>
    <x v="2"/>
    <x v="10"/>
    <n v="3"/>
    <n v="30"/>
    <n v="90"/>
    <n v="1"/>
  </r>
  <r>
    <n v="4516"/>
    <n v="3270"/>
    <n v="0.33333333333333331"/>
    <x v="11"/>
    <d v="2024-12-13T00:00:00"/>
    <x v="4"/>
    <n v="13"/>
    <x v="4282"/>
    <x v="3"/>
    <x v="6"/>
    <n v="2"/>
    <n v="50"/>
    <n v="100"/>
    <n v="0"/>
  </r>
  <r>
    <n v="4517"/>
    <n v="3270"/>
    <n v="0.33333333333333331"/>
    <x v="11"/>
    <d v="2024-12-13T00:00:00"/>
    <x v="4"/>
    <n v="9"/>
    <x v="3300"/>
    <x v="2"/>
    <x v="11"/>
    <n v="4"/>
    <n v="35"/>
    <n v="140"/>
    <n v="0"/>
  </r>
  <r>
    <n v="4518"/>
    <n v="3271"/>
    <n v="0.5"/>
    <x v="11"/>
    <d v="2024-12-13T00:00:00"/>
    <x v="4"/>
    <n v="13"/>
    <x v="4283"/>
    <x v="1"/>
    <x v="4"/>
    <n v="4"/>
    <n v="600"/>
    <n v="2400"/>
    <n v="1"/>
  </r>
  <r>
    <n v="4519"/>
    <n v="3271"/>
    <n v="0.5"/>
    <x v="11"/>
    <d v="2024-12-13T00:00:00"/>
    <x v="4"/>
    <n v="12"/>
    <x v="4284"/>
    <x v="2"/>
    <x v="11"/>
    <n v="4"/>
    <n v="35"/>
    <n v="140"/>
    <n v="0"/>
  </r>
  <r>
    <n v="4520"/>
    <n v="3272"/>
    <n v="1"/>
    <x v="11"/>
    <d v="2024-12-14T00:00:00"/>
    <x v="5"/>
    <n v="16"/>
    <x v="4285"/>
    <x v="3"/>
    <x v="13"/>
    <n v="2"/>
    <n v="55"/>
    <n v="110"/>
    <n v="1"/>
  </r>
  <r>
    <n v="4521"/>
    <n v="3273"/>
    <n v="0.33333333333333331"/>
    <x v="11"/>
    <d v="2024-12-14T00:00:00"/>
    <x v="5"/>
    <n v="16"/>
    <x v="4286"/>
    <x v="2"/>
    <x v="10"/>
    <n v="4"/>
    <n v="30"/>
    <n v="120"/>
    <n v="1"/>
  </r>
  <r>
    <n v="4522"/>
    <n v="3273"/>
    <n v="0.33333333333333331"/>
    <x v="11"/>
    <d v="2024-12-14T00:00:00"/>
    <x v="5"/>
    <n v="12"/>
    <x v="4287"/>
    <x v="2"/>
    <x v="5"/>
    <n v="5"/>
    <n v="20"/>
    <n v="100"/>
    <n v="0"/>
  </r>
  <r>
    <n v="4523"/>
    <n v="3273"/>
    <n v="0.33333333333333331"/>
    <x v="11"/>
    <d v="2024-12-14T00:00:00"/>
    <x v="5"/>
    <n v="16"/>
    <x v="4288"/>
    <x v="0"/>
    <x v="9"/>
    <n v="5"/>
    <n v="15"/>
    <n v="75"/>
    <n v="0"/>
  </r>
  <r>
    <n v="4524"/>
    <n v="3274"/>
    <n v="0.5"/>
    <x v="11"/>
    <d v="2024-12-14T00:00:00"/>
    <x v="5"/>
    <n v="13"/>
    <x v="4289"/>
    <x v="3"/>
    <x v="18"/>
    <n v="4"/>
    <n v="45"/>
    <n v="180"/>
    <n v="1"/>
  </r>
  <r>
    <n v="4525"/>
    <n v="3274"/>
    <n v="0.5"/>
    <x v="11"/>
    <d v="2024-12-14T00:00:00"/>
    <x v="5"/>
    <n v="17"/>
    <x v="4290"/>
    <x v="3"/>
    <x v="18"/>
    <n v="5"/>
    <n v="45"/>
    <n v="225"/>
    <n v="0"/>
  </r>
  <r>
    <n v="4526"/>
    <n v="3275"/>
    <n v="1"/>
    <x v="11"/>
    <d v="2024-12-15T00:00:00"/>
    <x v="6"/>
    <n v="14"/>
    <x v="4291"/>
    <x v="0"/>
    <x v="9"/>
    <n v="5"/>
    <n v="15"/>
    <n v="75"/>
    <n v="1"/>
  </r>
  <r>
    <n v="4527"/>
    <n v="3276"/>
    <n v="1"/>
    <x v="11"/>
    <d v="2024-12-15T00:00:00"/>
    <x v="6"/>
    <n v="13"/>
    <x v="4292"/>
    <x v="1"/>
    <x v="4"/>
    <n v="3"/>
    <n v="600"/>
    <n v="1800"/>
    <n v="1"/>
  </r>
  <r>
    <n v="4528"/>
    <n v="3277"/>
    <n v="0.33333333333333331"/>
    <x v="11"/>
    <d v="2024-12-15T00:00:00"/>
    <x v="6"/>
    <n v="14"/>
    <x v="4293"/>
    <x v="0"/>
    <x v="7"/>
    <n v="2"/>
    <n v="25"/>
    <n v="50"/>
    <n v="1"/>
  </r>
  <r>
    <n v="4529"/>
    <n v="3277"/>
    <n v="0.33333333333333331"/>
    <x v="11"/>
    <d v="2024-12-15T00:00:00"/>
    <x v="6"/>
    <n v="16"/>
    <x v="4294"/>
    <x v="0"/>
    <x v="8"/>
    <n v="1"/>
    <n v="10"/>
    <n v="10"/>
    <n v="0"/>
  </r>
  <r>
    <n v="4530"/>
    <n v="3277"/>
    <n v="0.33333333333333331"/>
    <x v="11"/>
    <d v="2024-12-15T00:00:00"/>
    <x v="6"/>
    <n v="19"/>
    <x v="4295"/>
    <x v="2"/>
    <x v="11"/>
    <n v="4"/>
    <n v="35"/>
    <n v="140"/>
    <n v="0"/>
  </r>
  <r>
    <n v="4531"/>
    <n v="3278"/>
    <n v="0.33333333333333331"/>
    <x v="11"/>
    <d v="2024-12-15T00:00:00"/>
    <x v="6"/>
    <n v="9"/>
    <x v="4296"/>
    <x v="2"/>
    <x v="15"/>
    <n v="4"/>
    <n v="25"/>
    <n v="100"/>
    <n v="1"/>
  </r>
  <r>
    <n v="4532"/>
    <n v="3278"/>
    <n v="0.33333333333333331"/>
    <x v="11"/>
    <d v="2024-12-15T00:00:00"/>
    <x v="6"/>
    <n v="14"/>
    <x v="4297"/>
    <x v="0"/>
    <x v="16"/>
    <n v="2"/>
    <n v="5"/>
    <n v="10"/>
    <n v="0"/>
  </r>
  <r>
    <n v="4533"/>
    <n v="3278"/>
    <n v="0.33333333333333331"/>
    <x v="11"/>
    <d v="2024-12-15T00:00:00"/>
    <x v="6"/>
    <n v="14"/>
    <x v="4298"/>
    <x v="3"/>
    <x v="18"/>
    <n v="5"/>
    <n v="45"/>
    <n v="225"/>
    <n v="0"/>
  </r>
  <r>
    <n v="4534"/>
    <n v="3279"/>
    <n v="0.33333333333333331"/>
    <x v="11"/>
    <d v="2024-12-15T00:00:00"/>
    <x v="6"/>
    <n v="18"/>
    <x v="4299"/>
    <x v="0"/>
    <x v="16"/>
    <n v="1"/>
    <n v="5"/>
    <n v="5"/>
    <n v="1"/>
  </r>
  <r>
    <n v="4535"/>
    <n v="3279"/>
    <n v="0.33333333333333331"/>
    <x v="11"/>
    <d v="2024-12-15T00:00:00"/>
    <x v="6"/>
    <n v="9"/>
    <x v="4300"/>
    <x v="0"/>
    <x v="8"/>
    <n v="1"/>
    <n v="10"/>
    <n v="10"/>
    <n v="0"/>
  </r>
  <r>
    <n v="4536"/>
    <n v="3279"/>
    <n v="0.33333333333333331"/>
    <x v="11"/>
    <d v="2024-12-15T00:00:00"/>
    <x v="6"/>
    <n v="20"/>
    <x v="4301"/>
    <x v="2"/>
    <x v="15"/>
    <n v="2"/>
    <n v="25"/>
    <n v="50"/>
    <n v="0"/>
  </r>
  <r>
    <n v="4537"/>
    <n v="3280"/>
    <n v="0.5"/>
    <x v="11"/>
    <d v="2024-12-15T00:00:00"/>
    <x v="6"/>
    <n v="12"/>
    <x v="4302"/>
    <x v="2"/>
    <x v="5"/>
    <n v="5"/>
    <n v="20"/>
    <n v="100"/>
    <n v="1"/>
  </r>
  <r>
    <n v="4538"/>
    <n v="3280"/>
    <n v="0.5"/>
    <x v="11"/>
    <d v="2024-12-15T00:00:00"/>
    <x v="6"/>
    <n v="9"/>
    <x v="4303"/>
    <x v="1"/>
    <x v="4"/>
    <n v="1"/>
    <n v="600"/>
    <n v="600"/>
    <n v="0"/>
  </r>
  <r>
    <n v="4539"/>
    <n v="3281"/>
    <n v="0.33333333333333331"/>
    <x v="11"/>
    <d v="2024-12-15T00:00:00"/>
    <x v="6"/>
    <n v="10"/>
    <x v="4304"/>
    <x v="0"/>
    <x v="16"/>
    <n v="4"/>
    <n v="5"/>
    <n v="20"/>
    <n v="1"/>
  </r>
  <r>
    <n v="4540"/>
    <n v="3281"/>
    <n v="0.33333333333333331"/>
    <x v="11"/>
    <d v="2024-12-15T00:00:00"/>
    <x v="6"/>
    <n v="12"/>
    <x v="4305"/>
    <x v="1"/>
    <x v="12"/>
    <n v="4"/>
    <n v="1000"/>
    <n v="4000"/>
    <n v="0"/>
  </r>
  <r>
    <n v="4541"/>
    <n v="3281"/>
    <n v="0.33333333333333331"/>
    <x v="11"/>
    <d v="2024-12-15T00:00:00"/>
    <x v="6"/>
    <n v="10"/>
    <x v="4306"/>
    <x v="3"/>
    <x v="17"/>
    <n v="3"/>
    <n v="60"/>
    <n v="180"/>
    <n v="0"/>
  </r>
  <r>
    <n v="4542"/>
    <n v="3282"/>
    <n v="0.33333333333333331"/>
    <x v="11"/>
    <d v="2024-12-15T00:00:00"/>
    <x v="6"/>
    <n v="17"/>
    <x v="1546"/>
    <x v="3"/>
    <x v="6"/>
    <n v="3"/>
    <n v="50"/>
    <n v="150"/>
    <n v="1"/>
  </r>
  <r>
    <n v="4543"/>
    <n v="3282"/>
    <n v="0.33333333333333331"/>
    <x v="11"/>
    <d v="2024-12-15T00:00:00"/>
    <x v="6"/>
    <n v="10"/>
    <x v="4307"/>
    <x v="3"/>
    <x v="17"/>
    <n v="4"/>
    <n v="60"/>
    <n v="240"/>
    <n v="0"/>
  </r>
  <r>
    <n v="4544"/>
    <n v="3282"/>
    <n v="0.33333333333333331"/>
    <x v="11"/>
    <d v="2024-12-15T00:00:00"/>
    <x v="6"/>
    <n v="10"/>
    <x v="4308"/>
    <x v="1"/>
    <x v="4"/>
    <n v="3"/>
    <n v="600"/>
    <n v="1800"/>
    <n v="0"/>
  </r>
  <r>
    <n v="4545"/>
    <n v="3283"/>
    <n v="0.33333333333333331"/>
    <x v="11"/>
    <d v="2024-12-15T00:00:00"/>
    <x v="6"/>
    <n v="13"/>
    <x v="2304"/>
    <x v="3"/>
    <x v="18"/>
    <n v="3"/>
    <n v="45"/>
    <n v="135"/>
    <n v="1"/>
  </r>
  <r>
    <n v="4546"/>
    <n v="3283"/>
    <n v="0.33333333333333331"/>
    <x v="11"/>
    <d v="2024-12-15T00:00:00"/>
    <x v="6"/>
    <n v="16"/>
    <x v="4309"/>
    <x v="1"/>
    <x v="12"/>
    <n v="5"/>
    <n v="1000"/>
    <n v="5000"/>
    <n v="0"/>
  </r>
  <r>
    <n v="4547"/>
    <n v="3283"/>
    <n v="0.33333333333333331"/>
    <x v="11"/>
    <d v="2024-12-15T00:00:00"/>
    <x v="6"/>
    <n v="19"/>
    <x v="4310"/>
    <x v="0"/>
    <x v="8"/>
    <n v="4"/>
    <n v="10"/>
    <n v="40"/>
    <n v="0"/>
  </r>
  <r>
    <n v="4548"/>
    <n v="3284"/>
    <n v="1"/>
    <x v="11"/>
    <d v="2024-12-16T00:00:00"/>
    <x v="0"/>
    <n v="15"/>
    <x v="4311"/>
    <x v="0"/>
    <x v="9"/>
    <n v="5"/>
    <n v="15"/>
    <n v="75"/>
    <n v="1"/>
  </r>
  <r>
    <n v="4549"/>
    <n v="3285"/>
    <n v="1"/>
    <x v="11"/>
    <d v="2024-12-16T00:00:00"/>
    <x v="0"/>
    <n v="18"/>
    <x v="4312"/>
    <x v="0"/>
    <x v="8"/>
    <n v="2"/>
    <n v="10"/>
    <n v="20"/>
    <n v="1"/>
  </r>
  <r>
    <n v="4550"/>
    <n v="3286"/>
    <n v="0.33333333333333331"/>
    <x v="11"/>
    <d v="2024-12-16T00:00:00"/>
    <x v="0"/>
    <n v="20"/>
    <x v="4313"/>
    <x v="2"/>
    <x v="5"/>
    <n v="2"/>
    <n v="20"/>
    <n v="40"/>
    <n v="1"/>
  </r>
  <r>
    <n v="4551"/>
    <n v="3286"/>
    <n v="0.33333333333333331"/>
    <x v="11"/>
    <d v="2024-12-16T00:00:00"/>
    <x v="0"/>
    <n v="19"/>
    <x v="4314"/>
    <x v="0"/>
    <x v="9"/>
    <n v="5"/>
    <n v="15"/>
    <n v="75"/>
    <n v="0"/>
  </r>
  <r>
    <n v="4552"/>
    <n v="3286"/>
    <n v="0.33333333333333331"/>
    <x v="11"/>
    <d v="2024-12-16T00:00:00"/>
    <x v="0"/>
    <n v="9"/>
    <x v="4315"/>
    <x v="1"/>
    <x v="1"/>
    <n v="3"/>
    <n v="650"/>
    <n v="1950"/>
    <n v="0"/>
  </r>
  <r>
    <n v="4553"/>
    <n v="3287"/>
    <n v="0.5"/>
    <x v="11"/>
    <d v="2024-12-17T00:00:00"/>
    <x v="1"/>
    <n v="18"/>
    <x v="814"/>
    <x v="1"/>
    <x v="2"/>
    <n v="1"/>
    <n v="680"/>
    <n v="680"/>
    <n v="1"/>
  </r>
  <r>
    <n v="4554"/>
    <n v="3287"/>
    <n v="0.5"/>
    <x v="11"/>
    <d v="2024-12-17T00:00:00"/>
    <x v="1"/>
    <n v="12"/>
    <x v="4063"/>
    <x v="2"/>
    <x v="5"/>
    <n v="3"/>
    <n v="20"/>
    <n v="60"/>
    <n v="0"/>
  </r>
  <r>
    <n v="4555"/>
    <n v="3288"/>
    <n v="0.5"/>
    <x v="11"/>
    <d v="2024-12-17T00:00:00"/>
    <x v="1"/>
    <n v="9"/>
    <x v="4316"/>
    <x v="3"/>
    <x v="13"/>
    <n v="5"/>
    <n v="55"/>
    <n v="275"/>
    <n v="1"/>
  </r>
  <r>
    <n v="4556"/>
    <n v="3288"/>
    <n v="0.5"/>
    <x v="11"/>
    <d v="2024-12-17T00:00:00"/>
    <x v="1"/>
    <n v="18"/>
    <x v="4317"/>
    <x v="0"/>
    <x v="7"/>
    <n v="2"/>
    <n v="25"/>
    <n v="50"/>
    <n v="0"/>
  </r>
  <r>
    <n v="4557"/>
    <n v="3289"/>
    <n v="1"/>
    <x v="11"/>
    <d v="2024-12-17T00:00:00"/>
    <x v="1"/>
    <n v="13"/>
    <x v="4318"/>
    <x v="3"/>
    <x v="18"/>
    <n v="1"/>
    <n v="45"/>
    <n v="45"/>
    <n v="1"/>
  </r>
  <r>
    <n v="4558"/>
    <n v="3290"/>
    <n v="0.33333333333333331"/>
    <x v="11"/>
    <d v="2024-12-17T00:00:00"/>
    <x v="1"/>
    <n v="12"/>
    <x v="4319"/>
    <x v="1"/>
    <x v="4"/>
    <n v="4"/>
    <n v="600"/>
    <n v="2400"/>
    <n v="1"/>
  </r>
  <r>
    <n v="4559"/>
    <n v="3290"/>
    <n v="0.33333333333333331"/>
    <x v="11"/>
    <d v="2024-12-17T00:00:00"/>
    <x v="1"/>
    <n v="16"/>
    <x v="4141"/>
    <x v="1"/>
    <x v="2"/>
    <n v="4"/>
    <n v="680"/>
    <n v="2720"/>
    <n v="0"/>
  </r>
  <r>
    <n v="4560"/>
    <n v="3290"/>
    <n v="0.33333333333333331"/>
    <x v="11"/>
    <d v="2024-12-17T00:00:00"/>
    <x v="1"/>
    <n v="15"/>
    <x v="620"/>
    <x v="0"/>
    <x v="8"/>
    <n v="1"/>
    <n v="10"/>
    <n v="10"/>
    <n v="0"/>
  </r>
  <r>
    <n v="4561"/>
    <n v="3291"/>
    <n v="0.5"/>
    <x v="11"/>
    <d v="2024-12-17T00:00:00"/>
    <x v="1"/>
    <n v="14"/>
    <x v="4320"/>
    <x v="0"/>
    <x v="8"/>
    <n v="1"/>
    <n v="10"/>
    <n v="10"/>
    <n v="1"/>
  </r>
  <r>
    <n v="4562"/>
    <n v="3291"/>
    <n v="0.5"/>
    <x v="11"/>
    <d v="2024-12-17T00:00:00"/>
    <x v="1"/>
    <n v="17"/>
    <x v="4321"/>
    <x v="1"/>
    <x v="1"/>
    <n v="1"/>
    <n v="650"/>
    <n v="650"/>
    <n v="0"/>
  </r>
  <r>
    <n v="4563"/>
    <n v="3292"/>
    <n v="0.5"/>
    <x v="11"/>
    <d v="2024-12-18T00:00:00"/>
    <x v="2"/>
    <n v="20"/>
    <x v="4322"/>
    <x v="2"/>
    <x v="15"/>
    <n v="1"/>
    <n v="25"/>
    <n v="25"/>
    <n v="1"/>
  </r>
  <r>
    <n v="4564"/>
    <n v="3292"/>
    <n v="0.5"/>
    <x v="11"/>
    <d v="2024-12-18T00:00:00"/>
    <x v="2"/>
    <n v="20"/>
    <x v="4323"/>
    <x v="1"/>
    <x v="1"/>
    <n v="2"/>
    <n v="650"/>
    <n v="1300"/>
    <n v="0"/>
  </r>
  <r>
    <n v="4565"/>
    <n v="3293"/>
    <n v="1"/>
    <x v="11"/>
    <d v="2024-12-18T00:00:00"/>
    <x v="2"/>
    <n v="10"/>
    <x v="1925"/>
    <x v="0"/>
    <x v="9"/>
    <n v="4"/>
    <n v="15"/>
    <n v="60"/>
    <n v="1"/>
  </r>
  <r>
    <n v="4566"/>
    <n v="3294"/>
    <n v="0.5"/>
    <x v="11"/>
    <d v="2024-12-18T00:00:00"/>
    <x v="2"/>
    <n v="13"/>
    <x v="4324"/>
    <x v="1"/>
    <x v="1"/>
    <n v="5"/>
    <n v="650"/>
    <n v="3250"/>
    <n v="1"/>
  </r>
  <r>
    <n v="4567"/>
    <n v="3294"/>
    <n v="0.5"/>
    <x v="11"/>
    <d v="2024-12-18T00:00:00"/>
    <x v="2"/>
    <n v="11"/>
    <x v="4325"/>
    <x v="3"/>
    <x v="14"/>
    <n v="2"/>
    <n v="40"/>
    <n v="80"/>
    <n v="0"/>
  </r>
  <r>
    <n v="4568"/>
    <n v="3295"/>
    <n v="0.33333333333333331"/>
    <x v="11"/>
    <d v="2024-12-18T00:00:00"/>
    <x v="2"/>
    <n v="16"/>
    <x v="4326"/>
    <x v="2"/>
    <x v="15"/>
    <n v="2"/>
    <n v="25"/>
    <n v="50"/>
    <n v="1"/>
  </r>
  <r>
    <n v="4569"/>
    <n v="3295"/>
    <n v="0.33333333333333331"/>
    <x v="11"/>
    <d v="2024-12-18T00:00:00"/>
    <x v="2"/>
    <n v="14"/>
    <x v="4327"/>
    <x v="2"/>
    <x v="15"/>
    <n v="3"/>
    <n v="25"/>
    <n v="75"/>
    <n v="0"/>
  </r>
  <r>
    <n v="4570"/>
    <n v="3295"/>
    <n v="0.33333333333333331"/>
    <x v="11"/>
    <d v="2024-12-18T00:00:00"/>
    <x v="2"/>
    <n v="14"/>
    <x v="4328"/>
    <x v="3"/>
    <x v="14"/>
    <n v="2"/>
    <n v="40"/>
    <n v="80"/>
    <n v="0"/>
  </r>
  <r>
    <n v="4571"/>
    <n v="3296"/>
    <n v="0.33333333333333331"/>
    <x v="11"/>
    <d v="2024-12-18T00:00:00"/>
    <x v="2"/>
    <n v="20"/>
    <x v="4329"/>
    <x v="3"/>
    <x v="17"/>
    <n v="2"/>
    <n v="60"/>
    <n v="120"/>
    <n v="1"/>
  </r>
  <r>
    <n v="4572"/>
    <n v="3296"/>
    <n v="0.33333333333333331"/>
    <x v="11"/>
    <d v="2024-12-18T00:00:00"/>
    <x v="2"/>
    <n v="13"/>
    <x v="4330"/>
    <x v="3"/>
    <x v="14"/>
    <n v="4"/>
    <n v="40"/>
    <n v="160"/>
    <n v="0"/>
  </r>
  <r>
    <n v="4573"/>
    <n v="3296"/>
    <n v="0.33333333333333331"/>
    <x v="11"/>
    <d v="2024-12-18T00:00:00"/>
    <x v="2"/>
    <n v="15"/>
    <x v="4331"/>
    <x v="0"/>
    <x v="7"/>
    <n v="4"/>
    <n v="25"/>
    <n v="100"/>
    <n v="0"/>
  </r>
  <r>
    <n v="4574"/>
    <n v="3297"/>
    <n v="1"/>
    <x v="11"/>
    <d v="2024-12-18T00:00:00"/>
    <x v="2"/>
    <n v="14"/>
    <x v="4332"/>
    <x v="2"/>
    <x v="5"/>
    <n v="3"/>
    <n v="20"/>
    <n v="60"/>
    <n v="1"/>
  </r>
  <r>
    <n v="4575"/>
    <n v="3298"/>
    <n v="0.33333333333333331"/>
    <x v="11"/>
    <d v="2024-12-18T00:00:00"/>
    <x v="2"/>
    <n v="13"/>
    <x v="4333"/>
    <x v="3"/>
    <x v="17"/>
    <n v="3"/>
    <n v="60"/>
    <n v="180"/>
    <n v="1"/>
  </r>
  <r>
    <n v="4576"/>
    <n v="3298"/>
    <n v="0.33333333333333331"/>
    <x v="11"/>
    <d v="2024-12-18T00:00:00"/>
    <x v="2"/>
    <n v="13"/>
    <x v="4334"/>
    <x v="0"/>
    <x v="7"/>
    <n v="4"/>
    <n v="25"/>
    <n v="100"/>
    <n v="0"/>
  </r>
  <r>
    <n v="4577"/>
    <n v="3298"/>
    <n v="0.33333333333333331"/>
    <x v="11"/>
    <d v="2024-12-18T00:00:00"/>
    <x v="2"/>
    <n v="12"/>
    <x v="4335"/>
    <x v="3"/>
    <x v="6"/>
    <n v="4"/>
    <n v="50"/>
    <n v="200"/>
    <n v="0"/>
  </r>
  <r>
    <n v="4578"/>
    <n v="3299"/>
    <n v="0.33333333333333331"/>
    <x v="11"/>
    <d v="2024-12-18T00:00:00"/>
    <x v="2"/>
    <n v="9"/>
    <x v="4336"/>
    <x v="2"/>
    <x v="11"/>
    <n v="1"/>
    <n v="35"/>
    <n v="35"/>
    <n v="1"/>
  </r>
  <r>
    <n v="4579"/>
    <n v="3299"/>
    <n v="0.33333333333333331"/>
    <x v="11"/>
    <d v="2024-12-18T00:00:00"/>
    <x v="2"/>
    <n v="17"/>
    <x v="4337"/>
    <x v="1"/>
    <x v="12"/>
    <n v="3"/>
    <n v="1000"/>
    <n v="3000"/>
    <n v="0"/>
  </r>
  <r>
    <n v="4580"/>
    <n v="3299"/>
    <n v="0.33333333333333331"/>
    <x v="11"/>
    <d v="2024-12-18T00:00:00"/>
    <x v="2"/>
    <n v="18"/>
    <x v="4338"/>
    <x v="2"/>
    <x v="10"/>
    <n v="4"/>
    <n v="30"/>
    <n v="120"/>
    <n v="0"/>
  </r>
  <r>
    <n v="4581"/>
    <n v="3300"/>
    <n v="0.33333333333333331"/>
    <x v="11"/>
    <d v="2024-12-18T00:00:00"/>
    <x v="2"/>
    <n v="10"/>
    <x v="4339"/>
    <x v="2"/>
    <x v="10"/>
    <n v="2"/>
    <n v="30"/>
    <n v="60"/>
    <n v="1"/>
  </r>
  <r>
    <n v="4582"/>
    <n v="3300"/>
    <n v="0.33333333333333331"/>
    <x v="11"/>
    <d v="2024-12-18T00:00:00"/>
    <x v="2"/>
    <n v="14"/>
    <x v="3164"/>
    <x v="2"/>
    <x v="15"/>
    <n v="5"/>
    <n v="25"/>
    <n v="125"/>
    <n v="0"/>
  </r>
  <r>
    <n v="4583"/>
    <n v="3300"/>
    <n v="0.33333333333333331"/>
    <x v="11"/>
    <d v="2024-12-18T00:00:00"/>
    <x v="2"/>
    <n v="17"/>
    <x v="4340"/>
    <x v="0"/>
    <x v="9"/>
    <n v="1"/>
    <n v="15"/>
    <n v="15"/>
    <n v="0"/>
  </r>
  <r>
    <n v="4584"/>
    <n v="3301"/>
    <n v="0.33333333333333331"/>
    <x v="11"/>
    <d v="2024-12-18T00:00:00"/>
    <x v="2"/>
    <n v="9"/>
    <x v="4341"/>
    <x v="2"/>
    <x v="5"/>
    <n v="4"/>
    <n v="20"/>
    <n v="80"/>
    <n v="1"/>
  </r>
  <r>
    <n v="4585"/>
    <n v="3301"/>
    <n v="0.33333333333333331"/>
    <x v="11"/>
    <d v="2024-12-18T00:00:00"/>
    <x v="2"/>
    <n v="19"/>
    <x v="4342"/>
    <x v="3"/>
    <x v="18"/>
    <n v="5"/>
    <n v="45"/>
    <n v="225"/>
    <n v="0"/>
  </r>
  <r>
    <n v="4586"/>
    <n v="3301"/>
    <n v="0.33333333333333331"/>
    <x v="11"/>
    <d v="2024-12-18T00:00:00"/>
    <x v="2"/>
    <n v="17"/>
    <x v="4343"/>
    <x v="2"/>
    <x v="5"/>
    <n v="4"/>
    <n v="20"/>
    <n v="80"/>
    <n v="0"/>
  </r>
  <r>
    <n v="4587"/>
    <n v="3302"/>
    <n v="0.5"/>
    <x v="11"/>
    <d v="2024-12-19T00:00:00"/>
    <x v="3"/>
    <n v="18"/>
    <x v="1786"/>
    <x v="0"/>
    <x v="0"/>
    <n v="2"/>
    <n v="20"/>
    <n v="40"/>
    <n v="1"/>
  </r>
  <r>
    <n v="4588"/>
    <n v="3302"/>
    <n v="0.5"/>
    <x v="11"/>
    <d v="2024-12-19T00:00:00"/>
    <x v="3"/>
    <n v="18"/>
    <x v="4344"/>
    <x v="0"/>
    <x v="8"/>
    <n v="4"/>
    <n v="10"/>
    <n v="40"/>
    <n v="0"/>
  </r>
  <r>
    <n v="4589"/>
    <n v="3303"/>
    <n v="0.5"/>
    <x v="11"/>
    <d v="2024-12-19T00:00:00"/>
    <x v="3"/>
    <n v="15"/>
    <x v="4345"/>
    <x v="0"/>
    <x v="0"/>
    <n v="3"/>
    <n v="20"/>
    <n v="60"/>
    <n v="1"/>
  </r>
  <r>
    <n v="4590"/>
    <n v="3303"/>
    <n v="0.5"/>
    <x v="11"/>
    <d v="2024-12-19T00:00:00"/>
    <x v="3"/>
    <n v="16"/>
    <x v="4346"/>
    <x v="3"/>
    <x v="13"/>
    <n v="4"/>
    <n v="55"/>
    <n v="220"/>
    <n v="0"/>
  </r>
  <r>
    <n v="4591"/>
    <n v="3304"/>
    <n v="0.5"/>
    <x v="11"/>
    <d v="2024-12-19T00:00:00"/>
    <x v="3"/>
    <n v="11"/>
    <x v="4347"/>
    <x v="0"/>
    <x v="9"/>
    <n v="5"/>
    <n v="15"/>
    <n v="75"/>
    <n v="1"/>
  </r>
  <r>
    <n v="4592"/>
    <n v="3304"/>
    <n v="0.5"/>
    <x v="11"/>
    <d v="2024-12-19T00:00:00"/>
    <x v="3"/>
    <n v="9"/>
    <x v="4348"/>
    <x v="3"/>
    <x v="18"/>
    <n v="5"/>
    <n v="45"/>
    <n v="225"/>
    <n v="0"/>
  </r>
  <r>
    <n v="4593"/>
    <n v="3305"/>
    <n v="0.33333333333333331"/>
    <x v="11"/>
    <d v="2024-12-19T00:00:00"/>
    <x v="3"/>
    <n v="16"/>
    <x v="4349"/>
    <x v="1"/>
    <x v="1"/>
    <n v="4"/>
    <n v="650"/>
    <n v="2600"/>
    <n v="1"/>
  </r>
  <r>
    <n v="4594"/>
    <n v="3305"/>
    <n v="0.33333333333333331"/>
    <x v="11"/>
    <d v="2024-12-19T00:00:00"/>
    <x v="3"/>
    <n v="13"/>
    <x v="4350"/>
    <x v="2"/>
    <x v="15"/>
    <n v="1"/>
    <n v="25"/>
    <n v="25"/>
    <n v="0"/>
  </r>
  <r>
    <n v="4595"/>
    <n v="3305"/>
    <n v="0.33333333333333331"/>
    <x v="11"/>
    <d v="2024-12-19T00:00:00"/>
    <x v="3"/>
    <n v="20"/>
    <x v="4351"/>
    <x v="1"/>
    <x v="4"/>
    <n v="1"/>
    <n v="600"/>
    <n v="600"/>
    <n v="0"/>
  </r>
  <r>
    <n v="4596"/>
    <n v="3306"/>
    <n v="0.5"/>
    <x v="11"/>
    <d v="2024-12-20T00:00:00"/>
    <x v="4"/>
    <n v="15"/>
    <x v="4352"/>
    <x v="1"/>
    <x v="12"/>
    <n v="5"/>
    <n v="1000"/>
    <n v="5000"/>
    <n v="1"/>
  </r>
  <r>
    <n v="4597"/>
    <n v="3306"/>
    <n v="0.5"/>
    <x v="11"/>
    <d v="2024-12-20T00:00:00"/>
    <x v="4"/>
    <n v="14"/>
    <x v="4353"/>
    <x v="1"/>
    <x v="3"/>
    <n v="2"/>
    <n v="700"/>
    <n v="1400"/>
    <n v="0"/>
  </r>
  <r>
    <n v="4598"/>
    <n v="3307"/>
    <n v="0.33333333333333331"/>
    <x v="11"/>
    <d v="2024-12-20T00:00:00"/>
    <x v="4"/>
    <n v="14"/>
    <x v="4354"/>
    <x v="2"/>
    <x v="10"/>
    <n v="3"/>
    <n v="30"/>
    <n v="90"/>
    <n v="1"/>
  </r>
  <r>
    <n v="4599"/>
    <n v="3307"/>
    <n v="0.33333333333333331"/>
    <x v="11"/>
    <d v="2024-12-20T00:00:00"/>
    <x v="4"/>
    <n v="18"/>
    <x v="2140"/>
    <x v="2"/>
    <x v="5"/>
    <n v="2"/>
    <n v="20"/>
    <n v="40"/>
    <n v="0"/>
  </r>
  <r>
    <n v="4600"/>
    <n v="3307"/>
    <n v="0.33333333333333331"/>
    <x v="11"/>
    <d v="2024-12-20T00:00:00"/>
    <x v="4"/>
    <n v="10"/>
    <x v="4355"/>
    <x v="1"/>
    <x v="4"/>
    <n v="5"/>
    <n v="600"/>
    <n v="3000"/>
    <n v="0"/>
  </r>
  <r>
    <n v="4601"/>
    <n v="3308"/>
    <n v="0.5"/>
    <x v="11"/>
    <d v="2024-12-20T00:00:00"/>
    <x v="4"/>
    <n v="11"/>
    <x v="4356"/>
    <x v="3"/>
    <x v="17"/>
    <n v="1"/>
    <n v="60"/>
    <n v="60"/>
    <n v="1"/>
  </r>
  <r>
    <n v="4602"/>
    <n v="3308"/>
    <n v="0.5"/>
    <x v="11"/>
    <d v="2024-12-20T00:00:00"/>
    <x v="4"/>
    <n v="16"/>
    <x v="4357"/>
    <x v="1"/>
    <x v="1"/>
    <n v="5"/>
    <n v="650"/>
    <n v="3250"/>
    <n v="0"/>
  </r>
  <r>
    <n v="4603"/>
    <n v="3309"/>
    <n v="1"/>
    <x v="11"/>
    <d v="2024-12-20T00:00:00"/>
    <x v="4"/>
    <n v="12"/>
    <x v="4358"/>
    <x v="1"/>
    <x v="12"/>
    <n v="4"/>
    <n v="1000"/>
    <n v="4000"/>
    <n v="1"/>
  </r>
  <r>
    <n v="4604"/>
    <n v="3310"/>
    <n v="0.33333333333333331"/>
    <x v="11"/>
    <d v="2024-12-20T00:00:00"/>
    <x v="4"/>
    <n v="17"/>
    <x v="729"/>
    <x v="2"/>
    <x v="11"/>
    <n v="4"/>
    <n v="35"/>
    <n v="140"/>
    <n v="1"/>
  </r>
  <r>
    <n v="4605"/>
    <n v="3310"/>
    <n v="0.33333333333333331"/>
    <x v="11"/>
    <d v="2024-12-20T00:00:00"/>
    <x v="4"/>
    <n v="14"/>
    <x v="4359"/>
    <x v="0"/>
    <x v="9"/>
    <n v="1"/>
    <n v="15"/>
    <n v="15"/>
    <n v="0"/>
  </r>
  <r>
    <n v="4606"/>
    <n v="3310"/>
    <n v="0.33333333333333331"/>
    <x v="11"/>
    <d v="2024-12-20T00:00:00"/>
    <x v="4"/>
    <n v="9"/>
    <x v="4360"/>
    <x v="1"/>
    <x v="4"/>
    <n v="1"/>
    <n v="600"/>
    <n v="600"/>
    <n v="0"/>
  </r>
  <r>
    <n v="4607"/>
    <n v="3311"/>
    <n v="0.5"/>
    <x v="11"/>
    <d v="2024-12-20T00:00:00"/>
    <x v="4"/>
    <n v="20"/>
    <x v="4361"/>
    <x v="2"/>
    <x v="15"/>
    <n v="1"/>
    <n v="25"/>
    <n v="25"/>
    <n v="1"/>
  </r>
  <r>
    <n v="4608"/>
    <n v="3311"/>
    <n v="0.5"/>
    <x v="11"/>
    <d v="2024-12-20T00:00:00"/>
    <x v="4"/>
    <n v="12"/>
    <x v="4362"/>
    <x v="3"/>
    <x v="18"/>
    <n v="2"/>
    <n v="45"/>
    <n v="90"/>
    <n v="0"/>
  </r>
  <r>
    <n v="4609"/>
    <n v="3312"/>
    <n v="0.5"/>
    <x v="11"/>
    <d v="2024-12-21T00:00:00"/>
    <x v="5"/>
    <n v="11"/>
    <x v="1906"/>
    <x v="1"/>
    <x v="4"/>
    <n v="3"/>
    <n v="600"/>
    <n v="1800"/>
    <n v="1"/>
  </r>
  <r>
    <n v="4610"/>
    <n v="3312"/>
    <n v="0.5"/>
    <x v="11"/>
    <d v="2024-12-21T00:00:00"/>
    <x v="5"/>
    <n v="13"/>
    <x v="4363"/>
    <x v="3"/>
    <x v="6"/>
    <n v="5"/>
    <n v="50"/>
    <n v="250"/>
    <n v="0"/>
  </r>
  <r>
    <n v="4611"/>
    <n v="3313"/>
    <n v="0.33333333333333331"/>
    <x v="11"/>
    <d v="2024-12-21T00:00:00"/>
    <x v="5"/>
    <n v="9"/>
    <x v="1731"/>
    <x v="3"/>
    <x v="18"/>
    <n v="3"/>
    <n v="45"/>
    <n v="135"/>
    <n v="1"/>
  </r>
  <r>
    <n v="4612"/>
    <n v="3313"/>
    <n v="0.33333333333333331"/>
    <x v="11"/>
    <d v="2024-12-21T00:00:00"/>
    <x v="5"/>
    <n v="17"/>
    <x v="4364"/>
    <x v="1"/>
    <x v="1"/>
    <n v="2"/>
    <n v="650"/>
    <n v="1300"/>
    <n v="0"/>
  </r>
  <r>
    <n v="4613"/>
    <n v="3313"/>
    <n v="0.33333333333333331"/>
    <x v="11"/>
    <d v="2024-12-21T00:00:00"/>
    <x v="5"/>
    <n v="20"/>
    <x v="4365"/>
    <x v="3"/>
    <x v="17"/>
    <n v="4"/>
    <n v="60"/>
    <n v="240"/>
    <n v="0"/>
  </r>
  <r>
    <n v="4614"/>
    <n v="3314"/>
    <n v="0.33333333333333331"/>
    <x v="11"/>
    <d v="2024-12-21T00:00:00"/>
    <x v="5"/>
    <n v="16"/>
    <x v="4366"/>
    <x v="1"/>
    <x v="4"/>
    <n v="5"/>
    <n v="600"/>
    <n v="3000"/>
    <n v="1"/>
  </r>
  <r>
    <n v="4615"/>
    <n v="3314"/>
    <n v="0.33333333333333331"/>
    <x v="11"/>
    <d v="2024-12-21T00:00:00"/>
    <x v="5"/>
    <n v="17"/>
    <x v="4367"/>
    <x v="2"/>
    <x v="10"/>
    <n v="5"/>
    <n v="30"/>
    <n v="150"/>
    <n v="0"/>
  </r>
  <r>
    <n v="4616"/>
    <n v="3314"/>
    <n v="0.33333333333333331"/>
    <x v="11"/>
    <d v="2024-12-21T00:00:00"/>
    <x v="5"/>
    <n v="12"/>
    <x v="4368"/>
    <x v="3"/>
    <x v="18"/>
    <n v="3"/>
    <n v="45"/>
    <n v="135"/>
    <n v="0"/>
  </r>
  <r>
    <n v="4617"/>
    <n v="3315"/>
    <n v="1"/>
    <x v="11"/>
    <d v="2024-12-21T00:00:00"/>
    <x v="5"/>
    <n v="14"/>
    <x v="4369"/>
    <x v="3"/>
    <x v="13"/>
    <n v="5"/>
    <n v="55"/>
    <n v="275"/>
    <n v="1"/>
  </r>
  <r>
    <n v="4618"/>
    <n v="3316"/>
    <n v="0.33333333333333331"/>
    <x v="11"/>
    <d v="2024-12-22T00:00:00"/>
    <x v="6"/>
    <n v="16"/>
    <x v="4370"/>
    <x v="1"/>
    <x v="3"/>
    <n v="5"/>
    <n v="700"/>
    <n v="3500"/>
    <n v="1"/>
  </r>
  <r>
    <n v="4619"/>
    <n v="3316"/>
    <n v="0.33333333333333331"/>
    <x v="11"/>
    <d v="2024-12-22T00:00:00"/>
    <x v="6"/>
    <n v="16"/>
    <x v="4371"/>
    <x v="2"/>
    <x v="10"/>
    <n v="5"/>
    <n v="30"/>
    <n v="150"/>
    <n v="0"/>
  </r>
  <r>
    <n v="4620"/>
    <n v="3316"/>
    <n v="0.33333333333333331"/>
    <x v="11"/>
    <d v="2024-12-22T00:00:00"/>
    <x v="6"/>
    <n v="9"/>
    <x v="4372"/>
    <x v="2"/>
    <x v="11"/>
    <n v="3"/>
    <n v="35"/>
    <n v="105"/>
    <n v="0"/>
  </r>
  <r>
    <n v="4621"/>
    <n v="3317"/>
    <n v="1"/>
    <x v="11"/>
    <d v="2024-12-22T00:00:00"/>
    <x v="6"/>
    <n v="12"/>
    <x v="4373"/>
    <x v="2"/>
    <x v="10"/>
    <n v="3"/>
    <n v="30"/>
    <n v="90"/>
    <n v="1"/>
  </r>
  <r>
    <n v="4622"/>
    <n v="3318"/>
    <n v="0.5"/>
    <x v="11"/>
    <d v="2024-12-22T00:00:00"/>
    <x v="6"/>
    <n v="17"/>
    <x v="4121"/>
    <x v="3"/>
    <x v="13"/>
    <n v="1"/>
    <n v="55"/>
    <n v="55"/>
    <n v="1"/>
  </r>
  <r>
    <n v="4623"/>
    <n v="3318"/>
    <n v="0.5"/>
    <x v="11"/>
    <d v="2024-12-22T00:00:00"/>
    <x v="6"/>
    <n v="10"/>
    <x v="1256"/>
    <x v="3"/>
    <x v="13"/>
    <n v="1"/>
    <n v="55"/>
    <n v="55"/>
    <n v="0"/>
  </r>
  <r>
    <n v="4624"/>
    <n v="3319"/>
    <n v="1"/>
    <x v="11"/>
    <d v="2024-12-22T00:00:00"/>
    <x v="6"/>
    <n v="15"/>
    <x v="4374"/>
    <x v="3"/>
    <x v="17"/>
    <n v="5"/>
    <n v="60"/>
    <n v="300"/>
    <n v="1"/>
  </r>
  <r>
    <n v="4625"/>
    <n v="3320"/>
    <n v="0.5"/>
    <x v="11"/>
    <d v="2024-12-23T00:00:00"/>
    <x v="0"/>
    <n v="14"/>
    <x v="4375"/>
    <x v="0"/>
    <x v="7"/>
    <n v="2"/>
    <n v="25"/>
    <n v="50"/>
    <n v="1"/>
  </r>
  <r>
    <n v="4626"/>
    <n v="3320"/>
    <n v="0.5"/>
    <x v="11"/>
    <d v="2024-12-23T00:00:00"/>
    <x v="0"/>
    <n v="17"/>
    <x v="4376"/>
    <x v="1"/>
    <x v="2"/>
    <n v="5"/>
    <n v="680"/>
    <n v="3400"/>
    <n v="0"/>
  </r>
  <r>
    <n v="4627"/>
    <n v="3321"/>
    <n v="0.5"/>
    <x v="11"/>
    <d v="2024-12-23T00:00:00"/>
    <x v="0"/>
    <n v="16"/>
    <x v="4377"/>
    <x v="1"/>
    <x v="2"/>
    <n v="3"/>
    <n v="680"/>
    <n v="2040"/>
    <n v="1"/>
  </r>
  <r>
    <n v="4628"/>
    <n v="3321"/>
    <n v="0.5"/>
    <x v="11"/>
    <d v="2024-12-23T00:00:00"/>
    <x v="0"/>
    <n v="17"/>
    <x v="2370"/>
    <x v="1"/>
    <x v="12"/>
    <n v="4"/>
    <n v="1000"/>
    <n v="4000"/>
    <n v="0"/>
  </r>
  <r>
    <n v="4629"/>
    <n v="3322"/>
    <n v="0.5"/>
    <x v="11"/>
    <d v="2024-12-23T00:00:00"/>
    <x v="0"/>
    <n v="10"/>
    <x v="2783"/>
    <x v="2"/>
    <x v="11"/>
    <n v="4"/>
    <n v="35"/>
    <n v="140"/>
    <n v="1"/>
  </r>
  <r>
    <n v="4630"/>
    <n v="3322"/>
    <n v="0.5"/>
    <x v="11"/>
    <d v="2024-12-23T00:00:00"/>
    <x v="0"/>
    <n v="16"/>
    <x v="4378"/>
    <x v="3"/>
    <x v="17"/>
    <n v="3"/>
    <n v="60"/>
    <n v="180"/>
    <n v="0"/>
  </r>
  <r>
    <n v="4631"/>
    <n v="3323"/>
    <n v="0.33333333333333331"/>
    <x v="11"/>
    <d v="2024-12-23T00:00:00"/>
    <x v="0"/>
    <n v="10"/>
    <x v="4379"/>
    <x v="2"/>
    <x v="15"/>
    <n v="2"/>
    <n v="25"/>
    <n v="50"/>
    <n v="1"/>
  </r>
  <r>
    <n v="4632"/>
    <n v="3323"/>
    <n v="0.33333333333333331"/>
    <x v="11"/>
    <d v="2024-12-23T00:00:00"/>
    <x v="0"/>
    <n v="14"/>
    <x v="4380"/>
    <x v="0"/>
    <x v="8"/>
    <n v="4"/>
    <n v="10"/>
    <n v="40"/>
    <n v="0"/>
  </r>
  <r>
    <n v="4633"/>
    <n v="3323"/>
    <n v="0.33333333333333331"/>
    <x v="11"/>
    <d v="2024-12-23T00:00:00"/>
    <x v="0"/>
    <n v="19"/>
    <x v="4381"/>
    <x v="1"/>
    <x v="1"/>
    <n v="1"/>
    <n v="650"/>
    <n v="650"/>
    <n v="0"/>
  </r>
  <r>
    <n v="4634"/>
    <n v="3324"/>
    <n v="1"/>
    <x v="11"/>
    <d v="2024-12-24T00:00:00"/>
    <x v="1"/>
    <n v="13"/>
    <x v="4382"/>
    <x v="2"/>
    <x v="10"/>
    <n v="4"/>
    <n v="30"/>
    <n v="120"/>
    <n v="1"/>
  </r>
  <r>
    <n v="4635"/>
    <n v="3325"/>
    <n v="0.33333333333333331"/>
    <x v="11"/>
    <d v="2024-12-24T00:00:00"/>
    <x v="1"/>
    <n v="10"/>
    <x v="4383"/>
    <x v="2"/>
    <x v="10"/>
    <n v="2"/>
    <n v="30"/>
    <n v="60"/>
    <n v="1"/>
  </r>
  <r>
    <n v="4636"/>
    <n v="3325"/>
    <n v="0.33333333333333331"/>
    <x v="11"/>
    <d v="2024-12-24T00:00:00"/>
    <x v="1"/>
    <n v="18"/>
    <x v="4384"/>
    <x v="3"/>
    <x v="18"/>
    <n v="4"/>
    <n v="45"/>
    <n v="180"/>
    <n v="0"/>
  </r>
  <r>
    <n v="4637"/>
    <n v="3325"/>
    <n v="0.33333333333333331"/>
    <x v="11"/>
    <d v="2024-12-24T00:00:00"/>
    <x v="1"/>
    <n v="19"/>
    <x v="4385"/>
    <x v="2"/>
    <x v="10"/>
    <n v="5"/>
    <n v="30"/>
    <n v="150"/>
    <n v="0"/>
  </r>
  <r>
    <n v="4638"/>
    <n v="3326"/>
    <n v="1"/>
    <x v="11"/>
    <d v="2024-12-24T00:00:00"/>
    <x v="1"/>
    <n v="16"/>
    <x v="4386"/>
    <x v="2"/>
    <x v="15"/>
    <n v="1"/>
    <n v="25"/>
    <n v="25"/>
    <n v="1"/>
  </r>
  <r>
    <n v="4639"/>
    <n v="3327"/>
    <n v="1"/>
    <x v="11"/>
    <d v="2024-12-24T00:00:00"/>
    <x v="1"/>
    <n v="16"/>
    <x v="4387"/>
    <x v="1"/>
    <x v="2"/>
    <n v="3"/>
    <n v="680"/>
    <n v="2040"/>
    <n v="1"/>
  </r>
  <r>
    <n v="4640"/>
    <n v="3328"/>
    <n v="0.33333333333333331"/>
    <x v="11"/>
    <d v="2024-12-24T00:00:00"/>
    <x v="1"/>
    <n v="13"/>
    <x v="4388"/>
    <x v="2"/>
    <x v="5"/>
    <n v="1"/>
    <n v="20"/>
    <n v="20"/>
    <n v="1"/>
  </r>
  <r>
    <n v="4641"/>
    <n v="3328"/>
    <n v="0.33333333333333331"/>
    <x v="11"/>
    <d v="2024-12-24T00:00:00"/>
    <x v="1"/>
    <n v="9"/>
    <x v="4389"/>
    <x v="2"/>
    <x v="5"/>
    <n v="3"/>
    <n v="20"/>
    <n v="60"/>
    <n v="0"/>
  </r>
  <r>
    <n v="4642"/>
    <n v="3328"/>
    <n v="0.33333333333333331"/>
    <x v="11"/>
    <d v="2024-12-24T00:00:00"/>
    <x v="1"/>
    <n v="14"/>
    <x v="4390"/>
    <x v="0"/>
    <x v="0"/>
    <n v="5"/>
    <n v="20"/>
    <n v="100"/>
    <n v="0"/>
  </r>
  <r>
    <n v="4643"/>
    <n v="3329"/>
    <n v="1"/>
    <x v="11"/>
    <d v="2024-12-24T00:00:00"/>
    <x v="1"/>
    <n v="16"/>
    <x v="4391"/>
    <x v="0"/>
    <x v="8"/>
    <n v="3"/>
    <n v="10"/>
    <n v="30"/>
    <n v="1"/>
  </r>
  <r>
    <n v="4644"/>
    <n v="3330"/>
    <n v="0.33333333333333331"/>
    <x v="11"/>
    <d v="2024-12-24T00:00:00"/>
    <x v="1"/>
    <n v="14"/>
    <x v="1433"/>
    <x v="0"/>
    <x v="8"/>
    <n v="4"/>
    <n v="10"/>
    <n v="40"/>
    <n v="1"/>
  </r>
  <r>
    <n v="4645"/>
    <n v="3330"/>
    <n v="0.33333333333333331"/>
    <x v="11"/>
    <d v="2024-12-24T00:00:00"/>
    <x v="1"/>
    <n v="16"/>
    <x v="4392"/>
    <x v="2"/>
    <x v="5"/>
    <n v="3"/>
    <n v="20"/>
    <n v="60"/>
    <n v="0"/>
  </r>
  <r>
    <n v="4646"/>
    <n v="3330"/>
    <n v="0.33333333333333331"/>
    <x v="11"/>
    <d v="2024-12-24T00:00:00"/>
    <x v="1"/>
    <n v="18"/>
    <x v="4393"/>
    <x v="1"/>
    <x v="3"/>
    <n v="2"/>
    <n v="700"/>
    <n v="1400"/>
    <n v="0"/>
  </r>
  <r>
    <n v="4647"/>
    <n v="3331"/>
    <n v="0.5"/>
    <x v="11"/>
    <d v="2024-12-24T00:00:00"/>
    <x v="1"/>
    <n v="17"/>
    <x v="4394"/>
    <x v="3"/>
    <x v="13"/>
    <n v="1"/>
    <n v="55"/>
    <n v="55"/>
    <n v="1"/>
  </r>
  <r>
    <n v="4648"/>
    <n v="3331"/>
    <n v="0.5"/>
    <x v="11"/>
    <d v="2024-12-24T00:00:00"/>
    <x v="1"/>
    <n v="14"/>
    <x v="4395"/>
    <x v="2"/>
    <x v="5"/>
    <n v="5"/>
    <n v="20"/>
    <n v="100"/>
    <n v="0"/>
  </r>
  <r>
    <n v="4649"/>
    <n v="3332"/>
    <n v="1"/>
    <x v="11"/>
    <d v="2024-12-25T00:00:00"/>
    <x v="2"/>
    <n v="20"/>
    <x v="4396"/>
    <x v="0"/>
    <x v="8"/>
    <n v="3"/>
    <n v="10"/>
    <n v="30"/>
    <n v="1"/>
  </r>
  <r>
    <n v="4650"/>
    <n v="3333"/>
    <n v="0.33333333333333331"/>
    <x v="11"/>
    <d v="2024-12-25T00:00:00"/>
    <x v="2"/>
    <n v="20"/>
    <x v="4397"/>
    <x v="0"/>
    <x v="9"/>
    <n v="5"/>
    <n v="15"/>
    <n v="75"/>
    <n v="1"/>
  </r>
  <r>
    <n v="4651"/>
    <n v="3333"/>
    <n v="0.33333333333333331"/>
    <x v="11"/>
    <d v="2024-12-25T00:00:00"/>
    <x v="2"/>
    <n v="9"/>
    <x v="4398"/>
    <x v="1"/>
    <x v="4"/>
    <n v="5"/>
    <n v="600"/>
    <n v="3000"/>
    <n v="0"/>
  </r>
  <r>
    <n v="4652"/>
    <n v="3333"/>
    <n v="0.33333333333333331"/>
    <x v="11"/>
    <d v="2024-12-25T00:00:00"/>
    <x v="2"/>
    <n v="15"/>
    <x v="4399"/>
    <x v="2"/>
    <x v="10"/>
    <n v="5"/>
    <n v="30"/>
    <n v="150"/>
    <n v="0"/>
  </r>
  <r>
    <n v="4653"/>
    <n v="3334"/>
    <n v="1"/>
    <x v="11"/>
    <d v="2024-12-25T00:00:00"/>
    <x v="2"/>
    <n v="20"/>
    <x v="4400"/>
    <x v="0"/>
    <x v="8"/>
    <n v="3"/>
    <n v="10"/>
    <n v="30"/>
    <n v="1"/>
  </r>
  <r>
    <n v="4654"/>
    <n v="3335"/>
    <n v="1"/>
    <x v="11"/>
    <d v="2024-12-25T00:00:00"/>
    <x v="2"/>
    <n v="18"/>
    <x v="4401"/>
    <x v="2"/>
    <x v="15"/>
    <n v="2"/>
    <n v="25"/>
    <n v="50"/>
    <n v="1"/>
  </r>
  <r>
    <n v="4655"/>
    <n v="3336"/>
    <n v="0.5"/>
    <x v="11"/>
    <d v="2024-12-25T00:00:00"/>
    <x v="2"/>
    <n v="12"/>
    <x v="4402"/>
    <x v="0"/>
    <x v="0"/>
    <n v="1"/>
    <n v="20"/>
    <n v="20"/>
    <n v="1"/>
  </r>
  <r>
    <n v="4656"/>
    <n v="3336"/>
    <n v="0.5"/>
    <x v="11"/>
    <d v="2024-12-25T00:00:00"/>
    <x v="2"/>
    <n v="13"/>
    <x v="4403"/>
    <x v="0"/>
    <x v="16"/>
    <n v="4"/>
    <n v="5"/>
    <n v="20"/>
    <n v="0"/>
  </r>
  <r>
    <n v="4657"/>
    <n v="3337"/>
    <n v="0.33333333333333331"/>
    <x v="11"/>
    <d v="2024-12-25T00:00:00"/>
    <x v="2"/>
    <n v="19"/>
    <x v="4404"/>
    <x v="2"/>
    <x v="10"/>
    <n v="2"/>
    <n v="30"/>
    <n v="60"/>
    <n v="1"/>
  </r>
  <r>
    <n v="4658"/>
    <n v="3337"/>
    <n v="0.33333333333333331"/>
    <x v="11"/>
    <d v="2024-12-25T00:00:00"/>
    <x v="2"/>
    <n v="14"/>
    <x v="4405"/>
    <x v="1"/>
    <x v="4"/>
    <n v="2"/>
    <n v="600"/>
    <n v="1200"/>
    <n v="0"/>
  </r>
  <r>
    <n v="4659"/>
    <n v="3337"/>
    <n v="0.33333333333333331"/>
    <x v="11"/>
    <d v="2024-12-25T00:00:00"/>
    <x v="2"/>
    <n v="18"/>
    <x v="4406"/>
    <x v="1"/>
    <x v="4"/>
    <n v="5"/>
    <n v="600"/>
    <n v="3000"/>
    <n v="0"/>
  </r>
  <r>
    <n v="4660"/>
    <n v="3338"/>
    <n v="1"/>
    <x v="11"/>
    <d v="2024-12-25T00:00:00"/>
    <x v="2"/>
    <n v="17"/>
    <x v="597"/>
    <x v="0"/>
    <x v="7"/>
    <n v="3"/>
    <n v="25"/>
    <n v="75"/>
    <n v="1"/>
  </r>
  <r>
    <n v="4661"/>
    <n v="3339"/>
    <n v="1"/>
    <x v="11"/>
    <d v="2024-12-26T00:00:00"/>
    <x v="3"/>
    <n v="10"/>
    <x v="4407"/>
    <x v="2"/>
    <x v="11"/>
    <n v="3"/>
    <n v="35"/>
    <n v="105"/>
    <n v="1"/>
  </r>
  <r>
    <n v="4662"/>
    <n v="3340"/>
    <n v="1"/>
    <x v="11"/>
    <d v="2024-12-26T00:00:00"/>
    <x v="3"/>
    <n v="11"/>
    <x v="4408"/>
    <x v="1"/>
    <x v="1"/>
    <n v="3"/>
    <n v="650"/>
    <n v="1950"/>
    <n v="1"/>
  </r>
  <r>
    <n v="4663"/>
    <n v="3341"/>
    <n v="0.5"/>
    <x v="11"/>
    <d v="2024-12-26T00:00:00"/>
    <x v="3"/>
    <n v="15"/>
    <x v="4409"/>
    <x v="2"/>
    <x v="10"/>
    <n v="3"/>
    <n v="30"/>
    <n v="90"/>
    <n v="1"/>
  </r>
  <r>
    <n v="4664"/>
    <n v="3341"/>
    <n v="0.5"/>
    <x v="11"/>
    <d v="2024-12-26T00:00:00"/>
    <x v="3"/>
    <n v="19"/>
    <x v="4410"/>
    <x v="0"/>
    <x v="7"/>
    <n v="2"/>
    <n v="25"/>
    <n v="50"/>
    <n v="0"/>
  </r>
  <r>
    <n v="4665"/>
    <n v="3342"/>
    <n v="0.33333333333333331"/>
    <x v="11"/>
    <d v="2024-12-26T00:00:00"/>
    <x v="3"/>
    <n v="17"/>
    <x v="4411"/>
    <x v="0"/>
    <x v="0"/>
    <n v="4"/>
    <n v="20"/>
    <n v="80"/>
    <n v="1"/>
  </r>
  <r>
    <n v="4666"/>
    <n v="3342"/>
    <n v="0.33333333333333331"/>
    <x v="11"/>
    <d v="2024-12-26T00:00:00"/>
    <x v="3"/>
    <n v="9"/>
    <x v="4412"/>
    <x v="3"/>
    <x v="18"/>
    <n v="2"/>
    <n v="45"/>
    <n v="90"/>
    <n v="0"/>
  </r>
  <r>
    <n v="4667"/>
    <n v="3342"/>
    <n v="0.33333333333333331"/>
    <x v="11"/>
    <d v="2024-12-26T00:00:00"/>
    <x v="3"/>
    <n v="9"/>
    <x v="4413"/>
    <x v="0"/>
    <x v="8"/>
    <n v="2"/>
    <n v="10"/>
    <n v="20"/>
    <n v="0"/>
  </r>
  <r>
    <n v="4668"/>
    <n v="3343"/>
    <n v="1"/>
    <x v="11"/>
    <d v="2024-12-26T00:00:00"/>
    <x v="3"/>
    <n v="12"/>
    <x v="4414"/>
    <x v="3"/>
    <x v="18"/>
    <n v="4"/>
    <n v="45"/>
    <n v="180"/>
    <n v="1"/>
  </r>
  <r>
    <n v="4669"/>
    <n v="3344"/>
    <n v="0.5"/>
    <x v="11"/>
    <d v="2024-12-26T00:00:00"/>
    <x v="3"/>
    <n v="17"/>
    <x v="4415"/>
    <x v="3"/>
    <x v="6"/>
    <n v="3"/>
    <n v="50"/>
    <n v="150"/>
    <n v="1"/>
  </r>
  <r>
    <n v="4670"/>
    <n v="3344"/>
    <n v="0.5"/>
    <x v="11"/>
    <d v="2024-12-26T00:00:00"/>
    <x v="3"/>
    <n v="11"/>
    <x v="4416"/>
    <x v="2"/>
    <x v="10"/>
    <n v="2"/>
    <n v="30"/>
    <n v="60"/>
    <n v="0"/>
  </r>
  <r>
    <n v="4671"/>
    <n v="3345"/>
    <n v="0.33333333333333331"/>
    <x v="11"/>
    <d v="2024-12-26T00:00:00"/>
    <x v="3"/>
    <n v="13"/>
    <x v="4417"/>
    <x v="1"/>
    <x v="3"/>
    <n v="4"/>
    <n v="700"/>
    <n v="2800"/>
    <n v="1"/>
  </r>
  <r>
    <n v="4672"/>
    <n v="3345"/>
    <n v="0.33333333333333331"/>
    <x v="11"/>
    <d v="2024-12-26T00:00:00"/>
    <x v="3"/>
    <n v="15"/>
    <x v="1232"/>
    <x v="2"/>
    <x v="10"/>
    <n v="4"/>
    <n v="30"/>
    <n v="120"/>
    <n v="0"/>
  </r>
  <r>
    <n v="4673"/>
    <n v="3345"/>
    <n v="0.33333333333333331"/>
    <x v="11"/>
    <d v="2024-12-26T00:00:00"/>
    <x v="3"/>
    <n v="13"/>
    <x v="4418"/>
    <x v="1"/>
    <x v="3"/>
    <n v="5"/>
    <n v="700"/>
    <n v="3500"/>
    <n v="0"/>
  </r>
  <r>
    <n v="4674"/>
    <n v="3346"/>
    <n v="0.33333333333333331"/>
    <x v="11"/>
    <d v="2024-12-26T00:00:00"/>
    <x v="3"/>
    <n v="10"/>
    <x v="4419"/>
    <x v="0"/>
    <x v="7"/>
    <n v="3"/>
    <n v="25"/>
    <n v="75"/>
    <n v="1"/>
  </r>
  <r>
    <n v="4675"/>
    <n v="3346"/>
    <n v="0.33333333333333331"/>
    <x v="11"/>
    <d v="2024-12-26T00:00:00"/>
    <x v="3"/>
    <n v="13"/>
    <x v="4420"/>
    <x v="0"/>
    <x v="0"/>
    <n v="3"/>
    <n v="20"/>
    <n v="60"/>
    <n v="0"/>
  </r>
  <r>
    <n v="4676"/>
    <n v="3346"/>
    <n v="0.33333333333333331"/>
    <x v="11"/>
    <d v="2024-12-26T00:00:00"/>
    <x v="3"/>
    <n v="18"/>
    <x v="4421"/>
    <x v="3"/>
    <x v="6"/>
    <n v="5"/>
    <n v="50"/>
    <n v="250"/>
    <n v="0"/>
  </r>
  <r>
    <n v="4677"/>
    <n v="3347"/>
    <n v="1"/>
    <x v="11"/>
    <d v="2024-12-26T00:00:00"/>
    <x v="3"/>
    <n v="11"/>
    <x v="4422"/>
    <x v="1"/>
    <x v="2"/>
    <n v="4"/>
    <n v="680"/>
    <n v="2720"/>
    <n v="1"/>
  </r>
  <r>
    <n v="4678"/>
    <n v="3348"/>
    <n v="1"/>
    <x v="11"/>
    <d v="2024-12-26T00:00:00"/>
    <x v="3"/>
    <n v="20"/>
    <x v="4423"/>
    <x v="0"/>
    <x v="7"/>
    <n v="1"/>
    <n v="25"/>
    <n v="25"/>
    <n v="1"/>
  </r>
  <r>
    <n v="4679"/>
    <n v="3349"/>
    <n v="1"/>
    <x v="11"/>
    <d v="2024-12-27T00:00:00"/>
    <x v="4"/>
    <n v="11"/>
    <x v="4424"/>
    <x v="3"/>
    <x v="18"/>
    <n v="5"/>
    <n v="45"/>
    <n v="225"/>
    <n v="1"/>
  </r>
  <r>
    <n v="4680"/>
    <n v="3350"/>
    <n v="0.5"/>
    <x v="11"/>
    <d v="2024-12-27T00:00:00"/>
    <x v="4"/>
    <n v="10"/>
    <x v="4425"/>
    <x v="3"/>
    <x v="6"/>
    <n v="3"/>
    <n v="50"/>
    <n v="150"/>
    <n v="1"/>
  </r>
  <r>
    <n v="4681"/>
    <n v="3350"/>
    <n v="0.5"/>
    <x v="11"/>
    <d v="2024-12-27T00:00:00"/>
    <x v="4"/>
    <n v="12"/>
    <x v="4426"/>
    <x v="1"/>
    <x v="2"/>
    <n v="4"/>
    <n v="680"/>
    <n v="2720"/>
    <n v="0"/>
  </r>
  <r>
    <n v="4682"/>
    <n v="3351"/>
    <n v="0.33333333333333331"/>
    <x v="11"/>
    <d v="2024-12-27T00:00:00"/>
    <x v="4"/>
    <n v="15"/>
    <x v="4427"/>
    <x v="2"/>
    <x v="10"/>
    <n v="3"/>
    <n v="30"/>
    <n v="90"/>
    <n v="1"/>
  </r>
  <r>
    <n v="4683"/>
    <n v="3351"/>
    <n v="0.33333333333333331"/>
    <x v="11"/>
    <d v="2024-12-27T00:00:00"/>
    <x v="4"/>
    <n v="16"/>
    <x v="2099"/>
    <x v="2"/>
    <x v="15"/>
    <n v="1"/>
    <n v="25"/>
    <n v="25"/>
    <n v="0"/>
  </r>
  <r>
    <n v="4684"/>
    <n v="3351"/>
    <n v="0.33333333333333331"/>
    <x v="11"/>
    <d v="2024-12-27T00:00:00"/>
    <x v="4"/>
    <n v="15"/>
    <x v="4428"/>
    <x v="1"/>
    <x v="2"/>
    <n v="2"/>
    <n v="680"/>
    <n v="1360"/>
    <n v="0"/>
  </r>
  <r>
    <n v="4685"/>
    <n v="3352"/>
    <n v="1"/>
    <x v="11"/>
    <d v="2024-12-27T00:00:00"/>
    <x v="4"/>
    <n v="20"/>
    <x v="4429"/>
    <x v="3"/>
    <x v="18"/>
    <n v="2"/>
    <n v="45"/>
    <n v="90"/>
    <n v="1"/>
  </r>
  <r>
    <n v="4686"/>
    <n v="3353"/>
    <n v="1"/>
    <x v="11"/>
    <d v="2024-12-27T00:00:00"/>
    <x v="4"/>
    <n v="20"/>
    <x v="4430"/>
    <x v="3"/>
    <x v="17"/>
    <n v="4"/>
    <n v="60"/>
    <n v="240"/>
    <n v="1"/>
  </r>
  <r>
    <n v="4687"/>
    <n v="3354"/>
    <n v="0.5"/>
    <x v="11"/>
    <d v="2024-12-27T00:00:00"/>
    <x v="4"/>
    <n v="18"/>
    <x v="4431"/>
    <x v="2"/>
    <x v="15"/>
    <n v="4"/>
    <n v="25"/>
    <n v="100"/>
    <n v="1"/>
  </r>
  <r>
    <n v="4688"/>
    <n v="3354"/>
    <n v="0.5"/>
    <x v="11"/>
    <d v="2024-12-27T00:00:00"/>
    <x v="4"/>
    <n v="13"/>
    <x v="4432"/>
    <x v="0"/>
    <x v="16"/>
    <n v="5"/>
    <n v="5"/>
    <n v="25"/>
    <n v="0"/>
  </r>
  <r>
    <n v="4689"/>
    <n v="3355"/>
    <n v="1"/>
    <x v="11"/>
    <d v="2024-12-27T00:00:00"/>
    <x v="4"/>
    <n v="10"/>
    <x v="4433"/>
    <x v="1"/>
    <x v="12"/>
    <n v="3"/>
    <n v="1000"/>
    <n v="3000"/>
    <n v="1"/>
  </r>
  <r>
    <n v="4690"/>
    <n v="3356"/>
    <n v="0.33333333333333331"/>
    <x v="11"/>
    <d v="2024-12-27T00:00:00"/>
    <x v="4"/>
    <n v="11"/>
    <x v="87"/>
    <x v="2"/>
    <x v="10"/>
    <n v="2"/>
    <n v="30"/>
    <n v="60"/>
    <n v="1"/>
  </r>
  <r>
    <n v="4691"/>
    <n v="3356"/>
    <n v="0.33333333333333331"/>
    <x v="11"/>
    <d v="2024-12-27T00:00:00"/>
    <x v="4"/>
    <n v="18"/>
    <x v="4434"/>
    <x v="0"/>
    <x v="9"/>
    <n v="3"/>
    <n v="15"/>
    <n v="45"/>
    <n v="0"/>
  </r>
  <r>
    <n v="4692"/>
    <n v="3356"/>
    <n v="0.33333333333333331"/>
    <x v="11"/>
    <d v="2024-12-27T00:00:00"/>
    <x v="4"/>
    <n v="18"/>
    <x v="4435"/>
    <x v="3"/>
    <x v="6"/>
    <n v="5"/>
    <n v="50"/>
    <n v="250"/>
    <n v="0"/>
  </r>
  <r>
    <n v="4693"/>
    <n v="3357"/>
    <n v="1"/>
    <x v="11"/>
    <d v="2024-12-27T00:00:00"/>
    <x v="4"/>
    <n v="10"/>
    <x v="4436"/>
    <x v="1"/>
    <x v="1"/>
    <n v="4"/>
    <n v="650"/>
    <n v="2600"/>
    <n v="1"/>
  </r>
  <r>
    <n v="4694"/>
    <n v="3358"/>
    <n v="0.33333333333333331"/>
    <x v="11"/>
    <d v="2024-12-28T00:00:00"/>
    <x v="5"/>
    <n v="14"/>
    <x v="4437"/>
    <x v="0"/>
    <x v="0"/>
    <n v="1"/>
    <n v="20"/>
    <n v="20"/>
    <n v="1"/>
  </r>
  <r>
    <n v="4695"/>
    <n v="3358"/>
    <n v="0.33333333333333331"/>
    <x v="11"/>
    <d v="2024-12-28T00:00:00"/>
    <x v="5"/>
    <n v="16"/>
    <x v="4438"/>
    <x v="1"/>
    <x v="1"/>
    <n v="4"/>
    <n v="650"/>
    <n v="2600"/>
    <n v="0"/>
  </r>
  <r>
    <n v="4696"/>
    <n v="3358"/>
    <n v="0.33333333333333331"/>
    <x v="11"/>
    <d v="2024-12-28T00:00:00"/>
    <x v="5"/>
    <n v="13"/>
    <x v="2347"/>
    <x v="3"/>
    <x v="17"/>
    <n v="1"/>
    <n v="60"/>
    <n v="60"/>
    <n v="0"/>
  </r>
  <r>
    <n v="4697"/>
    <n v="3359"/>
    <n v="0.5"/>
    <x v="11"/>
    <d v="2024-12-28T00:00:00"/>
    <x v="5"/>
    <n v="13"/>
    <x v="4439"/>
    <x v="2"/>
    <x v="5"/>
    <n v="1"/>
    <n v="20"/>
    <n v="20"/>
    <n v="1"/>
  </r>
  <r>
    <n v="4698"/>
    <n v="3359"/>
    <n v="0.5"/>
    <x v="11"/>
    <d v="2024-12-28T00:00:00"/>
    <x v="5"/>
    <n v="20"/>
    <x v="1933"/>
    <x v="3"/>
    <x v="18"/>
    <n v="2"/>
    <n v="45"/>
    <n v="90"/>
    <n v="0"/>
  </r>
  <r>
    <n v="4699"/>
    <n v="3360"/>
    <n v="1"/>
    <x v="11"/>
    <d v="2024-12-28T00:00:00"/>
    <x v="5"/>
    <n v="17"/>
    <x v="4440"/>
    <x v="3"/>
    <x v="14"/>
    <n v="4"/>
    <n v="40"/>
    <n v="160"/>
    <n v="1"/>
  </r>
  <r>
    <n v="4700"/>
    <n v="3361"/>
    <n v="0.5"/>
    <x v="11"/>
    <d v="2024-12-28T00:00:00"/>
    <x v="5"/>
    <n v="14"/>
    <x v="4441"/>
    <x v="2"/>
    <x v="15"/>
    <n v="1"/>
    <n v="25"/>
    <n v="25"/>
    <n v="1"/>
  </r>
  <r>
    <n v="4701"/>
    <n v="3361"/>
    <n v="0.5"/>
    <x v="11"/>
    <d v="2024-12-28T00:00:00"/>
    <x v="5"/>
    <n v="16"/>
    <x v="4442"/>
    <x v="2"/>
    <x v="10"/>
    <n v="4"/>
    <n v="30"/>
    <n v="120"/>
    <n v="0"/>
  </r>
  <r>
    <n v="4702"/>
    <n v="3362"/>
    <n v="0.5"/>
    <x v="11"/>
    <d v="2024-12-28T00:00:00"/>
    <x v="5"/>
    <n v="20"/>
    <x v="4443"/>
    <x v="2"/>
    <x v="11"/>
    <n v="2"/>
    <n v="35"/>
    <n v="70"/>
    <n v="1"/>
  </r>
  <r>
    <n v="4703"/>
    <n v="3362"/>
    <n v="0.5"/>
    <x v="11"/>
    <d v="2024-12-28T00:00:00"/>
    <x v="5"/>
    <n v="15"/>
    <x v="4444"/>
    <x v="0"/>
    <x v="9"/>
    <n v="3"/>
    <n v="15"/>
    <n v="45"/>
    <n v="0"/>
  </r>
  <r>
    <n v="4704"/>
    <n v="3363"/>
    <n v="1"/>
    <x v="11"/>
    <d v="2024-12-28T00:00:00"/>
    <x v="5"/>
    <n v="18"/>
    <x v="4445"/>
    <x v="1"/>
    <x v="3"/>
    <n v="4"/>
    <n v="700"/>
    <n v="2800"/>
    <n v="1"/>
  </r>
  <r>
    <n v="4705"/>
    <n v="3364"/>
    <n v="0.5"/>
    <x v="11"/>
    <d v="2024-12-29T00:00:00"/>
    <x v="6"/>
    <n v="16"/>
    <x v="4446"/>
    <x v="0"/>
    <x v="16"/>
    <n v="3"/>
    <n v="5"/>
    <n v="15"/>
    <n v="1"/>
  </r>
  <r>
    <n v="4706"/>
    <n v="3364"/>
    <n v="0.5"/>
    <x v="11"/>
    <d v="2024-12-29T00:00:00"/>
    <x v="6"/>
    <n v="14"/>
    <x v="4447"/>
    <x v="3"/>
    <x v="14"/>
    <n v="2"/>
    <n v="40"/>
    <n v="80"/>
    <n v="0"/>
  </r>
  <r>
    <n v="4707"/>
    <n v="3365"/>
    <n v="0.33333333333333331"/>
    <x v="11"/>
    <d v="2024-12-29T00:00:00"/>
    <x v="6"/>
    <n v="19"/>
    <x v="4448"/>
    <x v="2"/>
    <x v="11"/>
    <n v="1"/>
    <n v="35"/>
    <n v="35"/>
    <n v="1"/>
  </r>
  <r>
    <n v="4708"/>
    <n v="3365"/>
    <n v="0.33333333333333331"/>
    <x v="11"/>
    <d v="2024-12-29T00:00:00"/>
    <x v="6"/>
    <n v="17"/>
    <x v="4449"/>
    <x v="3"/>
    <x v="18"/>
    <n v="4"/>
    <n v="45"/>
    <n v="180"/>
    <n v="0"/>
  </r>
  <r>
    <n v="4709"/>
    <n v="3365"/>
    <n v="0.33333333333333331"/>
    <x v="11"/>
    <d v="2024-12-29T00:00:00"/>
    <x v="6"/>
    <n v="17"/>
    <x v="4450"/>
    <x v="0"/>
    <x v="8"/>
    <n v="2"/>
    <n v="10"/>
    <n v="20"/>
    <n v="0"/>
  </r>
  <r>
    <n v="4710"/>
    <n v="3366"/>
    <n v="0.33333333333333331"/>
    <x v="11"/>
    <d v="2024-12-29T00:00:00"/>
    <x v="6"/>
    <n v="19"/>
    <x v="4451"/>
    <x v="2"/>
    <x v="10"/>
    <n v="4"/>
    <n v="30"/>
    <n v="120"/>
    <n v="1"/>
  </r>
  <r>
    <n v="4711"/>
    <n v="3366"/>
    <n v="0.33333333333333331"/>
    <x v="11"/>
    <d v="2024-12-29T00:00:00"/>
    <x v="6"/>
    <n v="15"/>
    <x v="4452"/>
    <x v="3"/>
    <x v="13"/>
    <n v="3"/>
    <n v="55"/>
    <n v="165"/>
    <n v="0"/>
  </r>
  <r>
    <n v="4712"/>
    <n v="3366"/>
    <n v="0.33333333333333331"/>
    <x v="11"/>
    <d v="2024-12-29T00:00:00"/>
    <x v="6"/>
    <n v="15"/>
    <x v="4453"/>
    <x v="1"/>
    <x v="12"/>
    <n v="5"/>
    <n v="1000"/>
    <n v="5000"/>
    <n v="0"/>
  </r>
  <r>
    <n v="4713"/>
    <n v="3367"/>
    <n v="1"/>
    <x v="11"/>
    <d v="2024-12-29T00:00:00"/>
    <x v="6"/>
    <n v="13"/>
    <x v="4454"/>
    <x v="3"/>
    <x v="14"/>
    <n v="2"/>
    <n v="40"/>
    <n v="80"/>
    <n v="1"/>
  </r>
  <r>
    <n v="4714"/>
    <n v="3368"/>
    <n v="1"/>
    <x v="11"/>
    <d v="2024-12-29T00:00:00"/>
    <x v="6"/>
    <n v="19"/>
    <x v="1085"/>
    <x v="1"/>
    <x v="4"/>
    <n v="1"/>
    <n v="600"/>
    <n v="600"/>
    <n v="1"/>
  </r>
  <r>
    <n v="4715"/>
    <n v="3369"/>
    <n v="1"/>
    <x v="11"/>
    <d v="2024-12-29T00:00:00"/>
    <x v="6"/>
    <n v="15"/>
    <x v="4455"/>
    <x v="0"/>
    <x v="7"/>
    <n v="4"/>
    <n v="25"/>
    <n v="100"/>
    <n v="1"/>
  </r>
  <r>
    <n v="4716"/>
    <n v="3370"/>
    <n v="0.5"/>
    <x v="11"/>
    <d v="2024-12-29T00:00:00"/>
    <x v="6"/>
    <n v="12"/>
    <x v="4456"/>
    <x v="0"/>
    <x v="16"/>
    <n v="5"/>
    <n v="5"/>
    <n v="25"/>
    <n v="1"/>
  </r>
  <r>
    <n v="4717"/>
    <n v="3370"/>
    <n v="0.5"/>
    <x v="11"/>
    <d v="2024-12-29T00:00:00"/>
    <x v="6"/>
    <n v="16"/>
    <x v="4457"/>
    <x v="2"/>
    <x v="5"/>
    <n v="1"/>
    <n v="20"/>
    <n v="20"/>
    <n v="0"/>
  </r>
  <r>
    <n v="4718"/>
    <n v="3371"/>
    <n v="0.33333333333333331"/>
    <x v="11"/>
    <d v="2024-12-29T00:00:00"/>
    <x v="6"/>
    <n v="13"/>
    <x v="4458"/>
    <x v="2"/>
    <x v="10"/>
    <n v="1"/>
    <n v="30"/>
    <n v="30"/>
    <n v="1"/>
  </r>
  <r>
    <n v="4719"/>
    <n v="3371"/>
    <n v="0.33333333333333331"/>
    <x v="11"/>
    <d v="2024-12-29T00:00:00"/>
    <x v="6"/>
    <n v="9"/>
    <x v="4459"/>
    <x v="2"/>
    <x v="5"/>
    <n v="5"/>
    <n v="20"/>
    <n v="100"/>
    <n v="0"/>
  </r>
  <r>
    <n v="4720"/>
    <n v="3371"/>
    <n v="0.33333333333333331"/>
    <x v="11"/>
    <d v="2024-12-29T00:00:00"/>
    <x v="6"/>
    <n v="14"/>
    <x v="4460"/>
    <x v="1"/>
    <x v="2"/>
    <n v="3"/>
    <n v="680"/>
    <n v="2040"/>
    <n v="0"/>
  </r>
  <r>
    <n v="4721"/>
    <n v="3372"/>
    <n v="0.5"/>
    <x v="11"/>
    <d v="2024-12-30T00:00:00"/>
    <x v="0"/>
    <n v="13"/>
    <x v="4461"/>
    <x v="2"/>
    <x v="11"/>
    <n v="4"/>
    <n v="35"/>
    <n v="140"/>
    <n v="1"/>
  </r>
  <r>
    <n v="4722"/>
    <n v="3372"/>
    <n v="0.5"/>
    <x v="11"/>
    <d v="2024-12-30T00:00:00"/>
    <x v="0"/>
    <n v="9"/>
    <x v="4462"/>
    <x v="1"/>
    <x v="3"/>
    <n v="4"/>
    <n v="700"/>
    <n v="2800"/>
    <n v="0"/>
  </r>
  <r>
    <n v="4723"/>
    <n v="3373"/>
    <n v="0.33333333333333331"/>
    <x v="11"/>
    <d v="2024-12-30T00:00:00"/>
    <x v="0"/>
    <n v="16"/>
    <x v="4463"/>
    <x v="0"/>
    <x v="8"/>
    <n v="1"/>
    <n v="10"/>
    <n v="10"/>
    <n v="1"/>
  </r>
  <r>
    <n v="4724"/>
    <n v="3373"/>
    <n v="0.33333333333333331"/>
    <x v="11"/>
    <d v="2024-12-30T00:00:00"/>
    <x v="0"/>
    <n v="16"/>
    <x v="4464"/>
    <x v="1"/>
    <x v="3"/>
    <n v="1"/>
    <n v="700"/>
    <n v="700"/>
    <n v="0"/>
  </r>
  <r>
    <n v="4725"/>
    <n v="3373"/>
    <n v="0.33333333333333331"/>
    <x v="11"/>
    <d v="2024-12-30T00:00:00"/>
    <x v="0"/>
    <n v="20"/>
    <x v="4465"/>
    <x v="3"/>
    <x v="18"/>
    <n v="5"/>
    <n v="45"/>
    <n v="225"/>
    <n v="0"/>
  </r>
  <r>
    <n v="4726"/>
    <n v="3374"/>
    <n v="0.33333333333333331"/>
    <x v="11"/>
    <d v="2024-12-30T00:00:00"/>
    <x v="0"/>
    <n v="9"/>
    <x v="4466"/>
    <x v="0"/>
    <x v="0"/>
    <n v="1"/>
    <n v="20"/>
    <n v="20"/>
    <n v="1"/>
  </r>
  <r>
    <n v="4727"/>
    <n v="3374"/>
    <n v="0.33333333333333331"/>
    <x v="11"/>
    <d v="2024-12-30T00:00:00"/>
    <x v="0"/>
    <n v="13"/>
    <x v="4467"/>
    <x v="2"/>
    <x v="15"/>
    <n v="5"/>
    <n v="25"/>
    <n v="125"/>
    <n v="0"/>
  </r>
  <r>
    <n v="4728"/>
    <n v="3374"/>
    <n v="0.33333333333333331"/>
    <x v="11"/>
    <d v="2024-12-30T00:00:00"/>
    <x v="0"/>
    <n v="19"/>
    <x v="4468"/>
    <x v="1"/>
    <x v="1"/>
    <n v="2"/>
    <n v="650"/>
    <n v="1300"/>
    <n v="0"/>
  </r>
  <r>
    <n v="4729"/>
    <n v="3375"/>
    <n v="1"/>
    <x v="11"/>
    <d v="2024-12-30T00:00:00"/>
    <x v="0"/>
    <n v="14"/>
    <x v="4469"/>
    <x v="2"/>
    <x v="5"/>
    <n v="1"/>
    <n v="20"/>
    <n v="20"/>
    <n v="1"/>
  </r>
  <r>
    <n v="4730"/>
    <n v="3376"/>
    <n v="0.5"/>
    <x v="11"/>
    <d v="2024-12-30T00:00:00"/>
    <x v="0"/>
    <n v="14"/>
    <x v="4470"/>
    <x v="2"/>
    <x v="10"/>
    <n v="4"/>
    <n v="30"/>
    <n v="120"/>
    <n v="1"/>
  </r>
  <r>
    <n v="4731"/>
    <n v="3376"/>
    <n v="0.5"/>
    <x v="11"/>
    <d v="2024-12-30T00:00:00"/>
    <x v="0"/>
    <n v="15"/>
    <x v="4471"/>
    <x v="3"/>
    <x v="13"/>
    <n v="2"/>
    <n v="55"/>
    <n v="110"/>
    <n v="0"/>
  </r>
  <r>
    <n v="4732"/>
    <n v="3377"/>
    <n v="0.33333333333333331"/>
    <x v="11"/>
    <d v="2024-12-31T00:00:00"/>
    <x v="1"/>
    <n v="19"/>
    <x v="4472"/>
    <x v="2"/>
    <x v="15"/>
    <n v="1"/>
    <n v="25"/>
    <n v="25"/>
    <n v="1"/>
  </r>
  <r>
    <n v="4733"/>
    <n v="3377"/>
    <n v="0.33333333333333331"/>
    <x v="11"/>
    <d v="2024-12-31T00:00:00"/>
    <x v="1"/>
    <n v="9"/>
    <x v="4473"/>
    <x v="2"/>
    <x v="11"/>
    <n v="3"/>
    <n v="35"/>
    <n v="105"/>
    <n v="0"/>
  </r>
  <r>
    <n v="4734"/>
    <n v="3377"/>
    <n v="0.33333333333333331"/>
    <x v="11"/>
    <d v="2024-12-31T00:00:00"/>
    <x v="1"/>
    <n v="20"/>
    <x v="2664"/>
    <x v="3"/>
    <x v="6"/>
    <n v="4"/>
    <n v="50"/>
    <n v="200"/>
    <n v="0"/>
  </r>
  <r>
    <n v="4735"/>
    <n v="3378"/>
    <n v="0.33333333333333331"/>
    <x v="11"/>
    <d v="2024-12-31T00:00:00"/>
    <x v="1"/>
    <n v="20"/>
    <x v="4474"/>
    <x v="1"/>
    <x v="4"/>
    <n v="3"/>
    <n v="600"/>
    <n v="1800"/>
    <n v="1"/>
  </r>
  <r>
    <n v="4736"/>
    <n v="3378"/>
    <n v="0.33333333333333331"/>
    <x v="11"/>
    <d v="2024-12-31T00:00:00"/>
    <x v="1"/>
    <n v="13"/>
    <x v="4475"/>
    <x v="0"/>
    <x v="0"/>
    <n v="3"/>
    <n v="20"/>
    <n v="60"/>
    <n v="0"/>
  </r>
  <r>
    <n v="4737"/>
    <n v="3378"/>
    <n v="0.33333333333333331"/>
    <x v="11"/>
    <d v="2024-12-31T00:00:00"/>
    <x v="1"/>
    <n v="18"/>
    <x v="4476"/>
    <x v="0"/>
    <x v="7"/>
    <n v="5"/>
    <n v="25"/>
    <n v="125"/>
    <n v="0"/>
  </r>
  <r>
    <n v="4738"/>
    <n v="3379"/>
    <n v="0.33333333333333331"/>
    <x v="11"/>
    <d v="2024-12-31T00:00:00"/>
    <x v="1"/>
    <n v="9"/>
    <x v="4477"/>
    <x v="1"/>
    <x v="3"/>
    <n v="2"/>
    <n v="700"/>
    <n v="1400"/>
    <n v="1"/>
  </r>
  <r>
    <n v="4739"/>
    <n v="3379"/>
    <n v="0.33333333333333331"/>
    <x v="11"/>
    <d v="2024-12-31T00:00:00"/>
    <x v="1"/>
    <n v="15"/>
    <x v="4478"/>
    <x v="3"/>
    <x v="13"/>
    <n v="4"/>
    <n v="55"/>
    <n v="220"/>
    <n v="0"/>
  </r>
  <r>
    <n v="4740"/>
    <n v="3379"/>
    <n v="0.33333333333333331"/>
    <x v="11"/>
    <d v="2024-12-31T00:00:00"/>
    <x v="1"/>
    <n v="16"/>
    <x v="4479"/>
    <x v="1"/>
    <x v="1"/>
    <n v="1"/>
    <n v="650"/>
    <n v="650"/>
    <n v="0"/>
  </r>
  <r>
    <n v="4741"/>
    <n v="3380"/>
    <n v="0.33333333333333331"/>
    <x v="11"/>
    <d v="2024-12-31T00:00:00"/>
    <x v="1"/>
    <n v="17"/>
    <x v="4480"/>
    <x v="0"/>
    <x v="16"/>
    <n v="5"/>
    <n v="5"/>
    <n v="25"/>
    <n v="1"/>
  </r>
  <r>
    <n v="4742"/>
    <n v="3380"/>
    <n v="0.33333333333333331"/>
    <x v="11"/>
    <d v="2024-12-31T00:00:00"/>
    <x v="1"/>
    <n v="16"/>
    <x v="4481"/>
    <x v="1"/>
    <x v="2"/>
    <n v="3"/>
    <n v="680"/>
    <n v="2040"/>
    <n v="0"/>
  </r>
  <r>
    <n v="4743"/>
    <n v="3380"/>
    <n v="0.33333333333333331"/>
    <x v="11"/>
    <d v="2024-12-31T00:00:00"/>
    <x v="1"/>
    <n v="17"/>
    <x v="4482"/>
    <x v="2"/>
    <x v="15"/>
    <n v="1"/>
    <n v="25"/>
    <n v="25"/>
    <n v="0"/>
  </r>
  <r>
    <n v="4744"/>
    <n v="3381"/>
    <n v="0.33333333333333331"/>
    <x v="11"/>
    <d v="2024-12-31T00:00:00"/>
    <x v="1"/>
    <n v="19"/>
    <x v="4483"/>
    <x v="0"/>
    <x v="8"/>
    <n v="1"/>
    <n v="10"/>
    <n v="10"/>
    <n v="1"/>
  </r>
  <r>
    <n v="4745"/>
    <n v="3381"/>
    <n v="0.33333333333333331"/>
    <x v="11"/>
    <d v="2024-12-31T00:00:00"/>
    <x v="1"/>
    <n v="9"/>
    <x v="4484"/>
    <x v="2"/>
    <x v="10"/>
    <n v="2"/>
    <n v="30"/>
    <n v="60"/>
    <n v="0"/>
  </r>
  <r>
    <n v="4746"/>
    <n v="3381"/>
    <n v="0.33333333333333331"/>
    <x v="11"/>
    <d v="2024-12-31T00:00:00"/>
    <x v="1"/>
    <n v="15"/>
    <x v="4485"/>
    <x v="2"/>
    <x v="15"/>
    <n v="5"/>
    <n v="25"/>
    <n v="125"/>
    <n v="0"/>
  </r>
  <r>
    <n v="4747"/>
    <n v="3382"/>
    <n v="0.33333333333333331"/>
    <x v="11"/>
    <d v="2024-12-31T00:00:00"/>
    <x v="1"/>
    <n v="13"/>
    <x v="3904"/>
    <x v="2"/>
    <x v="10"/>
    <n v="3"/>
    <n v="30"/>
    <n v="90"/>
    <n v="1"/>
  </r>
  <r>
    <n v="4748"/>
    <n v="3382"/>
    <n v="0.33333333333333331"/>
    <x v="11"/>
    <d v="2024-12-31T00:00:00"/>
    <x v="1"/>
    <n v="9"/>
    <x v="4486"/>
    <x v="2"/>
    <x v="5"/>
    <n v="4"/>
    <n v="20"/>
    <n v="80"/>
    <n v="0"/>
  </r>
  <r>
    <n v="4749"/>
    <n v="3382"/>
    <n v="0.33333333333333331"/>
    <x v="11"/>
    <d v="2024-12-31T00:00:00"/>
    <x v="1"/>
    <n v="17"/>
    <x v="4487"/>
    <x v="1"/>
    <x v="4"/>
    <n v="4"/>
    <n v="600"/>
    <n v="240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094080A-521B-0046-B968-FD6ACECC0E87}"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4" firstHeaderRow="0" firstDataRow="1" firstDataCol="0"/>
  <pivotFields count="15">
    <pivotField showAll="0"/>
    <pivotField showAll="0"/>
    <pivotField dataField="1" showAll="0"/>
    <pivotField showAll="0">
      <items count="13">
        <item x="0"/>
        <item x="1"/>
        <item x="2"/>
        <item x="3"/>
        <item x="4"/>
        <item x="5"/>
        <item x="6"/>
        <item x="7"/>
        <item x="8"/>
        <item x="9"/>
        <item x="10"/>
        <item x="11"/>
        <item t="default"/>
      </items>
    </pivotField>
    <pivotField numFmtId="14" showAll="0"/>
    <pivotField showAll="0"/>
    <pivotField showAll="0"/>
    <pivotField numFmtId="21" showAll="0">
      <items count="4489">
        <item x="3898"/>
        <item x="3200"/>
        <item x="2381"/>
        <item x="2793"/>
        <item x="4242"/>
        <item x="1992"/>
        <item x="2271"/>
        <item x="2464"/>
        <item x="3503"/>
        <item x="2920"/>
        <item x="2692"/>
        <item x="4316"/>
        <item x="3270"/>
        <item x="2275"/>
        <item x="3351"/>
        <item x="3575"/>
        <item x="515"/>
        <item x="2540"/>
        <item x="2354"/>
        <item x="3133"/>
        <item x="1255"/>
        <item x="158"/>
        <item x="2050"/>
        <item x="1855"/>
        <item x="1071"/>
        <item x="4111"/>
        <item x="847"/>
        <item x="22"/>
        <item x="1081"/>
        <item x="3535"/>
        <item x="3455"/>
        <item x="182"/>
        <item x="15"/>
        <item x="111"/>
        <item x="3072"/>
        <item x="1767"/>
        <item x="3576"/>
        <item x="2018"/>
        <item x="1184"/>
        <item x="4389"/>
        <item x="137"/>
        <item x="3698"/>
        <item x="3022"/>
        <item x="646"/>
        <item x="529"/>
        <item x="1681"/>
        <item x="2244"/>
        <item x="4000"/>
        <item x="2144"/>
        <item x="1884"/>
        <item x="2152"/>
        <item x="3915"/>
        <item x="2936"/>
        <item x="3945"/>
        <item x="3382"/>
        <item x="2690"/>
        <item x="3244"/>
        <item x="3060"/>
        <item x="4219"/>
        <item x="927"/>
        <item x="4020"/>
        <item x="2416"/>
        <item x="2565"/>
        <item x="1994"/>
        <item x="3648"/>
        <item x="1259"/>
        <item x="1315"/>
        <item x="345"/>
        <item x="2498"/>
        <item x="155"/>
        <item x="1374"/>
        <item x="4360"/>
        <item x="3447"/>
        <item x="3710"/>
        <item x="1384"/>
        <item x="1159"/>
        <item x="2777"/>
        <item x="1225"/>
        <item x="4473"/>
        <item x="3751"/>
        <item x="1547"/>
        <item x="3377"/>
        <item x="1893"/>
        <item x="311"/>
        <item x="251"/>
        <item x="2076"/>
        <item x="755"/>
        <item x="1704"/>
        <item x="3542"/>
        <item x="3091"/>
        <item x="745"/>
        <item x="1645"/>
        <item x="3024"/>
        <item x="2274"/>
        <item x="4281"/>
        <item x="397"/>
        <item x="4398"/>
        <item x="3835"/>
        <item x="3059"/>
        <item x="4459"/>
        <item x="442"/>
        <item x="2851"/>
        <item x="1966"/>
        <item x="882"/>
        <item x="1261"/>
        <item x="591"/>
        <item x="3708"/>
        <item x="2077"/>
        <item x="1487"/>
        <item x="3732"/>
        <item x="1674"/>
        <item x="1885"/>
        <item x="2744"/>
        <item x="3548"/>
        <item x="1037"/>
        <item x="2184"/>
        <item x="343"/>
        <item x="211"/>
        <item x="969"/>
        <item x="3715"/>
        <item x="2675"/>
        <item x="522"/>
        <item x="2463"/>
        <item x="1076"/>
        <item x="3150"/>
        <item x="1789"/>
        <item x="54"/>
        <item x="3530"/>
        <item x="191"/>
        <item x="325"/>
        <item x="4296"/>
        <item x="3076"/>
        <item x="1455"/>
        <item x="142"/>
        <item x="2553"/>
        <item x="3378"/>
        <item x="3125"/>
        <item x="3152"/>
        <item x="4037"/>
        <item x="108"/>
        <item x="8"/>
        <item x="86"/>
        <item x="381"/>
        <item x="2432"/>
        <item x="1443"/>
        <item x="299"/>
        <item x="2259"/>
        <item x="794"/>
        <item x="88"/>
        <item x="4412"/>
        <item x="742"/>
        <item x="3313"/>
        <item x="3405"/>
        <item x="4034"/>
        <item x="3634"/>
        <item x="2611"/>
        <item x="922"/>
        <item x="2220"/>
        <item x="3664"/>
        <item x="1556"/>
        <item x="549"/>
        <item x="461"/>
        <item x="2983"/>
        <item x="2922"/>
        <item x="2654"/>
        <item x="2273"/>
        <item x="4486"/>
        <item x="1731"/>
        <item x="2444"/>
        <item x="1446"/>
        <item x="3723"/>
        <item x="398"/>
        <item x="1409"/>
        <item x="3747"/>
        <item x="1102"/>
        <item x="4175"/>
        <item x="2345"/>
        <item x="3261"/>
        <item x="3508"/>
        <item x="2401"/>
        <item x="1907"/>
        <item x="4260"/>
        <item x="3888"/>
        <item x="477"/>
        <item x="2529"/>
        <item x="1175"/>
        <item x="1489"/>
        <item x="68"/>
        <item x="2505"/>
        <item x="559"/>
        <item x="45"/>
        <item x="474"/>
        <item x="885"/>
        <item x="1072"/>
        <item x="686"/>
        <item x="996"/>
        <item x="1241"/>
        <item x="1800"/>
        <item x="4149"/>
        <item x="4075"/>
        <item x="2453"/>
        <item x="4211"/>
        <item x="57"/>
        <item x="3822"/>
        <item x="3079"/>
        <item x="3173"/>
        <item x="3088"/>
        <item x="3162"/>
        <item x="436"/>
        <item x="4059"/>
        <item x="2013"/>
        <item x="3717"/>
        <item x="4092"/>
        <item x="2651"/>
        <item x="1272"/>
        <item x="4315"/>
        <item x="1624"/>
        <item x="2422"/>
        <item x="1162"/>
        <item x="4477"/>
        <item x="2279"/>
        <item x="3347"/>
        <item x="3216"/>
        <item x="3431"/>
        <item x="1557"/>
        <item x="2492"/>
        <item x="2722"/>
        <item x="3692"/>
        <item x="337"/>
        <item x="4027"/>
        <item x="4300"/>
        <item x="1881"/>
        <item x="4484"/>
        <item x="2467"/>
        <item x="4466"/>
        <item x="454"/>
        <item x="330"/>
        <item x="907"/>
        <item x="4348"/>
        <item x="4170"/>
        <item x="1335"/>
        <item x="2278"/>
        <item x="1069"/>
        <item x="3890"/>
        <item x="4413"/>
        <item x="3699"/>
        <item x="982"/>
        <item x="2214"/>
        <item x="1380"/>
        <item x="3000"/>
        <item x="2912"/>
        <item x="626"/>
        <item x="2007"/>
        <item x="941"/>
        <item x="2160"/>
        <item x="3208"/>
        <item x="2237"/>
        <item x="3795"/>
        <item x="1428"/>
        <item x="2686"/>
        <item x="496"/>
        <item x="2891"/>
        <item x="1095"/>
        <item x="2034"/>
        <item x="764"/>
        <item x="4222"/>
        <item x="3028"/>
        <item x="457"/>
        <item x="2697"/>
        <item x="3556"/>
        <item x="2987"/>
        <item x="2057"/>
        <item x="2807"/>
        <item x="3619"/>
        <item x="4098"/>
        <item x="2719"/>
        <item x="208"/>
        <item x="2995"/>
        <item x="2520"/>
        <item x="1157"/>
        <item x="979"/>
        <item x="725"/>
        <item x="4248"/>
        <item x="3220"/>
        <item x="223"/>
        <item x="478"/>
        <item x="3436"/>
        <item x="1530"/>
        <item x="1449"/>
        <item x="3136"/>
        <item x="2575"/>
        <item x="669"/>
        <item x="2227"/>
        <item x="4114"/>
        <item x="1196"/>
        <item x="3077"/>
        <item x="2993"/>
        <item x="2952"/>
        <item x="2289"/>
        <item x="2595"/>
        <item x="3081"/>
        <item x="144"/>
        <item x="78"/>
        <item x="2462"/>
        <item x="303"/>
        <item x="1358"/>
        <item x="3300"/>
        <item x="41"/>
        <item x="3953"/>
        <item x="3251"/>
        <item x="4462"/>
        <item x="1435"/>
        <item x="1863"/>
        <item x="2727"/>
        <item x="1131"/>
        <item x="2533"/>
        <item x="651"/>
        <item x="1373"/>
        <item x="494"/>
        <item x="1288"/>
        <item x="4048"/>
        <item x="2716"/>
        <item x="2615"/>
        <item x="2823"/>
        <item x="1168"/>
        <item x="2561"/>
        <item x="3863"/>
        <item x="3412"/>
        <item x="1352"/>
        <item x="801"/>
        <item x="3857"/>
        <item x="1901"/>
        <item x="990"/>
        <item x="3470"/>
        <item x="1338"/>
        <item x="876"/>
        <item x="4372"/>
        <item x="3227"/>
        <item x="3826"/>
        <item x="2933"/>
        <item x="500"/>
        <item x="2821"/>
        <item x="4336"/>
        <item x="1208"/>
        <item x="2695"/>
        <item x="1491"/>
        <item x="3418"/>
        <item x="3424"/>
        <item x="1093"/>
        <item x="2517"/>
        <item x="3856"/>
        <item x="1617"/>
        <item x="260"/>
        <item x="1658"/>
        <item x="4303"/>
        <item x="3046"/>
        <item x="2588"/>
        <item x="1650"/>
        <item x="3785"/>
        <item x="3579"/>
        <item x="3413"/>
        <item x="2280"/>
        <item x="2112"/>
        <item x="3557"/>
        <item x="914"/>
        <item x="1083"/>
        <item x="227"/>
        <item x="4341"/>
        <item x="728"/>
        <item x="1488"/>
        <item x="2815"/>
        <item x="1982"/>
        <item x="1798"/>
        <item x="2174"/>
        <item x="798"/>
        <item x="4018"/>
        <item x="3332"/>
        <item x="1456"/>
        <item x="2120"/>
        <item x="656"/>
        <item x="354"/>
        <item x="1228"/>
        <item x="446"/>
        <item x="2954"/>
        <item x="603"/>
        <item x="2570"/>
        <item x="3561"/>
        <item x="2797"/>
        <item x="2163"/>
        <item x="4091"/>
        <item x="3058"/>
        <item x="4058"/>
        <item x="3002"/>
        <item x="1758"/>
        <item x="2774"/>
        <item x="1403"/>
        <item x="3004"/>
        <item x="3115"/>
        <item x="324"/>
        <item x="1801"/>
        <item x="2564"/>
        <item x="3236"/>
        <item x="2772"/>
        <item x="1591"/>
        <item x="272"/>
        <item x="1922"/>
        <item x="3130"/>
        <item x="4029"/>
        <item x="3923"/>
        <item x="1987"/>
        <item x="2093"/>
        <item x="1364"/>
        <item x="2632"/>
        <item x="2357"/>
        <item x="1780"/>
        <item x="2391"/>
        <item x="783"/>
        <item x="3655"/>
        <item x="1014"/>
        <item x="59"/>
        <item x="2511"/>
        <item x="640"/>
        <item x="544"/>
        <item x="561"/>
        <item x="1802"/>
        <item x="1367"/>
        <item x="3214"/>
        <item x="1852"/>
        <item x="348"/>
        <item x="1052"/>
        <item x="1667"/>
        <item x="471"/>
        <item x="4224"/>
        <item x="677"/>
        <item x="3486"/>
        <item x="2056"/>
        <item x="1569"/>
        <item x="1980"/>
        <item x="405"/>
        <item x="610"/>
        <item x="4197"/>
        <item x="641"/>
        <item x="204"/>
        <item x="3833"/>
        <item x="3552"/>
        <item x="573"/>
        <item x="3743"/>
        <item x="2978"/>
        <item x="2885"/>
        <item x="153"/>
        <item x="4053"/>
        <item x="2208"/>
        <item x="874"/>
        <item x="2457"/>
        <item x="2583"/>
        <item x="670"/>
        <item x="2360"/>
        <item x="873"/>
        <item x="1634"/>
        <item x="4419"/>
        <item x="829"/>
        <item x="438"/>
        <item x="917"/>
        <item x="3580"/>
        <item x="408"/>
        <item x="1703"/>
        <item x="3538"/>
        <item x="2974"/>
        <item x="2853"/>
        <item x="1515"/>
        <item x="4271"/>
        <item x="2095"/>
        <item x="3317"/>
        <item x="4383"/>
        <item x="685"/>
        <item x="4247"/>
        <item x="1606"/>
        <item x="4005"/>
        <item x="65"/>
        <item x="4186"/>
        <item x="1010"/>
        <item x="424"/>
        <item x="2649"/>
        <item x="1956"/>
        <item x="3379"/>
        <item x="3729"/>
        <item x="1046"/>
        <item x="1217"/>
        <item x="3520"/>
        <item x="2886"/>
        <item x="4436"/>
        <item x="3463"/>
        <item x="3955"/>
        <item x="2594"/>
        <item x="3696"/>
        <item x="1246"/>
        <item x="3139"/>
        <item x="503"/>
        <item x="3027"/>
        <item x="2094"/>
        <item x="3646"/>
        <item x="3080"/>
        <item x="4308"/>
        <item x="963"/>
        <item x="1618"/>
        <item x="3476"/>
        <item x="3903"/>
        <item x="181"/>
        <item x="1894"/>
        <item x="241"/>
        <item x="3560"/>
        <item x="1989"/>
        <item x="4307"/>
        <item x="3541"/>
        <item x="880"/>
        <item x="1937"/>
        <item x="2896"/>
        <item x="2276"/>
        <item x="1186"/>
        <item x="984"/>
        <item x="2574"/>
        <item x="933"/>
        <item x="2636"/>
        <item x="393"/>
        <item x="3738"/>
        <item x="4433"/>
        <item x="2605"/>
        <item x="992"/>
        <item x="3815"/>
        <item x="2785"/>
        <item x="1249"/>
        <item x="2041"/>
        <item x="2783"/>
        <item x="605"/>
        <item x="733"/>
        <item x="1116"/>
        <item x="1895"/>
        <item x="1875"/>
        <item x="3458"/>
        <item x="2287"/>
        <item x="3842"/>
        <item x="3972"/>
        <item x="2708"/>
        <item x="2900"/>
        <item x="2084"/>
        <item x="2236"/>
        <item x="2063"/>
        <item x="1655"/>
        <item x="310"/>
        <item x="526"/>
        <item x="2935"/>
        <item x="2769"/>
        <item x="675"/>
        <item x="358"/>
        <item x="1191"/>
        <item x="3604"/>
        <item x="3644"/>
        <item x="2149"/>
        <item x="889"/>
        <item x="3373"/>
        <item x="3404"/>
        <item x="1865"/>
        <item x="2911"/>
        <item x="4407"/>
        <item x="1633"/>
        <item x="3326"/>
        <item x="3062"/>
        <item x="811"/>
        <item x="1848"/>
        <item x="650"/>
        <item x="608"/>
        <item x="2350"/>
        <item x="2082"/>
        <item x="3402"/>
        <item x="4007"/>
        <item x="1477"/>
        <item x="4228"/>
        <item x="20"/>
        <item x="1035"/>
        <item x="2154"/>
        <item x="1012"/>
        <item x="3946"/>
        <item x="390"/>
        <item x="3155"/>
        <item x="588"/>
        <item x="2055"/>
        <item x="92"/>
        <item x="2268"/>
        <item x="243"/>
        <item x="447"/>
        <item x="4123"/>
        <item x="4131"/>
        <item x="3008"/>
        <item x="2202"/>
        <item x="4016"/>
        <item x="3045"/>
        <item x="2563"/>
        <item x="2213"/>
        <item x="1745"/>
        <item x="364"/>
        <item x="1524"/>
        <item x="4355"/>
        <item x="3396"/>
        <item x="2616"/>
        <item x="3019"/>
        <item x="1581"/>
        <item x="3741"/>
        <item x="1322"/>
        <item x="1903"/>
        <item x="2753"/>
        <item x="4249"/>
        <item x="266"/>
        <item x="2069"/>
        <item x="2910"/>
        <item x="3372"/>
        <item x="2523"/>
        <item x="1210"/>
        <item x="3806"/>
        <item x="1286"/>
        <item x="340"/>
        <item x="378"/>
        <item x="3605"/>
        <item x="2768"/>
        <item x="4172"/>
        <item x="2623"/>
        <item x="510"/>
        <item x="1226"/>
        <item x="956"/>
        <item x="3375"/>
        <item x="2431"/>
        <item x="270"/>
        <item x="3802"/>
        <item x="375"/>
        <item x="3441"/>
        <item x="4120"/>
        <item x="3167"/>
        <item x="1092"/>
        <item x="1357"/>
        <item x="382"/>
        <item x="2175"/>
        <item x="3055"/>
        <item x="3163"/>
        <item x="823"/>
        <item x="1271"/>
        <item x="2836"/>
        <item x="3727"/>
        <item x="2234"/>
        <item x="1155"/>
        <item x="55"/>
        <item x="4065"/>
        <item x="2332"/>
        <item x="1143"/>
        <item x="3360"/>
        <item x="2506"/>
        <item x="1917"/>
        <item x="4304"/>
        <item x="576"/>
        <item x="1955"/>
        <item x="2860"/>
        <item x="2394"/>
        <item x="17"/>
        <item x="3836"/>
        <item x="1925"/>
        <item x="1936"/>
        <item x="1080"/>
        <item x="3882"/>
        <item x="902"/>
        <item x="1968"/>
        <item x="3736"/>
        <item x="540"/>
        <item x="404"/>
        <item x="1049"/>
        <item x="1405"/>
        <item x="3199"/>
        <item x="853"/>
        <item x="2131"/>
        <item x="664"/>
        <item x="1824"/>
        <item x="1355"/>
        <item x="4339"/>
        <item x="3358"/>
        <item x="2106"/>
        <item x="3682"/>
        <item x="2946"/>
        <item x="3569"/>
        <item x="3678"/>
        <item x="2678"/>
        <item x="4259"/>
        <item x="647"/>
        <item x="786"/>
        <item x="286"/>
        <item x="1825"/>
        <item x="892"/>
        <item x="4379"/>
        <item x="3809"/>
        <item x="3839"/>
        <item x="2824"/>
        <item x="3893"/>
        <item x="2578"/>
        <item x="3207"/>
        <item x="891"/>
        <item x="177"/>
        <item x="1006"/>
        <item x="2015"/>
        <item x="1778"/>
        <item x="1646"/>
        <item x="1169"/>
        <item x="282"/>
        <item x="113"/>
        <item x="4306"/>
        <item x="806"/>
        <item x="2620"/>
        <item x="962"/>
        <item x="2812"/>
        <item x="2867"/>
        <item x="1124"/>
        <item x="4183"/>
        <item x="4217"/>
        <item x="1141"/>
        <item x="533"/>
        <item x="2169"/>
        <item x="295"/>
        <item x="3956"/>
        <item x="1643"/>
        <item x="3612"/>
        <item x="870"/>
        <item x="3401"/>
        <item x="2791"/>
        <item x="3924"/>
        <item x="1256"/>
        <item x="1905"/>
        <item x="1605"/>
        <item x="1105"/>
        <item x="648"/>
        <item x="2725"/>
        <item x="3262"/>
        <item x="2306"/>
        <item x="2436"/>
        <item x="3496"/>
        <item x="1675"/>
        <item x="1054"/>
        <item x="3875"/>
        <item x="422"/>
        <item x="4425"/>
        <item x="82"/>
        <item x="1516"/>
        <item x="3964"/>
        <item x="2210"/>
        <item x="3451"/>
        <item x="4073"/>
        <item x="1900"/>
        <item x="4040"/>
        <item x="4082"/>
        <item x="3406"/>
        <item x="1090"/>
        <item x="2648"/>
        <item x="2490"/>
        <item x="1417"/>
        <item x="4148"/>
        <item x="2685"/>
        <item x="2882"/>
        <item x="1695"/>
        <item x="2054"/>
        <item x="1303"/>
        <item x="538"/>
        <item x="3456"/>
        <item x="3085"/>
        <item x="2633"/>
        <item x="4416"/>
        <item x="1562"/>
        <item x="4424"/>
        <item x="2088"/>
        <item x="1253"/>
        <item x="1990"/>
        <item x="475"/>
        <item x="2568"/>
        <item x="2356"/>
        <item x="2327"/>
        <item x="1690"/>
        <item x="154"/>
        <item x="224"/>
        <item x="1656"/>
        <item x="0"/>
        <item x="3457"/>
        <item x="338"/>
        <item x="3550"/>
        <item x="1486"/>
        <item x="4084"/>
        <item x="2190"/>
        <item x="1418"/>
        <item x="1520"/>
        <item x="3998"/>
        <item x="3188"/>
        <item x="3987"/>
        <item x="2471"/>
        <item x="2528"/>
        <item x="1231"/>
        <item x="2390"/>
        <item x="1867"/>
        <item x="3549"/>
        <item x="2251"/>
        <item x="2108"/>
        <item x="4001"/>
        <item x="1873"/>
        <item x="3522"/>
        <item x="1608"/>
        <item x="3082"/>
        <item x="1165"/>
        <item x="4235"/>
        <item x="1911"/>
        <item x="168"/>
        <item x="87"/>
        <item x="1038"/>
        <item x="1594"/>
        <item x="1479"/>
        <item x="3687"/>
        <item x="1082"/>
        <item x="4209"/>
        <item x="3400"/>
        <item x="2736"/>
        <item x="308"/>
        <item x="851"/>
        <item x="2895"/>
        <item x="2325"/>
        <item x="883"/>
        <item x="3861"/>
        <item x="3616"/>
        <item x="972"/>
        <item x="3354"/>
        <item x="2096"/>
        <item x="2104"/>
        <item x="2080"/>
        <item x="2898"/>
        <item x="4036"/>
        <item x="3934"/>
        <item x="3676"/>
        <item x="925"/>
        <item x="1431"/>
        <item x="3626"/>
        <item x="4076"/>
        <item x="1995"/>
        <item x="2316"/>
        <item x="2656"/>
        <item x="128"/>
        <item x="3927"/>
        <item x="394"/>
        <item x="2799"/>
        <item x="2107"/>
        <item x="3"/>
        <item x="4072"/>
        <item x="3737"/>
        <item x="1628"/>
        <item x="3671"/>
        <item x="2609"/>
        <item x="3974"/>
        <item x="2001"/>
        <item x="2011"/>
        <item x="3661"/>
        <item x="1766"/>
        <item x="2515"/>
        <item x="1938"/>
        <item x="858"/>
        <item x="3526"/>
        <item x="3439"/>
        <item x="4200"/>
        <item x="3087"/>
        <item x="2047"/>
        <item x="3255"/>
        <item x="3965"/>
        <item x="2361"/>
        <item x="4068"/>
        <item x="2311"/>
        <item x="1986"/>
        <item x="871"/>
        <item x="2367"/>
        <item x="1245"/>
        <item x="2767"/>
        <item x="1910"/>
        <item x="3098"/>
        <item x="2949"/>
        <item x="37"/>
        <item x="2829"/>
        <item x="1823"/>
        <item x="4152"/>
        <item x="2187"/>
        <item x="774"/>
        <item x="3823"/>
        <item x="4019"/>
        <item x="1883"/>
        <item x="3775"/>
        <item x="4226"/>
        <item x="1661"/>
        <item x="1732"/>
        <item x="1149"/>
        <item x="434"/>
        <item x="1677"/>
        <item x="1410"/>
        <item x="2445"/>
        <item x="2683"/>
        <item x="4083"/>
        <item x="187"/>
        <item x="3499"/>
        <item x="1592"/>
        <item x="105"/>
        <item x="2302"/>
        <item x="1942"/>
        <item x="3932"/>
        <item x="2168"/>
        <item x="2382"/>
        <item x="13"/>
        <item x="776"/>
        <item x="1794"/>
        <item x="888"/>
        <item x="1275"/>
        <item x="2857"/>
        <item x="197"/>
        <item x="1949"/>
        <item x="2915"/>
        <item x="1603"/>
        <item x="2820"/>
        <item x="1978"/>
        <item x="1068"/>
        <item x="2468"/>
        <item x="509"/>
        <item x="3359"/>
        <item x="1057"/>
        <item x="895"/>
        <item x="636"/>
        <item x="366"/>
        <item x="1468"/>
        <item x="4356"/>
        <item x="439"/>
        <item x="4060"/>
        <item x="3798"/>
        <item x="2504"/>
        <item x="2143"/>
        <item x="3756"/>
        <item x="1951"/>
        <item x="3285"/>
        <item x="893"/>
        <item x="491"/>
        <item x="116"/>
        <item x="4151"/>
        <item x="4240"/>
        <item x="2889"/>
        <item x="110"/>
        <item x="2006"/>
        <item x="2782"/>
        <item x="1025"/>
        <item x="2718"/>
        <item x="1377"/>
        <item x="3654"/>
        <item x="1317"/>
        <item x="3740"/>
        <item x="1664"/>
        <item x="370"/>
        <item x="3511"/>
        <item x="1098"/>
        <item x="1931"/>
        <item x="2115"/>
        <item x="453"/>
        <item x="3792"/>
        <item x="289"/>
        <item x="66"/>
        <item x="867"/>
        <item x="2348"/>
        <item x="713"/>
        <item x="2177"/>
        <item x="323"/>
        <item x="3559"/>
        <item x="1340"/>
        <item x="417"/>
        <item x="3649"/>
        <item x="2916"/>
        <item x="72"/>
        <item x="1274"/>
        <item x="578"/>
        <item x="4264"/>
        <item x="4145"/>
        <item x="2751"/>
        <item x="4422"/>
        <item x="4167"/>
        <item x="2668"/>
        <item x="469"/>
        <item x="1424"/>
        <item x="3151"/>
        <item x="1518"/>
        <item x="3182"/>
        <item x="1930"/>
        <item x="2970"/>
        <item x="782"/>
        <item x="2941"/>
        <item x="318"/>
        <item x="632"/>
        <item x="2266"/>
        <item x="2212"/>
        <item x="218"/>
        <item x="659"/>
        <item x="2794"/>
        <item x="3959"/>
        <item x="1028"/>
        <item x="2945"/>
        <item x="3728"/>
        <item x="1906"/>
        <item x="2555"/>
        <item x="3453"/>
        <item x="732"/>
        <item x="1637"/>
        <item x="2012"/>
        <item x="2712"/>
        <item x="1567"/>
        <item x="2178"/>
        <item x="1464"/>
        <item x="3543"/>
        <item x="589"/>
        <item x="3073"/>
        <item x="2493"/>
        <item x="363"/>
        <item x="4325"/>
        <item x="3119"/>
        <item x="2123"/>
        <item x="3691"/>
        <item x="1845"/>
        <item x="623"/>
        <item x="3947"/>
        <item x="1067"/>
        <item x="2627"/>
        <item x="2934"/>
        <item x="4176"/>
        <item x="3387"/>
        <item x="3961"/>
        <item x="3978"/>
        <item x="719"/>
        <item x="1589"/>
        <item x="1864"/>
        <item x="3420"/>
        <item x="4408"/>
        <item x="2743"/>
        <item x="2480"/>
        <item x="1807"/>
        <item x="380"/>
        <item x="1395"/>
        <item x="4347"/>
        <item x="1187"/>
        <item x="232"/>
        <item x="3291"/>
        <item x="4105"/>
        <item x="4038"/>
        <item x="3624"/>
        <item x="1747"/>
        <item x="3615"/>
        <item x="418"/>
        <item x="537"/>
        <item x="1130"/>
        <item x="2547"/>
        <item x="3269"/>
        <item x="3128"/>
        <item x="423"/>
        <item x="991"/>
        <item x="723"/>
        <item x="1921"/>
        <item x="2808"/>
        <item x="482"/>
        <item x="1414"/>
        <item x="2185"/>
        <item x="1101"/>
        <item x="676"/>
        <item x="7"/>
        <item x="1711"/>
        <item x="2559"/>
        <item x="215"/>
        <item x="2283"/>
        <item x="3389"/>
        <item x="1914"/>
        <item x="3913"/>
        <item x="1147"/>
        <item x="2430"/>
        <item x="4213"/>
        <item x="579"/>
        <item x="3266"/>
        <item x="2045"/>
        <item x="377"/>
        <item x="2939"/>
        <item x="635"/>
        <item x="3242"/>
        <item x="1383"/>
        <item x="73"/>
        <item x="1136"/>
        <item x="2522"/>
        <item x="3204"/>
        <item x="2973"/>
        <item x="803"/>
        <item x="519"/>
        <item x="2597"/>
        <item x="777"/>
        <item x="4043"/>
        <item x="2699"/>
        <item x="1751"/>
        <item x="3851"/>
        <item x="2434"/>
        <item x="1768"/>
        <item x="770"/>
        <item x="287"/>
        <item x="472"/>
        <item x="2189"/>
        <item x="1545"/>
        <item x="384"/>
        <item x="552"/>
        <item x="1194"/>
        <item x="369"/>
        <item x="1627"/>
        <item x="791"/>
        <item x="1043"/>
        <item x="2427"/>
        <item x="3328"/>
        <item x="3873"/>
        <item x="2254"/>
        <item x="2587"/>
        <item x="3662"/>
        <item x="1411"/>
        <item x="3305"/>
        <item x="850"/>
        <item x="1390"/>
        <item x="1262"/>
        <item x="1841"/>
        <item x="4189"/>
        <item x="129"/>
        <item x="1198"/>
        <item x="89"/>
        <item x="4070"/>
        <item x="3403"/>
        <item x="1063"/>
        <item x="3239"/>
        <item x="2410"/>
        <item x="483"/>
        <item x="2395"/>
        <item x="3450"/>
        <item x="2874"/>
        <item x="712"/>
        <item x="4135"/>
        <item x="4268"/>
        <item x="2368"/>
        <item x="3954"/>
        <item x="3700"/>
        <item x="1299"/>
        <item x="3185"/>
        <item x="790"/>
        <item x="3039"/>
        <item x="1329"/>
        <item x="2786"/>
        <item x="2624"/>
        <item x="3250"/>
        <item x="4305"/>
        <item x="3231"/>
        <item x="2286"/>
        <item x="1698"/>
        <item x="1616"/>
        <item x="3539"/>
        <item x="1596"/>
        <item x="4358"/>
        <item x="652"/>
        <item x="800"/>
        <item x="912"/>
        <item x="2925"/>
        <item x="1856"/>
        <item x="4122"/>
        <item x="4237"/>
        <item x="2110"/>
        <item x="180"/>
        <item x="1328"/>
        <item x="3368"/>
        <item x="2926"/>
        <item x="3142"/>
        <item x="4011"/>
        <item x="1220"/>
        <item x="1128"/>
        <item x="3975"/>
        <item x="518"/>
        <item x="841"/>
        <item x="4280"/>
        <item x="2192"/>
        <item x="2584"/>
        <item x="2550"/>
        <item x="545"/>
        <item x="532"/>
        <item x="1504"/>
        <item x="593"/>
        <item x="4"/>
        <item x="4275"/>
        <item x="3223"/>
        <item x="3422"/>
        <item x="565"/>
        <item x="225"/>
        <item x="1470"/>
        <item x="1979"/>
        <item x="1540"/>
        <item x="4069"/>
        <item x="2992"/>
        <item x="1023"/>
        <item x="4287"/>
        <item x="757"/>
        <item x="1954"/>
        <item x="411"/>
        <item x="671"/>
        <item x="3218"/>
        <item x="630"/>
        <item x="1436"/>
        <item x="4252"/>
        <item x="1066"/>
        <item x="1039"/>
        <item x="2778"/>
        <item x="1053"/>
        <item x="3230"/>
        <item x="658"/>
        <item x="3514"/>
        <item x="662"/>
        <item x="3274"/>
        <item x="1267"/>
        <item x="1620"/>
        <item x="1575"/>
        <item x="759"/>
        <item x="3103"/>
        <item x="1679"/>
        <item x="3493"/>
        <item x="3878"/>
        <item x="511"/>
        <item x="3824"/>
        <item x="3597"/>
        <item x="100"/>
        <item x="611"/>
        <item x="3068"/>
        <item x="4319"/>
        <item x="1746"/>
        <item x="4063"/>
        <item x="903"/>
        <item x="1498"/>
        <item x="1499"/>
        <item x="2037"/>
        <item x="355"/>
        <item x="2741"/>
        <item x="2689"/>
        <item x="236"/>
        <item x="2016"/>
        <item x="192"/>
        <item x="4368"/>
        <item x="1115"/>
        <item x="2150"/>
        <item x="2554"/>
        <item x="999"/>
        <item x="333"/>
        <item x="3713"/>
        <item x="2334"/>
        <item x="2032"/>
        <item x="3801"/>
        <item x="2558"/>
        <item x="3205"/>
        <item x="3788"/>
        <item x="205"/>
        <item x="14"/>
        <item x="3770"/>
        <item x="553"/>
        <item x="1764"/>
        <item x="3523"/>
        <item x="758"/>
        <item x="3030"/>
        <item x="703"/>
        <item x="3668"/>
        <item x="173"/>
        <item x="1726"/>
        <item x="1422"/>
        <item x="3944"/>
        <item x="3084"/>
        <item x="1362"/>
        <item x="4373"/>
        <item x="346"/>
        <item x="1250"/>
        <item x="3791"/>
        <item x="2328"/>
        <item x="2051"/>
        <item x="3724"/>
        <item x="1407"/>
        <item x="3899"/>
        <item x="3850"/>
        <item x="1554"/>
        <item x="1790"/>
        <item x="495"/>
        <item x="2762"/>
        <item x="580"/>
        <item x="2374"/>
        <item x="3582"/>
        <item x="3854"/>
        <item x="1161"/>
        <item x="645"/>
        <item x="3050"/>
        <item x="1984"/>
        <item x="2566"/>
        <item x="4456"/>
        <item x="3210"/>
        <item x="980"/>
        <item x="1850"/>
        <item x="684"/>
        <item x="2525"/>
        <item x="1673"/>
        <item x="3656"/>
        <item x="1264"/>
        <item x="1762"/>
        <item x="785"/>
        <item x="254"/>
        <item x="463"/>
        <item x="1870"/>
        <item x="288"/>
        <item x="572"/>
        <item x="1279"/>
        <item x="123"/>
        <item x="1993"/>
        <item x="2074"/>
        <item x="1849"/>
        <item x="448"/>
        <item x="4302"/>
        <item x="1622"/>
        <item x="1742"/>
        <item x="3630"/>
        <item x="2039"/>
        <item x="2641"/>
        <item x="319"/>
        <item x="3421"/>
        <item x="2998"/>
        <item x="4255"/>
        <item x="3663"/>
        <item x="1860"/>
        <item x="3334"/>
        <item x="981"/>
        <item x="527"/>
        <item x="1292"/>
        <item x="3876"/>
        <item x="2291"/>
        <item x="3465"/>
        <item x="1916"/>
        <item x="3083"/>
        <item x="1977"/>
        <item x="3209"/>
        <item x="1022"/>
        <item x="1368"/>
        <item x="4085"/>
        <item x="4426"/>
        <item x="4284"/>
        <item x="2503"/>
        <item x="3319"/>
        <item x="4013"/>
        <item x="2079"/>
        <item x="2947"/>
        <item x="3238"/>
        <item x="62"/>
        <item x="4263"/>
        <item x="3918"/>
        <item x="1385"/>
        <item x="40"/>
        <item x="3941"/>
        <item x="4362"/>
        <item x="4125"/>
        <item x="4335"/>
        <item x="1500"/>
        <item x="1420"/>
        <item x="2906"/>
        <item x="2921"/>
        <item x="4081"/>
        <item x="1281"/>
        <item x="416"/>
        <item x="1920"/>
        <item x="1393"/>
        <item x="2700"/>
        <item x="3853"/>
        <item x="3023"/>
        <item x="278"/>
        <item x="3811"/>
        <item x="1706"/>
        <item x="125"/>
        <item x="2305"/>
        <item x="3430"/>
        <item x="2495"/>
        <item x="3746"/>
        <item x="4008"/>
        <item x="2486"/>
        <item x="1615"/>
        <item x="1804"/>
        <item x="2994"/>
        <item x="2162"/>
        <item x="958"/>
        <item x="2749"/>
        <item x="1099"/>
        <item x="1097"/>
        <item x="2775"/>
        <item x="4062"/>
        <item x="1017"/>
        <item x="2613"/>
        <item x="285"/>
        <item x="621"/>
        <item x="70"/>
        <item x="80"/>
        <item x="2647"/>
        <item x="269"/>
        <item x="2165"/>
        <item x="617"/>
        <item x="4214"/>
        <item x="60"/>
        <item x="2825"/>
        <item x="1693"/>
        <item x="493"/>
        <item x="3707"/>
        <item x="2710"/>
        <item x="2969"/>
        <item x="1927"/>
        <item x="1440"/>
        <item x="4127"/>
        <item x="2166"/>
        <item x="3196"/>
        <item x="3519"/>
        <item x="56"/>
        <item x="705"/>
        <item x="3515"/>
        <item x="4212"/>
        <item x="4171"/>
        <item x="2221"/>
        <item x="2642"/>
        <item x="1160"/>
        <item x="661"/>
        <item x="2216"/>
        <item x="1211"/>
        <item x="3983"/>
        <item x="4010"/>
        <item x="4204"/>
        <item x="3143"/>
        <item x="3197"/>
        <item x="3283"/>
        <item x="2404"/>
        <item x="291"/>
        <item x="3721"/>
        <item x="2764"/>
        <item x="1763"/>
        <item x="1145"/>
        <item x="694"/>
        <item x="1127"/>
        <item x="157"/>
        <item x="637"/>
        <item x="4402"/>
        <item x="1150"/>
        <item x="4006"/>
        <item x="4064"/>
        <item x="4414"/>
        <item x="3544"/>
        <item x="534"/>
        <item x="3258"/>
        <item x="948"/>
        <item x="1448"/>
        <item x="2957"/>
        <item x="3434"/>
        <item x="516"/>
        <item x="2408"/>
        <item x="590"/>
        <item x="894"/>
        <item x="2215"/>
        <item x="612"/>
        <item x="3897"/>
        <item x="1813"/>
        <item x="3293"/>
        <item x="3817"/>
        <item x="2127"/>
        <item x="2249"/>
        <item x="4074"/>
        <item x="2531"/>
        <item x="2536"/>
        <item x="3645"/>
        <item x="1096"/>
        <item x="660"/>
        <item x="3584"/>
        <item x="3454"/>
        <item x="1060"/>
        <item x="4101"/>
        <item x="419"/>
        <item x="170"/>
        <item x="3803"/>
        <item x="1687"/>
        <item x="4262"/>
        <item x="700"/>
        <item x="3507"/>
        <item x="2930"/>
        <item x="952"/>
        <item x="2211"/>
        <item x="3294"/>
        <item x="1129"/>
        <item x="2349"/>
        <item x="1248"/>
        <item x="1782"/>
        <item x="863"/>
        <item x="1527"/>
        <item x="1830"/>
        <item x="1408"/>
        <item x="2868"/>
        <item x="1466"/>
        <item x="1598"/>
        <item x="4137"/>
        <item x="2908"/>
        <item x="2373"/>
        <item x="4115"/>
        <item x="3189"/>
        <item x="2026"/>
        <item x="138"/>
        <item x="2205"/>
        <item x="3904"/>
        <item x="1709"/>
        <item x="3629"/>
        <item x="2005"/>
        <item x="71"/>
        <item x="3186"/>
        <item x="3370"/>
        <item x="2989"/>
        <item x="856"/>
        <item x="3171"/>
        <item x="570"/>
        <item x="2324"/>
        <item x="1531"/>
        <item x="932"/>
        <item x="3174"/>
        <item x="554"/>
        <item x="2839"/>
        <item x="2875"/>
        <item x="2009"/>
        <item x="1899"/>
        <item x="1945"/>
        <item x="1207"/>
        <item x="4282"/>
        <item x="3527"/>
        <item x="699"/>
        <item x="2962"/>
        <item x="2459"/>
        <item x="2871"/>
        <item x="2377"/>
        <item x="1735"/>
        <item x="3123"/>
        <item x="995"/>
        <item x="2257"/>
        <item x="2940"/>
        <item x="3126"/>
        <item x="4108"/>
        <item x="1234"/>
        <item x="1235"/>
        <item x="4318"/>
        <item x="3114"/>
        <item x="2105"/>
        <item x="167"/>
        <item x="4417"/>
        <item x="1304"/>
        <item x="2739"/>
        <item x="3657"/>
        <item x="2707"/>
        <item x="488"/>
        <item x="2201"/>
        <item x="2879"/>
        <item x="3016"/>
        <item x="628"/>
        <item x="3684"/>
        <item x="313"/>
        <item x="3784"/>
        <item x="3013"/>
        <item x="2676"/>
        <item x="252"/>
        <item x="3601"/>
        <item x="131"/>
        <item x="3585"/>
        <item x="4109"/>
        <item x="219"/>
        <item x="3631"/>
        <item x="4334"/>
        <item x="911"/>
        <item x="1140"/>
        <item x="1334"/>
        <item x="4112"/>
        <item x="3950"/>
        <item x="955"/>
        <item x="3212"/>
        <item x="501"/>
        <item x="724"/>
        <item x="3711"/>
        <item x="4153"/>
        <item x="2956"/>
        <item x="2317"/>
        <item x="357"/>
        <item x="3355"/>
        <item x="1533"/>
        <item x="4206"/>
        <item x="2172"/>
        <item x="3310"/>
        <item x="452"/>
        <item x="1820"/>
        <item x="2899"/>
        <item x="1268"/>
        <item x="1289"/>
        <item x="3190"/>
        <item x="1756"/>
        <item x="615"/>
        <item x="3841"/>
        <item x="1705"/>
        <item x="1697"/>
        <item x="704"/>
        <item x="2655"/>
        <item x="4324"/>
        <item x="1024"/>
        <item x="1201"/>
        <item x="3804"/>
        <item x="2309"/>
        <item x="1212"/>
        <item x="3495"/>
        <item x="508"/>
        <item x="3086"/>
        <item x="1512"/>
        <item x="1792"/>
        <item x="240"/>
        <item x="3968"/>
        <item x="4052"/>
        <item x="69"/>
        <item x="4265"/>
        <item x="2822"/>
        <item x="1480"/>
        <item x="3160"/>
        <item x="2451"/>
        <item x="507"/>
        <item x="3517"/>
        <item x="1913"/>
        <item x="1031"/>
        <item x="1020"/>
        <item x="1897"/>
        <item x="1946"/>
        <item x="4147"/>
        <item x="2469"/>
        <item x="1976"/>
        <item x="683"/>
        <item x="1669"/>
        <item x="1550"/>
        <item x="3362"/>
        <item x="4274"/>
        <item x="201"/>
        <item x="34"/>
        <item x="1492"/>
        <item x="3433"/>
        <item x="335"/>
        <item x="796"/>
        <item x="4458"/>
        <item x="3669"/>
        <item x="2501"/>
        <item x="2766"/>
        <item x="3881"/>
        <item x="4283"/>
        <item x="2663"/>
        <item x="2042"/>
        <item x="4002"/>
        <item x="1219"/>
        <item x="2002"/>
        <item x="1177"/>
        <item x="3096"/>
        <item x="1604"/>
        <item x="3307"/>
        <item x="569"/>
        <item x="3667"/>
        <item x="816"/>
        <item x="599"/>
        <item x="3435"/>
        <item x="3714"/>
        <item x="3361"/>
        <item x="1026"/>
        <item x="3980"/>
        <item x="97"/>
        <item x="2335"/>
        <item x="4223"/>
        <item x="2440"/>
        <item x="1944"/>
        <item x="3695"/>
        <item x="1391"/>
        <item x="4475"/>
        <item x="221"/>
        <item x="3810"/>
        <item x="1277"/>
        <item x="23"/>
        <item x="4140"/>
        <item x="3109"/>
        <item x="1866"/>
        <item x="258"/>
        <item x="145"/>
        <item x="4454"/>
        <item x="3466"/>
        <item x="2735"/>
        <item x="3985"/>
        <item x="2659"/>
        <item x="3689"/>
        <item x="4207"/>
        <item x="2397"/>
        <item x="2222"/>
        <item x="710"/>
        <item x="1239"/>
        <item x="2927"/>
        <item x="4418"/>
        <item x="3228"/>
        <item x="1817"/>
        <item x="1164"/>
        <item x="4289"/>
        <item x="2932"/>
        <item x="3641"/>
        <item x="1734"/>
        <item x="3282"/>
        <item x="264"/>
        <item x="490"/>
        <item x="3622"/>
        <item x="2141"/>
        <item x="1337"/>
        <item x="3106"/>
        <item x="2224"/>
        <item x="535"/>
        <item x="2304"/>
        <item x="763"/>
        <item x="749"/>
        <item x="4333"/>
        <item x="3952"/>
        <item x="4090"/>
        <item x="3339"/>
        <item x="3494"/>
        <item x="3761"/>
        <item x="3246"/>
        <item x="1760"/>
        <item x="2789"/>
        <item x="2500"/>
        <item x="3407"/>
        <item x="2878"/>
        <item x="1662"/>
        <item x="4403"/>
        <item x="1761"/>
        <item x="860"/>
        <item x="2389"/>
        <item x="3996"/>
        <item x="2519"/>
        <item x="3338"/>
        <item x="606"/>
        <item x="631"/>
        <item x="3020"/>
        <item x="1206"/>
        <item x="2603"/>
        <item x="1638"/>
        <item x="2022"/>
        <item x="3577"/>
        <item x="1833"/>
        <item x="3051"/>
        <item x="1892"/>
        <item x="1503"/>
        <item x="2770"/>
        <item x="184"/>
        <item x="3286"/>
        <item x="2450"/>
        <item x="1419"/>
        <item x="2483"/>
        <item x="126"/>
        <item x="625"/>
        <item x="1720"/>
        <item x="2884"/>
        <item x="3365"/>
        <item x="1828"/>
        <item x="121"/>
        <item x="163"/>
        <item x="183"/>
        <item x="1033"/>
        <item x="4461"/>
        <item x="1349"/>
        <item x="2477"/>
        <item x="2843"/>
        <item x="3391"/>
        <item x="2959"/>
        <item x="4420"/>
        <item x="2239"/>
        <item x="2024"/>
        <item x="3122"/>
        <item x="714"/>
        <item x="3327"/>
        <item x="4432"/>
        <item x="3670"/>
        <item x="934"/>
        <item x="1988"/>
        <item x="970"/>
        <item x="1898"/>
        <item x="2298"/>
        <item x="1490"/>
        <item x="2326"/>
        <item x="1915"/>
        <item x="1774"/>
        <item x="3481"/>
        <item x="1928"/>
        <item x="281"/>
        <item x="3967"/>
        <item x="1829"/>
        <item x="2988"/>
        <item x="2883"/>
        <item x="939"/>
        <item x="275"/>
        <item x="1224"/>
        <item x="3268"/>
        <item x="1007"/>
        <item x="3505"/>
        <item x="315"/>
        <item x="279"/>
        <item x="2733"/>
        <item x="771"/>
        <item x="3353"/>
        <item x="4467"/>
        <item x="190"/>
        <item x="3120"/>
        <item x="1495"/>
        <item x="1404"/>
        <item x="1517"/>
        <item x="3054"/>
        <item x="206"/>
        <item x="1832"/>
        <item x="2258"/>
        <item x="2193"/>
        <item x="2180"/>
        <item x="427"/>
        <item x="3781"/>
        <item x="928"/>
        <item x="4388"/>
        <item x="2734"/>
        <item x="2347"/>
        <item x="4158"/>
        <item x="2423"/>
        <item x="2320"/>
        <item x="1676"/>
        <item x="1459"/>
        <item x="4439"/>
        <item x="4330"/>
        <item x="280"/>
        <item x="525"/>
        <item x="1640"/>
        <item x="4292"/>
        <item x="4350"/>
        <item x="2365"/>
        <item x="2194"/>
        <item x="619"/>
        <item x="3078"/>
        <item x="986"/>
        <item x="239"/>
        <item x="3215"/>
        <item x="614"/>
        <item x="944"/>
        <item x="322"/>
        <item x="2122"/>
        <item x="1587"/>
        <item x="217"/>
        <item x="4363"/>
        <item x="1293"/>
        <item x="2366"/>
        <item x="966"/>
        <item x="2068"/>
        <item x="3017"/>
        <item x="698"/>
        <item x="1421"/>
        <item x="4382"/>
        <item x="98"/>
        <item x="3726"/>
        <item x="2924"/>
        <item x="2681"/>
        <item x="1819"/>
        <item x="2409"/>
        <item x="4354"/>
        <item x="481"/>
        <item x="541"/>
        <item x="3097"/>
        <item x="3628"/>
        <item x="2243"/>
        <item x="4032"/>
        <item x="3158"/>
        <item x="604"/>
        <item x="3166"/>
        <item x="443"/>
        <item x="2919"/>
        <item x="1757"/>
        <item x="169"/>
        <item x="1276"/>
        <item x="1003"/>
        <item x="506"/>
        <item x="3426"/>
        <item x="1861"/>
        <item x="906"/>
        <item x="360"/>
        <item x="3049"/>
        <item x="2132"/>
        <item x="1890"/>
        <item x="2113"/>
        <item x="1218"/>
        <item x="775"/>
        <item x="2102"/>
        <item x="4353"/>
        <item x="3063"/>
        <item x="1118"/>
        <item x="3038"/>
        <item x="212"/>
        <item x="4469"/>
        <item x="1055"/>
        <item x="2253"/>
        <item x="2518"/>
        <item x="2238"/>
        <item x="467"/>
        <item x="2542"/>
        <item x="3037"/>
        <item x="2346"/>
        <item x="4369"/>
        <item x="920"/>
        <item x="2742"/>
        <item x="1961"/>
        <item x="708"/>
        <item x="1631"/>
        <item x="3846"/>
        <item x="4298"/>
        <item x="1985"/>
        <item x="4236"/>
        <item x="1701"/>
        <item x="4100"/>
        <item x="3357"/>
        <item x="3070"/>
        <item x="476"/>
        <item x="2403"/>
        <item x="1471"/>
        <item x="736"/>
        <item x="1251"/>
        <item x="1119"/>
        <item x="2711"/>
        <item x="1770"/>
        <item x="3138"/>
        <item x="2386"/>
        <item x="4441"/>
        <item x="2179"/>
        <item x="607"/>
        <item x="2581"/>
        <item x="3232"/>
        <item x="3859"/>
        <item x="566"/>
        <item x="596"/>
        <item x="1327"/>
        <item x="430"/>
        <item x="4119"/>
        <item x="2285"/>
        <item x="1305"/>
        <item x="3012"/>
        <item x="3107"/>
        <item x="4297"/>
        <item x="1808"/>
        <item x="1004"/>
        <item x="3525"/>
        <item x="2835"/>
        <item x="2442"/>
        <item x="809"/>
        <item x="2157"/>
        <item x="4267"/>
        <item x="2701"/>
        <item x="4138"/>
        <item x="3229"/>
        <item x="388"/>
        <item x="4087"/>
        <item x="2489"/>
        <item x="103"/>
        <item x="2618"/>
        <item x="3735"/>
        <item x="1134"/>
        <item x="3047"/>
        <item x="1059"/>
        <item x="1862"/>
        <item x="130"/>
        <item x="2352"/>
        <item x="2049"/>
        <item x="79"/>
        <item x="1009"/>
        <item x="3061"/>
        <item x="420"/>
        <item x="2065"/>
        <item x="2256"/>
        <item x="2556"/>
        <item x="2598"/>
        <item x="4291"/>
        <item x="165"/>
        <item x="3318"/>
        <item x="1294"/>
        <item x="4128"/>
        <item x="4460"/>
        <item x="2319"/>
        <item x="1142"/>
        <item x="1313"/>
        <item x="99"/>
        <item x="4375"/>
        <item x="124"/>
        <item x="575"/>
        <item x="1048"/>
        <item x="2961"/>
        <item x="1016"/>
        <item x="1721"/>
        <item x="1904"/>
        <item x="2262"/>
        <item x="3113"/>
        <item x="4142"/>
        <item x="4293"/>
        <item x="2960"/>
        <item x="3198"/>
        <item x="2428"/>
        <item x="964"/>
        <item x="1151"/>
        <item x="2318"/>
        <item x="1454"/>
        <item x="618"/>
        <item x="3309"/>
        <item x="3940"/>
        <item x="2067"/>
        <item x="773"/>
        <item x="3443"/>
        <item x="2937"/>
        <item x="4245"/>
        <item x="1452"/>
        <item x="4103"/>
        <item x="3753"/>
        <item x="3712"/>
        <item x="445"/>
        <item x="2229"/>
        <item x="4243"/>
        <item x="1577"/>
        <item x="2412"/>
        <item x="297"/>
        <item x="584"/>
        <item x="2706"/>
        <item x="4359"/>
        <item x="2617"/>
        <item x="4447"/>
        <item x="2053"/>
        <item x="4380"/>
        <item x="818"/>
        <item x="1600"/>
        <item x="2061"/>
        <item x="2130"/>
        <item x="715"/>
        <item x="3323"/>
        <item x="1991"/>
        <item x="1252"/>
        <item x="2576"/>
        <item x="4229"/>
        <item x="2003"/>
        <item x="822"/>
        <item x="3567"/>
        <item x="3367"/>
        <item x="1497"/>
        <item x="936"/>
        <item x="557"/>
        <item x="3984"/>
        <item x="2991"/>
        <item x="1971"/>
        <item x="336"/>
        <item x="1075"/>
        <item x="4437"/>
        <item x="2866"/>
        <item x="1882"/>
        <item x="1663"/>
        <item x="3164"/>
        <item x="1348"/>
        <item x="1755"/>
        <item x="4078"/>
        <item x="316"/>
        <item x="2512"/>
        <item x="3483"/>
        <item x="4035"/>
        <item x="1924"/>
        <item x="2293"/>
        <item x="2931"/>
        <item x="4180"/>
        <item x="4320"/>
        <item x="4202"/>
        <item x="4190"/>
        <item x="3170"/>
        <item x="815"/>
        <item x="4327"/>
        <item x="2036"/>
        <item x="4470"/>
        <item x="3545"/>
        <item x="1087"/>
        <item x="1713"/>
        <item x="3296"/>
        <item x="2242"/>
        <item x="3578"/>
        <item x="3787"/>
        <item x="2814"/>
        <item x="2795"/>
        <item x="3352"/>
        <item x="929"/>
        <item x="2393"/>
        <item x="665"/>
        <item x="3475"/>
        <item x="2580"/>
        <item x="3035"/>
        <item x="1283"/>
        <item x="176"/>
        <item x="210"/>
        <item x="96"/>
        <item x="1541"/>
        <item x="1858"/>
        <item x="1719"/>
        <item x="3653"/>
        <item x="808"/>
        <item x="4156"/>
        <item x="1523"/>
        <item x="3386"/>
        <item x="368"/>
        <item x="4241"/>
        <item x="3480"/>
        <item x="468"/>
        <item x="1172"/>
        <item x="1822"/>
        <item x="2763"/>
        <item x="367"/>
        <item x="3988"/>
        <item x="1749"/>
        <item x="821"/>
        <item x="3509"/>
        <item x="81"/>
        <item x="2402"/>
        <item x="3895"/>
        <item x="2281"/>
        <item x="1588"/>
        <item x="3329"/>
        <item x="2129"/>
        <item x="2596"/>
        <item x="1827"/>
        <item x="1342"/>
        <item x="3442"/>
        <item x="1236"/>
        <item x="1878"/>
        <item x="2226"/>
        <item x="2630"/>
        <item x="3006"/>
        <item x="1752"/>
        <item x="1179"/>
        <item x="4332"/>
        <item x="539"/>
        <item x="4096"/>
        <item x="834"/>
        <item x="341"/>
        <item x="3623"/>
        <item x="2"/>
        <item x="523"/>
        <item x="3848"/>
        <item x="2272"/>
        <item x="4395"/>
        <item x="531"/>
        <item x="451"/>
        <item x="4405"/>
        <item x="4232"/>
        <item x="2090"/>
        <item x="678"/>
        <item x="3303"/>
        <item x="3821"/>
        <item x="2951"/>
        <item x="1323"/>
        <item x="77"/>
        <item x="4390"/>
        <item x="2914"/>
        <item x="2877"/>
        <item x="935"/>
        <item x="2117"/>
        <item x="3249"/>
        <item x="1779"/>
        <item x="2551"/>
        <item x="3264"/>
        <item x="3090"/>
        <item x="3608"/>
        <item x="542"/>
        <item x="957"/>
        <item x="139"/>
        <item x="3757"/>
        <item x="4061"/>
        <item x="1356"/>
        <item x="284"/>
        <item x="3796"/>
        <item x="399"/>
        <item x="1453"/>
        <item x="2060"/>
        <item x="3141"/>
        <item x="1433"/>
        <item x="2592"/>
        <item x="2907"/>
        <item x="1539"/>
        <item x="3606"/>
        <item x="741"/>
        <item x="3763"/>
        <item x="1462"/>
        <item x="2530"/>
        <item x="2240"/>
        <item x="1929"/>
        <item x="3834"/>
        <item x="1344"/>
        <item x="1062"/>
        <item x="3963"/>
        <item x="396"/>
        <item x="4328"/>
        <item x="1111"/>
        <item x="3872"/>
        <item x="1887"/>
        <item x="3767"/>
        <item x="2802"/>
        <item x="734"/>
        <item x="51"/>
        <item x="2658"/>
        <item x="726"/>
        <item x="560"/>
        <item x="2800"/>
        <item x="3092"/>
        <item x="2679"/>
        <item x="3001"/>
        <item x="512"/>
        <item x="2028"/>
        <item x="235"/>
        <item x="2606"/>
        <item x="1266"/>
        <item x="3057"/>
        <item x="3652"/>
        <item x="1821"/>
        <item x="4050"/>
        <item x="830"/>
        <item x="2218"/>
        <item x="1183"/>
        <item x="3484"/>
        <item x="1193"/>
        <item x="879"/>
        <item x="3976"/>
        <item x="2943"/>
        <item x="666"/>
        <item x="3245"/>
        <item x="1339"/>
        <item x="2560"/>
        <item x="1692"/>
        <item x="3021"/>
        <item x="4201"/>
        <item x="689"/>
        <item x="1649"/>
        <item x="2487"/>
        <item x="3154"/>
        <item x="3240"/>
        <item x="787"/>
        <item x="916"/>
        <item x="4352"/>
        <item x="2684"/>
        <item x="1047"/>
        <item x="2756"/>
        <item x="743"/>
        <item x="3033"/>
        <item x="1997"/>
        <item x="4427"/>
        <item x="489"/>
        <item x="1476"/>
        <item x="1132"/>
        <item x="2337"/>
        <item x="1888"/>
        <item x="2870"/>
        <item x="127"/>
        <item x="3739"/>
        <item x="3278"/>
        <item x="3168"/>
        <item x="4134"/>
        <item x="2929"/>
        <item x="2634"/>
        <item x="898"/>
        <item x="1999"/>
        <item x="2378"/>
        <item x="1144"/>
        <item x="2755"/>
        <item x="3259"/>
        <item x="1485"/>
        <item x="237"/>
        <item x="2010"/>
        <item x="2671"/>
        <item x="2672"/>
        <item x="2771"/>
        <item x="697"/>
        <item x="2612"/>
        <item x="1699"/>
        <item x="410"/>
        <item x="2747"/>
        <item x="2206"/>
        <item x="3260"/>
        <item x="383"/>
        <item x="1084"/>
        <item x="2411"/>
        <item x="312"/>
        <item x="1836"/>
        <item x="1957"/>
        <item x="1874"/>
        <item x="2089"/>
        <item x="2282"/>
        <item x="2342"/>
        <item x="2865"/>
        <item x="2832"/>
        <item x="2965"/>
        <item x="2250"/>
        <item x="2294"/>
        <item x="296"/>
        <item x="3553"/>
        <item x="4144"/>
        <item x="2023"/>
        <item x="804"/>
        <item x="4455"/>
        <item x="277"/>
        <item x="2199"/>
        <item x="3448"/>
        <item x="1203"/>
        <item x="222"/>
        <item x="3635"/>
        <item x="1306"/>
        <item x="2379"/>
        <item x="4097"/>
        <item x="4227"/>
        <item x="4104"/>
        <item x="1426"/>
        <item x="1333"/>
        <item x="693"/>
        <item x="1139"/>
        <item x="1166"/>
        <item x="3490"/>
        <item x="3748"/>
        <item x="973"/>
        <item x="833"/>
        <item x="3181"/>
        <item x="1290"/>
        <item x="2228"/>
        <item x="226"/>
        <item x="3217"/>
        <item x="4193"/>
        <item x="2292"/>
        <item x="2247"/>
        <item x="4143"/>
        <item x="2669"/>
        <item x="4278"/>
        <item x="3273"/>
        <item x="1996"/>
        <item x="2837"/>
        <item x="3658"/>
        <item x="1021"/>
        <item x="3397"/>
        <item x="3636"/>
        <item x="840"/>
        <item x="3885"/>
        <item x="4231"/>
        <item x="3324"/>
        <item x="2109"/>
        <item x="3029"/>
        <item x="1974"/>
        <item x="4345"/>
        <item x="1064"/>
        <item x="1859"/>
        <item x="1712"/>
        <item x="1960"/>
        <item x="1108"/>
        <item x="3571"/>
        <item x="2101"/>
        <item x="4067"/>
        <item x="620"/>
        <item x="4220"/>
        <item x="2625"/>
        <item x="1438"/>
        <item x="3202"/>
        <item x="33"/>
        <item x="2602"/>
        <item x="3124"/>
        <item x="4173"/>
        <item x="3587"/>
        <item x="4409"/>
        <item x="1242"/>
        <item x="1401"/>
        <item x="3778"/>
        <item x="1258"/>
        <item x="188"/>
        <item x="1347"/>
        <item x="3754"/>
        <item x="2284"/>
        <item x="2035"/>
        <item x="1137"/>
        <item x="30"/>
        <item x="835"/>
        <item x="663"/>
        <item x="3180"/>
        <item x="2855"/>
        <item x="317"/>
        <item x="3869"/>
        <item x="1188"/>
        <item x="3311"/>
        <item x="3625"/>
        <item x="959"/>
        <item x="1061"/>
        <item x="4233"/>
        <item x="2976"/>
        <item x="4331"/>
        <item x="2544"/>
        <item x="2191"/>
        <item x="915"/>
        <item x="2640"/>
        <item x="706"/>
        <item x="4478"/>
        <item x="1478"/>
        <item x="2338"/>
        <item x="2571"/>
        <item x="3774"/>
        <item x="371"/>
        <item x="4244"/>
        <item x="238"/>
        <item x="2407"/>
        <item x="3562"/>
        <item x="4088"/>
        <item x="3997"/>
        <item x="2146"/>
        <item x="1190"/>
        <item x="993"/>
        <item x="3907"/>
        <item x="2757"/>
        <item x="3928"/>
        <item x="1595"/>
        <item x="3572"/>
        <item x="1505"/>
        <item x="1475"/>
        <item x="1812"/>
        <item x="1702"/>
        <item x="3830"/>
        <item x="309"/>
        <item x="2040"/>
        <item x="1799"/>
        <item x="3989"/>
        <item x="1816"/>
        <item x="3938"/>
        <item x="2344"/>
        <item x="2608"/>
        <item x="3306"/>
        <item x="779"/>
        <item x="93"/>
        <item x="2030"/>
        <item x="581"/>
        <item x="3762"/>
        <item x="848"/>
        <item x="2033"/>
        <item x="536"/>
        <item x="3187"/>
        <item x="3473"/>
        <item x="4311"/>
        <item x="1642"/>
        <item x="2513"/>
        <item x="4453"/>
        <item x="3937"/>
        <item x="761"/>
        <item x="2746"/>
        <item x="1773"/>
        <item x="2626"/>
        <item x="842"/>
        <item x="4485"/>
        <item x="1444"/>
        <item x="455"/>
        <item x="3393"/>
        <item x="2980"/>
        <item x="3003"/>
        <item x="3116"/>
        <item x="3315"/>
        <item x="2780"/>
        <item x="3335"/>
        <item x="778"/>
        <item x="1585"/>
        <item x="1652"/>
        <item x="1788"/>
        <item x="1635"/>
        <item x="9"/>
        <item x="1805"/>
        <item x="4428"/>
        <item x="1696"/>
        <item x="3243"/>
        <item x="207"/>
        <item x="3500"/>
        <item x="947"/>
        <item x="1811"/>
        <item x="3429"/>
        <item x="1232"/>
        <item x="1397"/>
        <item x="937"/>
        <item x="3536"/>
        <item x="4126"/>
        <item x="3855"/>
        <item x="276"/>
        <item x="1647"/>
        <item x="4374"/>
        <item x="1270"/>
        <item x="462"/>
        <item x="3193"/>
        <item x="3939"/>
        <item x="1413"/>
        <item x="2543"/>
        <item x="4047"/>
        <item x="3304"/>
        <item x="3414"/>
        <item x="3445"/>
        <item x="3011"/>
        <item x="2862"/>
        <item x="1972"/>
        <item x="2773"/>
        <item x="1970"/>
        <item x="3117"/>
        <item x="1192"/>
        <item x="3343"/>
        <item x="3574"/>
        <item x="247"/>
        <item x="810"/>
        <item x="2460"/>
        <item x="2173"/>
        <item x="102"/>
        <item x="3725"/>
        <item x="3994"/>
        <item x="4015"/>
        <item x="1415"/>
        <item x="4444"/>
        <item x="4399"/>
        <item x="3588"/>
        <item x="306"/>
        <item x="3581"/>
        <item x="1370"/>
        <item x="2167"/>
        <item x="2059"/>
        <item x="132"/>
        <item x="3364"/>
        <item x="1741"/>
        <item x="690"/>
        <item x="3099"/>
        <item x="1307"/>
        <item x="2698"/>
        <item x="244"/>
        <item x="3425"/>
        <item x="52"/>
        <item x="4471"/>
        <item x="720"/>
        <item x="866"/>
        <item x="1015"/>
        <item x="199"/>
        <item x="2508"/>
        <item x="3799"/>
        <item x="3596"/>
        <item x="1371"/>
        <item x="268"/>
        <item x="1336"/>
        <item x="1511"/>
        <item x="186"/>
        <item x="245"/>
        <item x="1423"/>
        <item x="2985"/>
        <item x="1623"/>
        <item x="329"/>
        <item x="1560"/>
        <item x="3485"/>
        <item x="722"/>
        <item x="594"/>
        <item x="2188"/>
        <item x="2439"/>
        <item x="872"/>
        <item x="2827"/>
        <item x="3922"/>
        <item x="1107"/>
        <item x="327"/>
        <item x="229"/>
        <item x="769"/>
        <item x="817"/>
        <item x="3042"/>
        <item x="4452"/>
        <item x="1330"/>
        <item x="63"/>
        <item x="1008"/>
        <item x="1195"/>
        <item x="4045"/>
        <item x="2333"/>
        <item x="2124"/>
        <item x="2209"/>
        <item x="53"/>
        <item x="401"/>
        <item x="320"/>
        <item x="3590"/>
        <item x="3797"/>
        <item x="3390"/>
        <item x="1233"/>
        <item x="3241"/>
        <item x="3005"/>
        <item x="2805"/>
        <item x="1278"/>
        <item x="1388"/>
        <item x="104"/>
        <item x="344"/>
        <item x="2425"/>
        <item x="2473"/>
        <item x="3790"/>
        <item x="1460"/>
        <item x="18"/>
        <item x="3813"/>
        <item x="3632"/>
        <item x="3472"/>
        <item x="905"/>
        <item x="918"/>
        <item x="234"/>
        <item x="2942"/>
        <item x="385"/>
        <item x="3263"/>
        <item x="2295"/>
        <item x="899"/>
        <item x="668"/>
        <item x="267"/>
        <item x="1876"/>
        <item x="2838"/>
        <item x="4479"/>
        <item x="2458"/>
        <item x="1613"/>
        <item x="1871"/>
        <item x="3614"/>
        <item x="1839"/>
        <item x="4457"/>
        <item x="3169"/>
        <item x="300"/>
        <item x="735"/>
        <item x="1113"/>
        <item x="202"/>
        <item x="643"/>
        <item x="601"/>
        <item x="1671"/>
        <item x="976"/>
        <item x="5"/>
        <item x="387"/>
        <item x="4182"/>
        <item x="2307"/>
        <item x="2070"/>
        <item x="3529"/>
        <item x="768"/>
        <item x="2020"/>
        <item x="2854"/>
        <item x="386"/>
        <item x="2670"/>
        <item x="1045"/>
        <item x="3829"/>
        <item x="2437"/>
        <item x="2732"/>
        <item x="19"/>
        <item x="3551"/>
        <item x="498"/>
        <item x="3847"/>
        <item x="1343"/>
        <item x="2380"/>
        <item x="2322"/>
        <item x="253"/>
        <item x="592"/>
        <item x="3524"/>
        <item x="2195"/>
        <item x="1153"/>
        <item x="120"/>
        <item x="1771"/>
        <item x="4025"/>
        <item x="568"/>
        <item x="2586"/>
        <item x="1630"/>
        <item x="1345"/>
        <item x="1189"/>
        <item x="3845"/>
        <item x="1445"/>
        <item x="1723"/>
        <item x="3716"/>
        <item x="4157"/>
        <item x="1073"/>
        <item x="1117"/>
        <item x="3468"/>
        <item x="2872"/>
        <item x="1610"/>
        <item x="3840"/>
        <item x="971"/>
        <item x="2888"/>
        <item x="1285"/>
        <item x="2509"/>
        <item x="3643"/>
        <item x="825"/>
        <item x="4346"/>
        <item x="3999"/>
        <item x="4141"/>
        <item x="4366"/>
        <item x="691"/>
        <item x="3783"/>
        <item x="4094"/>
        <item x="1375"/>
        <item x="3772"/>
        <item x="1106"/>
        <item x="3558"/>
        <item x="1534"/>
        <item x="374"/>
        <item x="2614"/>
        <item x="2840"/>
        <item x="429"/>
        <item x="4250"/>
        <item x="1872"/>
        <item x="3666"/>
        <item x="2137"/>
        <item x="2585"/>
        <item x="836"/>
        <item x="255"/>
        <item x="119"/>
        <item x="1365"/>
        <item x="1013"/>
        <item x="4377"/>
        <item x="2923"/>
        <item x="744"/>
        <item x="4199"/>
        <item x="2604"/>
        <item x="1463"/>
        <item x="3916"/>
        <item x="2887"/>
        <item x="4012"/>
        <item x="3720"/>
        <item x="949"/>
        <item x="583"/>
        <item x="1158"/>
        <item x="2429"/>
        <item x="862"/>
        <item x="3137"/>
        <item x="4464"/>
        <item x="3565"/>
        <item x="1058"/>
        <item x="4177"/>
        <item x="4160"/>
        <item x="140"/>
        <item x="4349"/>
        <item x="3948"/>
        <item x="1967"/>
        <item x="2046"/>
        <item x="762"/>
        <item x="2693"/>
        <item x="36"/>
        <item x="4371"/>
        <item x="3789"/>
        <item x="2261"/>
        <item x="3252"/>
        <item x="2902"/>
        <item x="421"/>
        <item x="3734"/>
        <item x="843"/>
        <item x="3602"/>
        <item x="556"/>
        <item x="1542"/>
        <item x="12"/>
        <item x="3281"/>
        <item x="2484"/>
        <item x="1868"/>
        <item x="975"/>
        <item x="3213"/>
        <item x="3513"/>
        <item x="1538"/>
        <item x="3298"/>
        <item x="1548"/>
        <item x="1382"/>
        <item x="4003"/>
        <item x="4285"/>
        <item x="692"/>
        <item x="3147"/>
        <item x="450"/>
        <item x="3949"/>
        <item x="250"/>
        <item x="3093"/>
        <item x="1602"/>
        <item x="711"/>
        <item x="4286"/>
        <item x="824"/>
        <item x="3009"/>
        <item x="339"/>
        <item x="3176"/>
        <item x="2043"/>
        <item x="1785"/>
        <item x="4205"/>
        <item x="302"/>
        <item x="2813"/>
        <item x="3146"/>
        <item x="563"/>
        <item x="4442"/>
        <item x="3014"/>
        <item x="3487"/>
        <item x="1668"/>
        <item x="799"/>
        <item x="1138"/>
        <item x="409"/>
        <item x="950"/>
        <item x="1787"/>
        <item x="499"/>
        <item x="1163"/>
        <item x="1626"/>
        <item x="701"/>
        <item x="3446"/>
        <item x="3555"/>
        <item x="2323"/>
        <item x="2052"/>
        <item x="2217"/>
        <item x="4378"/>
        <item x="3094"/>
        <item x="1050"/>
        <item x="2245"/>
        <item x="1077"/>
        <item x="3321"/>
        <item x="564"/>
        <item x="4041"/>
        <item x="3222"/>
        <item x="2546"/>
        <item x="807"/>
        <item x="3399"/>
        <item x="4288"/>
        <item x="2819"/>
        <item x="987"/>
        <item x="1230"/>
        <item x="3369"/>
        <item x="2135"/>
        <item x="4438"/>
        <item x="4392"/>
        <item x="3827"/>
        <item x="3342"/>
        <item x="4370"/>
        <item x="3908"/>
        <item x="3015"/>
        <item x="2599"/>
        <item x="1467"/>
        <item x="1351"/>
        <item x="2062"/>
        <item x="846"/>
        <item x="4357"/>
        <item x="3942"/>
        <item x="1392"/>
        <item x="3350"/>
        <item x="2527"/>
        <item x="1934"/>
        <item x="3592"/>
        <item x="2705"/>
        <item x="428"/>
        <item x="3452"/>
        <item x="3563"/>
        <item x="3272"/>
        <item x="1783"/>
        <item x="242"/>
        <item x="42"/>
        <item x="1326"/>
        <item x="4446"/>
        <item x="3071"/>
        <item x="2461"/>
        <item x="492"/>
        <item x="2917"/>
        <item x="1254"/>
        <item x="402"/>
        <item x="881"/>
        <item x="4326"/>
        <item x="931"/>
        <item x="1297"/>
        <item x="1551"/>
        <item x="156"/>
        <item x="2478"/>
        <item x="562"/>
        <item x="2000"/>
        <item x="624"/>
        <item x="3206"/>
        <item x="1243"/>
        <item x="4386"/>
        <item x="717"/>
        <item x="2750"/>
        <item x="2645"/>
        <item x="1648"/>
        <item x="2562"/>
        <item x="136"/>
        <item x="203"/>
        <item x="2833"/>
        <item x="586"/>
        <item x="513"/>
        <item x="1826"/>
        <item x="681"/>
        <item x="2099"/>
        <item x="1809"/>
        <item x="1185"/>
        <item x="2100"/>
        <item x="2607"/>
        <item x="2573"/>
        <item x="1399"/>
        <item x="106"/>
        <item x="3568"/>
        <item x="3336"/>
        <item x="3793"/>
        <item x="746"/>
        <item x="3595"/>
        <item x="4387"/>
        <item x="4309"/>
        <item x="431"/>
        <item x="101"/>
        <item x="3325"/>
        <item x="1959"/>
        <item x="2264"/>
        <item x="1398"/>
        <item x="3108"/>
        <item x="3920"/>
        <item x="3265"/>
        <item x="3337"/>
        <item x="352"/>
        <item x="43"/>
        <item x="2680"/>
        <item x="3686"/>
        <item x="1378"/>
        <item x="2928"/>
        <item x="1857"/>
        <item x="1483"/>
        <item x="1769"/>
        <item x="3100"/>
        <item x="2524"/>
        <item x="1174"/>
        <item x="1170"/>
        <item x="3547"/>
        <item x="3069"/>
        <item x="1549"/>
        <item x="2818"/>
        <item x="4054"/>
        <item x="1447"/>
        <item x="1493"/>
        <item x="2831"/>
        <item x="193"/>
        <item x="737"/>
        <item x="951"/>
        <item x="4169"/>
        <item x="849"/>
        <item x="3287"/>
        <item x="112"/>
        <item x="2197"/>
        <item x="1714"/>
        <item x="3065"/>
        <item x="2297"/>
        <item x="1325"/>
        <item x="1935"/>
        <item x="4463"/>
        <item x="2666"/>
        <item x="1148"/>
        <item x="189"/>
        <item x="361"/>
        <item x="3104"/>
        <item x="3408"/>
        <item x="1601"/>
        <item x="4294"/>
        <item x="4159"/>
        <item x="2475"/>
        <item x="4057"/>
        <item x="765"/>
        <item x="3384"/>
        <item x="4218"/>
        <item x="1110"/>
        <item x="2134"/>
        <item x="930"/>
        <item x="1353"/>
        <item x="1247"/>
        <item x="1324"/>
        <item x="3935"/>
        <item x="4269"/>
        <item x="233"/>
        <item x="3308"/>
        <item x="1573"/>
        <item x="753"/>
        <item x="3722"/>
        <item x="1181"/>
        <item x="216"/>
        <item x="4099"/>
        <item x="256"/>
        <item x="347"/>
        <item x="2138"/>
        <item x="3224"/>
        <item x="3914"/>
        <item x="731"/>
        <item x="4391"/>
        <item x="1070"/>
        <item x="400"/>
        <item x="1632"/>
        <item x="3056"/>
        <item x="1969"/>
        <item x="687"/>
        <item x="1851"/>
        <item x="4481"/>
        <item x="1359"/>
        <item x="2864"/>
        <item x="3478"/>
        <item x="1366"/>
        <item x="1280"/>
        <item x="1710"/>
        <item x="4022"/>
        <item x="2903"/>
        <item x="2223"/>
        <item x="600"/>
        <item x="4208"/>
        <item x="2086"/>
        <item x="122"/>
        <item x="480"/>
        <item x="2760"/>
        <item x="334"/>
        <item x="2938"/>
        <item x="3089"/>
        <item x="4440"/>
        <item x="2638"/>
        <item x="3639"/>
        <item x="2801"/>
        <item x="4079"/>
        <item x="1572"/>
        <item x="953"/>
        <item x="1312"/>
        <item x="4254"/>
        <item x="4450"/>
        <item x="2233"/>
        <item x="372"/>
        <item x="837"/>
        <item x="3512"/>
        <item x="1965"/>
        <item x="392"/>
        <item x="548"/>
        <item x="1831"/>
        <item x="3502"/>
        <item x="3388"/>
        <item x="655"/>
        <item x="2577"/>
        <item x="729"/>
        <item x="1369"/>
        <item x="1886"/>
        <item x="2905"/>
        <item x="2806"/>
        <item x="2339"/>
        <item x="2894"/>
        <item x="1287"/>
        <item x="3153"/>
        <item x="2241"/>
        <item x="567"/>
        <item x="3706"/>
        <item x="1840"/>
        <item x="4121"/>
        <item x="64"/>
        <item x="3226"/>
        <item x="4340"/>
        <item x="3831"/>
        <item x="3995"/>
        <item x="2313"/>
        <item x="1546"/>
        <item x="484"/>
        <item x="839"/>
        <item x="828"/>
        <item x="1474"/>
        <item x="1529"/>
        <item x="1386"/>
        <item x="3705"/>
        <item x="4276"/>
        <item x="470"/>
        <item x="403"/>
        <item x="1372"/>
        <item x="4051"/>
        <item x="3690"/>
        <item x="3765"/>
        <item x="2631"/>
        <item x="2148"/>
        <item x="2441"/>
        <item x="688"/>
        <item x="2966"/>
        <item x="1295"/>
        <item x="1088"/>
        <item x="365"/>
        <item x="2329"/>
        <item x="4163"/>
        <item x="1213"/>
        <item x="3018"/>
        <item x="1406"/>
        <item x="2892"/>
        <item x="2944"/>
        <item x="459"/>
        <item x="2810"/>
        <item x="3969"/>
        <item x="200"/>
        <item x="389"/>
        <item x="1952"/>
        <item x="2790"/>
        <item x="4198"/>
        <item x="4376"/>
        <item x="3573"/>
        <item x="2145"/>
        <item x="1263"/>
        <item x="727"/>
        <item x="598"/>
        <item x="3603"/>
        <item x="4364"/>
        <item x="3145"/>
        <item x="1442"/>
        <item x="2521"/>
        <item x="3031"/>
        <item x="1558"/>
        <item x="2300"/>
        <item x="3474"/>
        <item x="639"/>
        <item x="4258"/>
        <item x="3849"/>
        <item x="738"/>
        <item x="998"/>
        <item x="3800"/>
        <item x="3566"/>
        <item x="3036"/>
        <item x="1566"/>
        <item x="1308"/>
        <item x="2510"/>
        <item x="2703"/>
        <item x="2567"/>
        <item x="897"/>
        <item x="1981"/>
        <item x="2375"/>
        <item x="3779"/>
        <item x="3921"/>
        <item x="4139"/>
        <item x="2290"/>
        <item x="16"/>
        <item x="633"/>
        <item x="1842"/>
        <item x="1316"/>
        <item x="2849"/>
        <item x="2454"/>
        <item x="1396"/>
        <item x="3886"/>
        <item x="3647"/>
        <item x="2435"/>
        <item x="4246"/>
        <item x="4343"/>
        <item x="1889"/>
        <item x="3986"/>
        <item x="1739"/>
        <item x="458"/>
        <item x="2073"/>
        <item x="4196"/>
        <item x="349"/>
        <item x="1332"/>
        <item x="4130"/>
        <item x="530"/>
        <item x="2269"/>
        <item x="558"/>
        <item x="194"/>
        <item x="3048"/>
        <item x="3279"/>
        <item x="1715"/>
        <item x="425"/>
        <item x="3702"/>
        <item x="2673"/>
        <item x="2729"/>
        <item x="35"/>
        <item x="2455"/>
        <item x="517"/>
        <item x="597"/>
        <item x="2207"/>
        <item x="3786"/>
        <item x="3295"/>
        <item x="4415"/>
        <item x="11"/>
        <item x="2758"/>
        <item x="1112"/>
        <item x="3043"/>
        <item x="3292"/>
        <item x="4487"/>
        <item x="3759"/>
        <item x="1154"/>
        <item x="4150"/>
        <item x="2646"/>
        <item x="2321"/>
        <item x="672"/>
        <item x="1284"/>
        <item x="1301"/>
        <item x="3862"/>
        <item x="3383"/>
        <item x="1733"/>
        <item x="497"/>
        <item x="1469"/>
        <item x="2975"/>
        <item x="1716"/>
        <item x="4024"/>
        <item x="2635"/>
        <item x="150"/>
        <item x="1619"/>
        <item x="376"/>
        <item x="3825"/>
        <item x="3432"/>
        <item x="1152"/>
        <item x="146"/>
        <item x="4394"/>
        <item x="2418"/>
        <item x="2948"/>
        <item x="3363"/>
        <item x="1202"/>
        <item x="2087"/>
        <item x="2396"/>
        <item x="1432"/>
        <item x="3007"/>
        <item x="3482"/>
        <item x="2953"/>
        <item x="2420"/>
        <item x="3471"/>
        <item x="2847"/>
        <item x="1853"/>
        <item x="2610"/>
        <item x="767"/>
        <item x="135"/>
        <item x="1394"/>
        <item x="3880"/>
        <item x="4184"/>
        <item x="3398"/>
        <item x="1216"/>
        <item x="1902"/>
        <item x="4146"/>
        <item x="3609"/>
        <item x="32"/>
        <item x="1265"/>
        <item x="3930"/>
        <item x="4321"/>
        <item x="514"/>
        <item x="4021"/>
        <item x="3828"/>
        <item x="4449"/>
        <item x="265"/>
        <item x="3871"/>
        <item x="1777"/>
        <item x="2072"/>
        <item x="332"/>
        <item x="2539"/>
        <item x="2622"/>
        <item x="1975"/>
        <item x="4411"/>
        <item x="395"/>
        <item x="1563"/>
        <item x="2370"/>
        <item x="3225"/>
        <item x="1237"/>
        <item x="2731"/>
        <item x="198"/>
        <item x="84"/>
        <item x="1555"/>
        <item x="3610"/>
        <item x="613"/>
        <item x="3417"/>
        <item x="1434"/>
        <item x="351"/>
        <item x="3816"/>
        <item x="152"/>
        <item x="2846"/>
        <item x="1797"/>
        <item x="977"/>
        <item x="107"/>
        <item x="1109"/>
        <item x="2384"/>
        <item x="3874"/>
        <item x="2569"/>
        <item x="2740"/>
        <item x="4129"/>
        <item x="1309"/>
        <item x="1532"/>
        <item x="1570"/>
        <item x="574"/>
        <item x="1611"/>
        <item x="1496"/>
        <item x="2968"/>
        <item x="4066"/>
        <item x="3870"/>
        <item x="3730"/>
        <item x="4179"/>
        <item x="2787"/>
        <item x="2526"/>
        <item x="1953"/>
        <item x="3910"/>
        <item x="1795"/>
        <item x="2383"/>
        <item x="3620"/>
        <item x="2619"/>
        <item x="67"/>
        <item x="4009"/>
        <item x="805"/>
        <item x="1939"/>
        <item x="4192"/>
        <item x="2830"/>
        <item x="3345"/>
        <item x="4290"/>
        <item x="1625"/>
        <item x="3660"/>
        <item x="1400"/>
        <item x="938"/>
        <item x="91"/>
        <item x="3768"/>
        <item x="1204"/>
        <item x="118"/>
        <item x="3271"/>
        <item x="1590"/>
        <item x="2203"/>
        <item x="3052"/>
        <item x="1402"/>
        <item x="1079"/>
        <item x="4337"/>
        <item x="3381"/>
        <item x="3883"/>
        <item x="2591"/>
        <item x="143"/>
        <item x="2308"/>
        <item x="3211"/>
        <item x="2724"/>
        <item x="1998"/>
        <item x="321"/>
        <item x="896"/>
        <item x="249"/>
        <item x="1363"/>
        <item x="160"/>
        <item x="3780"/>
        <item x="2263"/>
        <item x="1086"/>
        <item x="4480"/>
        <item x="869"/>
        <item x="4216"/>
        <item x="4367"/>
        <item x="1528"/>
        <item x="657"/>
        <item x="1036"/>
        <item x="2331"/>
        <item x="414"/>
        <item x="4482"/>
        <item x="3534"/>
        <item x="2126"/>
        <item x="1427"/>
        <item x="25"/>
        <item x="2723"/>
        <item x="2861"/>
        <item x="4023"/>
        <item x="4039"/>
        <item x="3479"/>
        <item x="1502"/>
        <item x="674"/>
        <item x="172"/>
        <item x="960"/>
        <item x="4165"/>
        <item x="1908"/>
        <item x="616"/>
        <item x="3673"/>
        <item x="3838"/>
        <item x="577"/>
        <item x="1089"/>
        <item x="820"/>
        <item x="4106"/>
        <item x="3675"/>
        <item x="1644"/>
        <item x="1708"/>
        <item x="4234"/>
        <item x="784"/>
        <item x="1114"/>
        <item x="4203"/>
        <item x="505"/>
        <item x="1441"/>
        <item x="3889"/>
        <item x="4116"/>
        <item x="2301"/>
        <item x="2388"/>
        <item x="2682"/>
        <item x="667"/>
        <item x="4435"/>
        <item x="1918"/>
        <item x="6"/>
        <item x="2971"/>
        <item x="3302"/>
        <item x="1425"/>
        <item x="1437"/>
        <item x="1176"/>
        <item x="1838"/>
        <item x="3627"/>
        <item x="751"/>
        <item x="2990"/>
        <item x="4338"/>
        <item x="1173"/>
        <item x="1947"/>
        <item x="3742"/>
        <item x="546"/>
        <item x="1919"/>
        <item x="4221"/>
        <item x="4162"/>
        <item x="844"/>
        <item x="412"/>
        <item x="1621"/>
        <item x="3518"/>
        <item x="3704"/>
        <item x="1522"/>
        <item x="487"/>
        <item x="555"/>
        <item x="479"/>
        <item x="831"/>
        <item x="1737"/>
        <item x="174"/>
        <item x="1310"/>
        <item x="1932"/>
        <item x="3718"/>
        <item x="3348"/>
        <item x="2351"/>
        <item x="2330"/>
        <item x="3254"/>
        <item x="1599"/>
        <item x="3970"/>
        <item x="486"/>
        <item x="3901"/>
        <item x="1854"/>
        <item x="1221"/>
        <item x="845"/>
        <item x="3316"/>
        <item x="1653"/>
        <item x="1846"/>
        <item x="3127"/>
        <item x="27"/>
        <item x="3132"/>
        <item x="440"/>
        <item x="298"/>
        <item x="1027"/>
        <item x="1680"/>
        <item x="2147"/>
        <item x="3979"/>
        <item x="582"/>
        <item x="2358"/>
        <item x="1565"/>
        <item x="1688"/>
        <item x="4384"/>
        <item x="819"/>
        <item x="2964"/>
        <item x="2025"/>
        <item x="943"/>
        <item x="2897"/>
        <item x="3805"/>
        <item x="407"/>
        <item x="433"/>
        <item x="2246"/>
        <item x="1580"/>
        <item x="2161"/>
        <item x="2537"/>
        <item x="195"/>
        <item x="2355"/>
        <item x="166"/>
        <item x="2081"/>
        <item x="551"/>
        <item x="2841"/>
        <item x="1657"/>
        <item x="2196"/>
        <item x="602"/>
        <item x="3201"/>
        <item x="4155"/>
        <item x="3492"/>
        <item x="1786"/>
        <item x="3322"/>
        <item x="4178"/>
        <item x="3618"/>
        <item x="1318"/>
        <item x="3140"/>
        <item x="3460"/>
        <item x="1133"/>
        <item x="3299"/>
        <item x="1683"/>
        <item x="1909"/>
        <item x="2881"/>
        <item x="1461"/>
        <item x="1717"/>
        <item x="2982"/>
        <item x="1501"/>
        <item x="117"/>
        <item x="1948"/>
        <item x="3865"/>
        <item x="1725"/>
        <item x="2816"/>
        <item x="1002"/>
        <item x="760"/>
        <item x="115"/>
        <item x="444"/>
        <item x="2779"/>
        <item x="1880"/>
        <item x="1018"/>
        <item x="1510"/>
        <item x="3510"/>
        <item x="1507"/>
        <item x="3044"/>
        <item x="2232"/>
        <item x="2792"/>
        <item x="3694"/>
        <item x="2776"/>
        <item x="47"/>
        <item x="4312"/>
        <item x="1759"/>
        <item x="3111"/>
        <item x="974"/>
        <item x="2967"/>
        <item x="1629"/>
        <item x="2111"/>
        <item x="695"/>
        <item x="432"/>
        <item x="988"/>
        <item x="2589"/>
        <item x="175"/>
        <item x="3395"/>
        <item x="1360"/>
        <item x="3733"/>
        <item x="795"/>
        <item x="788"/>
        <item x="2392"/>
        <item x="2809"/>
        <item x="3749"/>
        <item x="3380"/>
        <item x="4164"/>
        <item x="31"/>
        <item x="1051"/>
        <item x="1354"/>
        <item x="2728"/>
        <item x="3782"/>
        <item x="1707"/>
        <item x="4434"/>
        <item x="2092"/>
        <item x="3613"/>
        <item x="2058"/>
        <item x="1586"/>
        <item x="3593"/>
        <item x="3156"/>
        <item x="2438"/>
        <item x="2788"/>
        <item x="3896"/>
        <item x="3041"/>
        <item x="3256"/>
        <item x="465"/>
        <item x="2579"/>
        <item x="271"/>
        <item x="1891"/>
        <item x="3121"/>
        <item x="1376"/>
        <item x="1684"/>
        <item x="4344"/>
        <item x="3933"/>
        <item x="653"/>
        <item x="3459"/>
        <item x="1806"/>
        <item x="379"/>
        <item x="4299"/>
        <item x="1612"/>
        <item x="304"/>
        <item x="4277"/>
        <item x="4118"/>
        <item x="887"/>
        <item x="4017"/>
        <item x="2909"/>
        <item x="2400"/>
        <item x="4168"/>
        <item x="273"/>
        <item x="3858"/>
        <item x="1227"/>
        <item x="179"/>
        <item x="2448"/>
        <item x="2029"/>
        <item x="4393"/>
        <item x="2414"/>
        <item x="2071"/>
        <item x="4421"/>
        <item x="1877"/>
        <item x="3973"/>
        <item x="3235"/>
        <item x="890"/>
        <item x="1814"/>
        <item x="485"/>
        <item x="629"/>
        <item x="4445"/>
        <item x="1298"/>
        <item x="2125"/>
        <item x="1273"/>
        <item x="3537"/>
        <item x="2048"/>
        <item x="1450"/>
        <item x="326"/>
        <item x="2044"/>
        <item x="4133"/>
        <item x="2548"/>
        <item x="3776"/>
        <item x="3075"/>
        <item x="2817"/>
        <item x="350"/>
        <item x="48"/>
        <item x="4194"/>
        <item x="814"/>
        <item x="4215"/>
        <item x="3034"/>
        <item x="2661"/>
        <item x="1578"/>
        <item x="4110"/>
        <item x="3902"/>
        <item x="1494"/>
        <item x="3600"/>
        <item x="1465"/>
        <item x="730"/>
        <item x="4174"/>
        <item x="1718"/>
        <item x="4210"/>
        <item x="2863"/>
        <item x="74"/>
        <item x="2153"/>
        <item x="185"/>
        <item x="3237"/>
        <item x="2371"/>
        <item x="75"/>
        <item x="3693"/>
        <item x="61"/>
        <item x="2413"/>
        <item x="2140"/>
        <item x="2303"/>
        <item x="921"/>
        <item x="3703"/>
        <item x="2181"/>
        <item x="290"/>
        <item x="1509"/>
        <item x="3589"/>
        <item x="2491"/>
        <item x="2466"/>
        <item x="3330"/>
        <item x="1614"/>
        <item x="827"/>
        <item x="3066"/>
        <item x="3583"/>
        <item x="3844"/>
        <item x="1796"/>
        <item x="3521"/>
        <item x="3993"/>
        <item x="4317"/>
        <item x="1660"/>
        <item x="3681"/>
        <item x="1074"/>
        <item x="2270"/>
        <item x="1167"/>
        <item x="2901"/>
        <item x="3467"/>
        <item x="989"/>
        <item x="884"/>
        <item x="2657"/>
        <item x="3191"/>
        <item x="4401"/>
        <item x="2972"/>
        <item x="2171"/>
        <item x="595"/>
        <item x="171"/>
        <item x="3416"/>
        <item x="520"/>
        <item x="644"/>
        <item x="1321"/>
        <item x="3165"/>
        <item x="2183"/>
        <item x="2267"/>
        <item x="1005"/>
        <item x="1536"/>
        <item x="2472"/>
        <item x="3531"/>
        <item x="4230"/>
        <item x="3760"/>
        <item x="1156"/>
        <item x="2398"/>
        <item x="38"/>
        <item x="1122"/>
        <item x="2119"/>
        <item x="2470"/>
        <item x="1940"/>
        <item x="3356"/>
        <item x="2118"/>
        <item x="1686"/>
        <item x="3814"/>
        <item x="1205"/>
        <item x="3102"/>
        <item x="4191"/>
        <item x="792"/>
        <item x="2085"/>
        <item x="2796"/>
        <item x="94"/>
        <item x="1094"/>
        <item x="673"/>
        <item x="1199"/>
        <item x="50"/>
        <item x="859"/>
        <item x="1682"/>
        <item x="3449"/>
        <item x="2696"/>
        <item x="3233"/>
        <item x="3906"/>
        <item x="2158"/>
        <item x="1416"/>
        <item x="3440"/>
        <item x="1481"/>
        <item x="3540"/>
        <item x="3911"/>
        <item x="2761"/>
        <item x="1451"/>
        <item x="4476"/>
        <item x="3764"/>
        <item x="3990"/>
        <item x="2488"/>
        <item x="1209"/>
        <item x="748"/>
        <item x="585"/>
        <item x="2590"/>
        <item x="3807"/>
        <item x="1835"/>
        <item x="3040"/>
        <item x="2252"/>
        <item x="521"/>
        <item x="213"/>
        <item x="151"/>
        <item x="2433"/>
        <item x="2021"/>
        <item x="3297"/>
        <item x="1896"/>
        <item x="2781"/>
        <item x="3812"/>
        <item x="2665"/>
        <item x="1609"/>
        <item x="1011"/>
        <item x="1458"/>
        <item x="2507"/>
        <item x="1847"/>
        <item x="2856"/>
        <item x="3777"/>
        <item x="3320"/>
        <item x="3067"/>
        <item x="2593"/>
        <item x="2534"/>
        <item x="2726"/>
        <item x="3599"/>
        <item x="4154"/>
        <item x="1641"/>
        <item x="3672"/>
        <item x="528"/>
        <item x="1843"/>
        <item x="2248"/>
        <item x="220"/>
        <item x="228"/>
        <item x="1120"/>
        <item x="4431"/>
        <item x="3962"/>
        <item x="2353"/>
        <item x="1126"/>
        <item x="2064"/>
        <item x="1041"/>
        <item x="1651"/>
        <item x="2359"/>
        <item x="1744"/>
        <item x="1803"/>
        <item x="3837"/>
        <item x="878"/>
        <item x="1034"/>
        <item x="2255"/>
        <item x="1685"/>
        <item x="2170"/>
        <item x="1754"/>
        <item x="3289"/>
        <item x="2687"/>
        <item x="4406"/>
        <item x="2121"/>
        <item x="2399"/>
        <item x="3341"/>
        <item x="3755"/>
        <item x="2662"/>
        <item x="3010"/>
        <item x="3680"/>
        <item x="2704"/>
        <item x="3769"/>
        <item x="2600"/>
        <item x="2572"/>
        <item x="3301"/>
        <item x="1300"/>
        <item x="3134"/>
        <item x="1056"/>
        <item x="680"/>
        <item x="3333"/>
        <item x="1818"/>
        <item x="4132"/>
        <item x="1837"/>
        <item x="1672"/>
        <item x="2721"/>
        <item x="2738"/>
        <item x="1001"/>
        <item x="3640"/>
        <item x="2984"/>
        <item x="2419"/>
        <item x="4251"/>
        <item x="294"/>
        <item x="2452"/>
        <item x="1000"/>
        <item x="571"/>
        <item x="1964"/>
        <item x="1691"/>
        <item x="4124"/>
        <item x="353"/>
        <item x="2136"/>
        <item x="2019"/>
        <item x="1834"/>
        <item x="945"/>
        <item x="2541"/>
        <item x="2078"/>
        <item x="3731"/>
        <item x="473"/>
        <item x="4071"/>
        <item x="813"/>
        <item x="756"/>
        <item x="2230"/>
        <item x="44"/>
        <item x="1029"/>
        <item x="2652"/>
        <item x="1765"/>
        <item x="3410"/>
        <item x="2481"/>
        <item x="3284"/>
        <item x="1526"/>
        <item x="2312"/>
        <item x="1559"/>
        <item x="913"/>
        <item x="4385"/>
        <item x="3221"/>
        <item x="3917"/>
        <item x="2116"/>
        <item x="3192"/>
        <item x="3195"/>
        <item x="4295"/>
        <item x="3688"/>
        <item x="3677"/>
        <item x="3773"/>
        <item x="3887"/>
        <item x="4468"/>
        <item x="1694"/>
        <item x="2362"/>
        <item x="2296"/>
        <item x="752"/>
        <item x="2299"/>
        <item x="1724"/>
        <item x="3860"/>
        <item x="1793"/>
        <item x="1508"/>
        <item x="1923"/>
        <item x="1429"/>
        <item x="3852"/>
        <item x="1379"/>
        <item x="257"/>
        <item x="1314"/>
        <item x="2176"/>
        <item x="2582"/>
        <item x="3409"/>
        <item x="2376"/>
        <item x="740"/>
        <item x="1926"/>
        <item x="3864"/>
        <item x="3665"/>
        <item x="696"/>
        <item x="1521"/>
        <item x="1085"/>
        <item x="2720"/>
        <item x="28"/>
        <item x="2443"/>
        <item x="3894"/>
        <item x="609"/>
        <item x="292"/>
        <item x="789"/>
        <item x="854"/>
        <item x="2629"/>
        <item x="1430"/>
        <item x="2027"/>
        <item x="26"/>
        <item x="1753"/>
        <item x="3288"/>
        <item x="2456"/>
        <item x="1319"/>
        <item x="1583"/>
        <item x="3290"/>
        <item x="3461"/>
        <item x="3506"/>
        <item x="780"/>
        <item x="1941"/>
        <item x="1514"/>
        <item x="1222"/>
        <item x="1042"/>
        <item x="2219"/>
        <item x="4272"/>
        <item x="4080"/>
        <item x="3617"/>
        <item x="2482"/>
        <item x="1544"/>
        <item x="1044"/>
        <item x="1346"/>
        <item x="3501"/>
        <item x="2730"/>
        <item x="90"/>
        <item x="1065"/>
        <item x="3184"/>
        <item x="2235"/>
        <item x="373"/>
        <item x="1810"/>
        <item x="2014"/>
        <item x="4102"/>
        <item x="24"/>
        <item x="3966"/>
        <item x="3982"/>
        <item x="1791"/>
        <item x="2406"/>
        <item x="3591"/>
        <item x="2075"/>
        <item x="3032"/>
        <item x="923"/>
        <item x="942"/>
        <item x="2341"/>
        <item x="638"/>
        <item x="114"/>
        <item x="1659"/>
        <item x="4185"/>
        <item x="3912"/>
        <item x="2447"/>
        <item x="622"/>
        <item x="3971"/>
        <item x="2424"/>
        <item x="4448"/>
        <item x="164"/>
        <item x="3744"/>
        <item x="1844"/>
        <item x="3419"/>
        <item x="4451"/>
        <item x="1772"/>
        <item x="2811"/>
        <item x="924"/>
        <item x="2765"/>
        <item x="4483"/>
        <item x="159"/>
        <item x="2446"/>
        <item x="3832"/>
        <item x="1473"/>
        <item x="2485"/>
        <item x="2340"/>
        <item x="2476"/>
        <item x="747"/>
        <item x="3594"/>
        <item x="413"/>
        <item x="2660"/>
        <item x="314"/>
        <item x="1506"/>
        <item x="2151"/>
        <item x="1722"/>
        <item x="1582"/>
        <item x="4410"/>
        <item x="133"/>
        <item x="4273"/>
        <item x="147"/>
        <item x="868"/>
        <item x="2869"/>
        <item x="3752"/>
        <item x="3275"/>
        <item x="1513"/>
        <item x="3025"/>
        <item x="3771"/>
        <item x="95"/>
        <item x="2804"/>
        <item x="1146"/>
        <item x="2713"/>
        <item x="3105"/>
        <item x="721"/>
        <item x="3794"/>
        <item x="342"/>
        <item x="1730"/>
        <item x="148"/>
        <item x="2315"/>
        <item x="3554"/>
        <item x="2415"/>
        <item x="3516"/>
        <item x="1214"/>
        <item x="4095"/>
        <item x="1584"/>
        <item x="1171"/>
        <item x="3633"/>
        <item x="3637"/>
        <item x="2644"/>
        <item x="2017"/>
        <item x="1311"/>
        <item x="3820"/>
        <item x="2653"/>
        <item x="2198"/>
        <item x="781"/>
        <item x="3709"/>
        <item x="716"/>
        <item x="524"/>
        <item x="1639"/>
        <item x="2986"/>
        <item x="1537"/>
        <item x="2845"/>
        <item x="3392"/>
        <item x="1178"/>
        <item x="994"/>
        <item x="2114"/>
        <item x="1869"/>
        <item x="10"/>
        <item x="161"/>
        <item x="832"/>
        <item x="1564"/>
        <item x="3651"/>
        <item x="2497"/>
        <item x="1740"/>
        <item x="21"/>
        <item x="3843"/>
        <item x="2674"/>
        <item x="4042"/>
        <item x="3504"/>
        <item x="4117"/>
        <item x="3280"/>
        <item x="3177"/>
        <item x="739"/>
        <item x="3868"/>
        <item x="4310"/>
        <item x="4472"/>
        <item x="2155"/>
        <item x="1100"/>
        <item x="4279"/>
        <item x="812"/>
        <item x="415"/>
        <item x="1387"/>
        <item x="702"/>
        <item x="4342"/>
        <item x="2997"/>
        <item x="1180"/>
        <item x="1543"/>
        <item x="649"/>
        <item x="1040"/>
        <item x="4028"/>
        <item x="2336"/>
        <item x="1678"/>
        <item x="2677"/>
        <item x="3149"/>
        <item x="2859"/>
        <item x="3926"/>
        <item x="2545"/>
        <item x="3118"/>
        <item x="1223"/>
        <item x="1776"/>
        <item x="1607"/>
        <item x="2834"/>
        <item x="76"/>
        <item x="1665"/>
        <item x="2784"/>
        <item x="3819"/>
        <item x="1484"/>
        <item x="1104"/>
        <item x="4404"/>
        <item x="3376"/>
        <item x="855"/>
        <item x="2494"/>
        <item x="1568"/>
        <item x="2955"/>
        <item x="2066"/>
        <item x="4381"/>
        <item x="1030"/>
        <item x="3428"/>
        <item x="709"/>
        <item x="3469"/>
        <item x="3026"/>
        <item x="2421"/>
        <item x="875"/>
        <item x="2502"/>
        <item x="3101"/>
        <item x="2918"/>
        <item x="4161"/>
        <item x="466"/>
        <item x="3586"/>
        <item x="1879"/>
        <item x="1302"/>
        <item x="3095"/>
        <item x="3423"/>
        <item x="2996"/>
        <item x="3346"/>
        <item x="4261"/>
        <item x="4093"/>
        <item x="797"/>
        <item x="3144"/>
        <item x="2310"/>
        <item x="3277"/>
        <item x="3905"/>
        <item x="3179"/>
        <item x="3374"/>
        <item x="2709"/>
        <item x="2449"/>
        <item x="2958"/>
        <item x="3248"/>
        <item x="3991"/>
        <item x="2667"/>
        <item x="2156"/>
        <item x="1019"/>
        <item x="3257"/>
        <item x="4256"/>
        <item x="3960"/>
        <item x="3203"/>
        <item x="1389"/>
        <item x="2643"/>
        <item x="3598"/>
        <item x="1552"/>
        <item x="1200"/>
        <item x="1078"/>
        <item x="682"/>
        <item x="2496"/>
        <item x="3685"/>
        <item x="2405"/>
        <item x="1240"/>
        <item x="4033"/>
        <item x="4077"/>
        <item x="1244"/>
        <item x="3528"/>
        <item x="4049"/>
        <item x="802"/>
        <item x="3750"/>
        <item x="3546"/>
        <item x="1439"/>
        <item x="504"/>
        <item x="900"/>
        <item x="2963"/>
        <item x="1666"/>
        <item x="4257"/>
        <item x="707"/>
        <item x="1121"/>
        <item x="2904"/>
        <item x="2387"/>
        <item x="3253"/>
        <item x="1535"/>
        <item x="3957"/>
        <item x="4314"/>
        <item x="3925"/>
        <item x="2745"/>
        <item x="1361"/>
        <item x="3194"/>
        <item x="3175"/>
        <item x="2848"/>
        <item x="857"/>
        <item x="305"/>
        <item x="909"/>
        <item x="3267"/>
        <item x="3385"/>
        <item x="2950"/>
        <item x="1457"/>
        <item x="1950"/>
        <item x="3344"/>
        <item x="134"/>
        <item x="1943"/>
        <item x="2826"/>
        <item x="3570"/>
        <item x="3936"/>
        <item x="3638"/>
        <item x="2637"/>
        <item x="46"/>
        <item x="1123"/>
        <item x="1525"/>
        <item x="1576"/>
        <item x="1561"/>
        <item x="2385"/>
        <item x="2803"/>
        <item x="2876"/>
        <item x="3958"/>
        <item x="4056"/>
        <item x="2133"/>
        <item x="3877"/>
        <item x="1282"/>
        <item x="3683"/>
        <item x="550"/>
        <item x="1229"/>
        <item x="2008"/>
        <item x="3371"/>
        <item x="1729"/>
        <item x="4465"/>
        <item x="3642"/>
        <item x="4301"/>
        <item x="2277"/>
        <item x="4026"/>
        <item x="2128"/>
        <item x="3234"/>
        <item x="464"/>
        <item x="2516"/>
        <item x="3340"/>
        <item x="3064"/>
        <item x="2479"/>
        <item x="877"/>
        <item x="1958"/>
        <item x="3808"/>
        <item x="2999"/>
        <item x="3745"/>
        <item x="4166"/>
        <item x="3818"/>
        <item x="2714"/>
        <item x="547"/>
        <item x="3331"/>
        <item x="1032"/>
        <item x="4107"/>
        <item x="2664"/>
        <item x="3533"/>
        <item x="4004"/>
        <item x="209"/>
        <item x="4225"/>
        <item x="2031"/>
        <item x="908"/>
        <item x="961"/>
        <item x="3697"/>
        <item x="543"/>
        <item x="39"/>
        <item x="1689"/>
        <item x="3053"/>
        <item x="1350"/>
        <item x="2759"/>
        <item x="2798"/>
        <item x="1736"/>
        <item x="2702"/>
        <item x="587"/>
        <item x="3349"/>
        <item x="3900"/>
        <item x="985"/>
        <item x="2748"/>
        <item x="1784"/>
        <item x="3219"/>
        <item x="3977"/>
        <item x="4030"/>
        <item x="426"/>
        <item x="1912"/>
        <item x="2628"/>
        <item x="954"/>
        <item x="283"/>
        <item x="1182"/>
        <item x="328"/>
        <item x="3411"/>
        <item x="2164"/>
        <item x="356"/>
        <item x="2038"/>
        <item x="1983"/>
        <item x="1670"/>
        <item x="2265"/>
        <item x="4423"/>
        <item x="3438"/>
        <item x="449"/>
        <item x="1973"/>
        <item x="3462"/>
        <item x="3110"/>
        <item x="4195"/>
        <item x="263"/>
        <item x="262"/>
        <item x="1197"/>
        <item x="4181"/>
        <item x="3943"/>
        <item x="2098"/>
        <item x="3489"/>
        <item x="2737"/>
        <item x="83"/>
        <item x="3992"/>
        <item x="2091"/>
        <item x="3611"/>
        <item x="3159"/>
        <item x="2288"/>
        <item x="2981"/>
        <item x="940"/>
        <item x="2691"/>
        <item x="2752"/>
        <item x="4089"/>
        <item x="3415"/>
        <item x="1320"/>
        <item x="362"/>
        <item x="2103"/>
        <item x="301"/>
        <item x="4238"/>
        <item x="246"/>
        <item x="4239"/>
        <item x="3276"/>
        <item x="1574"/>
        <item x="3891"/>
        <item x="196"/>
        <item x="85"/>
        <item x="456"/>
        <item x="754"/>
        <item x="3564"/>
        <item x="826"/>
        <item x="2858"/>
        <item x="2004"/>
        <item x="4351"/>
        <item x="3129"/>
        <item x="1331"/>
        <item x="2204"/>
        <item x="1482"/>
        <item x="29"/>
        <item x="2715"/>
        <item x="3931"/>
        <item x="946"/>
        <item x="3607"/>
        <item x="1125"/>
        <item x="1750"/>
        <item x="2465"/>
        <item x="3701"/>
        <item x="886"/>
        <item x="1381"/>
        <item x="230"/>
        <item x="1260"/>
        <item x="4188"/>
        <item x="2499"/>
        <item x="2621"/>
        <item x="2890"/>
        <item x="3758"/>
        <item x="1775"/>
        <item x="4323"/>
        <item x="1815"/>
        <item x="3929"/>
        <item x="997"/>
        <item x="967"/>
        <item x="2694"/>
        <item x="3866"/>
        <item x="965"/>
        <item x="1743"/>
        <item x="1103"/>
        <item x="2514"/>
        <item x="1593"/>
        <item x="861"/>
        <item x="149"/>
        <item x="1579"/>
        <item x="4430"/>
        <item x="1135"/>
        <item x="3719"/>
        <item x="2097"/>
        <item x="4270"/>
        <item x="1519"/>
        <item x="2552"/>
        <item x="2850"/>
        <item x="1291"/>
        <item x="4313"/>
        <item x="4031"/>
        <item x="2977"/>
        <item x="3135"/>
        <item x="1727"/>
        <item x="3674"/>
        <item x="3981"/>
        <item x="2842"/>
        <item x="2893"/>
        <item x="3464"/>
        <item x="1215"/>
        <item x="1748"/>
        <item x="3427"/>
        <item x="1933"/>
        <item x="2142"/>
        <item x="2880"/>
        <item x="3131"/>
        <item x="2873"/>
        <item x="1091"/>
        <item x="4136"/>
        <item x="1341"/>
        <item x="2852"/>
        <item x="2231"/>
        <item x="1412"/>
        <item x="1"/>
        <item x="2363"/>
        <item x="3879"/>
        <item x="3488"/>
        <item x="3498"/>
        <item x="2186"/>
        <item x="772"/>
        <item x="2601"/>
        <item x="4322"/>
        <item x="3532"/>
        <item x="3437"/>
        <item x="852"/>
        <item x="1700"/>
        <item x="3766"/>
        <item x="750"/>
        <item x="634"/>
        <item x="437"/>
        <item x="679"/>
        <item x="3074"/>
        <item x="4365"/>
        <item x="1257"/>
        <item x="3148"/>
        <item x="2369"/>
        <item x="3444"/>
        <item x="2417"/>
        <item x="654"/>
        <item x="766"/>
        <item x="2182"/>
        <item x="359"/>
        <item x="2688"/>
        <item x="58"/>
        <item x="4400"/>
        <item x="3491"/>
        <item x="910"/>
        <item x="793"/>
        <item x="391"/>
        <item x="178"/>
        <item x="274"/>
        <item x="3909"/>
        <item x="904"/>
        <item x="2426"/>
        <item x="261"/>
        <item x="1654"/>
        <item x="1597"/>
        <item x="307"/>
        <item x="865"/>
        <item x="968"/>
        <item x="2343"/>
        <item x="2549"/>
        <item x="2200"/>
        <item x="109"/>
        <item x="901"/>
        <item x="1728"/>
        <item x="406"/>
        <item x="4014"/>
        <item x="3161"/>
        <item x="1963"/>
        <item x="2844"/>
        <item x="983"/>
        <item x="2139"/>
        <item x="1636"/>
        <item x="3247"/>
        <item x="162"/>
        <item x="3477"/>
        <item x="1553"/>
        <item x="4474"/>
        <item x="502"/>
        <item x="3884"/>
        <item x="1571"/>
        <item x="293"/>
        <item x="3919"/>
        <item x="3497"/>
        <item x="4046"/>
        <item x="141"/>
        <item x="2372"/>
        <item x="627"/>
        <item x="642"/>
        <item x="718"/>
        <item x="4429"/>
        <item x="3951"/>
        <item x="3178"/>
        <item x="2159"/>
        <item x="4113"/>
        <item x="3314"/>
        <item x="4443"/>
        <item x="3659"/>
        <item x="4253"/>
        <item x="1738"/>
        <item x="2364"/>
        <item x="1781"/>
        <item x="838"/>
        <item x="3112"/>
        <item x="3650"/>
        <item x="2828"/>
        <item x="3157"/>
        <item x="4361"/>
        <item x="259"/>
        <item x="3183"/>
        <item x="2474"/>
        <item x="4055"/>
        <item x="4396"/>
        <item x="331"/>
        <item x="2639"/>
        <item x="4086"/>
        <item x="3867"/>
        <item x="926"/>
        <item x="4329"/>
        <item x="3621"/>
        <item x="1472"/>
        <item x="460"/>
        <item x="2535"/>
        <item x="2260"/>
        <item x="3394"/>
        <item x="1238"/>
        <item x="2717"/>
        <item x="919"/>
        <item x="3366"/>
        <item x="4266"/>
        <item x="2754"/>
        <item x="3892"/>
        <item x="2314"/>
        <item x="248"/>
        <item x="214"/>
        <item x="3679"/>
        <item x="1269"/>
        <item x="2557"/>
        <item x="2083"/>
        <item x="3172"/>
        <item x="864"/>
        <item x="49"/>
        <item x="2532"/>
        <item x="4044"/>
        <item x="2225"/>
        <item x="231"/>
        <item x="2913"/>
        <item x="441"/>
        <item x="4187"/>
        <item x="2538"/>
        <item x="2979"/>
        <item x="435"/>
        <item x="2650"/>
        <item x="1296"/>
        <item x="3312"/>
        <item x="4397"/>
        <item x="1962"/>
        <item x="978"/>
        <item t="default"/>
      </items>
    </pivotField>
    <pivotField showAll="0"/>
    <pivotField showAll="0"/>
    <pivotField dataField="1" showAll="0"/>
    <pivotField showAll="0"/>
    <pivotField dataField="1" showAll="0"/>
    <pivotField showAll="0"/>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Items count="1">
    <i/>
  </rowItems>
  <colFields count="1">
    <field x="-2"/>
  </colFields>
  <colItems count="3">
    <i>
      <x/>
    </i>
    <i i="1">
      <x v="1"/>
    </i>
    <i i="2">
      <x v="2"/>
    </i>
  </colItems>
  <dataFields count="3">
    <dataField name="Sum of total_price" fld="12" baseField="0" baseItem="0" numFmtId="164"/>
    <dataField name="Sum of total_orders" fld="2" baseField="0" baseItem="0"/>
    <dataField name="Sum of quantity" fld="10" baseField="0" baseItem="0"/>
  </dataFields>
  <formats count="1">
    <format dxfId="0">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F820126-A7C4-DA45-A296-8DF4E4D9F9C1}"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8" firstHeaderRow="0" firstDataRow="1" firstDataCol="1"/>
  <pivotFields count="15">
    <pivotField showAll="0"/>
    <pivotField showAll="0"/>
    <pivotField dataField="1" showAll="0"/>
    <pivotField showAll="0">
      <items count="13">
        <item x="0"/>
        <item x="1"/>
        <item x="2"/>
        <item x="3"/>
        <item x="4"/>
        <item x="5"/>
        <item x="6"/>
        <item x="7"/>
        <item x="8"/>
        <item x="9"/>
        <item x="10"/>
        <item x="11"/>
        <item t="default"/>
      </items>
    </pivotField>
    <pivotField numFmtId="14" showAll="0"/>
    <pivotField showAll="0"/>
    <pivotField showAll="0"/>
    <pivotField numFmtId="21" showAll="0">
      <items count="4489">
        <item x="3898"/>
        <item x="3200"/>
        <item x="2381"/>
        <item x="2793"/>
        <item x="4242"/>
        <item x="1992"/>
        <item x="2271"/>
        <item x="2464"/>
        <item x="3503"/>
        <item x="2920"/>
        <item x="2692"/>
        <item x="4316"/>
        <item x="3270"/>
        <item x="2275"/>
        <item x="3351"/>
        <item x="3575"/>
        <item x="515"/>
        <item x="2540"/>
        <item x="2354"/>
        <item x="3133"/>
        <item x="1255"/>
        <item x="158"/>
        <item x="2050"/>
        <item x="1855"/>
        <item x="1071"/>
        <item x="4111"/>
        <item x="847"/>
        <item x="22"/>
        <item x="1081"/>
        <item x="3535"/>
        <item x="3455"/>
        <item x="182"/>
        <item x="15"/>
        <item x="111"/>
        <item x="3072"/>
        <item x="1767"/>
        <item x="3576"/>
        <item x="2018"/>
        <item x="1184"/>
        <item x="4389"/>
        <item x="137"/>
        <item x="3698"/>
        <item x="3022"/>
        <item x="646"/>
        <item x="529"/>
        <item x="1681"/>
        <item x="2244"/>
        <item x="4000"/>
        <item x="2144"/>
        <item x="1884"/>
        <item x="2152"/>
        <item x="3915"/>
        <item x="2936"/>
        <item x="3945"/>
        <item x="3382"/>
        <item x="2690"/>
        <item x="3244"/>
        <item x="3060"/>
        <item x="4219"/>
        <item x="927"/>
        <item x="4020"/>
        <item x="2416"/>
        <item x="2565"/>
        <item x="1994"/>
        <item x="3648"/>
        <item x="1259"/>
        <item x="1315"/>
        <item x="345"/>
        <item x="2498"/>
        <item x="155"/>
        <item x="1374"/>
        <item x="4360"/>
        <item x="3447"/>
        <item x="3710"/>
        <item x="1384"/>
        <item x="1159"/>
        <item x="2777"/>
        <item x="1225"/>
        <item x="4473"/>
        <item x="3751"/>
        <item x="1547"/>
        <item x="3377"/>
        <item x="1893"/>
        <item x="311"/>
        <item x="251"/>
        <item x="2076"/>
        <item x="755"/>
        <item x="1704"/>
        <item x="3542"/>
        <item x="3091"/>
        <item x="745"/>
        <item x="1645"/>
        <item x="3024"/>
        <item x="2274"/>
        <item x="4281"/>
        <item x="397"/>
        <item x="4398"/>
        <item x="3835"/>
        <item x="3059"/>
        <item x="4459"/>
        <item x="442"/>
        <item x="2851"/>
        <item x="1966"/>
        <item x="882"/>
        <item x="1261"/>
        <item x="591"/>
        <item x="3708"/>
        <item x="2077"/>
        <item x="1487"/>
        <item x="3732"/>
        <item x="1674"/>
        <item x="1885"/>
        <item x="2744"/>
        <item x="3548"/>
        <item x="1037"/>
        <item x="2184"/>
        <item x="343"/>
        <item x="211"/>
        <item x="969"/>
        <item x="3715"/>
        <item x="2675"/>
        <item x="522"/>
        <item x="2463"/>
        <item x="1076"/>
        <item x="3150"/>
        <item x="1789"/>
        <item x="54"/>
        <item x="3530"/>
        <item x="191"/>
        <item x="325"/>
        <item x="4296"/>
        <item x="3076"/>
        <item x="1455"/>
        <item x="142"/>
        <item x="2553"/>
        <item x="3378"/>
        <item x="3125"/>
        <item x="3152"/>
        <item x="4037"/>
        <item x="108"/>
        <item x="8"/>
        <item x="86"/>
        <item x="381"/>
        <item x="2432"/>
        <item x="1443"/>
        <item x="299"/>
        <item x="2259"/>
        <item x="794"/>
        <item x="88"/>
        <item x="4412"/>
        <item x="742"/>
        <item x="3313"/>
        <item x="3405"/>
        <item x="4034"/>
        <item x="3634"/>
        <item x="2611"/>
        <item x="922"/>
        <item x="2220"/>
        <item x="3664"/>
        <item x="1556"/>
        <item x="549"/>
        <item x="461"/>
        <item x="2983"/>
        <item x="2922"/>
        <item x="2654"/>
        <item x="2273"/>
        <item x="4486"/>
        <item x="1731"/>
        <item x="2444"/>
        <item x="1446"/>
        <item x="3723"/>
        <item x="398"/>
        <item x="1409"/>
        <item x="3747"/>
        <item x="1102"/>
        <item x="4175"/>
        <item x="2345"/>
        <item x="3261"/>
        <item x="3508"/>
        <item x="2401"/>
        <item x="1907"/>
        <item x="4260"/>
        <item x="3888"/>
        <item x="477"/>
        <item x="2529"/>
        <item x="1175"/>
        <item x="1489"/>
        <item x="68"/>
        <item x="2505"/>
        <item x="559"/>
        <item x="45"/>
        <item x="474"/>
        <item x="885"/>
        <item x="1072"/>
        <item x="686"/>
        <item x="996"/>
        <item x="1241"/>
        <item x="1800"/>
        <item x="4149"/>
        <item x="4075"/>
        <item x="2453"/>
        <item x="4211"/>
        <item x="57"/>
        <item x="3822"/>
        <item x="3079"/>
        <item x="3173"/>
        <item x="3088"/>
        <item x="3162"/>
        <item x="436"/>
        <item x="4059"/>
        <item x="2013"/>
        <item x="3717"/>
        <item x="4092"/>
        <item x="2651"/>
        <item x="1272"/>
        <item x="4315"/>
        <item x="1624"/>
        <item x="2422"/>
        <item x="1162"/>
        <item x="4477"/>
        <item x="2279"/>
        <item x="3347"/>
        <item x="3216"/>
        <item x="3431"/>
        <item x="1557"/>
        <item x="2492"/>
        <item x="2722"/>
        <item x="3692"/>
        <item x="337"/>
        <item x="4027"/>
        <item x="4300"/>
        <item x="1881"/>
        <item x="4484"/>
        <item x="2467"/>
        <item x="4466"/>
        <item x="454"/>
        <item x="330"/>
        <item x="907"/>
        <item x="4348"/>
        <item x="4170"/>
        <item x="1335"/>
        <item x="2278"/>
        <item x="1069"/>
        <item x="3890"/>
        <item x="4413"/>
        <item x="3699"/>
        <item x="982"/>
        <item x="2214"/>
        <item x="1380"/>
        <item x="3000"/>
        <item x="2912"/>
        <item x="626"/>
        <item x="2007"/>
        <item x="941"/>
        <item x="2160"/>
        <item x="3208"/>
        <item x="2237"/>
        <item x="3795"/>
        <item x="1428"/>
        <item x="2686"/>
        <item x="496"/>
        <item x="2891"/>
        <item x="1095"/>
        <item x="2034"/>
        <item x="764"/>
        <item x="4222"/>
        <item x="3028"/>
        <item x="457"/>
        <item x="2697"/>
        <item x="3556"/>
        <item x="2987"/>
        <item x="2057"/>
        <item x="2807"/>
        <item x="3619"/>
        <item x="4098"/>
        <item x="2719"/>
        <item x="208"/>
        <item x="2995"/>
        <item x="2520"/>
        <item x="1157"/>
        <item x="979"/>
        <item x="725"/>
        <item x="4248"/>
        <item x="3220"/>
        <item x="223"/>
        <item x="478"/>
        <item x="3436"/>
        <item x="1530"/>
        <item x="1449"/>
        <item x="3136"/>
        <item x="2575"/>
        <item x="669"/>
        <item x="2227"/>
        <item x="4114"/>
        <item x="1196"/>
        <item x="3077"/>
        <item x="2993"/>
        <item x="2952"/>
        <item x="2289"/>
        <item x="2595"/>
        <item x="3081"/>
        <item x="144"/>
        <item x="78"/>
        <item x="2462"/>
        <item x="303"/>
        <item x="1358"/>
        <item x="3300"/>
        <item x="41"/>
        <item x="3953"/>
        <item x="3251"/>
        <item x="4462"/>
        <item x="1435"/>
        <item x="1863"/>
        <item x="2727"/>
        <item x="1131"/>
        <item x="2533"/>
        <item x="651"/>
        <item x="1373"/>
        <item x="494"/>
        <item x="1288"/>
        <item x="4048"/>
        <item x="2716"/>
        <item x="2615"/>
        <item x="2823"/>
        <item x="1168"/>
        <item x="2561"/>
        <item x="3863"/>
        <item x="3412"/>
        <item x="1352"/>
        <item x="801"/>
        <item x="3857"/>
        <item x="1901"/>
        <item x="990"/>
        <item x="3470"/>
        <item x="1338"/>
        <item x="876"/>
        <item x="4372"/>
        <item x="3227"/>
        <item x="3826"/>
        <item x="2933"/>
        <item x="500"/>
        <item x="2821"/>
        <item x="4336"/>
        <item x="1208"/>
        <item x="2695"/>
        <item x="1491"/>
        <item x="3418"/>
        <item x="3424"/>
        <item x="1093"/>
        <item x="2517"/>
        <item x="3856"/>
        <item x="1617"/>
        <item x="260"/>
        <item x="1658"/>
        <item x="4303"/>
        <item x="3046"/>
        <item x="2588"/>
        <item x="1650"/>
        <item x="3785"/>
        <item x="3579"/>
        <item x="3413"/>
        <item x="2280"/>
        <item x="2112"/>
        <item x="3557"/>
        <item x="914"/>
        <item x="1083"/>
        <item x="227"/>
        <item x="4341"/>
        <item x="728"/>
        <item x="1488"/>
        <item x="2815"/>
        <item x="1982"/>
        <item x="1798"/>
        <item x="2174"/>
        <item x="798"/>
        <item x="4018"/>
        <item x="3332"/>
        <item x="1456"/>
        <item x="2120"/>
        <item x="656"/>
        <item x="354"/>
        <item x="1228"/>
        <item x="446"/>
        <item x="2954"/>
        <item x="603"/>
        <item x="2570"/>
        <item x="3561"/>
        <item x="2797"/>
        <item x="2163"/>
        <item x="4091"/>
        <item x="3058"/>
        <item x="4058"/>
        <item x="3002"/>
        <item x="1758"/>
        <item x="2774"/>
        <item x="1403"/>
        <item x="3004"/>
        <item x="3115"/>
        <item x="324"/>
        <item x="1801"/>
        <item x="2564"/>
        <item x="3236"/>
        <item x="2772"/>
        <item x="1591"/>
        <item x="272"/>
        <item x="1922"/>
        <item x="3130"/>
        <item x="4029"/>
        <item x="3923"/>
        <item x="1987"/>
        <item x="2093"/>
        <item x="1364"/>
        <item x="2632"/>
        <item x="2357"/>
        <item x="1780"/>
        <item x="2391"/>
        <item x="783"/>
        <item x="3655"/>
        <item x="1014"/>
        <item x="59"/>
        <item x="2511"/>
        <item x="640"/>
        <item x="544"/>
        <item x="561"/>
        <item x="1802"/>
        <item x="1367"/>
        <item x="3214"/>
        <item x="1852"/>
        <item x="348"/>
        <item x="1052"/>
        <item x="1667"/>
        <item x="471"/>
        <item x="4224"/>
        <item x="677"/>
        <item x="3486"/>
        <item x="2056"/>
        <item x="1569"/>
        <item x="1980"/>
        <item x="405"/>
        <item x="610"/>
        <item x="4197"/>
        <item x="641"/>
        <item x="204"/>
        <item x="3833"/>
        <item x="3552"/>
        <item x="573"/>
        <item x="3743"/>
        <item x="2978"/>
        <item x="2885"/>
        <item x="153"/>
        <item x="4053"/>
        <item x="2208"/>
        <item x="874"/>
        <item x="2457"/>
        <item x="2583"/>
        <item x="670"/>
        <item x="2360"/>
        <item x="873"/>
        <item x="1634"/>
        <item x="4419"/>
        <item x="829"/>
        <item x="438"/>
        <item x="917"/>
        <item x="3580"/>
        <item x="408"/>
        <item x="1703"/>
        <item x="3538"/>
        <item x="2974"/>
        <item x="2853"/>
        <item x="1515"/>
        <item x="4271"/>
        <item x="2095"/>
        <item x="3317"/>
        <item x="4383"/>
        <item x="685"/>
        <item x="4247"/>
        <item x="1606"/>
        <item x="4005"/>
        <item x="65"/>
        <item x="4186"/>
        <item x="1010"/>
        <item x="424"/>
        <item x="2649"/>
        <item x="1956"/>
        <item x="3379"/>
        <item x="3729"/>
        <item x="1046"/>
        <item x="1217"/>
        <item x="3520"/>
        <item x="2886"/>
        <item x="4436"/>
        <item x="3463"/>
        <item x="3955"/>
        <item x="2594"/>
        <item x="3696"/>
        <item x="1246"/>
        <item x="3139"/>
        <item x="503"/>
        <item x="3027"/>
        <item x="2094"/>
        <item x="3646"/>
        <item x="3080"/>
        <item x="4308"/>
        <item x="963"/>
        <item x="1618"/>
        <item x="3476"/>
        <item x="3903"/>
        <item x="181"/>
        <item x="1894"/>
        <item x="241"/>
        <item x="3560"/>
        <item x="1989"/>
        <item x="4307"/>
        <item x="3541"/>
        <item x="880"/>
        <item x="1937"/>
        <item x="2896"/>
        <item x="2276"/>
        <item x="1186"/>
        <item x="984"/>
        <item x="2574"/>
        <item x="933"/>
        <item x="2636"/>
        <item x="393"/>
        <item x="3738"/>
        <item x="4433"/>
        <item x="2605"/>
        <item x="992"/>
        <item x="3815"/>
        <item x="2785"/>
        <item x="1249"/>
        <item x="2041"/>
        <item x="2783"/>
        <item x="605"/>
        <item x="733"/>
        <item x="1116"/>
        <item x="1895"/>
        <item x="1875"/>
        <item x="3458"/>
        <item x="2287"/>
        <item x="3842"/>
        <item x="3972"/>
        <item x="2708"/>
        <item x="2900"/>
        <item x="2084"/>
        <item x="2236"/>
        <item x="2063"/>
        <item x="1655"/>
        <item x="310"/>
        <item x="526"/>
        <item x="2935"/>
        <item x="2769"/>
        <item x="675"/>
        <item x="358"/>
        <item x="1191"/>
        <item x="3604"/>
        <item x="3644"/>
        <item x="2149"/>
        <item x="889"/>
        <item x="3373"/>
        <item x="3404"/>
        <item x="1865"/>
        <item x="2911"/>
        <item x="4407"/>
        <item x="1633"/>
        <item x="3326"/>
        <item x="3062"/>
        <item x="811"/>
        <item x="1848"/>
        <item x="650"/>
        <item x="608"/>
        <item x="2350"/>
        <item x="2082"/>
        <item x="3402"/>
        <item x="4007"/>
        <item x="1477"/>
        <item x="4228"/>
        <item x="20"/>
        <item x="1035"/>
        <item x="2154"/>
        <item x="1012"/>
        <item x="3946"/>
        <item x="390"/>
        <item x="3155"/>
        <item x="588"/>
        <item x="2055"/>
        <item x="92"/>
        <item x="2268"/>
        <item x="243"/>
        <item x="447"/>
        <item x="4123"/>
        <item x="4131"/>
        <item x="3008"/>
        <item x="2202"/>
        <item x="4016"/>
        <item x="3045"/>
        <item x="2563"/>
        <item x="2213"/>
        <item x="1745"/>
        <item x="364"/>
        <item x="1524"/>
        <item x="4355"/>
        <item x="3396"/>
        <item x="2616"/>
        <item x="3019"/>
        <item x="1581"/>
        <item x="3741"/>
        <item x="1322"/>
        <item x="1903"/>
        <item x="2753"/>
        <item x="4249"/>
        <item x="266"/>
        <item x="2069"/>
        <item x="2910"/>
        <item x="3372"/>
        <item x="2523"/>
        <item x="1210"/>
        <item x="3806"/>
        <item x="1286"/>
        <item x="340"/>
        <item x="378"/>
        <item x="3605"/>
        <item x="2768"/>
        <item x="4172"/>
        <item x="2623"/>
        <item x="510"/>
        <item x="1226"/>
        <item x="956"/>
        <item x="3375"/>
        <item x="2431"/>
        <item x="270"/>
        <item x="3802"/>
        <item x="375"/>
        <item x="3441"/>
        <item x="4120"/>
        <item x="3167"/>
        <item x="1092"/>
        <item x="1357"/>
        <item x="382"/>
        <item x="2175"/>
        <item x="3055"/>
        <item x="3163"/>
        <item x="823"/>
        <item x="1271"/>
        <item x="2836"/>
        <item x="3727"/>
        <item x="2234"/>
        <item x="1155"/>
        <item x="55"/>
        <item x="4065"/>
        <item x="2332"/>
        <item x="1143"/>
        <item x="3360"/>
        <item x="2506"/>
        <item x="1917"/>
        <item x="4304"/>
        <item x="576"/>
        <item x="1955"/>
        <item x="2860"/>
        <item x="2394"/>
        <item x="17"/>
        <item x="3836"/>
        <item x="1925"/>
        <item x="1936"/>
        <item x="1080"/>
        <item x="3882"/>
        <item x="902"/>
        <item x="1968"/>
        <item x="3736"/>
        <item x="540"/>
        <item x="404"/>
        <item x="1049"/>
        <item x="1405"/>
        <item x="3199"/>
        <item x="853"/>
        <item x="2131"/>
        <item x="664"/>
        <item x="1824"/>
        <item x="1355"/>
        <item x="4339"/>
        <item x="3358"/>
        <item x="2106"/>
        <item x="3682"/>
        <item x="2946"/>
        <item x="3569"/>
        <item x="3678"/>
        <item x="2678"/>
        <item x="4259"/>
        <item x="647"/>
        <item x="786"/>
        <item x="286"/>
        <item x="1825"/>
        <item x="892"/>
        <item x="4379"/>
        <item x="3809"/>
        <item x="3839"/>
        <item x="2824"/>
        <item x="3893"/>
        <item x="2578"/>
        <item x="3207"/>
        <item x="891"/>
        <item x="177"/>
        <item x="1006"/>
        <item x="2015"/>
        <item x="1778"/>
        <item x="1646"/>
        <item x="1169"/>
        <item x="282"/>
        <item x="113"/>
        <item x="4306"/>
        <item x="806"/>
        <item x="2620"/>
        <item x="962"/>
        <item x="2812"/>
        <item x="2867"/>
        <item x="1124"/>
        <item x="4183"/>
        <item x="4217"/>
        <item x="1141"/>
        <item x="533"/>
        <item x="2169"/>
        <item x="295"/>
        <item x="3956"/>
        <item x="1643"/>
        <item x="3612"/>
        <item x="870"/>
        <item x="3401"/>
        <item x="2791"/>
        <item x="3924"/>
        <item x="1256"/>
        <item x="1905"/>
        <item x="1605"/>
        <item x="1105"/>
        <item x="648"/>
        <item x="2725"/>
        <item x="3262"/>
        <item x="2306"/>
        <item x="2436"/>
        <item x="3496"/>
        <item x="1675"/>
        <item x="1054"/>
        <item x="3875"/>
        <item x="422"/>
        <item x="4425"/>
        <item x="82"/>
        <item x="1516"/>
        <item x="3964"/>
        <item x="2210"/>
        <item x="3451"/>
        <item x="4073"/>
        <item x="1900"/>
        <item x="4040"/>
        <item x="4082"/>
        <item x="3406"/>
        <item x="1090"/>
        <item x="2648"/>
        <item x="2490"/>
        <item x="1417"/>
        <item x="4148"/>
        <item x="2685"/>
        <item x="2882"/>
        <item x="1695"/>
        <item x="2054"/>
        <item x="1303"/>
        <item x="538"/>
        <item x="3456"/>
        <item x="3085"/>
        <item x="2633"/>
        <item x="4416"/>
        <item x="1562"/>
        <item x="4424"/>
        <item x="2088"/>
        <item x="1253"/>
        <item x="1990"/>
        <item x="475"/>
        <item x="2568"/>
        <item x="2356"/>
        <item x="2327"/>
        <item x="1690"/>
        <item x="154"/>
        <item x="224"/>
        <item x="1656"/>
        <item x="0"/>
        <item x="3457"/>
        <item x="338"/>
        <item x="3550"/>
        <item x="1486"/>
        <item x="4084"/>
        <item x="2190"/>
        <item x="1418"/>
        <item x="1520"/>
        <item x="3998"/>
        <item x="3188"/>
        <item x="3987"/>
        <item x="2471"/>
        <item x="2528"/>
        <item x="1231"/>
        <item x="2390"/>
        <item x="1867"/>
        <item x="3549"/>
        <item x="2251"/>
        <item x="2108"/>
        <item x="4001"/>
        <item x="1873"/>
        <item x="3522"/>
        <item x="1608"/>
        <item x="3082"/>
        <item x="1165"/>
        <item x="4235"/>
        <item x="1911"/>
        <item x="168"/>
        <item x="87"/>
        <item x="1038"/>
        <item x="1594"/>
        <item x="1479"/>
        <item x="3687"/>
        <item x="1082"/>
        <item x="4209"/>
        <item x="3400"/>
        <item x="2736"/>
        <item x="308"/>
        <item x="851"/>
        <item x="2895"/>
        <item x="2325"/>
        <item x="883"/>
        <item x="3861"/>
        <item x="3616"/>
        <item x="972"/>
        <item x="3354"/>
        <item x="2096"/>
        <item x="2104"/>
        <item x="2080"/>
        <item x="2898"/>
        <item x="4036"/>
        <item x="3934"/>
        <item x="3676"/>
        <item x="925"/>
        <item x="1431"/>
        <item x="3626"/>
        <item x="4076"/>
        <item x="1995"/>
        <item x="2316"/>
        <item x="2656"/>
        <item x="128"/>
        <item x="3927"/>
        <item x="394"/>
        <item x="2799"/>
        <item x="2107"/>
        <item x="3"/>
        <item x="4072"/>
        <item x="3737"/>
        <item x="1628"/>
        <item x="3671"/>
        <item x="2609"/>
        <item x="3974"/>
        <item x="2001"/>
        <item x="2011"/>
        <item x="3661"/>
        <item x="1766"/>
        <item x="2515"/>
        <item x="1938"/>
        <item x="858"/>
        <item x="3526"/>
        <item x="3439"/>
        <item x="4200"/>
        <item x="3087"/>
        <item x="2047"/>
        <item x="3255"/>
        <item x="3965"/>
        <item x="2361"/>
        <item x="4068"/>
        <item x="2311"/>
        <item x="1986"/>
        <item x="871"/>
        <item x="2367"/>
        <item x="1245"/>
        <item x="2767"/>
        <item x="1910"/>
        <item x="3098"/>
        <item x="2949"/>
        <item x="37"/>
        <item x="2829"/>
        <item x="1823"/>
        <item x="4152"/>
        <item x="2187"/>
        <item x="774"/>
        <item x="3823"/>
        <item x="4019"/>
        <item x="1883"/>
        <item x="3775"/>
        <item x="4226"/>
        <item x="1661"/>
        <item x="1732"/>
        <item x="1149"/>
        <item x="434"/>
        <item x="1677"/>
        <item x="1410"/>
        <item x="2445"/>
        <item x="2683"/>
        <item x="4083"/>
        <item x="187"/>
        <item x="3499"/>
        <item x="1592"/>
        <item x="105"/>
        <item x="2302"/>
        <item x="1942"/>
        <item x="3932"/>
        <item x="2168"/>
        <item x="2382"/>
        <item x="13"/>
        <item x="776"/>
        <item x="1794"/>
        <item x="888"/>
        <item x="1275"/>
        <item x="2857"/>
        <item x="197"/>
        <item x="1949"/>
        <item x="2915"/>
        <item x="1603"/>
        <item x="2820"/>
        <item x="1978"/>
        <item x="1068"/>
        <item x="2468"/>
        <item x="509"/>
        <item x="3359"/>
        <item x="1057"/>
        <item x="895"/>
        <item x="636"/>
        <item x="366"/>
        <item x="1468"/>
        <item x="4356"/>
        <item x="439"/>
        <item x="4060"/>
        <item x="3798"/>
        <item x="2504"/>
        <item x="2143"/>
        <item x="3756"/>
        <item x="1951"/>
        <item x="3285"/>
        <item x="893"/>
        <item x="491"/>
        <item x="116"/>
        <item x="4151"/>
        <item x="4240"/>
        <item x="2889"/>
        <item x="110"/>
        <item x="2006"/>
        <item x="2782"/>
        <item x="1025"/>
        <item x="2718"/>
        <item x="1377"/>
        <item x="3654"/>
        <item x="1317"/>
        <item x="3740"/>
        <item x="1664"/>
        <item x="370"/>
        <item x="3511"/>
        <item x="1098"/>
        <item x="1931"/>
        <item x="2115"/>
        <item x="453"/>
        <item x="3792"/>
        <item x="289"/>
        <item x="66"/>
        <item x="867"/>
        <item x="2348"/>
        <item x="713"/>
        <item x="2177"/>
        <item x="323"/>
        <item x="3559"/>
        <item x="1340"/>
        <item x="417"/>
        <item x="3649"/>
        <item x="2916"/>
        <item x="72"/>
        <item x="1274"/>
        <item x="578"/>
        <item x="4264"/>
        <item x="4145"/>
        <item x="2751"/>
        <item x="4422"/>
        <item x="4167"/>
        <item x="2668"/>
        <item x="469"/>
        <item x="1424"/>
        <item x="3151"/>
        <item x="1518"/>
        <item x="3182"/>
        <item x="1930"/>
        <item x="2970"/>
        <item x="782"/>
        <item x="2941"/>
        <item x="318"/>
        <item x="632"/>
        <item x="2266"/>
        <item x="2212"/>
        <item x="218"/>
        <item x="659"/>
        <item x="2794"/>
        <item x="3959"/>
        <item x="1028"/>
        <item x="2945"/>
        <item x="3728"/>
        <item x="1906"/>
        <item x="2555"/>
        <item x="3453"/>
        <item x="732"/>
        <item x="1637"/>
        <item x="2012"/>
        <item x="2712"/>
        <item x="1567"/>
        <item x="2178"/>
        <item x="1464"/>
        <item x="3543"/>
        <item x="589"/>
        <item x="3073"/>
        <item x="2493"/>
        <item x="363"/>
        <item x="4325"/>
        <item x="3119"/>
        <item x="2123"/>
        <item x="3691"/>
        <item x="1845"/>
        <item x="623"/>
        <item x="3947"/>
        <item x="1067"/>
        <item x="2627"/>
        <item x="2934"/>
        <item x="4176"/>
        <item x="3387"/>
        <item x="3961"/>
        <item x="3978"/>
        <item x="719"/>
        <item x="1589"/>
        <item x="1864"/>
        <item x="3420"/>
        <item x="4408"/>
        <item x="2743"/>
        <item x="2480"/>
        <item x="1807"/>
        <item x="380"/>
        <item x="1395"/>
        <item x="4347"/>
        <item x="1187"/>
        <item x="232"/>
        <item x="3291"/>
        <item x="4105"/>
        <item x="4038"/>
        <item x="3624"/>
        <item x="1747"/>
        <item x="3615"/>
        <item x="418"/>
        <item x="537"/>
        <item x="1130"/>
        <item x="2547"/>
        <item x="3269"/>
        <item x="3128"/>
        <item x="423"/>
        <item x="991"/>
        <item x="723"/>
        <item x="1921"/>
        <item x="2808"/>
        <item x="482"/>
        <item x="1414"/>
        <item x="2185"/>
        <item x="1101"/>
        <item x="676"/>
        <item x="7"/>
        <item x="1711"/>
        <item x="2559"/>
        <item x="215"/>
        <item x="2283"/>
        <item x="3389"/>
        <item x="1914"/>
        <item x="3913"/>
        <item x="1147"/>
        <item x="2430"/>
        <item x="4213"/>
        <item x="579"/>
        <item x="3266"/>
        <item x="2045"/>
        <item x="377"/>
        <item x="2939"/>
        <item x="635"/>
        <item x="3242"/>
        <item x="1383"/>
        <item x="73"/>
        <item x="1136"/>
        <item x="2522"/>
        <item x="3204"/>
        <item x="2973"/>
        <item x="803"/>
        <item x="519"/>
        <item x="2597"/>
        <item x="777"/>
        <item x="4043"/>
        <item x="2699"/>
        <item x="1751"/>
        <item x="3851"/>
        <item x="2434"/>
        <item x="1768"/>
        <item x="770"/>
        <item x="287"/>
        <item x="472"/>
        <item x="2189"/>
        <item x="1545"/>
        <item x="384"/>
        <item x="552"/>
        <item x="1194"/>
        <item x="369"/>
        <item x="1627"/>
        <item x="791"/>
        <item x="1043"/>
        <item x="2427"/>
        <item x="3328"/>
        <item x="3873"/>
        <item x="2254"/>
        <item x="2587"/>
        <item x="3662"/>
        <item x="1411"/>
        <item x="3305"/>
        <item x="850"/>
        <item x="1390"/>
        <item x="1262"/>
        <item x="1841"/>
        <item x="4189"/>
        <item x="129"/>
        <item x="1198"/>
        <item x="89"/>
        <item x="4070"/>
        <item x="3403"/>
        <item x="1063"/>
        <item x="3239"/>
        <item x="2410"/>
        <item x="483"/>
        <item x="2395"/>
        <item x="3450"/>
        <item x="2874"/>
        <item x="712"/>
        <item x="4135"/>
        <item x="4268"/>
        <item x="2368"/>
        <item x="3954"/>
        <item x="3700"/>
        <item x="1299"/>
        <item x="3185"/>
        <item x="790"/>
        <item x="3039"/>
        <item x="1329"/>
        <item x="2786"/>
        <item x="2624"/>
        <item x="3250"/>
        <item x="4305"/>
        <item x="3231"/>
        <item x="2286"/>
        <item x="1698"/>
        <item x="1616"/>
        <item x="3539"/>
        <item x="1596"/>
        <item x="4358"/>
        <item x="652"/>
        <item x="800"/>
        <item x="912"/>
        <item x="2925"/>
        <item x="1856"/>
        <item x="4122"/>
        <item x="4237"/>
        <item x="2110"/>
        <item x="180"/>
        <item x="1328"/>
        <item x="3368"/>
        <item x="2926"/>
        <item x="3142"/>
        <item x="4011"/>
        <item x="1220"/>
        <item x="1128"/>
        <item x="3975"/>
        <item x="518"/>
        <item x="841"/>
        <item x="4280"/>
        <item x="2192"/>
        <item x="2584"/>
        <item x="2550"/>
        <item x="545"/>
        <item x="532"/>
        <item x="1504"/>
        <item x="593"/>
        <item x="4"/>
        <item x="4275"/>
        <item x="3223"/>
        <item x="3422"/>
        <item x="565"/>
        <item x="225"/>
        <item x="1470"/>
        <item x="1979"/>
        <item x="1540"/>
        <item x="4069"/>
        <item x="2992"/>
        <item x="1023"/>
        <item x="4287"/>
        <item x="757"/>
        <item x="1954"/>
        <item x="411"/>
        <item x="671"/>
        <item x="3218"/>
        <item x="630"/>
        <item x="1436"/>
        <item x="4252"/>
        <item x="1066"/>
        <item x="1039"/>
        <item x="2778"/>
        <item x="1053"/>
        <item x="3230"/>
        <item x="658"/>
        <item x="3514"/>
        <item x="662"/>
        <item x="3274"/>
        <item x="1267"/>
        <item x="1620"/>
        <item x="1575"/>
        <item x="759"/>
        <item x="3103"/>
        <item x="1679"/>
        <item x="3493"/>
        <item x="3878"/>
        <item x="511"/>
        <item x="3824"/>
        <item x="3597"/>
        <item x="100"/>
        <item x="611"/>
        <item x="3068"/>
        <item x="4319"/>
        <item x="1746"/>
        <item x="4063"/>
        <item x="903"/>
        <item x="1498"/>
        <item x="1499"/>
        <item x="2037"/>
        <item x="355"/>
        <item x="2741"/>
        <item x="2689"/>
        <item x="236"/>
        <item x="2016"/>
        <item x="192"/>
        <item x="4368"/>
        <item x="1115"/>
        <item x="2150"/>
        <item x="2554"/>
        <item x="999"/>
        <item x="333"/>
        <item x="3713"/>
        <item x="2334"/>
        <item x="2032"/>
        <item x="3801"/>
        <item x="2558"/>
        <item x="3205"/>
        <item x="3788"/>
        <item x="205"/>
        <item x="14"/>
        <item x="3770"/>
        <item x="553"/>
        <item x="1764"/>
        <item x="3523"/>
        <item x="758"/>
        <item x="3030"/>
        <item x="703"/>
        <item x="3668"/>
        <item x="173"/>
        <item x="1726"/>
        <item x="1422"/>
        <item x="3944"/>
        <item x="3084"/>
        <item x="1362"/>
        <item x="4373"/>
        <item x="346"/>
        <item x="1250"/>
        <item x="3791"/>
        <item x="2328"/>
        <item x="2051"/>
        <item x="3724"/>
        <item x="1407"/>
        <item x="3899"/>
        <item x="3850"/>
        <item x="1554"/>
        <item x="1790"/>
        <item x="495"/>
        <item x="2762"/>
        <item x="580"/>
        <item x="2374"/>
        <item x="3582"/>
        <item x="3854"/>
        <item x="1161"/>
        <item x="645"/>
        <item x="3050"/>
        <item x="1984"/>
        <item x="2566"/>
        <item x="4456"/>
        <item x="3210"/>
        <item x="980"/>
        <item x="1850"/>
        <item x="684"/>
        <item x="2525"/>
        <item x="1673"/>
        <item x="3656"/>
        <item x="1264"/>
        <item x="1762"/>
        <item x="785"/>
        <item x="254"/>
        <item x="463"/>
        <item x="1870"/>
        <item x="288"/>
        <item x="572"/>
        <item x="1279"/>
        <item x="123"/>
        <item x="1993"/>
        <item x="2074"/>
        <item x="1849"/>
        <item x="448"/>
        <item x="4302"/>
        <item x="1622"/>
        <item x="1742"/>
        <item x="3630"/>
        <item x="2039"/>
        <item x="2641"/>
        <item x="319"/>
        <item x="3421"/>
        <item x="2998"/>
        <item x="4255"/>
        <item x="3663"/>
        <item x="1860"/>
        <item x="3334"/>
        <item x="981"/>
        <item x="527"/>
        <item x="1292"/>
        <item x="3876"/>
        <item x="2291"/>
        <item x="3465"/>
        <item x="1916"/>
        <item x="3083"/>
        <item x="1977"/>
        <item x="3209"/>
        <item x="1022"/>
        <item x="1368"/>
        <item x="4085"/>
        <item x="4426"/>
        <item x="4284"/>
        <item x="2503"/>
        <item x="3319"/>
        <item x="4013"/>
        <item x="2079"/>
        <item x="2947"/>
        <item x="3238"/>
        <item x="62"/>
        <item x="4263"/>
        <item x="3918"/>
        <item x="1385"/>
        <item x="40"/>
        <item x="3941"/>
        <item x="4362"/>
        <item x="4125"/>
        <item x="4335"/>
        <item x="1500"/>
        <item x="1420"/>
        <item x="2906"/>
        <item x="2921"/>
        <item x="4081"/>
        <item x="1281"/>
        <item x="416"/>
        <item x="1920"/>
        <item x="1393"/>
        <item x="2700"/>
        <item x="3853"/>
        <item x="3023"/>
        <item x="278"/>
        <item x="3811"/>
        <item x="1706"/>
        <item x="125"/>
        <item x="2305"/>
        <item x="3430"/>
        <item x="2495"/>
        <item x="3746"/>
        <item x="4008"/>
        <item x="2486"/>
        <item x="1615"/>
        <item x="1804"/>
        <item x="2994"/>
        <item x="2162"/>
        <item x="958"/>
        <item x="2749"/>
        <item x="1099"/>
        <item x="1097"/>
        <item x="2775"/>
        <item x="4062"/>
        <item x="1017"/>
        <item x="2613"/>
        <item x="285"/>
        <item x="621"/>
        <item x="70"/>
        <item x="80"/>
        <item x="2647"/>
        <item x="269"/>
        <item x="2165"/>
        <item x="617"/>
        <item x="4214"/>
        <item x="60"/>
        <item x="2825"/>
        <item x="1693"/>
        <item x="493"/>
        <item x="3707"/>
        <item x="2710"/>
        <item x="2969"/>
        <item x="1927"/>
        <item x="1440"/>
        <item x="4127"/>
        <item x="2166"/>
        <item x="3196"/>
        <item x="3519"/>
        <item x="56"/>
        <item x="705"/>
        <item x="3515"/>
        <item x="4212"/>
        <item x="4171"/>
        <item x="2221"/>
        <item x="2642"/>
        <item x="1160"/>
        <item x="661"/>
        <item x="2216"/>
        <item x="1211"/>
        <item x="3983"/>
        <item x="4010"/>
        <item x="4204"/>
        <item x="3143"/>
        <item x="3197"/>
        <item x="3283"/>
        <item x="2404"/>
        <item x="291"/>
        <item x="3721"/>
        <item x="2764"/>
        <item x="1763"/>
        <item x="1145"/>
        <item x="694"/>
        <item x="1127"/>
        <item x="157"/>
        <item x="637"/>
        <item x="4402"/>
        <item x="1150"/>
        <item x="4006"/>
        <item x="4064"/>
        <item x="4414"/>
        <item x="3544"/>
        <item x="534"/>
        <item x="3258"/>
        <item x="948"/>
        <item x="1448"/>
        <item x="2957"/>
        <item x="3434"/>
        <item x="516"/>
        <item x="2408"/>
        <item x="590"/>
        <item x="894"/>
        <item x="2215"/>
        <item x="612"/>
        <item x="3897"/>
        <item x="1813"/>
        <item x="3293"/>
        <item x="3817"/>
        <item x="2127"/>
        <item x="2249"/>
        <item x="4074"/>
        <item x="2531"/>
        <item x="2536"/>
        <item x="3645"/>
        <item x="1096"/>
        <item x="660"/>
        <item x="3584"/>
        <item x="3454"/>
        <item x="1060"/>
        <item x="4101"/>
        <item x="419"/>
        <item x="170"/>
        <item x="3803"/>
        <item x="1687"/>
        <item x="4262"/>
        <item x="700"/>
        <item x="3507"/>
        <item x="2930"/>
        <item x="952"/>
        <item x="2211"/>
        <item x="3294"/>
        <item x="1129"/>
        <item x="2349"/>
        <item x="1248"/>
        <item x="1782"/>
        <item x="863"/>
        <item x="1527"/>
        <item x="1830"/>
        <item x="1408"/>
        <item x="2868"/>
        <item x="1466"/>
        <item x="1598"/>
        <item x="4137"/>
        <item x="2908"/>
        <item x="2373"/>
        <item x="4115"/>
        <item x="3189"/>
        <item x="2026"/>
        <item x="138"/>
        <item x="2205"/>
        <item x="3904"/>
        <item x="1709"/>
        <item x="3629"/>
        <item x="2005"/>
        <item x="71"/>
        <item x="3186"/>
        <item x="3370"/>
        <item x="2989"/>
        <item x="856"/>
        <item x="3171"/>
        <item x="570"/>
        <item x="2324"/>
        <item x="1531"/>
        <item x="932"/>
        <item x="3174"/>
        <item x="554"/>
        <item x="2839"/>
        <item x="2875"/>
        <item x="2009"/>
        <item x="1899"/>
        <item x="1945"/>
        <item x="1207"/>
        <item x="4282"/>
        <item x="3527"/>
        <item x="699"/>
        <item x="2962"/>
        <item x="2459"/>
        <item x="2871"/>
        <item x="2377"/>
        <item x="1735"/>
        <item x="3123"/>
        <item x="995"/>
        <item x="2257"/>
        <item x="2940"/>
        <item x="3126"/>
        <item x="4108"/>
        <item x="1234"/>
        <item x="1235"/>
        <item x="4318"/>
        <item x="3114"/>
        <item x="2105"/>
        <item x="167"/>
        <item x="4417"/>
        <item x="1304"/>
        <item x="2739"/>
        <item x="3657"/>
        <item x="2707"/>
        <item x="488"/>
        <item x="2201"/>
        <item x="2879"/>
        <item x="3016"/>
        <item x="628"/>
        <item x="3684"/>
        <item x="313"/>
        <item x="3784"/>
        <item x="3013"/>
        <item x="2676"/>
        <item x="252"/>
        <item x="3601"/>
        <item x="131"/>
        <item x="3585"/>
        <item x="4109"/>
        <item x="219"/>
        <item x="3631"/>
        <item x="4334"/>
        <item x="911"/>
        <item x="1140"/>
        <item x="1334"/>
        <item x="4112"/>
        <item x="3950"/>
        <item x="955"/>
        <item x="3212"/>
        <item x="501"/>
        <item x="724"/>
        <item x="3711"/>
        <item x="4153"/>
        <item x="2956"/>
        <item x="2317"/>
        <item x="357"/>
        <item x="3355"/>
        <item x="1533"/>
        <item x="4206"/>
        <item x="2172"/>
        <item x="3310"/>
        <item x="452"/>
        <item x="1820"/>
        <item x="2899"/>
        <item x="1268"/>
        <item x="1289"/>
        <item x="3190"/>
        <item x="1756"/>
        <item x="615"/>
        <item x="3841"/>
        <item x="1705"/>
        <item x="1697"/>
        <item x="704"/>
        <item x="2655"/>
        <item x="4324"/>
        <item x="1024"/>
        <item x="1201"/>
        <item x="3804"/>
        <item x="2309"/>
        <item x="1212"/>
        <item x="3495"/>
        <item x="508"/>
        <item x="3086"/>
        <item x="1512"/>
        <item x="1792"/>
        <item x="240"/>
        <item x="3968"/>
        <item x="4052"/>
        <item x="69"/>
        <item x="4265"/>
        <item x="2822"/>
        <item x="1480"/>
        <item x="3160"/>
        <item x="2451"/>
        <item x="507"/>
        <item x="3517"/>
        <item x="1913"/>
        <item x="1031"/>
        <item x="1020"/>
        <item x="1897"/>
        <item x="1946"/>
        <item x="4147"/>
        <item x="2469"/>
        <item x="1976"/>
        <item x="683"/>
        <item x="1669"/>
        <item x="1550"/>
        <item x="3362"/>
        <item x="4274"/>
        <item x="201"/>
        <item x="34"/>
        <item x="1492"/>
        <item x="3433"/>
        <item x="335"/>
        <item x="796"/>
        <item x="4458"/>
        <item x="3669"/>
        <item x="2501"/>
        <item x="2766"/>
        <item x="3881"/>
        <item x="4283"/>
        <item x="2663"/>
        <item x="2042"/>
        <item x="4002"/>
        <item x="1219"/>
        <item x="2002"/>
        <item x="1177"/>
        <item x="3096"/>
        <item x="1604"/>
        <item x="3307"/>
        <item x="569"/>
        <item x="3667"/>
        <item x="816"/>
        <item x="599"/>
        <item x="3435"/>
        <item x="3714"/>
        <item x="3361"/>
        <item x="1026"/>
        <item x="3980"/>
        <item x="97"/>
        <item x="2335"/>
        <item x="4223"/>
        <item x="2440"/>
        <item x="1944"/>
        <item x="3695"/>
        <item x="1391"/>
        <item x="4475"/>
        <item x="221"/>
        <item x="3810"/>
        <item x="1277"/>
        <item x="23"/>
        <item x="4140"/>
        <item x="3109"/>
        <item x="1866"/>
        <item x="258"/>
        <item x="145"/>
        <item x="4454"/>
        <item x="3466"/>
        <item x="2735"/>
        <item x="3985"/>
        <item x="2659"/>
        <item x="3689"/>
        <item x="4207"/>
        <item x="2397"/>
        <item x="2222"/>
        <item x="710"/>
        <item x="1239"/>
        <item x="2927"/>
        <item x="4418"/>
        <item x="3228"/>
        <item x="1817"/>
        <item x="1164"/>
        <item x="4289"/>
        <item x="2932"/>
        <item x="3641"/>
        <item x="1734"/>
        <item x="3282"/>
        <item x="264"/>
        <item x="490"/>
        <item x="3622"/>
        <item x="2141"/>
        <item x="1337"/>
        <item x="3106"/>
        <item x="2224"/>
        <item x="535"/>
        <item x="2304"/>
        <item x="763"/>
        <item x="749"/>
        <item x="4333"/>
        <item x="3952"/>
        <item x="4090"/>
        <item x="3339"/>
        <item x="3494"/>
        <item x="3761"/>
        <item x="3246"/>
        <item x="1760"/>
        <item x="2789"/>
        <item x="2500"/>
        <item x="3407"/>
        <item x="2878"/>
        <item x="1662"/>
        <item x="4403"/>
        <item x="1761"/>
        <item x="860"/>
        <item x="2389"/>
        <item x="3996"/>
        <item x="2519"/>
        <item x="3338"/>
        <item x="606"/>
        <item x="631"/>
        <item x="3020"/>
        <item x="1206"/>
        <item x="2603"/>
        <item x="1638"/>
        <item x="2022"/>
        <item x="3577"/>
        <item x="1833"/>
        <item x="3051"/>
        <item x="1892"/>
        <item x="1503"/>
        <item x="2770"/>
        <item x="184"/>
        <item x="3286"/>
        <item x="2450"/>
        <item x="1419"/>
        <item x="2483"/>
        <item x="126"/>
        <item x="625"/>
        <item x="1720"/>
        <item x="2884"/>
        <item x="3365"/>
        <item x="1828"/>
        <item x="121"/>
        <item x="163"/>
        <item x="183"/>
        <item x="1033"/>
        <item x="4461"/>
        <item x="1349"/>
        <item x="2477"/>
        <item x="2843"/>
        <item x="3391"/>
        <item x="2959"/>
        <item x="4420"/>
        <item x="2239"/>
        <item x="2024"/>
        <item x="3122"/>
        <item x="714"/>
        <item x="3327"/>
        <item x="4432"/>
        <item x="3670"/>
        <item x="934"/>
        <item x="1988"/>
        <item x="970"/>
        <item x="1898"/>
        <item x="2298"/>
        <item x="1490"/>
        <item x="2326"/>
        <item x="1915"/>
        <item x="1774"/>
        <item x="3481"/>
        <item x="1928"/>
        <item x="281"/>
        <item x="3967"/>
        <item x="1829"/>
        <item x="2988"/>
        <item x="2883"/>
        <item x="939"/>
        <item x="275"/>
        <item x="1224"/>
        <item x="3268"/>
        <item x="1007"/>
        <item x="3505"/>
        <item x="315"/>
        <item x="279"/>
        <item x="2733"/>
        <item x="771"/>
        <item x="3353"/>
        <item x="4467"/>
        <item x="190"/>
        <item x="3120"/>
        <item x="1495"/>
        <item x="1404"/>
        <item x="1517"/>
        <item x="3054"/>
        <item x="206"/>
        <item x="1832"/>
        <item x="2258"/>
        <item x="2193"/>
        <item x="2180"/>
        <item x="427"/>
        <item x="3781"/>
        <item x="928"/>
        <item x="4388"/>
        <item x="2734"/>
        <item x="2347"/>
        <item x="4158"/>
        <item x="2423"/>
        <item x="2320"/>
        <item x="1676"/>
        <item x="1459"/>
        <item x="4439"/>
        <item x="4330"/>
        <item x="280"/>
        <item x="525"/>
        <item x="1640"/>
        <item x="4292"/>
        <item x="4350"/>
        <item x="2365"/>
        <item x="2194"/>
        <item x="619"/>
        <item x="3078"/>
        <item x="986"/>
        <item x="239"/>
        <item x="3215"/>
        <item x="614"/>
        <item x="944"/>
        <item x="322"/>
        <item x="2122"/>
        <item x="1587"/>
        <item x="217"/>
        <item x="4363"/>
        <item x="1293"/>
        <item x="2366"/>
        <item x="966"/>
        <item x="2068"/>
        <item x="3017"/>
        <item x="698"/>
        <item x="1421"/>
        <item x="4382"/>
        <item x="98"/>
        <item x="3726"/>
        <item x="2924"/>
        <item x="2681"/>
        <item x="1819"/>
        <item x="2409"/>
        <item x="4354"/>
        <item x="481"/>
        <item x="541"/>
        <item x="3097"/>
        <item x="3628"/>
        <item x="2243"/>
        <item x="4032"/>
        <item x="3158"/>
        <item x="604"/>
        <item x="3166"/>
        <item x="443"/>
        <item x="2919"/>
        <item x="1757"/>
        <item x="169"/>
        <item x="1276"/>
        <item x="1003"/>
        <item x="506"/>
        <item x="3426"/>
        <item x="1861"/>
        <item x="906"/>
        <item x="360"/>
        <item x="3049"/>
        <item x="2132"/>
        <item x="1890"/>
        <item x="2113"/>
        <item x="1218"/>
        <item x="775"/>
        <item x="2102"/>
        <item x="4353"/>
        <item x="3063"/>
        <item x="1118"/>
        <item x="3038"/>
        <item x="212"/>
        <item x="4469"/>
        <item x="1055"/>
        <item x="2253"/>
        <item x="2518"/>
        <item x="2238"/>
        <item x="467"/>
        <item x="2542"/>
        <item x="3037"/>
        <item x="2346"/>
        <item x="4369"/>
        <item x="920"/>
        <item x="2742"/>
        <item x="1961"/>
        <item x="708"/>
        <item x="1631"/>
        <item x="3846"/>
        <item x="4298"/>
        <item x="1985"/>
        <item x="4236"/>
        <item x="1701"/>
        <item x="4100"/>
        <item x="3357"/>
        <item x="3070"/>
        <item x="476"/>
        <item x="2403"/>
        <item x="1471"/>
        <item x="736"/>
        <item x="1251"/>
        <item x="1119"/>
        <item x="2711"/>
        <item x="1770"/>
        <item x="3138"/>
        <item x="2386"/>
        <item x="4441"/>
        <item x="2179"/>
        <item x="607"/>
        <item x="2581"/>
        <item x="3232"/>
        <item x="3859"/>
        <item x="566"/>
        <item x="596"/>
        <item x="1327"/>
        <item x="430"/>
        <item x="4119"/>
        <item x="2285"/>
        <item x="1305"/>
        <item x="3012"/>
        <item x="3107"/>
        <item x="4297"/>
        <item x="1808"/>
        <item x="1004"/>
        <item x="3525"/>
        <item x="2835"/>
        <item x="2442"/>
        <item x="809"/>
        <item x="2157"/>
        <item x="4267"/>
        <item x="2701"/>
        <item x="4138"/>
        <item x="3229"/>
        <item x="388"/>
        <item x="4087"/>
        <item x="2489"/>
        <item x="103"/>
        <item x="2618"/>
        <item x="3735"/>
        <item x="1134"/>
        <item x="3047"/>
        <item x="1059"/>
        <item x="1862"/>
        <item x="130"/>
        <item x="2352"/>
        <item x="2049"/>
        <item x="79"/>
        <item x="1009"/>
        <item x="3061"/>
        <item x="420"/>
        <item x="2065"/>
        <item x="2256"/>
        <item x="2556"/>
        <item x="2598"/>
        <item x="4291"/>
        <item x="165"/>
        <item x="3318"/>
        <item x="1294"/>
        <item x="4128"/>
        <item x="4460"/>
        <item x="2319"/>
        <item x="1142"/>
        <item x="1313"/>
        <item x="99"/>
        <item x="4375"/>
        <item x="124"/>
        <item x="575"/>
        <item x="1048"/>
        <item x="2961"/>
        <item x="1016"/>
        <item x="1721"/>
        <item x="1904"/>
        <item x="2262"/>
        <item x="3113"/>
        <item x="4142"/>
        <item x="4293"/>
        <item x="2960"/>
        <item x="3198"/>
        <item x="2428"/>
        <item x="964"/>
        <item x="1151"/>
        <item x="2318"/>
        <item x="1454"/>
        <item x="618"/>
        <item x="3309"/>
        <item x="3940"/>
        <item x="2067"/>
        <item x="773"/>
        <item x="3443"/>
        <item x="2937"/>
        <item x="4245"/>
        <item x="1452"/>
        <item x="4103"/>
        <item x="3753"/>
        <item x="3712"/>
        <item x="445"/>
        <item x="2229"/>
        <item x="4243"/>
        <item x="1577"/>
        <item x="2412"/>
        <item x="297"/>
        <item x="584"/>
        <item x="2706"/>
        <item x="4359"/>
        <item x="2617"/>
        <item x="4447"/>
        <item x="2053"/>
        <item x="4380"/>
        <item x="818"/>
        <item x="1600"/>
        <item x="2061"/>
        <item x="2130"/>
        <item x="715"/>
        <item x="3323"/>
        <item x="1991"/>
        <item x="1252"/>
        <item x="2576"/>
        <item x="4229"/>
        <item x="2003"/>
        <item x="822"/>
        <item x="3567"/>
        <item x="3367"/>
        <item x="1497"/>
        <item x="936"/>
        <item x="557"/>
        <item x="3984"/>
        <item x="2991"/>
        <item x="1971"/>
        <item x="336"/>
        <item x="1075"/>
        <item x="4437"/>
        <item x="2866"/>
        <item x="1882"/>
        <item x="1663"/>
        <item x="3164"/>
        <item x="1348"/>
        <item x="1755"/>
        <item x="4078"/>
        <item x="316"/>
        <item x="2512"/>
        <item x="3483"/>
        <item x="4035"/>
        <item x="1924"/>
        <item x="2293"/>
        <item x="2931"/>
        <item x="4180"/>
        <item x="4320"/>
        <item x="4202"/>
        <item x="4190"/>
        <item x="3170"/>
        <item x="815"/>
        <item x="4327"/>
        <item x="2036"/>
        <item x="4470"/>
        <item x="3545"/>
        <item x="1087"/>
        <item x="1713"/>
        <item x="3296"/>
        <item x="2242"/>
        <item x="3578"/>
        <item x="3787"/>
        <item x="2814"/>
        <item x="2795"/>
        <item x="3352"/>
        <item x="929"/>
        <item x="2393"/>
        <item x="665"/>
        <item x="3475"/>
        <item x="2580"/>
        <item x="3035"/>
        <item x="1283"/>
        <item x="176"/>
        <item x="210"/>
        <item x="96"/>
        <item x="1541"/>
        <item x="1858"/>
        <item x="1719"/>
        <item x="3653"/>
        <item x="808"/>
        <item x="4156"/>
        <item x="1523"/>
        <item x="3386"/>
        <item x="368"/>
        <item x="4241"/>
        <item x="3480"/>
        <item x="468"/>
        <item x="1172"/>
        <item x="1822"/>
        <item x="2763"/>
        <item x="367"/>
        <item x="3988"/>
        <item x="1749"/>
        <item x="821"/>
        <item x="3509"/>
        <item x="81"/>
        <item x="2402"/>
        <item x="3895"/>
        <item x="2281"/>
        <item x="1588"/>
        <item x="3329"/>
        <item x="2129"/>
        <item x="2596"/>
        <item x="1827"/>
        <item x="1342"/>
        <item x="3442"/>
        <item x="1236"/>
        <item x="1878"/>
        <item x="2226"/>
        <item x="2630"/>
        <item x="3006"/>
        <item x="1752"/>
        <item x="1179"/>
        <item x="4332"/>
        <item x="539"/>
        <item x="4096"/>
        <item x="834"/>
        <item x="341"/>
        <item x="3623"/>
        <item x="2"/>
        <item x="523"/>
        <item x="3848"/>
        <item x="2272"/>
        <item x="4395"/>
        <item x="531"/>
        <item x="451"/>
        <item x="4405"/>
        <item x="4232"/>
        <item x="2090"/>
        <item x="678"/>
        <item x="3303"/>
        <item x="3821"/>
        <item x="2951"/>
        <item x="1323"/>
        <item x="77"/>
        <item x="4390"/>
        <item x="2914"/>
        <item x="2877"/>
        <item x="935"/>
        <item x="2117"/>
        <item x="3249"/>
        <item x="1779"/>
        <item x="2551"/>
        <item x="3264"/>
        <item x="3090"/>
        <item x="3608"/>
        <item x="542"/>
        <item x="957"/>
        <item x="139"/>
        <item x="3757"/>
        <item x="4061"/>
        <item x="1356"/>
        <item x="284"/>
        <item x="3796"/>
        <item x="399"/>
        <item x="1453"/>
        <item x="2060"/>
        <item x="3141"/>
        <item x="1433"/>
        <item x="2592"/>
        <item x="2907"/>
        <item x="1539"/>
        <item x="3606"/>
        <item x="741"/>
        <item x="3763"/>
        <item x="1462"/>
        <item x="2530"/>
        <item x="2240"/>
        <item x="1929"/>
        <item x="3834"/>
        <item x="1344"/>
        <item x="1062"/>
        <item x="3963"/>
        <item x="396"/>
        <item x="4328"/>
        <item x="1111"/>
        <item x="3872"/>
        <item x="1887"/>
        <item x="3767"/>
        <item x="2802"/>
        <item x="734"/>
        <item x="51"/>
        <item x="2658"/>
        <item x="726"/>
        <item x="560"/>
        <item x="2800"/>
        <item x="3092"/>
        <item x="2679"/>
        <item x="3001"/>
        <item x="512"/>
        <item x="2028"/>
        <item x="235"/>
        <item x="2606"/>
        <item x="1266"/>
        <item x="3057"/>
        <item x="3652"/>
        <item x="1821"/>
        <item x="4050"/>
        <item x="830"/>
        <item x="2218"/>
        <item x="1183"/>
        <item x="3484"/>
        <item x="1193"/>
        <item x="879"/>
        <item x="3976"/>
        <item x="2943"/>
        <item x="666"/>
        <item x="3245"/>
        <item x="1339"/>
        <item x="2560"/>
        <item x="1692"/>
        <item x="3021"/>
        <item x="4201"/>
        <item x="689"/>
        <item x="1649"/>
        <item x="2487"/>
        <item x="3154"/>
        <item x="3240"/>
        <item x="787"/>
        <item x="916"/>
        <item x="4352"/>
        <item x="2684"/>
        <item x="1047"/>
        <item x="2756"/>
        <item x="743"/>
        <item x="3033"/>
        <item x="1997"/>
        <item x="4427"/>
        <item x="489"/>
        <item x="1476"/>
        <item x="1132"/>
        <item x="2337"/>
        <item x="1888"/>
        <item x="2870"/>
        <item x="127"/>
        <item x="3739"/>
        <item x="3278"/>
        <item x="3168"/>
        <item x="4134"/>
        <item x="2929"/>
        <item x="2634"/>
        <item x="898"/>
        <item x="1999"/>
        <item x="2378"/>
        <item x="1144"/>
        <item x="2755"/>
        <item x="3259"/>
        <item x="1485"/>
        <item x="237"/>
        <item x="2010"/>
        <item x="2671"/>
        <item x="2672"/>
        <item x="2771"/>
        <item x="697"/>
        <item x="2612"/>
        <item x="1699"/>
        <item x="410"/>
        <item x="2747"/>
        <item x="2206"/>
        <item x="3260"/>
        <item x="383"/>
        <item x="1084"/>
        <item x="2411"/>
        <item x="312"/>
        <item x="1836"/>
        <item x="1957"/>
        <item x="1874"/>
        <item x="2089"/>
        <item x="2282"/>
        <item x="2342"/>
        <item x="2865"/>
        <item x="2832"/>
        <item x="2965"/>
        <item x="2250"/>
        <item x="2294"/>
        <item x="296"/>
        <item x="3553"/>
        <item x="4144"/>
        <item x="2023"/>
        <item x="804"/>
        <item x="4455"/>
        <item x="277"/>
        <item x="2199"/>
        <item x="3448"/>
        <item x="1203"/>
        <item x="222"/>
        <item x="3635"/>
        <item x="1306"/>
        <item x="2379"/>
        <item x="4097"/>
        <item x="4227"/>
        <item x="4104"/>
        <item x="1426"/>
        <item x="1333"/>
        <item x="693"/>
        <item x="1139"/>
        <item x="1166"/>
        <item x="3490"/>
        <item x="3748"/>
        <item x="973"/>
        <item x="833"/>
        <item x="3181"/>
        <item x="1290"/>
        <item x="2228"/>
        <item x="226"/>
        <item x="3217"/>
        <item x="4193"/>
        <item x="2292"/>
        <item x="2247"/>
        <item x="4143"/>
        <item x="2669"/>
        <item x="4278"/>
        <item x="3273"/>
        <item x="1996"/>
        <item x="2837"/>
        <item x="3658"/>
        <item x="1021"/>
        <item x="3397"/>
        <item x="3636"/>
        <item x="840"/>
        <item x="3885"/>
        <item x="4231"/>
        <item x="3324"/>
        <item x="2109"/>
        <item x="3029"/>
        <item x="1974"/>
        <item x="4345"/>
        <item x="1064"/>
        <item x="1859"/>
        <item x="1712"/>
        <item x="1960"/>
        <item x="1108"/>
        <item x="3571"/>
        <item x="2101"/>
        <item x="4067"/>
        <item x="620"/>
        <item x="4220"/>
        <item x="2625"/>
        <item x="1438"/>
        <item x="3202"/>
        <item x="33"/>
        <item x="2602"/>
        <item x="3124"/>
        <item x="4173"/>
        <item x="3587"/>
        <item x="4409"/>
        <item x="1242"/>
        <item x="1401"/>
        <item x="3778"/>
        <item x="1258"/>
        <item x="188"/>
        <item x="1347"/>
        <item x="3754"/>
        <item x="2284"/>
        <item x="2035"/>
        <item x="1137"/>
        <item x="30"/>
        <item x="835"/>
        <item x="663"/>
        <item x="3180"/>
        <item x="2855"/>
        <item x="317"/>
        <item x="3869"/>
        <item x="1188"/>
        <item x="3311"/>
        <item x="3625"/>
        <item x="959"/>
        <item x="1061"/>
        <item x="4233"/>
        <item x="2976"/>
        <item x="4331"/>
        <item x="2544"/>
        <item x="2191"/>
        <item x="915"/>
        <item x="2640"/>
        <item x="706"/>
        <item x="4478"/>
        <item x="1478"/>
        <item x="2338"/>
        <item x="2571"/>
        <item x="3774"/>
        <item x="371"/>
        <item x="4244"/>
        <item x="238"/>
        <item x="2407"/>
        <item x="3562"/>
        <item x="4088"/>
        <item x="3997"/>
        <item x="2146"/>
        <item x="1190"/>
        <item x="993"/>
        <item x="3907"/>
        <item x="2757"/>
        <item x="3928"/>
        <item x="1595"/>
        <item x="3572"/>
        <item x="1505"/>
        <item x="1475"/>
        <item x="1812"/>
        <item x="1702"/>
        <item x="3830"/>
        <item x="309"/>
        <item x="2040"/>
        <item x="1799"/>
        <item x="3989"/>
        <item x="1816"/>
        <item x="3938"/>
        <item x="2344"/>
        <item x="2608"/>
        <item x="3306"/>
        <item x="779"/>
        <item x="93"/>
        <item x="2030"/>
        <item x="581"/>
        <item x="3762"/>
        <item x="848"/>
        <item x="2033"/>
        <item x="536"/>
        <item x="3187"/>
        <item x="3473"/>
        <item x="4311"/>
        <item x="1642"/>
        <item x="2513"/>
        <item x="4453"/>
        <item x="3937"/>
        <item x="761"/>
        <item x="2746"/>
        <item x="1773"/>
        <item x="2626"/>
        <item x="842"/>
        <item x="4485"/>
        <item x="1444"/>
        <item x="455"/>
        <item x="3393"/>
        <item x="2980"/>
        <item x="3003"/>
        <item x="3116"/>
        <item x="3315"/>
        <item x="2780"/>
        <item x="3335"/>
        <item x="778"/>
        <item x="1585"/>
        <item x="1652"/>
        <item x="1788"/>
        <item x="1635"/>
        <item x="9"/>
        <item x="1805"/>
        <item x="4428"/>
        <item x="1696"/>
        <item x="3243"/>
        <item x="207"/>
        <item x="3500"/>
        <item x="947"/>
        <item x="1811"/>
        <item x="3429"/>
        <item x="1232"/>
        <item x="1397"/>
        <item x="937"/>
        <item x="3536"/>
        <item x="4126"/>
        <item x="3855"/>
        <item x="276"/>
        <item x="1647"/>
        <item x="4374"/>
        <item x="1270"/>
        <item x="462"/>
        <item x="3193"/>
        <item x="3939"/>
        <item x="1413"/>
        <item x="2543"/>
        <item x="4047"/>
        <item x="3304"/>
        <item x="3414"/>
        <item x="3445"/>
        <item x="3011"/>
        <item x="2862"/>
        <item x="1972"/>
        <item x="2773"/>
        <item x="1970"/>
        <item x="3117"/>
        <item x="1192"/>
        <item x="3343"/>
        <item x="3574"/>
        <item x="247"/>
        <item x="810"/>
        <item x="2460"/>
        <item x="2173"/>
        <item x="102"/>
        <item x="3725"/>
        <item x="3994"/>
        <item x="4015"/>
        <item x="1415"/>
        <item x="4444"/>
        <item x="4399"/>
        <item x="3588"/>
        <item x="306"/>
        <item x="3581"/>
        <item x="1370"/>
        <item x="2167"/>
        <item x="2059"/>
        <item x="132"/>
        <item x="3364"/>
        <item x="1741"/>
        <item x="690"/>
        <item x="3099"/>
        <item x="1307"/>
        <item x="2698"/>
        <item x="244"/>
        <item x="3425"/>
        <item x="52"/>
        <item x="4471"/>
        <item x="720"/>
        <item x="866"/>
        <item x="1015"/>
        <item x="199"/>
        <item x="2508"/>
        <item x="3799"/>
        <item x="3596"/>
        <item x="1371"/>
        <item x="268"/>
        <item x="1336"/>
        <item x="1511"/>
        <item x="186"/>
        <item x="245"/>
        <item x="1423"/>
        <item x="2985"/>
        <item x="1623"/>
        <item x="329"/>
        <item x="1560"/>
        <item x="3485"/>
        <item x="722"/>
        <item x="594"/>
        <item x="2188"/>
        <item x="2439"/>
        <item x="872"/>
        <item x="2827"/>
        <item x="3922"/>
        <item x="1107"/>
        <item x="327"/>
        <item x="229"/>
        <item x="769"/>
        <item x="817"/>
        <item x="3042"/>
        <item x="4452"/>
        <item x="1330"/>
        <item x="63"/>
        <item x="1008"/>
        <item x="1195"/>
        <item x="4045"/>
        <item x="2333"/>
        <item x="2124"/>
        <item x="2209"/>
        <item x="53"/>
        <item x="401"/>
        <item x="320"/>
        <item x="3590"/>
        <item x="3797"/>
        <item x="3390"/>
        <item x="1233"/>
        <item x="3241"/>
        <item x="3005"/>
        <item x="2805"/>
        <item x="1278"/>
        <item x="1388"/>
        <item x="104"/>
        <item x="344"/>
        <item x="2425"/>
        <item x="2473"/>
        <item x="3790"/>
        <item x="1460"/>
        <item x="18"/>
        <item x="3813"/>
        <item x="3632"/>
        <item x="3472"/>
        <item x="905"/>
        <item x="918"/>
        <item x="234"/>
        <item x="2942"/>
        <item x="385"/>
        <item x="3263"/>
        <item x="2295"/>
        <item x="899"/>
        <item x="668"/>
        <item x="267"/>
        <item x="1876"/>
        <item x="2838"/>
        <item x="4479"/>
        <item x="2458"/>
        <item x="1613"/>
        <item x="1871"/>
        <item x="3614"/>
        <item x="1839"/>
        <item x="4457"/>
        <item x="3169"/>
        <item x="300"/>
        <item x="735"/>
        <item x="1113"/>
        <item x="202"/>
        <item x="643"/>
        <item x="601"/>
        <item x="1671"/>
        <item x="976"/>
        <item x="5"/>
        <item x="387"/>
        <item x="4182"/>
        <item x="2307"/>
        <item x="2070"/>
        <item x="3529"/>
        <item x="768"/>
        <item x="2020"/>
        <item x="2854"/>
        <item x="386"/>
        <item x="2670"/>
        <item x="1045"/>
        <item x="3829"/>
        <item x="2437"/>
        <item x="2732"/>
        <item x="19"/>
        <item x="3551"/>
        <item x="498"/>
        <item x="3847"/>
        <item x="1343"/>
        <item x="2380"/>
        <item x="2322"/>
        <item x="253"/>
        <item x="592"/>
        <item x="3524"/>
        <item x="2195"/>
        <item x="1153"/>
        <item x="120"/>
        <item x="1771"/>
        <item x="4025"/>
        <item x="568"/>
        <item x="2586"/>
        <item x="1630"/>
        <item x="1345"/>
        <item x="1189"/>
        <item x="3845"/>
        <item x="1445"/>
        <item x="1723"/>
        <item x="3716"/>
        <item x="4157"/>
        <item x="1073"/>
        <item x="1117"/>
        <item x="3468"/>
        <item x="2872"/>
        <item x="1610"/>
        <item x="3840"/>
        <item x="971"/>
        <item x="2888"/>
        <item x="1285"/>
        <item x="2509"/>
        <item x="3643"/>
        <item x="825"/>
        <item x="4346"/>
        <item x="3999"/>
        <item x="4141"/>
        <item x="4366"/>
        <item x="691"/>
        <item x="3783"/>
        <item x="4094"/>
        <item x="1375"/>
        <item x="3772"/>
        <item x="1106"/>
        <item x="3558"/>
        <item x="1534"/>
        <item x="374"/>
        <item x="2614"/>
        <item x="2840"/>
        <item x="429"/>
        <item x="4250"/>
        <item x="1872"/>
        <item x="3666"/>
        <item x="2137"/>
        <item x="2585"/>
        <item x="836"/>
        <item x="255"/>
        <item x="119"/>
        <item x="1365"/>
        <item x="1013"/>
        <item x="4377"/>
        <item x="2923"/>
        <item x="744"/>
        <item x="4199"/>
        <item x="2604"/>
        <item x="1463"/>
        <item x="3916"/>
        <item x="2887"/>
        <item x="4012"/>
        <item x="3720"/>
        <item x="949"/>
        <item x="583"/>
        <item x="1158"/>
        <item x="2429"/>
        <item x="862"/>
        <item x="3137"/>
        <item x="4464"/>
        <item x="3565"/>
        <item x="1058"/>
        <item x="4177"/>
        <item x="4160"/>
        <item x="140"/>
        <item x="4349"/>
        <item x="3948"/>
        <item x="1967"/>
        <item x="2046"/>
        <item x="762"/>
        <item x="2693"/>
        <item x="36"/>
        <item x="4371"/>
        <item x="3789"/>
        <item x="2261"/>
        <item x="3252"/>
        <item x="2902"/>
        <item x="421"/>
        <item x="3734"/>
        <item x="843"/>
        <item x="3602"/>
        <item x="556"/>
        <item x="1542"/>
        <item x="12"/>
        <item x="3281"/>
        <item x="2484"/>
        <item x="1868"/>
        <item x="975"/>
        <item x="3213"/>
        <item x="3513"/>
        <item x="1538"/>
        <item x="3298"/>
        <item x="1548"/>
        <item x="1382"/>
        <item x="4003"/>
        <item x="4285"/>
        <item x="692"/>
        <item x="3147"/>
        <item x="450"/>
        <item x="3949"/>
        <item x="250"/>
        <item x="3093"/>
        <item x="1602"/>
        <item x="711"/>
        <item x="4286"/>
        <item x="824"/>
        <item x="3009"/>
        <item x="339"/>
        <item x="3176"/>
        <item x="2043"/>
        <item x="1785"/>
        <item x="4205"/>
        <item x="302"/>
        <item x="2813"/>
        <item x="3146"/>
        <item x="563"/>
        <item x="4442"/>
        <item x="3014"/>
        <item x="3487"/>
        <item x="1668"/>
        <item x="799"/>
        <item x="1138"/>
        <item x="409"/>
        <item x="950"/>
        <item x="1787"/>
        <item x="499"/>
        <item x="1163"/>
        <item x="1626"/>
        <item x="701"/>
        <item x="3446"/>
        <item x="3555"/>
        <item x="2323"/>
        <item x="2052"/>
        <item x="2217"/>
        <item x="4378"/>
        <item x="3094"/>
        <item x="1050"/>
        <item x="2245"/>
        <item x="1077"/>
        <item x="3321"/>
        <item x="564"/>
        <item x="4041"/>
        <item x="3222"/>
        <item x="2546"/>
        <item x="807"/>
        <item x="3399"/>
        <item x="4288"/>
        <item x="2819"/>
        <item x="987"/>
        <item x="1230"/>
        <item x="3369"/>
        <item x="2135"/>
        <item x="4438"/>
        <item x="4392"/>
        <item x="3827"/>
        <item x="3342"/>
        <item x="4370"/>
        <item x="3908"/>
        <item x="3015"/>
        <item x="2599"/>
        <item x="1467"/>
        <item x="1351"/>
        <item x="2062"/>
        <item x="846"/>
        <item x="4357"/>
        <item x="3942"/>
        <item x="1392"/>
        <item x="3350"/>
        <item x="2527"/>
        <item x="1934"/>
        <item x="3592"/>
        <item x="2705"/>
        <item x="428"/>
        <item x="3452"/>
        <item x="3563"/>
        <item x="3272"/>
        <item x="1783"/>
        <item x="242"/>
        <item x="42"/>
        <item x="1326"/>
        <item x="4446"/>
        <item x="3071"/>
        <item x="2461"/>
        <item x="492"/>
        <item x="2917"/>
        <item x="1254"/>
        <item x="402"/>
        <item x="881"/>
        <item x="4326"/>
        <item x="931"/>
        <item x="1297"/>
        <item x="1551"/>
        <item x="156"/>
        <item x="2478"/>
        <item x="562"/>
        <item x="2000"/>
        <item x="624"/>
        <item x="3206"/>
        <item x="1243"/>
        <item x="4386"/>
        <item x="717"/>
        <item x="2750"/>
        <item x="2645"/>
        <item x="1648"/>
        <item x="2562"/>
        <item x="136"/>
        <item x="203"/>
        <item x="2833"/>
        <item x="586"/>
        <item x="513"/>
        <item x="1826"/>
        <item x="681"/>
        <item x="2099"/>
        <item x="1809"/>
        <item x="1185"/>
        <item x="2100"/>
        <item x="2607"/>
        <item x="2573"/>
        <item x="1399"/>
        <item x="106"/>
        <item x="3568"/>
        <item x="3336"/>
        <item x="3793"/>
        <item x="746"/>
        <item x="3595"/>
        <item x="4387"/>
        <item x="4309"/>
        <item x="431"/>
        <item x="101"/>
        <item x="3325"/>
        <item x="1959"/>
        <item x="2264"/>
        <item x="1398"/>
        <item x="3108"/>
        <item x="3920"/>
        <item x="3265"/>
        <item x="3337"/>
        <item x="352"/>
        <item x="43"/>
        <item x="2680"/>
        <item x="3686"/>
        <item x="1378"/>
        <item x="2928"/>
        <item x="1857"/>
        <item x="1483"/>
        <item x="1769"/>
        <item x="3100"/>
        <item x="2524"/>
        <item x="1174"/>
        <item x="1170"/>
        <item x="3547"/>
        <item x="3069"/>
        <item x="1549"/>
        <item x="2818"/>
        <item x="4054"/>
        <item x="1447"/>
        <item x="1493"/>
        <item x="2831"/>
        <item x="193"/>
        <item x="737"/>
        <item x="951"/>
        <item x="4169"/>
        <item x="849"/>
        <item x="3287"/>
        <item x="112"/>
        <item x="2197"/>
        <item x="1714"/>
        <item x="3065"/>
        <item x="2297"/>
        <item x="1325"/>
        <item x="1935"/>
        <item x="4463"/>
        <item x="2666"/>
        <item x="1148"/>
        <item x="189"/>
        <item x="361"/>
        <item x="3104"/>
        <item x="3408"/>
        <item x="1601"/>
        <item x="4294"/>
        <item x="4159"/>
        <item x="2475"/>
        <item x="4057"/>
        <item x="765"/>
        <item x="3384"/>
        <item x="4218"/>
        <item x="1110"/>
        <item x="2134"/>
        <item x="930"/>
        <item x="1353"/>
        <item x="1247"/>
        <item x="1324"/>
        <item x="3935"/>
        <item x="4269"/>
        <item x="233"/>
        <item x="3308"/>
        <item x="1573"/>
        <item x="753"/>
        <item x="3722"/>
        <item x="1181"/>
        <item x="216"/>
        <item x="4099"/>
        <item x="256"/>
        <item x="347"/>
        <item x="2138"/>
        <item x="3224"/>
        <item x="3914"/>
        <item x="731"/>
        <item x="4391"/>
        <item x="1070"/>
        <item x="400"/>
        <item x="1632"/>
        <item x="3056"/>
        <item x="1969"/>
        <item x="687"/>
        <item x="1851"/>
        <item x="4481"/>
        <item x="1359"/>
        <item x="2864"/>
        <item x="3478"/>
        <item x="1366"/>
        <item x="1280"/>
        <item x="1710"/>
        <item x="4022"/>
        <item x="2903"/>
        <item x="2223"/>
        <item x="600"/>
        <item x="4208"/>
        <item x="2086"/>
        <item x="122"/>
        <item x="480"/>
        <item x="2760"/>
        <item x="334"/>
        <item x="2938"/>
        <item x="3089"/>
        <item x="4440"/>
        <item x="2638"/>
        <item x="3639"/>
        <item x="2801"/>
        <item x="4079"/>
        <item x="1572"/>
        <item x="953"/>
        <item x="1312"/>
        <item x="4254"/>
        <item x="4450"/>
        <item x="2233"/>
        <item x="372"/>
        <item x="837"/>
        <item x="3512"/>
        <item x="1965"/>
        <item x="392"/>
        <item x="548"/>
        <item x="1831"/>
        <item x="3502"/>
        <item x="3388"/>
        <item x="655"/>
        <item x="2577"/>
        <item x="729"/>
        <item x="1369"/>
        <item x="1886"/>
        <item x="2905"/>
        <item x="2806"/>
        <item x="2339"/>
        <item x="2894"/>
        <item x="1287"/>
        <item x="3153"/>
        <item x="2241"/>
        <item x="567"/>
        <item x="3706"/>
        <item x="1840"/>
        <item x="4121"/>
        <item x="64"/>
        <item x="3226"/>
        <item x="4340"/>
        <item x="3831"/>
        <item x="3995"/>
        <item x="2313"/>
        <item x="1546"/>
        <item x="484"/>
        <item x="839"/>
        <item x="828"/>
        <item x="1474"/>
        <item x="1529"/>
        <item x="1386"/>
        <item x="3705"/>
        <item x="4276"/>
        <item x="470"/>
        <item x="403"/>
        <item x="1372"/>
        <item x="4051"/>
        <item x="3690"/>
        <item x="3765"/>
        <item x="2631"/>
        <item x="2148"/>
        <item x="2441"/>
        <item x="688"/>
        <item x="2966"/>
        <item x="1295"/>
        <item x="1088"/>
        <item x="365"/>
        <item x="2329"/>
        <item x="4163"/>
        <item x="1213"/>
        <item x="3018"/>
        <item x="1406"/>
        <item x="2892"/>
        <item x="2944"/>
        <item x="459"/>
        <item x="2810"/>
        <item x="3969"/>
        <item x="200"/>
        <item x="389"/>
        <item x="1952"/>
        <item x="2790"/>
        <item x="4198"/>
        <item x="4376"/>
        <item x="3573"/>
        <item x="2145"/>
        <item x="1263"/>
        <item x="727"/>
        <item x="598"/>
        <item x="3603"/>
        <item x="4364"/>
        <item x="3145"/>
        <item x="1442"/>
        <item x="2521"/>
        <item x="3031"/>
        <item x="1558"/>
        <item x="2300"/>
        <item x="3474"/>
        <item x="639"/>
        <item x="4258"/>
        <item x="3849"/>
        <item x="738"/>
        <item x="998"/>
        <item x="3800"/>
        <item x="3566"/>
        <item x="3036"/>
        <item x="1566"/>
        <item x="1308"/>
        <item x="2510"/>
        <item x="2703"/>
        <item x="2567"/>
        <item x="897"/>
        <item x="1981"/>
        <item x="2375"/>
        <item x="3779"/>
        <item x="3921"/>
        <item x="4139"/>
        <item x="2290"/>
        <item x="16"/>
        <item x="633"/>
        <item x="1842"/>
        <item x="1316"/>
        <item x="2849"/>
        <item x="2454"/>
        <item x="1396"/>
        <item x="3886"/>
        <item x="3647"/>
        <item x="2435"/>
        <item x="4246"/>
        <item x="4343"/>
        <item x="1889"/>
        <item x="3986"/>
        <item x="1739"/>
        <item x="458"/>
        <item x="2073"/>
        <item x="4196"/>
        <item x="349"/>
        <item x="1332"/>
        <item x="4130"/>
        <item x="530"/>
        <item x="2269"/>
        <item x="558"/>
        <item x="194"/>
        <item x="3048"/>
        <item x="3279"/>
        <item x="1715"/>
        <item x="425"/>
        <item x="3702"/>
        <item x="2673"/>
        <item x="2729"/>
        <item x="35"/>
        <item x="2455"/>
        <item x="517"/>
        <item x="597"/>
        <item x="2207"/>
        <item x="3786"/>
        <item x="3295"/>
        <item x="4415"/>
        <item x="11"/>
        <item x="2758"/>
        <item x="1112"/>
        <item x="3043"/>
        <item x="3292"/>
        <item x="4487"/>
        <item x="3759"/>
        <item x="1154"/>
        <item x="4150"/>
        <item x="2646"/>
        <item x="2321"/>
        <item x="672"/>
        <item x="1284"/>
        <item x="1301"/>
        <item x="3862"/>
        <item x="3383"/>
        <item x="1733"/>
        <item x="497"/>
        <item x="1469"/>
        <item x="2975"/>
        <item x="1716"/>
        <item x="4024"/>
        <item x="2635"/>
        <item x="150"/>
        <item x="1619"/>
        <item x="376"/>
        <item x="3825"/>
        <item x="3432"/>
        <item x="1152"/>
        <item x="146"/>
        <item x="4394"/>
        <item x="2418"/>
        <item x="2948"/>
        <item x="3363"/>
        <item x="1202"/>
        <item x="2087"/>
        <item x="2396"/>
        <item x="1432"/>
        <item x="3007"/>
        <item x="3482"/>
        <item x="2953"/>
        <item x="2420"/>
        <item x="3471"/>
        <item x="2847"/>
        <item x="1853"/>
        <item x="2610"/>
        <item x="767"/>
        <item x="135"/>
        <item x="1394"/>
        <item x="3880"/>
        <item x="4184"/>
        <item x="3398"/>
        <item x="1216"/>
        <item x="1902"/>
        <item x="4146"/>
        <item x="3609"/>
        <item x="32"/>
        <item x="1265"/>
        <item x="3930"/>
        <item x="4321"/>
        <item x="514"/>
        <item x="4021"/>
        <item x="3828"/>
        <item x="4449"/>
        <item x="265"/>
        <item x="3871"/>
        <item x="1777"/>
        <item x="2072"/>
        <item x="332"/>
        <item x="2539"/>
        <item x="2622"/>
        <item x="1975"/>
        <item x="4411"/>
        <item x="395"/>
        <item x="1563"/>
        <item x="2370"/>
        <item x="3225"/>
        <item x="1237"/>
        <item x="2731"/>
        <item x="198"/>
        <item x="84"/>
        <item x="1555"/>
        <item x="3610"/>
        <item x="613"/>
        <item x="3417"/>
        <item x="1434"/>
        <item x="351"/>
        <item x="3816"/>
        <item x="152"/>
        <item x="2846"/>
        <item x="1797"/>
        <item x="977"/>
        <item x="107"/>
        <item x="1109"/>
        <item x="2384"/>
        <item x="3874"/>
        <item x="2569"/>
        <item x="2740"/>
        <item x="4129"/>
        <item x="1309"/>
        <item x="1532"/>
        <item x="1570"/>
        <item x="574"/>
        <item x="1611"/>
        <item x="1496"/>
        <item x="2968"/>
        <item x="4066"/>
        <item x="3870"/>
        <item x="3730"/>
        <item x="4179"/>
        <item x="2787"/>
        <item x="2526"/>
        <item x="1953"/>
        <item x="3910"/>
        <item x="1795"/>
        <item x="2383"/>
        <item x="3620"/>
        <item x="2619"/>
        <item x="67"/>
        <item x="4009"/>
        <item x="805"/>
        <item x="1939"/>
        <item x="4192"/>
        <item x="2830"/>
        <item x="3345"/>
        <item x="4290"/>
        <item x="1625"/>
        <item x="3660"/>
        <item x="1400"/>
        <item x="938"/>
        <item x="91"/>
        <item x="3768"/>
        <item x="1204"/>
        <item x="118"/>
        <item x="3271"/>
        <item x="1590"/>
        <item x="2203"/>
        <item x="3052"/>
        <item x="1402"/>
        <item x="1079"/>
        <item x="4337"/>
        <item x="3381"/>
        <item x="3883"/>
        <item x="2591"/>
        <item x="143"/>
        <item x="2308"/>
        <item x="3211"/>
        <item x="2724"/>
        <item x="1998"/>
        <item x="321"/>
        <item x="896"/>
        <item x="249"/>
        <item x="1363"/>
        <item x="160"/>
        <item x="3780"/>
        <item x="2263"/>
        <item x="1086"/>
        <item x="4480"/>
        <item x="869"/>
        <item x="4216"/>
        <item x="4367"/>
        <item x="1528"/>
        <item x="657"/>
        <item x="1036"/>
        <item x="2331"/>
        <item x="414"/>
        <item x="4482"/>
        <item x="3534"/>
        <item x="2126"/>
        <item x="1427"/>
        <item x="25"/>
        <item x="2723"/>
        <item x="2861"/>
        <item x="4023"/>
        <item x="4039"/>
        <item x="3479"/>
        <item x="1502"/>
        <item x="674"/>
        <item x="172"/>
        <item x="960"/>
        <item x="4165"/>
        <item x="1908"/>
        <item x="616"/>
        <item x="3673"/>
        <item x="3838"/>
        <item x="577"/>
        <item x="1089"/>
        <item x="820"/>
        <item x="4106"/>
        <item x="3675"/>
        <item x="1644"/>
        <item x="1708"/>
        <item x="4234"/>
        <item x="784"/>
        <item x="1114"/>
        <item x="4203"/>
        <item x="505"/>
        <item x="1441"/>
        <item x="3889"/>
        <item x="4116"/>
        <item x="2301"/>
        <item x="2388"/>
        <item x="2682"/>
        <item x="667"/>
        <item x="4435"/>
        <item x="1918"/>
        <item x="6"/>
        <item x="2971"/>
        <item x="3302"/>
        <item x="1425"/>
        <item x="1437"/>
        <item x="1176"/>
        <item x="1838"/>
        <item x="3627"/>
        <item x="751"/>
        <item x="2990"/>
        <item x="4338"/>
        <item x="1173"/>
        <item x="1947"/>
        <item x="3742"/>
        <item x="546"/>
        <item x="1919"/>
        <item x="4221"/>
        <item x="4162"/>
        <item x="844"/>
        <item x="412"/>
        <item x="1621"/>
        <item x="3518"/>
        <item x="3704"/>
        <item x="1522"/>
        <item x="487"/>
        <item x="555"/>
        <item x="479"/>
        <item x="831"/>
        <item x="1737"/>
        <item x="174"/>
        <item x="1310"/>
        <item x="1932"/>
        <item x="3718"/>
        <item x="3348"/>
        <item x="2351"/>
        <item x="2330"/>
        <item x="3254"/>
        <item x="1599"/>
        <item x="3970"/>
        <item x="486"/>
        <item x="3901"/>
        <item x="1854"/>
        <item x="1221"/>
        <item x="845"/>
        <item x="3316"/>
        <item x="1653"/>
        <item x="1846"/>
        <item x="3127"/>
        <item x="27"/>
        <item x="3132"/>
        <item x="440"/>
        <item x="298"/>
        <item x="1027"/>
        <item x="1680"/>
        <item x="2147"/>
        <item x="3979"/>
        <item x="582"/>
        <item x="2358"/>
        <item x="1565"/>
        <item x="1688"/>
        <item x="4384"/>
        <item x="819"/>
        <item x="2964"/>
        <item x="2025"/>
        <item x="943"/>
        <item x="2897"/>
        <item x="3805"/>
        <item x="407"/>
        <item x="433"/>
        <item x="2246"/>
        <item x="1580"/>
        <item x="2161"/>
        <item x="2537"/>
        <item x="195"/>
        <item x="2355"/>
        <item x="166"/>
        <item x="2081"/>
        <item x="551"/>
        <item x="2841"/>
        <item x="1657"/>
        <item x="2196"/>
        <item x="602"/>
        <item x="3201"/>
        <item x="4155"/>
        <item x="3492"/>
        <item x="1786"/>
        <item x="3322"/>
        <item x="4178"/>
        <item x="3618"/>
        <item x="1318"/>
        <item x="3140"/>
        <item x="3460"/>
        <item x="1133"/>
        <item x="3299"/>
        <item x="1683"/>
        <item x="1909"/>
        <item x="2881"/>
        <item x="1461"/>
        <item x="1717"/>
        <item x="2982"/>
        <item x="1501"/>
        <item x="117"/>
        <item x="1948"/>
        <item x="3865"/>
        <item x="1725"/>
        <item x="2816"/>
        <item x="1002"/>
        <item x="760"/>
        <item x="115"/>
        <item x="444"/>
        <item x="2779"/>
        <item x="1880"/>
        <item x="1018"/>
        <item x="1510"/>
        <item x="3510"/>
        <item x="1507"/>
        <item x="3044"/>
        <item x="2232"/>
        <item x="2792"/>
        <item x="3694"/>
        <item x="2776"/>
        <item x="47"/>
        <item x="4312"/>
        <item x="1759"/>
        <item x="3111"/>
        <item x="974"/>
        <item x="2967"/>
        <item x="1629"/>
        <item x="2111"/>
        <item x="695"/>
        <item x="432"/>
        <item x="988"/>
        <item x="2589"/>
        <item x="175"/>
        <item x="3395"/>
        <item x="1360"/>
        <item x="3733"/>
        <item x="795"/>
        <item x="788"/>
        <item x="2392"/>
        <item x="2809"/>
        <item x="3749"/>
        <item x="3380"/>
        <item x="4164"/>
        <item x="31"/>
        <item x="1051"/>
        <item x="1354"/>
        <item x="2728"/>
        <item x="3782"/>
        <item x="1707"/>
        <item x="4434"/>
        <item x="2092"/>
        <item x="3613"/>
        <item x="2058"/>
        <item x="1586"/>
        <item x="3593"/>
        <item x="3156"/>
        <item x="2438"/>
        <item x="2788"/>
        <item x="3896"/>
        <item x="3041"/>
        <item x="3256"/>
        <item x="465"/>
        <item x="2579"/>
        <item x="271"/>
        <item x="1891"/>
        <item x="3121"/>
        <item x="1376"/>
        <item x="1684"/>
        <item x="4344"/>
        <item x="3933"/>
        <item x="653"/>
        <item x="3459"/>
        <item x="1806"/>
        <item x="379"/>
        <item x="4299"/>
        <item x="1612"/>
        <item x="304"/>
        <item x="4277"/>
        <item x="4118"/>
        <item x="887"/>
        <item x="4017"/>
        <item x="2909"/>
        <item x="2400"/>
        <item x="4168"/>
        <item x="273"/>
        <item x="3858"/>
        <item x="1227"/>
        <item x="179"/>
        <item x="2448"/>
        <item x="2029"/>
        <item x="4393"/>
        <item x="2414"/>
        <item x="2071"/>
        <item x="4421"/>
        <item x="1877"/>
        <item x="3973"/>
        <item x="3235"/>
        <item x="890"/>
        <item x="1814"/>
        <item x="485"/>
        <item x="629"/>
        <item x="4445"/>
        <item x="1298"/>
        <item x="2125"/>
        <item x="1273"/>
        <item x="3537"/>
        <item x="2048"/>
        <item x="1450"/>
        <item x="326"/>
        <item x="2044"/>
        <item x="4133"/>
        <item x="2548"/>
        <item x="3776"/>
        <item x="3075"/>
        <item x="2817"/>
        <item x="350"/>
        <item x="48"/>
        <item x="4194"/>
        <item x="814"/>
        <item x="4215"/>
        <item x="3034"/>
        <item x="2661"/>
        <item x="1578"/>
        <item x="4110"/>
        <item x="3902"/>
        <item x="1494"/>
        <item x="3600"/>
        <item x="1465"/>
        <item x="730"/>
        <item x="4174"/>
        <item x="1718"/>
        <item x="4210"/>
        <item x="2863"/>
        <item x="74"/>
        <item x="2153"/>
        <item x="185"/>
        <item x="3237"/>
        <item x="2371"/>
        <item x="75"/>
        <item x="3693"/>
        <item x="61"/>
        <item x="2413"/>
        <item x="2140"/>
        <item x="2303"/>
        <item x="921"/>
        <item x="3703"/>
        <item x="2181"/>
        <item x="290"/>
        <item x="1509"/>
        <item x="3589"/>
        <item x="2491"/>
        <item x="2466"/>
        <item x="3330"/>
        <item x="1614"/>
        <item x="827"/>
        <item x="3066"/>
        <item x="3583"/>
        <item x="3844"/>
        <item x="1796"/>
        <item x="3521"/>
        <item x="3993"/>
        <item x="4317"/>
        <item x="1660"/>
        <item x="3681"/>
        <item x="1074"/>
        <item x="2270"/>
        <item x="1167"/>
        <item x="2901"/>
        <item x="3467"/>
        <item x="989"/>
        <item x="884"/>
        <item x="2657"/>
        <item x="3191"/>
        <item x="4401"/>
        <item x="2972"/>
        <item x="2171"/>
        <item x="595"/>
        <item x="171"/>
        <item x="3416"/>
        <item x="520"/>
        <item x="644"/>
        <item x="1321"/>
        <item x="3165"/>
        <item x="2183"/>
        <item x="2267"/>
        <item x="1005"/>
        <item x="1536"/>
        <item x="2472"/>
        <item x="3531"/>
        <item x="4230"/>
        <item x="3760"/>
        <item x="1156"/>
        <item x="2398"/>
        <item x="38"/>
        <item x="1122"/>
        <item x="2119"/>
        <item x="2470"/>
        <item x="1940"/>
        <item x="3356"/>
        <item x="2118"/>
        <item x="1686"/>
        <item x="3814"/>
        <item x="1205"/>
        <item x="3102"/>
        <item x="4191"/>
        <item x="792"/>
        <item x="2085"/>
        <item x="2796"/>
        <item x="94"/>
        <item x="1094"/>
        <item x="673"/>
        <item x="1199"/>
        <item x="50"/>
        <item x="859"/>
        <item x="1682"/>
        <item x="3449"/>
        <item x="2696"/>
        <item x="3233"/>
        <item x="3906"/>
        <item x="2158"/>
        <item x="1416"/>
        <item x="3440"/>
        <item x="1481"/>
        <item x="3540"/>
        <item x="3911"/>
        <item x="2761"/>
        <item x="1451"/>
        <item x="4476"/>
        <item x="3764"/>
        <item x="3990"/>
        <item x="2488"/>
        <item x="1209"/>
        <item x="748"/>
        <item x="585"/>
        <item x="2590"/>
        <item x="3807"/>
        <item x="1835"/>
        <item x="3040"/>
        <item x="2252"/>
        <item x="521"/>
        <item x="213"/>
        <item x="151"/>
        <item x="2433"/>
        <item x="2021"/>
        <item x="3297"/>
        <item x="1896"/>
        <item x="2781"/>
        <item x="3812"/>
        <item x="2665"/>
        <item x="1609"/>
        <item x="1011"/>
        <item x="1458"/>
        <item x="2507"/>
        <item x="1847"/>
        <item x="2856"/>
        <item x="3777"/>
        <item x="3320"/>
        <item x="3067"/>
        <item x="2593"/>
        <item x="2534"/>
        <item x="2726"/>
        <item x="3599"/>
        <item x="4154"/>
        <item x="1641"/>
        <item x="3672"/>
        <item x="528"/>
        <item x="1843"/>
        <item x="2248"/>
        <item x="220"/>
        <item x="228"/>
        <item x="1120"/>
        <item x="4431"/>
        <item x="3962"/>
        <item x="2353"/>
        <item x="1126"/>
        <item x="2064"/>
        <item x="1041"/>
        <item x="1651"/>
        <item x="2359"/>
        <item x="1744"/>
        <item x="1803"/>
        <item x="3837"/>
        <item x="878"/>
        <item x="1034"/>
        <item x="2255"/>
        <item x="1685"/>
        <item x="2170"/>
        <item x="1754"/>
        <item x="3289"/>
        <item x="2687"/>
        <item x="4406"/>
        <item x="2121"/>
        <item x="2399"/>
        <item x="3341"/>
        <item x="3755"/>
        <item x="2662"/>
        <item x="3010"/>
        <item x="3680"/>
        <item x="2704"/>
        <item x="3769"/>
        <item x="2600"/>
        <item x="2572"/>
        <item x="3301"/>
        <item x="1300"/>
        <item x="3134"/>
        <item x="1056"/>
        <item x="680"/>
        <item x="3333"/>
        <item x="1818"/>
        <item x="4132"/>
        <item x="1837"/>
        <item x="1672"/>
        <item x="2721"/>
        <item x="2738"/>
        <item x="1001"/>
        <item x="3640"/>
        <item x="2984"/>
        <item x="2419"/>
        <item x="4251"/>
        <item x="294"/>
        <item x="2452"/>
        <item x="1000"/>
        <item x="571"/>
        <item x="1964"/>
        <item x="1691"/>
        <item x="4124"/>
        <item x="353"/>
        <item x="2136"/>
        <item x="2019"/>
        <item x="1834"/>
        <item x="945"/>
        <item x="2541"/>
        <item x="2078"/>
        <item x="3731"/>
        <item x="473"/>
        <item x="4071"/>
        <item x="813"/>
        <item x="756"/>
        <item x="2230"/>
        <item x="44"/>
        <item x="1029"/>
        <item x="2652"/>
        <item x="1765"/>
        <item x="3410"/>
        <item x="2481"/>
        <item x="3284"/>
        <item x="1526"/>
        <item x="2312"/>
        <item x="1559"/>
        <item x="913"/>
        <item x="4385"/>
        <item x="3221"/>
        <item x="3917"/>
        <item x="2116"/>
        <item x="3192"/>
        <item x="3195"/>
        <item x="4295"/>
        <item x="3688"/>
        <item x="3677"/>
        <item x="3773"/>
        <item x="3887"/>
        <item x="4468"/>
        <item x="1694"/>
        <item x="2362"/>
        <item x="2296"/>
        <item x="752"/>
        <item x="2299"/>
        <item x="1724"/>
        <item x="3860"/>
        <item x="1793"/>
        <item x="1508"/>
        <item x="1923"/>
        <item x="1429"/>
        <item x="3852"/>
        <item x="1379"/>
        <item x="257"/>
        <item x="1314"/>
        <item x="2176"/>
        <item x="2582"/>
        <item x="3409"/>
        <item x="2376"/>
        <item x="740"/>
        <item x="1926"/>
        <item x="3864"/>
        <item x="3665"/>
        <item x="696"/>
        <item x="1521"/>
        <item x="1085"/>
        <item x="2720"/>
        <item x="28"/>
        <item x="2443"/>
        <item x="3894"/>
        <item x="609"/>
        <item x="292"/>
        <item x="789"/>
        <item x="854"/>
        <item x="2629"/>
        <item x="1430"/>
        <item x="2027"/>
        <item x="26"/>
        <item x="1753"/>
        <item x="3288"/>
        <item x="2456"/>
        <item x="1319"/>
        <item x="1583"/>
        <item x="3290"/>
        <item x="3461"/>
        <item x="3506"/>
        <item x="780"/>
        <item x="1941"/>
        <item x="1514"/>
        <item x="1222"/>
        <item x="1042"/>
        <item x="2219"/>
        <item x="4272"/>
        <item x="4080"/>
        <item x="3617"/>
        <item x="2482"/>
        <item x="1544"/>
        <item x="1044"/>
        <item x="1346"/>
        <item x="3501"/>
        <item x="2730"/>
        <item x="90"/>
        <item x="1065"/>
        <item x="3184"/>
        <item x="2235"/>
        <item x="373"/>
        <item x="1810"/>
        <item x="2014"/>
        <item x="4102"/>
        <item x="24"/>
        <item x="3966"/>
        <item x="3982"/>
        <item x="1791"/>
        <item x="2406"/>
        <item x="3591"/>
        <item x="2075"/>
        <item x="3032"/>
        <item x="923"/>
        <item x="942"/>
        <item x="2341"/>
        <item x="638"/>
        <item x="114"/>
        <item x="1659"/>
        <item x="4185"/>
        <item x="3912"/>
        <item x="2447"/>
        <item x="622"/>
        <item x="3971"/>
        <item x="2424"/>
        <item x="4448"/>
        <item x="164"/>
        <item x="3744"/>
        <item x="1844"/>
        <item x="3419"/>
        <item x="4451"/>
        <item x="1772"/>
        <item x="2811"/>
        <item x="924"/>
        <item x="2765"/>
        <item x="4483"/>
        <item x="159"/>
        <item x="2446"/>
        <item x="3832"/>
        <item x="1473"/>
        <item x="2485"/>
        <item x="2340"/>
        <item x="2476"/>
        <item x="747"/>
        <item x="3594"/>
        <item x="413"/>
        <item x="2660"/>
        <item x="314"/>
        <item x="1506"/>
        <item x="2151"/>
        <item x="1722"/>
        <item x="1582"/>
        <item x="4410"/>
        <item x="133"/>
        <item x="4273"/>
        <item x="147"/>
        <item x="868"/>
        <item x="2869"/>
        <item x="3752"/>
        <item x="3275"/>
        <item x="1513"/>
        <item x="3025"/>
        <item x="3771"/>
        <item x="95"/>
        <item x="2804"/>
        <item x="1146"/>
        <item x="2713"/>
        <item x="3105"/>
        <item x="721"/>
        <item x="3794"/>
        <item x="342"/>
        <item x="1730"/>
        <item x="148"/>
        <item x="2315"/>
        <item x="3554"/>
        <item x="2415"/>
        <item x="3516"/>
        <item x="1214"/>
        <item x="4095"/>
        <item x="1584"/>
        <item x="1171"/>
        <item x="3633"/>
        <item x="3637"/>
        <item x="2644"/>
        <item x="2017"/>
        <item x="1311"/>
        <item x="3820"/>
        <item x="2653"/>
        <item x="2198"/>
        <item x="781"/>
        <item x="3709"/>
        <item x="716"/>
        <item x="524"/>
        <item x="1639"/>
        <item x="2986"/>
        <item x="1537"/>
        <item x="2845"/>
        <item x="3392"/>
        <item x="1178"/>
        <item x="994"/>
        <item x="2114"/>
        <item x="1869"/>
        <item x="10"/>
        <item x="161"/>
        <item x="832"/>
        <item x="1564"/>
        <item x="3651"/>
        <item x="2497"/>
        <item x="1740"/>
        <item x="21"/>
        <item x="3843"/>
        <item x="2674"/>
        <item x="4042"/>
        <item x="3504"/>
        <item x="4117"/>
        <item x="3280"/>
        <item x="3177"/>
        <item x="739"/>
        <item x="3868"/>
        <item x="4310"/>
        <item x="4472"/>
        <item x="2155"/>
        <item x="1100"/>
        <item x="4279"/>
        <item x="812"/>
        <item x="415"/>
        <item x="1387"/>
        <item x="702"/>
        <item x="4342"/>
        <item x="2997"/>
        <item x="1180"/>
        <item x="1543"/>
        <item x="649"/>
        <item x="1040"/>
        <item x="4028"/>
        <item x="2336"/>
        <item x="1678"/>
        <item x="2677"/>
        <item x="3149"/>
        <item x="2859"/>
        <item x="3926"/>
        <item x="2545"/>
        <item x="3118"/>
        <item x="1223"/>
        <item x="1776"/>
        <item x="1607"/>
        <item x="2834"/>
        <item x="76"/>
        <item x="1665"/>
        <item x="2784"/>
        <item x="3819"/>
        <item x="1484"/>
        <item x="1104"/>
        <item x="4404"/>
        <item x="3376"/>
        <item x="855"/>
        <item x="2494"/>
        <item x="1568"/>
        <item x="2955"/>
        <item x="2066"/>
        <item x="4381"/>
        <item x="1030"/>
        <item x="3428"/>
        <item x="709"/>
        <item x="3469"/>
        <item x="3026"/>
        <item x="2421"/>
        <item x="875"/>
        <item x="2502"/>
        <item x="3101"/>
        <item x="2918"/>
        <item x="4161"/>
        <item x="466"/>
        <item x="3586"/>
        <item x="1879"/>
        <item x="1302"/>
        <item x="3095"/>
        <item x="3423"/>
        <item x="2996"/>
        <item x="3346"/>
        <item x="4261"/>
        <item x="4093"/>
        <item x="797"/>
        <item x="3144"/>
        <item x="2310"/>
        <item x="3277"/>
        <item x="3905"/>
        <item x="3179"/>
        <item x="3374"/>
        <item x="2709"/>
        <item x="2449"/>
        <item x="2958"/>
        <item x="3248"/>
        <item x="3991"/>
        <item x="2667"/>
        <item x="2156"/>
        <item x="1019"/>
        <item x="3257"/>
        <item x="4256"/>
        <item x="3960"/>
        <item x="3203"/>
        <item x="1389"/>
        <item x="2643"/>
        <item x="3598"/>
        <item x="1552"/>
        <item x="1200"/>
        <item x="1078"/>
        <item x="682"/>
        <item x="2496"/>
        <item x="3685"/>
        <item x="2405"/>
        <item x="1240"/>
        <item x="4033"/>
        <item x="4077"/>
        <item x="1244"/>
        <item x="3528"/>
        <item x="4049"/>
        <item x="802"/>
        <item x="3750"/>
        <item x="3546"/>
        <item x="1439"/>
        <item x="504"/>
        <item x="900"/>
        <item x="2963"/>
        <item x="1666"/>
        <item x="4257"/>
        <item x="707"/>
        <item x="1121"/>
        <item x="2904"/>
        <item x="2387"/>
        <item x="3253"/>
        <item x="1535"/>
        <item x="3957"/>
        <item x="4314"/>
        <item x="3925"/>
        <item x="2745"/>
        <item x="1361"/>
        <item x="3194"/>
        <item x="3175"/>
        <item x="2848"/>
        <item x="857"/>
        <item x="305"/>
        <item x="909"/>
        <item x="3267"/>
        <item x="3385"/>
        <item x="2950"/>
        <item x="1457"/>
        <item x="1950"/>
        <item x="3344"/>
        <item x="134"/>
        <item x="1943"/>
        <item x="2826"/>
        <item x="3570"/>
        <item x="3936"/>
        <item x="3638"/>
        <item x="2637"/>
        <item x="46"/>
        <item x="1123"/>
        <item x="1525"/>
        <item x="1576"/>
        <item x="1561"/>
        <item x="2385"/>
        <item x="2803"/>
        <item x="2876"/>
        <item x="3958"/>
        <item x="4056"/>
        <item x="2133"/>
        <item x="3877"/>
        <item x="1282"/>
        <item x="3683"/>
        <item x="550"/>
        <item x="1229"/>
        <item x="2008"/>
        <item x="3371"/>
        <item x="1729"/>
        <item x="4465"/>
        <item x="3642"/>
        <item x="4301"/>
        <item x="2277"/>
        <item x="4026"/>
        <item x="2128"/>
        <item x="3234"/>
        <item x="464"/>
        <item x="2516"/>
        <item x="3340"/>
        <item x="3064"/>
        <item x="2479"/>
        <item x="877"/>
        <item x="1958"/>
        <item x="3808"/>
        <item x="2999"/>
        <item x="3745"/>
        <item x="4166"/>
        <item x="3818"/>
        <item x="2714"/>
        <item x="547"/>
        <item x="3331"/>
        <item x="1032"/>
        <item x="4107"/>
        <item x="2664"/>
        <item x="3533"/>
        <item x="4004"/>
        <item x="209"/>
        <item x="4225"/>
        <item x="2031"/>
        <item x="908"/>
        <item x="961"/>
        <item x="3697"/>
        <item x="543"/>
        <item x="39"/>
        <item x="1689"/>
        <item x="3053"/>
        <item x="1350"/>
        <item x="2759"/>
        <item x="2798"/>
        <item x="1736"/>
        <item x="2702"/>
        <item x="587"/>
        <item x="3349"/>
        <item x="3900"/>
        <item x="985"/>
        <item x="2748"/>
        <item x="1784"/>
        <item x="3219"/>
        <item x="3977"/>
        <item x="4030"/>
        <item x="426"/>
        <item x="1912"/>
        <item x="2628"/>
        <item x="954"/>
        <item x="283"/>
        <item x="1182"/>
        <item x="328"/>
        <item x="3411"/>
        <item x="2164"/>
        <item x="356"/>
        <item x="2038"/>
        <item x="1983"/>
        <item x="1670"/>
        <item x="2265"/>
        <item x="4423"/>
        <item x="3438"/>
        <item x="449"/>
        <item x="1973"/>
        <item x="3462"/>
        <item x="3110"/>
        <item x="4195"/>
        <item x="263"/>
        <item x="262"/>
        <item x="1197"/>
        <item x="4181"/>
        <item x="3943"/>
        <item x="2098"/>
        <item x="3489"/>
        <item x="2737"/>
        <item x="83"/>
        <item x="3992"/>
        <item x="2091"/>
        <item x="3611"/>
        <item x="3159"/>
        <item x="2288"/>
        <item x="2981"/>
        <item x="940"/>
        <item x="2691"/>
        <item x="2752"/>
        <item x="4089"/>
        <item x="3415"/>
        <item x="1320"/>
        <item x="362"/>
        <item x="2103"/>
        <item x="301"/>
        <item x="4238"/>
        <item x="246"/>
        <item x="4239"/>
        <item x="3276"/>
        <item x="1574"/>
        <item x="3891"/>
        <item x="196"/>
        <item x="85"/>
        <item x="456"/>
        <item x="754"/>
        <item x="3564"/>
        <item x="826"/>
        <item x="2858"/>
        <item x="2004"/>
        <item x="4351"/>
        <item x="3129"/>
        <item x="1331"/>
        <item x="2204"/>
        <item x="1482"/>
        <item x="29"/>
        <item x="2715"/>
        <item x="3931"/>
        <item x="946"/>
        <item x="3607"/>
        <item x="1125"/>
        <item x="1750"/>
        <item x="2465"/>
        <item x="3701"/>
        <item x="886"/>
        <item x="1381"/>
        <item x="230"/>
        <item x="1260"/>
        <item x="4188"/>
        <item x="2499"/>
        <item x="2621"/>
        <item x="2890"/>
        <item x="3758"/>
        <item x="1775"/>
        <item x="4323"/>
        <item x="1815"/>
        <item x="3929"/>
        <item x="997"/>
        <item x="967"/>
        <item x="2694"/>
        <item x="3866"/>
        <item x="965"/>
        <item x="1743"/>
        <item x="1103"/>
        <item x="2514"/>
        <item x="1593"/>
        <item x="861"/>
        <item x="149"/>
        <item x="1579"/>
        <item x="4430"/>
        <item x="1135"/>
        <item x="3719"/>
        <item x="2097"/>
        <item x="4270"/>
        <item x="1519"/>
        <item x="2552"/>
        <item x="2850"/>
        <item x="1291"/>
        <item x="4313"/>
        <item x="4031"/>
        <item x="2977"/>
        <item x="3135"/>
        <item x="1727"/>
        <item x="3674"/>
        <item x="3981"/>
        <item x="2842"/>
        <item x="2893"/>
        <item x="3464"/>
        <item x="1215"/>
        <item x="1748"/>
        <item x="3427"/>
        <item x="1933"/>
        <item x="2142"/>
        <item x="2880"/>
        <item x="3131"/>
        <item x="2873"/>
        <item x="1091"/>
        <item x="4136"/>
        <item x="1341"/>
        <item x="2852"/>
        <item x="2231"/>
        <item x="1412"/>
        <item x="1"/>
        <item x="2363"/>
        <item x="3879"/>
        <item x="3488"/>
        <item x="3498"/>
        <item x="2186"/>
        <item x="772"/>
        <item x="2601"/>
        <item x="4322"/>
        <item x="3532"/>
        <item x="3437"/>
        <item x="852"/>
        <item x="1700"/>
        <item x="3766"/>
        <item x="750"/>
        <item x="634"/>
        <item x="437"/>
        <item x="679"/>
        <item x="3074"/>
        <item x="4365"/>
        <item x="1257"/>
        <item x="3148"/>
        <item x="2369"/>
        <item x="3444"/>
        <item x="2417"/>
        <item x="654"/>
        <item x="766"/>
        <item x="2182"/>
        <item x="359"/>
        <item x="2688"/>
        <item x="58"/>
        <item x="4400"/>
        <item x="3491"/>
        <item x="910"/>
        <item x="793"/>
        <item x="391"/>
        <item x="178"/>
        <item x="274"/>
        <item x="3909"/>
        <item x="904"/>
        <item x="2426"/>
        <item x="261"/>
        <item x="1654"/>
        <item x="1597"/>
        <item x="307"/>
        <item x="865"/>
        <item x="968"/>
        <item x="2343"/>
        <item x="2549"/>
        <item x="2200"/>
        <item x="109"/>
        <item x="901"/>
        <item x="1728"/>
        <item x="406"/>
        <item x="4014"/>
        <item x="3161"/>
        <item x="1963"/>
        <item x="2844"/>
        <item x="983"/>
        <item x="2139"/>
        <item x="1636"/>
        <item x="3247"/>
        <item x="162"/>
        <item x="3477"/>
        <item x="1553"/>
        <item x="4474"/>
        <item x="502"/>
        <item x="3884"/>
        <item x="1571"/>
        <item x="293"/>
        <item x="3919"/>
        <item x="3497"/>
        <item x="4046"/>
        <item x="141"/>
        <item x="2372"/>
        <item x="627"/>
        <item x="642"/>
        <item x="718"/>
        <item x="4429"/>
        <item x="3951"/>
        <item x="3178"/>
        <item x="2159"/>
        <item x="4113"/>
        <item x="3314"/>
        <item x="4443"/>
        <item x="3659"/>
        <item x="4253"/>
        <item x="1738"/>
        <item x="2364"/>
        <item x="1781"/>
        <item x="838"/>
        <item x="3112"/>
        <item x="3650"/>
        <item x="2828"/>
        <item x="3157"/>
        <item x="4361"/>
        <item x="259"/>
        <item x="3183"/>
        <item x="2474"/>
        <item x="4055"/>
        <item x="4396"/>
        <item x="331"/>
        <item x="2639"/>
        <item x="4086"/>
        <item x="3867"/>
        <item x="926"/>
        <item x="4329"/>
        <item x="3621"/>
        <item x="1472"/>
        <item x="460"/>
        <item x="2535"/>
        <item x="2260"/>
        <item x="3394"/>
        <item x="1238"/>
        <item x="2717"/>
        <item x="919"/>
        <item x="3366"/>
        <item x="4266"/>
        <item x="2754"/>
        <item x="3892"/>
        <item x="2314"/>
        <item x="248"/>
        <item x="214"/>
        <item x="3679"/>
        <item x="1269"/>
        <item x="2557"/>
        <item x="2083"/>
        <item x="3172"/>
        <item x="864"/>
        <item x="49"/>
        <item x="2532"/>
        <item x="4044"/>
        <item x="2225"/>
        <item x="231"/>
        <item x="2913"/>
        <item x="441"/>
        <item x="4187"/>
        <item x="2538"/>
        <item x="2979"/>
        <item x="435"/>
        <item x="2650"/>
        <item x="1296"/>
        <item x="3312"/>
        <item x="4397"/>
        <item x="1962"/>
        <item x="978"/>
        <item t="default"/>
      </items>
    </pivotField>
    <pivotField axis="axisRow" showAll="0">
      <items count="5">
        <item x="0"/>
        <item x="1"/>
        <item x="2"/>
        <item x="3"/>
        <item t="default"/>
      </items>
    </pivotField>
    <pivotField showAll="0"/>
    <pivotField dataField="1" showAll="0"/>
    <pivotField showAll="0"/>
    <pivotField showAll="0"/>
    <pivotField showAll="0"/>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8"/>
  </rowFields>
  <rowItems count="5">
    <i>
      <x/>
    </i>
    <i>
      <x v="1"/>
    </i>
    <i>
      <x v="2"/>
    </i>
    <i>
      <x v="3"/>
    </i>
    <i t="grand">
      <x/>
    </i>
  </rowItems>
  <colFields count="1">
    <field x="-2"/>
  </colFields>
  <colItems count="2">
    <i>
      <x/>
    </i>
    <i i="1">
      <x v="1"/>
    </i>
  </colItems>
  <dataFields count="2">
    <dataField name="Sum of quantity" fld="10" baseField="0" baseItem="0"/>
    <dataField name="Sum of total_orders"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3DEC0F3-D683-054B-8D9B-E57E4B047947}" name="product percentage"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43:B63" firstHeaderRow="1" firstDataRow="1" firstDataCol="1"/>
  <pivotFields count="15">
    <pivotField showAll="0"/>
    <pivotField showAll="0"/>
    <pivotField showAll="0"/>
    <pivotField showAll="0">
      <items count="13">
        <item x="0"/>
        <item x="1"/>
        <item x="2"/>
        <item x="3"/>
        <item x="4"/>
        <item x="5"/>
        <item x="6"/>
        <item x="7"/>
        <item x="8"/>
        <item x="9"/>
        <item x="10"/>
        <item x="11"/>
        <item t="default"/>
      </items>
    </pivotField>
    <pivotField numFmtId="14" showAll="0"/>
    <pivotField showAll="0"/>
    <pivotField showAll="0"/>
    <pivotField numFmtId="21" showAll="0">
      <items count="4489">
        <item x="3898"/>
        <item x="3200"/>
        <item x="2381"/>
        <item x="2793"/>
        <item x="4242"/>
        <item x="1992"/>
        <item x="2271"/>
        <item x="2464"/>
        <item x="3503"/>
        <item x="2920"/>
        <item x="2692"/>
        <item x="4316"/>
        <item x="3270"/>
        <item x="2275"/>
        <item x="3351"/>
        <item x="3575"/>
        <item x="515"/>
        <item x="2540"/>
        <item x="2354"/>
        <item x="3133"/>
        <item x="1255"/>
        <item x="158"/>
        <item x="2050"/>
        <item x="1855"/>
        <item x="1071"/>
        <item x="4111"/>
        <item x="847"/>
        <item x="22"/>
        <item x="1081"/>
        <item x="3535"/>
        <item x="3455"/>
        <item x="182"/>
        <item x="15"/>
        <item x="111"/>
        <item x="3072"/>
        <item x="1767"/>
        <item x="3576"/>
        <item x="2018"/>
        <item x="1184"/>
        <item x="4389"/>
        <item x="137"/>
        <item x="3698"/>
        <item x="3022"/>
        <item x="646"/>
        <item x="529"/>
        <item x="1681"/>
        <item x="2244"/>
        <item x="4000"/>
        <item x="2144"/>
        <item x="1884"/>
        <item x="2152"/>
        <item x="3915"/>
        <item x="2936"/>
        <item x="3945"/>
        <item x="3382"/>
        <item x="2690"/>
        <item x="3244"/>
        <item x="3060"/>
        <item x="4219"/>
        <item x="927"/>
        <item x="4020"/>
        <item x="2416"/>
        <item x="2565"/>
        <item x="1994"/>
        <item x="3648"/>
        <item x="1259"/>
        <item x="1315"/>
        <item x="345"/>
        <item x="2498"/>
        <item x="155"/>
        <item x="1374"/>
        <item x="4360"/>
        <item x="3447"/>
        <item x="3710"/>
        <item x="1384"/>
        <item x="1159"/>
        <item x="2777"/>
        <item x="1225"/>
        <item x="4473"/>
        <item x="3751"/>
        <item x="1547"/>
        <item x="3377"/>
        <item x="1893"/>
        <item x="311"/>
        <item x="251"/>
        <item x="2076"/>
        <item x="755"/>
        <item x="1704"/>
        <item x="3542"/>
        <item x="3091"/>
        <item x="745"/>
        <item x="1645"/>
        <item x="3024"/>
        <item x="2274"/>
        <item x="4281"/>
        <item x="397"/>
        <item x="4398"/>
        <item x="3835"/>
        <item x="3059"/>
        <item x="4459"/>
        <item x="442"/>
        <item x="2851"/>
        <item x="1966"/>
        <item x="882"/>
        <item x="1261"/>
        <item x="591"/>
        <item x="3708"/>
        <item x="2077"/>
        <item x="1487"/>
        <item x="3732"/>
        <item x="1674"/>
        <item x="1885"/>
        <item x="2744"/>
        <item x="3548"/>
        <item x="1037"/>
        <item x="2184"/>
        <item x="343"/>
        <item x="211"/>
        <item x="969"/>
        <item x="3715"/>
        <item x="2675"/>
        <item x="522"/>
        <item x="2463"/>
        <item x="1076"/>
        <item x="3150"/>
        <item x="1789"/>
        <item x="54"/>
        <item x="3530"/>
        <item x="191"/>
        <item x="325"/>
        <item x="4296"/>
        <item x="3076"/>
        <item x="1455"/>
        <item x="142"/>
        <item x="2553"/>
        <item x="3378"/>
        <item x="3125"/>
        <item x="3152"/>
        <item x="4037"/>
        <item x="108"/>
        <item x="8"/>
        <item x="86"/>
        <item x="381"/>
        <item x="2432"/>
        <item x="1443"/>
        <item x="299"/>
        <item x="2259"/>
        <item x="794"/>
        <item x="88"/>
        <item x="4412"/>
        <item x="742"/>
        <item x="3313"/>
        <item x="3405"/>
        <item x="4034"/>
        <item x="3634"/>
        <item x="2611"/>
        <item x="922"/>
        <item x="2220"/>
        <item x="3664"/>
        <item x="1556"/>
        <item x="549"/>
        <item x="461"/>
        <item x="2983"/>
        <item x="2922"/>
        <item x="2654"/>
        <item x="2273"/>
        <item x="4486"/>
        <item x="1731"/>
        <item x="2444"/>
        <item x="1446"/>
        <item x="3723"/>
        <item x="398"/>
        <item x="1409"/>
        <item x="3747"/>
        <item x="1102"/>
        <item x="4175"/>
        <item x="2345"/>
        <item x="3261"/>
        <item x="3508"/>
        <item x="2401"/>
        <item x="1907"/>
        <item x="4260"/>
        <item x="3888"/>
        <item x="477"/>
        <item x="2529"/>
        <item x="1175"/>
        <item x="1489"/>
        <item x="68"/>
        <item x="2505"/>
        <item x="559"/>
        <item x="45"/>
        <item x="474"/>
        <item x="885"/>
        <item x="1072"/>
        <item x="686"/>
        <item x="996"/>
        <item x="1241"/>
        <item x="1800"/>
        <item x="4149"/>
        <item x="4075"/>
        <item x="2453"/>
        <item x="4211"/>
        <item x="57"/>
        <item x="3822"/>
        <item x="3079"/>
        <item x="3173"/>
        <item x="3088"/>
        <item x="3162"/>
        <item x="436"/>
        <item x="4059"/>
        <item x="2013"/>
        <item x="3717"/>
        <item x="4092"/>
        <item x="2651"/>
        <item x="1272"/>
        <item x="4315"/>
        <item x="1624"/>
        <item x="2422"/>
        <item x="1162"/>
        <item x="4477"/>
        <item x="2279"/>
        <item x="3347"/>
        <item x="3216"/>
        <item x="3431"/>
        <item x="1557"/>
        <item x="2492"/>
        <item x="2722"/>
        <item x="3692"/>
        <item x="337"/>
        <item x="4027"/>
        <item x="4300"/>
        <item x="1881"/>
        <item x="4484"/>
        <item x="2467"/>
        <item x="4466"/>
        <item x="454"/>
        <item x="330"/>
        <item x="907"/>
        <item x="4348"/>
        <item x="4170"/>
        <item x="1335"/>
        <item x="2278"/>
        <item x="1069"/>
        <item x="3890"/>
        <item x="4413"/>
        <item x="3699"/>
        <item x="982"/>
        <item x="2214"/>
        <item x="1380"/>
        <item x="3000"/>
        <item x="2912"/>
        <item x="626"/>
        <item x="2007"/>
        <item x="941"/>
        <item x="2160"/>
        <item x="3208"/>
        <item x="2237"/>
        <item x="3795"/>
        <item x="1428"/>
        <item x="2686"/>
        <item x="496"/>
        <item x="2891"/>
        <item x="1095"/>
        <item x="2034"/>
        <item x="764"/>
        <item x="4222"/>
        <item x="3028"/>
        <item x="457"/>
        <item x="2697"/>
        <item x="3556"/>
        <item x="2987"/>
        <item x="2057"/>
        <item x="2807"/>
        <item x="3619"/>
        <item x="4098"/>
        <item x="2719"/>
        <item x="208"/>
        <item x="2995"/>
        <item x="2520"/>
        <item x="1157"/>
        <item x="979"/>
        <item x="725"/>
        <item x="4248"/>
        <item x="3220"/>
        <item x="223"/>
        <item x="478"/>
        <item x="3436"/>
        <item x="1530"/>
        <item x="1449"/>
        <item x="3136"/>
        <item x="2575"/>
        <item x="669"/>
        <item x="2227"/>
        <item x="4114"/>
        <item x="1196"/>
        <item x="3077"/>
        <item x="2993"/>
        <item x="2952"/>
        <item x="2289"/>
        <item x="2595"/>
        <item x="3081"/>
        <item x="144"/>
        <item x="78"/>
        <item x="2462"/>
        <item x="303"/>
        <item x="1358"/>
        <item x="3300"/>
        <item x="41"/>
        <item x="3953"/>
        <item x="3251"/>
        <item x="4462"/>
        <item x="1435"/>
        <item x="1863"/>
        <item x="2727"/>
        <item x="1131"/>
        <item x="2533"/>
        <item x="651"/>
        <item x="1373"/>
        <item x="494"/>
        <item x="1288"/>
        <item x="4048"/>
        <item x="2716"/>
        <item x="2615"/>
        <item x="2823"/>
        <item x="1168"/>
        <item x="2561"/>
        <item x="3863"/>
        <item x="3412"/>
        <item x="1352"/>
        <item x="801"/>
        <item x="3857"/>
        <item x="1901"/>
        <item x="990"/>
        <item x="3470"/>
        <item x="1338"/>
        <item x="876"/>
        <item x="4372"/>
        <item x="3227"/>
        <item x="3826"/>
        <item x="2933"/>
        <item x="500"/>
        <item x="2821"/>
        <item x="4336"/>
        <item x="1208"/>
        <item x="2695"/>
        <item x="1491"/>
        <item x="3418"/>
        <item x="3424"/>
        <item x="1093"/>
        <item x="2517"/>
        <item x="3856"/>
        <item x="1617"/>
        <item x="260"/>
        <item x="1658"/>
        <item x="4303"/>
        <item x="3046"/>
        <item x="2588"/>
        <item x="1650"/>
        <item x="3785"/>
        <item x="3579"/>
        <item x="3413"/>
        <item x="2280"/>
        <item x="2112"/>
        <item x="3557"/>
        <item x="914"/>
        <item x="1083"/>
        <item x="227"/>
        <item x="4341"/>
        <item x="728"/>
        <item x="1488"/>
        <item x="2815"/>
        <item x="1982"/>
        <item x="1798"/>
        <item x="2174"/>
        <item x="798"/>
        <item x="4018"/>
        <item x="3332"/>
        <item x="1456"/>
        <item x="2120"/>
        <item x="656"/>
        <item x="354"/>
        <item x="1228"/>
        <item x="446"/>
        <item x="2954"/>
        <item x="603"/>
        <item x="2570"/>
        <item x="3561"/>
        <item x="2797"/>
        <item x="2163"/>
        <item x="4091"/>
        <item x="3058"/>
        <item x="4058"/>
        <item x="3002"/>
        <item x="1758"/>
        <item x="2774"/>
        <item x="1403"/>
        <item x="3004"/>
        <item x="3115"/>
        <item x="324"/>
        <item x="1801"/>
        <item x="2564"/>
        <item x="3236"/>
        <item x="2772"/>
        <item x="1591"/>
        <item x="272"/>
        <item x="1922"/>
        <item x="3130"/>
        <item x="4029"/>
        <item x="3923"/>
        <item x="1987"/>
        <item x="2093"/>
        <item x="1364"/>
        <item x="2632"/>
        <item x="2357"/>
        <item x="1780"/>
        <item x="2391"/>
        <item x="783"/>
        <item x="3655"/>
        <item x="1014"/>
        <item x="59"/>
        <item x="2511"/>
        <item x="640"/>
        <item x="544"/>
        <item x="561"/>
        <item x="1802"/>
        <item x="1367"/>
        <item x="3214"/>
        <item x="1852"/>
        <item x="348"/>
        <item x="1052"/>
        <item x="1667"/>
        <item x="471"/>
        <item x="4224"/>
        <item x="677"/>
        <item x="3486"/>
        <item x="2056"/>
        <item x="1569"/>
        <item x="1980"/>
        <item x="405"/>
        <item x="610"/>
        <item x="4197"/>
        <item x="641"/>
        <item x="204"/>
        <item x="3833"/>
        <item x="3552"/>
        <item x="573"/>
        <item x="3743"/>
        <item x="2978"/>
        <item x="2885"/>
        <item x="153"/>
        <item x="4053"/>
        <item x="2208"/>
        <item x="874"/>
        <item x="2457"/>
        <item x="2583"/>
        <item x="670"/>
        <item x="2360"/>
        <item x="873"/>
        <item x="1634"/>
        <item x="4419"/>
        <item x="829"/>
        <item x="438"/>
        <item x="917"/>
        <item x="3580"/>
        <item x="408"/>
        <item x="1703"/>
        <item x="3538"/>
        <item x="2974"/>
        <item x="2853"/>
        <item x="1515"/>
        <item x="4271"/>
        <item x="2095"/>
        <item x="3317"/>
        <item x="4383"/>
        <item x="685"/>
        <item x="4247"/>
        <item x="1606"/>
        <item x="4005"/>
        <item x="65"/>
        <item x="4186"/>
        <item x="1010"/>
        <item x="424"/>
        <item x="2649"/>
        <item x="1956"/>
        <item x="3379"/>
        <item x="3729"/>
        <item x="1046"/>
        <item x="1217"/>
        <item x="3520"/>
        <item x="2886"/>
        <item x="4436"/>
        <item x="3463"/>
        <item x="3955"/>
        <item x="2594"/>
        <item x="3696"/>
        <item x="1246"/>
        <item x="3139"/>
        <item x="503"/>
        <item x="3027"/>
        <item x="2094"/>
        <item x="3646"/>
        <item x="3080"/>
        <item x="4308"/>
        <item x="963"/>
        <item x="1618"/>
        <item x="3476"/>
        <item x="3903"/>
        <item x="181"/>
        <item x="1894"/>
        <item x="241"/>
        <item x="3560"/>
        <item x="1989"/>
        <item x="4307"/>
        <item x="3541"/>
        <item x="880"/>
        <item x="1937"/>
        <item x="2896"/>
        <item x="2276"/>
        <item x="1186"/>
        <item x="984"/>
        <item x="2574"/>
        <item x="933"/>
        <item x="2636"/>
        <item x="393"/>
        <item x="3738"/>
        <item x="4433"/>
        <item x="2605"/>
        <item x="992"/>
        <item x="3815"/>
        <item x="2785"/>
        <item x="1249"/>
        <item x="2041"/>
        <item x="2783"/>
        <item x="605"/>
        <item x="733"/>
        <item x="1116"/>
        <item x="1895"/>
        <item x="1875"/>
        <item x="3458"/>
        <item x="2287"/>
        <item x="3842"/>
        <item x="3972"/>
        <item x="2708"/>
        <item x="2900"/>
        <item x="2084"/>
        <item x="2236"/>
        <item x="2063"/>
        <item x="1655"/>
        <item x="310"/>
        <item x="526"/>
        <item x="2935"/>
        <item x="2769"/>
        <item x="675"/>
        <item x="358"/>
        <item x="1191"/>
        <item x="3604"/>
        <item x="3644"/>
        <item x="2149"/>
        <item x="889"/>
        <item x="3373"/>
        <item x="3404"/>
        <item x="1865"/>
        <item x="2911"/>
        <item x="4407"/>
        <item x="1633"/>
        <item x="3326"/>
        <item x="3062"/>
        <item x="811"/>
        <item x="1848"/>
        <item x="650"/>
        <item x="608"/>
        <item x="2350"/>
        <item x="2082"/>
        <item x="3402"/>
        <item x="4007"/>
        <item x="1477"/>
        <item x="4228"/>
        <item x="20"/>
        <item x="1035"/>
        <item x="2154"/>
        <item x="1012"/>
        <item x="3946"/>
        <item x="390"/>
        <item x="3155"/>
        <item x="588"/>
        <item x="2055"/>
        <item x="92"/>
        <item x="2268"/>
        <item x="243"/>
        <item x="447"/>
        <item x="4123"/>
        <item x="4131"/>
        <item x="3008"/>
        <item x="2202"/>
        <item x="4016"/>
        <item x="3045"/>
        <item x="2563"/>
        <item x="2213"/>
        <item x="1745"/>
        <item x="364"/>
        <item x="1524"/>
        <item x="4355"/>
        <item x="3396"/>
        <item x="2616"/>
        <item x="3019"/>
        <item x="1581"/>
        <item x="3741"/>
        <item x="1322"/>
        <item x="1903"/>
        <item x="2753"/>
        <item x="4249"/>
        <item x="266"/>
        <item x="2069"/>
        <item x="2910"/>
        <item x="3372"/>
        <item x="2523"/>
        <item x="1210"/>
        <item x="3806"/>
        <item x="1286"/>
        <item x="340"/>
        <item x="378"/>
        <item x="3605"/>
        <item x="2768"/>
        <item x="4172"/>
        <item x="2623"/>
        <item x="510"/>
        <item x="1226"/>
        <item x="956"/>
        <item x="3375"/>
        <item x="2431"/>
        <item x="270"/>
        <item x="3802"/>
        <item x="375"/>
        <item x="3441"/>
        <item x="4120"/>
        <item x="3167"/>
        <item x="1092"/>
        <item x="1357"/>
        <item x="382"/>
        <item x="2175"/>
        <item x="3055"/>
        <item x="3163"/>
        <item x="823"/>
        <item x="1271"/>
        <item x="2836"/>
        <item x="3727"/>
        <item x="2234"/>
        <item x="1155"/>
        <item x="55"/>
        <item x="4065"/>
        <item x="2332"/>
        <item x="1143"/>
        <item x="3360"/>
        <item x="2506"/>
        <item x="1917"/>
        <item x="4304"/>
        <item x="576"/>
        <item x="1955"/>
        <item x="2860"/>
        <item x="2394"/>
        <item x="17"/>
        <item x="3836"/>
        <item x="1925"/>
        <item x="1936"/>
        <item x="1080"/>
        <item x="3882"/>
        <item x="902"/>
        <item x="1968"/>
        <item x="3736"/>
        <item x="540"/>
        <item x="404"/>
        <item x="1049"/>
        <item x="1405"/>
        <item x="3199"/>
        <item x="853"/>
        <item x="2131"/>
        <item x="664"/>
        <item x="1824"/>
        <item x="1355"/>
        <item x="4339"/>
        <item x="3358"/>
        <item x="2106"/>
        <item x="3682"/>
        <item x="2946"/>
        <item x="3569"/>
        <item x="3678"/>
        <item x="2678"/>
        <item x="4259"/>
        <item x="647"/>
        <item x="786"/>
        <item x="286"/>
        <item x="1825"/>
        <item x="892"/>
        <item x="4379"/>
        <item x="3809"/>
        <item x="3839"/>
        <item x="2824"/>
        <item x="3893"/>
        <item x="2578"/>
        <item x="3207"/>
        <item x="891"/>
        <item x="177"/>
        <item x="1006"/>
        <item x="2015"/>
        <item x="1778"/>
        <item x="1646"/>
        <item x="1169"/>
        <item x="282"/>
        <item x="113"/>
        <item x="4306"/>
        <item x="806"/>
        <item x="2620"/>
        <item x="962"/>
        <item x="2812"/>
        <item x="2867"/>
        <item x="1124"/>
        <item x="4183"/>
        <item x="4217"/>
        <item x="1141"/>
        <item x="533"/>
        <item x="2169"/>
        <item x="295"/>
        <item x="3956"/>
        <item x="1643"/>
        <item x="3612"/>
        <item x="870"/>
        <item x="3401"/>
        <item x="2791"/>
        <item x="3924"/>
        <item x="1256"/>
        <item x="1905"/>
        <item x="1605"/>
        <item x="1105"/>
        <item x="648"/>
        <item x="2725"/>
        <item x="3262"/>
        <item x="2306"/>
        <item x="2436"/>
        <item x="3496"/>
        <item x="1675"/>
        <item x="1054"/>
        <item x="3875"/>
        <item x="422"/>
        <item x="4425"/>
        <item x="82"/>
        <item x="1516"/>
        <item x="3964"/>
        <item x="2210"/>
        <item x="3451"/>
        <item x="4073"/>
        <item x="1900"/>
        <item x="4040"/>
        <item x="4082"/>
        <item x="3406"/>
        <item x="1090"/>
        <item x="2648"/>
        <item x="2490"/>
        <item x="1417"/>
        <item x="4148"/>
        <item x="2685"/>
        <item x="2882"/>
        <item x="1695"/>
        <item x="2054"/>
        <item x="1303"/>
        <item x="538"/>
        <item x="3456"/>
        <item x="3085"/>
        <item x="2633"/>
        <item x="4416"/>
        <item x="1562"/>
        <item x="4424"/>
        <item x="2088"/>
        <item x="1253"/>
        <item x="1990"/>
        <item x="475"/>
        <item x="2568"/>
        <item x="2356"/>
        <item x="2327"/>
        <item x="1690"/>
        <item x="154"/>
        <item x="224"/>
        <item x="1656"/>
        <item x="0"/>
        <item x="3457"/>
        <item x="338"/>
        <item x="3550"/>
        <item x="1486"/>
        <item x="4084"/>
        <item x="2190"/>
        <item x="1418"/>
        <item x="1520"/>
        <item x="3998"/>
        <item x="3188"/>
        <item x="3987"/>
        <item x="2471"/>
        <item x="2528"/>
        <item x="1231"/>
        <item x="2390"/>
        <item x="1867"/>
        <item x="3549"/>
        <item x="2251"/>
        <item x="2108"/>
        <item x="4001"/>
        <item x="1873"/>
        <item x="3522"/>
        <item x="1608"/>
        <item x="3082"/>
        <item x="1165"/>
        <item x="4235"/>
        <item x="1911"/>
        <item x="168"/>
        <item x="87"/>
        <item x="1038"/>
        <item x="1594"/>
        <item x="1479"/>
        <item x="3687"/>
        <item x="1082"/>
        <item x="4209"/>
        <item x="3400"/>
        <item x="2736"/>
        <item x="308"/>
        <item x="851"/>
        <item x="2895"/>
        <item x="2325"/>
        <item x="883"/>
        <item x="3861"/>
        <item x="3616"/>
        <item x="972"/>
        <item x="3354"/>
        <item x="2096"/>
        <item x="2104"/>
        <item x="2080"/>
        <item x="2898"/>
        <item x="4036"/>
        <item x="3934"/>
        <item x="3676"/>
        <item x="925"/>
        <item x="1431"/>
        <item x="3626"/>
        <item x="4076"/>
        <item x="1995"/>
        <item x="2316"/>
        <item x="2656"/>
        <item x="128"/>
        <item x="3927"/>
        <item x="394"/>
        <item x="2799"/>
        <item x="2107"/>
        <item x="3"/>
        <item x="4072"/>
        <item x="3737"/>
        <item x="1628"/>
        <item x="3671"/>
        <item x="2609"/>
        <item x="3974"/>
        <item x="2001"/>
        <item x="2011"/>
        <item x="3661"/>
        <item x="1766"/>
        <item x="2515"/>
        <item x="1938"/>
        <item x="858"/>
        <item x="3526"/>
        <item x="3439"/>
        <item x="4200"/>
        <item x="3087"/>
        <item x="2047"/>
        <item x="3255"/>
        <item x="3965"/>
        <item x="2361"/>
        <item x="4068"/>
        <item x="2311"/>
        <item x="1986"/>
        <item x="871"/>
        <item x="2367"/>
        <item x="1245"/>
        <item x="2767"/>
        <item x="1910"/>
        <item x="3098"/>
        <item x="2949"/>
        <item x="37"/>
        <item x="2829"/>
        <item x="1823"/>
        <item x="4152"/>
        <item x="2187"/>
        <item x="774"/>
        <item x="3823"/>
        <item x="4019"/>
        <item x="1883"/>
        <item x="3775"/>
        <item x="4226"/>
        <item x="1661"/>
        <item x="1732"/>
        <item x="1149"/>
        <item x="434"/>
        <item x="1677"/>
        <item x="1410"/>
        <item x="2445"/>
        <item x="2683"/>
        <item x="4083"/>
        <item x="187"/>
        <item x="3499"/>
        <item x="1592"/>
        <item x="105"/>
        <item x="2302"/>
        <item x="1942"/>
        <item x="3932"/>
        <item x="2168"/>
        <item x="2382"/>
        <item x="13"/>
        <item x="776"/>
        <item x="1794"/>
        <item x="888"/>
        <item x="1275"/>
        <item x="2857"/>
        <item x="197"/>
        <item x="1949"/>
        <item x="2915"/>
        <item x="1603"/>
        <item x="2820"/>
        <item x="1978"/>
        <item x="1068"/>
        <item x="2468"/>
        <item x="509"/>
        <item x="3359"/>
        <item x="1057"/>
        <item x="895"/>
        <item x="636"/>
        <item x="366"/>
        <item x="1468"/>
        <item x="4356"/>
        <item x="439"/>
        <item x="4060"/>
        <item x="3798"/>
        <item x="2504"/>
        <item x="2143"/>
        <item x="3756"/>
        <item x="1951"/>
        <item x="3285"/>
        <item x="893"/>
        <item x="491"/>
        <item x="116"/>
        <item x="4151"/>
        <item x="4240"/>
        <item x="2889"/>
        <item x="110"/>
        <item x="2006"/>
        <item x="2782"/>
        <item x="1025"/>
        <item x="2718"/>
        <item x="1377"/>
        <item x="3654"/>
        <item x="1317"/>
        <item x="3740"/>
        <item x="1664"/>
        <item x="370"/>
        <item x="3511"/>
        <item x="1098"/>
        <item x="1931"/>
        <item x="2115"/>
        <item x="453"/>
        <item x="3792"/>
        <item x="289"/>
        <item x="66"/>
        <item x="867"/>
        <item x="2348"/>
        <item x="713"/>
        <item x="2177"/>
        <item x="323"/>
        <item x="3559"/>
        <item x="1340"/>
        <item x="417"/>
        <item x="3649"/>
        <item x="2916"/>
        <item x="72"/>
        <item x="1274"/>
        <item x="578"/>
        <item x="4264"/>
        <item x="4145"/>
        <item x="2751"/>
        <item x="4422"/>
        <item x="4167"/>
        <item x="2668"/>
        <item x="469"/>
        <item x="1424"/>
        <item x="3151"/>
        <item x="1518"/>
        <item x="3182"/>
        <item x="1930"/>
        <item x="2970"/>
        <item x="782"/>
        <item x="2941"/>
        <item x="318"/>
        <item x="632"/>
        <item x="2266"/>
        <item x="2212"/>
        <item x="218"/>
        <item x="659"/>
        <item x="2794"/>
        <item x="3959"/>
        <item x="1028"/>
        <item x="2945"/>
        <item x="3728"/>
        <item x="1906"/>
        <item x="2555"/>
        <item x="3453"/>
        <item x="732"/>
        <item x="1637"/>
        <item x="2012"/>
        <item x="2712"/>
        <item x="1567"/>
        <item x="2178"/>
        <item x="1464"/>
        <item x="3543"/>
        <item x="589"/>
        <item x="3073"/>
        <item x="2493"/>
        <item x="363"/>
        <item x="4325"/>
        <item x="3119"/>
        <item x="2123"/>
        <item x="3691"/>
        <item x="1845"/>
        <item x="623"/>
        <item x="3947"/>
        <item x="1067"/>
        <item x="2627"/>
        <item x="2934"/>
        <item x="4176"/>
        <item x="3387"/>
        <item x="3961"/>
        <item x="3978"/>
        <item x="719"/>
        <item x="1589"/>
        <item x="1864"/>
        <item x="3420"/>
        <item x="4408"/>
        <item x="2743"/>
        <item x="2480"/>
        <item x="1807"/>
        <item x="380"/>
        <item x="1395"/>
        <item x="4347"/>
        <item x="1187"/>
        <item x="232"/>
        <item x="3291"/>
        <item x="4105"/>
        <item x="4038"/>
        <item x="3624"/>
        <item x="1747"/>
        <item x="3615"/>
        <item x="418"/>
        <item x="537"/>
        <item x="1130"/>
        <item x="2547"/>
        <item x="3269"/>
        <item x="3128"/>
        <item x="423"/>
        <item x="991"/>
        <item x="723"/>
        <item x="1921"/>
        <item x="2808"/>
        <item x="482"/>
        <item x="1414"/>
        <item x="2185"/>
        <item x="1101"/>
        <item x="676"/>
        <item x="7"/>
        <item x="1711"/>
        <item x="2559"/>
        <item x="215"/>
        <item x="2283"/>
        <item x="3389"/>
        <item x="1914"/>
        <item x="3913"/>
        <item x="1147"/>
        <item x="2430"/>
        <item x="4213"/>
        <item x="579"/>
        <item x="3266"/>
        <item x="2045"/>
        <item x="377"/>
        <item x="2939"/>
        <item x="635"/>
        <item x="3242"/>
        <item x="1383"/>
        <item x="73"/>
        <item x="1136"/>
        <item x="2522"/>
        <item x="3204"/>
        <item x="2973"/>
        <item x="803"/>
        <item x="519"/>
        <item x="2597"/>
        <item x="777"/>
        <item x="4043"/>
        <item x="2699"/>
        <item x="1751"/>
        <item x="3851"/>
        <item x="2434"/>
        <item x="1768"/>
        <item x="770"/>
        <item x="287"/>
        <item x="472"/>
        <item x="2189"/>
        <item x="1545"/>
        <item x="384"/>
        <item x="552"/>
        <item x="1194"/>
        <item x="369"/>
        <item x="1627"/>
        <item x="791"/>
        <item x="1043"/>
        <item x="2427"/>
        <item x="3328"/>
        <item x="3873"/>
        <item x="2254"/>
        <item x="2587"/>
        <item x="3662"/>
        <item x="1411"/>
        <item x="3305"/>
        <item x="850"/>
        <item x="1390"/>
        <item x="1262"/>
        <item x="1841"/>
        <item x="4189"/>
        <item x="129"/>
        <item x="1198"/>
        <item x="89"/>
        <item x="4070"/>
        <item x="3403"/>
        <item x="1063"/>
        <item x="3239"/>
        <item x="2410"/>
        <item x="483"/>
        <item x="2395"/>
        <item x="3450"/>
        <item x="2874"/>
        <item x="712"/>
        <item x="4135"/>
        <item x="4268"/>
        <item x="2368"/>
        <item x="3954"/>
        <item x="3700"/>
        <item x="1299"/>
        <item x="3185"/>
        <item x="790"/>
        <item x="3039"/>
        <item x="1329"/>
        <item x="2786"/>
        <item x="2624"/>
        <item x="3250"/>
        <item x="4305"/>
        <item x="3231"/>
        <item x="2286"/>
        <item x="1698"/>
        <item x="1616"/>
        <item x="3539"/>
        <item x="1596"/>
        <item x="4358"/>
        <item x="652"/>
        <item x="800"/>
        <item x="912"/>
        <item x="2925"/>
        <item x="1856"/>
        <item x="4122"/>
        <item x="4237"/>
        <item x="2110"/>
        <item x="180"/>
        <item x="1328"/>
        <item x="3368"/>
        <item x="2926"/>
        <item x="3142"/>
        <item x="4011"/>
        <item x="1220"/>
        <item x="1128"/>
        <item x="3975"/>
        <item x="518"/>
        <item x="841"/>
        <item x="4280"/>
        <item x="2192"/>
        <item x="2584"/>
        <item x="2550"/>
        <item x="545"/>
        <item x="532"/>
        <item x="1504"/>
        <item x="593"/>
        <item x="4"/>
        <item x="4275"/>
        <item x="3223"/>
        <item x="3422"/>
        <item x="565"/>
        <item x="225"/>
        <item x="1470"/>
        <item x="1979"/>
        <item x="1540"/>
        <item x="4069"/>
        <item x="2992"/>
        <item x="1023"/>
        <item x="4287"/>
        <item x="757"/>
        <item x="1954"/>
        <item x="411"/>
        <item x="671"/>
        <item x="3218"/>
        <item x="630"/>
        <item x="1436"/>
        <item x="4252"/>
        <item x="1066"/>
        <item x="1039"/>
        <item x="2778"/>
        <item x="1053"/>
        <item x="3230"/>
        <item x="658"/>
        <item x="3514"/>
        <item x="662"/>
        <item x="3274"/>
        <item x="1267"/>
        <item x="1620"/>
        <item x="1575"/>
        <item x="759"/>
        <item x="3103"/>
        <item x="1679"/>
        <item x="3493"/>
        <item x="3878"/>
        <item x="511"/>
        <item x="3824"/>
        <item x="3597"/>
        <item x="100"/>
        <item x="611"/>
        <item x="3068"/>
        <item x="4319"/>
        <item x="1746"/>
        <item x="4063"/>
        <item x="903"/>
        <item x="1498"/>
        <item x="1499"/>
        <item x="2037"/>
        <item x="355"/>
        <item x="2741"/>
        <item x="2689"/>
        <item x="236"/>
        <item x="2016"/>
        <item x="192"/>
        <item x="4368"/>
        <item x="1115"/>
        <item x="2150"/>
        <item x="2554"/>
        <item x="999"/>
        <item x="333"/>
        <item x="3713"/>
        <item x="2334"/>
        <item x="2032"/>
        <item x="3801"/>
        <item x="2558"/>
        <item x="3205"/>
        <item x="3788"/>
        <item x="205"/>
        <item x="14"/>
        <item x="3770"/>
        <item x="553"/>
        <item x="1764"/>
        <item x="3523"/>
        <item x="758"/>
        <item x="3030"/>
        <item x="703"/>
        <item x="3668"/>
        <item x="173"/>
        <item x="1726"/>
        <item x="1422"/>
        <item x="3944"/>
        <item x="3084"/>
        <item x="1362"/>
        <item x="4373"/>
        <item x="346"/>
        <item x="1250"/>
        <item x="3791"/>
        <item x="2328"/>
        <item x="2051"/>
        <item x="3724"/>
        <item x="1407"/>
        <item x="3899"/>
        <item x="3850"/>
        <item x="1554"/>
        <item x="1790"/>
        <item x="495"/>
        <item x="2762"/>
        <item x="580"/>
        <item x="2374"/>
        <item x="3582"/>
        <item x="3854"/>
        <item x="1161"/>
        <item x="645"/>
        <item x="3050"/>
        <item x="1984"/>
        <item x="2566"/>
        <item x="4456"/>
        <item x="3210"/>
        <item x="980"/>
        <item x="1850"/>
        <item x="684"/>
        <item x="2525"/>
        <item x="1673"/>
        <item x="3656"/>
        <item x="1264"/>
        <item x="1762"/>
        <item x="785"/>
        <item x="254"/>
        <item x="463"/>
        <item x="1870"/>
        <item x="288"/>
        <item x="572"/>
        <item x="1279"/>
        <item x="123"/>
        <item x="1993"/>
        <item x="2074"/>
        <item x="1849"/>
        <item x="448"/>
        <item x="4302"/>
        <item x="1622"/>
        <item x="1742"/>
        <item x="3630"/>
        <item x="2039"/>
        <item x="2641"/>
        <item x="319"/>
        <item x="3421"/>
        <item x="2998"/>
        <item x="4255"/>
        <item x="3663"/>
        <item x="1860"/>
        <item x="3334"/>
        <item x="981"/>
        <item x="527"/>
        <item x="1292"/>
        <item x="3876"/>
        <item x="2291"/>
        <item x="3465"/>
        <item x="1916"/>
        <item x="3083"/>
        <item x="1977"/>
        <item x="3209"/>
        <item x="1022"/>
        <item x="1368"/>
        <item x="4085"/>
        <item x="4426"/>
        <item x="4284"/>
        <item x="2503"/>
        <item x="3319"/>
        <item x="4013"/>
        <item x="2079"/>
        <item x="2947"/>
        <item x="3238"/>
        <item x="62"/>
        <item x="4263"/>
        <item x="3918"/>
        <item x="1385"/>
        <item x="40"/>
        <item x="3941"/>
        <item x="4362"/>
        <item x="4125"/>
        <item x="4335"/>
        <item x="1500"/>
        <item x="1420"/>
        <item x="2906"/>
        <item x="2921"/>
        <item x="4081"/>
        <item x="1281"/>
        <item x="416"/>
        <item x="1920"/>
        <item x="1393"/>
        <item x="2700"/>
        <item x="3853"/>
        <item x="3023"/>
        <item x="278"/>
        <item x="3811"/>
        <item x="1706"/>
        <item x="125"/>
        <item x="2305"/>
        <item x="3430"/>
        <item x="2495"/>
        <item x="3746"/>
        <item x="4008"/>
        <item x="2486"/>
        <item x="1615"/>
        <item x="1804"/>
        <item x="2994"/>
        <item x="2162"/>
        <item x="958"/>
        <item x="2749"/>
        <item x="1099"/>
        <item x="1097"/>
        <item x="2775"/>
        <item x="4062"/>
        <item x="1017"/>
        <item x="2613"/>
        <item x="285"/>
        <item x="621"/>
        <item x="70"/>
        <item x="80"/>
        <item x="2647"/>
        <item x="269"/>
        <item x="2165"/>
        <item x="617"/>
        <item x="4214"/>
        <item x="60"/>
        <item x="2825"/>
        <item x="1693"/>
        <item x="493"/>
        <item x="3707"/>
        <item x="2710"/>
        <item x="2969"/>
        <item x="1927"/>
        <item x="1440"/>
        <item x="4127"/>
        <item x="2166"/>
        <item x="3196"/>
        <item x="3519"/>
        <item x="56"/>
        <item x="705"/>
        <item x="3515"/>
        <item x="4212"/>
        <item x="4171"/>
        <item x="2221"/>
        <item x="2642"/>
        <item x="1160"/>
        <item x="661"/>
        <item x="2216"/>
        <item x="1211"/>
        <item x="3983"/>
        <item x="4010"/>
        <item x="4204"/>
        <item x="3143"/>
        <item x="3197"/>
        <item x="3283"/>
        <item x="2404"/>
        <item x="291"/>
        <item x="3721"/>
        <item x="2764"/>
        <item x="1763"/>
        <item x="1145"/>
        <item x="694"/>
        <item x="1127"/>
        <item x="157"/>
        <item x="637"/>
        <item x="4402"/>
        <item x="1150"/>
        <item x="4006"/>
        <item x="4064"/>
        <item x="4414"/>
        <item x="3544"/>
        <item x="534"/>
        <item x="3258"/>
        <item x="948"/>
        <item x="1448"/>
        <item x="2957"/>
        <item x="3434"/>
        <item x="516"/>
        <item x="2408"/>
        <item x="590"/>
        <item x="894"/>
        <item x="2215"/>
        <item x="612"/>
        <item x="3897"/>
        <item x="1813"/>
        <item x="3293"/>
        <item x="3817"/>
        <item x="2127"/>
        <item x="2249"/>
        <item x="4074"/>
        <item x="2531"/>
        <item x="2536"/>
        <item x="3645"/>
        <item x="1096"/>
        <item x="660"/>
        <item x="3584"/>
        <item x="3454"/>
        <item x="1060"/>
        <item x="4101"/>
        <item x="419"/>
        <item x="170"/>
        <item x="3803"/>
        <item x="1687"/>
        <item x="4262"/>
        <item x="700"/>
        <item x="3507"/>
        <item x="2930"/>
        <item x="952"/>
        <item x="2211"/>
        <item x="3294"/>
        <item x="1129"/>
        <item x="2349"/>
        <item x="1248"/>
        <item x="1782"/>
        <item x="863"/>
        <item x="1527"/>
        <item x="1830"/>
        <item x="1408"/>
        <item x="2868"/>
        <item x="1466"/>
        <item x="1598"/>
        <item x="4137"/>
        <item x="2908"/>
        <item x="2373"/>
        <item x="4115"/>
        <item x="3189"/>
        <item x="2026"/>
        <item x="138"/>
        <item x="2205"/>
        <item x="3904"/>
        <item x="1709"/>
        <item x="3629"/>
        <item x="2005"/>
        <item x="71"/>
        <item x="3186"/>
        <item x="3370"/>
        <item x="2989"/>
        <item x="856"/>
        <item x="3171"/>
        <item x="570"/>
        <item x="2324"/>
        <item x="1531"/>
        <item x="932"/>
        <item x="3174"/>
        <item x="554"/>
        <item x="2839"/>
        <item x="2875"/>
        <item x="2009"/>
        <item x="1899"/>
        <item x="1945"/>
        <item x="1207"/>
        <item x="4282"/>
        <item x="3527"/>
        <item x="699"/>
        <item x="2962"/>
        <item x="2459"/>
        <item x="2871"/>
        <item x="2377"/>
        <item x="1735"/>
        <item x="3123"/>
        <item x="995"/>
        <item x="2257"/>
        <item x="2940"/>
        <item x="3126"/>
        <item x="4108"/>
        <item x="1234"/>
        <item x="1235"/>
        <item x="4318"/>
        <item x="3114"/>
        <item x="2105"/>
        <item x="167"/>
        <item x="4417"/>
        <item x="1304"/>
        <item x="2739"/>
        <item x="3657"/>
        <item x="2707"/>
        <item x="488"/>
        <item x="2201"/>
        <item x="2879"/>
        <item x="3016"/>
        <item x="628"/>
        <item x="3684"/>
        <item x="313"/>
        <item x="3784"/>
        <item x="3013"/>
        <item x="2676"/>
        <item x="252"/>
        <item x="3601"/>
        <item x="131"/>
        <item x="3585"/>
        <item x="4109"/>
        <item x="219"/>
        <item x="3631"/>
        <item x="4334"/>
        <item x="911"/>
        <item x="1140"/>
        <item x="1334"/>
        <item x="4112"/>
        <item x="3950"/>
        <item x="955"/>
        <item x="3212"/>
        <item x="501"/>
        <item x="724"/>
        <item x="3711"/>
        <item x="4153"/>
        <item x="2956"/>
        <item x="2317"/>
        <item x="357"/>
        <item x="3355"/>
        <item x="1533"/>
        <item x="4206"/>
        <item x="2172"/>
        <item x="3310"/>
        <item x="452"/>
        <item x="1820"/>
        <item x="2899"/>
        <item x="1268"/>
        <item x="1289"/>
        <item x="3190"/>
        <item x="1756"/>
        <item x="615"/>
        <item x="3841"/>
        <item x="1705"/>
        <item x="1697"/>
        <item x="704"/>
        <item x="2655"/>
        <item x="4324"/>
        <item x="1024"/>
        <item x="1201"/>
        <item x="3804"/>
        <item x="2309"/>
        <item x="1212"/>
        <item x="3495"/>
        <item x="508"/>
        <item x="3086"/>
        <item x="1512"/>
        <item x="1792"/>
        <item x="240"/>
        <item x="3968"/>
        <item x="4052"/>
        <item x="69"/>
        <item x="4265"/>
        <item x="2822"/>
        <item x="1480"/>
        <item x="3160"/>
        <item x="2451"/>
        <item x="507"/>
        <item x="3517"/>
        <item x="1913"/>
        <item x="1031"/>
        <item x="1020"/>
        <item x="1897"/>
        <item x="1946"/>
        <item x="4147"/>
        <item x="2469"/>
        <item x="1976"/>
        <item x="683"/>
        <item x="1669"/>
        <item x="1550"/>
        <item x="3362"/>
        <item x="4274"/>
        <item x="201"/>
        <item x="34"/>
        <item x="1492"/>
        <item x="3433"/>
        <item x="335"/>
        <item x="796"/>
        <item x="4458"/>
        <item x="3669"/>
        <item x="2501"/>
        <item x="2766"/>
        <item x="3881"/>
        <item x="4283"/>
        <item x="2663"/>
        <item x="2042"/>
        <item x="4002"/>
        <item x="1219"/>
        <item x="2002"/>
        <item x="1177"/>
        <item x="3096"/>
        <item x="1604"/>
        <item x="3307"/>
        <item x="569"/>
        <item x="3667"/>
        <item x="816"/>
        <item x="599"/>
        <item x="3435"/>
        <item x="3714"/>
        <item x="3361"/>
        <item x="1026"/>
        <item x="3980"/>
        <item x="97"/>
        <item x="2335"/>
        <item x="4223"/>
        <item x="2440"/>
        <item x="1944"/>
        <item x="3695"/>
        <item x="1391"/>
        <item x="4475"/>
        <item x="221"/>
        <item x="3810"/>
        <item x="1277"/>
        <item x="23"/>
        <item x="4140"/>
        <item x="3109"/>
        <item x="1866"/>
        <item x="258"/>
        <item x="145"/>
        <item x="4454"/>
        <item x="3466"/>
        <item x="2735"/>
        <item x="3985"/>
        <item x="2659"/>
        <item x="3689"/>
        <item x="4207"/>
        <item x="2397"/>
        <item x="2222"/>
        <item x="710"/>
        <item x="1239"/>
        <item x="2927"/>
        <item x="4418"/>
        <item x="3228"/>
        <item x="1817"/>
        <item x="1164"/>
        <item x="4289"/>
        <item x="2932"/>
        <item x="3641"/>
        <item x="1734"/>
        <item x="3282"/>
        <item x="264"/>
        <item x="490"/>
        <item x="3622"/>
        <item x="2141"/>
        <item x="1337"/>
        <item x="3106"/>
        <item x="2224"/>
        <item x="535"/>
        <item x="2304"/>
        <item x="763"/>
        <item x="749"/>
        <item x="4333"/>
        <item x="3952"/>
        <item x="4090"/>
        <item x="3339"/>
        <item x="3494"/>
        <item x="3761"/>
        <item x="3246"/>
        <item x="1760"/>
        <item x="2789"/>
        <item x="2500"/>
        <item x="3407"/>
        <item x="2878"/>
        <item x="1662"/>
        <item x="4403"/>
        <item x="1761"/>
        <item x="860"/>
        <item x="2389"/>
        <item x="3996"/>
        <item x="2519"/>
        <item x="3338"/>
        <item x="606"/>
        <item x="631"/>
        <item x="3020"/>
        <item x="1206"/>
        <item x="2603"/>
        <item x="1638"/>
        <item x="2022"/>
        <item x="3577"/>
        <item x="1833"/>
        <item x="3051"/>
        <item x="1892"/>
        <item x="1503"/>
        <item x="2770"/>
        <item x="184"/>
        <item x="3286"/>
        <item x="2450"/>
        <item x="1419"/>
        <item x="2483"/>
        <item x="126"/>
        <item x="625"/>
        <item x="1720"/>
        <item x="2884"/>
        <item x="3365"/>
        <item x="1828"/>
        <item x="121"/>
        <item x="163"/>
        <item x="183"/>
        <item x="1033"/>
        <item x="4461"/>
        <item x="1349"/>
        <item x="2477"/>
        <item x="2843"/>
        <item x="3391"/>
        <item x="2959"/>
        <item x="4420"/>
        <item x="2239"/>
        <item x="2024"/>
        <item x="3122"/>
        <item x="714"/>
        <item x="3327"/>
        <item x="4432"/>
        <item x="3670"/>
        <item x="934"/>
        <item x="1988"/>
        <item x="970"/>
        <item x="1898"/>
        <item x="2298"/>
        <item x="1490"/>
        <item x="2326"/>
        <item x="1915"/>
        <item x="1774"/>
        <item x="3481"/>
        <item x="1928"/>
        <item x="281"/>
        <item x="3967"/>
        <item x="1829"/>
        <item x="2988"/>
        <item x="2883"/>
        <item x="939"/>
        <item x="275"/>
        <item x="1224"/>
        <item x="3268"/>
        <item x="1007"/>
        <item x="3505"/>
        <item x="315"/>
        <item x="279"/>
        <item x="2733"/>
        <item x="771"/>
        <item x="3353"/>
        <item x="4467"/>
        <item x="190"/>
        <item x="3120"/>
        <item x="1495"/>
        <item x="1404"/>
        <item x="1517"/>
        <item x="3054"/>
        <item x="206"/>
        <item x="1832"/>
        <item x="2258"/>
        <item x="2193"/>
        <item x="2180"/>
        <item x="427"/>
        <item x="3781"/>
        <item x="928"/>
        <item x="4388"/>
        <item x="2734"/>
        <item x="2347"/>
        <item x="4158"/>
        <item x="2423"/>
        <item x="2320"/>
        <item x="1676"/>
        <item x="1459"/>
        <item x="4439"/>
        <item x="4330"/>
        <item x="280"/>
        <item x="525"/>
        <item x="1640"/>
        <item x="4292"/>
        <item x="4350"/>
        <item x="2365"/>
        <item x="2194"/>
        <item x="619"/>
        <item x="3078"/>
        <item x="986"/>
        <item x="239"/>
        <item x="3215"/>
        <item x="614"/>
        <item x="944"/>
        <item x="322"/>
        <item x="2122"/>
        <item x="1587"/>
        <item x="217"/>
        <item x="4363"/>
        <item x="1293"/>
        <item x="2366"/>
        <item x="966"/>
        <item x="2068"/>
        <item x="3017"/>
        <item x="698"/>
        <item x="1421"/>
        <item x="4382"/>
        <item x="98"/>
        <item x="3726"/>
        <item x="2924"/>
        <item x="2681"/>
        <item x="1819"/>
        <item x="2409"/>
        <item x="4354"/>
        <item x="481"/>
        <item x="541"/>
        <item x="3097"/>
        <item x="3628"/>
        <item x="2243"/>
        <item x="4032"/>
        <item x="3158"/>
        <item x="604"/>
        <item x="3166"/>
        <item x="443"/>
        <item x="2919"/>
        <item x="1757"/>
        <item x="169"/>
        <item x="1276"/>
        <item x="1003"/>
        <item x="506"/>
        <item x="3426"/>
        <item x="1861"/>
        <item x="906"/>
        <item x="360"/>
        <item x="3049"/>
        <item x="2132"/>
        <item x="1890"/>
        <item x="2113"/>
        <item x="1218"/>
        <item x="775"/>
        <item x="2102"/>
        <item x="4353"/>
        <item x="3063"/>
        <item x="1118"/>
        <item x="3038"/>
        <item x="212"/>
        <item x="4469"/>
        <item x="1055"/>
        <item x="2253"/>
        <item x="2518"/>
        <item x="2238"/>
        <item x="467"/>
        <item x="2542"/>
        <item x="3037"/>
        <item x="2346"/>
        <item x="4369"/>
        <item x="920"/>
        <item x="2742"/>
        <item x="1961"/>
        <item x="708"/>
        <item x="1631"/>
        <item x="3846"/>
        <item x="4298"/>
        <item x="1985"/>
        <item x="4236"/>
        <item x="1701"/>
        <item x="4100"/>
        <item x="3357"/>
        <item x="3070"/>
        <item x="476"/>
        <item x="2403"/>
        <item x="1471"/>
        <item x="736"/>
        <item x="1251"/>
        <item x="1119"/>
        <item x="2711"/>
        <item x="1770"/>
        <item x="3138"/>
        <item x="2386"/>
        <item x="4441"/>
        <item x="2179"/>
        <item x="607"/>
        <item x="2581"/>
        <item x="3232"/>
        <item x="3859"/>
        <item x="566"/>
        <item x="596"/>
        <item x="1327"/>
        <item x="430"/>
        <item x="4119"/>
        <item x="2285"/>
        <item x="1305"/>
        <item x="3012"/>
        <item x="3107"/>
        <item x="4297"/>
        <item x="1808"/>
        <item x="1004"/>
        <item x="3525"/>
        <item x="2835"/>
        <item x="2442"/>
        <item x="809"/>
        <item x="2157"/>
        <item x="4267"/>
        <item x="2701"/>
        <item x="4138"/>
        <item x="3229"/>
        <item x="388"/>
        <item x="4087"/>
        <item x="2489"/>
        <item x="103"/>
        <item x="2618"/>
        <item x="3735"/>
        <item x="1134"/>
        <item x="3047"/>
        <item x="1059"/>
        <item x="1862"/>
        <item x="130"/>
        <item x="2352"/>
        <item x="2049"/>
        <item x="79"/>
        <item x="1009"/>
        <item x="3061"/>
        <item x="420"/>
        <item x="2065"/>
        <item x="2256"/>
        <item x="2556"/>
        <item x="2598"/>
        <item x="4291"/>
        <item x="165"/>
        <item x="3318"/>
        <item x="1294"/>
        <item x="4128"/>
        <item x="4460"/>
        <item x="2319"/>
        <item x="1142"/>
        <item x="1313"/>
        <item x="99"/>
        <item x="4375"/>
        <item x="124"/>
        <item x="575"/>
        <item x="1048"/>
        <item x="2961"/>
        <item x="1016"/>
        <item x="1721"/>
        <item x="1904"/>
        <item x="2262"/>
        <item x="3113"/>
        <item x="4142"/>
        <item x="4293"/>
        <item x="2960"/>
        <item x="3198"/>
        <item x="2428"/>
        <item x="964"/>
        <item x="1151"/>
        <item x="2318"/>
        <item x="1454"/>
        <item x="618"/>
        <item x="3309"/>
        <item x="3940"/>
        <item x="2067"/>
        <item x="773"/>
        <item x="3443"/>
        <item x="2937"/>
        <item x="4245"/>
        <item x="1452"/>
        <item x="4103"/>
        <item x="3753"/>
        <item x="3712"/>
        <item x="445"/>
        <item x="2229"/>
        <item x="4243"/>
        <item x="1577"/>
        <item x="2412"/>
        <item x="297"/>
        <item x="584"/>
        <item x="2706"/>
        <item x="4359"/>
        <item x="2617"/>
        <item x="4447"/>
        <item x="2053"/>
        <item x="4380"/>
        <item x="818"/>
        <item x="1600"/>
        <item x="2061"/>
        <item x="2130"/>
        <item x="715"/>
        <item x="3323"/>
        <item x="1991"/>
        <item x="1252"/>
        <item x="2576"/>
        <item x="4229"/>
        <item x="2003"/>
        <item x="822"/>
        <item x="3567"/>
        <item x="3367"/>
        <item x="1497"/>
        <item x="936"/>
        <item x="557"/>
        <item x="3984"/>
        <item x="2991"/>
        <item x="1971"/>
        <item x="336"/>
        <item x="1075"/>
        <item x="4437"/>
        <item x="2866"/>
        <item x="1882"/>
        <item x="1663"/>
        <item x="3164"/>
        <item x="1348"/>
        <item x="1755"/>
        <item x="4078"/>
        <item x="316"/>
        <item x="2512"/>
        <item x="3483"/>
        <item x="4035"/>
        <item x="1924"/>
        <item x="2293"/>
        <item x="2931"/>
        <item x="4180"/>
        <item x="4320"/>
        <item x="4202"/>
        <item x="4190"/>
        <item x="3170"/>
        <item x="815"/>
        <item x="4327"/>
        <item x="2036"/>
        <item x="4470"/>
        <item x="3545"/>
        <item x="1087"/>
        <item x="1713"/>
        <item x="3296"/>
        <item x="2242"/>
        <item x="3578"/>
        <item x="3787"/>
        <item x="2814"/>
        <item x="2795"/>
        <item x="3352"/>
        <item x="929"/>
        <item x="2393"/>
        <item x="665"/>
        <item x="3475"/>
        <item x="2580"/>
        <item x="3035"/>
        <item x="1283"/>
        <item x="176"/>
        <item x="210"/>
        <item x="96"/>
        <item x="1541"/>
        <item x="1858"/>
        <item x="1719"/>
        <item x="3653"/>
        <item x="808"/>
        <item x="4156"/>
        <item x="1523"/>
        <item x="3386"/>
        <item x="368"/>
        <item x="4241"/>
        <item x="3480"/>
        <item x="468"/>
        <item x="1172"/>
        <item x="1822"/>
        <item x="2763"/>
        <item x="367"/>
        <item x="3988"/>
        <item x="1749"/>
        <item x="821"/>
        <item x="3509"/>
        <item x="81"/>
        <item x="2402"/>
        <item x="3895"/>
        <item x="2281"/>
        <item x="1588"/>
        <item x="3329"/>
        <item x="2129"/>
        <item x="2596"/>
        <item x="1827"/>
        <item x="1342"/>
        <item x="3442"/>
        <item x="1236"/>
        <item x="1878"/>
        <item x="2226"/>
        <item x="2630"/>
        <item x="3006"/>
        <item x="1752"/>
        <item x="1179"/>
        <item x="4332"/>
        <item x="539"/>
        <item x="4096"/>
        <item x="834"/>
        <item x="341"/>
        <item x="3623"/>
        <item x="2"/>
        <item x="523"/>
        <item x="3848"/>
        <item x="2272"/>
        <item x="4395"/>
        <item x="531"/>
        <item x="451"/>
        <item x="4405"/>
        <item x="4232"/>
        <item x="2090"/>
        <item x="678"/>
        <item x="3303"/>
        <item x="3821"/>
        <item x="2951"/>
        <item x="1323"/>
        <item x="77"/>
        <item x="4390"/>
        <item x="2914"/>
        <item x="2877"/>
        <item x="935"/>
        <item x="2117"/>
        <item x="3249"/>
        <item x="1779"/>
        <item x="2551"/>
        <item x="3264"/>
        <item x="3090"/>
        <item x="3608"/>
        <item x="542"/>
        <item x="957"/>
        <item x="139"/>
        <item x="3757"/>
        <item x="4061"/>
        <item x="1356"/>
        <item x="284"/>
        <item x="3796"/>
        <item x="399"/>
        <item x="1453"/>
        <item x="2060"/>
        <item x="3141"/>
        <item x="1433"/>
        <item x="2592"/>
        <item x="2907"/>
        <item x="1539"/>
        <item x="3606"/>
        <item x="741"/>
        <item x="3763"/>
        <item x="1462"/>
        <item x="2530"/>
        <item x="2240"/>
        <item x="1929"/>
        <item x="3834"/>
        <item x="1344"/>
        <item x="1062"/>
        <item x="3963"/>
        <item x="396"/>
        <item x="4328"/>
        <item x="1111"/>
        <item x="3872"/>
        <item x="1887"/>
        <item x="3767"/>
        <item x="2802"/>
        <item x="734"/>
        <item x="51"/>
        <item x="2658"/>
        <item x="726"/>
        <item x="560"/>
        <item x="2800"/>
        <item x="3092"/>
        <item x="2679"/>
        <item x="3001"/>
        <item x="512"/>
        <item x="2028"/>
        <item x="235"/>
        <item x="2606"/>
        <item x="1266"/>
        <item x="3057"/>
        <item x="3652"/>
        <item x="1821"/>
        <item x="4050"/>
        <item x="830"/>
        <item x="2218"/>
        <item x="1183"/>
        <item x="3484"/>
        <item x="1193"/>
        <item x="879"/>
        <item x="3976"/>
        <item x="2943"/>
        <item x="666"/>
        <item x="3245"/>
        <item x="1339"/>
        <item x="2560"/>
        <item x="1692"/>
        <item x="3021"/>
        <item x="4201"/>
        <item x="689"/>
        <item x="1649"/>
        <item x="2487"/>
        <item x="3154"/>
        <item x="3240"/>
        <item x="787"/>
        <item x="916"/>
        <item x="4352"/>
        <item x="2684"/>
        <item x="1047"/>
        <item x="2756"/>
        <item x="743"/>
        <item x="3033"/>
        <item x="1997"/>
        <item x="4427"/>
        <item x="489"/>
        <item x="1476"/>
        <item x="1132"/>
        <item x="2337"/>
        <item x="1888"/>
        <item x="2870"/>
        <item x="127"/>
        <item x="3739"/>
        <item x="3278"/>
        <item x="3168"/>
        <item x="4134"/>
        <item x="2929"/>
        <item x="2634"/>
        <item x="898"/>
        <item x="1999"/>
        <item x="2378"/>
        <item x="1144"/>
        <item x="2755"/>
        <item x="3259"/>
        <item x="1485"/>
        <item x="237"/>
        <item x="2010"/>
        <item x="2671"/>
        <item x="2672"/>
        <item x="2771"/>
        <item x="697"/>
        <item x="2612"/>
        <item x="1699"/>
        <item x="410"/>
        <item x="2747"/>
        <item x="2206"/>
        <item x="3260"/>
        <item x="383"/>
        <item x="1084"/>
        <item x="2411"/>
        <item x="312"/>
        <item x="1836"/>
        <item x="1957"/>
        <item x="1874"/>
        <item x="2089"/>
        <item x="2282"/>
        <item x="2342"/>
        <item x="2865"/>
        <item x="2832"/>
        <item x="2965"/>
        <item x="2250"/>
        <item x="2294"/>
        <item x="296"/>
        <item x="3553"/>
        <item x="4144"/>
        <item x="2023"/>
        <item x="804"/>
        <item x="4455"/>
        <item x="277"/>
        <item x="2199"/>
        <item x="3448"/>
        <item x="1203"/>
        <item x="222"/>
        <item x="3635"/>
        <item x="1306"/>
        <item x="2379"/>
        <item x="4097"/>
        <item x="4227"/>
        <item x="4104"/>
        <item x="1426"/>
        <item x="1333"/>
        <item x="693"/>
        <item x="1139"/>
        <item x="1166"/>
        <item x="3490"/>
        <item x="3748"/>
        <item x="973"/>
        <item x="833"/>
        <item x="3181"/>
        <item x="1290"/>
        <item x="2228"/>
        <item x="226"/>
        <item x="3217"/>
        <item x="4193"/>
        <item x="2292"/>
        <item x="2247"/>
        <item x="4143"/>
        <item x="2669"/>
        <item x="4278"/>
        <item x="3273"/>
        <item x="1996"/>
        <item x="2837"/>
        <item x="3658"/>
        <item x="1021"/>
        <item x="3397"/>
        <item x="3636"/>
        <item x="840"/>
        <item x="3885"/>
        <item x="4231"/>
        <item x="3324"/>
        <item x="2109"/>
        <item x="3029"/>
        <item x="1974"/>
        <item x="4345"/>
        <item x="1064"/>
        <item x="1859"/>
        <item x="1712"/>
        <item x="1960"/>
        <item x="1108"/>
        <item x="3571"/>
        <item x="2101"/>
        <item x="4067"/>
        <item x="620"/>
        <item x="4220"/>
        <item x="2625"/>
        <item x="1438"/>
        <item x="3202"/>
        <item x="33"/>
        <item x="2602"/>
        <item x="3124"/>
        <item x="4173"/>
        <item x="3587"/>
        <item x="4409"/>
        <item x="1242"/>
        <item x="1401"/>
        <item x="3778"/>
        <item x="1258"/>
        <item x="188"/>
        <item x="1347"/>
        <item x="3754"/>
        <item x="2284"/>
        <item x="2035"/>
        <item x="1137"/>
        <item x="30"/>
        <item x="835"/>
        <item x="663"/>
        <item x="3180"/>
        <item x="2855"/>
        <item x="317"/>
        <item x="3869"/>
        <item x="1188"/>
        <item x="3311"/>
        <item x="3625"/>
        <item x="959"/>
        <item x="1061"/>
        <item x="4233"/>
        <item x="2976"/>
        <item x="4331"/>
        <item x="2544"/>
        <item x="2191"/>
        <item x="915"/>
        <item x="2640"/>
        <item x="706"/>
        <item x="4478"/>
        <item x="1478"/>
        <item x="2338"/>
        <item x="2571"/>
        <item x="3774"/>
        <item x="371"/>
        <item x="4244"/>
        <item x="238"/>
        <item x="2407"/>
        <item x="3562"/>
        <item x="4088"/>
        <item x="3997"/>
        <item x="2146"/>
        <item x="1190"/>
        <item x="993"/>
        <item x="3907"/>
        <item x="2757"/>
        <item x="3928"/>
        <item x="1595"/>
        <item x="3572"/>
        <item x="1505"/>
        <item x="1475"/>
        <item x="1812"/>
        <item x="1702"/>
        <item x="3830"/>
        <item x="309"/>
        <item x="2040"/>
        <item x="1799"/>
        <item x="3989"/>
        <item x="1816"/>
        <item x="3938"/>
        <item x="2344"/>
        <item x="2608"/>
        <item x="3306"/>
        <item x="779"/>
        <item x="93"/>
        <item x="2030"/>
        <item x="581"/>
        <item x="3762"/>
        <item x="848"/>
        <item x="2033"/>
        <item x="536"/>
        <item x="3187"/>
        <item x="3473"/>
        <item x="4311"/>
        <item x="1642"/>
        <item x="2513"/>
        <item x="4453"/>
        <item x="3937"/>
        <item x="761"/>
        <item x="2746"/>
        <item x="1773"/>
        <item x="2626"/>
        <item x="842"/>
        <item x="4485"/>
        <item x="1444"/>
        <item x="455"/>
        <item x="3393"/>
        <item x="2980"/>
        <item x="3003"/>
        <item x="3116"/>
        <item x="3315"/>
        <item x="2780"/>
        <item x="3335"/>
        <item x="778"/>
        <item x="1585"/>
        <item x="1652"/>
        <item x="1788"/>
        <item x="1635"/>
        <item x="9"/>
        <item x="1805"/>
        <item x="4428"/>
        <item x="1696"/>
        <item x="3243"/>
        <item x="207"/>
        <item x="3500"/>
        <item x="947"/>
        <item x="1811"/>
        <item x="3429"/>
        <item x="1232"/>
        <item x="1397"/>
        <item x="937"/>
        <item x="3536"/>
        <item x="4126"/>
        <item x="3855"/>
        <item x="276"/>
        <item x="1647"/>
        <item x="4374"/>
        <item x="1270"/>
        <item x="462"/>
        <item x="3193"/>
        <item x="3939"/>
        <item x="1413"/>
        <item x="2543"/>
        <item x="4047"/>
        <item x="3304"/>
        <item x="3414"/>
        <item x="3445"/>
        <item x="3011"/>
        <item x="2862"/>
        <item x="1972"/>
        <item x="2773"/>
        <item x="1970"/>
        <item x="3117"/>
        <item x="1192"/>
        <item x="3343"/>
        <item x="3574"/>
        <item x="247"/>
        <item x="810"/>
        <item x="2460"/>
        <item x="2173"/>
        <item x="102"/>
        <item x="3725"/>
        <item x="3994"/>
        <item x="4015"/>
        <item x="1415"/>
        <item x="4444"/>
        <item x="4399"/>
        <item x="3588"/>
        <item x="306"/>
        <item x="3581"/>
        <item x="1370"/>
        <item x="2167"/>
        <item x="2059"/>
        <item x="132"/>
        <item x="3364"/>
        <item x="1741"/>
        <item x="690"/>
        <item x="3099"/>
        <item x="1307"/>
        <item x="2698"/>
        <item x="244"/>
        <item x="3425"/>
        <item x="52"/>
        <item x="4471"/>
        <item x="720"/>
        <item x="866"/>
        <item x="1015"/>
        <item x="199"/>
        <item x="2508"/>
        <item x="3799"/>
        <item x="3596"/>
        <item x="1371"/>
        <item x="268"/>
        <item x="1336"/>
        <item x="1511"/>
        <item x="186"/>
        <item x="245"/>
        <item x="1423"/>
        <item x="2985"/>
        <item x="1623"/>
        <item x="329"/>
        <item x="1560"/>
        <item x="3485"/>
        <item x="722"/>
        <item x="594"/>
        <item x="2188"/>
        <item x="2439"/>
        <item x="872"/>
        <item x="2827"/>
        <item x="3922"/>
        <item x="1107"/>
        <item x="327"/>
        <item x="229"/>
        <item x="769"/>
        <item x="817"/>
        <item x="3042"/>
        <item x="4452"/>
        <item x="1330"/>
        <item x="63"/>
        <item x="1008"/>
        <item x="1195"/>
        <item x="4045"/>
        <item x="2333"/>
        <item x="2124"/>
        <item x="2209"/>
        <item x="53"/>
        <item x="401"/>
        <item x="320"/>
        <item x="3590"/>
        <item x="3797"/>
        <item x="3390"/>
        <item x="1233"/>
        <item x="3241"/>
        <item x="3005"/>
        <item x="2805"/>
        <item x="1278"/>
        <item x="1388"/>
        <item x="104"/>
        <item x="344"/>
        <item x="2425"/>
        <item x="2473"/>
        <item x="3790"/>
        <item x="1460"/>
        <item x="18"/>
        <item x="3813"/>
        <item x="3632"/>
        <item x="3472"/>
        <item x="905"/>
        <item x="918"/>
        <item x="234"/>
        <item x="2942"/>
        <item x="385"/>
        <item x="3263"/>
        <item x="2295"/>
        <item x="899"/>
        <item x="668"/>
        <item x="267"/>
        <item x="1876"/>
        <item x="2838"/>
        <item x="4479"/>
        <item x="2458"/>
        <item x="1613"/>
        <item x="1871"/>
        <item x="3614"/>
        <item x="1839"/>
        <item x="4457"/>
        <item x="3169"/>
        <item x="300"/>
        <item x="735"/>
        <item x="1113"/>
        <item x="202"/>
        <item x="643"/>
        <item x="601"/>
        <item x="1671"/>
        <item x="976"/>
        <item x="5"/>
        <item x="387"/>
        <item x="4182"/>
        <item x="2307"/>
        <item x="2070"/>
        <item x="3529"/>
        <item x="768"/>
        <item x="2020"/>
        <item x="2854"/>
        <item x="386"/>
        <item x="2670"/>
        <item x="1045"/>
        <item x="3829"/>
        <item x="2437"/>
        <item x="2732"/>
        <item x="19"/>
        <item x="3551"/>
        <item x="498"/>
        <item x="3847"/>
        <item x="1343"/>
        <item x="2380"/>
        <item x="2322"/>
        <item x="253"/>
        <item x="592"/>
        <item x="3524"/>
        <item x="2195"/>
        <item x="1153"/>
        <item x="120"/>
        <item x="1771"/>
        <item x="4025"/>
        <item x="568"/>
        <item x="2586"/>
        <item x="1630"/>
        <item x="1345"/>
        <item x="1189"/>
        <item x="3845"/>
        <item x="1445"/>
        <item x="1723"/>
        <item x="3716"/>
        <item x="4157"/>
        <item x="1073"/>
        <item x="1117"/>
        <item x="3468"/>
        <item x="2872"/>
        <item x="1610"/>
        <item x="3840"/>
        <item x="971"/>
        <item x="2888"/>
        <item x="1285"/>
        <item x="2509"/>
        <item x="3643"/>
        <item x="825"/>
        <item x="4346"/>
        <item x="3999"/>
        <item x="4141"/>
        <item x="4366"/>
        <item x="691"/>
        <item x="3783"/>
        <item x="4094"/>
        <item x="1375"/>
        <item x="3772"/>
        <item x="1106"/>
        <item x="3558"/>
        <item x="1534"/>
        <item x="374"/>
        <item x="2614"/>
        <item x="2840"/>
        <item x="429"/>
        <item x="4250"/>
        <item x="1872"/>
        <item x="3666"/>
        <item x="2137"/>
        <item x="2585"/>
        <item x="836"/>
        <item x="255"/>
        <item x="119"/>
        <item x="1365"/>
        <item x="1013"/>
        <item x="4377"/>
        <item x="2923"/>
        <item x="744"/>
        <item x="4199"/>
        <item x="2604"/>
        <item x="1463"/>
        <item x="3916"/>
        <item x="2887"/>
        <item x="4012"/>
        <item x="3720"/>
        <item x="949"/>
        <item x="583"/>
        <item x="1158"/>
        <item x="2429"/>
        <item x="862"/>
        <item x="3137"/>
        <item x="4464"/>
        <item x="3565"/>
        <item x="1058"/>
        <item x="4177"/>
        <item x="4160"/>
        <item x="140"/>
        <item x="4349"/>
        <item x="3948"/>
        <item x="1967"/>
        <item x="2046"/>
        <item x="762"/>
        <item x="2693"/>
        <item x="36"/>
        <item x="4371"/>
        <item x="3789"/>
        <item x="2261"/>
        <item x="3252"/>
        <item x="2902"/>
        <item x="421"/>
        <item x="3734"/>
        <item x="843"/>
        <item x="3602"/>
        <item x="556"/>
        <item x="1542"/>
        <item x="12"/>
        <item x="3281"/>
        <item x="2484"/>
        <item x="1868"/>
        <item x="975"/>
        <item x="3213"/>
        <item x="3513"/>
        <item x="1538"/>
        <item x="3298"/>
        <item x="1548"/>
        <item x="1382"/>
        <item x="4003"/>
        <item x="4285"/>
        <item x="692"/>
        <item x="3147"/>
        <item x="450"/>
        <item x="3949"/>
        <item x="250"/>
        <item x="3093"/>
        <item x="1602"/>
        <item x="711"/>
        <item x="4286"/>
        <item x="824"/>
        <item x="3009"/>
        <item x="339"/>
        <item x="3176"/>
        <item x="2043"/>
        <item x="1785"/>
        <item x="4205"/>
        <item x="302"/>
        <item x="2813"/>
        <item x="3146"/>
        <item x="563"/>
        <item x="4442"/>
        <item x="3014"/>
        <item x="3487"/>
        <item x="1668"/>
        <item x="799"/>
        <item x="1138"/>
        <item x="409"/>
        <item x="950"/>
        <item x="1787"/>
        <item x="499"/>
        <item x="1163"/>
        <item x="1626"/>
        <item x="701"/>
        <item x="3446"/>
        <item x="3555"/>
        <item x="2323"/>
        <item x="2052"/>
        <item x="2217"/>
        <item x="4378"/>
        <item x="3094"/>
        <item x="1050"/>
        <item x="2245"/>
        <item x="1077"/>
        <item x="3321"/>
        <item x="564"/>
        <item x="4041"/>
        <item x="3222"/>
        <item x="2546"/>
        <item x="807"/>
        <item x="3399"/>
        <item x="4288"/>
        <item x="2819"/>
        <item x="987"/>
        <item x="1230"/>
        <item x="3369"/>
        <item x="2135"/>
        <item x="4438"/>
        <item x="4392"/>
        <item x="3827"/>
        <item x="3342"/>
        <item x="4370"/>
        <item x="3908"/>
        <item x="3015"/>
        <item x="2599"/>
        <item x="1467"/>
        <item x="1351"/>
        <item x="2062"/>
        <item x="846"/>
        <item x="4357"/>
        <item x="3942"/>
        <item x="1392"/>
        <item x="3350"/>
        <item x="2527"/>
        <item x="1934"/>
        <item x="3592"/>
        <item x="2705"/>
        <item x="428"/>
        <item x="3452"/>
        <item x="3563"/>
        <item x="3272"/>
        <item x="1783"/>
        <item x="242"/>
        <item x="42"/>
        <item x="1326"/>
        <item x="4446"/>
        <item x="3071"/>
        <item x="2461"/>
        <item x="492"/>
        <item x="2917"/>
        <item x="1254"/>
        <item x="402"/>
        <item x="881"/>
        <item x="4326"/>
        <item x="931"/>
        <item x="1297"/>
        <item x="1551"/>
        <item x="156"/>
        <item x="2478"/>
        <item x="562"/>
        <item x="2000"/>
        <item x="624"/>
        <item x="3206"/>
        <item x="1243"/>
        <item x="4386"/>
        <item x="717"/>
        <item x="2750"/>
        <item x="2645"/>
        <item x="1648"/>
        <item x="2562"/>
        <item x="136"/>
        <item x="203"/>
        <item x="2833"/>
        <item x="586"/>
        <item x="513"/>
        <item x="1826"/>
        <item x="681"/>
        <item x="2099"/>
        <item x="1809"/>
        <item x="1185"/>
        <item x="2100"/>
        <item x="2607"/>
        <item x="2573"/>
        <item x="1399"/>
        <item x="106"/>
        <item x="3568"/>
        <item x="3336"/>
        <item x="3793"/>
        <item x="746"/>
        <item x="3595"/>
        <item x="4387"/>
        <item x="4309"/>
        <item x="431"/>
        <item x="101"/>
        <item x="3325"/>
        <item x="1959"/>
        <item x="2264"/>
        <item x="1398"/>
        <item x="3108"/>
        <item x="3920"/>
        <item x="3265"/>
        <item x="3337"/>
        <item x="352"/>
        <item x="43"/>
        <item x="2680"/>
        <item x="3686"/>
        <item x="1378"/>
        <item x="2928"/>
        <item x="1857"/>
        <item x="1483"/>
        <item x="1769"/>
        <item x="3100"/>
        <item x="2524"/>
        <item x="1174"/>
        <item x="1170"/>
        <item x="3547"/>
        <item x="3069"/>
        <item x="1549"/>
        <item x="2818"/>
        <item x="4054"/>
        <item x="1447"/>
        <item x="1493"/>
        <item x="2831"/>
        <item x="193"/>
        <item x="737"/>
        <item x="951"/>
        <item x="4169"/>
        <item x="849"/>
        <item x="3287"/>
        <item x="112"/>
        <item x="2197"/>
        <item x="1714"/>
        <item x="3065"/>
        <item x="2297"/>
        <item x="1325"/>
        <item x="1935"/>
        <item x="4463"/>
        <item x="2666"/>
        <item x="1148"/>
        <item x="189"/>
        <item x="361"/>
        <item x="3104"/>
        <item x="3408"/>
        <item x="1601"/>
        <item x="4294"/>
        <item x="4159"/>
        <item x="2475"/>
        <item x="4057"/>
        <item x="765"/>
        <item x="3384"/>
        <item x="4218"/>
        <item x="1110"/>
        <item x="2134"/>
        <item x="930"/>
        <item x="1353"/>
        <item x="1247"/>
        <item x="1324"/>
        <item x="3935"/>
        <item x="4269"/>
        <item x="233"/>
        <item x="3308"/>
        <item x="1573"/>
        <item x="753"/>
        <item x="3722"/>
        <item x="1181"/>
        <item x="216"/>
        <item x="4099"/>
        <item x="256"/>
        <item x="347"/>
        <item x="2138"/>
        <item x="3224"/>
        <item x="3914"/>
        <item x="731"/>
        <item x="4391"/>
        <item x="1070"/>
        <item x="400"/>
        <item x="1632"/>
        <item x="3056"/>
        <item x="1969"/>
        <item x="687"/>
        <item x="1851"/>
        <item x="4481"/>
        <item x="1359"/>
        <item x="2864"/>
        <item x="3478"/>
        <item x="1366"/>
        <item x="1280"/>
        <item x="1710"/>
        <item x="4022"/>
        <item x="2903"/>
        <item x="2223"/>
        <item x="600"/>
        <item x="4208"/>
        <item x="2086"/>
        <item x="122"/>
        <item x="480"/>
        <item x="2760"/>
        <item x="334"/>
        <item x="2938"/>
        <item x="3089"/>
        <item x="4440"/>
        <item x="2638"/>
        <item x="3639"/>
        <item x="2801"/>
        <item x="4079"/>
        <item x="1572"/>
        <item x="953"/>
        <item x="1312"/>
        <item x="4254"/>
        <item x="4450"/>
        <item x="2233"/>
        <item x="372"/>
        <item x="837"/>
        <item x="3512"/>
        <item x="1965"/>
        <item x="392"/>
        <item x="548"/>
        <item x="1831"/>
        <item x="3502"/>
        <item x="3388"/>
        <item x="655"/>
        <item x="2577"/>
        <item x="729"/>
        <item x="1369"/>
        <item x="1886"/>
        <item x="2905"/>
        <item x="2806"/>
        <item x="2339"/>
        <item x="2894"/>
        <item x="1287"/>
        <item x="3153"/>
        <item x="2241"/>
        <item x="567"/>
        <item x="3706"/>
        <item x="1840"/>
        <item x="4121"/>
        <item x="64"/>
        <item x="3226"/>
        <item x="4340"/>
        <item x="3831"/>
        <item x="3995"/>
        <item x="2313"/>
        <item x="1546"/>
        <item x="484"/>
        <item x="839"/>
        <item x="828"/>
        <item x="1474"/>
        <item x="1529"/>
        <item x="1386"/>
        <item x="3705"/>
        <item x="4276"/>
        <item x="470"/>
        <item x="403"/>
        <item x="1372"/>
        <item x="4051"/>
        <item x="3690"/>
        <item x="3765"/>
        <item x="2631"/>
        <item x="2148"/>
        <item x="2441"/>
        <item x="688"/>
        <item x="2966"/>
        <item x="1295"/>
        <item x="1088"/>
        <item x="365"/>
        <item x="2329"/>
        <item x="4163"/>
        <item x="1213"/>
        <item x="3018"/>
        <item x="1406"/>
        <item x="2892"/>
        <item x="2944"/>
        <item x="459"/>
        <item x="2810"/>
        <item x="3969"/>
        <item x="200"/>
        <item x="389"/>
        <item x="1952"/>
        <item x="2790"/>
        <item x="4198"/>
        <item x="4376"/>
        <item x="3573"/>
        <item x="2145"/>
        <item x="1263"/>
        <item x="727"/>
        <item x="598"/>
        <item x="3603"/>
        <item x="4364"/>
        <item x="3145"/>
        <item x="1442"/>
        <item x="2521"/>
        <item x="3031"/>
        <item x="1558"/>
        <item x="2300"/>
        <item x="3474"/>
        <item x="639"/>
        <item x="4258"/>
        <item x="3849"/>
        <item x="738"/>
        <item x="998"/>
        <item x="3800"/>
        <item x="3566"/>
        <item x="3036"/>
        <item x="1566"/>
        <item x="1308"/>
        <item x="2510"/>
        <item x="2703"/>
        <item x="2567"/>
        <item x="897"/>
        <item x="1981"/>
        <item x="2375"/>
        <item x="3779"/>
        <item x="3921"/>
        <item x="4139"/>
        <item x="2290"/>
        <item x="16"/>
        <item x="633"/>
        <item x="1842"/>
        <item x="1316"/>
        <item x="2849"/>
        <item x="2454"/>
        <item x="1396"/>
        <item x="3886"/>
        <item x="3647"/>
        <item x="2435"/>
        <item x="4246"/>
        <item x="4343"/>
        <item x="1889"/>
        <item x="3986"/>
        <item x="1739"/>
        <item x="458"/>
        <item x="2073"/>
        <item x="4196"/>
        <item x="349"/>
        <item x="1332"/>
        <item x="4130"/>
        <item x="530"/>
        <item x="2269"/>
        <item x="558"/>
        <item x="194"/>
        <item x="3048"/>
        <item x="3279"/>
        <item x="1715"/>
        <item x="425"/>
        <item x="3702"/>
        <item x="2673"/>
        <item x="2729"/>
        <item x="35"/>
        <item x="2455"/>
        <item x="517"/>
        <item x="597"/>
        <item x="2207"/>
        <item x="3786"/>
        <item x="3295"/>
        <item x="4415"/>
        <item x="11"/>
        <item x="2758"/>
        <item x="1112"/>
        <item x="3043"/>
        <item x="3292"/>
        <item x="4487"/>
        <item x="3759"/>
        <item x="1154"/>
        <item x="4150"/>
        <item x="2646"/>
        <item x="2321"/>
        <item x="672"/>
        <item x="1284"/>
        <item x="1301"/>
        <item x="3862"/>
        <item x="3383"/>
        <item x="1733"/>
        <item x="497"/>
        <item x="1469"/>
        <item x="2975"/>
        <item x="1716"/>
        <item x="4024"/>
        <item x="2635"/>
        <item x="150"/>
        <item x="1619"/>
        <item x="376"/>
        <item x="3825"/>
        <item x="3432"/>
        <item x="1152"/>
        <item x="146"/>
        <item x="4394"/>
        <item x="2418"/>
        <item x="2948"/>
        <item x="3363"/>
        <item x="1202"/>
        <item x="2087"/>
        <item x="2396"/>
        <item x="1432"/>
        <item x="3007"/>
        <item x="3482"/>
        <item x="2953"/>
        <item x="2420"/>
        <item x="3471"/>
        <item x="2847"/>
        <item x="1853"/>
        <item x="2610"/>
        <item x="767"/>
        <item x="135"/>
        <item x="1394"/>
        <item x="3880"/>
        <item x="4184"/>
        <item x="3398"/>
        <item x="1216"/>
        <item x="1902"/>
        <item x="4146"/>
        <item x="3609"/>
        <item x="32"/>
        <item x="1265"/>
        <item x="3930"/>
        <item x="4321"/>
        <item x="514"/>
        <item x="4021"/>
        <item x="3828"/>
        <item x="4449"/>
        <item x="265"/>
        <item x="3871"/>
        <item x="1777"/>
        <item x="2072"/>
        <item x="332"/>
        <item x="2539"/>
        <item x="2622"/>
        <item x="1975"/>
        <item x="4411"/>
        <item x="395"/>
        <item x="1563"/>
        <item x="2370"/>
        <item x="3225"/>
        <item x="1237"/>
        <item x="2731"/>
        <item x="198"/>
        <item x="84"/>
        <item x="1555"/>
        <item x="3610"/>
        <item x="613"/>
        <item x="3417"/>
        <item x="1434"/>
        <item x="351"/>
        <item x="3816"/>
        <item x="152"/>
        <item x="2846"/>
        <item x="1797"/>
        <item x="977"/>
        <item x="107"/>
        <item x="1109"/>
        <item x="2384"/>
        <item x="3874"/>
        <item x="2569"/>
        <item x="2740"/>
        <item x="4129"/>
        <item x="1309"/>
        <item x="1532"/>
        <item x="1570"/>
        <item x="574"/>
        <item x="1611"/>
        <item x="1496"/>
        <item x="2968"/>
        <item x="4066"/>
        <item x="3870"/>
        <item x="3730"/>
        <item x="4179"/>
        <item x="2787"/>
        <item x="2526"/>
        <item x="1953"/>
        <item x="3910"/>
        <item x="1795"/>
        <item x="2383"/>
        <item x="3620"/>
        <item x="2619"/>
        <item x="67"/>
        <item x="4009"/>
        <item x="805"/>
        <item x="1939"/>
        <item x="4192"/>
        <item x="2830"/>
        <item x="3345"/>
        <item x="4290"/>
        <item x="1625"/>
        <item x="3660"/>
        <item x="1400"/>
        <item x="938"/>
        <item x="91"/>
        <item x="3768"/>
        <item x="1204"/>
        <item x="118"/>
        <item x="3271"/>
        <item x="1590"/>
        <item x="2203"/>
        <item x="3052"/>
        <item x="1402"/>
        <item x="1079"/>
        <item x="4337"/>
        <item x="3381"/>
        <item x="3883"/>
        <item x="2591"/>
        <item x="143"/>
        <item x="2308"/>
        <item x="3211"/>
        <item x="2724"/>
        <item x="1998"/>
        <item x="321"/>
        <item x="896"/>
        <item x="249"/>
        <item x="1363"/>
        <item x="160"/>
        <item x="3780"/>
        <item x="2263"/>
        <item x="1086"/>
        <item x="4480"/>
        <item x="869"/>
        <item x="4216"/>
        <item x="4367"/>
        <item x="1528"/>
        <item x="657"/>
        <item x="1036"/>
        <item x="2331"/>
        <item x="414"/>
        <item x="4482"/>
        <item x="3534"/>
        <item x="2126"/>
        <item x="1427"/>
        <item x="25"/>
        <item x="2723"/>
        <item x="2861"/>
        <item x="4023"/>
        <item x="4039"/>
        <item x="3479"/>
        <item x="1502"/>
        <item x="674"/>
        <item x="172"/>
        <item x="960"/>
        <item x="4165"/>
        <item x="1908"/>
        <item x="616"/>
        <item x="3673"/>
        <item x="3838"/>
        <item x="577"/>
        <item x="1089"/>
        <item x="820"/>
        <item x="4106"/>
        <item x="3675"/>
        <item x="1644"/>
        <item x="1708"/>
        <item x="4234"/>
        <item x="784"/>
        <item x="1114"/>
        <item x="4203"/>
        <item x="505"/>
        <item x="1441"/>
        <item x="3889"/>
        <item x="4116"/>
        <item x="2301"/>
        <item x="2388"/>
        <item x="2682"/>
        <item x="667"/>
        <item x="4435"/>
        <item x="1918"/>
        <item x="6"/>
        <item x="2971"/>
        <item x="3302"/>
        <item x="1425"/>
        <item x="1437"/>
        <item x="1176"/>
        <item x="1838"/>
        <item x="3627"/>
        <item x="751"/>
        <item x="2990"/>
        <item x="4338"/>
        <item x="1173"/>
        <item x="1947"/>
        <item x="3742"/>
        <item x="546"/>
        <item x="1919"/>
        <item x="4221"/>
        <item x="4162"/>
        <item x="844"/>
        <item x="412"/>
        <item x="1621"/>
        <item x="3518"/>
        <item x="3704"/>
        <item x="1522"/>
        <item x="487"/>
        <item x="555"/>
        <item x="479"/>
        <item x="831"/>
        <item x="1737"/>
        <item x="174"/>
        <item x="1310"/>
        <item x="1932"/>
        <item x="3718"/>
        <item x="3348"/>
        <item x="2351"/>
        <item x="2330"/>
        <item x="3254"/>
        <item x="1599"/>
        <item x="3970"/>
        <item x="486"/>
        <item x="3901"/>
        <item x="1854"/>
        <item x="1221"/>
        <item x="845"/>
        <item x="3316"/>
        <item x="1653"/>
        <item x="1846"/>
        <item x="3127"/>
        <item x="27"/>
        <item x="3132"/>
        <item x="440"/>
        <item x="298"/>
        <item x="1027"/>
        <item x="1680"/>
        <item x="2147"/>
        <item x="3979"/>
        <item x="582"/>
        <item x="2358"/>
        <item x="1565"/>
        <item x="1688"/>
        <item x="4384"/>
        <item x="819"/>
        <item x="2964"/>
        <item x="2025"/>
        <item x="943"/>
        <item x="2897"/>
        <item x="3805"/>
        <item x="407"/>
        <item x="433"/>
        <item x="2246"/>
        <item x="1580"/>
        <item x="2161"/>
        <item x="2537"/>
        <item x="195"/>
        <item x="2355"/>
        <item x="166"/>
        <item x="2081"/>
        <item x="551"/>
        <item x="2841"/>
        <item x="1657"/>
        <item x="2196"/>
        <item x="602"/>
        <item x="3201"/>
        <item x="4155"/>
        <item x="3492"/>
        <item x="1786"/>
        <item x="3322"/>
        <item x="4178"/>
        <item x="3618"/>
        <item x="1318"/>
        <item x="3140"/>
        <item x="3460"/>
        <item x="1133"/>
        <item x="3299"/>
        <item x="1683"/>
        <item x="1909"/>
        <item x="2881"/>
        <item x="1461"/>
        <item x="1717"/>
        <item x="2982"/>
        <item x="1501"/>
        <item x="117"/>
        <item x="1948"/>
        <item x="3865"/>
        <item x="1725"/>
        <item x="2816"/>
        <item x="1002"/>
        <item x="760"/>
        <item x="115"/>
        <item x="444"/>
        <item x="2779"/>
        <item x="1880"/>
        <item x="1018"/>
        <item x="1510"/>
        <item x="3510"/>
        <item x="1507"/>
        <item x="3044"/>
        <item x="2232"/>
        <item x="2792"/>
        <item x="3694"/>
        <item x="2776"/>
        <item x="47"/>
        <item x="4312"/>
        <item x="1759"/>
        <item x="3111"/>
        <item x="974"/>
        <item x="2967"/>
        <item x="1629"/>
        <item x="2111"/>
        <item x="695"/>
        <item x="432"/>
        <item x="988"/>
        <item x="2589"/>
        <item x="175"/>
        <item x="3395"/>
        <item x="1360"/>
        <item x="3733"/>
        <item x="795"/>
        <item x="788"/>
        <item x="2392"/>
        <item x="2809"/>
        <item x="3749"/>
        <item x="3380"/>
        <item x="4164"/>
        <item x="31"/>
        <item x="1051"/>
        <item x="1354"/>
        <item x="2728"/>
        <item x="3782"/>
        <item x="1707"/>
        <item x="4434"/>
        <item x="2092"/>
        <item x="3613"/>
        <item x="2058"/>
        <item x="1586"/>
        <item x="3593"/>
        <item x="3156"/>
        <item x="2438"/>
        <item x="2788"/>
        <item x="3896"/>
        <item x="3041"/>
        <item x="3256"/>
        <item x="465"/>
        <item x="2579"/>
        <item x="271"/>
        <item x="1891"/>
        <item x="3121"/>
        <item x="1376"/>
        <item x="1684"/>
        <item x="4344"/>
        <item x="3933"/>
        <item x="653"/>
        <item x="3459"/>
        <item x="1806"/>
        <item x="379"/>
        <item x="4299"/>
        <item x="1612"/>
        <item x="304"/>
        <item x="4277"/>
        <item x="4118"/>
        <item x="887"/>
        <item x="4017"/>
        <item x="2909"/>
        <item x="2400"/>
        <item x="4168"/>
        <item x="273"/>
        <item x="3858"/>
        <item x="1227"/>
        <item x="179"/>
        <item x="2448"/>
        <item x="2029"/>
        <item x="4393"/>
        <item x="2414"/>
        <item x="2071"/>
        <item x="4421"/>
        <item x="1877"/>
        <item x="3973"/>
        <item x="3235"/>
        <item x="890"/>
        <item x="1814"/>
        <item x="485"/>
        <item x="629"/>
        <item x="4445"/>
        <item x="1298"/>
        <item x="2125"/>
        <item x="1273"/>
        <item x="3537"/>
        <item x="2048"/>
        <item x="1450"/>
        <item x="326"/>
        <item x="2044"/>
        <item x="4133"/>
        <item x="2548"/>
        <item x="3776"/>
        <item x="3075"/>
        <item x="2817"/>
        <item x="350"/>
        <item x="48"/>
        <item x="4194"/>
        <item x="814"/>
        <item x="4215"/>
        <item x="3034"/>
        <item x="2661"/>
        <item x="1578"/>
        <item x="4110"/>
        <item x="3902"/>
        <item x="1494"/>
        <item x="3600"/>
        <item x="1465"/>
        <item x="730"/>
        <item x="4174"/>
        <item x="1718"/>
        <item x="4210"/>
        <item x="2863"/>
        <item x="74"/>
        <item x="2153"/>
        <item x="185"/>
        <item x="3237"/>
        <item x="2371"/>
        <item x="75"/>
        <item x="3693"/>
        <item x="61"/>
        <item x="2413"/>
        <item x="2140"/>
        <item x="2303"/>
        <item x="921"/>
        <item x="3703"/>
        <item x="2181"/>
        <item x="290"/>
        <item x="1509"/>
        <item x="3589"/>
        <item x="2491"/>
        <item x="2466"/>
        <item x="3330"/>
        <item x="1614"/>
        <item x="827"/>
        <item x="3066"/>
        <item x="3583"/>
        <item x="3844"/>
        <item x="1796"/>
        <item x="3521"/>
        <item x="3993"/>
        <item x="4317"/>
        <item x="1660"/>
        <item x="3681"/>
        <item x="1074"/>
        <item x="2270"/>
        <item x="1167"/>
        <item x="2901"/>
        <item x="3467"/>
        <item x="989"/>
        <item x="884"/>
        <item x="2657"/>
        <item x="3191"/>
        <item x="4401"/>
        <item x="2972"/>
        <item x="2171"/>
        <item x="595"/>
        <item x="171"/>
        <item x="3416"/>
        <item x="520"/>
        <item x="644"/>
        <item x="1321"/>
        <item x="3165"/>
        <item x="2183"/>
        <item x="2267"/>
        <item x="1005"/>
        <item x="1536"/>
        <item x="2472"/>
        <item x="3531"/>
        <item x="4230"/>
        <item x="3760"/>
        <item x="1156"/>
        <item x="2398"/>
        <item x="38"/>
        <item x="1122"/>
        <item x="2119"/>
        <item x="2470"/>
        <item x="1940"/>
        <item x="3356"/>
        <item x="2118"/>
        <item x="1686"/>
        <item x="3814"/>
        <item x="1205"/>
        <item x="3102"/>
        <item x="4191"/>
        <item x="792"/>
        <item x="2085"/>
        <item x="2796"/>
        <item x="94"/>
        <item x="1094"/>
        <item x="673"/>
        <item x="1199"/>
        <item x="50"/>
        <item x="859"/>
        <item x="1682"/>
        <item x="3449"/>
        <item x="2696"/>
        <item x="3233"/>
        <item x="3906"/>
        <item x="2158"/>
        <item x="1416"/>
        <item x="3440"/>
        <item x="1481"/>
        <item x="3540"/>
        <item x="3911"/>
        <item x="2761"/>
        <item x="1451"/>
        <item x="4476"/>
        <item x="3764"/>
        <item x="3990"/>
        <item x="2488"/>
        <item x="1209"/>
        <item x="748"/>
        <item x="585"/>
        <item x="2590"/>
        <item x="3807"/>
        <item x="1835"/>
        <item x="3040"/>
        <item x="2252"/>
        <item x="521"/>
        <item x="213"/>
        <item x="151"/>
        <item x="2433"/>
        <item x="2021"/>
        <item x="3297"/>
        <item x="1896"/>
        <item x="2781"/>
        <item x="3812"/>
        <item x="2665"/>
        <item x="1609"/>
        <item x="1011"/>
        <item x="1458"/>
        <item x="2507"/>
        <item x="1847"/>
        <item x="2856"/>
        <item x="3777"/>
        <item x="3320"/>
        <item x="3067"/>
        <item x="2593"/>
        <item x="2534"/>
        <item x="2726"/>
        <item x="3599"/>
        <item x="4154"/>
        <item x="1641"/>
        <item x="3672"/>
        <item x="528"/>
        <item x="1843"/>
        <item x="2248"/>
        <item x="220"/>
        <item x="228"/>
        <item x="1120"/>
        <item x="4431"/>
        <item x="3962"/>
        <item x="2353"/>
        <item x="1126"/>
        <item x="2064"/>
        <item x="1041"/>
        <item x="1651"/>
        <item x="2359"/>
        <item x="1744"/>
        <item x="1803"/>
        <item x="3837"/>
        <item x="878"/>
        <item x="1034"/>
        <item x="2255"/>
        <item x="1685"/>
        <item x="2170"/>
        <item x="1754"/>
        <item x="3289"/>
        <item x="2687"/>
        <item x="4406"/>
        <item x="2121"/>
        <item x="2399"/>
        <item x="3341"/>
        <item x="3755"/>
        <item x="2662"/>
        <item x="3010"/>
        <item x="3680"/>
        <item x="2704"/>
        <item x="3769"/>
        <item x="2600"/>
        <item x="2572"/>
        <item x="3301"/>
        <item x="1300"/>
        <item x="3134"/>
        <item x="1056"/>
        <item x="680"/>
        <item x="3333"/>
        <item x="1818"/>
        <item x="4132"/>
        <item x="1837"/>
        <item x="1672"/>
        <item x="2721"/>
        <item x="2738"/>
        <item x="1001"/>
        <item x="3640"/>
        <item x="2984"/>
        <item x="2419"/>
        <item x="4251"/>
        <item x="294"/>
        <item x="2452"/>
        <item x="1000"/>
        <item x="571"/>
        <item x="1964"/>
        <item x="1691"/>
        <item x="4124"/>
        <item x="353"/>
        <item x="2136"/>
        <item x="2019"/>
        <item x="1834"/>
        <item x="945"/>
        <item x="2541"/>
        <item x="2078"/>
        <item x="3731"/>
        <item x="473"/>
        <item x="4071"/>
        <item x="813"/>
        <item x="756"/>
        <item x="2230"/>
        <item x="44"/>
        <item x="1029"/>
        <item x="2652"/>
        <item x="1765"/>
        <item x="3410"/>
        <item x="2481"/>
        <item x="3284"/>
        <item x="1526"/>
        <item x="2312"/>
        <item x="1559"/>
        <item x="913"/>
        <item x="4385"/>
        <item x="3221"/>
        <item x="3917"/>
        <item x="2116"/>
        <item x="3192"/>
        <item x="3195"/>
        <item x="4295"/>
        <item x="3688"/>
        <item x="3677"/>
        <item x="3773"/>
        <item x="3887"/>
        <item x="4468"/>
        <item x="1694"/>
        <item x="2362"/>
        <item x="2296"/>
        <item x="752"/>
        <item x="2299"/>
        <item x="1724"/>
        <item x="3860"/>
        <item x="1793"/>
        <item x="1508"/>
        <item x="1923"/>
        <item x="1429"/>
        <item x="3852"/>
        <item x="1379"/>
        <item x="257"/>
        <item x="1314"/>
        <item x="2176"/>
        <item x="2582"/>
        <item x="3409"/>
        <item x="2376"/>
        <item x="740"/>
        <item x="1926"/>
        <item x="3864"/>
        <item x="3665"/>
        <item x="696"/>
        <item x="1521"/>
        <item x="1085"/>
        <item x="2720"/>
        <item x="28"/>
        <item x="2443"/>
        <item x="3894"/>
        <item x="609"/>
        <item x="292"/>
        <item x="789"/>
        <item x="854"/>
        <item x="2629"/>
        <item x="1430"/>
        <item x="2027"/>
        <item x="26"/>
        <item x="1753"/>
        <item x="3288"/>
        <item x="2456"/>
        <item x="1319"/>
        <item x="1583"/>
        <item x="3290"/>
        <item x="3461"/>
        <item x="3506"/>
        <item x="780"/>
        <item x="1941"/>
        <item x="1514"/>
        <item x="1222"/>
        <item x="1042"/>
        <item x="2219"/>
        <item x="4272"/>
        <item x="4080"/>
        <item x="3617"/>
        <item x="2482"/>
        <item x="1544"/>
        <item x="1044"/>
        <item x="1346"/>
        <item x="3501"/>
        <item x="2730"/>
        <item x="90"/>
        <item x="1065"/>
        <item x="3184"/>
        <item x="2235"/>
        <item x="373"/>
        <item x="1810"/>
        <item x="2014"/>
        <item x="4102"/>
        <item x="24"/>
        <item x="3966"/>
        <item x="3982"/>
        <item x="1791"/>
        <item x="2406"/>
        <item x="3591"/>
        <item x="2075"/>
        <item x="3032"/>
        <item x="923"/>
        <item x="942"/>
        <item x="2341"/>
        <item x="638"/>
        <item x="114"/>
        <item x="1659"/>
        <item x="4185"/>
        <item x="3912"/>
        <item x="2447"/>
        <item x="622"/>
        <item x="3971"/>
        <item x="2424"/>
        <item x="4448"/>
        <item x="164"/>
        <item x="3744"/>
        <item x="1844"/>
        <item x="3419"/>
        <item x="4451"/>
        <item x="1772"/>
        <item x="2811"/>
        <item x="924"/>
        <item x="2765"/>
        <item x="4483"/>
        <item x="159"/>
        <item x="2446"/>
        <item x="3832"/>
        <item x="1473"/>
        <item x="2485"/>
        <item x="2340"/>
        <item x="2476"/>
        <item x="747"/>
        <item x="3594"/>
        <item x="413"/>
        <item x="2660"/>
        <item x="314"/>
        <item x="1506"/>
        <item x="2151"/>
        <item x="1722"/>
        <item x="1582"/>
        <item x="4410"/>
        <item x="133"/>
        <item x="4273"/>
        <item x="147"/>
        <item x="868"/>
        <item x="2869"/>
        <item x="3752"/>
        <item x="3275"/>
        <item x="1513"/>
        <item x="3025"/>
        <item x="3771"/>
        <item x="95"/>
        <item x="2804"/>
        <item x="1146"/>
        <item x="2713"/>
        <item x="3105"/>
        <item x="721"/>
        <item x="3794"/>
        <item x="342"/>
        <item x="1730"/>
        <item x="148"/>
        <item x="2315"/>
        <item x="3554"/>
        <item x="2415"/>
        <item x="3516"/>
        <item x="1214"/>
        <item x="4095"/>
        <item x="1584"/>
        <item x="1171"/>
        <item x="3633"/>
        <item x="3637"/>
        <item x="2644"/>
        <item x="2017"/>
        <item x="1311"/>
        <item x="3820"/>
        <item x="2653"/>
        <item x="2198"/>
        <item x="781"/>
        <item x="3709"/>
        <item x="716"/>
        <item x="524"/>
        <item x="1639"/>
        <item x="2986"/>
        <item x="1537"/>
        <item x="2845"/>
        <item x="3392"/>
        <item x="1178"/>
        <item x="994"/>
        <item x="2114"/>
        <item x="1869"/>
        <item x="10"/>
        <item x="161"/>
        <item x="832"/>
        <item x="1564"/>
        <item x="3651"/>
        <item x="2497"/>
        <item x="1740"/>
        <item x="21"/>
        <item x="3843"/>
        <item x="2674"/>
        <item x="4042"/>
        <item x="3504"/>
        <item x="4117"/>
        <item x="3280"/>
        <item x="3177"/>
        <item x="739"/>
        <item x="3868"/>
        <item x="4310"/>
        <item x="4472"/>
        <item x="2155"/>
        <item x="1100"/>
        <item x="4279"/>
        <item x="812"/>
        <item x="415"/>
        <item x="1387"/>
        <item x="702"/>
        <item x="4342"/>
        <item x="2997"/>
        <item x="1180"/>
        <item x="1543"/>
        <item x="649"/>
        <item x="1040"/>
        <item x="4028"/>
        <item x="2336"/>
        <item x="1678"/>
        <item x="2677"/>
        <item x="3149"/>
        <item x="2859"/>
        <item x="3926"/>
        <item x="2545"/>
        <item x="3118"/>
        <item x="1223"/>
        <item x="1776"/>
        <item x="1607"/>
        <item x="2834"/>
        <item x="76"/>
        <item x="1665"/>
        <item x="2784"/>
        <item x="3819"/>
        <item x="1484"/>
        <item x="1104"/>
        <item x="4404"/>
        <item x="3376"/>
        <item x="855"/>
        <item x="2494"/>
        <item x="1568"/>
        <item x="2955"/>
        <item x="2066"/>
        <item x="4381"/>
        <item x="1030"/>
        <item x="3428"/>
        <item x="709"/>
        <item x="3469"/>
        <item x="3026"/>
        <item x="2421"/>
        <item x="875"/>
        <item x="2502"/>
        <item x="3101"/>
        <item x="2918"/>
        <item x="4161"/>
        <item x="466"/>
        <item x="3586"/>
        <item x="1879"/>
        <item x="1302"/>
        <item x="3095"/>
        <item x="3423"/>
        <item x="2996"/>
        <item x="3346"/>
        <item x="4261"/>
        <item x="4093"/>
        <item x="797"/>
        <item x="3144"/>
        <item x="2310"/>
        <item x="3277"/>
        <item x="3905"/>
        <item x="3179"/>
        <item x="3374"/>
        <item x="2709"/>
        <item x="2449"/>
        <item x="2958"/>
        <item x="3248"/>
        <item x="3991"/>
        <item x="2667"/>
        <item x="2156"/>
        <item x="1019"/>
        <item x="3257"/>
        <item x="4256"/>
        <item x="3960"/>
        <item x="3203"/>
        <item x="1389"/>
        <item x="2643"/>
        <item x="3598"/>
        <item x="1552"/>
        <item x="1200"/>
        <item x="1078"/>
        <item x="682"/>
        <item x="2496"/>
        <item x="3685"/>
        <item x="2405"/>
        <item x="1240"/>
        <item x="4033"/>
        <item x="4077"/>
        <item x="1244"/>
        <item x="3528"/>
        <item x="4049"/>
        <item x="802"/>
        <item x="3750"/>
        <item x="3546"/>
        <item x="1439"/>
        <item x="504"/>
        <item x="900"/>
        <item x="2963"/>
        <item x="1666"/>
        <item x="4257"/>
        <item x="707"/>
        <item x="1121"/>
        <item x="2904"/>
        <item x="2387"/>
        <item x="3253"/>
        <item x="1535"/>
        <item x="3957"/>
        <item x="4314"/>
        <item x="3925"/>
        <item x="2745"/>
        <item x="1361"/>
        <item x="3194"/>
        <item x="3175"/>
        <item x="2848"/>
        <item x="857"/>
        <item x="305"/>
        <item x="909"/>
        <item x="3267"/>
        <item x="3385"/>
        <item x="2950"/>
        <item x="1457"/>
        <item x="1950"/>
        <item x="3344"/>
        <item x="134"/>
        <item x="1943"/>
        <item x="2826"/>
        <item x="3570"/>
        <item x="3936"/>
        <item x="3638"/>
        <item x="2637"/>
        <item x="46"/>
        <item x="1123"/>
        <item x="1525"/>
        <item x="1576"/>
        <item x="1561"/>
        <item x="2385"/>
        <item x="2803"/>
        <item x="2876"/>
        <item x="3958"/>
        <item x="4056"/>
        <item x="2133"/>
        <item x="3877"/>
        <item x="1282"/>
        <item x="3683"/>
        <item x="550"/>
        <item x="1229"/>
        <item x="2008"/>
        <item x="3371"/>
        <item x="1729"/>
        <item x="4465"/>
        <item x="3642"/>
        <item x="4301"/>
        <item x="2277"/>
        <item x="4026"/>
        <item x="2128"/>
        <item x="3234"/>
        <item x="464"/>
        <item x="2516"/>
        <item x="3340"/>
        <item x="3064"/>
        <item x="2479"/>
        <item x="877"/>
        <item x="1958"/>
        <item x="3808"/>
        <item x="2999"/>
        <item x="3745"/>
        <item x="4166"/>
        <item x="3818"/>
        <item x="2714"/>
        <item x="547"/>
        <item x="3331"/>
        <item x="1032"/>
        <item x="4107"/>
        <item x="2664"/>
        <item x="3533"/>
        <item x="4004"/>
        <item x="209"/>
        <item x="4225"/>
        <item x="2031"/>
        <item x="908"/>
        <item x="961"/>
        <item x="3697"/>
        <item x="543"/>
        <item x="39"/>
        <item x="1689"/>
        <item x="3053"/>
        <item x="1350"/>
        <item x="2759"/>
        <item x="2798"/>
        <item x="1736"/>
        <item x="2702"/>
        <item x="587"/>
        <item x="3349"/>
        <item x="3900"/>
        <item x="985"/>
        <item x="2748"/>
        <item x="1784"/>
        <item x="3219"/>
        <item x="3977"/>
        <item x="4030"/>
        <item x="426"/>
        <item x="1912"/>
        <item x="2628"/>
        <item x="954"/>
        <item x="283"/>
        <item x="1182"/>
        <item x="328"/>
        <item x="3411"/>
        <item x="2164"/>
        <item x="356"/>
        <item x="2038"/>
        <item x="1983"/>
        <item x="1670"/>
        <item x="2265"/>
        <item x="4423"/>
        <item x="3438"/>
        <item x="449"/>
        <item x="1973"/>
        <item x="3462"/>
        <item x="3110"/>
        <item x="4195"/>
        <item x="263"/>
        <item x="262"/>
        <item x="1197"/>
        <item x="4181"/>
        <item x="3943"/>
        <item x="2098"/>
        <item x="3489"/>
        <item x="2737"/>
        <item x="83"/>
        <item x="3992"/>
        <item x="2091"/>
        <item x="3611"/>
        <item x="3159"/>
        <item x="2288"/>
        <item x="2981"/>
        <item x="940"/>
        <item x="2691"/>
        <item x="2752"/>
        <item x="4089"/>
        <item x="3415"/>
        <item x="1320"/>
        <item x="362"/>
        <item x="2103"/>
        <item x="301"/>
        <item x="4238"/>
        <item x="246"/>
        <item x="4239"/>
        <item x="3276"/>
        <item x="1574"/>
        <item x="3891"/>
        <item x="196"/>
        <item x="85"/>
        <item x="456"/>
        <item x="754"/>
        <item x="3564"/>
        <item x="826"/>
        <item x="2858"/>
        <item x="2004"/>
        <item x="4351"/>
        <item x="3129"/>
        <item x="1331"/>
        <item x="2204"/>
        <item x="1482"/>
        <item x="29"/>
        <item x="2715"/>
        <item x="3931"/>
        <item x="946"/>
        <item x="3607"/>
        <item x="1125"/>
        <item x="1750"/>
        <item x="2465"/>
        <item x="3701"/>
        <item x="886"/>
        <item x="1381"/>
        <item x="230"/>
        <item x="1260"/>
        <item x="4188"/>
        <item x="2499"/>
        <item x="2621"/>
        <item x="2890"/>
        <item x="3758"/>
        <item x="1775"/>
        <item x="4323"/>
        <item x="1815"/>
        <item x="3929"/>
        <item x="997"/>
        <item x="967"/>
        <item x="2694"/>
        <item x="3866"/>
        <item x="965"/>
        <item x="1743"/>
        <item x="1103"/>
        <item x="2514"/>
        <item x="1593"/>
        <item x="861"/>
        <item x="149"/>
        <item x="1579"/>
        <item x="4430"/>
        <item x="1135"/>
        <item x="3719"/>
        <item x="2097"/>
        <item x="4270"/>
        <item x="1519"/>
        <item x="2552"/>
        <item x="2850"/>
        <item x="1291"/>
        <item x="4313"/>
        <item x="4031"/>
        <item x="2977"/>
        <item x="3135"/>
        <item x="1727"/>
        <item x="3674"/>
        <item x="3981"/>
        <item x="2842"/>
        <item x="2893"/>
        <item x="3464"/>
        <item x="1215"/>
        <item x="1748"/>
        <item x="3427"/>
        <item x="1933"/>
        <item x="2142"/>
        <item x="2880"/>
        <item x="3131"/>
        <item x="2873"/>
        <item x="1091"/>
        <item x="4136"/>
        <item x="1341"/>
        <item x="2852"/>
        <item x="2231"/>
        <item x="1412"/>
        <item x="1"/>
        <item x="2363"/>
        <item x="3879"/>
        <item x="3488"/>
        <item x="3498"/>
        <item x="2186"/>
        <item x="772"/>
        <item x="2601"/>
        <item x="4322"/>
        <item x="3532"/>
        <item x="3437"/>
        <item x="852"/>
        <item x="1700"/>
        <item x="3766"/>
        <item x="750"/>
        <item x="634"/>
        <item x="437"/>
        <item x="679"/>
        <item x="3074"/>
        <item x="4365"/>
        <item x="1257"/>
        <item x="3148"/>
        <item x="2369"/>
        <item x="3444"/>
        <item x="2417"/>
        <item x="654"/>
        <item x="766"/>
        <item x="2182"/>
        <item x="359"/>
        <item x="2688"/>
        <item x="58"/>
        <item x="4400"/>
        <item x="3491"/>
        <item x="910"/>
        <item x="793"/>
        <item x="391"/>
        <item x="178"/>
        <item x="274"/>
        <item x="3909"/>
        <item x="904"/>
        <item x="2426"/>
        <item x="261"/>
        <item x="1654"/>
        <item x="1597"/>
        <item x="307"/>
        <item x="865"/>
        <item x="968"/>
        <item x="2343"/>
        <item x="2549"/>
        <item x="2200"/>
        <item x="109"/>
        <item x="901"/>
        <item x="1728"/>
        <item x="406"/>
        <item x="4014"/>
        <item x="3161"/>
        <item x="1963"/>
        <item x="2844"/>
        <item x="983"/>
        <item x="2139"/>
        <item x="1636"/>
        <item x="3247"/>
        <item x="162"/>
        <item x="3477"/>
        <item x="1553"/>
        <item x="4474"/>
        <item x="502"/>
        <item x="3884"/>
        <item x="1571"/>
        <item x="293"/>
        <item x="3919"/>
        <item x="3497"/>
        <item x="4046"/>
        <item x="141"/>
        <item x="2372"/>
        <item x="627"/>
        <item x="642"/>
        <item x="718"/>
        <item x="4429"/>
        <item x="3951"/>
        <item x="3178"/>
        <item x="2159"/>
        <item x="4113"/>
        <item x="3314"/>
        <item x="4443"/>
        <item x="3659"/>
        <item x="4253"/>
        <item x="1738"/>
        <item x="2364"/>
        <item x="1781"/>
        <item x="838"/>
        <item x="3112"/>
        <item x="3650"/>
        <item x="2828"/>
        <item x="3157"/>
        <item x="4361"/>
        <item x="259"/>
        <item x="3183"/>
        <item x="2474"/>
        <item x="4055"/>
        <item x="4396"/>
        <item x="331"/>
        <item x="2639"/>
        <item x="4086"/>
        <item x="3867"/>
        <item x="926"/>
        <item x="4329"/>
        <item x="3621"/>
        <item x="1472"/>
        <item x="460"/>
        <item x="2535"/>
        <item x="2260"/>
        <item x="3394"/>
        <item x="1238"/>
        <item x="2717"/>
        <item x="919"/>
        <item x="3366"/>
        <item x="4266"/>
        <item x="2754"/>
        <item x="3892"/>
        <item x="2314"/>
        <item x="248"/>
        <item x="214"/>
        <item x="3679"/>
        <item x="1269"/>
        <item x="2557"/>
        <item x="2083"/>
        <item x="3172"/>
        <item x="864"/>
        <item x="49"/>
        <item x="2532"/>
        <item x="4044"/>
        <item x="2225"/>
        <item x="231"/>
        <item x="2913"/>
        <item x="441"/>
        <item x="4187"/>
        <item x="2538"/>
        <item x="2979"/>
        <item x="435"/>
        <item x="2650"/>
        <item x="1296"/>
        <item x="3312"/>
        <item x="4397"/>
        <item x="1962"/>
        <item x="978"/>
        <item t="default"/>
      </items>
    </pivotField>
    <pivotField showAll="0"/>
    <pivotField axis="axisRow" showAll="0" sortType="ascending">
      <items count="20">
        <item x="14"/>
        <item x="5"/>
        <item x="0"/>
        <item x="3"/>
        <item x="10"/>
        <item x="17"/>
        <item x="4"/>
        <item x="13"/>
        <item x="12"/>
        <item x="6"/>
        <item x="7"/>
        <item x="8"/>
        <item x="18"/>
        <item x="15"/>
        <item x="16"/>
        <item x="11"/>
        <item x="9"/>
        <item x="1"/>
        <item x="2"/>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9"/>
  </rowFields>
  <rowItems count="20">
    <i>
      <x v="14"/>
    </i>
    <i>
      <x v="11"/>
    </i>
    <i>
      <x v="16"/>
    </i>
    <i>
      <x v="2"/>
    </i>
    <i>
      <x v="1"/>
    </i>
    <i>
      <x v="10"/>
    </i>
    <i>
      <x v="13"/>
    </i>
    <i>
      <x/>
    </i>
    <i>
      <x v="4"/>
    </i>
    <i>
      <x v="15"/>
    </i>
    <i>
      <x v="12"/>
    </i>
    <i>
      <x v="7"/>
    </i>
    <i>
      <x v="9"/>
    </i>
    <i>
      <x v="5"/>
    </i>
    <i>
      <x v="17"/>
    </i>
    <i>
      <x v="6"/>
    </i>
    <i>
      <x v="18"/>
    </i>
    <i>
      <x v="3"/>
    </i>
    <i>
      <x v="8"/>
    </i>
    <i t="grand">
      <x/>
    </i>
  </rowItems>
  <colItems count="1">
    <i/>
  </colItems>
  <dataFields count="1">
    <dataField name="Sum of total_price" fld="12" showDataAs="percentOfCol" baseField="0" baseItem="0" numFmtId="10"/>
  </dataFields>
  <chartFormats count="3">
    <chartFormat chart="6"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5DFA009-6CEF-324C-9737-171639E5778C}"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99:B105" firstHeaderRow="1" firstDataRow="1" firstDataCol="1"/>
  <pivotFields count="15">
    <pivotField showAll="0"/>
    <pivotField showAll="0"/>
    <pivotField showAll="0"/>
    <pivotField showAll="0">
      <items count="13">
        <item x="0"/>
        <item x="1"/>
        <item x="2"/>
        <item x="3"/>
        <item x="4"/>
        <item x="5"/>
        <item x="6"/>
        <item x="7"/>
        <item x="8"/>
        <item x="9"/>
        <item x="10"/>
        <item x="11"/>
        <item t="default"/>
      </items>
    </pivotField>
    <pivotField numFmtId="14" showAll="0"/>
    <pivotField showAll="0"/>
    <pivotField showAll="0"/>
    <pivotField numFmtId="21" showAll="0">
      <items count="4489">
        <item x="3898"/>
        <item x="3200"/>
        <item x="2381"/>
        <item x="2793"/>
        <item x="4242"/>
        <item x="1992"/>
        <item x="2271"/>
        <item x="2464"/>
        <item x="3503"/>
        <item x="2920"/>
        <item x="2692"/>
        <item x="4316"/>
        <item x="3270"/>
        <item x="2275"/>
        <item x="3351"/>
        <item x="3575"/>
        <item x="515"/>
        <item x="2540"/>
        <item x="2354"/>
        <item x="3133"/>
        <item x="1255"/>
        <item x="158"/>
        <item x="2050"/>
        <item x="1855"/>
        <item x="1071"/>
        <item x="4111"/>
        <item x="847"/>
        <item x="22"/>
        <item x="1081"/>
        <item x="3535"/>
        <item x="3455"/>
        <item x="182"/>
        <item x="15"/>
        <item x="111"/>
        <item x="3072"/>
        <item x="1767"/>
        <item x="3576"/>
        <item x="2018"/>
        <item x="1184"/>
        <item x="4389"/>
        <item x="137"/>
        <item x="3698"/>
        <item x="3022"/>
        <item x="646"/>
        <item x="529"/>
        <item x="1681"/>
        <item x="2244"/>
        <item x="4000"/>
        <item x="2144"/>
        <item x="1884"/>
        <item x="2152"/>
        <item x="3915"/>
        <item x="2936"/>
        <item x="3945"/>
        <item x="3382"/>
        <item x="2690"/>
        <item x="3244"/>
        <item x="3060"/>
        <item x="4219"/>
        <item x="927"/>
        <item x="4020"/>
        <item x="2416"/>
        <item x="2565"/>
        <item x="1994"/>
        <item x="3648"/>
        <item x="1259"/>
        <item x="1315"/>
        <item x="345"/>
        <item x="2498"/>
        <item x="155"/>
        <item x="1374"/>
        <item x="4360"/>
        <item x="3447"/>
        <item x="3710"/>
        <item x="1384"/>
        <item x="1159"/>
        <item x="2777"/>
        <item x="1225"/>
        <item x="4473"/>
        <item x="3751"/>
        <item x="1547"/>
        <item x="3377"/>
        <item x="1893"/>
        <item x="311"/>
        <item x="251"/>
        <item x="2076"/>
        <item x="755"/>
        <item x="1704"/>
        <item x="3542"/>
        <item x="3091"/>
        <item x="745"/>
        <item x="1645"/>
        <item x="3024"/>
        <item x="2274"/>
        <item x="4281"/>
        <item x="397"/>
        <item x="4398"/>
        <item x="3835"/>
        <item x="3059"/>
        <item x="4459"/>
        <item x="442"/>
        <item x="2851"/>
        <item x="1966"/>
        <item x="882"/>
        <item x="1261"/>
        <item x="591"/>
        <item x="3708"/>
        <item x="2077"/>
        <item x="1487"/>
        <item x="3732"/>
        <item x="1674"/>
        <item x="1885"/>
        <item x="2744"/>
        <item x="3548"/>
        <item x="1037"/>
        <item x="2184"/>
        <item x="343"/>
        <item x="211"/>
        <item x="969"/>
        <item x="3715"/>
        <item x="2675"/>
        <item x="522"/>
        <item x="2463"/>
        <item x="1076"/>
        <item x="3150"/>
        <item x="1789"/>
        <item x="54"/>
        <item x="3530"/>
        <item x="191"/>
        <item x="325"/>
        <item x="4296"/>
        <item x="3076"/>
        <item x="1455"/>
        <item x="142"/>
        <item x="2553"/>
        <item x="3378"/>
        <item x="3125"/>
        <item x="3152"/>
        <item x="4037"/>
        <item x="108"/>
        <item x="8"/>
        <item x="86"/>
        <item x="381"/>
        <item x="2432"/>
        <item x="1443"/>
        <item x="299"/>
        <item x="2259"/>
        <item x="794"/>
        <item x="88"/>
        <item x="4412"/>
        <item x="742"/>
        <item x="3313"/>
        <item x="3405"/>
        <item x="4034"/>
        <item x="3634"/>
        <item x="2611"/>
        <item x="922"/>
        <item x="2220"/>
        <item x="3664"/>
        <item x="1556"/>
        <item x="549"/>
        <item x="461"/>
        <item x="2983"/>
        <item x="2922"/>
        <item x="2654"/>
        <item x="2273"/>
        <item x="4486"/>
        <item x="1731"/>
        <item x="2444"/>
        <item x="1446"/>
        <item x="3723"/>
        <item x="398"/>
        <item x="1409"/>
        <item x="3747"/>
        <item x="1102"/>
        <item x="4175"/>
        <item x="2345"/>
        <item x="3261"/>
        <item x="3508"/>
        <item x="2401"/>
        <item x="1907"/>
        <item x="4260"/>
        <item x="3888"/>
        <item x="477"/>
        <item x="2529"/>
        <item x="1175"/>
        <item x="1489"/>
        <item x="68"/>
        <item x="2505"/>
        <item x="559"/>
        <item x="45"/>
        <item x="474"/>
        <item x="885"/>
        <item x="1072"/>
        <item x="686"/>
        <item x="996"/>
        <item x="1241"/>
        <item x="1800"/>
        <item x="4149"/>
        <item x="4075"/>
        <item x="2453"/>
        <item x="4211"/>
        <item x="57"/>
        <item x="3822"/>
        <item x="3079"/>
        <item x="3173"/>
        <item x="3088"/>
        <item x="3162"/>
        <item x="436"/>
        <item x="4059"/>
        <item x="2013"/>
        <item x="3717"/>
        <item x="4092"/>
        <item x="2651"/>
        <item x="1272"/>
        <item x="4315"/>
        <item x="1624"/>
        <item x="2422"/>
        <item x="1162"/>
        <item x="4477"/>
        <item x="2279"/>
        <item x="3347"/>
        <item x="3216"/>
        <item x="3431"/>
        <item x="1557"/>
        <item x="2492"/>
        <item x="2722"/>
        <item x="3692"/>
        <item x="337"/>
        <item x="4027"/>
        <item x="4300"/>
        <item x="1881"/>
        <item x="4484"/>
        <item x="2467"/>
        <item x="4466"/>
        <item x="454"/>
        <item x="330"/>
        <item x="907"/>
        <item x="4348"/>
        <item x="4170"/>
        <item x="1335"/>
        <item x="2278"/>
        <item x="1069"/>
        <item x="3890"/>
        <item x="4413"/>
        <item x="3699"/>
        <item x="982"/>
        <item x="2214"/>
        <item x="1380"/>
        <item x="3000"/>
        <item x="2912"/>
        <item x="626"/>
        <item x="2007"/>
        <item x="941"/>
        <item x="2160"/>
        <item x="3208"/>
        <item x="2237"/>
        <item x="3795"/>
        <item x="1428"/>
        <item x="2686"/>
        <item x="496"/>
        <item x="2891"/>
        <item x="1095"/>
        <item x="2034"/>
        <item x="764"/>
        <item x="4222"/>
        <item x="3028"/>
        <item x="457"/>
        <item x="2697"/>
        <item x="3556"/>
        <item x="2987"/>
        <item x="2057"/>
        <item x="2807"/>
        <item x="3619"/>
        <item x="4098"/>
        <item x="2719"/>
        <item x="208"/>
        <item x="2995"/>
        <item x="2520"/>
        <item x="1157"/>
        <item x="979"/>
        <item x="725"/>
        <item x="4248"/>
        <item x="3220"/>
        <item x="223"/>
        <item x="478"/>
        <item x="3436"/>
        <item x="1530"/>
        <item x="1449"/>
        <item x="3136"/>
        <item x="2575"/>
        <item x="669"/>
        <item x="2227"/>
        <item x="4114"/>
        <item x="1196"/>
        <item x="3077"/>
        <item x="2993"/>
        <item x="2952"/>
        <item x="2289"/>
        <item x="2595"/>
        <item x="3081"/>
        <item x="144"/>
        <item x="78"/>
        <item x="2462"/>
        <item x="303"/>
        <item x="1358"/>
        <item x="3300"/>
        <item x="41"/>
        <item x="3953"/>
        <item x="3251"/>
        <item x="4462"/>
        <item x="1435"/>
        <item x="1863"/>
        <item x="2727"/>
        <item x="1131"/>
        <item x="2533"/>
        <item x="651"/>
        <item x="1373"/>
        <item x="494"/>
        <item x="1288"/>
        <item x="4048"/>
        <item x="2716"/>
        <item x="2615"/>
        <item x="2823"/>
        <item x="1168"/>
        <item x="2561"/>
        <item x="3863"/>
        <item x="3412"/>
        <item x="1352"/>
        <item x="801"/>
        <item x="3857"/>
        <item x="1901"/>
        <item x="990"/>
        <item x="3470"/>
        <item x="1338"/>
        <item x="876"/>
        <item x="4372"/>
        <item x="3227"/>
        <item x="3826"/>
        <item x="2933"/>
        <item x="500"/>
        <item x="2821"/>
        <item x="4336"/>
        <item x="1208"/>
        <item x="2695"/>
        <item x="1491"/>
        <item x="3418"/>
        <item x="3424"/>
        <item x="1093"/>
        <item x="2517"/>
        <item x="3856"/>
        <item x="1617"/>
        <item x="260"/>
        <item x="1658"/>
        <item x="4303"/>
        <item x="3046"/>
        <item x="2588"/>
        <item x="1650"/>
        <item x="3785"/>
        <item x="3579"/>
        <item x="3413"/>
        <item x="2280"/>
        <item x="2112"/>
        <item x="3557"/>
        <item x="914"/>
        <item x="1083"/>
        <item x="227"/>
        <item x="4341"/>
        <item x="728"/>
        <item x="1488"/>
        <item x="2815"/>
        <item x="1982"/>
        <item x="1798"/>
        <item x="2174"/>
        <item x="798"/>
        <item x="4018"/>
        <item x="3332"/>
        <item x="1456"/>
        <item x="2120"/>
        <item x="656"/>
        <item x="354"/>
        <item x="1228"/>
        <item x="446"/>
        <item x="2954"/>
        <item x="603"/>
        <item x="2570"/>
        <item x="3561"/>
        <item x="2797"/>
        <item x="2163"/>
        <item x="4091"/>
        <item x="3058"/>
        <item x="4058"/>
        <item x="3002"/>
        <item x="1758"/>
        <item x="2774"/>
        <item x="1403"/>
        <item x="3004"/>
        <item x="3115"/>
        <item x="324"/>
        <item x="1801"/>
        <item x="2564"/>
        <item x="3236"/>
        <item x="2772"/>
        <item x="1591"/>
        <item x="272"/>
        <item x="1922"/>
        <item x="3130"/>
        <item x="4029"/>
        <item x="3923"/>
        <item x="1987"/>
        <item x="2093"/>
        <item x="1364"/>
        <item x="2632"/>
        <item x="2357"/>
        <item x="1780"/>
        <item x="2391"/>
        <item x="783"/>
        <item x="3655"/>
        <item x="1014"/>
        <item x="59"/>
        <item x="2511"/>
        <item x="640"/>
        <item x="544"/>
        <item x="561"/>
        <item x="1802"/>
        <item x="1367"/>
        <item x="3214"/>
        <item x="1852"/>
        <item x="348"/>
        <item x="1052"/>
        <item x="1667"/>
        <item x="471"/>
        <item x="4224"/>
        <item x="677"/>
        <item x="3486"/>
        <item x="2056"/>
        <item x="1569"/>
        <item x="1980"/>
        <item x="405"/>
        <item x="610"/>
        <item x="4197"/>
        <item x="641"/>
        <item x="204"/>
        <item x="3833"/>
        <item x="3552"/>
        <item x="573"/>
        <item x="3743"/>
        <item x="2978"/>
        <item x="2885"/>
        <item x="153"/>
        <item x="4053"/>
        <item x="2208"/>
        <item x="874"/>
        <item x="2457"/>
        <item x="2583"/>
        <item x="670"/>
        <item x="2360"/>
        <item x="873"/>
        <item x="1634"/>
        <item x="4419"/>
        <item x="829"/>
        <item x="438"/>
        <item x="917"/>
        <item x="3580"/>
        <item x="408"/>
        <item x="1703"/>
        <item x="3538"/>
        <item x="2974"/>
        <item x="2853"/>
        <item x="1515"/>
        <item x="4271"/>
        <item x="2095"/>
        <item x="3317"/>
        <item x="4383"/>
        <item x="685"/>
        <item x="4247"/>
        <item x="1606"/>
        <item x="4005"/>
        <item x="65"/>
        <item x="4186"/>
        <item x="1010"/>
        <item x="424"/>
        <item x="2649"/>
        <item x="1956"/>
        <item x="3379"/>
        <item x="3729"/>
        <item x="1046"/>
        <item x="1217"/>
        <item x="3520"/>
        <item x="2886"/>
        <item x="4436"/>
        <item x="3463"/>
        <item x="3955"/>
        <item x="2594"/>
        <item x="3696"/>
        <item x="1246"/>
        <item x="3139"/>
        <item x="503"/>
        <item x="3027"/>
        <item x="2094"/>
        <item x="3646"/>
        <item x="3080"/>
        <item x="4308"/>
        <item x="963"/>
        <item x="1618"/>
        <item x="3476"/>
        <item x="3903"/>
        <item x="181"/>
        <item x="1894"/>
        <item x="241"/>
        <item x="3560"/>
        <item x="1989"/>
        <item x="4307"/>
        <item x="3541"/>
        <item x="880"/>
        <item x="1937"/>
        <item x="2896"/>
        <item x="2276"/>
        <item x="1186"/>
        <item x="984"/>
        <item x="2574"/>
        <item x="933"/>
        <item x="2636"/>
        <item x="393"/>
        <item x="3738"/>
        <item x="4433"/>
        <item x="2605"/>
        <item x="992"/>
        <item x="3815"/>
        <item x="2785"/>
        <item x="1249"/>
        <item x="2041"/>
        <item x="2783"/>
        <item x="605"/>
        <item x="733"/>
        <item x="1116"/>
        <item x="1895"/>
        <item x="1875"/>
        <item x="3458"/>
        <item x="2287"/>
        <item x="3842"/>
        <item x="3972"/>
        <item x="2708"/>
        <item x="2900"/>
        <item x="2084"/>
        <item x="2236"/>
        <item x="2063"/>
        <item x="1655"/>
        <item x="310"/>
        <item x="526"/>
        <item x="2935"/>
        <item x="2769"/>
        <item x="675"/>
        <item x="358"/>
        <item x="1191"/>
        <item x="3604"/>
        <item x="3644"/>
        <item x="2149"/>
        <item x="889"/>
        <item x="3373"/>
        <item x="3404"/>
        <item x="1865"/>
        <item x="2911"/>
        <item x="4407"/>
        <item x="1633"/>
        <item x="3326"/>
        <item x="3062"/>
        <item x="811"/>
        <item x="1848"/>
        <item x="650"/>
        <item x="608"/>
        <item x="2350"/>
        <item x="2082"/>
        <item x="3402"/>
        <item x="4007"/>
        <item x="1477"/>
        <item x="4228"/>
        <item x="20"/>
        <item x="1035"/>
        <item x="2154"/>
        <item x="1012"/>
        <item x="3946"/>
        <item x="390"/>
        <item x="3155"/>
        <item x="588"/>
        <item x="2055"/>
        <item x="92"/>
        <item x="2268"/>
        <item x="243"/>
        <item x="447"/>
        <item x="4123"/>
        <item x="4131"/>
        <item x="3008"/>
        <item x="2202"/>
        <item x="4016"/>
        <item x="3045"/>
        <item x="2563"/>
        <item x="2213"/>
        <item x="1745"/>
        <item x="364"/>
        <item x="1524"/>
        <item x="4355"/>
        <item x="3396"/>
        <item x="2616"/>
        <item x="3019"/>
        <item x="1581"/>
        <item x="3741"/>
        <item x="1322"/>
        <item x="1903"/>
        <item x="2753"/>
        <item x="4249"/>
        <item x="266"/>
        <item x="2069"/>
        <item x="2910"/>
        <item x="3372"/>
        <item x="2523"/>
        <item x="1210"/>
        <item x="3806"/>
        <item x="1286"/>
        <item x="340"/>
        <item x="378"/>
        <item x="3605"/>
        <item x="2768"/>
        <item x="4172"/>
        <item x="2623"/>
        <item x="510"/>
        <item x="1226"/>
        <item x="956"/>
        <item x="3375"/>
        <item x="2431"/>
        <item x="270"/>
        <item x="3802"/>
        <item x="375"/>
        <item x="3441"/>
        <item x="4120"/>
        <item x="3167"/>
        <item x="1092"/>
        <item x="1357"/>
        <item x="382"/>
        <item x="2175"/>
        <item x="3055"/>
        <item x="3163"/>
        <item x="823"/>
        <item x="1271"/>
        <item x="2836"/>
        <item x="3727"/>
        <item x="2234"/>
        <item x="1155"/>
        <item x="55"/>
        <item x="4065"/>
        <item x="2332"/>
        <item x="1143"/>
        <item x="3360"/>
        <item x="2506"/>
        <item x="1917"/>
        <item x="4304"/>
        <item x="576"/>
        <item x="1955"/>
        <item x="2860"/>
        <item x="2394"/>
        <item x="17"/>
        <item x="3836"/>
        <item x="1925"/>
        <item x="1936"/>
        <item x="1080"/>
        <item x="3882"/>
        <item x="902"/>
        <item x="1968"/>
        <item x="3736"/>
        <item x="540"/>
        <item x="404"/>
        <item x="1049"/>
        <item x="1405"/>
        <item x="3199"/>
        <item x="853"/>
        <item x="2131"/>
        <item x="664"/>
        <item x="1824"/>
        <item x="1355"/>
        <item x="4339"/>
        <item x="3358"/>
        <item x="2106"/>
        <item x="3682"/>
        <item x="2946"/>
        <item x="3569"/>
        <item x="3678"/>
        <item x="2678"/>
        <item x="4259"/>
        <item x="647"/>
        <item x="786"/>
        <item x="286"/>
        <item x="1825"/>
        <item x="892"/>
        <item x="4379"/>
        <item x="3809"/>
        <item x="3839"/>
        <item x="2824"/>
        <item x="3893"/>
        <item x="2578"/>
        <item x="3207"/>
        <item x="891"/>
        <item x="177"/>
        <item x="1006"/>
        <item x="2015"/>
        <item x="1778"/>
        <item x="1646"/>
        <item x="1169"/>
        <item x="282"/>
        <item x="113"/>
        <item x="4306"/>
        <item x="806"/>
        <item x="2620"/>
        <item x="962"/>
        <item x="2812"/>
        <item x="2867"/>
        <item x="1124"/>
        <item x="4183"/>
        <item x="4217"/>
        <item x="1141"/>
        <item x="533"/>
        <item x="2169"/>
        <item x="295"/>
        <item x="3956"/>
        <item x="1643"/>
        <item x="3612"/>
        <item x="870"/>
        <item x="3401"/>
        <item x="2791"/>
        <item x="3924"/>
        <item x="1256"/>
        <item x="1905"/>
        <item x="1605"/>
        <item x="1105"/>
        <item x="648"/>
        <item x="2725"/>
        <item x="3262"/>
        <item x="2306"/>
        <item x="2436"/>
        <item x="3496"/>
        <item x="1675"/>
        <item x="1054"/>
        <item x="3875"/>
        <item x="422"/>
        <item x="4425"/>
        <item x="82"/>
        <item x="1516"/>
        <item x="3964"/>
        <item x="2210"/>
        <item x="3451"/>
        <item x="4073"/>
        <item x="1900"/>
        <item x="4040"/>
        <item x="4082"/>
        <item x="3406"/>
        <item x="1090"/>
        <item x="2648"/>
        <item x="2490"/>
        <item x="1417"/>
        <item x="4148"/>
        <item x="2685"/>
        <item x="2882"/>
        <item x="1695"/>
        <item x="2054"/>
        <item x="1303"/>
        <item x="538"/>
        <item x="3456"/>
        <item x="3085"/>
        <item x="2633"/>
        <item x="4416"/>
        <item x="1562"/>
        <item x="4424"/>
        <item x="2088"/>
        <item x="1253"/>
        <item x="1990"/>
        <item x="475"/>
        <item x="2568"/>
        <item x="2356"/>
        <item x="2327"/>
        <item x="1690"/>
        <item x="154"/>
        <item x="224"/>
        <item x="1656"/>
        <item x="0"/>
        <item x="3457"/>
        <item x="338"/>
        <item x="3550"/>
        <item x="1486"/>
        <item x="4084"/>
        <item x="2190"/>
        <item x="1418"/>
        <item x="1520"/>
        <item x="3998"/>
        <item x="3188"/>
        <item x="3987"/>
        <item x="2471"/>
        <item x="2528"/>
        <item x="1231"/>
        <item x="2390"/>
        <item x="1867"/>
        <item x="3549"/>
        <item x="2251"/>
        <item x="2108"/>
        <item x="4001"/>
        <item x="1873"/>
        <item x="3522"/>
        <item x="1608"/>
        <item x="3082"/>
        <item x="1165"/>
        <item x="4235"/>
        <item x="1911"/>
        <item x="168"/>
        <item x="87"/>
        <item x="1038"/>
        <item x="1594"/>
        <item x="1479"/>
        <item x="3687"/>
        <item x="1082"/>
        <item x="4209"/>
        <item x="3400"/>
        <item x="2736"/>
        <item x="308"/>
        <item x="851"/>
        <item x="2895"/>
        <item x="2325"/>
        <item x="883"/>
        <item x="3861"/>
        <item x="3616"/>
        <item x="972"/>
        <item x="3354"/>
        <item x="2096"/>
        <item x="2104"/>
        <item x="2080"/>
        <item x="2898"/>
        <item x="4036"/>
        <item x="3934"/>
        <item x="3676"/>
        <item x="925"/>
        <item x="1431"/>
        <item x="3626"/>
        <item x="4076"/>
        <item x="1995"/>
        <item x="2316"/>
        <item x="2656"/>
        <item x="128"/>
        <item x="3927"/>
        <item x="394"/>
        <item x="2799"/>
        <item x="2107"/>
        <item x="3"/>
        <item x="4072"/>
        <item x="3737"/>
        <item x="1628"/>
        <item x="3671"/>
        <item x="2609"/>
        <item x="3974"/>
        <item x="2001"/>
        <item x="2011"/>
        <item x="3661"/>
        <item x="1766"/>
        <item x="2515"/>
        <item x="1938"/>
        <item x="858"/>
        <item x="3526"/>
        <item x="3439"/>
        <item x="4200"/>
        <item x="3087"/>
        <item x="2047"/>
        <item x="3255"/>
        <item x="3965"/>
        <item x="2361"/>
        <item x="4068"/>
        <item x="2311"/>
        <item x="1986"/>
        <item x="871"/>
        <item x="2367"/>
        <item x="1245"/>
        <item x="2767"/>
        <item x="1910"/>
        <item x="3098"/>
        <item x="2949"/>
        <item x="37"/>
        <item x="2829"/>
        <item x="1823"/>
        <item x="4152"/>
        <item x="2187"/>
        <item x="774"/>
        <item x="3823"/>
        <item x="4019"/>
        <item x="1883"/>
        <item x="3775"/>
        <item x="4226"/>
        <item x="1661"/>
        <item x="1732"/>
        <item x="1149"/>
        <item x="434"/>
        <item x="1677"/>
        <item x="1410"/>
        <item x="2445"/>
        <item x="2683"/>
        <item x="4083"/>
        <item x="187"/>
        <item x="3499"/>
        <item x="1592"/>
        <item x="105"/>
        <item x="2302"/>
        <item x="1942"/>
        <item x="3932"/>
        <item x="2168"/>
        <item x="2382"/>
        <item x="13"/>
        <item x="776"/>
        <item x="1794"/>
        <item x="888"/>
        <item x="1275"/>
        <item x="2857"/>
        <item x="197"/>
        <item x="1949"/>
        <item x="2915"/>
        <item x="1603"/>
        <item x="2820"/>
        <item x="1978"/>
        <item x="1068"/>
        <item x="2468"/>
        <item x="509"/>
        <item x="3359"/>
        <item x="1057"/>
        <item x="895"/>
        <item x="636"/>
        <item x="366"/>
        <item x="1468"/>
        <item x="4356"/>
        <item x="439"/>
        <item x="4060"/>
        <item x="3798"/>
        <item x="2504"/>
        <item x="2143"/>
        <item x="3756"/>
        <item x="1951"/>
        <item x="3285"/>
        <item x="893"/>
        <item x="491"/>
        <item x="116"/>
        <item x="4151"/>
        <item x="4240"/>
        <item x="2889"/>
        <item x="110"/>
        <item x="2006"/>
        <item x="2782"/>
        <item x="1025"/>
        <item x="2718"/>
        <item x="1377"/>
        <item x="3654"/>
        <item x="1317"/>
        <item x="3740"/>
        <item x="1664"/>
        <item x="370"/>
        <item x="3511"/>
        <item x="1098"/>
        <item x="1931"/>
        <item x="2115"/>
        <item x="453"/>
        <item x="3792"/>
        <item x="289"/>
        <item x="66"/>
        <item x="867"/>
        <item x="2348"/>
        <item x="713"/>
        <item x="2177"/>
        <item x="323"/>
        <item x="3559"/>
        <item x="1340"/>
        <item x="417"/>
        <item x="3649"/>
        <item x="2916"/>
        <item x="72"/>
        <item x="1274"/>
        <item x="578"/>
        <item x="4264"/>
        <item x="4145"/>
        <item x="2751"/>
        <item x="4422"/>
        <item x="4167"/>
        <item x="2668"/>
        <item x="469"/>
        <item x="1424"/>
        <item x="3151"/>
        <item x="1518"/>
        <item x="3182"/>
        <item x="1930"/>
        <item x="2970"/>
        <item x="782"/>
        <item x="2941"/>
        <item x="318"/>
        <item x="632"/>
        <item x="2266"/>
        <item x="2212"/>
        <item x="218"/>
        <item x="659"/>
        <item x="2794"/>
        <item x="3959"/>
        <item x="1028"/>
        <item x="2945"/>
        <item x="3728"/>
        <item x="1906"/>
        <item x="2555"/>
        <item x="3453"/>
        <item x="732"/>
        <item x="1637"/>
        <item x="2012"/>
        <item x="2712"/>
        <item x="1567"/>
        <item x="2178"/>
        <item x="1464"/>
        <item x="3543"/>
        <item x="589"/>
        <item x="3073"/>
        <item x="2493"/>
        <item x="363"/>
        <item x="4325"/>
        <item x="3119"/>
        <item x="2123"/>
        <item x="3691"/>
        <item x="1845"/>
        <item x="623"/>
        <item x="3947"/>
        <item x="1067"/>
        <item x="2627"/>
        <item x="2934"/>
        <item x="4176"/>
        <item x="3387"/>
        <item x="3961"/>
        <item x="3978"/>
        <item x="719"/>
        <item x="1589"/>
        <item x="1864"/>
        <item x="3420"/>
        <item x="4408"/>
        <item x="2743"/>
        <item x="2480"/>
        <item x="1807"/>
        <item x="380"/>
        <item x="1395"/>
        <item x="4347"/>
        <item x="1187"/>
        <item x="232"/>
        <item x="3291"/>
        <item x="4105"/>
        <item x="4038"/>
        <item x="3624"/>
        <item x="1747"/>
        <item x="3615"/>
        <item x="418"/>
        <item x="537"/>
        <item x="1130"/>
        <item x="2547"/>
        <item x="3269"/>
        <item x="3128"/>
        <item x="423"/>
        <item x="991"/>
        <item x="723"/>
        <item x="1921"/>
        <item x="2808"/>
        <item x="482"/>
        <item x="1414"/>
        <item x="2185"/>
        <item x="1101"/>
        <item x="676"/>
        <item x="7"/>
        <item x="1711"/>
        <item x="2559"/>
        <item x="215"/>
        <item x="2283"/>
        <item x="3389"/>
        <item x="1914"/>
        <item x="3913"/>
        <item x="1147"/>
        <item x="2430"/>
        <item x="4213"/>
        <item x="579"/>
        <item x="3266"/>
        <item x="2045"/>
        <item x="377"/>
        <item x="2939"/>
        <item x="635"/>
        <item x="3242"/>
        <item x="1383"/>
        <item x="73"/>
        <item x="1136"/>
        <item x="2522"/>
        <item x="3204"/>
        <item x="2973"/>
        <item x="803"/>
        <item x="519"/>
        <item x="2597"/>
        <item x="777"/>
        <item x="4043"/>
        <item x="2699"/>
        <item x="1751"/>
        <item x="3851"/>
        <item x="2434"/>
        <item x="1768"/>
        <item x="770"/>
        <item x="287"/>
        <item x="472"/>
        <item x="2189"/>
        <item x="1545"/>
        <item x="384"/>
        <item x="552"/>
        <item x="1194"/>
        <item x="369"/>
        <item x="1627"/>
        <item x="791"/>
        <item x="1043"/>
        <item x="2427"/>
        <item x="3328"/>
        <item x="3873"/>
        <item x="2254"/>
        <item x="2587"/>
        <item x="3662"/>
        <item x="1411"/>
        <item x="3305"/>
        <item x="850"/>
        <item x="1390"/>
        <item x="1262"/>
        <item x="1841"/>
        <item x="4189"/>
        <item x="129"/>
        <item x="1198"/>
        <item x="89"/>
        <item x="4070"/>
        <item x="3403"/>
        <item x="1063"/>
        <item x="3239"/>
        <item x="2410"/>
        <item x="483"/>
        <item x="2395"/>
        <item x="3450"/>
        <item x="2874"/>
        <item x="712"/>
        <item x="4135"/>
        <item x="4268"/>
        <item x="2368"/>
        <item x="3954"/>
        <item x="3700"/>
        <item x="1299"/>
        <item x="3185"/>
        <item x="790"/>
        <item x="3039"/>
        <item x="1329"/>
        <item x="2786"/>
        <item x="2624"/>
        <item x="3250"/>
        <item x="4305"/>
        <item x="3231"/>
        <item x="2286"/>
        <item x="1698"/>
        <item x="1616"/>
        <item x="3539"/>
        <item x="1596"/>
        <item x="4358"/>
        <item x="652"/>
        <item x="800"/>
        <item x="912"/>
        <item x="2925"/>
        <item x="1856"/>
        <item x="4122"/>
        <item x="4237"/>
        <item x="2110"/>
        <item x="180"/>
        <item x="1328"/>
        <item x="3368"/>
        <item x="2926"/>
        <item x="3142"/>
        <item x="4011"/>
        <item x="1220"/>
        <item x="1128"/>
        <item x="3975"/>
        <item x="518"/>
        <item x="841"/>
        <item x="4280"/>
        <item x="2192"/>
        <item x="2584"/>
        <item x="2550"/>
        <item x="545"/>
        <item x="532"/>
        <item x="1504"/>
        <item x="593"/>
        <item x="4"/>
        <item x="4275"/>
        <item x="3223"/>
        <item x="3422"/>
        <item x="565"/>
        <item x="225"/>
        <item x="1470"/>
        <item x="1979"/>
        <item x="1540"/>
        <item x="4069"/>
        <item x="2992"/>
        <item x="1023"/>
        <item x="4287"/>
        <item x="757"/>
        <item x="1954"/>
        <item x="411"/>
        <item x="671"/>
        <item x="3218"/>
        <item x="630"/>
        <item x="1436"/>
        <item x="4252"/>
        <item x="1066"/>
        <item x="1039"/>
        <item x="2778"/>
        <item x="1053"/>
        <item x="3230"/>
        <item x="658"/>
        <item x="3514"/>
        <item x="662"/>
        <item x="3274"/>
        <item x="1267"/>
        <item x="1620"/>
        <item x="1575"/>
        <item x="759"/>
        <item x="3103"/>
        <item x="1679"/>
        <item x="3493"/>
        <item x="3878"/>
        <item x="511"/>
        <item x="3824"/>
        <item x="3597"/>
        <item x="100"/>
        <item x="611"/>
        <item x="3068"/>
        <item x="4319"/>
        <item x="1746"/>
        <item x="4063"/>
        <item x="903"/>
        <item x="1498"/>
        <item x="1499"/>
        <item x="2037"/>
        <item x="355"/>
        <item x="2741"/>
        <item x="2689"/>
        <item x="236"/>
        <item x="2016"/>
        <item x="192"/>
        <item x="4368"/>
        <item x="1115"/>
        <item x="2150"/>
        <item x="2554"/>
        <item x="999"/>
        <item x="333"/>
        <item x="3713"/>
        <item x="2334"/>
        <item x="2032"/>
        <item x="3801"/>
        <item x="2558"/>
        <item x="3205"/>
        <item x="3788"/>
        <item x="205"/>
        <item x="14"/>
        <item x="3770"/>
        <item x="553"/>
        <item x="1764"/>
        <item x="3523"/>
        <item x="758"/>
        <item x="3030"/>
        <item x="703"/>
        <item x="3668"/>
        <item x="173"/>
        <item x="1726"/>
        <item x="1422"/>
        <item x="3944"/>
        <item x="3084"/>
        <item x="1362"/>
        <item x="4373"/>
        <item x="346"/>
        <item x="1250"/>
        <item x="3791"/>
        <item x="2328"/>
        <item x="2051"/>
        <item x="3724"/>
        <item x="1407"/>
        <item x="3899"/>
        <item x="3850"/>
        <item x="1554"/>
        <item x="1790"/>
        <item x="495"/>
        <item x="2762"/>
        <item x="580"/>
        <item x="2374"/>
        <item x="3582"/>
        <item x="3854"/>
        <item x="1161"/>
        <item x="645"/>
        <item x="3050"/>
        <item x="1984"/>
        <item x="2566"/>
        <item x="4456"/>
        <item x="3210"/>
        <item x="980"/>
        <item x="1850"/>
        <item x="684"/>
        <item x="2525"/>
        <item x="1673"/>
        <item x="3656"/>
        <item x="1264"/>
        <item x="1762"/>
        <item x="785"/>
        <item x="254"/>
        <item x="463"/>
        <item x="1870"/>
        <item x="288"/>
        <item x="572"/>
        <item x="1279"/>
        <item x="123"/>
        <item x="1993"/>
        <item x="2074"/>
        <item x="1849"/>
        <item x="448"/>
        <item x="4302"/>
        <item x="1622"/>
        <item x="1742"/>
        <item x="3630"/>
        <item x="2039"/>
        <item x="2641"/>
        <item x="319"/>
        <item x="3421"/>
        <item x="2998"/>
        <item x="4255"/>
        <item x="3663"/>
        <item x="1860"/>
        <item x="3334"/>
        <item x="981"/>
        <item x="527"/>
        <item x="1292"/>
        <item x="3876"/>
        <item x="2291"/>
        <item x="3465"/>
        <item x="1916"/>
        <item x="3083"/>
        <item x="1977"/>
        <item x="3209"/>
        <item x="1022"/>
        <item x="1368"/>
        <item x="4085"/>
        <item x="4426"/>
        <item x="4284"/>
        <item x="2503"/>
        <item x="3319"/>
        <item x="4013"/>
        <item x="2079"/>
        <item x="2947"/>
        <item x="3238"/>
        <item x="62"/>
        <item x="4263"/>
        <item x="3918"/>
        <item x="1385"/>
        <item x="40"/>
        <item x="3941"/>
        <item x="4362"/>
        <item x="4125"/>
        <item x="4335"/>
        <item x="1500"/>
        <item x="1420"/>
        <item x="2906"/>
        <item x="2921"/>
        <item x="4081"/>
        <item x="1281"/>
        <item x="416"/>
        <item x="1920"/>
        <item x="1393"/>
        <item x="2700"/>
        <item x="3853"/>
        <item x="3023"/>
        <item x="278"/>
        <item x="3811"/>
        <item x="1706"/>
        <item x="125"/>
        <item x="2305"/>
        <item x="3430"/>
        <item x="2495"/>
        <item x="3746"/>
        <item x="4008"/>
        <item x="2486"/>
        <item x="1615"/>
        <item x="1804"/>
        <item x="2994"/>
        <item x="2162"/>
        <item x="958"/>
        <item x="2749"/>
        <item x="1099"/>
        <item x="1097"/>
        <item x="2775"/>
        <item x="4062"/>
        <item x="1017"/>
        <item x="2613"/>
        <item x="285"/>
        <item x="621"/>
        <item x="70"/>
        <item x="80"/>
        <item x="2647"/>
        <item x="269"/>
        <item x="2165"/>
        <item x="617"/>
        <item x="4214"/>
        <item x="60"/>
        <item x="2825"/>
        <item x="1693"/>
        <item x="493"/>
        <item x="3707"/>
        <item x="2710"/>
        <item x="2969"/>
        <item x="1927"/>
        <item x="1440"/>
        <item x="4127"/>
        <item x="2166"/>
        <item x="3196"/>
        <item x="3519"/>
        <item x="56"/>
        <item x="705"/>
        <item x="3515"/>
        <item x="4212"/>
        <item x="4171"/>
        <item x="2221"/>
        <item x="2642"/>
        <item x="1160"/>
        <item x="661"/>
        <item x="2216"/>
        <item x="1211"/>
        <item x="3983"/>
        <item x="4010"/>
        <item x="4204"/>
        <item x="3143"/>
        <item x="3197"/>
        <item x="3283"/>
        <item x="2404"/>
        <item x="291"/>
        <item x="3721"/>
        <item x="2764"/>
        <item x="1763"/>
        <item x="1145"/>
        <item x="694"/>
        <item x="1127"/>
        <item x="157"/>
        <item x="637"/>
        <item x="4402"/>
        <item x="1150"/>
        <item x="4006"/>
        <item x="4064"/>
        <item x="4414"/>
        <item x="3544"/>
        <item x="534"/>
        <item x="3258"/>
        <item x="948"/>
        <item x="1448"/>
        <item x="2957"/>
        <item x="3434"/>
        <item x="516"/>
        <item x="2408"/>
        <item x="590"/>
        <item x="894"/>
        <item x="2215"/>
        <item x="612"/>
        <item x="3897"/>
        <item x="1813"/>
        <item x="3293"/>
        <item x="3817"/>
        <item x="2127"/>
        <item x="2249"/>
        <item x="4074"/>
        <item x="2531"/>
        <item x="2536"/>
        <item x="3645"/>
        <item x="1096"/>
        <item x="660"/>
        <item x="3584"/>
        <item x="3454"/>
        <item x="1060"/>
        <item x="4101"/>
        <item x="419"/>
        <item x="170"/>
        <item x="3803"/>
        <item x="1687"/>
        <item x="4262"/>
        <item x="700"/>
        <item x="3507"/>
        <item x="2930"/>
        <item x="952"/>
        <item x="2211"/>
        <item x="3294"/>
        <item x="1129"/>
        <item x="2349"/>
        <item x="1248"/>
        <item x="1782"/>
        <item x="863"/>
        <item x="1527"/>
        <item x="1830"/>
        <item x="1408"/>
        <item x="2868"/>
        <item x="1466"/>
        <item x="1598"/>
        <item x="4137"/>
        <item x="2908"/>
        <item x="2373"/>
        <item x="4115"/>
        <item x="3189"/>
        <item x="2026"/>
        <item x="138"/>
        <item x="2205"/>
        <item x="3904"/>
        <item x="1709"/>
        <item x="3629"/>
        <item x="2005"/>
        <item x="71"/>
        <item x="3186"/>
        <item x="3370"/>
        <item x="2989"/>
        <item x="856"/>
        <item x="3171"/>
        <item x="570"/>
        <item x="2324"/>
        <item x="1531"/>
        <item x="932"/>
        <item x="3174"/>
        <item x="554"/>
        <item x="2839"/>
        <item x="2875"/>
        <item x="2009"/>
        <item x="1899"/>
        <item x="1945"/>
        <item x="1207"/>
        <item x="4282"/>
        <item x="3527"/>
        <item x="699"/>
        <item x="2962"/>
        <item x="2459"/>
        <item x="2871"/>
        <item x="2377"/>
        <item x="1735"/>
        <item x="3123"/>
        <item x="995"/>
        <item x="2257"/>
        <item x="2940"/>
        <item x="3126"/>
        <item x="4108"/>
        <item x="1234"/>
        <item x="1235"/>
        <item x="4318"/>
        <item x="3114"/>
        <item x="2105"/>
        <item x="167"/>
        <item x="4417"/>
        <item x="1304"/>
        <item x="2739"/>
        <item x="3657"/>
        <item x="2707"/>
        <item x="488"/>
        <item x="2201"/>
        <item x="2879"/>
        <item x="3016"/>
        <item x="628"/>
        <item x="3684"/>
        <item x="313"/>
        <item x="3784"/>
        <item x="3013"/>
        <item x="2676"/>
        <item x="252"/>
        <item x="3601"/>
        <item x="131"/>
        <item x="3585"/>
        <item x="4109"/>
        <item x="219"/>
        <item x="3631"/>
        <item x="4334"/>
        <item x="911"/>
        <item x="1140"/>
        <item x="1334"/>
        <item x="4112"/>
        <item x="3950"/>
        <item x="955"/>
        <item x="3212"/>
        <item x="501"/>
        <item x="724"/>
        <item x="3711"/>
        <item x="4153"/>
        <item x="2956"/>
        <item x="2317"/>
        <item x="357"/>
        <item x="3355"/>
        <item x="1533"/>
        <item x="4206"/>
        <item x="2172"/>
        <item x="3310"/>
        <item x="452"/>
        <item x="1820"/>
        <item x="2899"/>
        <item x="1268"/>
        <item x="1289"/>
        <item x="3190"/>
        <item x="1756"/>
        <item x="615"/>
        <item x="3841"/>
        <item x="1705"/>
        <item x="1697"/>
        <item x="704"/>
        <item x="2655"/>
        <item x="4324"/>
        <item x="1024"/>
        <item x="1201"/>
        <item x="3804"/>
        <item x="2309"/>
        <item x="1212"/>
        <item x="3495"/>
        <item x="508"/>
        <item x="3086"/>
        <item x="1512"/>
        <item x="1792"/>
        <item x="240"/>
        <item x="3968"/>
        <item x="4052"/>
        <item x="69"/>
        <item x="4265"/>
        <item x="2822"/>
        <item x="1480"/>
        <item x="3160"/>
        <item x="2451"/>
        <item x="507"/>
        <item x="3517"/>
        <item x="1913"/>
        <item x="1031"/>
        <item x="1020"/>
        <item x="1897"/>
        <item x="1946"/>
        <item x="4147"/>
        <item x="2469"/>
        <item x="1976"/>
        <item x="683"/>
        <item x="1669"/>
        <item x="1550"/>
        <item x="3362"/>
        <item x="4274"/>
        <item x="201"/>
        <item x="34"/>
        <item x="1492"/>
        <item x="3433"/>
        <item x="335"/>
        <item x="796"/>
        <item x="4458"/>
        <item x="3669"/>
        <item x="2501"/>
        <item x="2766"/>
        <item x="3881"/>
        <item x="4283"/>
        <item x="2663"/>
        <item x="2042"/>
        <item x="4002"/>
        <item x="1219"/>
        <item x="2002"/>
        <item x="1177"/>
        <item x="3096"/>
        <item x="1604"/>
        <item x="3307"/>
        <item x="569"/>
        <item x="3667"/>
        <item x="816"/>
        <item x="599"/>
        <item x="3435"/>
        <item x="3714"/>
        <item x="3361"/>
        <item x="1026"/>
        <item x="3980"/>
        <item x="97"/>
        <item x="2335"/>
        <item x="4223"/>
        <item x="2440"/>
        <item x="1944"/>
        <item x="3695"/>
        <item x="1391"/>
        <item x="4475"/>
        <item x="221"/>
        <item x="3810"/>
        <item x="1277"/>
        <item x="23"/>
        <item x="4140"/>
        <item x="3109"/>
        <item x="1866"/>
        <item x="258"/>
        <item x="145"/>
        <item x="4454"/>
        <item x="3466"/>
        <item x="2735"/>
        <item x="3985"/>
        <item x="2659"/>
        <item x="3689"/>
        <item x="4207"/>
        <item x="2397"/>
        <item x="2222"/>
        <item x="710"/>
        <item x="1239"/>
        <item x="2927"/>
        <item x="4418"/>
        <item x="3228"/>
        <item x="1817"/>
        <item x="1164"/>
        <item x="4289"/>
        <item x="2932"/>
        <item x="3641"/>
        <item x="1734"/>
        <item x="3282"/>
        <item x="264"/>
        <item x="490"/>
        <item x="3622"/>
        <item x="2141"/>
        <item x="1337"/>
        <item x="3106"/>
        <item x="2224"/>
        <item x="535"/>
        <item x="2304"/>
        <item x="763"/>
        <item x="749"/>
        <item x="4333"/>
        <item x="3952"/>
        <item x="4090"/>
        <item x="3339"/>
        <item x="3494"/>
        <item x="3761"/>
        <item x="3246"/>
        <item x="1760"/>
        <item x="2789"/>
        <item x="2500"/>
        <item x="3407"/>
        <item x="2878"/>
        <item x="1662"/>
        <item x="4403"/>
        <item x="1761"/>
        <item x="860"/>
        <item x="2389"/>
        <item x="3996"/>
        <item x="2519"/>
        <item x="3338"/>
        <item x="606"/>
        <item x="631"/>
        <item x="3020"/>
        <item x="1206"/>
        <item x="2603"/>
        <item x="1638"/>
        <item x="2022"/>
        <item x="3577"/>
        <item x="1833"/>
        <item x="3051"/>
        <item x="1892"/>
        <item x="1503"/>
        <item x="2770"/>
        <item x="184"/>
        <item x="3286"/>
        <item x="2450"/>
        <item x="1419"/>
        <item x="2483"/>
        <item x="126"/>
        <item x="625"/>
        <item x="1720"/>
        <item x="2884"/>
        <item x="3365"/>
        <item x="1828"/>
        <item x="121"/>
        <item x="163"/>
        <item x="183"/>
        <item x="1033"/>
        <item x="4461"/>
        <item x="1349"/>
        <item x="2477"/>
        <item x="2843"/>
        <item x="3391"/>
        <item x="2959"/>
        <item x="4420"/>
        <item x="2239"/>
        <item x="2024"/>
        <item x="3122"/>
        <item x="714"/>
        <item x="3327"/>
        <item x="4432"/>
        <item x="3670"/>
        <item x="934"/>
        <item x="1988"/>
        <item x="970"/>
        <item x="1898"/>
        <item x="2298"/>
        <item x="1490"/>
        <item x="2326"/>
        <item x="1915"/>
        <item x="1774"/>
        <item x="3481"/>
        <item x="1928"/>
        <item x="281"/>
        <item x="3967"/>
        <item x="1829"/>
        <item x="2988"/>
        <item x="2883"/>
        <item x="939"/>
        <item x="275"/>
        <item x="1224"/>
        <item x="3268"/>
        <item x="1007"/>
        <item x="3505"/>
        <item x="315"/>
        <item x="279"/>
        <item x="2733"/>
        <item x="771"/>
        <item x="3353"/>
        <item x="4467"/>
        <item x="190"/>
        <item x="3120"/>
        <item x="1495"/>
        <item x="1404"/>
        <item x="1517"/>
        <item x="3054"/>
        <item x="206"/>
        <item x="1832"/>
        <item x="2258"/>
        <item x="2193"/>
        <item x="2180"/>
        <item x="427"/>
        <item x="3781"/>
        <item x="928"/>
        <item x="4388"/>
        <item x="2734"/>
        <item x="2347"/>
        <item x="4158"/>
        <item x="2423"/>
        <item x="2320"/>
        <item x="1676"/>
        <item x="1459"/>
        <item x="4439"/>
        <item x="4330"/>
        <item x="280"/>
        <item x="525"/>
        <item x="1640"/>
        <item x="4292"/>
        <item x="4350"/>
        <item x="2365"/>
        <item x="2194"/>
        <item x="619"/>
        <item x="3078"/>
        <item x="986"/>
        <item x="239"/>
        <item x="3215"/>
        <item x="614"/>
        <item x="944"/>
        <item x="322"/>
        <item x="2122"/>
        <item x="1587"/>
        <item x="217"/>
        <item x="4363"/>
        <item x="1293"/>
        <item x="2366"/>
        <item x="966"/>
        <item x="2068"/>
        <item x="3017"/>
        <item x="698"/>
        <item x="1421"/>
        <item x="4382"/>
        <item x="98"/>
        <item x="3726"/>
        <item x="2924"/>
        <item x="2681"/>
        <item x="1819"/>
        <item x="2409"/>
        <item x="4354"/>
        <item x="481"/>
        <item x="541"/>
        <item x="3097"/>
        <item x="3628"/>
        <item x="2243"/>
        <item x="4032"/>
        <item x="3158"/>
        <item x="604"/>
        <item x="3166"/>
        <item x="443"/>
        <item x="2919"/>
        <item x="1757"/>
        <item x="169"/>
        <item x="1276"/>
        <item x="1003"/>
        <item x="506"/>
        <item x="3426"/>
        <item x="1861"/>
        <item x="906"/>
        <item x="360"/>
        <item x="3049"/>
        <item x="2132"/>
        <item x="1890"/>
        <item x="2113"/>
        <item x="1218"/>
        <item x="775"/>
        <item x="2102"/>
        <item x="4353"/>
        <item x="3063"/>
        <item x="1118"/>
        <item x="3038"/>
        <item x="212"/>
        <item x="4469"/>
        <item x="1055"/>
        <item x="2253"/>
        <item x="2518"/>
        <item x="2238"/>
        <item x="467"/>
        <item x="2542"/>
        <item x="3037"/>
        <item x="2346"/>
        <item x="4369"/>
        <item x="920"/>
        <item x="2742"/>
        <item x="1961"/>
        <item x="708"/>
        <item x="1631"/>
        <item x="3846"/>
        <item x="4298"/>
        <item x="1985"/>
        <item x="4236"/>
        <item x="1701"/>
        <item x="4100"/>
        <item x="3357"/>
        <item x="3070"/>
        <item x="476"/>
        <item x="2403"/>
        <item x="1471"/>
        <item x="736"/>
        <item x="1251"/>
        <item x="1119"/>
        <item x="2711"/>
        <item x="1770"/>
        <item x="3138"/>
        <item x="2386"/>
        <item x="4441"/>
        <item x="2179"/>
        <item x="607"/>
        <item x="2581"/>
        <item x="3232"/>
        <item x="3859"/>
        <item x="566"/>
        <item x="596"/>
        <item x="1327"/>
        <item x="430"/>
        <item x="4119"/>
        <item x="2285"/>
        <item x="1305"/>
        <item x="3012"/>
        <item x="3107"/>
        <item x="4297"/>
        <item x="1808"/>
        <item x="1004"/>
        <item x="3525"/>
        <item x="2835"/>
        <item x="2442"/>
        <item x="809"/>
        <item x="2157"/>
        <item x="4267"/>
        <item x="2701"/>
        <item x="4138"/>
        <item x="3229"/>
        <item x="388"/>
        <item x="4087"/>
        <item x="2489"/>
        <item x="103"/>
        <item x="2618"/>
        <item x="3735"/>
        <item x="1134"/>
        <item x="3047"/>
        <item x="1059"/>
        <item x="1862"/>
        <item x="130"/>
        <item x="2352"/>
        <item x="2049"/>
        <item x="79"/>
        <item x="1009"/>
        <item x="3061"/>
        <item x="420"/>
        <item x="2065"/>
        <item x="2256"/>
        <item x="2556"/>
        <item x="2598"/>
        <item x="4291"/>
        <item x="165"/>
        <item x="3318"/>
        <item x="1294"/>
        <item x="4128"/>
        <item x="4460"/>
        <item x="2319"/>
        <item x="1142"/>
        <item x="1313"/>
        <item x="99"/>
        <item x="4375"/>
        <item x="124"/>
        <item x="575"/>
        <item x="1048"/>
        <item x="2961"/>
        <item x="1016"/>
        <item x="1721"/>
        <item x="1904"/>
        <item x="2262"/>
        <item x="3113"/>
        <item x="4142"/>
        <item x="4293"/>
        <item x="2960"/>
        <item x="3198"/>
        <item x="2428"/>
        <item x="964"/>
        <item x="1151"/>
        <item x="2318"/>
        <item x="1454"/>
        <item x="618"/>
        <item x="3309"/>
        <item x="3940"/>
        <item x="2067"/>
        <item x="773"/>
        <item x="3443"/>
        <item x="2937"/>
        <item x="4245"/>
        <item x="1452"/>
        <item x="4103"/>
        <item x="3753"/>
        <item x="3712"/>
        <item x="445"/>
        <item x="2229"/>
        <item x="4243"/>
        <item x="1577"/>
        <item x="2412"/>
        <item x="297"/>
        <item x="584"/>
        <item x="2706"/>
        <item x="4359"/>
        <item x="2617"/>
        <item x="4447"/>
        <item x="2053"/>
        <item x="4380"/>
        <item x="818"/>
        <item x="1600"/>
        <item x="2061"/>
        <item x="2130"/>
        <item x="715"/>
        <item x="3323"/>
        <item x="1991"/>
        <item x="1252"/>
        <item x="2576"/>
        <item x="4229"/>
        <item x="2003"/>
        <item x="822"/>
        <item x="3567"/>
        <item x="3367"/>
        <item x="1497"/>
        <item x="936"/>
        <item x="557"/>
        <item x="3984"/>
        <item x="2991"/>
        <item x="1971"/>
        <item x="336"/>
        <item x="1075"/>
        <item x="4437"/>
        <item x="2866"/>
        <item x="1882"/>
        <item x="1663"/>
        <item x="3164"/>
        <item x="1348"/>
        <item x="1755"/>
        <item x="4078"/>
        <item x="316"/>
        <item x="2512"/>
        <item x="3483"/>
        <item x="4035"/>
        <item x="1924"/>
        <item x="2293"/>
        <item x="2931"/>
        <item x="4180"/>
        <item x="4320"/>
        <item x="4202"/>
        <item x="4190"/>
        <item x="3170"/>
        <item x="815"/>
        <item x="4327"/>
        <item x="2036"/>
        <item x="4470"/>
        <item x="3545"/>
        <item x="1087"/>
        <item x="1713"/>
        <item x="3296"/>
        <item x="2242"/>
        <item x="3578"/>
        <item x="3787"/>
        <item x="2814"/>
        <item x="2795"/>
        <item x="3352"/>
        <item x="929"/>
        <item x="2393"/>
        <item x="665"/>
        <item x="3475"/>
        <item x="2580"/>
        <item x="3035"/>
        <item x="1283"/>
        <item x="176"/>
        <item x="210"/>
        <item x="96"/>
        <item x="1541"/>
        <item x="1858"/>
        <item x="1719"/>
        <item x="3653"/>
        <item x="808"/>
        <item x="4156"/>
        <item x="1523"/>
        <item x="3386"/>
        <item x="368"/>
        <item x="4241"/>
        <item x="3480"/>
        <item x="468"/>
        <item x="1172"/>
        <item x="1822"/>
        <item x="2763"/>
        <item x="367"/>
        <item x="3988"/>
        <item x="1749"/>
        <item x="821"/>
        <item x="3509"/>
        <item x="81"/>
        <item x="2402"/>
        <item x="3895"/>
        <item x="2281"/>
        <item x="1588"/>
        <item x="3329"/>
        <item x="2129"/>
        <item x="2596"/>
        <item x="1827"/>
        <item x="1342"/>
        <item x="3442"/>
        <item x="1236"/>
        <item x="1878"/>
        <item x="2226"/>
        <item x="2630"/>
        <item x="3006"/>
        <item x="1752"/>
        <item x="1179"/>
        <item x="4332"/>
        <item x="539"/>
        <item x="4096"/>
        <item x="834"/>
        <item x="341"/>
        <item x="3623"/>
        <item x="2"/>
        <item x="523"/>
        <item x="3848"/>
        <item x="2272"/>
        <item x="4395"/>
        <item x="531"/>
        <item x="451"/>
        <item x="4405"/>
        <item x="4232"/>
        <item x="2090"/>
        <item x="678"/>
        <item x="3303"/>
        <item x="3821"/>
        <item x="2951"/>
        <item x="1323"/>
        <item x="77"/>
        <item x="4390"/>
        <item x="2914"/>
        <item x="2877"/>
        <item x="935"/>
        <item x="2117"/>
        <item x="3249"/>
        <item x="1779"/>
        <item x="2551"/>
        <item x="3264"/>
        <item x="3090"/>
        <item x="3608"/>
        <item x="542"/>
        <item x="957"/>
        <item x="139"/>
        <item x="3757"/>
        <item x="4061"/>
        <item x="1356"/>
        <item x="284"/>
        <item x="3796"/>
        <item x="399"/>
        <item x="1453"/>
        <item x="2060"/>
        <item x="3141"/>
        <item x="1433"/>
        <item x="2592"/>
        <item x="2907"/>
        <item x="1539"/>
        <item x="3606"/>
        <item x="741"/>
        <item x="3763"/>
        <item x="1462"/>
        <item x="2530"/>
        <item x="2240"/>
        <item x="1929"/>
        <item x="3834"/>
        <item x="1344"/>
        <item x="1062"/>
        <item x="3963"/>
        <item x="396"/>
        <item x="4328"/>
        <item x="1111"/>
        <item x="3872"/>
        <item x="1887"/>
        <item x="3767"/>
        <item x="2802"/>
        <item x="734"/>
        <item x="51"/>
        <item x="2658"/>
        <item x="726"/>
        <item x="560"/>
        <item x="2800"/>
        <item x="3092"/>
        <item x="2679"/>
        <item x="3001"/>
        <item x="512"/>
        <item x="2028"/>
        <item x="235"/>
        <item x="2606"/>
        <item x="1266"/>
        <item x="3057"/>
        <item x="3652"/>
        <item x="1821"/>
        <item x="4050"/>
        <item x="830"/>
        <item x="2218"/>
        <item x="1183"/>
        <item x="3484"/>
        <item x="1193"/>
        <item x="879"/>
        <item x="3976"/>
        <item x="2943"/>
        <item x="666"/>
        <item x="3245"/>
        <item x="1339"/>
        <item x="2560"/>
        <item x="1692"/>
        <item x="3021"/>
        <item x="4201"/>
        <item x="689"/>
        <item x="1649"/>
        <item x="2487"/>
        <item x="3154"/>
        <item x="3240"/>
        <item x="787"/>
        <item x="916"/>
        <item x="4352"/>
        <item x="2684"/>
        <item x="1047"/>
        <item x="2756"/>
        <item x="743"/>
        <item x="3033"/>
        <item x="1997"/>
        <item x="4427"/>
        <item x="489"/>
        <item x="1476"/>
        <item x="1132"/>
        <item x="2337"/>
        <item x="1888"/>
        <item x="2870"/>
        <item x="127"/>
        <item x="3739"/>
        <item x="3278"/>
        <item x="3168"/>
        <item x="4134"/>
        <item x="2929"/>
        <item x="2634"/>
        <item x="898"/>
        <item x="1999"/>
        <item x="2378"/>
        <item x="1144"/>
        <item x="2755"/>
        <item x="3259"/>
        <item x="1485"/>
        <item x="237"/>
        <item x="2010"/>
        <item x="2671"/>
        <item x="2672"/>
        <item x="2771"/>
        <item x="697"/>
        <item x="2612"/>
        <item x="1699"/>
        <item x="410"/>
        <item x="2747"/>
        <item x="2206"/>
        <item x="3260"/>
        <item x="383"/>
        <item x="1084"/>
        <item x="2411"/>
        <item x="312"/>
        <item x="1836"/>
        <item x="1957"/>
        <item x="1874"/>
        <item x="2089"/>
        <item x="2282"/>
        <item x="2342"/>
        <item x="2865"/>
        <item x="2832"/>
        <item x="2965"/>
        <item x="2250"/>
        <item x="2294"/>
        <item x="296"/>
        <item x="3553"/>
        <item x="4144"/>
        <item x="2023"/>
        <item x="804"/>
        <item x="4455"/>
        <item x="277"/>
        <item x="2199"/>
        <item x="3448"/>
        <item x="1203"/>
        <item x="222"/>
        <item x="3635"/>
        <item x="1306"/>
        <item x="2379"/>
        <item x="4097"/>
        <item x="4227"/>
        <item x="4104"/>
        <item x="1426"/>
        <item x="1333"/>
        <item x="693"/>
        <item x="1139"/>
        <item x="1166"/>
        <item x="3490"/>
        <item x="3748"/>
        <item x="973"/>
        <item x="833"/>
        <item x="3181"/>
        <item x="1290"/>
        <item x="2228"/>
        <item x="226"/>
        <item x="3217"/>
        <item x="4193"/>
        <item x="2292"/>
        <item x="2247"/>
        <item x="4143"/>
        <item x="2669"/>
        <item x="4278"/>
        <item x="3273"/>
        <item x="1996"/>
        <item x="2837"/>
        <item x="3658"/>
        <item x="1021"/>
        <item x="3397"/>
        <item x="3636"/>
        <item x="840"/>
        <item x="3885"/>
        <item x="4231"/>
        <item x="3324"/>
        <item x="2109"/>
        <item x="3029"/>
        <item x="1974"/>
        <item x="4345"/>
        <item x="1064"/>
        <item x="1859"/>
        <item x="1712"/>
        <item x="1960"/>
        <item x="1108"/>
        <item x="3571"/>
        <item x="2101"/>
        <item x="4067"/>
        <item x="620"/>
        <item x="4220"/>
        <item x="2625"/>
        <item x="1438"/>
        <item x="3202"/>
        <item x="33"/>
        <item x="2602"/>
        <item x="3124"/>
        <item x="4173"/>
        <item x="3587"/>
        <item x="4409"/>
        <item x="1242"/>
        <item x="1401"/>
        <item x="3778"/>
        <item x="1258"/>
        <item x="188"/>
        <item x="1347"/>
        <item x="3754"/>
        <item x="2284"/>
        <item x="2035"/>
        <item x="1137"/>
        <item x="30"/>
        <item x="835"/>
        <item x="663"/>
        <item x="3180"/>
        <item x="2855"/>
        <item x="317"/>
        <item x="3869"/>
        <item x="1188"/>
        <item x="3311"/>
        <item x="3625"/>
        <item x="959"/>
        <item x="1061"/>
        <item x="4233"/>
        <item x="2976"/>
        <item x="4331"/>
        <item x="2544"/>
        <item x="2191"/>
        <item x="915"/>
        <item x="2640"/>
        <item x="706"/>
        <item x="4478"/>
        <item x="1478"/>
        <item x="2338"/>
        <item x="2571"/>
        <item x="3774"/>
        <item x="371"/>
        <item x="4244"/>
        <item x="238"/>
        <item x="2407"/>
        <item x="3562"/>
        <item x="4088"/>
        <item x="3997"/>
        <item x="2146"/>
        <item x="1190"/>
        <item x="993"/>
        <item x="3907"/>
        <item x="2757"/>
        <item x="3928"/>
        <item x="1595"/>
        <item x="3572"/>
        <item x="1505"/>
        <item x="1475"/>
        <item x="1812"/>
        <item x="1702"/>
        <item x="3830"/>
        <item x="309"/>
        <item x="2040"/>
        <item x="1799"/>
        <item x="3989"/>
        <item x="1816"/>
        <item x="3938"/>
        <item x="2344"/>
        <item x="2608"/>
        <item x="3306"/>
        <item x="779"/>
        <item x="93"/>
        <item x="2030"/>
        <item x="581"/>
        <item x="3762"/>
        <item x="848"/>
        <item x="2033"/>
        <item x="536"/>
        <item x="3187"/>
        <item x="3473"/>
        <item x="4311"/>
        <item x="1642"/>
        <item x="2513"/>
        <item x="4453"/>
        <item x="3937"/>
        <item x="761"/>
        <item x="2746"/>
        <item x="1773"/>
        <item x="2626"/>
        <item x="842"/>
        <item x="4485"/>
        <item x="1444"/>
        <item x="455"/>
        <item x="3393"/>
        <item x="2980"/>
        <item x="3003"/>
        <item x="3116"/>
        <item x="3315"/>
        <item x="2780"/>
        <item x="3335"/>
        <item x="778"/>
        <item x="1585"/>
        <item x="1652"/>
        <item x="1788"/>
        <item x="1635"/>
        <item x="9"/>
        <item x="1805"/>
        <item x="4428"/>
        <item x="1696"/>
        <item x="3243"/>
        <item x="207"/>
        <item x="3500"/>
        <item x="947"/>
        <item x="1811"/>
        <item x="3429"/>
        <item x="1232"/>
        <item x="1397"/>
        <item x="937"/>
        <item x="3536"/>
        <item x="4126"/>
        <item x="3855"/>
        <item x="276"/>
        <item x="1647"/>
        <item x="4374"/>
        <item x="1270"/>
        <item x="462"/>
        <item x="3193"/>
        <item x="3939"/>
        <item x="1413"/>
        <item x="2543"/>
        <item x="4047"/>
        <item x="3304"/>
        <item x="3414"/>
        <item x="3445"/>
        <item x="3011"/>
        <item x="2862"/>
        <item x="1972"/>
        <item x="2773"/>
        <item x="1970"/>
        <item x="3117"/>
        <item x="1192"/>
        <item x="3343"/>
        <item x="3574"/>
        <item x="247"/>
        <item x="810"/>
        <item x="2460"/>
        <item x="2173"/>
        <item x="102"/>
        <item x="3725"/>
        <item x="3994"/>
        <item x="4015"/>
        <item x="1415"/>
        <item x="4444"/>
        <item x="4399"/>
        <item x="3588"/>
        <item x="306"/>
        <item x="3581"/>
        <item x="1370"/>
        <item x="2167"/>
        <item x="2059"/>
        <item x="132"/>
        <item x="3364"/>
        <item x="1741"/>
        <item x="690"/>
        <item x="3099"/>
        <item x="1307"/>
        <item x="2698"/>
        <item x="244"/>
        <item x="3425"/>
        <item x="52"/>
        <item x="4471"/>
        <item x="720"/>
        <item x="866"/>
        <item x="1015"/>
        <item x="199"/>
        <item x="2508"/>
        <item x="3799"/>
        <item x="3596"/>
        <item x="1371"/>
        <item x="268"/>
        <item x="1336"/>
        <item x="1511"/>
        <item x="186"/>
        <item x="245"/>
        <item x="1423"/>
        <item x="2985"/>
        <item x="1623"/>
        <item x="329"/>
        <item x="1560"/>
        <item x="3485"/>
        <item x="722"/>
        <item x="594"/>
        <item x="2188"/>
        <item x="2439"/>
        <item x="872"/>
        <item x="2827"/>
        <item x="3922"/>
        <item x="1107"/>
        <item x="327"/>
        <item x="229"/>
        <item x="769"/>
        <item x="817"/>
        <item x="3042"/>
        <item x="4452"/>
        <item x="1330"/>
        <item x="63"/>
        <item x="1008"/>
        <item x="1195"/>
        <item x="4045"/>
        <item x="2333"/>
        <item x="2124"/>
        <item x="2209"/>
        <item x="53"/>
        <item x="401"/>
        <item x="320"/>
        <item x="3590"/>
        <item x="3797"/>
        <item x="3390"/>
        <item x="1233"/>
        <item x="3241"/>
        <item x="3005"/>
        <item x="2805"/>
        <item x="1278"/>
        <item x="1388"/>
        <item x="104"/>
        <item x="344"/>
        <item x="2425"/>
        <item x="2473"/>
        <item x="3790"/>
        <item x="1460"/>
        <item x="18"/>
        <item x="3813"/>
        <item x="3632"/>
        <item x="3472"/>
        <item x="905"/>
        <item x="918"/>
        <item x="234"/>
        <item x="2942"/>
        <item x="385"/>
        <item x="3263"/>
        <item x="2295"/>
        <item x="899"/>
        <item x="668"/>
        <item x="267"/>
        <item x="1876"/>
        <item x="2838"/>
        <item x="4479"/>
        <item x="2458"/>
        <item x="1613"/>
        <item x="1871"/>
        <item x="3614"/>
        <item x="1839"/>
        <item x="4457"/>
        <item x="3169"/>
        <item x="300"/>
        <item x="735"/>
        <item x="1113"/>
        <item x="202"/>
        <item x="643"/>
        <item x="601"/>
        <item x="1671"/>
        <item x="976"/>
        <item x="5"/>
        <item x="387"/>
        <item x="4182"/>
        <item x="2307"/>
        <item x="2070"/>
        <item x="3529"/>
        <item x="768"/>
        <item x="2020"/>
        <item x="2854"/>
        <item x="386"/>
        <item x="2670"/>
        <item x="1045"/>
        <item x="3829"/>
        <item x="2437"/>
        <item x="2732"/>
        <item x="19"/>
        <item x="3551"/>
        <item x="498"/>
        <item x="3847"/>
        <item x="1343"/>
        <item x="2380"/>
        <item x="2322"/>
        <item x="253"/>
        <item x="592"/>
        <item x="3524"/>
        <item x="2195"/>
        <item x="1153"/>
        <item x="120"/>
        <item x="1771"/>
        <item x="4025"/>
        <item x="568"/>
        <item x="2586"/>
        <item x="1630"/>
        <item x="1345"/>
        <item x="1189"/>
        <item x="3845"/>
        <item x="1445"/>
        <item x="1723"/>
        <item x="3716"/>
        <item x="4157"/>
        <item x="1073"/>
        <item x="1117"/>
        <item x="3468"/>
        <item x="2872"/>
        <item x="1610"/>
        <item x="3840"/>
        <item x="971"/>
        <item x="2888"/>
        <item x="1285"/>
        <item x="2509"/>
        <item x="3643"/>
        <item x="825"/>
        <item x="4346"/>
        <item x="3999"/>
        <item x="4141"/>
        <item x="4366"/>
        <item x="691"/>
        <item x="3783"/>
        <item x="4094"/>
        <item x="1375"/>
        <item x="3772"/>
        <item x="1106"/>
        <item x="3558"/>
        <item x="1534"/>
        <item x="374"/>
        <item x="2614"/>
        <item x="2840"/>
        <item x="429"/>
        <item x="4250"/>
        <item x="1872"/>
        <item x="3666"/>
        <item x="2137"/>
        <item x="2585"/>
        <item x="836"/>
        <item x="255"/>
        <item x="119"/>
        <item x="1365"/>
        <item x="1013"/>
        <item x="4377"/>
        <item x="2923"/>
        <item x="744"/>
        <item x="4199"/>
        <item x="2604"/>
        <item x="1463"/>
        <item x="3916"/>
        <item x="2887"/>
        <item x="4012"/>
        <item x="3720"/>
        <item x="949"/>
        <item x="583"/>
        <item x="1158"/>
        <item x="2429"/>
        <item x="862"/>
        <item x="3137"/>
        <item x="4464"/>
        <item x="3565"/>
        <item x="1058"/>
        <item x="4177"/>
        <item x="4160"/>
        <item x="140"/>
        <item x="4349"/>
        <item x="3948"/>
        <item x="1967"/>
        <item x="2046"/>
        <item x="762"/>
        <item x="2693"/>
        <item x="36"/>
        <item x="4371"/>
        <item x="3789"/>
        <item x="2261"/>
        <item x="3252"/>
        <item x="2902"/>
        <item x="421"/>
        <item x="3734"/>
        <item x="843"/>
        <item x="3602"/>
        <item x="556"/>
        <item x="1542"/>
        <item x="12"/>
        <item x="3281"/>
        <item x="2484"/>
        <item x="1868"/>
        <item x="975"/>
        <item x="3213"/>
        <item x="3513"/>
        <item x="1538"/>
        <item x="3298"/>
        <item x="1548"/>
        <item x="1382"/>
        <item x="4003"/>
        <item x="4285"/>
        <item x="692"/>
        <item x="3147"/>
        <item x="450"/>
        <item x="3949"/>
        <item x="250"/>
        <item x="3093"/>
        <item x="1602"/>
        <item x="711"/>
        <item x="4286"/>
        <item x="824"/>
        <item x="3009"/>
        <item x="339"/>
        <item x="3176"/>
        <item x="2043"/>
        <item x="1785"/>
        <item x="4205"/>
        <item x="302"/>
        <item x="2813"/>
        <item x="3146"/>
        <item x="563"/>
        <item x="4442"/>
        <item x="3014"/>
        <item x="3487"/>
        <item x="1668"/>
        <item x="799"/>
        <item x="1138"/>
        <item x="409"/>
        <item x="950"/>
        <item x="1787"/>
        <item x="499"/>
        <item x="1163"/>
        <item x="1626"/>
        <item x="701"/>
        <item x="3446"/>
        <item x="3555"/>
        <item x="2323"/>
        <item x="2052"/>
        <item x="2217"/>
        <item x="4378"/>
        <item x="3094"/>
        <item x="1050"/>
        <item x="2245"/>
        <item x="1077"/>
        <item x="3321"/>
        <item x="564"/>
        <item x="4041"/>
        <item x="3222"/>
        <item x="2546"/>
        <item x="807"/>
        <item x="3399"/>
        <item x="4288"/>
        <item x="2819"/>
        <item x="987"/>
        <item x="1230"/>
        <item x="3369"/>
        <item x="2135"/>
        <item x="4438"/>
        <item x="4392"/>
        <item x="3827"/>
        <item x="3342"/>
        <item x="4370"/>
        <item x="3908"/>
        <item x="3015"/>
        <item x="2599"/>
        <item x="1467"/>
        <item x="1351"/>
        <item x="2062"/>
        <item x="846"/>
        <item x="4357"/>
        <item x="3942"/>
        <item x="1392"/>
        <item x="3350"/>
        <item x="2527"/>
        <item x="1934"/>
        <item x="3592"/>
        <item x="2705"/>
        <item x="428"/>
        <item x="3452"/>
        <item x="3563"/>
        <item x="3272"/>
        <item x="1783"/>
        <item x="242"/>
        <item x="42"/>
        <item x="1326"/>
        <item x="4446"/>
        <item x="3071"/>
        <item x="2461"/>
        <item x="492"/>
        <item x="2917"/>
        <item x="1254"/>
        <item x="402"/>
        <item x="881"/>
        <item x="4326"/>
        <item x="931"/>
        <item x="1297"/>
        <item x="1551"/>
        <item x="156"/>
        <item x="2478"/>
        <item x="562"/>
        <item x="2000"/>
        <item x="624"/>
        <item x="3206"/>
        <item x="1243"/>
        <item x="4386"/>
        <item x="717"/>
        <item x="2750"/>
        <item x="2645"/>
        <item x="1648"/>
        <item x="2562"/>
        <item x="136"/>
        <item x="203"/>
        <item x="2833"/>
        <item x="586"/>
        <item x="513"/>
        <item x="1826"/>
        <item x="681"/>
        <item x="2099"/>
        <item x="1809"/>
        <item x="1185"/>
        <item x="2100"/>
        <item x="2607"/>
        <item x="2573"/>
        <item x="1399"/>
        <item x="106"/>
        <item x="3568"/>
        <item x="3336"/>
        <item x="3793"/>
        <item x="746"/>
        <item x="3595"/>
        <item x="4387"/>
        <item x="4309"/>
        <item x="431"/>
        <item x="101"/>
        <item x="3325"/>
        <item x="1959"/>
        <item x="2264"/>
        <item x="1398"/>
        <item x="3108"/>
        <item x="3920"/>
        <item x="3265"/>
        <item x="3337"/>
        <item x="352"/>
        <item x="43"/>
        <item x="2680"/>
        <item x="3686"/>
        <item x="1378"/>
        <item x="2928"/>
        <item x="1857"/>
        <item x="1483"/>
        <item x="1769"/>
        <item x="3100"/>
        <item x="2524"/>
        <item x="1174"/>
        <item x="1170"/>
        <item x="3547"/>
        <item x="3069"/>
        <item x="1549"/>
        <item x="2818"/>
        <item x="4054"/>
        <item x="1447"/>
        <item x="1493"/>
        <item x="2831"/>
        <item x="193"/>
        <item x="737"/>
        <item x="951"/>
        <item x="4169"/>
        <item x="849"/>
        <item x="3287"/>
        <item x="112"/>
        <item x="2197"/>
        <item x="1714"/>
        <item x="3065"/>
        <item x="2297"/>
        <item x="1325"/>
        <item x="1935"/>
        <item x="4463"/>
        <item x="2666"/>
        <item x="1148"/>
        <item x="189"/>
        <item x="361"/>
        <item x="3104"/>
        <item x="3408"/>
        <item x="1601"/>
        <item x="4294"/>
        <item x="4159"/>
        <item x="2475"/>
        <item x="4057"/>
        <item x="765"/>
        <item x="3384"/>
        <item x="4218"/>
        <item x="1110"/>
        <item x="2134"/>
        <item x="930"/>
        <item x="1353"/>
        <item x="1247"/>
        <item x="1324"/>
        <item x="3935"/>
        <item x="4269"/>
        <item x="233"/>
        <item x="3308"/>
        <item x="1573"/>
        <item x="753"/>
        <item x="3722"/>
        <item x="1181"/>
        <item x="216"/>
        <item x="4099"/>
        <item x="256"/>
        <item x="347"/>
        <item x="2138"/>
        <item x="3224"/>
        <item x="3914"/>
        <item x="731"/>
        <item x="4391"/>
        <item x="1070"/>
        <item x="400"/>
        <item x="1632"/>
        <item x="3056"/>
        <item x="1969"/>
        <item x="687"/>
        <item x="1851"/>
        <item x="4481"/>
        <item x="1359"/>
        <item x="2864"/>
        <item x="3478"/>
        <item x="1366"/>
        <item x="1280"/>
        <item x="1710"/>
        <item x="4022"/>
        <item x="2903"/>
        <item x="2223"/>
        <item x="600"/>
        <item x="4208"/>
        <item x="2086"/>
        <item x="122"/>
        <item x="480"/>
        <item x="2760"/>
        <item x="334"/>
        <item x="2938"/>
        <item x="3089"/>
        <item x="4440"/>
        <item x="2638"/>
        <item x="3639"/>
        <item x="2801"/>
        <item x="4079"/>
        <item x="1572"/>
        <item x="953"/>
        <item x="1312"/>
        <item x="4254"/>
        <item x="4450"/>
        <item x="2233"/>
        <item x="372"/>
        <item x="837"/>
        <item x="3512"/>
        <item x="1965"/>
        <item x="392"/>
        <item x="548"/>
        <item x="1831"/>
        <item x="3502"/>
        <item x="3388"/>
        <item x="655"/>
        <item x="2577"/>
        <item x="729"/>
        <item x="1369"/>
        <item x="1886"/>
        <item x="2905"/>
        <item x="2806"/>
        <item x="2339"/>
        <item x="2894"/>
        <item x="1287"/>
        <item x="3153"/>
        <item x="2241"/>
        <item x="567"/>
        <item x="3706"/>
        <item x="1840"/>
        <item x="4121"/>
        <item x="64"/>
        <item x="3226"/>
        <item x="4340"/>
        <item x="3831"/>
        <item x="3995"/>
        <item x="2313"/>
        <item x="1546"/>
        <item x="484"/>
        <item x="839"/>
        <item x="828"/>
        <item x="1474"/>
        <item x="1529"/>
        <item x="1386"/>
        <item x="3705"/>
        <item x="4276"/>
        <item x="470"/>
        <item x="403"/>
        <item x="1372"/>
        <item x="4051"/>
        <item x="3690"/>
        <item x="3765"/>
        <item x="2631"/>
        <item x="2148"/>
        <item x="2441"/>
        <item x="688"/>
        <item x="2966"/>
        <item x="1295"/>
        <item x="1088"/>
        <item x="365"/>
        <item x="2329"/>
        <item x="4163"/>
        <item x="1213"/>
        <item x="3018"/>
        <item x="1406"/>
        <item x="2892"/>
        <item x="2944"/>
        <item x="459"/>
        <item x="2810"/>
        <item x="3969"/>
        <item x="200"/>
        <item x="389"/>
        <item x="1952"/>
        <item x="2790"/>
        <item x="4198"/>
        <item x="4376"/>
        <item x="3573"/>
        <item x="2145"/>
        <item x="1263"/>
        <item x="727"/>
        <item x="598"/>
        <item x="3603"/>
        <item x="4364"/>
        <item x="3145"/>
        <item x="1442"/>
        <item x="2521"/>
        <item x="3031"/>
        <item x="1558"/>
        <item x="2300"/>
        <item x="3474"/>
        <item x="639"/>
        <item x="4258"/>
        <item x="3849"/>
        <item x="738"/>
        <item x="998"/>
        <item x="3800"/>
        <item x="3566"/>
        <item x="3036"/>
        <item x="1566"/>
        <item x="1308"/>
        <item x="2510"/>
        <item x="2703"/>
        <item x="2567"/>
        <item x="897"/>
        <item x="1981"/>
        <item x="2375"/>
        <item x="3779"/>
        <item x="3921"/>
        <item x="4139"/>
        <item x="2290"/>
        <item x="16"/>
        <item x="633"/>
        <item x="1842"/>
        <item x="1316"/>
        <item x="2849"/>
        <item x="2454"/>
        <item x="1396"/>
        <item x="3886"/>
        <item x="3647"/>
        <item x="2435"/>
        <item x="4246"/>
        <item x="4343"/>
        <item x="1889"/>
        <item x="3986"/>
        <item x="1739"/>
        <item x="458"/>
        <item x="2073"/>
        <item x="4196"/>
        <item x="349"/>
        <item x="1332"/>
        <item x="4130"/>
        <item x="530"/>
        <item x="2269"/>
        <item x="558"/>
        <item x="194"/>
        <item x="3048"/>
        <item x="3279"/>
        <item x="1715"/>
        <item x="425"/>
        <item x="3702"/>
        <item x="2673"/>
        <item x="2729"/>
        <item x="35"/>
        <item x="2455"/>
        <item x="517"/>
        <item x="597"/>
        <item x="2207"/>
        <item x="3786"/>
        <item x="3295"/>
        <item x="4415"/>
        <item x="11"/>
        <item x="2758"/>
        <item x="1112"/>
        <item x="3043"/>
        <item x="3292"/>
        <item x="4487"/>
        <item x="3759"/>
        <item x="1154"/>
        <item x="4150"/>
        <item x="2646"/>
        <item x="2321"/>
        <item x="672"/>
        <item x="1284"/>
        <item x="1301"/>
        <item x="3862"/>
        <item x="3383"/>
        <item x="1733"/>
        <item x="497"/>
        <item x="1469"/>
        <item x="2975"/>
        <item x="1716"/>
        <item x="4024"/>
        <item x="2635"/>
        <item x="150"/>
        <item x="1619"/>
        <item x="376"/>
        <item x="3825"/>
        <item x="3432"/>
        <item x="1152"/>
        <item x="146"/>
        <item x="4394"/>
        <item x="2418"/>
        <item x="2948"/>
        <item x="3363"/>
        <item x="1202"/>
        <item x="2087"/>
        <item x="2396"/>
        <item x="1432"/>
        <item x="3007"/>
        <item x="3482"/>
        <item x="2953"/>
        <item x="2420"/>
        <item x="3471"/>
        <item x="2847"/>
        <item x="1853"/>
        <item x="2610"/>
        <item x="767"/>
        <item x="135"/>
        <item x="1394"/>
        <item x="3880"/>
        <item x="4184"/>
        <item x="3398"/>
        <item x="1216"/>
        <item x="1902"/>
        <item x="4146"/>
        <item x="3609"/>
        <item x="32"/>
        <item x="1265"/>
        <item x="3930"/>
        <item x="4321"/>
        <item x="514"/>
        <item x="4021"/>
        <item x="3828"/>
        <item x="4449"/>
        <item x="265"/>
        <item x="3871"/>
        <item x="1777"/>
        <item x="2072"/>
        <item x="332"/>
        <item x="2539"/>
        <item x="2622"/>
        <item x="1975"/>
        <item x="4411"/>
        <item x="395"/>
        <item x="1563"/>
        <item x="2370"/>
        <item x="3225"/>
        <item x="1237"/>
        <item x="2731"/>
        <item x="198"/>
        <item x="84"/>
        <item x="1555"/>
        <item x="3610"/>
        <item x="613"/>
        <item x="3417"/>
        <item x="1434"/>
        <item x="351"/>
        <item x="3816"/>
        <item x="152"/>
        <item x="2846"/>
        <item x="1797"/>
        <item x="977"/>
        <item x="107"/>
        <item x="1109"/>
        <item x="2384"/>
        <item x="3874"/>
        <item x="2569"/>
        <item x="2740"/>
        <item x="4129"/>
        <item x="1309"/>
        <item x="1532"/>
        <item x="1570"/>
        <item x="574"/>
        <item x="1611"/>
        <item x="1496"/>
        <item x="2968"/>
        <item x="4066"/>
        <item x="3870"/>
        <item x="3730"/>
        <item x="4179"/>
        <item x="2787"/>
        <item x="2526"/>
        <item x="1953"/>
        <item x="3910"/>
        <item x="1795"/>
        <item x="2383"/>
        <item x="3620"/>
        <item x="2619"/>
        <item x="67"/>
        <item x="4009"/>
        <item x="805"/>
        <item x="1939"/>
        <item x="4192"/>
        <item x="2830"/>
        <item x="3345"/>
        <item x="4290"/>
        <item x="1625"/>
        <item x="3660"/>
        <item x="1400"/>
        <item x="938"/>
        <item x="91"/>
        <item x="3768"/>
        <item x="1204"/>
        <item x="118"/>
        <item x="3271"/>
        <item x="1590"/>
        <item x="2203"/>
        <item x="3052"/>
        <item x="1402"/>
        <item x="1079"/>
        <item x="4337"/>
        <item x="3381"/>
        <item x="3883"/>
        <item x="2591"/>
        <item x="143"/>
        <item x="2308"/>
        <item x="3211"/>
        <item x="2724"/>
        <item x="1998"/>
        <item x="321"/>
        <item x="896"/>
        <item x="249"/>
        <item x="1363"/>
        <item x="160"/>
        <item x="3780"/>
        <item x="2263"/>
        <item x="1086"/>
        <item x="4480"/>
        <item x="869"/>
        <item x="4216"/>
        <item x="4367"/>
        <item x="1528"/>
        <item x="657"/>
        <item x="1036"/>
        <item x="2331"/>
        <item x="414"/>
        <item x="4482"/>
        <item x="3534"/>
        <item x="2126"/>
        <item x="1427"/>
        <item x="25"/>
        <item x="2723"/>
        <item x="2861"/>
        <item x="4023"/>
        <item x="4039"/>
        <item x="3479"/>
        <item x="1502"/>
        <item x="674"/>
        <item x="172"/>
        <item x="960"/>
        <item x="4165"/>
        <item x="1908"/>
        <item x="616"/>
        <item x="3673"/>
        <item x="3838"/>
        <item x="577"/>
        <item x="1089"/>
        <item x="820"/>
        <item x="4106"/>
        <item x="3675"/>
        <item x="1644"/>
        <item x="1708"/>
        <item x="4234"/>
        <item x="784"/>
        <item x="1114"/>
        <item x="4203"/>
        <item x="505"/>
        <item x="1441"/>
        <item x="3889"/>
        <item x="4116"/>
        <item x="2301"/>
        <item x="2388"/>
        <item x="2682"/>
        <item x="667"/>
        <item x="4435"/>
        <item x="1918"/>
        <item x="6"/>
        <item x="2971"/>
        <item x="3302"/>
        <item x="1425"/>
        <item x="1437"/>
        <item x="1176"/>
        <item x="1838"/>
        <item x="3627"/>
        <item x="751"/>
        <item x="2990"/>
        <item x="4338"/>
        <item x="1173"/>
        <item x="1947"/>
        <item x="3742"/>
        <item x="546"/>
        <item x="1919"/>
        <item x="4221"/>
        <item x="4162"/>
        <item x="844"/>
        <item x="412"/>
        <item x="1621"/>
        <item x="3518"/>
        <item x="3704"/>
        <item x="1522"/>
        <item x="487"/>
        <item x="555"/>
        <item x="479"/>
        <item x="831"/>
        <item x="1737"/>
        <item x="174"/>
        <item x="1310"/>
        <item x="1932"/>
        <item x="3718"/>
        <item x="3348"/>
        <item x="2351"/>
        <item x="2330"/>
        <item x="3254"/>
        <item x="1599"/>
        <item x="3970"/>
        <item x="486"/>
        <item x="3901"/>
        <item x="1854"/>
        <item x="1221"/>
        <item x="845"/>
        <item x="3316"/>
        <item x="1653"/>
        <item x="1846"/>
        <item x="3127"/>
        <item x="27"/>
        <item x="3132"/>
        <item x="440"/>
        <item x="298"/>
        <item x="1027"/>
        <item x="1680"/>
        <item x="2147"/>
        <item x="3979"/>
        <item x="582"/>
        <item x="2358"/>
        <item x="1565"/>
        <item x="1688"/>
        <item x="4384"/>
        <item x="819"/>
        <item x="2964"/>
        <item x="2025"/>
        <item x="943"/>
        <item x="2897"/>
        <item x="3805"/>
        <item x="407"/>
        <item x="433"/>
        <item x="2246"/>
        <item x="1580"/>
        <item x="2161"/>
        <item x="2537"/>
        <item x="195"/>
        <item x="2355"/>
        <item x="166"/>
        <item x="2081"/>
        <item x="551"/>
        <item x="2841"/>
        <item x="1657"/>
        <item x="2196"/>
        <item x="602"/>
        <item x="3201"/>
        <item x="4155"/>
        <item x="3492"/>
        <item x="1786"/>
        <item x="3322"/>
        <item x="4178"/>
        <item x="3618"/>
        <item x="1318"/>
        <item x="3140"/>
        <item x="3460"/>
        <item x="1133"/>
        <item x="3299"/>
        <item x="1683"/>
        <item x="1909"/>
        <item x="2881"/>
        <item x="1461"/>
        <item x="1717"/>
        <item x="2982"/>
        <item x="1501"/>
        <item x="117"/>
        <item x="1948"/>
        <item x="3865"/>
        <item x="1725"/>
        <item x="2816"/>
        <item x="1002"/>
        <item x="760"/>
        <item x="115"/>
        <item x="444"/>
        <item x="2779"/>
        <item x="1880"/>
        <item x="1018"/>
        <item x="1510"/>
        <item x="3510"/>
        <item x="1507"/>
        <item x="3044"/>
        <item x="2232"/>
        <item x="2792"/>
        <item x="3694"/>
        <item x="2776"/>
        <item x="47"/>
        <item x="4312"/>
        <item x="1759"/>
        <item x="3111"/>
        <item x="974"/>
        <item x="2967"/>
        <item x="1629"/>
        <item x="2111"/>
        <item x="695"/>
        <item x="432"/>
        <item x="988"/>
        <item x="2589"/>
        <item x="175"/>
        <item x="3395"/>
        <item x="1360"/>
        <item x="3733"/>
        <item x="795"/>
        <item x="788"/>
        <item x="2392"/>
        <item x="2809"/>
        <item x="3749"/>
        <item x="3380"/>
        <item x="4164"/>
        <item x="31"/>
        <item x="1051"/>
        <item x="1354"/>
        <item x="2728"/>
        <item x="3782"/>
        <item x="1707"/>
        <item x="4434"/>
        <item x="2092"/>
        <item x="3613"/>
        <item x="2058"/>
        <item x="1586"/>
        <item x="3593"/>
        <item x="3156"/>
        <item x="2438"/>
        <item x="2788"/>
        <item x="3896"/>
        <item x="3041"/>
        <item x="3256"/>
        <item x="465"/>
        <item x="2579"/>
        <item x="271"/>
        <item x="1891"/>
        <item x="3121"/>
        <item x="1376"/>
        <item x="1684"/>
        <item x="4344"/>
        <item x="3933"/>
        <item x="653"/>
        <item x="3459"/>
        <item x="1806"/>
        <item x="379"/>
        <item x="4299"/>
        <item x="1612"/>
        <item x="304"/>
        <item x="4277"/>
        <item x="4118"/>
        <item x="887"/>
        <item x="4017"/>
        <item x="2909"/>
        <item x="2400"/>
        <item x="4168"/>
        <item x="273"/>
        <item x="3858"/>
        <item x="1227"/>
        <item x="179"/>
        <item x="2448"/>
        <item x="2029"/>
        <item x="4393"/>
        <item x="2414"/>
        <item x="2071"/>
        <item x="4421"/>
        <item x="1877"/>
        <item x="3973"/>
        <item x="3235"/>
        <item x="890"/>
        <item x="1814"/>
        <item x="485"/>
        <item x="629"/>
        <item x="4445"/>
        <item x="1298"/>
        <item x="2125"/>
        <item x="1273"/>
        <item x="3537"/>
        <item x="2048"/>
        <item x="1450"/>
        <item x="326"/>
        <item x="2044"/>
        <item x="4133"/>
        <item x="2548"/>
        <item x="3776"/>
        <item x="3075"/>
        <item x="2817"/>
        <item x="350"/>
        <item x="48"/>
        <item x="4194"/>
        <item x="814"/>
        <item x="4215"/>
        <item x="3034"/>
        <item x="2661"/>
        <item x="1578"/>
        <item x="4110"/>
        <item x="3902"/>
        <item x="1494"/>
        <item x="3600"/>
        <item x="1465"/>
        <item x="730"/>
        <item x="4174"/>
        <item x="1718"/>
        <item x="4210"/>
        <item x="2863"/>
        <item x="74"/>
        <item x="2153"/>
        <item x="185"/>
        <item x="3237"/>
        <item x="2371"/>
        <item x="75"/>
        <item x="3693"/>
        <item x="61"/>
        <item x="2413"/>
        <item x="2140"/>
        <item x="2303"/>
        <item x="921"/>
        <item x="3703"/>
        <item x="2181"/>
        <item x="290"/>
        <item x="1509"/>
        <item x="3589"/>
        <item x="2491"/>
        <item x="2466"/>
        <item x="3330"/>
        <item x="1614"/>
        <item x="827"/>
        <item x="3066"/>
        <item x="3583"/>
        <item x="3844"/>
        <item x="1796"/>
        <item x="3521"/>
        <item x="3993"/>
        <item x="4317"/>
        <item x="1660"/>
        <item x="3681"/>
        <item x="1074"/>
        <item x="2270"/>
        <item x="1167"/>
        <item x="2901"/>
        <item x="3467"/>
        <item x="989"/>
        <item x="884"/>
        <item x="2657"/>
        <item x="3191"/>
        <item x="4401"/>
        <item x="2972"/>
        <item x="2171"/>
        <item x="595"/>
        <item x="171"/>
        <item x="3416"/>
        <item x="520"/>
        <item x="644"/>
        <item x="1321"/>
        <item x="3165"/>
        <item x="2183"/>
        <item x="2267"/>
        <item x="1005"/>
        <item x="1536"/>
        <item x="2472"/>
        <item x="3531"/>
        <item x="4230"/>
        <item x="3760"/>
        <item x="1156"/>
        <item x="2398"/>
        <item x="38"/>
        <item x="1122"/>
        <item x="2119"/>
        <item x="2470"/>
        <item x="1940"/>
        <item x="3356"/>
        <item x="2118"/>
        <item x="1686"/>
        <item x="3814"/>
        <item x="1205"/>
        <item x="3102"/>
        <item x="4191"/>
        <item x="792"/>
        <item x="2085"/>
        <item x="2796"/>
        <item x="94"/>
        <item x="1094"/>
        <item x="673"/>
        <item x="1199"/>
        <item x="50"/>
        <item x="859"/>
        <item x="1682"/>
        <item x="3449"/>
        <item x="2696"/>
        <item x="3233"/>
        <item x="3906"/>
        <item x="2158"/>
        <item x="1416"/>
        <item x="3440"/>
        <item x="1481"/>
        <item x="3540"/>
        <item x="3911"/>
        <item x="2761"/>
        <item x="1451"/>
        <item x="4476"/>
        <item x="3764"/>
        <item x="3990"/>
        <item x="2488"/>
        <item x="1209"/>
        <item x="748"/>
        <item x="585"/>
        <item x="2590"/>
        <item x="3807"/>
        <item x="1835"/>
        <item x="3040"/>
        <item x="2252"/>
        <item x="521"/>
        <item x="213"/>
        <item x="151"/>
        <item x="2433"/>
        <item x="2021"/>
        <item x="3297"/>
        <item x="1896"/>
        <item x="2781"/>
        <item x="3812"/>
        <item x="2665"/>
        <item x="1609"/>
        <item x="1011"/>
        <item x="1458"/>
        <item x="2507"/>
        <item x="1847"/>
        <item x="2856"/>
        <item x="3777"/>
        <item x="3320"/>
        <item x="3067"/>
        <item x="2593"/>
        <item x="2534"/>
        <item x="2726"/>
        <item x="3599"/>
        <item x="4154"/>
        <item x="1641"/>
        <item x="3672"/>
        <item x="528"/>
        <item x="1843"/>
        <item x="2248"/>
        <item x="220"/>
        <item x="228"/>
        <item x="1120"/>
        <item x="4431"/>
        <item x="3962"/>
        <item x="2353"/>
        <item x="1126"/>
        <item x="2064"/>
        <item x="1041"/>
        <item x="1651"/>
        <item x="2359"/>
        <item x="1744"/>
        <item x="1803"/>
        <item x="3837"/>
        <item x="878"/>
        <item x="1034"/>
        <item x="2255"/>
        <item x="1685"/>
        <item x="2170"/>
        <item x="1754"/>
        <item x="3289"/>
        <item x="2687"/>
        <item x="4406"/>
        <item x="2121"/>
        <item x="2399"/>
        <item x="3341"/>
        <item x="3755"/>
        <item x="2662"/>
        <item x="3010"/>
        <item x="3680"/>
        <item x="2704"/>
        <item x="3769"/>
        <item x="2600"/>
        <item x="2572"/>
        <item x="3301"/>
        <item x="1300"/>
        <item x="3134"/>
        <item x="1056"/>
        <item x="680"/>
        <item x="3333"/>
        <item x="1818"/>
        <item x="4132"/>
        <item x="1837"/>
        <item x="1672"/>
        <item x="2721"/>
        <item x="2738"/>
        <item x="1001"/>
        <item x="3640"/>
        <item x="2984"/>
        <item x="2419"/>
        <item x="4251"/>
        <item x="294"/>
        <item x="2452"/>
        <item x="1000"/>
        <item x="571"/>
        <item x="1964"/>
        <item x="1691"/>
        <item x="4124"/>
        <item x="353"/>
        <item x="2136"/>
        <item x="2019"/>
        <item x="1834"/>
        <item x="945"/>
        <item x="2541"/>
        <item x="2078"/>
        <item x="3731"/>
        <item x="473"/>
        <item x="4071"/>
        <item x="813"/>
        <item x="756"/>
        <item x="2230"/>
        <item x="44"/>
        <item x="1029"/>
        <item x="2652"/>
        <item x="1765"/>
        <item x="3410"/>
        <item x="2481"/>
        <item x="3284"/>
        <item x="1526"/>
        <item x="2312"/>
        <item x="1559"/>
        <item x="913"/>
        <item x="4385"/>
        <item x="3221"/>
        <item x="3917"/>
        <item x="2116"/>
        <item x="3192"/>
        <item x="3195"/>
        <item x="4295"/>
        <item x="3688"/>
        <item x="3677"/>
        <item x="3773"/>
        <item x="3887"/>
        <item x="4468"/>
        <item x="1694"/>
        <item x="2362"/>
        <item x="2296"/>
        <item x="752"/>
        <item x="2299"/>
        <item x="1724"/>
        <item x="3860"/>
        <item x="1793"/>
        <item x="1508"/>
        <item x="1923"/>
        <item x="1429"/>
        <item x="3852"/>
        <item x="1379"/>
        <item x="257"/>
        <item x="1314"/>
        <item x="2176"/>
        <item x="2582"/>
        <item x="3409"/>
        <item x="2376"/>
        <item x="740"/>
        <item x="1926"/>
        <item x="3864"/>
        <item x="3665"/>
        <item x="696"/>
        <item x="1521"/>
        <item x="1085"/>
        <item x="2720"/>
        <item x="28"/>
        <item x="2443"/>
        <item x="3894"/>
        <item x="609"/>
        <item x="292"/>
        <item x="789"/>
        <item x="854"/>
        <item x="2629"/>
        <item x="1430"/>
        <item x="2027"/>
        <item x="26"/>
        <item x="1753"/>
        <item x="3288"/>
        <item x="2456"/>
        <item x="1319"/>
        <item x="1583"/>
        <item x="3290"/>
        <item x="3461"/>
        <item x="3506"/>
        <item x="780"/>
        <item x="1941"/>
        <item x="1514"/>
        <item x="1222"/>
        <item x="1042"/>
        <item x="2219"/>
        <item x="4272"/>
        <item x="4080"/>
        <item x="3617"/>
        <item x="2482"/>
        <item x="1544"/>
        <item x="1044"/>
        <item x="1346"/>
        <item x="3501"/>
        <item x="2730"/>
        <item x="90"/>
        <item x="1065"/>
        <item x="3184"/>
        <item x="2235"/>
        <item x="373"/>
        <item x="1810"/>
        <item x="2014"/>
        <item x="4102"/>
        <item x="24"/>
        <item x="3966"/>
        <item x="3982"/>
        <item x="1791"/>
        <item x="2406"/>
        <item x="3591"/>
        <item x="2075"/>
        <item x="3032"/>
        <item x="923"/>
        <item x="942"/>
        <item x="2341"/>
        <item x="638"/>
        <item x="114"/>
        <item x="1659"/>
        <item x="4185"/>
        <item x="3912"/>
        <item x="2447"/>
        <item x="622"/>
        <item x="3971"/>
        <item x="2424"/>
        <item x="4448"/>
        <item x="164"/>
        <item x="3744"/>
        <item x="1844"/>
        <item x="3419"/>
        <item x="4451"/>
        <item x="1772"/>
        <item x="2811"/>
        <item x="924"/>
        <item x="2765"/>
        <item x="4483"/>
        <item x="159"/>
        <item x="2446"/>
        <item x="3832"/>
        <item x="1473"/>
        <item x="2485"/>
        <item x="2340"/>
        <item x="2476"/>
        <item x="747"/>
        <item x="3594"/>
        <item x="413"/>
        <item x="2660"/>
        <item x="314"/>
        <item x="1506"/>
        <item x="2151"/>
        <item x="1722"/>
        <item x="1582"/>
        <item x="4410"/>
        <item x="133"/>
        <item x="4273"/>
        <item x="147"/>
        <item x="868"/>
        <item x="2869"/>
        <item x="3752"/>
        <item x="3275"/>
        <item x="1513"/>
        <item x="3025"/>
        <item x="3771"/>
        <item x="95"/>
        <item x="2804"/>
        <item x="1146"/>
        <item x="2713"/>
        <item x="3105"/>
        <item x="721"/>
        <item x="3794"/>
        <item x="342"/>
        <item x="1730"/>
        <item x="148"/>
        <item x="2315"/>
        <item x="3554"/>
        <item x="2415"/>
        <item x="3516"/>
        <item x="1214"/>
        <item x="4095"/>
        <item x="1584"/>
        <item x="1171"/>
        <item x="3633"/>
        <item x="3637"/>
        <item x="2644"/>
        <item x="2017"/>
        <item x="1311"/>
        <item x="3820"/>
        <item x="2653"/>
        <item x="2198"/>
        <item x="781"/>
        <item x="3709"/>
        <item x="716"/>
        <item x="524"/>
        <item x="1639"/>
        <item x="2986"/>
        <item x="1537"/>
        <item x="2845"/>
        <item x="3392"/>
        <item x="1178"/>
        <item x="994"/>
        <item x="2114"/>
        <item x="1869"/>
        <item x="10"/>
        <item x="161"/>
        <item x="832"/>
        <item x="1564"/>
        <item x="3651"/>
        <item x="2497"/>
        <item x="1740"/>
        <item x="21"/>
        <item x="3843"/>
        <item x="2674"/>
        <item x="4042"/>
        <item x="3504"/>
        <item x="4117"/>
        <item x="3280"/>
        <item x="3177"/>
        <item x="739"/>
        <item x="3868"/>
        <item x="4310"/>
        <item x="4472"/>
        <item x="2155"/>
        <item x="1100"/>
        <item x="4279"/>
        <item x="812"/>
        <item x="415"/>
        <item x="1387"/>
        <item x="702"/>
        <item x="4342"/>
        <item x="2997"/>
        <item x="1180"/>
        <item x="1543"/>
        <item x="649"/>
        <item x="1040"/>
        <item x="4028"/>
        <item x="2336"/>
        <item x="1678"/>
        <item x="2677"/>
        <item x="3149"/>
        <item x="2859"/>
        <item x="3926"/>
        <item x="2545"/>
        <item x="3118"/>
        <item x="1223"/>
        <item x="1776"/>
        <item x="1607"/>
        <item x="2834"/>
        <item x="76"/>
        <item x="1665"/>
        <item x="2784"/>
        <item x="3819"/>
        <item x="1484"/>
        <item x="1104"/>
        <item x="4404"/>
        <item x="3376"/>
        <item x="855"/>
        <item x="2494"/>
        <item x="1568"/>
        <item x="2955"/>
        <item x="2066"/>
        <item x="4381"/>
        <item x="1030"/>
        <item x="3428"/>
        <item x="709"/>
        <item x="3469"/>
        <item x="3026"/>
        <item x="2421"/>
        <item x="875"/>
        <item x="2502"/>
        <item x="3101"/>
        <item x="2918"/>
        <item x="4161"/>
        <item x="466"/>
        <item x="3586"/>
        <item x="1879"/>
        <item x="1302"/>
        <item x="3095"/>
        <item x="3423"/>
        <item x="2996"/>
        <item x="3346"/>
        <item x="4261"/>
        <item x="4093"/>
        <item x="797"/>
        <item x="3144"/>
        <item x="2310"/>
        <item x="3277"/>
        <item x="3905"/>
        <item x="3179"/>
        <item x="3374"/>
        <item x="2709"/>
        <item x="2449"/>
        <item x="2958"/>
        <item x="3248"/>
        <item x="3991"/>
        <item x="2667"/>
        <item x="2156"/>
        <item x="1019"/>
        <item x="3257"/>
        <item x="4256"/>
        <item x="3960"/>
        <item x="3203"/>
        <item x="1389"/>
        <item x="2643"/>
        <item x="3598"/>
        <item x="1552"/>
        <item x="1200"/>
        <item x="1078"/>
        <item x="682"/>
        <item x="2496"/>
        <item x="3685"/>
        <item x="2405"/>
        <item x="1240"/>
        <item x="4033"/>
        <item x="4077"/>
        <item x="1244"/>
        <item x="3528"/>
        <item x="4049"/>
        <item x="802"/>
        <item x="3750"/>
        <item x="3546"/>
        <item x="1439"/>
        <item x="504"/>
        <item x="900"/>
        <item x="2963"/>
        <item x="1666"/>
        <item x="4257"/>
        <item x="707"/>
        <item x="1121"/>
        <item x="2904"/>
        <item x="2387"/>
        <item x="3253"/>
        <item x="1535"/>
        <item x="3957"/>
        <item x="4314"/>
        <item x="3925"/>
        <item x="2745"/>
        <item x="1361"/>
        <item x="3194"/>
        <item x="3175"/>
        <item x="2848"/>
        <item x="857"/>
        <item x="305"/>
        <item x="909"/>
        <item x="3267"/>
        <item x="3385"/>
        <item x="2950"/>
        <item x="1457"/>
        <item x="1950"/>
        <item x="3344"/>
        <item x="134"/>
        <item x="1943"/>
        <item x="2826"/>
        <item x="3570"/>
        <item x="3936"/>
        <item x="3638"/>
        <item x="2637"/>
        <item x="46"/>
        <item x="1123"/>
        <item x="1525"/>
        <item x="1576"/>
        <item x="1561"/>
        <item x="2385"/>
        <item x="2803"/>
        <item x="2876"/>
        <item x="3958"/>
        <item x="4056"/>
        <item x="2133"/>
        <item x="3877"/>
        <item x="1282"/>
        <item x="3683"/>
        <item x="550"/>
        <item x="1229"/>
        <item x="2008"/>
        <item x="3371"/>
        <item x="1729"/>
        <item x="4465"/>
        <item x="3642"/>
        <item x="4301"/>
        <item x="2277"/>
        <item x="4026"/>
        <item x="2128"/>
        <item x="3234"/>
        <item x="464"/>
        <item x="2516"/>
        <item x="3340"/>
        <item x="3064"/>
        <item x="2479"/>
        <item x="877"/>
        <item x="1958"/>
        <item x="3808"/>
        <item x="2999"/>
        <item x="3745"/>
        <item x="4166"/>
        <item x="3818"/>
        <item x="2714"/>
        <item x="547"/>
        <item x="3331"/>
        <item x="1032"/>
        <item x="4107"/>
        <item x="2664"/>
        <item x="3533"/>
        <item x="4004"/>
        <item x="209"/>
        <item x="4225"/>
        <item x="2031"/>
        <item x="908"/>
        <item x="961"/>
        <item x="3697"/>
        <item x="543"/>
        <item x="39"/>
        <item x="1689"/>
        <item x="3053"/>
        <item x="1350"/>
        <item x="2759"/>
        <item x="2798"/>
        <item x="1736"/>
        <item x="2702"/>
        <item x="587"/>
        <item x="3349"/>
        <item x="3900"/>
        <item x="985"/>
        <item x="2748"/>
        <item x="1784"/>
        <item x="3219"/>
        <item x="3977"/>
        <item x="4030"/>
        <item x="426"/>
        <item x="1912"/>
        <item x="2628"/>
        <item x="954"/>
        <item x="283"/>
        <item x="1182"/>
        <item x="328"/>
        <item x="3411"/>
        <item x="2164"/>
        <item x="356"/>
        <item x="2038"/>
        <item x="1983"/>
        <item x="1670"/>
        <item x="2265"/>
        <item x="4423"/>
        <item x="3438"/>
        <item x="449"/>
        <item x="1973"/>
        <item x="3462"/>
        <item x="3110"/>
        <item x="4195"/>
        <item x="263"/>
        <item x="262"/>
        <item x="1197"/>
        <item x="4181"/>
        <item x="3943"/>
        <item x="2098"/>
        <item x="3489"/>
        <item x="2737"/>
        <item x="83"/>
        <item x="3992"/>
        <item x="2091"/>
        <item x="3611"/>
        <item x="3159"/>
        <item x="2288"/>
        <item x="2981"/>
        <item x="940"/>
        <item x="2691"/>
        <item x="2752"/>
        <item x="4089"/>
        <item x="3415"/>
        <item x="1320"/>
        <item x="362"/>
        <item x="2103"/>
        <item x="301"/>
        <item x="4238"/>
        <item x="246"/>
        <item x="4239"/>
        <item x="3276"/>
        <item x="1574"/>
        <item x="3891"/>
        <item x="196"/>
        <item x="85"/>
        <item x="456"/>
        <item x="754"/>
        <item x="3564"/>
        <item x="826"/>
        <item x="2858"/>
        <item x="2004"/>
        <item x="4351"/>
        <item x="3129"/>
        <item x="1331"/>
        <item x="2204"/>
        <item x="1482"/>
        <item x="29"/>
        <item x="2715"/>
        <item x="3931"/>
        <item x="946"/>
        <item x="3607"/>
        <item x="1125"/>
        <item x="1750"/>
        <item x="2465"/>
        <item x="3701"/>
        <item x="886"/>
        <item x="1381"/>
        <item x="230"/>
        <item x="1260"/>
        <item x="4188"/>
        <item x="2499"/>
        <item x="2621"/>
        <item x="2890"/>
        <item x="3758"/>
        <item x="1775"/>
        <item x="4323"/>
        <item x="1815"/>
        <item x="3929"/>
        <item x="997"/>
        <item x="967"/>
        <item x="2694"/>
        <item x="3866"/>
        <item x="965"/>
        <item x="1743"/>
        <item x="1103"/>
        <item x="2514"/>
        <item x="1593"/>
        <item x="861"/>
        <item x="149"/>
        <item x="1579"/>
        <item x="4430"/>
        <item x="1135"/>
        <item x="3719"/>
        <item x="2097"/>
        <item x="4270"/>
        <item x="1519"/>
        <item x="2552"/>
        <item x="2850"/>
        <item x="1291"/>
        <item x="4313"/>
        <item x="4031"/>
        <item x="2977"/>
        <item x="3135"/>
        <item x="1727"/>
        <item x="3674"/>
        <item x="3981"/>
        <item x="2842"/>
        <item x="2893"/>
        <item x="3464"/>
        <item x="1215"/>
        <item x="1748"/>
        <item x="3427"/>
        <item x="1933"/>
        <item x="2142"/>
        <item x="2880"/>
        <item x="3131"/>
        <item x="2873"/>
        <item x="1091"/>
        <item x="4136"/>
        <item x="1341"/>
        <item x="2852"/>
        <item x="2231"/>
        <item x="1412"/>
        <item x="1"/>
        <item x="2363"/>
        <item x="3879"/>
        <item x="3488"/>
        <item x="3498"/>
        <item x="2186"/>
        <item x="772"/>
        <item x="2601"/>
        <item x="4322"/>
        <item x="3532"/>
        <item x="3437"/>
        <item x="852"/>
        <item x="1700"/>
        <item x="3766"/>
        <item x="750"/>
        <item x="634"/>
        <item x="437"/>
        <item x="679"/>
        <item x="3074"/>
        <item x="4365"/>
        <item x="1257"/>
        <item x="3148"/>
        <item x="2369"/>
        <item x="3444"/>
        <item x="2417"/>
        <item x="654"/>
        <item x="766"/>
        <item x="2182"/>
        <item x="359"/>
        <item x="2688"/>
        <item x="58"/>
        <item x="4400"/>
        <item x="3491"/>
        <item x="910"/>
        <item x="793"/>
        <item x="391"/>
        <item x="178"/>
        <item x="274"/>
        <item x="3909"/>
        <item x="904"/>
        <item x="2426"/>
        <item x="261"/>
        <item x="1654"/>
        <item x="1597"/>
        <item x="307"/>
        <item x="865"/>
        <item x="968"/>
        <item x="2343"/>
        <item x="2549"/>
        <item x="2200"/>
        <item x="109"/>
        <item x="901"/>
        <item x="1728"/>
        <item x="406"/>
        <item x="4014"/>
        <item x="3161"/>
        <item x="1963"/>
        <item x="2844"/>
        <item x="983"/>
        <item x="2139"/>
        <item x="1636"/>
        <item x="3247"/>
        <item x="162"/>
        <item x="3477"/>
        <item x="1553"/>
        <item x="4474"/>
        <item x="502"/>
        <item x="3884"/>
        <item x="1571"/>
        <item x="293"/>
        <item x="3919"/>
        <item x="3497"/>
        <item x="4046"/>
        <item x="141"/>
        <item x="2372"/>
        <item x="627"/>
        <item x="642"/>
        <item x="718"/>
        <item x="4429"/>
        <item x="3951"/>
        <item x="3178"/>
        <item x="2159"/>
        <item x="4113"/>
        <item x="3314"/>
        <item x="4443"/>
        <item x="3659"/>
        <item x="4253"/>
        <item x="1738"/>
        <item x="2364"/>
        <item x="1781"/>
        <item x="838"/>
        <item x="3112"/>
        <item x="3650"/>
        <item x="2828"/>
        <item x="3157"/>
        <item x="4361"/>
        <item x="259"/>
        <item x="3183"/>
        <item x="2474"/>
        <item x="4055"/>
        <item x="4396"/>
        <item x="331"/>
        <item x="2639"/>
        <item x="4086"/>
        <item x="3867"/>
        <item x="926"/>
        <item x="4329"/>
        <item x="3621"/>
        <item x="1472"/>
        <item x="460"/>
        <item x="2535"/>
        <item x="2260"/>
        <item x="3394"/>
        <item x="1238"/>
        <item x="2717"/>
        <item x="919"/>
        <item x="3366"/>
        <item x="4266"/>
        <item x="2754"/>
        <item x="3892"/>
        <item x="2314"/>
        <item x="248"/>
        <item x="214"/>
        <item x="3679"/>
        <item x="1269"/>
        <item x="2557"/>
        <item x="2083"/>
        <item x="3172"/>
        <item x="864"/>
        <item x="49"/>
        <item x="2532"/>
        <item x="4044"/>
        <item x="2225"/>
        <item x="231"/>
        <item x="2913"/>
        <item x="441"/>
        <item x="4187"/>
        <item x="2538"/>
        <item x="2979"/>
        <item x="435"/>
        <item x="2650"/>
        <item x="1296"/>
        <item x="3312"/>
        <item x="4397"/>
        <item x="1962"/>
        <item x="978"/>
        <item t="default"/>
      </items>
    </pivotField>
    <pivotField showAll="0"/>
    <pivotField axis="axisRow" showAll="0" measureFilter="1" sortType="ascending">
      <items count="20">
        <item x="14"/>
        <item x="5"/>
        <item x="0"/>
        <item x="3"/>
        <item x="10"/>
        <item x="17"/>
        <item x="4"/>
        <item x="13"/>
        <item x="12"/>
        <item x="6"/>
        <item x="7"/>
        <item x="8"/>
        <item x="18"/>
        <item x="15"/>
        <item x="16"/>
        <item x="11"/>
        <item x="9"/>
        <item x="1"/>
        <item x="2"/>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defaultSubtotal="0">
      <items count="26">
        <item x="0"/>
        <item x="1"/>
        <item x="2"/>
        <item x="3"/>
        <item x="4"/>
        <item x="5"/>
        <item x="6"/>
        <item x="7"/>
        <item x="8"/>
        <item x="9"/>
        <item x="10"/>
        <item x="11"/>
        <item x="12"/>
        <item x="13"/>
        <item x="14"/>
        <item x="15"/>
        <item x="16"/>
        <item x="17"/>
        <item x="18"/>
        <item x="19"/>
        <item x="20"/>
        <item x="21"/>
        <item x="22"/>
        <item x="23"/>
        <item x="24"/>
        <item x="25"/>
      </items>
    </pivotField>
  </pivotFields>
  <rowFields count="1">
    <field x="9"/>
  </rowFields>
  <rowItems count="6">
    <i>
      <x v="14"/>
    </i>
    <i>
      <x v="11"/>
    </i>
    <i>
      <x v="16"/>
    </i>
    <i>
      <x v="2"/>
    </i>
    <i>
      <x v="1"/>
    </i>
    <i t="grand">
      <x/>
    </i>
  </rowItems>
  <colItems count="1">
    <i/>
  </colItems>
  <dataFields count="1">
    <dataField name="Sum of total_price" fld="12" showDataAs="percentOfTotal" baseField="0" baseItem="0" numFmtId="10"/>
  </dataFields>
  <pivotTableStyleInfo name="PivotStyleLight16" showRowHeaders="1" showColHeaders="1" showRowStripes="0" showColStripes="0" showLastColumn="1"/>
  <filters count="1">
    <filter fld="9" type="count" evalOrder="-1" id="3"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04CF9A4-3D55-ED4C-A4C7-301F0882869A}"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89:B95" firstHeaderRow="1" firstDataRow="1" firstDataCol="1"/>
  <pivotFields count="15">
    <pivotField showAll="0"/>
    <pivotField showAll="0"/>
    <pivotField showAll="0"/>
    <pivotField showAll="0">
      <items count="13">
        <item x="0"/>
        <item x="1"/>
        <item x="2"/>
        <item x="3"/>
        <item x="4"/>
        <item x="5"/>
        <item x="6"/>
        <item x="7"/>
        <item x="8"/>
        <item x="9"/>
        <item x="10"/>
        <item x="11"/>
        <item t="default"/>
      </items>
    </pivotField>
    <pivotField numFmtId="14" showAll="0"/>
    <pivotField showAll="0"/>
    <pivotField showAll="0"/>
    <pivotField numFmtId="21" showAll="0">
      <items count="4489">
        <item x="3898"/>
        <item x="3200"/>
        <item x="2381"/>
        <item x="2793"/>
        <item x="4242"/>
        <item x="1992"/>
        <item x="2271"/>
        <item x="2464"/>
        <item x="3503"/>
        <item x="2920"/>
        <item x="2692"/>
        <item x="4316"/>
        <item x="3270"/>
        <item x="2275"/>
        <item x="3351"/>
        <item x="3575"/>
        <item x="515"/>
        <item x="2540"/>
        <item x="2354"/>
        <item x="3133"/>
        <item x="1255"/>
        <item x="158"/>
        <item x="2050"/>
        <item x="1855"/>
        <item x="1071"/>
        <item x="4111"/>
        <item x="847"/>
        <item x="22"/>
        <item x="1081"/>
        <item x="3535"/>
        <item x="3455"/>
        <item x="182"/>
        <item x="15"/>
        <item x="111"/>
        <item x="3072"/>
        <item x="1767"/>
        <item x="3576"/>
        <item x="2018"/>
        <item x="1184"/>
        <item x="4389"/>
        <item x="137"/>
        <item x="3698"/>
        <item x="3022"/>
        <item x="646"/>
        <item x="529"/>
        <item x="1681"/>
        <item x="2244"/>
        <item x="4000"/>
        <item x="2144"/>
        <item x="1884"/>
        <item x="2152"/>
        <item x="3915"/>
        <item x="2936"/>
        <item x="3945"/>
        <item x="3382"/>
        <item x="2690"/>
        <item x="3244"/>
        <item x="3060"/>
        <item x="4219"/>
        <item x="927"/>
        <item x="4020"/>
        <item x="2416"/>
        <item x="2565"/>
        <item x="1994"/>
        <item x="3648"/>
        <item x="1259"/>
        <item x="1315"/>
        <item x="345"/>
        <item x="2498"/>
        <item x="155"/>
        <item x="1374"/>
        <item x="4360"/>
        <item x="3447"/>
        <item x="3710"/>
        <item x="1384"/>
        <item x="1159"/>
        <item x="2777"/>
        <item x="1225"/>
        <item x="4473"/>
        <item x="3751"/>
        <item x="1547"/>
        <item x="3377"/>
        <item x="1893"/>
        <item x="311"/>
        <item x="251"/>
        <item x="2076"/>
        <item x="755"/>
        <item x="1704"/>
        <item x="3542"/>
        <item x="3091"/>
        <item x="745"/>
        <item x="1645"/>
        <item x="3024"/>
        <item x="2274"/>
        <item x="4281"/>
        <item x="397"/>
        <item x="4398"/>
        <item x="3835"/>
        <item x="3059"/>
        <item x="4459"/>
        <item x="442"/>
        <item x="2851"/>
        <item x="1966"/>
        <item x="882"/>
        <item x="1261"/>
        <item x="591"/>
        <item x="3708"/>
        <item x="2077"/>
        <item x="1487"/>
        <item x="3732"/>
        <item x="1674"/>
        <item x="1885"/>
        <item x="2744"/>
        <item x="3548"/>
        <item x="1037"/>
        <item x="2184"/>
        <item x="343"/>
        <item x="211"/>
        <item x="969"/>
        <item x="3715"/>
        <item x="2675"/>
        <item x="522"/>
        <item x="2463"/>
        <item x="1076"/>
        <item x="3150"/>
        <item x="1789"/>
        <item x="54"/>
        <item x="3530"/>
        <item x="191"/>
        <item x="325"/>
        <item x="4296"/>
        <item x="3076"/>
        <item x="1455"/>
        <item x="142"/>
        <item x="2553"/>
        <item x="3378"/>
        <item x="3125"/>
        <item x="3152"/>
        <item x="4037"/>
        <item x="108"/>
        <item x="8"/>
        <item x="86"/>
        <item x="381"/>
        <item x="2432"/>
        <item x="1443"/>
        <item x="299"/>
        <item x="2259"/>
        <item x="794"/>
        <item x="88"/>
        <item x="4412"/>
        <item x="742"/>
        <item x="3313"/>
        <item x="3405"/>
        <item x="4034"/>
        <item x="3634"/>
        <item x="2611"/>
        <item x="922"/>
        <item x="2220"/>
        <item x="3664"/>
        <item x="1556"/>
        <item x="549"/>
        <item x="461"/>
        <item x="2983"/>
        <item x="2922"/>
        <item x="2654"/>
        <item x="2273"/>
        <item x="4486"/>
        <item x="1731"/>
        <item x="2444"/>
        <item x="1446"/>
        <item x="3723"/>
        <item x="398"/>
        <item x="1409"/>
        <item x="3747"/>
        <item x="1102"/>
        <item x="4175"/>
        <item x="2345"/>
        <item x="3261"/>
        <item x="3508"/>
        <item x="2401"/>
        <item x="1907"/>
        <item x="4260"/>
        <item x="3888"/>
        <item x="477"/>
        <item x="2529"/>
        <item x="1175"/>
        <item x="1489"/>
        <item x="68"/>
        <item x="2505"/>
        <item x="559"/>
        <item x="45"/>
        <item x="474"/>
        <item x="885"/>
        <item x="1072"/>
        <item x="686"/>
        <item x="996"/>
        <item x="1241"/>
        <item x="1800"/>
        <item x="4149"/>
        <item x="4075"/>
        <item x="2453"/>
        <item x="4211"/>
        <item x="57"/>
        <item x="3822"/>
        <item x="3079"/>
        <item x="3173"/>
        <item x="3088"/>
        <item x="3162"/>
        <item x="436"/>
        <item x="4059"/>
        <item x="2013"/>
        <item x="3717"/>
        <item x="4092"/>
        <item x="2651"/>
        <item x="1272"/>
        <item x="4315"/>
        <item x="1624"/>
        <item x="2422"/>
        <item x="1162"/>
        <item x="4477"/>
        <item x="2279"/>
        <item x="3347"/>
        <item x="3216"/>
        <item x="3431"/>
        <item x="1557"/>
        <item x="2492"/>
        <item x="2722"/>
        <item x="3692"/>
        <item x="337"/>
        <item x="4027"/>
        <item x="4300"/>
        <item x="1881"/>
        <item x="4484"/>
        <item x="2467"/>
        <item x="4466"/>
        <item x="454"/>
        <item x="330"/>
        <item x="907"/>
        <item x="4348"/>
        <item x="4170"/>
        <item x="1335"/>
        <item x="2278"/>
        <item x="1069"/>
        <item x="3890"/>
        <item x="4413"/>
        <item x="3699"/>
        <item x="982"/>
        <item x="2214"/>
        <item x="1380"/>
        <item x="3000"/>
        <item x="2912"/>
        <item x="626"/>
        <item x="2007"/>
        <item x="941"/>
        <item x="2160"/>
        <item x="3208"/>
        <item x="2237"/>
        <item x="3795"/>
        <item x="1428"/>
        <item x="2686"/>
        <item x="496"/>
        <item x="2891"/>
        <item x="1095"/>
        <item x="2034"/>
        <item x="764"/>
        <item x="4222"/>
        <item x="3028"/>
        <item x="457"/>
        <item x="2697"/>
        <item x="3556"/>
        <item x="2987"/>
        <item x="2057"/>
        <item x="2807"/>
        <item x="3619"/>
        <item x="4098"/>
        <item x="2719"/>
        <item x="208"/>
        <item x="2995"/>
        <item x="2520"/>
        <item x="1157"/>
        <item x="979"/>
        <item x="725"/>
        <item x="4248"/>
        <item x="3220"/>
        <item x="223"/>
        <item x="478"/>
        <item x="3436"/>
        <item x="1530"/>
        <item x="1449"/>
        <item x="3136"/>
        <item x="2575"/>
        <item x="669"/>
        <item x="2227"/>
        <item x="4114"/>
        <item x="1196"/>
        <item x="3077"/>
        <item x="2993"/>
        <item x="2952"/>
        <item x="2289"/>
        <item x="2595"/>
        <item x="3081"/>
        <item x="144"/>
        <item x="78"/>
        <item x="2462"/>
        <item x="303"/>
        <item x="1358"/>
        <item x="3300"/>
        <item x="41"/>
        <item x="3953"/>
        <item x="3251"/>
        <item x="4462"/>
        <item x="1435"/>
        <item x="1863"/>
        <item x="2727"/>
        <item x="1131"/>
        <item x="2533"/>
        <item x="651"/>
        <item x="1373"/>
        <item x="494"/>
        <item x="1288"/>
        <item x="4048"/>
        <item x="2716"/>
        <item x="2615"/>
        <item x="2823"/>
        <item x="1168"/>
        <item x="2561"/>
        <item x="3863"/>
        <item x="3412"/>
        <item x="1352"/>
        <item x="801"/>
        <item x="3857"/>
        <item x="1901"/>
        <item x="990"/>
        <item x="3470"/>
        <item x="1338"/>
        <item x="876"/>
        <item x="4372"/>
        <item x="3227"/>
        <item x="3826"/>
        <item x="2933"/>
        <item x="500"/>
        <item x="2821"/>
        <item x="4336"/>
        <item x="1208"/>
        <item x="2695"/>
        <item x="1491"/>
        <item x="3418"/>
        <item x="3424"/>
        <item x="1093"/>
        <item x="2517"/>
        <item x="3856"/>
        <item x="1617"/>
        <item x="260"/>
        <item x="1658"/>
        <item x="4303"/>
        <item x="3046"/>
        <item x="2588"/>
        <item x="1650"/>
        <item x="3785"/>
        <item x="3579"/>
        <item x="3413"/>
        <item x="2280"/>
        <item x="2112"/>
        <item x="3557"/>
        <item x="914"/>
        <item x="1083"/>
        <item x="227"/>
        <item x="4341"/>
        <item x="728"/>
        <item x="1488"/>
        <item x="2815"/>
        <item x="1982"/>
        <item x="1798"/>
        <item x="2174"/>
        <item x="798"/>
        <item x="4018"/>
        <item x="3332"/>
        <item x="1456"/>
        <item x="2120"/>
        <item x="656"/>
        <item x="354"/>
        <item x="1228"/>
        <item x="446"/>
        <item x="2954"/>
        <item x="603"/>
        <item x="2570"/>
        <item x="3561"/>
        <item x="2797"/>
        <item x="2163"/>
        <item x="4091"/>
        <item x="3058"/>
        <item x="4058"/>
        <item x="3002"/>
        <item x="1758"/>
        <item x="2774"/>
        <item x="1403"/>
        <item x="3004"/>
        <item x="3115"/>
        <item x="324"/>
        <item x="1801"/>
        <item x="2564"/>
        <item x="3236"/>
        <item x="2772"/>
        <item x="1591"/>
        <item x="272"/>
        <item x="1922"/>
        <item x="3130"/>
        <item x="4029"/>
        <item x="3923"/>
        <item x="1987"/>
        <item x="2093"/>
        <item x="1364"/>
        <item x="2632"/>
        <item x="2357"/>
        <item x="1780"/>
        <item x="2391"/>
        <item x="783"/>
        <item x="3655"/>
        <item x="1014"/>
        <item x="59"/>
        <item x="2511"/>
        <item x="640"/>
        <item x="544"/>
        <item x="561"/>
        <item x="1802"/>
        <item x="1367"/>
        <item x="3214"/>
        <item x="1852"/>
        <item x="348"/>
        <item x="1052"/>
        <item x="1667"/>
        <item x="471"/>
        <item x="4224"/>
        <item x="677"/>
        <item x="3486"/>
        <item x="2056"/>
        <item x="1569"/>
        <item x="1980"/>
        <item x="405"/>
        <item x="610"/>
        <item x="4197"/>
        <item x="641"/>
        <item x="204"/>
        <item x="3833"/>
        <item x="3552"/>
        <item x="573"/>
        <item x="3743"/>
        <item x="2978"/>
        <item x="2885"/>
        <item x="153"/>
        <item x="4053"/>
        <item x="2208"/>
        <item x="874"/>
        <item x="2457"/>
        <item x="2583"/>
        <item x="670"/>
        <item x="2360"/>
        <item x="873"/>
        <item x="1634"/>
        <item x="4419"/>
        <item x="829"/>
        <item x="438"/>
        <item x="917"/>
        <item x="3580"/>
        <item x="408"/>
        <item x="1703"/>
        <item x="3538"/>
        <item x="2974"/>
        <item x="2853"/>
        <item x="1515"/>
        <item x="4271"/>
        <item x="2095"/>
        <item x="3317"/>
        <item x="4383"/>
        <item x="685"/>
        <item x="4247"/>
        <item x="1606"/>
        <item x="4005"/>
        <item x="65"/>
        <item x="4186"/>
        <item x="1010"/>
        <item x="424"/>
        <item x="2649"/>
        <item x="1956"/>
        <item x="3379"/>
        <item x="3729"/>
        <item x="1046"/>
        <item x="1217"/>
        <item x="3520"/>
        <item x="2886"/>
        <item x="4436"/>
        <item x="3463"/>
        <item x="3955"/>
        <item x="2594"/>
        <item x="3696"/>
        <item x="1246"/>
        <item x="3139"/>
        <item x="503"/>
        <item x="3027"/>
        <item x="2094"/>
        <item x="3646"/>
        <item x="3080"/>
        <item x="4308"/>
        <item x="963"/>
        <item x="1618"/>
        <item x="3476"/>
        <item x="3903"/>
        <item x="181"/>
        <item x="1894"/>
        <item x="241"/>
        <item x="3560"/>
        <item x="1989"/>
        <item x="4307"/>
        <item x="3541"/>
        <item x="880"/>
        <item x="1937"/>
        <item x="2896"/>
        <item x="2276"/>
        <item x="1186"/>
        <item x="984"/>
        <item x="2574"/>
        <item x="933"/>
        <item x="2636"/>
        <item x="393"/>
        <item x="3738"/>
        <item x="4433"/>
        <item x="2605"/>
        <item x="992"/>
        <item x="3815"/>
        <item x="2785"/>
        <item x="1249"/>
        <item x="2041"/>
        <item x="2783"/>
        <item x="605"/>
        <item x="733"/>
        <item x="1116"/>
        <item x="1895"/>
        <item x="1875"/>
        <item x="3458"/>
        <item x="2287"/>
        <item x="3842"/>
        <item x="3972"/>
        <item x="2708"/>
        <item x="2900"/>
        <item x="2084"/>
        <item x="2236"/>
        <item x="2063"/>
        <item x="1655"/>
        <item x="310"/>
        <item x="526"/>
        <item x="2935"/>
        <item x="2769"/>
        <item x="675"/>
        <item x="358"/>
        <item x="1191"/>
        <item x="3604"/>
        <item x="3644"/>
        <item x="2149"/>
        <item x="889"/>
        <item x="3373"/>
        <item x="3404"/>
        <item x="1865"/>
        <item x="2911"/>
        <item x="4407"/>
        <item x="1633"/>
        <item x="3326"/>
        <item x="3062"/>
        <item x="811"/>
        <item x="1848"/>
        <item x="650"/>
        <item x="608"/>
        <item x="2350"/>
        <item x="2082"/>
        <item x="3402"/>
        <item x="4007"/>
        <item x="1477"/>
        <item x="4228"/>
        <item x="20"/>
        <item x="1035"/>
        <item x="2154"/>
        <item x="1012"/>
        <item x="3946"/>
        <item x="390"/>
        <item x="3155"/>
        <item x="588"/>
        <item x="2055"/>
        <item x="92"/>
        <item x="2268"/>
        <item x="243"/>
        <item x="447"/>
        <item x="4123"/>
        <item x="4131"/>
        <item x="3008"/>
        <item x="2202"/>
        <item x="4016"/>
        <item x="3045"/>
        <item x="2563"/>
        <item x="2213"/>
        <item x="1745"/>
        <item x="364"/>
        <item x="1524"/>
        <item x="4355"/>
        <item x="3396"/>
        <item x="2616"/>
        <item x="3019"/>
        <item x="1581"/>
        <item x="3741"/>
        <item x="1322"/>
        <item x="1903"/>
        <item x="2753"/>
        <item x="4249"/>
        <item x="266"/>
        <item x="2069"/>
        <item x="2910"/>
        <item x="3372"/>
        <item x="2523"/>
        <item x="1210"/>
        <item x="3806"/>
        <item x="1286"/>
        <item x="340"/>
        <item x="378"/>
        <item x="3605"/>
        <item x="2768"/>
        <item x="4172"/>
        <item x="2623"/>
        <item x="510"/>
        <item x="1226"/>
        <item x="956"/>
        <item x="3375"/>
        <item x="2431"/>
        <item x="270"/>
        <item x="3802"/>
        <item x="375"/>
        <item x="3441"/>
        <item x="4120"/>
        <item x="3167"/>
        <item x="1092"/>
        <item x="1357"/>
        <item x="382"/>
        <item x="2175"/>
        <item x="3055"/>
        <item x="3163"/>
        <item x="823"/>
        <item x="1271"/>
        <item x="2836"/>
        <item x="3727"/>
        <item x="2234"/>
        <item x="1155"/>
        <item x="55"/>
        <item x="4065"/>
        <item x="2332"/>
        <item x="1143"/>
        <item x="3360"/>
        <item x="2506"/>
        <item x="1917"/>
        <item x="4304"/>
        <item x="576"/>
        <item x="1955"/>
        <item x="2860"/>
        <item x="2394"/>
        <item x="17"/>
        <item x="3836"/>
        <item x="1925"/>
        <item x="1936"/>
        <item x="1080"/>
        <item x="3882"/>
        <item x="902"/>
        <item x="1968"/>
        <item x="3736"/>
        <item x="540"/>
        <item x="404"/>
        <item x="1049"/>
        <item x="1405"/>
        <item x="3199"/>
        <item x="853"/>
        <item x="2131"/>
        <item x="664"/>
        <item x="1824"/>
        <item x="1355"/>
        <item x="4339"/>
        <item x="3358"/>
        <item x="2106"/>
        <item x="3682"/>
        <item x="2946"/>
        <item x="3569"/>
        <item x="3678"/>
        <item x="2678"/>
        <item x="4259"/>
        <item x="647"/>
        <item x="786"/>
        <item x="286"/>
        <item x="1825"/>
        <item x="892"/>
        <item x="4379"/>
        <item x="3809"/>
        <item x="3839"/>
        <item x="2824"/>
        <item x="3893"/>
        <item x="2578"/>
        <item x="3207"/>
        <item x="891"/>
        <item x="177"/>
        <item x="1006"/>
        <item x="2015"/>
        <item x="1778"/>
        <item x="1646"/>
        <item x="1169"/>
        <item x="282"/>
        <item x="113"/>
        <item x="4306"/>
        <item x="806"/>
        <item x="2620"/>
        <item x="962"/>
        <item x="2812"/>
        <item x="2867"/>
        <item x="1124"/>
        <item x="4183"/>
        <item x="4217"/>
        <item x="1141"/>
        <item x="533"/>
        <item x="2169"/>
        <item x="295"/>
        <item x="3956"/>
        <item x="1643"/>
        <item x="3612"/>
        <item x="870"/>
        <item x="3401"/>
        <item x="2791"/>
        <item x="3924"/>
        <item x="1256"/>
        <item x="1905"/>
        <item x="1605"/>
        <item x="1105"/>
        <item x="648"/>
        <item x="2725"/>
        <item x="3262"/>
        <item x="2306"/>
        <item x="2436"/>
        <item x="3496"/>
        <item x="1675"/>
        <item x="1054"/>
        <item x="3875"/>
        <item x="422"/>
        <item x="4425"/>
        <item x="82"/>
        <item x="1516"/>
        <item x="3964"/>
        <item x="2210"/>
        <item x="3451"/>
        <item x="4073"/>
        <item x="1900"/>
        <item x="4040"/>
        <item x="4082"/>
        <item x="3406"/>
        <item x="1090"/>
        <item x="2648"/>
        <item x="2490"/>
        <item x="1417"/>
        <item x="4148"/>
        <item x="2685"/>
        <item x="2882"/>
        <item x="1695"/>
        <item x="2054"/>
        <item x="1303"/>
        <item x="538"/>
        <item x="3456"/>
        <item x="3085"/>
        <item x="2633"/>
        <item x="4416"/>
        <item x="1562"/>
        <item x="4424"/>
        <item x="2088"/>
        <item x="1253"/>
        <item x="1990"/>
        <item x="475"/>
        <item x="2568"/>
        <item x="2356"/>
        <item x="2327"/>
        <item x="1690"/>
        <item x="154"/>
        <item x="224"/>
        <item x="1656"/>
        <item x="0"/>
        <item x="3457"/>
        <item x="338"/>
        <item x="3550"/>
        <item x="1486"/>
        <item x="4084"/>
        <item x="2190"/>
        <item x="1418"/>
        <item x="1520"/>
        <item x="3998"/>
        <item x="3188"/>
        <item x="3987"/>
        <item x="2471"/>
        <item x="2528"/>
        <item x="1231"/>
        <item x="2390"/>
        <item x="1867"/>
        <item x="3549"/>
        <item x="2251"/>
        <item x="2108"/>
        <item x="4001"/>
        <item x="1873"/>
        <item x="3522"/>
        <item x="1608"/>
        <item x="3082"/>
        <item x="1165"/>
        <item x="4235"/>
        <item x="1911"/>
        <item x="168"/>
        <item x="87"/>
        <item x="1038"/>
        <item x="1594"/>
        <item x="1479"/>
        <item x="3687"/>
        <item x="1082"/>
        <item x="4209"/>
        <item x="3400"/>
        <item x="2736"/>
        <item x="308"/>
        <item x="851"/>
        <item x="2895"/>
        <item x="2325"/>
        <item x="883"/>
        <item x="3861"/>
        <item x="3616"/>
        <item x="972"/>
        <item x="3354"/>
        <item x="2096"/>
        <item x="2104"/>
        <item x="2080"/>
        <item x="2898"/>
        <item x="4036"/>
        <item x="3934"/>
        <item x="3676"/>
        <item x="925"/>
        <item x="1431"/>
        <item x="3626"/>
        <item x="4076"/>
        <item x="1995"/>
        <item x="2316"/>
        <item x="2656"/>
        <item x="128"/>
        <item x="3927"/>
        <item x="394"/>
        <item x="2799"/>
        <item x="2107"/>
        <item x="3"/>
        <item x="4072"/>
        <item x="3737"/>
        <item x="1628"/>
        <item x="3671"/>
        <item x="2609"/>
        <item x="3974"/>
        <item x="2001"/>
        <item x="2011"/>
        <item x="3661"/>
        <item x="1766"/>
        <item x="2515"/>
        <item x="1938"/>
        <item x="858"/>
        <item x="3526"/>
        <item x="3439"/>
        <item x="4200"/>
        <item x="3087"/>
        <item x="2047"/>
        <item x="3255"/>
        <item x="3965"/>
        <item x="2361"/>
        <item x="4068"/>
        <item x="2311"/>
        <item x="1986"/>
        <item x="871"/>
        <item x="2367"/>
        <item x="1245"/>
        <item x="2767"/>
        <item x="1910"/>
        <item x="3098"/>
        <item x="2949"/>
        <item x="37"/>
        <item x="2829"/>
        <item x="1823"/>
        <item x="4152"/>
        <item x="2187"/>
        <item x="774"/>
        <item x="3823"/>
        <item x="4019"/>
        <item x="1883"/>
        <item x="3775"/>
        <item x="4226"/>
        <item x="1661"/>
        <item x="1732"/>
        <item x="1149"/>
        <item x="434"/>
        <item x="1677"/>
        <item x="1410"/>
        <item x="2445"/>
        <item x="2683"/>
        <item x="4083"/>
        <item x="187"/>
        <item x="3499"/>
        <item x="1592"/>
        <item x="105"/>
        <item x="2302"/>
        <item x="1942"/>
        <item x="3932"/>
        <item x="2168"/>
        <item x="2382"/>
        <item x="13"/>
        <item x="776"/>
        <item x="1794"/>
        <item x="888"/>
        <item x="1275"/>
        <item x="2857"/>
        <item x="197"/>
        <item x="1949"/>
        <item x="2915"/>
        <item x="1603"/>
        <item x="2820"/>
        <item x="1978"/>
        <item x="1068"/>
        <item x="2468"/>
        <item x="509"/>
        <item x="3359"/>
        <item x="1057"/>
        <item x="895"/>
        <item x="636"/>
        <item x="366"/>
        <item x="1468"/>
        <item x="4356"/>
        <item x="439"/>
        <item x="4060"/>
        <item x="3798"/>
        <item x="2504"/>
        <item x="2143"/>
        <item x="3756"/>
        <item x="1951"/>
        <item x="3285"/>
        <item x="893"/>
        <item x="491"/>
        <item x="116"/>
        <item x="4151"/>
        <item x="4240"/>
        <item x="2889"/>
        <item x="110"/>
        <item x="2006"/>
        <item x="2782"/>
        <item x="1025"/>
        <item x="2718"/>
        <item x="1377"/>
        <item x="3654"/>
        <item x="1317"/>
        <item x="3740"/>
        <item x="1664"/>
        <item x="370"/>
        <item x="3511"/>
        <item x="1098"/>
        <item x="1931"/>
        <item x="2115"/>
        <item x="453"/>
        <item x="3792"/>
        <item x="289"/>
        <item x="66"/>
        <item x="867"/>
        <item x="2348"/>
        <item x="713"/>
        <item x="2177"/>
        <item x="323"/>
        <item x="3559"/>
        <item x="1340"/>
        <item x="417"/>
        <item x="3649"/>
        <item x="2916"/>
        <item x="72"/>
        <item x="1274"/>
        <item x="578"/>
        <item x="4264"/>
        <item x="4145"/>
        <item x="2751"/>
        <item x="4422"/>
        <item x="4167"/>
        <item x="2668"/>
        <item x="469"/>
        <item x="1424"/>
        <item x="3151"/>
        <item x="1518"/>
        <item x="3182"/>
        <item x="1930"/>
        <item x="2970"/>
        <item x="782"/>
        <item x="2941"/>
        <item x="318"/>
        <item x="632"/>
        <item x="2266"/>
        <item x="2212"/>
        <item x="218"/>
        <item x="659"/>
        <item x="2794"/>
        <item x="3959"/>
        <item x="1028"/>
        <item x="2945"/>
        <item x="3728"/>
        <item x="1906"/>
        <item x="2555"/>
        <item x="3453"/>
        <item x="732"/>
        <item x="1637"/>
        <item x="2012"/>
        <item x="2712"/>
        <item x="1567"/>
        <item x="2178"/>
        <item x="1464"/>
        <item x="3543"/>
        <item x="589"/>
        <item x="3073"/>
        <item x="2493"/>
        <item x="363"/>
        <item x="4325"/>
        <item x="3119"/>
        <item x="2123"/>
        <item x="3691"/>
        <item x="1845"/>
        <item x="623"/>
        <item x="3947"/>
        <item x="1067"/>
        <item x="2627"/>
        <item x="2934"/>
        <item x="4176"/>
        <item x="3387"/>
        <item x="3961"/>
        <item x="3978"/>
        <item x="719"/>
        <item x="1589"/>
        <item x="1864"/>
        <item x="3420"/>
        <item x="4408"/>
        <item x="2743"/>
        <item x="2480"/>
        <item x="1807"/>
        <item x="380"/>
        <item x="1395"/>
        <item x="4347"/>
        <item x="1187"/>
        <item x="232"/>
        <item x="3291"/>
        <item x="4105"/>
        <item x="4038"/>
        <item x="3624"/>
        <item x="1747"/>
        <item x="3615"/>
        <item x="418"/>
        <item x="537"/>
        <item x="1130"/>
        <item x="2547"/>
        <item x="3269"/>
        <item x="3128"/>
        <item x="423"/>
        <item x="991"/>
        <item x="723"/>
        <item x="1921"/>
        <item x="2808"/>
        <item x="482"/>
        <item x="1414"/>
        <item x="2185"/>
        <item x="1101"/>
        <item x="676"/>
        <item x="7"/>
        <item x="1711"/>
        <item x="2559"/>
        <item x="215"/>
        <item x="2283"/>
        <item x="3389"/>
        <item x="1914"/>
        <item x="3913"/>
        <item x="1147"/>
        <item x="2430"/>
        <item x="4213"/>
        <item x="579"/>
        <item x="3266"/>
        <item x="2045"/>
        <item x="377"/>
        <item x="2939"/>
        <item x="635"/>
        <item x="3242"/>
        <item x="1383"/>
        <item x="73"/>
        <item x="1136"/>
        <item x="2522"/>
        <item x="3204"/>
        <item x="2973"/>
        <item x="803"/>
        <item x="519"/>
        <item x="2597"/>
        <item x="777"/>
        <item x="4043"/>
        <item x="2699"/>
        <item x="1751"/>
        <item x="3851"/>
        <item x="2434"/>
        <item x="1768"/>
        <item x="770"/>
        <item x="287"/>
        <item x="472"/>
        <item x="2189"/>
        <item x="1545"/>
        <item x="384"/>
        <item x="552"/>
        <item x="1194"/>
        <item x="369"/>
        <item x="1627"/>
        <item x="791"/>
        <item x="1043"/>
        <item x="2427"/>
        <item x="3328"/>
        <item x="3873"/>
        <item x="2254"/>
        <item x="2587"/>
        <item x="3662"/>
        <item x="1411"/>
        <item x="3305"/>
        <item x="850"/>
        <item x="1390"/>
        <item x="1262"/>
        <item x="1841"/>
        <item x="4189"/>
        <item x="129"/>
        <item x="1198"/>
        <item x="89"/>
        <item x="4070"/>
        <item x="3403"/>
        <item x="1063"/>
        <item x="3239"/>
        <item x="2410"/>
        <item x="483"/>
        <item x="2395"/>
        <item x="3450"/>
        <item x="2874"/>
        <item x="712"/>
        <item x="4135"/>
        <item x="4268"/>
        <item x="2368"/>
        <item x="3954"/>
        <item x="3700"/>
        <item x="1299"/>
        <item x="3185"/>
        <item x="790"/>
        <item x="3039"/>
        <item x="1329"/>
        <item x="2786"/>
        <item x="2624"/>
        <item x="3250"/>
        <item x="4305"/>
        <item x="3231"/>
        <item x="2286"/>
        <item x="1698"/>
        <item x="1616"/>
        <item x="3539"/>
        <item x="1596"/>
        <item x="4358"/>
        <item x="652"/>
        <item x="800"/>
        <item x="912"/>
        <item x="2925"/>
        <item x="1856"/>
        <item x="4122"/>
        <item x="4237"/>
        <item x="2110"/>
        <item x="180"/>
        <item x="1328"/>
        <item x="3368"/>
        <item x="2926"/>
        <item x="3142"/>
        <item x="4011"/>
        <item x="1220"/>
        <item x="1128"/>
        <item x="3975"/>
        <item x="518"/>
        <item x="841"/>
        <item x="4280"/>
        <item x="2192"/>
        <item x="2584"/>
        <item x="2550"/>
        <item x="545"/>
        <item x="532"/>
        <item x="1504"/>
        <item x="593"/>
        <item x="4"/>
        <item x="4275"/>
        <item x="3223"/>
        <item x="3422"/>
        <item x="565"/>
        <item x="225"/>
        <item x="1470"/>
        <item x="1979"/>
        <item x="1540"/>
        <item x="4069"/>
        <item x="2992"/>
        <item x="1023"/>
        <item x="4287"/>
        <item x="757"/>
        <item x="1954"/>
        <item x="411"/>
        <item x="671"/>
        <item x="3218"/>
        <item x="630"/>
        <item x="1436"/>
        <item x="4252"/>
        <item x="1066"/>
        <item x="1039"/>
        <item x="2778"/>
        <item x="1053"/>
        <item x="3230"/>
        <item x="658"/>
        <item x="3514"/>
        <item x="662"/>
        <item x="3274"/>
        <item x="1267"/>
        <item x="1620"/>
        <item x="1575"/>
        <item x="759"/>
        <item x="3103"/>
        <item x="1679"/>
        <item x="3493"/>
        <item x="3878"/>
        <item x="511"/>
        <item x="3824"/>
        <item x="3597"/>
        <item x="100"/>
        <item x="611"/>
        <item x="3068"/>
        <item x="4319"/>
        <item x="1746"/>
        <item x="4063"/>
        <item x="903"/>
        <item x="1498"/>
        <item x="1499"/>
        <item x="2037"/>
        <item x="355"/>
        <item x="2741"/>
        <item x="2689"/>
        <item x="236"/>
        <item x="2016"/>
        <item x="192"/>
        <item x="4368"/>
        <item x="1115"/>
        <item x="2150"/>
        <item x="2554"/>
        <item x="999"/>
        <item x="333"/>
        <item x="3713"/>
        <item x="2334"/>
        <item x="2032"/>
        <item x="3801"/>
        <item x="2558"/>
        <item x="3205"/>
        <item x="3788"/>
        <item x="205"/>
        <item x="14"/>
        <item x="3770"/>
        <item x="553"/>
        <item x="1764"/>
        <item x="3523"/>
        <item x="758"/>
        <item x="3030"/>
        <item x="703"/>
        <item x="3668"/>
        <item x="173"/>
        <item x="1726"/>
        <item x="1422"/>
        <item x="3944"/>
        <item x="3084"/>
        <item x="1362"/>
        <item x="4373"/>
        <item x="346"/>
        <item x="1250"/>
        <item x="3791"/>
        <item x="2328"/>
        <item x="2051"/>
        <item x="3724"/>
        <item x="1407"/>
        <item x="3899"/>
        <item x="3850"/>
        <item x="1554"/>
        <item x="1790"/>
        <item x="495"/>
        <item x="2762"/>
        <item x="580"/>
        <item x="2374"/>
        <item x="3582"/>
        <item x="3854"/>
        <item x="1161"/>
        <item x="645"/>
        <item x="3050"/>
        <item x="1984"/>
        <item x="2566"/>
        <item x="4456"/>
        <item x="3210"/>
        <item x="980"/>
        <item x="1850"/>
        <item x="684"/>
        <item x="2525"/>
        <item x="1673"/>
        <item x="3656"/>
        <item x="1264"/>
        <item x="1762"/>
        <item x="785"/>
        <item x="254"/>
        <item x="463"/>
        <item x="1870"/>
        <item x="288"/>
        <item x="572"/>
        <item x="1279"/>
        <item x="123"/>
        <item x="1993"/>
        <item x="2074"/>
        <item x="1849"/>
        <item x="448"/>
        <item x="4302"/>
        <item x="1622"/>
        <item x="1742"/>
        <item x="3630"/>
        <item x="2039"/>
        <item x="2641"/>
        <item x="319"/>
        <item x="3421"/>
        <item x="2998"/>
        <item x="4255"/>
        <item x="3663"/>
        <item x="1860"/>
        <item x="3334"/>
        <item x="981"/>
        <item x="527"/>
        <item x="1292"/>
        <item x="3876"/>
        <item x="2291"/>
        <item x="3465"/>
        <item x="1916"/>
        <item x="3083"/>
        <item x="1977"/>
        <item x="3209"/>
        <item x="1022"/>
        <item x="1368"/>
        <item x="4085"/>
        <item x="4426"/>
        <item x="4284"/>
        <item x="2503"/>
        <item x="3319"/>
        <item x="4013"/>
        <item x="2079"/>
        <item x="2947"/>
        <item x="3238"/>
        <item x="62"/>
        <item x="4263"/>
        <item x="3918"/>
        <item x="1385"/>
        <item x="40"/>
        <item x="3941"/>
        <item x="4362"/>
        <item x="4125"/>
        <item x="4335"/>
        <item x="1500"/>
        <item x="1420"/>
        <item x="2906"/>
        <item x="2921"/>
        <item x="4081"/>
        <item x="1281"/>
        <item x="416"/>
        <item x="1920"/>
        <item x="1393"/>
        <item x="2700"/>
        <item x="3853"/>
        <item x="3023"/>
        <item x="278"/>
        <item x="3811"/>
        <item x="1706"/>
        <item x="125"/>
        <item x="2305"/>
        <item x="3430"/>
        <item x="2495"/>
        <item x="3746"/>
        <item x="4008"/>
        <item x="2486"/>
        <item x="1615"/>
        <item x="1804"/>
        <item x="2994"/>
        <item x="2162"/>
        <item x="958"/>
        <item x="2749"/>
        <item x="1099"/>
        <item x="1097"/>
        <item x="2775"/>
        <item x="4062"/>
        <item x="1017"/>
        <item x="2613"/>
        <item x="285"/>
        <item x="621"/>
        <item x="70"/>
        <item x="80"/>
        <item x="2647"/>
        <item x="269"/>
        <item x="2165"/>
        <item x="617"/>
        <item x="4214"/>
        <item x="60"/>
        <item x="2825"/>
        <item x="1693"/>
        <item x="493"/>
        <item x="3707"/>
        <item x="2710"/>
        <item x="2969"/>
        <item x="1927"/>
        <item x="1440"/>
        <item x="4127"/>
        <item x="2166"/>
        <item x="3196"/>
        <item x="3519"/>
        <item x="56"/>
        <item x="705"/>
        <item x="3515"/>
        <item x="4212"/>
        <item x="4171"/>
        <item x="2221"/>
        <item x="2642"/>
        <item x="1160"/>
        <item x="661"/>
        <item x="2216"/>
        <item x="1211"/>
        <item x="3983"/>
        <item x="4010"/>
        <item x="4204"/>
        <item x="3143"/>
        <item x="3197"/>
        <item x="3283"/>
        <item x="2404"/>
        <item x="291"/>
        <item x="3721"/>
        <item x="2764"/>
        <item x="1763"/>
        <item x="1145"/>
        <item x="694"/>
        <item x="1127"/>
        <item x="157"/>
        <item x="637"/>
        <item x="4402"/>
        <item x="1150"/>
        <item x="4006"/>
        <item x="4064"/>
        <item x="4414"/>
        <item x="3544"/>
        <item x="534"/>
        <item x="3258"/>
        <item x="948"/>
        <item x="1448"/>
        <item x="2957"/>
        <item x="3434"/>
        <item x="516"/>
        <item x="2408"/>
        <item x="590"/>
        <item x="894"/>
        <item x="2215"/>
        <item x="612"/>
        <item x="3897"/>
        <item x="1813"/>
        <item x="3293"/>
        <item x="3817"/>
        <item x="2127"/>
        <item x="2249"/>
        <item x="4074"/>
        <item x="2531"/>
        <item x="2536"/>
        <item x="3645"/>
        <item x="1096"/>
        <item x="660"/>
        <item x="3584"/>
        <item x="3454"/>
        <item x="1060"/>
        <item x="4101"/>
        <item x="419"/>
        <item x="170"/>
        <item x="3803"/>
        <item x="1687"/>
        <item x="4262"/>
        <item x="700"/>
        <item x="3507"/>
        <item x="2930"/>
        <item x="952"/>
        <item x="2211"/>
        <item x="3294"/>
        <item x="1129"/>
        <item x="2349"/>
        <item x="1248"/>
        <item x="1782"/>
        <item x="863"/>
        <item x="1527"/>
        <item x="1830"/>
        <item x="1408"/>
        <item x="2868"/>
        <item x="1466"/>
        <item x="1598"/>
        <item x="4137"/>
        <item x="2908"/>
        <item x="2373"/>
        <item x="4115"/>
        <item x="3189"/>
        <item x="2026"/>
        <item x="138"/>
        <item x="2205"/>
        <item x="3904"/>
        <item x="1709"/>
        <item x="3629"/>
        <item x="2005"/>
        <item x="71"/>
        <item x="3186"/>
        <item x="3370"/>
        <item x="2989"/>
        <item x="856"/>
        <item x="3171"/>
        <item x="570"/>
        <item x="2324"/>
        <item x="1531"/>
        <item x="932"/>
        <item x="3174"/>
        <item x="554"/>
        <item x="2839"/>
        <item x="2875"/>
        <item x="2009"/>
        <item x="1899"/>
        <item x="1945"/>
        <item x="1207"/>
        <item x="4282"/>
        <item x="3527"/>
        <item x="699"/>
        <item x="2962"/>
        <item x="2459"/>
        <item x="2871"/>
        <item x="2377"/>
        <item x="1735"/>
        <item x="3123"/>
        <item x="995"/>
        <item x="2257"/>
        <item x="2940"/>
        <item x="3126"/>
        <item x="4108"/>
        <item x="1234"/>
        <item x="1235"/>
        <item x="4318"/>
        <item x="3114"/>
        <item x="2105"/>
        <item x="167"/>
        <item x="4417"/>
        <item x="1304"/>
        <item x="2739"/>
        <item x="3657"/>
        <item x="2707"/>
        <item x="488"/>
        <item x="2201"/>
        <item x="2879"/>
        <item x="3016"/>
        <item x="628"/>
        <item x="3684"/>
        <item x="313"/>
        <item x="3784"/>
        <item x="3013"/>
        <item x="2676"/>
        <item x="252"/>
        <item x="3601"/>
        <item x="131"/>
        <item x="3585"/>
        <item x="4109"/>
        <item x="219"/>
        <item x="3631"/>
        <item x="4334"/>
        <item x="911"/>
        <item x="1140"/>
        <item x="1334"/>
        <item x="4112"/>
        <item x="3950"/>
        <item x="955"/>
        <item x="3212"/>
        <item x="501"/>
        <item x="724"/>
        <item x="3711"/>
        <item x="4153"/>
        <item x="2956"/>
        <item x="2317"/>
        <item x="357"/>
        <item x="3355"/>
        <item x="1533"/>
        <item x="4206"/>
        <item x="2172"/>
        <item x="3310"/>
        <item x="452"/>
        <item x="1820"/>
        <item x="2899"/>
        <item x="1268"/>
        <item x="1289"/>
        <item x="3190"/>
        <item x="1756"/>
        <item x="615"/>
        <item x="3841"/>
        <item x="1705"/>
        <item x="1697"/>
        <item x="704"/>
        <item x="2655"/>
        <item x="4324"/>
        <item x="1024"/>
        <item x="1201"/>
        <item x="3804"/>
        <item x="2309"/>
        <item x="1212"/>
        <item x="3495"/>
        <item x="508"/>
        <item x="3086"/>
        <item x="1512"/>
        <item x="1792"/>
        <item x="240"/>
        <item x="3968"/>
        <item x="4052"/>
        <item x="69"/>
        <item x="4265"/>
        <item x="2822"/>
        <item x="1480"/>
        <item x="3160"/>
        <item x="2451"/>
        <item x="507"/>
        <item x="3517"/>
        <item x="1913"/>
        <item x="1031"/>
        <item x="1020"/>
        <item x="1897"/>
        <item x="1946"/>
        <item x="4147"/>
        <item x="2469"/>
        <item x="1976"/>
        <item x="683"/>
        <item x="1669"/>
        <item x="1550"/>
        <item x="3362"/>
        <item x="4274"/>
        <item x="201"/>
        <item x="34"/>
        <item x="1492"/>
        <item x="3433"/>
        <item x="335"/>
        <item x="796"/>
        <item x="4458"/>
        <item x="3669"/>
        <item x="2501"/>
        <item x="2766"/>
        <item x="3881"/>
        <item x="4283"/>
        <item x="2663"/>
        <item x="2042"/>
        <item x="4002"/>
        <item x="1219"/>
        <item x="2002"/>
        <item x="1177"/>
        <item x="3096"/>
        <item x="1604"/>
        <item x="3307"/>
        <item x="569"/>
        <item x="3667"/>
        <item x="816"/>
        <item x="599"/>
        <item x="3435"/>
        <item x="3714"/>
        <item x="3361"/>
        <item x="1026"/>
        <item x="3980"/>
        <item x="97"/>
        <item x="2335"/>
        <item x="4223"/>
        <item x="2440"/>
        <item x="1944"/>
        <item x="3695"/>
        <item x="1391"/>
        <item x="4475"/>
        <item x="221"/>
        <item x="3810"/>
        <item x="1277"/>
        <item x="23"/>
        <item x="4140"/>
        <item x="3109"/>
        <item x="1866"/>
        <item x="258"/>
        <item x="145"/>
        <item x="4454"/>
        <item x="3466"/>
        <item x="2735"/>
        <item x="3985"/>
        <item x="2659"/>
        <item x="3689"/>
        <item x="4207"/>
        <item x="2397"/>
        <item x="2222"/>
        <item x="710"/>
        <item x="1239"/>
        <item x="2927"/>
        <item x="4418"/>
        <item x="3228"/>
        <item x="1817"/>
        <item x="1164"/>
        <item x="4289"/>
        <item x="2932"/>
        <item x="3641"/>
        <item x="1734"/>
        <item x="3282"/>
        <item x="264"/>
        <item x="490"/>
        <item x="3622"/>
        <item x="2141"/>
        <item x="1337"/>
        <item x="3106"/>
        <item x="2224"/>
        <item x="535"/>
        <item x="2304"/>
        <item x="763"/>
        <item x="749"/>
        <item x="4333"/>
        <item x="3952"/>
        <item x="4090"/>
        <item x="3339"/>
        <item x="3494"/>
        <item x="3761"/>
        <item x="3246"/>
        <item x="1760"/>
        <item x="2789"/>
        <item x="2500"/>
        <item x="3407"/>
        <item x="2878"/>
        <item x="1662"/>
        <item x="4403"/>
        <item x="1761"/>
        <item x="860"/>
        <item x="2389"/>
        <item x="3996"/>
        <item x="2519"/>
        <item x="3338"/>
        <item x="606"/>
        <item x="631"/>
        <item x="3020"/>
        <item x="1206"/>
        <item x="2603"/>
        <item x="1638"/>
        <item x="2022"/>
        <item x="3577"/>
        <item x="1833"/>
        <item x="3051"/>
        <item x="1892"/>
        <item x="1503"/>
        <item x="2770"/>
        <item x="184"/>
        <item x="3286"/>
        <item x="2450"/>
        <item x="1419"/>
        <item x="2483"/>
        <item x="126"/>
        <item x="625"/>
        <item x="1720"/>
        <item x="2884"/>
        <item x="3365"/>
        <item x="1828"/>
        <item x="121"/>
        <item x="163"/>
        <item x="183"/>
        <item x="1033"/>
        <item x="4461"/>
        <item x="1349"/>
        <item x="2477"/>
        <item x="2843"/>
        <item x="3391"/>
        <item x="2959"/>
        <item x="4420"/>
        <item x="2239"/>
        <item x="2024"/>
        <item x="3122"/>
        <item x="714"/>
        <item x="3327"/>
        <item x="4432"/>
        <item x="3670"/>
        <item x="934"/>
        <item x="1988"/>
        <item x="970"/>
        <item x="1898"/>
        <item x="2298"/>
        <item x="1490"/>
        <item x="2326"/>
        <item x="1915"/>
        <item x="1774"/>
        <item x="3481"/>
        <item x="1928"/>
        <item x="281"/>
        <item x="3967"/>
        <item x="1829"/>
        <item x="2988"/>
        <item x="2883"/>
        <item x="939"/>
        <item x="275"/>
        <item x="1224"/>
        <item x="3268"/>
        <item x="1007"/>
        <item x="3505"/>
        <item x="315"/>
        <item x="279"/>
        <item x="2733"/>
        <item x="771"/>
        <item x="3353"/>
        <item x="4467"/>
        <item x="190"/>
        <item x="3120"/>
        <item x="1495"/>
        <item x="1404"/>
        <item x="1517"/>
        <item x="3054"/>
        <item x="206"/>
        <item x="1832"/>
        <item x="2258"/>
        <item x="2193"/>
        <item x="2180"/>
        <item x="427"/>
        <item x="3781"/>
        <item x="928"/>
        <item x="4388"/>
        <item x="2734"/>
        <item x="2347"/>
        <item x="4158"/>
        <item x="2423"/>
        <item x="2320"/>
        <item x="1676"/>
        <item x="1459"/>
        <item x="4439"/>
        <item x="4330"/>
        <item x="280"/>
        <item x="525"/>
        <item x="1640"/>
        <item x="4292"/>
        <item x="4350"/>
        <item x="2365"/>
        <item x="2194"/>
        <item x="619"/>
        <item x="3078"/>
        <item x="986"/>
        <item x="239"/>
        <item x="3215"/>
        <item x="614"/>
        <item x="944"/>
        <item x="322"/>
        <item x="2122"/>
        <item x="1587"/>
        <item x="217"/>
        <item x="4363"/>
        <item x="1293"/>
        <item x="2366"/>
        <item x="966"/>
        <item x="2068"/>
        <item x="3017"/>
        <item x="698"/>
        <item x="1421"/>
        <item x="4382"/>
        <item x="98"/>
        <item x="3726"/>
        <item x="2924"/>
        <item x="2681"/>
        <item x="1819"/>
        <item x="2409"/>
        <item x="4354"/>
        <item x="481"/>
        <item x="541"/>
        <item x="3097"/>
        <item x="3628"/>
        <item x="2243"/>
        <item x="4032"/>
        <item x="3158"/>
        <item x="604"/>
        <item x="3166"/>
        <item x="443"/>
        <item x="2919"/>
        <item x="1757"/>
        <item x="169"/>
        <item x="1276"/>
        <item x="1003"/>
        <item x="506"/>
        <item x="3426"/>
        <item x="1861"/>
        <item x="906"/>
        <item x="360"/>
        <item x="3049"/>
        <item x="2132"/>
        <item x="1890"/>
        <item x="2113"/>
        <item x="1218"/>
        <item x="775"/>
        <item x="2102"/>
        <item x="4353"/>
        <item x="3063"/>
        <item x="1118"/>
        <item x="3038"/>
        <item x="212"/>
        <item x="4469"/>
        <item x="1055"/>
        <item x="2253"/>
        <item x="2518"/>
        <item x="2238"/>
        <item x="467"/>
        <item x="2542"/>
        <item x="3037"/>
        <item x="2346"/>
        <item x="4369"/>
        <item x="920"/>
        <item x="2742"/>
        <item x="1961"/>
        <item x="708"/>
        <item x="1631"/>
        <item x="3846"/>
        <item x="4298"/>
        <item x="1985"/>
        <item x="4236"/>
        <item x="1701"/>
        <item x="4100"/>
        <item x="3357"/>
        <item x="3070"/>
        <item x="476"/>
        <item x="2403"/>
        <item x="1471"/>
        <item x="736"/>
        <item x="1251"/>
        <item x="1119"/>
        <item x="2711"/>
        <item x="1770"/>
        <item x="3138"/>
        <item x="2386"/>
        <item x="4441"/>
        <item x="2179"/>
        <item x="607"/>
        <item x="2581"/>
        <item x="3232"/>
        <item x="3859"/>
        <item x="566"/>
        <item x="596"/>
        <item x="1327"/>
        <item x="430"/>
        <item x="4119"/>
        <item x="2285"/>
        <item x="1305"/>
        <item x="3012"/>
        <item x="3107"/>
        <item x="4297"/>
        <item x="1808"/>
        <item x="1004"/>
        <item x="3525"/>
        <item x="2835"/>
        <item x="2442"/>
        <item x="809"/>
        <item x="2157"/>
        <item x="4267"/>
        <item x="2701"/>
        <item x="4138"/>
        <item x="3229"/>
        <item x="388"/>
        <item x="4087"/>
        <item x="2489"/>
        <item x="103"/>
        <item x="2618"/>
        <item x="3735"/>
        <item x="1134"/>
        <item x="3047"/>
        <item x="1059"/>
        <item x="1862"/>
        <item x="130"/>
        <item x="2352"/>
        <item x="2049"/>
        <item x="79"/>
        <item x="1009"/>
        <item x="3061"/>
        <item x="420"/>
        <item x="2065"/>
        <item x="2256"/>
        <item x="2556"/>
        <item x="2598"/>
        <item x="4291"/>
        <item x="165"/>
        <item x="3318"/>
        <item x="1294"/>
        <item x="4128"/>
        <item x="4460"/>
        <item x="2319"/>
        <item x="1142"/>
        <item x="1313"/>
        <item x="99"/>
        <item x="4375"/>
        <item x="124"/>
        <item x="575"/>
        <item x="1048"/>
        <item x="2961"/>
        <item x="1016"/>
        <item x="1721"/>
        <item x="1904"/>
        <item x="2262"/>
        <item x="3113"/>
        <item x="4142"/>
        <item x="4293"/>
        <item x="2960"/>
        <item x="3198"/>
        <item x="2428"/>
        <item x="964"/>
        <item x="1151"/>
        <item x="2318"/>
        <item x="1454"/>
        <item x="618"/>
        <item x="3309"/>
        <item x="3940"/>
        <item x="2067"/>
        <item x="773"/>
        <item x="3443"/>
        <item x="2937"/>
        <item x="4245"/>
        <item x="1452"/>
        <item x="4103"/>
        <item x="3753"/>
        <item x="3712"/>
        <item x="445"/>
        <item x="2229"/>
        <item x="4243"/>
        <item x="1577"/>
        <item x="2412"/>
        <item x="297"/>
        <item x="584"/>
        <item x="2706"/>
        <item x="4359"/>
        <item x="2617"/>
        <item x="4447"/>
        <item x="2053"/>
        <item x="4380"/>
        <item x="818"/>
        <item x="1600"/>
        <item x="2061"/>
        <item x="2130"/>
        <item x="715"/>
        <item x="3323"/>
        <item x="1991"/>
        <item x="1252"/>
        <item x="2576"/>
        <item x="4229"/>
        <item x="2003"/>
        <item x="822"/>
        <item x="3567"/>
        <item x="3367"/>
        <item x="1497"/>
        <item x="936"/>
        <item x="557"/>
        <item x="3984"/>
        <item x="2991"/>
        <item x="1971"/>
        <item x="336"/>
        <item x="1075"/>
        <item x="4437"/>
        <item x="2866"/>
        <item x="1882"/>
        <item x="1663"/>
        <item x="3164"/>
        <item x="1348"/>
        <item x="1755"/>
        <item x="4078"/>
        <item x="316"/>
        <item x="2512"/>
        <item x="3483"/>
        <item x="4035"/>
        <item x="1924"/>
        <item x="2293"/>
        <item x="2931"/>
        <item x="4180"/>
        <item x="4320"/>
        <item x="4202"/>
        <item x="4190"/>
        <item x="3170"/>
        <item x="815"/>
        <item x="4327"/>
        <item x="2036"/>
        <item x="4470"/>
        <item x="3545"/>
        <item x="1087"/>
        <item x="1713"/>
        <item x="3296"/>
        <item x="2242"/>
        <item x="3578"/>
        <item x="3787"/>
        <item x="2814"/>
        <item x="2795"/>
        <item x="3352"/>
        <item x="929"/>
        <item x="2393"/>
        <item x="665"/>
        <item x="3475"/>
        <item x="2580"/>
        <item x="3035"/>
        <item x="1283"/>
        <item x="176"/>
        <item x="210"/>
        <item x="96"/>
        <item x="1541"/>
        <item x="1858"/>
        <item x="1719"/>
        <item x="3653"/>
        <item x="808"/>
        <item x="4156"/>
        <item x="1523"/>
        <item x="3386"/>
        <item x="368"/>
        <item x="4241"/>
        <item x="3480"/>
        <item x="468"/>
        <item x="1172"/>
        <item x="1822"/>
        <item x="2763"/>
        <item x="367"/>
        <item x="3988"/>
        <item x="1749"/>
        <item x="821"/>
        <item x="3509"/>
        <item x="81"/>
        <item x="2402"/>
        <item x="3895"/>
        <item x="2281"/>
        <item x="1588"/>
        <item x="3329"/>
        <item x="2129"/>
        <item x="2596"/>
        <item x="1827"/>
        <item x="1342"/>
        <item x="3442"/>
        <item x="1236"/>
        <item x="1878"/>
        <item x="2226"/>
        <item x="2630"/>
        <item x="3006"/>
        <item x="1752"/>
        <item x="1179"/>
        <item x="4332"/>
        <item x="539"/>
        <item x="4096"/>
        <item x="834"/>
        <item x="341"/>
        <item x="3623"/>
        <item x="2"/>
        <item x="523"/>
        <item x="3848"/>
        <item x="2272"/>
        <item x="4395"/>
        <item x="531"/>
        <item x="451"/>
        <item x="4405"/>
        <item x="4232"/>
        <item x="2090"/>
        <item x="678"/>
        <item x="3303"/>
        <item x="3821"/>
        <item x="2951"/>
        <item x="1323"/>
        <item x="77"/>
        <item x="4390"/>
        <item x="2914"/>
        <item x="2877"/>
        <item x="935"/>
        <item x="2117"/>
        <item x="3249"/>
        <item x="1779"/>
        <item x="2551"/>
        <item x="3264"/>
        <item x="3090"/>
        <item x="3608"/>
        <item x="542"/>
        <item x="957"/>
        <item x="139"/>
        <item x="3757"/>
        <item x="4061"/>
        <item x="1356"/>
        <item x="284"/>
        <item x="3796"/>
        <item x="399"/>
        <item x="1453"/>
        <item x="2060"/>
        <item x="3141"/>
        <item x="1433"/>
        <item x="2592"/>
        <item x="2907"/>
        <item x="1539"/>
        <item x="3606"/>
        <item x="741"/>
        <item x="3763"/>
        <item x="1462"/>
        <item x="2530"/>
        <item x="2240"/>
        <item x="1929"/>
        <item x="3834"/>
        <item x="1344"/>
        <item x="1062"/>
        <item x="3963"/>
        <item x="396"/>
        <item x="4328"/>
        <item x="1111"/>
        <item x="3872"/>
        <item x="1887"/>
        <item x="3767"/>
        <item x="2802"/>
        <item x="734"/>
        <item x="51"/>
        <item x="2658"/>
        <item x="726"/>
        <item x="560"/>
        <item x="2800"/>
        <item x="3092"/>
        <item x="2679"/>
        <item x="3001"/>
        <item x="512"/>
        <item x="2028"/>
        <item x="235"/>
        <item x="2606"/>
        <item x="1266"/>
        <item x="3057"/>
        <item x="3652"/>
        <item x="1821"/>
        <item x="4050"/>
        <item x="830"/>
        <item x="2218"/>
        <item x="1183"/>
        <item x="3484"/>
        <item x="1193"/>
        <item x="879"/>
        <item x="3976"/>
        <item x="2943"/>
        <item x="666"/>
        <item x="3245"/>
        <item x="1339"/>
        <item x="2560"/>
        <item x="1692"/>
        <item x="3021"/>
        <item x="4201"/>
        <item x="689"/>
        <item x="1649"/>
        <item x="2487"/>
        <item x="3154"/>
        <item x="3240"/>
        <item x="787"/>
        <item x="916"/>
        <item x="4352"/>
        <item x="2684"/>
        <item x="1047"/>
        <item x="2756"/>
        <item x="743"/>
        <item x="3033"/>
        <item x="1997"/>
        <item x="4427"/>
        <item x="489"/>
        <item x="1476"/>
        <item x="1132"/>
        <item x="2337"/>
        <item x="1888"/>
        <item x="2870"/>
        <item x="127"/>
        <item x="3739"/>
        <item x="3278"/>
        <item x="3168"/>
        <item x="4134"/>
        <item x="2929"/>
        <item x="2634"/>
        <item x="898"/>
        <item x="1999"/>
        <item x="2378"/>
        <item x="1144"/>
        <item x="2755"/>
        <item x="3259"/>
        <item x="1485"/>
        <item x="237"/>
        <item x="2010"/>
        <item x="2671"/>
        <item x="2672"/>
        <item x="2771"/>
        <item x="697"/>
        <item x="2612"/>
        <item x="1699"/>
        <item x="410"/>
        <item x="2747"/>
        <item x="2206"/>
        <item x="3260"/>
        <item x="383"/>
        <item x="1084"/>
        <item x="2411"/>
        <item x="312"/>
        <item x="1836"/>
        <item x="1957"/>
        <item x="1874"/>
        <item x="2089"/>
        <item x="2282"/>
        <item x="2342"/>
        <item x="2865"/>
        <item x="2832"/>
        <item x="2965"/>
        <item x="2250"/>
        <item x="2294"/>
        <item x="296"/>
        <item x="3553"/>
        <item x="4144"/>
        <item x="2023"/>
        <item x="804"/>
        <item x="4455"/>
        <item x="277"/>
        <item x="2199"/>
        <item x="3448"/>
        <item x="1203"/>
        <item x="222"/>
        <item x="3635"/>
        <item x="1306"/>
        <item x="2379"/>
        <item x="4097"/>
        <item x="4227"/>
        <item x="4104"/>
        <item x="1426"/>
        <item x="1333"/>
        <item x="693"/>
        <item x="1139"/>
        <item x="1166"/>
        <item x="3490"/>
        <item x="3748"/>
        <item x="973"/>
        <item x="833"/>
        <item x="3181"/>
        <item x="1290"/>
        <item x="2228"/>
        <item x="226"/>
        <item x="3217"/>
        <item x="4193"/>
        <item x="2292"/>
        <item x="2247"/>
        <item x="4143"/>
        <item x="2669"/>
        <item x="4278"/>
        <item x="3273"/>
        <item x="1996"/>
        <item x="2837"/>
        <item x="3658"/>
        <item x="1021"/>
        <item x="3397"/>
        <item x="3636"/>
        <item x="840"/>
        <item x="3885"/>
        <item x="4231"/>
        <item x="3324"/>
        <item x="2109"/>
        <item x="3029"/>
        <item x="1974"/>
        <item x="4345"/>
        <item x="1064"/>
        <item x="1859"/>
        <item x="1712"/>
        <item x="1960"/>
        <item x="1108"/>
        <item x="3571"/>
        <item x="2101"/>
        <item x="4067"/>
        <item x="620"/>
        <item x="4220"/>
        <item x="2625"/>
        <item x="1438"/>
        <item x="3202"/>
        <item x="33"/>
        <item x="2602"/>
        <item x="3124"/>
        <item x="4173"/>
        <item x="3587"/>
        <item x="4409"/>
        <item x="1242"/>
        <item x="1401"/>
        <item x="3778"/>
        <item x="1258"/>
        <item x="188"/>
        <item x="1347"/>
        <item x="3754"/>
        <item x="2284"/>
        <item x="2035"/>
        <item x="1137"/>
        <item x="30"/>
        <item x="835"/>
        <item x="663"/>
        <item x="3180"/>
        <item x="2855"/>
        <item x="317"/>
        <item x="3869"/>
        <item x="1188"/>
        <item x="3311"/>
        <item x="3625"/>
        <item x="959"/>
        <item x="1061"/>
        <item x="4233"/>
        <item x="2976"/>
        <item x="4331"/>
        <item x="2544"/>
        <item x="2191"/>
        <item x="915"/>
        <item x="2640"/>
        <item x="706"/>
        <item x="4478"/>
        <item x="1478"/>
        <item x="2338"/>
        <item x="2571"/>
        <item x="3774"/>
        <item x="371"/>
        <item x="4244"/>
        <item x="238"/>
        <item x="2407"/>
        <item x="3562"/>
        <item x="4088"/>
        <item x="3997"/>
        <item x="2146"/>
        <item x="1190"/>
        <item x="993"/>
        <item x="3907"/>
        <item x="2757"/>
        <item x="3928"/>
        <item x="1595"/>
        <item x="3572"/>
        <item x="1505"/>
        <item x="1475"/>
        <item x="1812"/>
        <item x="1702"/>
        <item x="3830"/>
        <item x="309"/>
        <item x="2040"/>
        <item x="1799"/>
        <item x="3989"/>
        <item x="1816"/>
        <item x="3938"/>
        <item x="2344"/>
        <item x="2608"/>
        <item x="3306"/>
        <item x="779"/>
        <item x="93"/>
        <item x="2030"/>
        <item x="581"/>
        <item x="3762"/>
        <item x="848"/>
        <item x="2033"/>
        <item x="536"/>
        <item x="3187"/>
        <item x="3473"/>
        <item x="4311"/>
        <item x="1642"/>
        <item x="2513"/>
        <item x="4453"/>
        <item x="3937"/>
        <item x="761"/>
        <item x="2746"/>
        <item x="1773"/>
        <item x="2626"/>
        <item x="842"/>
        <item x="4485"/>
        <item x="1444"/>
        <item x="455"/>
        <item x="3393"/>
        <item x="2980"/>
        <item x="3003"/>
        <item x="3116"/>
        <item x="3315"/>
        <item x="2780"/>
        <item x="3335"/>
        <item x="778"/>
        <item x="1585"/>
        <item x="1652"/>
        <item x="1788"/>
        <item x="1635"/>
        <item x="9"/>
        <item x="1805"/>
        <item x="4428"/>
        <item x="1696"/>
        <item x="3243"/>
        <item x="207"/>
        <item x="3500"/>
        <item x="947"/>
        <item x="1811"/>
        <item x="3429"/>
        <item x="1232"/>
        <item x="1397"/>
        <item x="937"/>
        <item x="3536"/>
        <item x="4126"/>
        <item x="3855"/>
        <item x="276"/>
        <item x="1647"/>
        <item x="4374"/>
        <item x="1270"/>
        <item x="462"/>
        <item x="3193"/>
        <item x="3939"/>
        <item x="1413"/>
        <item x="2543"/>
        <item x="4047"/>
        <item x="3304"/>
        <item x="3414"/>
        <item x="3445"/>
        <item x="3011"/>
        <item x="2862"/>
        <item x="1972"/>
        <item x="2773"/>
        <item x="1970"/>
        <item x="3117"/>
        <item x="1192"/>
        <item x="3343"/>
        <item x="3574"/>
        <item x="247"/>
        <item x="810"/>
        <item x="2460"/>
        <item x="2173"/>
        <item x="102"/>
        <item x="3725"/>
        <item x="3994"/>
        <item x="4015"/>
        <item x="1415"/>
        <item x="4444"/>
        <item x="4399"/>
        <item x="3588"/>
        <item x="306"/>
        <item x="3581"/>
        <item x="1370"/>
        <item x="2167"/>
        <item x="2059"/>
        <item x="132"/>
        <item x="3364"/>
        <item x="1741"/>
        <item x="690"/>
        <item x="3099"/>
        <item x="1307"/>
        <item x="2698"/>
        <item x="244"/>
        <item x="3425"/>
        <item x="52"/>
        <item x="4471"/>
        <item x="720"/>
        <item x="866"/>
        <item x="1015"/>
        <item x="199"/>
        <item x="2508"/>
        <item x="3799"/>
        <item x="3596"/>
        <item x="1371"/>
        <item x="268"/>
        <item x="1336"/>
        <item x="1511"/>
        <item x="186"/>
        <item x="245"/>
        <item x="1423"/>
        <item x="2985"/>
        <item x="1623"/>
        <item x="329"/>
        <item x="1560"/>
        <item x="3485"/>
        <item x="722"/>
        <item x="594"/>
        <item x="2188"/>
        <item x="2439"/>
        <item x="872"/>
        <item x="2827"/>
        <item x="3922"/>
        <item x="1107"/>
        <item x="327"/>
        <item x="229"/>
        <item x="769"/>
        <item x="817"/>
        <item x="3042"/>
        <item x="4452"/>
        <item x="1330"/>
        <item x="63"/>
        <item x="1008"/>
        <item x="1195"/>
        <item x="4045"/>
        <item x="2333"/>
        <item x="2124"/>
        <item x="2209"/>
        <item x="53"/>
        <item x="401"/>
        <item x="320"/>
        <item x="3590"/>
        <item x="3797"/>
        <item x="3390"/>
        <item x="1233"/>
        <item x="3241"/>
        <item x="3005"/>
        <item x="2805"/>
        <item x="1278"/>
        <item x="1388"/>
        <item x="104"/>
        <item x="344"/>
        <item x="2425"/>
        <item x="2473"/>
        <item x="3790"/>
        <item x="1460"/>
        <item x="18"/>
        <item x="3813"/>
        <item x="3632"/>
        <item x="3472"/>
        <item x="905"/>
        <item x="918"/>
        <item x="234"/>
        <item x="2942"/>
        <item x="385"/>
        <item x="3263"/>
        <item x="2295"/>
        <item x="899"/>
        <item x="668"/>
        <item x="267"/>
        <item x="1876"/>
        <item x="2838"/>
        <item x="4479"/>
        <item x="2458"/>
        <item x="1613"/>
        <item x="1871"/>
        <item x="3614"/>
        <item x="1839"/>
        <item x="4457"/>
        <item x="3169"/>
        <item x="300"/>
        <item x="735"/>
        <item x="1113"/>
        <item x="202"/>
        <item x="643"/>
        <item x="601"/>
        <item x="1671"/>
        <item x="976"/>
        <item x="5"/>
        <item x="387"/>
        <item x="4182"/>
        <item x="2307"/>
        <item x="2070"/>
        <item x="3529"/>
        <item x="768"/>
        <item x="2020"/>
        <item x="2854"/>
        <item x="386"/>
        <item x="2670"/>
        <item x="1045"/>
        <item x="3829"/>
        <item x="2437"/>
        <item x="2732"/>
        <item x="19"/>
        <item x="3551"/>
        <item x="498"/>
        <item x="3847"/>
        <item x="1343"/>
        <item x="2380"/>
        <item x="2322"/>
        <item x="253"/>
        <item x="592"/>
        <item x="3524"/>
        <item x="2195"/>
        <item x="1153"/>
        <item x="120"/>
        <item x="1771"/>
        <item x="4025"/>
        <item x="568"/>
        <item x="2586"/>
        <item x="1630"/>
        <item x="1345"/>
        <item x="1189"/>
        <item x="3845"/>
        <item x="1445"/>
        <item x="1723"/>
        <item x="3716"/>
        <item x="4157"/>
        <item x="1073"/>
        <item x="1117"/>
        <item x="3468"/>
        <item x="2872"/>
        <item x="1610"/>
        <item x="3840"/>
        <item x="971"/>
        <item x="2888"/>
        <item x="1285"/>
        <item x="2509"/>
        <item x="3643"/>
        <item x="825"/>
        <item x="4346"/>
        <item x="3999"/>
        <item x="4141"/>
        <item x="4366"/>
        <item x="691"/>
        <item x="3783"/>
        <item x="4094"/>
        <item x="1375"/>
        <item x="3772"/>
        <item x="1106"/>
        <item x="3558"/>
        <item x="1534"/>
        <item x="374"/>
        <item x="2614"/>
        <item x="2840"/>
        <item x="429"/>
        <item x="4250"/>
        <item x="1872"/>
        <item x="3666"/>
        <item x="2137"/>
        <item x="2585"/>
        <item x="836"/>
        <item x="255"/>
        <item x="119"/>
        <item x="1365"/>
        <item x="1013"/>
        <item x="4377"/>
        <item x="2923"/>
        <item x="744"/>
        <item x="4199"/>
        <item x="2604"/>
        <item x="1463"/>
        <item x="3916"/>
        <item x="2887"/>
        <item x="4012"/>
        <item x="3720"/>
        <item x="949"/>
        <item x="583"/>
        <item x="1158"/>
        <item x="2429"/>
        <item x="862"/>
        <item x="3137"/>
        <item x="4464"/>
        <item x="3565"/>
        <item x="1058"/>
        <item x="4177"/>
        <item x="4160"/>
        <item x="140"/>
        <item x="4349"/>
        <item x="3948"/>
        <item x="1967"/>
        <item x="2046"/>
        <item x="762"/>
        <item x="2693"/>
        <item x="36"/>
        <item x="4371"/>
        <item x="3789"/>
        <item x="2261"/>
        <item x="3252"/>
        <item x="2902"/>
        <item x="421"/>
        <item x="3734"/>
        <item x="843"/>
        <item x="3602"/>
        <item x="556"/>
        <item x="1542"/>
        <item x="12"/>
        <item x="3281"/>
        <item x="2484"/>
        <item x="1868"/>
        <item x="975"/>
        <item x="3213"/>
        <item x="3513"/>
        <item x="1538"/>
        <item x="3298"/>
        <item x="1548"/>
        <item x="1382"/>
        <item x="4003"/>
        <item x="4285"/>
        <item x="692"/>
        <item x="3147"/>
        <item x="450"/>
        <item x="3949"/>
        <item x="250"/>
        <item x="3093"/>
        <item x="1602"/>
        <item x="711"/>
        <item x="4286"/>
        <item x="824"/>
        <item x="3009"/>
        <item x="339"/>
        <item x="3176"/>
        <item x="2043"/>
        <item x="1785"/>
        <item x="4205"/>
        <item x="302"/>
        <item x="2813"/>
        <item x="3146"/>
        <item x="563"/>
        <item x="4442"/>
        <item x="3014"/>
        <item x="3487"/>
        <item x="1668"/>
        <item x="799"/>
        <item x="1138"/>
        <item x="409"/>
        <item x="950"/>
        <item x="1787"/>
        <item x="499"/>
        <item x="1163"/>
        <item x="1626"/>
        <item x="701"/>
        <item x="3446"/>
        <item x="3555"/>
        <item x="2323"/>
        <item x="2052"/>
        <item x="2217"/>
        <item x="4378"/>
        <item x="3094"/>
        <item x="1050"/>
        <item x="2245"/>
        <item x="1077"/>
        <item x="3321"/>
        <item x="564"/>
        <item x="4041"/>
        <item x="3222"/>
        <item x="2546"/>
        <item x="807"/>
        <item x="3399"/>
        <item x="4288"/>
        <item x="2819"/>
        <item x="987"/>
        <item x="1230"/>
        <item x="3369"/>
        <item x="2135"/>
        <item x="4438"/>
        <item x="4392"/>
        <item x="3827"/>
        <item x="3342"/>
        <item x="4370"/>
        <item x="3908"/>
        <item x="3015"/>
        <item x="2599"/>
        <item x="1467"/>
        <item x="1351"/>
        <item x="2062"/>
        <item x="846"/>
        <item x="4357"/>
        <item x="3942"/>
        <item x="1392"/>
        <item x="3350"/>
        <item x="2527"/>
        <item x="1934"/>
        <item x="3592"/>
        <item x="2705"/>
        <item x="428"/>
        <item x="3452"/>
        <item x="3563"/>
        <item x="3272"/>
        <item x="1783"/>
        <item x="242"/>
        <item x="42"/>
        <item x="1326"/>
        <item x="4446"/>
        <item x="3071"/>
        <item x="2461"/>
        <item x="492"/>
        <item x="2917"/>
        <item x="1254"/>
        <item x="402"/>
        <item x="881"/>
        <item x="4326"/>
        <item x="931"/>
        <item x="1297"/>
        <item x="1551"/>
        <item x="156"/>
        <item x="2478"/>
        <item x="562"/>
        <item x="2000"/>
        <item x="624"/>
        <item x="3206"/>
        <item x="1243"/>
        <item x="4386"/>
        <item x="717"/>
        <item x="2750"/>
        <item x="2645"/>
        <item x="1648"/>
        <item x="2562"/>
        <item x="136"/>
        <item x="203"/>
        <item x="2833"/>
        <item x="586"/>
        <item x="513"/>
        <item x="1826"/>
        <item x="681"/>
        <item x="2099"/>
        <item x="1809"/>
        <item x="1185"/>
        <item x="2100"/>
        <item x="2607"/>
        <item x="2573"/>
        <item x="1399"/>
        <item x="106"/>
        <item x="3568"/>
        <item x="3336"/>
        <item x="3793"/>
        <item x="746"/>
        <item x="3595"/>
        <item x="4387"/>
        <item x="4309"/>
        <item x="431"/>
        <item x="101"/>
        <item x="3325"/>
        <item x="1959"/>
        <item x="2264"/>
        <item x="1398"/>
        <item x="3108"/>
        <item x="3920"/>
        <item x="3265"/>
        <item x="3337"/>
        <item x="352"/>
        <item x="43"/>
        <item x="2680"/>
        <item x="3686"/>
        <item x="1378"/>
        <item x="2928"/>
        <item x="1857"/>
        <item x="1483"/>
        <item x="1769"/>
        <item x="3100"/>
        <item x="2524"/>
        <item x="1174"/>
        <item x="1170"/>
        <item x="3547"/>
        <item x="3069"/>
        <item x="1549"/>
        <item x="2818"/>
        <item x="4054"/>
        <item x="1447"/>
        <item x="1493"/>
        <item x="2831"/>
        <item x="193"/>
        <item x="737"/>
        <item x="951"/>
        <item x="4169"/>
        <item x="849"/>
        <item x="3287"/>
        <item x="112"/>
        <item x="2197"/>
        <item x="1714"/>
        <item x="3065"/>
        <item x="2297"/>
        <item x="1325"/>
        <item x="1935"/>
        <item x="4463"/>
        <item x="2666"/>
        <item x="1148"/>
        <item x="189"/>
        <item x="361"/>
        <item x="3104"/>
        <item x="3408"/>
        <item x="1601"/>
        <item x="4294"/>
        <item x="4159"/>
        <item x="2475"/>
        <item x="4057"/>
        <item x="765"/>
        <item x="3384"/>
        <item x="4218"/>
        <item x="1110"/>
        <item x="2134"/>
        <item x="930"/>
        <item x="1353"/>
        <item x="1247"/>
        <item x="1324"/>
        <item x="3935"/>
        <item x="4269"/>
        <item x="233"/>
        <item x="3308"/>
        <item x="1573"/>
        <item x="753"/>
        <item x="3722"/>
        <item x="1181"/>
        <item x="216"/>
        <item x="4099"/>
        <item x="256"/>
        <item x="347"/>
        <item x="2138"/>
        <item x="3224"/>
        <item x="3914"/>
        <item x="731"/>
        <item x="4391"/>
        <item x="1070"/>
        <item x="400"/>
        <item x="1632"/>
        <item x="3056"/>
        <item x="1969"/>
        <item x="687"/>
        <item x="1851"/>
        <item x="4481"/>
        <item x="1359"/>
        <item x="2864"/>
        <item x="3478"/>
        <item x="1366"/>
        <item x="1280"/>
        <item x="1710"/>
        <item x="4022"/>
        <item x="2903"/>
        <item x="2223"/>
        <item x="600"/>
        <item x="4208"/>
        <item x="2086"/>
        <item x="122"/>
        <item x="480"/>
        <item x="2760"/>
        <item x="334"/>
        <item x="2938"/>
        <item x="3089"/>
        <item x="4440"/>
        <item x="2638"/>
        <item x="3639"/>
        <item x="2801"/>
        <item x="4079"/>
        <item x="1572"/>
        <item x="953"/>
        <item x="1312"/>
        <item x="4254"/>
        <item x="4450"/>
        <item x="2233"/>
        <item x="372"/>
        <item x="837"/>
        <item x="3512"/>
        <item x="1965"/>
        <item x="392"/>
        <item x="548"/>
        <item x="1831"/>
        <item x="3502"/>
        <item x="3388"/>
        <item x="655"/>
        <item x="2577"/>
        <item x="729"/>
        <item x="1369"/>
        <item x="1886"/>
        <item x="2905"/>
        <item x="2806"/>
        <item x="2339"/>
        <item x="2894"/>
        <item x="1287"/>
        <item x="3153"/>
        <item x="2241"/>
        <item x="567"/>
        <item x="3706"/>
        <item x="1840"/>
        <item x="4121"/>
        <item x="64"/>
        <item x="3226"/>
        <item x="4340"/>
        <item x="3831"/>
        <item x="3995"/>
        <item x="2313"/>
        <item x="1546"/>
        <item x="484"/>
        <item x="839"/>
        <item x="828"/>
        <item x="1474"/>
        <item x="1529"/>
        <item x="1386"/>
        <item x="3705"/>
        <item x="4276"/>
        <item x="470"/>
        <item x="403"/>
        <item x="1372"/>
        <item x="4051"/>
        <item x="3690"/>
        <item x="3765"/>
        <item x="2631"/>
        <item x="2148"/>
        <item x="2441"/>
        <item x="688"/>
        <item x="2966"/>
        <item x="1295"/>
        <item x="1088"/>
        <item x="365"/>
        <item x="2329"/>
        <item x="4163"/>
        <item x="1213"/>
        <item x="3018"/>
        <item x="1406"/>
        <item x="2892"/>
        <item x="2944"/>
        <item x="459"/>
        <item x="2810"/>
        <item x="3969"/>
        <item x="200"/>
        <item x="389"/>
        <item x="1952"/>
        <item x="2790"/>
        <item x="4198"/>
        <item x="4376"/>
        <item x="3573"/>
        <item x="2145"/>
        <item x="1263"/>
        <item x="727"/>
        <item x="598"/>
        <item x="3603"/>
        <item x="4364"/>
        <item x="3145"/>
        <item x="1442"/>
        <item x="2521"/>
        <item x="3031"/>
        <item x="1558"/>
        <item x="2300"/>
        <item x="3474"/>
        <item x="639"/>
        <item x="4258"/>
        <item x="3849"/>
        <item x="738"/>
        <item x="998"/>
        <item x="3800"/>
        <item x="3566"/>
        <item x="3036"/>
        <item x="1566"/>
        <item x="1308"/>
        <item x="2510"/>
        <item x="2703"/>
        <item x="2567"/>
        <item x="897"/>
        <item x="1981"/>
        <item x="2375"/>
        <item x="3779"/>
        <item x="3921"/>
        <item x="4139"/>
        <item x="2290"/>
        <item x="16"/>
        <item x="633"/>
        <item x="1842"/>
        <item x="1316"/>
        <item x="2849"/>
        <item x="2454"/>
        <item x="1396"/>
        <item x="3886"/>
        <item x="3647"/>
        <item x="2435"/>
        <item x="4246"/>
        <item x="4343"/>
        <item x="1889"/>
        <item x="3986"/>
        <item x="1739"/>
        <item x="458"/>
        <item x="2073"/>
        <item x="4196"/>
        <item x="349"/>
        <item x="1332"/>
        <item x="4130"/>
        <item x="530"/>
        <item x="2269"/>
        <item x="558"/>
        <item x="194"/>
        <item x="3048"/>
        <item x="3279"/>
        <item x="1715"/>
        <item x="425"/>
        <item x="3702"/>
        <item x="2673"/>
        <item x="2729"/>
        <item x="35"/>
        <item x="2455"/>
        <item x="517"/>
        <item x="597"/>
        <item x="2207"/>
        <item x="3786"/>
        <item x="3295"/>
        <item x="4415"/>
        <item x="11"/>
        <item x="2758"/>
        <item x="1112"/>
        <item x="3043"/>
        <item x="3292"/>
        <item x="4487"/>
        <item x="3759"/>
        <item x="1154"/>
        <item x="4150"/>
        <item x="2646"/>
        <item x="2321"/>
        <item x="672"/>
        <item x="1284"/>
        <item x="1301"/>
        <item x="3862"/>
        <item x="3383"/>
        <item x="1733"/>
        <item x="497"/>
        <item x="1469"/>
        <item x="2975"/>
        <item x="1716"/>
        <item x="4024"/>
        <item x="2635"/>
        <item x="150"/>
        <item x="1619"/>
        <item x="376"/>
        <item x="3825"/>
        <item x="3432"/>
        <item x="1152"/>
        <item x="146"/>
        <item x="4394"/>
        <item x="2418"/>
        <item x="2948"/>
        <item x="3363"/>
        <item x="1202"/>
        <item x="2087"/>
        <item x="2396"/>
        <item x="1432"/>
        <item x="3007"/>
        <item x="3482"/>
        <item x="2953"/>
        <item x="2420"/>
        <item x="3471"/>
        <item x="2847"/>
        <item x="1853"/>
        <item x="2610"/>
        <item x="767"/>
        <item x="135"/>
        <item x="1394"/>
        <item x="3880"/>
        <item x="4184"/>
        <item x="3398"/>
        <item x="1216"/>
        <item x="1902"/>
        <item x="4146"/>
        <item x="3609"/>
        <item x="32"/>
        <item x="1265"/>
        <item x="3930"/>
        <item x="4321"/>
        <item x="514"/>
        <item x="4021"/>
        <item x="3828"/>
        <item x="4449"/>
        <item x="265"/>
        <item x="3871"/>
        <item x="1777"/>
        <item x="2072"/>
        <item x="332"/>
        <item x="2539"/>
        <item x="2622"/>
        <item x="1975"/>
        <item x="4411"/>
        <item x="395"/>
        <item x="1563"/>
        <item x="2370"/>
        <item x="3225"/>
        <item x="1237"/>
        <item x="2731"/>
        <item x="198"/>
        <item x="84"/>
        <item x="1555"/>
        <item x="3610"/>
        <item x="613"/>
        <item x="3417"/>
        <item x="1434"/>
        <item x="351"/>
        <item x="3816"/>
        <item x="152"/>
        <item x="2846"/>
        <item x="1797"/>
        <item x="977"/>
        <item x="107"/>
        <item x="1109"/>
        <item x="2384"/>
        <item x="3874"/>
        <item x="2569"/>
        <item x="2740"/>
        <item x="4129"/>
        <item x="1309"/>
        <item x="1532"/>
        <item x="1570"/>
        <item x="574"/>
        <item x="1611"/>
        <item x="1496"/>
        <item x="2968"/>
        <item x="4066"/>
        <item x="3870"/>
        <item x="3730"/>
        <item x="4179"/>
        <item x="2787"/>
        <item x="2526"/>
        <item x="1953"/>
        <item x="3910"/>
        <item x="1795"/>
        <item x="2383"/>
        <item x="3620"/>
        <item x="2619"/>
        <item x="67"/>
        <item x="4009"/>
        <item x="805"/>
        <item x="1939"/>
        <item x="4192"/>
        <item x="2830"/>
        <item x="3345"/>
        <item x="4290"/>
        <item x="1625"/>
        <item x="3660"/>
        <item x="1400"/>
        <item x="938"/>
        <item x="91"/>
        <item x="3768"/>
        <item x="1204"/>
        <item x="118"/>
        <item x="3271"/>
        <item x="1590"/>
        <item x="2203"/>
        <item x="3052"/>
        <item x="1402"/>
        <item x="1079"/>
        <item x="4337"/>
        <item x="3381"/>
        <item x="3883"/>
        <item x="2591"/>
        <item x="143"/>
        <item x="2308"/>
        <item x="3211"/>
        <item x="2724"/>
        <item x="1998"/>
        <item x="321"/>
        <item x="896"/>
        <item x="249"/>
        <item x="1363"/>
        <item x="160"/>
        <item x="3780"/>
        <item x="2263"/>
        <item x="1086"/>
        <item x="4480"/>
        <item x="869"/>
        <item x="4216"/>
        <item x="4367"/>
        <item x="1528"/>
        <item x="657"/>
        <item x="1036"/>
        <item x="2331"/>
        <item x="414"/>
        <item x="4482"/>
        <item x="3534"/>
        <item x="2126"/>
        <item x="1427"/>
        <item x="25"/>
        <item x="2723"/>
        <item x="2861"/>
        <item x="4023"/>
        <item x="4039"/>
        <item x="3479"/>
        <item x="1502"/>
        <item x="674"/>
        <item x="172"/>
        <item x="960"/>
        <item x="4165"/>
        <item x="1908"/>
        <item x="616"/>
        <item x="3673"/>
        <item x="3838"/>
        <item x="577"/>
        <item x="1089"/>
        <item x="820"/>
        <item x="4106"/>
        <item x="3675"/>
        <item x="1644"/>
        <item x="1708"/>
        <item x="4234"/>
        <item x="784"/>
        <item x="1114"/>
        <item x="4203"/>
        <item x="505"/>
        <item x="1441"/>
        <item x="3889"/>
        <item x="4116"/>
        <item x="2301"/>
        <item x="2388"/>
        <item x="2682"/>
        <item x="667"/>
        <item x="4435"/>
        <item x="1918"/>
        <item x="6"/>
        <item x="2971"/>
        <item x="3302"/>
        <item x="1425"/>
        <item x="1437"/>
        <item x="1176"/>
        <item x="1838"/>
        <item x="3627"/>
        <item x="751"/>
        <item x="2990"/>
        <item x="4338"/>
        <item x="1173"/>
        <item x="1947"/>
        <item x="3742"/>
        <item x="546"/>
        <item x="1919"/>
        <item x="4221"/>
        <item x="4162"/>
        <item x="844"/>
        <item x="412"/>
        <item x="1621"/>
        <item x="3518"/>
        <item x="3704"/>
        <item x="1522"/>
        <item x="487"/>
        <item x="555"/>
        <item x="479"/>
        <item x="831"/>
        <item x="1737"/>
        <item x="174"/>
        <item x="1310"/>
        <item x="1932"/>
        <item x="3718"/>
        <item x="3348"/>
        <item x="2351"/>
        <item x="2330"/>
        <item x="3254"/>
        <item x="1599"/>
        <item x="3970"/>
        <item x="486"/>
        <item x="3901"/>
        <item x="1854"/>
        <item x="1221"/>
        <item x="845"/>
        <item x="3316"/>
        <item x="1653"/>
        <item x="1846"/>
        <item x="3127"/>
        <item x="27"/>
        <item x="3132"/>
        <item x="440"/>
        <item x="298"/>
        <item x="1027"/>
        <item x="1680"/>
        <item x="2147"/>
        <item x="3979"/>
        <item x="582"/>
        <item x="2358"/>
        <item x="1565"/>
        <item x="1688"/>
        <item x="4384"/>
        <item x="819"/>
        <item x="2964"/>
        <item x="2025"/>
        <item x="943"/>
        <item x="2897"/>
        <item x="3805"/>
        <item x="407"/>
        <item x="433"/>
        <item x="2246"/>
        <item x="1580"/>
        <item x="2161"/>
        <item x="2537"/>
        <item x="195"/>
        <item x="2355"/>
        <item x="166"/>
        <item x="2081"/>
        <item x="551"/>
        <item x="2841"/>
        <item x="1657"/>
        <item x="2196"/>
        <item x="602"/>
        <item x="3201"/>
        <item x="4155"/>
        <item x="3492"/>
        <item x="1786"/>
        <item x="3322"/>
        <item x="4178"/>
        <item x="3618"/>
        <item x="1318"/>
        <item x="3140"/>
        <item x="3460"/>
        <item x="1133"/>
        <item x="3299"/>
        <item x="1683"/>
        <item x="1909"/>
        <item x="2881"/>
        <item x="1461"/>
        <item x="1717"/>
        <item x="2982"/>
        <item x="1501"/>
        <item x="117"/>
        <item x="1948"/>
        <item x="3865"/>
        <item x="1725"/>
        <item x="2816"/>
        <item x="1002"/>
        <item x="760"/>
        <item x="115"/>
        <item x="444"/>
        <item x="2779"/>
        <item x="1880"/>
        <item x="1018"/>
        <item x="1510"/>
        <item x="3510"/>
        <item x="1507"/>
        <item x="3044"/>
        <item x="2232"/>
        <item x="2792"/>
        <item x="3694"/>
        <item x="2776"/>
        <item x="47"/>
        <item x="4312"/>
        <item x="1759"/>
        <item x="3111"/>
        <item x="974"/>
        <item x="2967"/>
        <item x="1629"/>
        <item x="2111"/>
        <item x="695"/>
        <item x="432"/>
        <item x="988"/>
        <item x="2589"/>
        <item x="175"/>
        <item x="3395"/>
        <item x="1360"/>
        <item x="3733"/>
        <item x="795"/>
        <item x="788"/>
        <item x="2392"/>
        <item x="2809"/>
        <item x="3749"/>
        <item x="3380"/>
        <item x="4164"/>
        <item x="31"/>
        <item x="1051"/>
        <item x="1354"/>
        <item x="2728"/>
        <item x="3782"/>
        <item x="1707"/>
        <item x="4434"/>
        <item x="2092"/>
        <item x="3613"/>
        <item x="2058"/>
        <item x="1586"/>
        <item x="3593"/>
        <item x="3156"/>
        <item x="2438"/>
        <item x="2788"/>
        <item x="3896"/>
        <item x="3041"/>
        <item x="3256"/>
        <item x="465"/>
        <item x="2579"/>
        <item x="271"/>
        <item x="1891"/>
        <item x="3121"/>
        <item x="1376"/>
        <item x="1684"/>
        <item x="4344"/>
        <item x="3933"/>
        <item x="653"/>
        <item x="3459"/>
        <item x="1806"/>
        <item x="379"/>
        <item x="4299"/>
        <item x="1612"/>
        <item x="304"/>
        <item x="4277"/>
        <item x="4118"/>
        <item x="887"/>
        <item x="4017"/>
        <item x="2909"/>
        <item x="2400"/>
        <item x="4168"/>
        <item x="273"/>
        <item x="3858"/>
        <item x="1227"/>
        <item x="179"/>
        <item x="2448"/>
        <item x="2029"/>
        <item x="4393"/>
        <item x="2414"/>
        <item x="2071"/>
        <item x="4421"/>
        <item x="1877"/>
        <item x="3973"/>
        <item x="3235"/>
        <item x="890"/>
        <item x="1814"/>
        <item x="485"/>
        <item x="629"/>
        <item x="4445"/>
        <item x="1298"/>
        <item x="2125"/>
        <item x="1273"/>
        <item x="3537"/>
        <item x="2048"/>
        <item x="1450"/>
        <item x="326"/>
        <item x="2044"/>
        <item x="4133"/>
        <item x="2548"/>
        <item x="3776"/>
        <item x="3075"/>
        <item x="2817"/>
        <item x="350"/>
        <item x="48"/>
        <item x="4194"/>
        <item x="814"/>
        <item x="4215"/>
        <item x="3034"/>
        <item x="2661"/>
        <item x="1578"/>
        <item x="4110"/>
        <item x="3902"/>
        <item x="1494"/>
        <item x="3600"/>
        <item x="1465"/>
        <item x="730"/>
        <item x="4174"/>
        <item x="1718"/>
        <item x="4210"/>
        <item x="2863"/>
        <item x="74"/>
        <item x="2153"/>
        <item x="185"/>
        <item x="3237"/>
        <item x="2371"/>
        <item x="75"/>
        <item x="3693"/>
        <item x="61"/>
        <item x="2413"/>
        <item x="2140"/>
        <item x="2303"/>
        <item x="921"/>
        <item x="3703"/>
        <item x="2181"/>
        <item x="290"/>
        <item x="1509"/>
        <item x="3589"/>
        <item x="2491"/>
        <item x="2466"/>
        <item x="3330"/>
        <item x="1614"/>
        <item x="827"/>
        <item x="3066"/>
        <item x="3583"/>
        <item x="3844"/>
        <item x="1796"/>
        <item x="3521"/>
        <item x="3993"/>
        <item x="4317"/>
        <item x="1660"/>
        <item x="3681"/>
        <item x="1074"/>
        <item x="2270"/>
        <item x="1167"/>
        <item x="2901"/>
        <item x="3467"/>
        <item x="989"/>
        <item x="884"/>
        <item x="2657"/>
        <item x="3191"/>
        <item x="4401"/>
        <item x="2972"/>
        <item x="2171"/>
        <item x="595"/>
        <item x="171"/>
        <item x="3416"/>
        <item x="520"/>
        <item x="644"/>
        <item x="1321"/>
        <item x="3165"/>
        <item x="2183"/>
        <item x="2267"/>
        <item x="1005"/>
        <item x="1536"/>
        <item x="2472"/>
        <item x="3531"/>
        <item x="4230"/>
        <item x="3760"/>
        <item x="1156"/>
        <item x="2398"/>
        <item x="38"/>
        <item x="1122"/>
        <item x="2119"/>
        <item x="2470"/>
        <item x="1940"/>
        <item x="3356"/>
        <item x="2118"/>
        <item x="1686"/>
        <item x="3814"/>
        <item x="1205"/>
        <item x="3102"/>
        <item x="4191"/>
        <item x="792"/>
        <item x="2085"/>
        <item x="2796"/>
        <item x="94"/>
        <item x="1094"/>
        <item x="673"/>
        <item x="1199"/>
        <item x="50"/>
        <item x="859"/>
        <item x="1682"/>
        <item x="3449"/>
        <item x="2696"/>
        <item x="3233"/>
        <item x="3906"/>
        <item x="2158"/>
        <item x="1416"/>
        <item x="3440"/>
        <item x="1481"/>
        <item x="3540"/>
        <item x="3911"/>
        <item x="2761"/>
        <item x="1451"/>
        <item x="4476"/>
        <item x="3764"/>
        <item x="3990"/>
        <item x="2488"/>
        <item x="1209"/>
        <item x="748"/>
        <item x="585"/>
        <item x="2590"/>
        <item x="3807"/>
        <item x="1835"/>
        <item x="3040"/>
        <item x="2252"/>
        <item x="521"/>
        <item x="213"/>
        <item x="151"/>
        <item x="2433"/>
        <item x="2021"/>
        <item x="3297"/>
        <item x="1896"/>
        <item x="2781"/>
        <item x="3812"/>
        <item x="2665"/>
        <item x="1609"/>
        <item x="1011"/>
        <item x="1458"/>
        <item x="2507"/>
        <item x="1847"/>
        <item x="2856"/>
        <item x="3777"/>
        <item x="3320"/>
        <item x="3067"/>
        <item x="2593"/>
        <item x="2534"/>
        <item x="2726"/>
        <item x="3599"/>
        <item x="4154"/>
        <item x="1641"/>
        <item x="3672"/>
        <item x="528"/>
        <item x="1843"/>
        <item x="2248"/>
        <item x="220"/>
        <item x="228"/>
        <item x="1120"/>
        <item x="4431"/>
        <item x="3962"/>
        <item x="2353"/>
        <item x="1126"/>
        <item x="2064"/>
        <item x="1041"/>
        <item x="1651"/>
        <item x="2359"/>
        <item x="1744"/>
        <item x="1803"/>
        <item x="3837"/>
        <item x="878"/>
        <item x="1034"/>
        <item x="2255"/>
        <item x="1685"/>
        <item x="2170"/>
        <item x="1754"/>
        <item x="3289"/>
        <item x="2687"/>
        <item x="4406"/>
        <item x="2121"/>
        <item x="2399"/>
        <item x="3341"/>
        <item x="3755"/>
        <item x="2662"/>
        <item x="3010"/>
        <item x="3680"/>
        <item x="2704"/>
        <item x="3769"/>
        <item x="2600"/>
        <item x="2572"/>
        <item x="3301"/>
        <item x="1300"/>
        <item x="3134"/>
        <item x="1056"/>
        <item x="680"/>
        <item x="3333"/>
        <item x="1818"/>
        <item x="4132"/>
        <item x="1837"/>
        <item x="1672"/>
        <item x="2721"/>
        <item x="2738"/>
        <item x="1001"/>
        <item x="3640"/>
        <item x="2984"/>
        <item x="2419"/>
        <item x="4251"/>
        <item x="294"/>
        <item x="2452"/>
        <item x="1000"/>
        <item x="571"/>
        <item x="1964"/>
        <item x="1691"/>
        <item x="4124"/>
        <item x="353"/>
        <item x="2136"/>
        <item x="2019"/>
        <item x="1834"/>
        <item x="945"/>
        <item x="2541"/>
        <item x="2078"/>
        <item x="3731"/>
        <item x="473"/>
        <item x="4071"/>
        <item x="813"/>
        <item x="756"/>
        <item x="2230"/>
        <item x="44"/>
        <item x="1029"/>
        <item x="2652"/>
        <item x="1765"/>
        <item x="3410"/>
        <item x="2481"/>
        <item x="3284"/>
        <item x="1526"/>
        <item x="2312"/>
        <item x="1559"/>
        <item x="913"/>
        <item x="4385"/>
        <item x="3221"/>
        <item x="3917"/>
        <item x="2116"/>
        <item x="3192"/>
        <item x="3195"/>
        <item x="4295"/>
        <item x="3688"/>
        <item x="3677"/>
        <item x="3773"/>
        <item x="3887"/>
        <item x="4468"/>
        <item x="1694"/>
        <item x="2362"/>
        <item x="2296"/>
        <item x="752"/>
        <item x="2299"/>
        <item x="1724"/>
        <item x="3860"/>
        <item x="1793"/>
        <item x="1508"/>
        <item x="1923"/>
        <item x="1429"/>
        <item x="3852"/>
        <item x="1379"/>
        <item x="257"/>
        <item x="1314"/>
        <item x="2176"/>
        <item x="2582"/>
        <item x="3409"/>
        <item x="2376"/>
        <item x="740"/>
        <item x="1926"/>
        <item x="3864"/>
        <item x="3665"/>
        <item x="696"/>
        <item x="1521"/>
        <item x="1085"/>
        <item x="2720"/>
        <item x="28"/>
        <item x="2443"/>
        <item x="3894"/>
        <item x="609"/>
        <item x="292"/>
        <item x="789"/>
        <item x="854"/>
        <item x="2629"/>
        <item x="1430"/>
        <item x="2027"/>
        <item x="26"/>
        <item x="1753"/>
        <item x="3288"/>
        <item x="2456"/>
        <item x="1319"/>
        <item x="1583"/>
        <item x="3290"/>
        <item x="3461"/>
        <item x="3506"/>
        <item x="780"/>
        <item x="1941"/>
        <item x="1514"/>
        <item x="1222"/>
        <item x="1042"/>
        <item x="2219"/>
        <item x="4272"/>
        <item x="4080"/>
        <item x="3617"/>
        <item x="2482"/>
        <item x="1544"/>
        <item x="1044"/>
        <item x="1346"/>
        <item x="3501"/>
        <item x="2730"/>
        <item x="90"/>
        <item x="1065"/>
        <item x="3184"/>
        <item x="2235"/>
        <item x="373"/>
        <item x="1810"/>
        <item x="2014"/>
        <item x="4102"/>
        <item x="24"/>
        <item x="3966"/>
        <item x="3982"/>
        <item x="1791"/>
        <item x="2406"/>
        <item x="3591"/>
        <item x="2075"/>
        <item x="3032"/>
        <item x="923"/>
        <item x="942"/>
        <item x="2341"/>
        <item x="638"/>
        <item x="114"/>
        <item x="1659"/>
        <item x="4185"/>
        <item x="3912"/>
        <item x="2447"/>
        <item x="622"/>
        <item x="3971"/>
        <item x="2424"/>
        <item x="4448"/>
        <item x="164"/>
        <item x="3744"/>
        <item x="1844"/>
        <item x="3419"/>
        <item x="4451"/>
        <item x="1772"/>
        <item x="2811"/>
        <item x="924"/>
        <item x="2765"/>
        <item x="4483"/>
        <item x="159"/>
        <item x="2446"/>
        <item x="3832"/>
        <item x="1473"/>
        <item x="2485"/>
        <item x="2340"/>
        <item x="2476"/>
        <item x="747"/>
        <item x="3594"/>
        <item x="413"/>
        <item x="2660"/>
        <item x="314"/>
        <item x="1506"/>
        <item x="2151"/>
        <item x="1722"/>
        <item x="1582"/>
        <item x="4410"/>
        <item x="133"/>
        <item x="4273"/>
        <item x="147"/>
        <item x="868"/>
        <item x="2869"/>
        <item x="3752"/>
        <item x="3275"/>
        <item x="1513"/>
        <item x="3025"/>
        <item x="3771"/>
        <item x="95"/>
        <item x="2804"/>
        <item x="1146"/>
        <item x="2713"/>
        <item x="3105"/>
        <item x="721"/>
        <item x="3794"/>
        <item x="342"/>
        <item x="1730"/>
        <item x="148"/>
        <item x="2315"/>
        <item x="3554"/>
        <item x="2415"/>
        <item x="3516"/>
        <item x="1214"/>
        <item x="4095"/>
        <item x="1584"/>
        <item x="1171"/>
        <item x="3633"/>
        <item x="3637"/>
        <item x="2644"/>
        <item x="2017"/>
        <item x="1311"/>
        <item x="3820"/>
        <item x="2653"/>
        <item x="2198"/>
        <item x="781"/>
        <item x="3709"/>
        <item x="716"/>
        <item x="524"/>
        <item x="1639"/>
        <item x="2986"/>
        <item x="1537"/>
        <item x="2845"/>
        <item x="3392"/>
        <item x="1178"/>
        <item x="994"/>
        <item x="2114"/>
        <item x="1869"/>
        <item x="10"/>
        <item x="161"/>
        <item x="832"/>
        <item x="1564"/>
        <item x="3651"/>
        <item x="2497"/>
        <item x="1740"/>
        <item x="21"/>
        <item x="3843"/>
        <item x="2674"/>
        <item x="4042"/>
        <item x="3504"/>
        <item x="4117"/>
        <item x="3280"/>
        <item x="3177"/>
        <item x="739"/>
        <item x="3868"/>
        <item x="4310"/>
        <item x="4472"/>
        <item x="2155"/>
        <item x="1100"/>
        <item x="4279"/>
        <item x="812"/>
        <item x="415"/>
        <item x="1387"/>
        <item x="702"/>
        <item x="4342"/>
        <item x="2997"/>
        <item x="1180"/>
        <item x="1543"/>
        <item x="649"/>
        <item x="1040"/>
        <item x="4028"/>
        <item x="2336"/>
        <item x="1678"/>
        <item x="2677"/>
        <item x="3149"/>
        <item x="2859"/>
        <item x="3926"/>
        <item x="2545"/>
        <item x="3118"/>
        <item x="1223"/>
        <item x="1776"/>
        <item x="1607"/>
        <item x="2834"/>
        <item x="76"/>
        <item x="1665"/>
        <item x="2784"/>
        <item x="3819"/>
        <item x="1484"/>
        <item x="1104"/>
        <item x="4404"/>
        <item x="3376"/>
        <item x="855"/>
        <item x="2494"/>
        <item x="1568"/>
        <item x="2955"/>
        <item x="2066"/>
        <item x="4381"/>
        <item x="1030"/>
        <item x="3428"/>
        <item x="709"/>
        <item x="3469"/>
        <item x="3026"/>
        <item x="2421"/>
        <item x="875"/>
        <item x="2502"/>
        <item x="3101"/>
        <item x="2918"/>
        <item x="4161"/>
        <item x="466"/>
        <item x="3586"/>
        <item x="1879"/>
        <item x="1302"/>
        <item x="3095"/>
        <item x="3423"/>
        <item x="2996"/>
        <item x="3346"/>
        <item x="4261"/>
        <item x="4093"/>
        <item x="797"/>
        <item x="3144"/>
        <item x="2310"/>
        <item x="3277"/>
        <item x="3905"/>
        <item x="3179"/>
        <item x="3374"/>
        <item x="2709"/>
        <item x="2449"/>
        <item x="2958"/>
        <item x="3248"/>
        <item x="3991"/>
        <item x="2667"/>
        <item x="2156"/>
        <item x="1019"/>
        <item x="3257"/>
        <item x="4256"/>
        <item x="3960"/>
        <item x="3203"/>
        <item x="1389"/>
        <item x="2643"/>
        <item x="3598"/>
        <item x="1552"/>
        <item x="1200"/>
        <item x="1078"/>
        <item x="682"/>
        <item x="2496"/>
        <item x="3685"/>
        <item x="2405"/>
        <item x="1240"/>
        <item x="4033"/>
        <item x="4077"/>
        <item x="1244"/>
        <item x="3528"/>
        <item x="4049"/>
        <item x="802"/>
        <item x="3750"/>
        <item x="3546"/>
        <item x="1439"/>
        <item x="504"/>
        <item x="900"/>
        <item x="2963"/>
        <item x="1666"/>
        <item x="4257"/>
        <item x="707"/>
        <item x="1121"/>
        <item x="2904"/>
        <item x="2387"/>
        <item x="3253"/>
        <item x="1535"/>
        <item x="3957"/>
        <item x="4314"/>
        <item x="3925"/>
        <item x="2745"/>
        <item x="1361"/>
        <item x="3194"/>
        <item x="3175"/>
        <item x="2848"/>
        <item x="857"/>
        <item x="305"/>
        <item x="909"/>
        <item x="3267"/>
        <item x="3385"/>
        <item x="2950"/>
        <item x="1457"/>
        <item x="1950"/>
        <item x="3344"/>
        <item x="134"/>
        <item x="1943"/>
        <item x="2826"/>
        <item x="3570"/>
        <item x="3936"/>
        <item x="3638"/>
        <item x="2637"/>
        <item x="46"/>
        <item x="1123"/>
        <item x="1525"/>
        <item x="1576"/>
        <item x="1561"/>
        <item x="2385"/>
        <item x="2803"/>
        <item x="2876"/>
        <item x="3958"/>
        <item x="4056"/>
        <item x="2133"/>
        <item x="3877"/>
        <item x="1282"/>
        <item x="3683"/>
        <item x="550"/>
        <item x="1229"/>
        <item x="2008"/>
        <item x="3371"/>
        <item x="1729"/>
        <item x="4465"/>
        <item x="3642"/>
        <item x="4301"/>
        <item x="2277"/>
        <item x="4026"/>
        <item x="2128"/>
        <item x="3234"/>
        <item x="464"/>
        <item x="2516"/>
        <item x="3340"/>
        <item x="3064"/>
        <item x="2479"/>
        <item x="877"/>
        <item x="1958"/>
        <item x="3808"/>
        <item x="2999"/>
        <item x="3745"/>
        <item x="4166"/>
        <item x="3818"/>
        <item x="2714"/>
        <item x="547"/>
        <item x="3331"/>
        <item x="1032"/>
        <item x="4107"/>
        <item x="2664"/>
        <item x="3533"/>
        <item x="4004"/>
        <item x="209"/>
        <item x="4225"/>
        <item x="2031"/>
        <item x="908"/>
        <item x="961"/>
        <item x="3697"/>
        <item x="543"/>
        <item x="39"/>
        <item x="1689"/>
        <item x="3053"/>
        <item x="1350"/>
        <item x="2759"/>
        <item x="2798"/>
        <item x="1736"/>
        <item x="2702"/>
        <item x="587"/>
        <item x="3349"/>
        <item x="3900"/>
        <item x="985"/>
        <item x="2748"/>
        <item x="1784"/>
        <item x="3219"/>
        <item x="3977"/>
        <item x="4030"/>
        <item x="426"/>
        <item x="1912"/>
        <item x="2628"/>
        <item x="954"/>
        <item x="283"/>
        <item x="1182"/>
        <item x="328"/>
        <item x="3411"/>
        <item x="2164"/>
        <item x="356"/>
        <item x="2038"/>
        <item x="1983"/>
        <item x="1670"/>
        <item x="2265"/>
        <item x="4423"/>
        <item x="3438"/>
        <item x="449"/>
        <item x="1973"/>
        <item x="3462"/>
        <item x="3110"/>
        <item x="4195"/>
        <item x="263"/>
        <item x="262"/>
        <item x="1197"/>
        <item x="4181"/>
        <item x="3943"/>
        <item x="2098"/>
        <item x="3489"/>
        <item x="2737"/>
        <item x="83"/>
        <item x="3992"/>
        <item x="2091"/>
        <item x="3611"/>
        <item x="3159"/>
        <item x="2288"/>
        <item x="2981"/>
        <item x="940"/>
        <item x="2691"/>
        <item x="2752"/>
        <item x="4089"/>
        <item x="3415"/>
        <item x="1320"/>
        <item x="362"/>
        <item x="2103"/>
        <item x="301"/>
        <item x="4238"/>
        <item x="246"/>
        <item x="4239"/>
        <item x="3276"/>
        <item x="1574"/>
        <item x="3891"/>
        <item x="196"/>
        <item x="85"/>
        <item x="456"/>
        <item x="754"/>
        <item x="3564"/>
        <item x="826"/>
        <item x="2858"/>
        <item x="2004"/>
        <item x="4351"/>
        <item x="3129"/>
        <item x="1331"/>
        <item x="2204"/>
        <item x="1482"/>
        <item x="29"/>
        <item x="2715"/>
        <item x="3931"/>
        <item x="946"/>
        <item x="3607"/>
        <item x="1125"/>
        <item x="1750"/>
        <item x="2465"/>
        <item x="3701"/>
        <item x="886"/>
        <item x="1381"/>
        <item x="230"/>
        <item x="1260"/>
        <item x="4188"/>
        <item x="2499"/>
        <item x="2621"/>
        <item x="2890"/>
        <item x="3758"/>
        <item x="1775"/>
        <item x="4323"/>
        <item x="1815"/>
        <item x="3929"/>
        <item x="997"/>
        <item x="967"/>
        <item x="2694"/>
        <item x="3866"/>
        <item x="965"/>
        <item x="1743"/>
        <item x="1103"/>
        <item x="2514"/>
        <item x="1593"/>
        <item x="861"/>
        <item x="149"/>
        <item x="1579"/>
        <item x="4430"/>
        <item x="1135"/>
        <item x="3719"/>
        <item x="2097"/>
        <item x="4270"/>
        <item x="1519"/>
        <item x="2552"/>
        <item x="2850"/>
        <item x="1291"/>
        <item x="4313"/>
        <item x="4031"/>
        <item x="2977"/>
        <item x="3135"/>
        <item x="1727"/>
        <item x="3674"/>
        <item x="3981"/>
        <item x="2842"/>
        <item x="2893"/>
        <item x="3464"/>
        <item x="1215"/>
        <item x="1748"/>
        <item x="3427"/>
        <item x="1933"/>
        <item x="2142"/>
        <item x="2880"/>
        <item x="3131"/>
        <item x="2873"/>
        <item x="1091"/>
        <item x="4136"/>
        <item x="1341"/>
        <item x="2852"/>
        <item x="2231"/>
        <item x="1412"/>
        <item x="1"/>
        <item x="2363"/>
        <item x="3879"/>
        <item x="3488"/>
        <item x="3498"/>
        <item x="2186"/>
        <item x="772"/>
        <item x="2601"/>
        <item x="4322"/>
        <item x="3532"/>
        <item x="3437"/>
        <item x="852"/>
        <item x="1700"/>
        <item x="3766"/>
        <item x="750"/>
        <item x="634"/>
        <item x="437"/>
        <item x="679"/>
        <item x="3074"/>
        <item x="4365"/>
        <item x="1257"/>
        <item x="3148"/>
        <item x="2369"/>
        <item x="3444"/>
        <item x="2417"/>
        <item x="654"/>
        <item x="766"/>
        <item x="2182"/>
        <item x="359"/>
        <item x="2688"/>
        <item x="58"/>
        <item x="4400"/>
        <item x="3491"/>
        <item x="910"/>
        <item x="793"/>
        <item x="391"/>
        <item x="178"/>
        <item x="274"/>
        <item x="3909"/>
        <item x="904"/>
        <item x="2426"/>
        <item x="261"/>
        <item x="1654"/>
        <item x="1597"/>
        <item x="307"/>
        <item x="865"/>
        <item x="968"/>
        <item x="2343"/>
        <item x="2549"/>
        <item x="2200"/>
        <item x="109"/>
        <item x="901"/>
        <item x="1728"/>
        <item x="406"/>
        <item x="4014"/>
        <item x="3161"/>
        <item x="1963"/>
        <item x="2844"/>
        <item x="983"/>
        <item x="2139"/>
        <item x="1636"/>
        <item x="3247"/>
        <item x="162"/>
        <item x="3477"/>
        <item x="1553"/>
        <item x="4474"/>
        <item x="502"/>
        <item x="3884"/>
        <item x="1571"/>
        <item x="293"/>
        <item x="3919"/>
        <item x="3497"/>
        <item x="4046"/>
        <item x="141"/>
        <item x="2372"/>
        <item x="627"/>
        <item x="642"/>
        <item x="718"/>
        <item x="4429"/>
        <item x="3951"/>
        <item x="3178"/>
        <item x="2159"/>
        <item x="4113"/>
        <item x="3314"/>
        <item x="4443"/>
        <item x="3659"/>
        <item x="4253"/>
        <item x="1738"/>
        <item x="2364"/>
        <item x="1781"/>
        <item x="838"/>
        <item x="3112"/>
        <item x="3650"/>
        <item x="2828"/>
        <item x="3157"/>
        <item x="4361"/>
        <item x="259"/>
        <item x="3183"/>
        <item x="2474"/>
        <item x="4055"/>
        <item x="4396"/>
        <item x="331"/>
        <item x="2639"/>
        <item x="4086"/>
        <item x="3867"/>
        <item x="926"/>
        <item x="4329"/>
        <item x="3621"/>
        <item x="1472"/>
        <item x="460"/>
        <item x="2535"/>
        <item x="2260"/>
        <item x="3394"/>
        <item x="1238"/>
        <item x="2717"/>
        <item x="919"/>
        <item x="3366"/>
        <item x="4266"/>
        <item x="2754"/>
        <item x="3892"/>
        <item x="2314"/>
        <item x="248"/>
        <item x="214"/>
        <item x="3679"/>
        <item x="1269"/>
        <item x="2557"/>
        <item x="2083"/>
        <item x="3172"/>
        <item x="864"/>
        <item x="49"/>
        <item x="2532"/>
        <item x="4044"/>
        <item x="2225"/>
        <item x="231"/>
        <item x="2913"/>
        <item x="441"/>
        <item x="4187"/>
        <item x="2538"/>
        <item x="2979"/>
        <item x="435"/>
        <item x="2650"/>
        <item x="1296"/>
        <item x="3312"/>
        <item x="4397"/>
        <item x="1962"/>
        <item x="978"/>
        <item t="default"/>
      </items>
    </pivotField>
    <pivotField showAll="0"/>
    <pivotField axis="axisRow" showAll="0" measureFilter="1" sortType="descending">
      <items count="20">
        <item x="14"/>
        <item x="5"/>
        <item x="0"/>
        <item x="3"/>
        <item x="10"/>
        <item x="17"/>
        <item x="4"/>
        <item x="13"/>
        <item x="12"/>
        <item x="6"/>
        <item x="7"/>
        <item x="8"/>
        <item x="18"/>
        <item x="15"/>
        <item x="16"/>
        <item x="11"/>
        <item x="9"/>
        <item x="1"/>
        <item x="2"/>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9"/>
  </rowFields>
  <rowItems count="6">
    <i>
      <x v="8"/>
    </i>
    <i>
      <x v="3"/>
    </i>
    <i>
      <x v="18"/>
    </i>
    <i>
      <x v="6"/>
    </i>
    <i>
      <x v="17"/>
    </i>
    <i t="grand">
      <x/>
    </i>
  </rowItems>
  <colItems count="1">
    <i/>
  </colItems>
  <dataFields count="1">
    <dataField name="Sum of total_price" fld="12" showDataAs="percentOfCol" baseField="0" baseItem="0" numFmtId="10"/>
  </dataFields>
  <chartFormats count="12">
    <chartFormat chart="16" format="0" series="1">
      <pivotArea type="data" outline="0" fieldPosition="0">
        <references count="1">
          <reference field="4294967294" count="1" selected="0">
            <x v="0"/>
          </reference>
        </references>
      </pivotArea>
    </chartFormat>
    <chartFormat chart="18" format="7" series="1">
      <pivotArea type="data" outline="0" fieldPosition="0">
        <references count="1">
          <reference field="4294967294" count="1" selected="0">
            <x v="0"/>
          </reference>
        </references>
      </pivotArea>
    </chartFormat>
    <chartFormat chart="18" format="8">
      <pivotArea type="data" outline="0" fieldPosition="0">
        <references count="2">
          <reference field="4294967294" count="1" selected="0">
            <x v="0"/>
          </reference>
          <reference field="9" count="1" selected="0">
            <x v="3"/>
          </reference>
        </references>
      </pivotArea>
    </chartFormat>
    <chartFormat chart="18" format="9">
      <pivotArea type="data" outline="0" fieldPosition="0">
        <references count="2">
          <reference field="4294967294" count="1" selected="0">
            <x v="0"/>
          </reference>
          <reference field="9" count="1" selected="0">
            <x v="6"/>
          </reference>
        </references>
      </pivotArea>
    </chartFormat>
    <chartFormat chart="18" format="10">
      <pivotArea type="data" outline="0" fieldPosition="0">
        <references count="2">
          <reference field="4294967294" count="1" selected="0">
            <x v="0"/>
          </reference>
          <reference field="9" count="1" selected="0">
            <x v="8"/>
          </reference>
        </references>
      </pivotArea>
    </chartFormat>
    <chartFormat chart="18" format="11">
      <pivotArea type="data" outline="0" fieldPosition="0">
        <references count="2">
          <reference field="4294967294" count="1" selected="0">
            <x v="0"/>
          </reference>
          <reference field="9" count="1" selected="0">
            <x v="17"/>
          </reference>
        </references>
      </pivotArea>
    </chartFormat>
    <chartFormat chart="18" format="12">
      <pivotArea type="data" outline="0" fieldPosition="0">
        <references count="2">
          <reference field="4294967294" count="1" selected="0">
            <x v="0"/>
          </reference>
          <reference field="9" count="1" selected="0">
            <x v="18"/>
          </reference>
        </references>
      </pivotArea>
    </chartFormat>
    <chartFormat chart="16" format="1">
      <pivotArea type="data" outline="0" fieldPosition="0">
        <references count="2">
          <reference field="4294967294" count="1" selected="0">
            <x v="0"/>
          </reference>
          <reference field="9" count="1" selected="0">
            <x v="3"/>
          </reference>
        </references>
      </pivotArea>
    </chartFormat>
    <chartFormat chart="16" format="2">
      <pivotArea type="data" outline="0" fieldPosition="0">
        <references count="2">
          <reference field="4294967294" count="1" selected="0">
            <x v="0"/>
          </reference>
          <reference field="9" count="1" selected="0">
            <x v="6"/>
          </reference>
        </references>
      </pivotArea>
    </chartFormat>
    <chartFormat chart="16" format="3">
      <pivotArea type="data" outline="0" fieldPosition="0">
        <references count="2">
          <reference field="4294967294" count="1" selected="0">
            <x v="0"/>
          </reference>
          <reference field="9" count="1" selected="0">
            <x v="8"/>
          </reference>
        </references>
      </pivotArea>
    </chartFormat>
    <chartFormat chart="16" format="4">
      <pivotArea type="data" outline="0" fieldPosition="0">
        <references count="2">
          <reference field="4294967294" count="1" selected="0">
            <x v="0"/>
          </reference>
          <reference field="9" count="1" selected="0">
            <x v="17"/>
          </reference>
        </references>
      </pivotArea>
    </chartFormat>
    <chartFormat chart="16" format="5">
      <pivotArea type="data" outline="0" fieldPosition="0">
        <references count="2">
          <reference field="4294967294" count="1" selected="0">
            <x v="0"/>
          </reference>
          <reference field="9" count="1" selected="0">
            <x v="18"/>
          </reference>
        </references>
      </pivotArea>
    </chartFormat>
  </chartFormats>
  <pivotTableStyleInfo name="PivotStyleLight16" showRowHeaders="1" showColHeaders="1" showRowStripes="0" showColStripes="0" showLastColumn="1"/>
  <filters count="1">
    <filter fld="9"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A6EE79A-14BE-6A41-891D-18ACD4315A20}" name="category percentage"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2:B37" firstHeaderRow="1" firstDataRow="1" firstDataCol="1"/>
  <pivotFields count="15">
    <pivotField showAll="0"/>
    <pivotField showAll="0"/>
    <pivotField showAll="0"/>
    <pivotField showAll="0">
      <items count="13">
        <item x="0"/>
        <item x="1"/>
        <item x="2"/>
        <item x="3"/>
        <item x="4"/>
        <item x="5"/>
        <item x="6"/>
        <item x="7"/>
        <item x="8"/>
        <item x="9"/>
        <item x="10"/>
        <item x="11"/>
        <item t="default"/>
      </items>
    </pivotField>
    <pivotField numFmtId="14" showAll="0"/>
    <pivotField showAll="0"/>
    <pivotField showAll="0"/>
    <pivotField numFmtId="21" showAll="0">
      <items count="4489">
        <item x="3898"/>
        <item x="3200"/>
        <item x="2381"/>
        <item x="2793"/>
        <item x="4242"/>
        <item x="1992"/>
        <item x="2271"/>
        <item x="2464"/>
        <item x="3503"/>
        <item x="2920"/>
        <item x="2692"/>
        <item x="4316"/>
        <item x="3270"/>
        <item x="2275"/>
        <item x="3351"/>
        <item x="3575"/>
        <item x="515"/>
        <item x="2540"/>
        <item x="2354"/>
        <item x="3133"/>
        <item x="1255"/>
        <item x="158"/>
        <item x="2050"/>
        <item x="1855"/>
        <item x="1071"/>
        <item x="4111"/>
        <item x="847"/>
        <item x="22"/>
        <item x="1081"/>
        <item x="3535"/>
        <item x="3455"/>
        <item x="182"/>
        <item x="15"/>
        <item x="111"/>
        <item x="3072"/>
        <item x="1767"/>
        <item x="3576"/>
        <item x="2018"/>
        <item x="1184"/>
        <item x="4389"/>
        <item x="137"/>
        <item x="3698"/>
        <item x="3022"/>
        <item x="646"/>
        <item x="529"/>
        <item x="1681"/>
        <item x="2244"/>
        <item x="4000"/>
        <item x="2144"/>
        <item x="1884"/>
        <item x="2152"/>
        <item x="3915"/>
        <item x="2936"/>
        <item x="3945"/>
        <item x="3382"/>
        <item x="2690"/>
        <item x="3244"/>
        <item x="3060"/>
        <item x="4219"/>
        <item x="927"/>
        <item x="4020"/>
        <item x="2416"/>
        <item x="2565"/>
        <item x="1994"/>
        <item x="3648"/>
        <item x="1259"/>
        <item x="1315"/>
        <item x="345"/>
        <item x="2498"/>
        <item x="155"/>
        <item x="1374"/>
        <item x="4360"/>
        <item x="3447"/>
        <item x="3710"/>
        <item x="1384"/>
        <item x="1159"/>
        <item x="2777"/>
        <item x="1225"/>
        <item x="4473"/>
        <item x="3751"/>
        <item x="1547"/>
        <item x="3377"/>
        <item x="1893"/>
        <item x="311"/>
        <item x="251"/>
        <item x="2076"/>
        <item x="755"/>
        <item x="1704"/>
        <item x="3542"/>
        <item x="3091"/>
        <item x="745"/>
        <item x="1645"/>
        <item x="3024"/>
        <item x="2274"/>
        <item x="4281"/>
        <item x="397"/>
        <item x="4398"/>
        <item x="3835"/>
        <item x="3059"/>
        <item x="4459"/>
        <item x="442"/>
        <item x="2851"/>
        <item x="1966"/>
        <item x="882"/>
        <item x="1261"/>
        <item x="591"/>
        <item x="3708"/>
        <item x="2077"/>
        <item x="1487"/>
        <item x="3732"/>
        <item x="1674"/>
        <item x="1885"/>
        <item x="2744"/>
        <item x="3548"/>
        <item x="1037"/>
        <item x="2184"/>
        <item x="343"/>
        <item x="211"/>
        <item x="969"/>
        <item x="3715"/>
        <item x="2675"/>
        <item x="522"/>
        <item x="2463"/>
        <item x="1076"/>
        <item x="3150"/>
        <item x="1789"/>
        <item x="54"/>
        <item x="3530"/>
        <item x="191"/>
        <item x="325"/>
        <item x="4296"/>
        <item x="3076"/>
        <item x="1455"/>
        <item x="142"/>
        <item x="2553"/>
        <item x="3378"/>
        <item x="3125"/>
        <item x="3152"/>
        <item x="4037"/>
        <item x="108"/>
        <item x="8"/>
        <item x="86"/>
        <item x="381"/>
        <item x="2432"/>
        <item x="1443"/>
        <item x="299"/>
        <item x="2259"/>
        <item x="794"/>
        <item x="88"/>
        <item x="4412"/>
        <item x="742"/>
        <item x="3313"/>
        <item x="3405"/>
        <item x="4034"/>
        <item x="3634"/>
        <item x="2611"/>
        <item x="922"/>
        <item x="2220"/>
        <item x="3664"/>
        <item x="1556"/>
        <item x="549"/>
        <item x="461"/>
        <item x="2983"/>
        <item x="2922"/>
        <item x="2654"/>
        <item x="2273"/>
        <item x="4486"/>
        <item x="1731"/>
        <item x="2444"/>
        <item x="1446"/>
        <item x="3723"/>
        <item x="398"/>
        <item x="1409"/>
        <item x="3747"/>
        <item x="1102"/>
        <item x="4175"/>
        <item x="2345"/>
        <item x="3261"/>
        <item x="3508"/>
        <item x="2401"/>
        <item x="1907"/>
        <item x="4260"/>
        <item x="3888"/>
        <item x="477"/>
        <item x="2529"/>
        <item x="1175"/>
        <item x="1489"/>
        <item x="68"/>
        <item x="2505"/>
        <item x="559"/>
        <item x="45"/>
        <item x="474"/>
        <item x="885"/>
        <item x="1072"/>
        <item x="686"/>
        <item x="996"/>
        <item x="1241"/>
        <item x="1800"/>
        <item x="4149"/>
        <item x="4075"/>
        <item x="2453"/>
        <item x="4211"/>
        <item x="57"/>
        <item x="3822"/>
        <item x="3079"/>
        <item x="3173"/>
        <item x="3088"/>
        <item x="3162"/>
        <item x="436"/>
        <item x="4059"/>
        <item x="2013"/>
        <item x="3717"/>
        <item x="4092"/>
        <item x="2651"/>
        <item x="1272"/>
        <item x="4315"/>
        <item x="1624"/>
        <item x="2422"/>
        <item x="1162"/>
        <item x="4477"/>
        <item x="2279"/>
        <item x="3347"/>
        <item x="3216"/>
        <item x="3431"/>
        <item x="1557"/>
        <item x="2492"/>
        <item x="2722"/>
        <item x="3692"/>
        <item x="337"/>
        <item x="4027"/>
        <item x="4300"/>
        <item x="1881"/>
        <item x="4484"/>
        <item x="2467"/>
        <item x="4466"/>
        <item x="454"/>
        <item x="330"/>
        <item x="907"/>
        <item x="4348"/>
        <item x="4170"/>
        <item x="1335"/>
        <item x="2278"/>
        <item x="1069"/>
        <item x="3890"/>
        <item x="4413"/>
        <item x="3699"/>
        <item x="982"/>
        <item x="2214"/>
        <item x="1380"/>
        <item x="3000"/>
        <item x="2912"/>
        <item x="626"/>
        <item x="2007"/>
        <item x="941"/>
        <item x="2160"/>
        <item x="3208"/>
        <item x="2237"/>
        <item x="3795"/>
        <item x="1428"/>
        <item x="2686"/>
        <item x="496"/>
        <item x="2891"/>
        <item x="1095"/>
        <item x="2034"/>
        <item x="764"/>
        <item x="4222"/>
        <item x="3028"/>
        <item x="457"/>
        <item x="2697"/>
        <item x="3556"/>
        <item x="2987"/>
        <item x="2057"/>
        <item x="2807"/>
        <item x="3619"/>
        <item x="4098"/>
        <item x="2719"/>
        <item x="208"/>
        <item x="2995"/>
        <item x="2520"/>
        <item x="1157"/>
        <item x="979"/>
        <item x="725"/>
        <item x="4248"/>
        <item x="3220"/>
        <item x="223"/>
        <item x="478"/>
        <item x="3436"/>
        <item x="1530"/>
        <item x="1449"/>
        <item x="3136"/>
        <item x="2575"/>
        <item x="669"/>
        <item x="2227"/>
        <item x="4114"/>
        <item x="1196"/>
        <item x="3077"/>
        <item x="2993"/>
        <item x="2952"/>
        <item x="2289"/>
        <item x="2595"/>
        <item x="3081"/>
        <item x="144"/>
        <item x="78"/>
        <item x="2462"/>
        <item x="303"/>
        <item x="1358"/>
        <item x="3300"/>
        <item x="41"/>
        <item x="3953"/>
        <item x="3251"/>
        <item x="4462"/>
        <item x="1435"/>
        <item x="1863"/>
        <item x="2727"/>
        <item x="1131"/>
        <item x="2533"/>
        <item x="651"/>
        <item x="1373"/>
        <item x="494"/>
        <item x="1288"/>
        <item x="4048"/>
        <item x="2716"/>
        <item x="2615"/>
        <item x="2823"/>
        <item x="1168"/>
        <item x="2561"/>
        <item x="3863"/>
        <item x="3412"/>
        <item x="1352"/>
        <item x="801"/>
        <item x="3857"/>
        <item x="1901"/>
        <item x="990"/>
        <item x="3470"/>
        <item x="1338"/>
        <item x="876"/>
        <item x="4372"/>
        <item x="3227"/>
        <item x="3826"/>
        <item x="2933"/>
        <item x="500"/>
        <item x="2821"/>
        <item x="4336"/>
        <item x="1208"/>
        <item x="2695"/>
        <item x="1491"/>
        <item x="3418"/>
        <item x="3424"/>
        <item x="1093"/>
        <item x="2517"/>
        <item x="3856"/>
        <item x="1617"/>
        <item x="260"/>
        <item x="1658"/>
        <item x="4303"/>
        <item x="3046"/>
        <item x="2588"/>
        <item x="1650"/>
        <item x="3785"/>
        <item x="3579"/>
        <item x="3413"/>
        <item x="2280"/>
        <item x="2112"/>
        <item x="3557"/>
        <item x="914"/>
        <item x="1083"/>
        <item x="227"/>
        <item x="4341"/>
        <item x="728"/>
        <item x="1488"/>
        <item x="2815"/>
        <item x="1982"/>
        <item x="1798"/>
        <item x="2174"/>
        <item x="798"/>
        <item x="4018"/>
        <item x="3332"/>
        <item x="1456"/>
        <item x="2120"/>
        <item x="656"/>
        <item x="354"/>
        <item x="1228"/>
        <item x="446"/>
        <item x="2954"/>
        <item x="603"/>
        <item x="2570"/>
        <item x="3561"/>
        <item x="2797"/>
        <item x="2163"/>
        <item x="4091"/>
        <item x="3058"/>
        <item x="4058"/>
        <item x="3002"/>
        <item x="1758"/>
        <item x="2774"/>
        <item x="1403"/>
        <item x="3004"/>
        <item x="3115"/>
        <item x="324"/>
        <item x="1801"/>
        <item x="2564"/>
        <item x="3236"/>
        <item x="2772"/>
        <item x="1591"/>
        <item x="272"/>
        <item x="1922"/>
        <item x="3130"/>
        <item x="4029"/>
        <item x="3923"/>
        <item x="1987"/>
        <item x="2093"/>
        <item x="1364"/>
        <item x="2632"/>
        <item x="2357"/>
        <item x="1780"/>
        <item x="2391"/>
        <item x="783"/>
        <item x="3655"/>
        <item x="1014"/>
        <item x="59"/>
        <item x="2511"/>
        <item x="640"/>
        <item x="544"/>
        <item x="561"/>
        <item x="1802"/>
        <item x="1367"/>
        <item x="3214"/>
        <item x="1852"/>
        <item x="348"/>
        <item x="1052"/>
        <item x="1667"/>
        <item x="471"/>
        <item x="4224"/>
        <item x="677"/>
        <item x="3486"/>
        <item x="2056"/>
        <item x="1569"/>
        <item x="1980"/>
        <item x="405"/>
        <item x="610"/>
        <item x="4197"/>
        <item x="641"/>
        <item x="204"/>
        <item x="3833"/>
        <item x="3552"/>
        <item x="573"/>
        <item x="3743"/>
        <item x="2978"/>
        <item x="2885"/>
        <item x="153"/>
        <item x="4053"/>
        <item x="2208"/>
        <item x="874"/>
        <item x="2457"/>
        <item x="2583"/>
        <item x="670"/>
        <item x="2360"/>
        <item x="873"/>
        <item x="1634"/>
        <item x="4419"/>
        <item x="829"/>
        <item x="438"/>
        <item x="917"/>
        <item x="3580"/>
        <item x="408"/>
        <item x="1703"/>
        <item x="3538"/>
        <item x="2974"/>
        <item x="2853"/>
        <item x="1515"/>
        <item x="4271"/>
        <item x="2095"/>
        <item x="3317"/>
        <item x="4383"/>
        <item x="685"/>
        <item x="4247"/>
        <item x="1606"/>
        <item x="4005"/>
        <item x="65"/>
        <item x="4186"/>
        <item x="1010"/>
        <item x="424"/>
        <item x="2649"/>
        <item x="1956"/>
        <item x="3379"/>
        <item x="3729"/>
        <item x="1046"/>
        <item x="1217"/>
        <item x="3520"/>
        <item x="2886"/>
        <item x="4436"/>
        <item x="3463"/>
        <item x="3955"/>
        <item x="2594"/>
        <item x="3696"/>
        <item x="1246"/>
        <item x="3139"/>
        <item x="503"/>
        <item x="3027"/>
        <item x="2094"/>
        <item x="3646"/>
        <item x="3080"/>
        <item x="4308"/>
        <item x="963"/>
        <item x="1618"/>
        <item x="3476"/>
        <item x="3903"/>
        <item x="181"/>
        <item x="1894"/>
        <item x="241"/>
        <item x="3560"/>
        <item x="1989"/>
        <item x="4307"/>
        <item x="3541"/>
        <item x="880"/>
        <item x="1937"/>
        <item x="2896"/>
        <item x="2276"/>
        <item x="1186"/>
        <item x="984"/>
        <item x="2574"/>
        <item x="933"/>
        <item x="2636"/>
        <item x="393"/>
        <item x="3738"/>
        <item x="4433"/>
        <item x="2605"/>
        <item x="992"/>
        <item x="3815"/>
        <item x="2785"/>
        <item x="1249"/>
        <item x="2041"/>
        <item x="2783"/>
        <item x="605"/>
        <item x="733"/>
        <item x="1116"/>
        <item x="1895"/>
        <item x="1875"/>
        <item x="3458"/>
        <item x="2287"/>
        <item x="3842"/>
        <item x="3972"/>
        <item x="2708"/>
        <item x="2900"/>
        <item x="2084"/>
        <item x="2236"/>
        <item x="2063"/>
        <item x="1655"/>
        <item x="310"/>
        <item x="526"/>
        <item x="2935"/>
        <item x="2769"/>
        <item x="675"/>
        <item x="358"/>
        <item x="1191"/>
        <item x="3604"/>
        <item x="3644"/>
        <item x="2149"/>
        <item x="889"/>
        <item x="3373"/>
        <item x="3404"/>
        <item x="1865"/>
        <item x="2911"/>
        <item x="4407"/>
        <item x="1633"/>
        <item x="3326"/>
        <item x="3062"/>
        <item x="811"/>
        <item x="1848"/>
        <item x="650"/>
        <item x="608"/>
        <item x="2350"/>
        <item x="2082"/>
        <item x="3402"/>
        <item x="4007"/>
        <item x="1477"/>
        <item x="4228"/>
        <item x="20"/>
        <item x="1035"/>
        <item x="2154"/>
        <item x="1012"/>
        <item x="3946"/>
        <item x="390"/>
        <item x="3155"/>
        <item x="588"/>
        <item x="2055"/>
        <item x="92"/>
        <item x="2268"/>
        <item x="243"/>
        <item x="447"/>
        <item x="4123"/>
        <item x="4131"/>
        <item x="3008"/>
        <item x="2202"/>
        <item x="4016"/>
        <item x="3045"/>
        <item x="2563"/>
        <item x="2213"/>
        <item x="1745"/>
        <item x="364"/>
        <item x="1524"/>
        <item x="4355"/>
        <item x="3396"/>
        <item x="2616"/>
        <item x="3019"/>
        <item x="1581"/>
        <item x="3741"/>
        <item x="1322"/>
        <item x="1903"/>
        <item x="2753"/>
        <item x="4249"/>
        <item x="266"/>
        <item x="2069"/>
        <item x="2910"/>
        <item x="3372"/>
        <item x="2523"/>
        <item x="1210"/>
        <item x="3806"/>
        <item x="1286"/>
        <item x="340"/>
        <item x="378"/>
        <item x="3605"/>
        <item x="2768"/>
        <item x="4172"/>
        <item x="2623"/>
        <item x="510"/>
        <item x="1226"/>
        <item x="956"/>
        <item x="3375"/>
        <item x="2431"/>
        <item x="270"/>
        <item x="3802"/>
        <item x="375"/>
        <item x="3441"/>
        <item x="4120"/>
        <item x="3167"/>
        <item x="1092"/>
        <item x="1357"/>
        <item x="382"/>
        <item x="2175"/>
        <item x="3055"/>
        <item x="3163"/>
        <item x="823"/>
        <item x="1271"/>
        <item x="2836"/>
        <item x="3727"/>
        <item x="2234"/>
        <item x="1155"/>
        <item x="55"/>
        <item x="4065"/>
        <item x="2332"/>
        <item x="1143"/>
        <item x="3360"/>
        <item x="2506"/>
        <item x="1917"/>
        <item x="4304"/>
        <item x="576"/>
        <item x="1955"/>
        <item x="2860"/>
        <item x="2394"/>
        <item x="17"/>
        <item x="3836"/>
        <item x="1925"/>
        <item x="1936"/>
        <item x="1080"/>
        <item x="3882"/>
        <item x="902"/>
        <item x="1968"/>
        <item x="3736"/>
        <item x="540"/>
        <item x="404"/>
        <item x="1049"/>
        <item x="1405"/>
        <item x="3199"/>
        <item x="853"/>
        <item x="2131"/>
        <item x="664"/>
        <item x="1824"/>
        <item x="1355"/>
        <item x="4339"/>
        <item x="3358"/>
        <item x="2106"/>
        <item x="3682"/>
        <item x="2946"/>
        <item x="3569"/>
        <item x="3678"/>
        <item x="2678"/>
        <item x="4259"/>
        <item x="647"/>
        <item x="786"/>
        <item x="286"/>
        <item x="1825"/>
        <item x="892"/>
        <item x="4379"/>
        <item x="3809"/>
        <item x="3839"/>
        <item x="2824"/>
        <item x="3893"/>
        <item x="2578"/>
        <item x="3207"/>
        <item x="891"/>
        <item x="177"/>
        <item x="1006"/>
        <item x="2015"/>
        <item x="1778"/>
        <item x="1646"/>
        <item x="1169"/>
        <item x="282"/>
        <item x="113"/>
        <item x="4306"/>
        <item x="806"/>
        <item x="2620"/>
        <item x="962"/>
        <item x="2812"/>
        <item x="2867"/>
        <item x="1124"/>
        <item x="4183"/>
        <item x="4217"/>
        <item x="1141"/>
        <item x="533"/>
        <item x="2169"/>
        <item x="295"/>
        <item x="3956"/>
        <item x="1643"/>
        <item x="3612"/>
        <item x="870"/>
        <item x="3401"/>
        <item x="2791"/>
        <item x="3924"/>
        <item x="1256"/>
        <item x="1905"/>
        <item x="1605"/>
        <item x="1105"/>
        <item x="648"/>
        <item x="2725"/>
        <item x="3262"/>
        <item x="2306"/>
        <item x="2436"/>
        <item x="3496"/>
        <item x="1675"/>
        <item x="1054"/>
        <item x="3875"/>
        <item x="422"/>
        <item x="4425"/>
        <item x="82"/>
        <item x="1516"/>
        <item x="3964"/>
        <item x="2210"/>
        <item x="3451"/>
        <item x="4073"/>
        <item x="1900"/>
        <item x="4040"/>
        <item x="4082"/>
        <item x="3406"/>
        <item x="1090"/>
        <item x="2648"/>
        <item x="2490"/>
        <item x="1417"/>
        <item x="4148"/>
        <item x="2685"/>
        <item x="2882"/>
        <item x="1695"/>
        <item x="2054"/>
        <item x="1303"/>
        <item x="538"/>
        <item x="3456"/>
        <item x="3085"/>
        <item x="2633"/>
        <item x="4416"/>
        <item x="1562"/>
        <item x="4424"/>
        <item x="2088"/>
        <item x="1253"/>
        <item x="1990"/>
        <item x="475"/>
        <item x="2568"/>
        <item x="2356"/>
        <item x="2327"/>
        <item x="1690"/>
        <item x="154"/>
        <item x="224"/>
        <item x="1656"/>
        <item x="0"/>
        <item x="3457"/>
        <item x="338"/>
        <item x="3550"/>
        <item x="1486"/>
        <item x="4084"/>
        <item x="2190"/>
        <item x="1418"/>
        <item x="1520"/>
        <item x="3998"/>
        <item x="3188"/>
        <item x="3987"/>
        <item x="2471"/>
        <item x="2528"/>
        <item x="1231"/>
        <item x="2390"/>
        <item x="1867"/>
        <item x="3549"/>
        <item x="2251"/>
        <item x="2108"/>
        <item x="4001"/>
        <item x="1873"/>
        <item x="3522"/>
        <item x="1608"/>
        <item x="3082"/>
        <item x="1165"/>
        <item x="4235"/>
        <item x="1911"/>
        <item x="168"/>
        <item x="87"/>
        <item x="1038"/>
        <item x="1594"/>
        <item x="1479"/>
        <item x="3687"/>
        <item x="1082"/>
        <item x="4209"/>
        <item x="3400"/>
        <item x="2736"/>
        <item x="308"/>
        <item x="851"/>
        <item x="2895"/>
        <item x="2325"/>
        <item x="883"/>
        <item x="3861"/>
        <item x="3616"/>
        <item x="972"/>
        <item x="3354"/>
        <item x="2096"/>
        <item x="2104"/>
        <item x="2080"/>
        <item x="2898"/>
        <item x="4036"/>
        <item x="3934"/>
        <item x="3676"/>
        <item x="925"/>
        <item x="1431"/>
        <item x="3626"/>
        <item x="4076"/>
        <item x="1995"/>
        <item x="2316"/>
        <item x="2656"/>
        <item x="128"/>
        <item x="3927"/>
        <item x="394"/>
        <item x="2799"/>
        <item x="2107"/>
        <item x="3"/>
        <item x="4072"/>
        <item x="3737"/>
        <item x="1628"/>
        <item x="3671"/>
        <item x="2609"/>
        <item x="3974"/>
        <item x="2001"/>
        <item x="2011"/>
        <item x="3661"/>
        <item x="1766"/>
        <item x="2515"/>
        <item x="1938"/>
        <item x="858"/>
        <item x="3526"/>
        <item x="3439"/>
        <item x="4200"/>
        <item x="3087"/>
        <item x="2047"/>
        <item x="3255"/>
        <item x="3965"/>
        <item x="2361"/>
        <item x="4068"/>
        <item x="2311"/>
        <item x="1986"/>
        <item x="871"/>
        <item x="2367"/>
        <item x="1245"/>
        <item x="2767"/>
        <item x="1910"/>
        <item x="3098"/>
        <item x="2949"/>
        <item x="37"/>
        <item x="2829"/>
        <item x="1823"/>
        <item x="4152"/>
        <item x="2187"/>
        <item x="774"/>
        <item x="3823"/>
        <item x="4019"/>
        <item x="1883"/>
        <item x="3775"/>
        <item x="4226"/>
        <item x="1661"/>
        <item x="1732"/>
        <item x="1149"/>
        <item x="434"/>
        <item x="1677"/>
        <item x="1410"/>
        <item x="2445"/>
        <item x="2683"/>
        <item x="4083"/>
        <item x="187"/>
        <item x="3499"/>
        <item x="1592"/>
        <item x="105"/>
        <item x="2302"/>
        <item x="1942"/>
        <item x="3932"/>
        <item x="2168"/>
        <item x="2382"/>
        <item x="13"/>
        <item x="776"/>
        <item x="1794"/>
        <item x="888"/>
        <item x="1275"/>
        <item x="2857"/>
        <item x="197"/>
        <item x="1949"/>
        <item x="2915"/>
        <item x="1603"/>
        <item x="2820"/>
        <item x="1978"/>
        <item x="1068"/>
        <item x="2468"/>
        <item x="509"/>
        <item x="3359"/>
        <item x="1057"/>
        <item x="895"/>
        <item x="636"/>
        <item x="366"/>
        <item x="1468"/>
        <item x="4356"/>
        <item x="439"/>
        <item x="4060"/>
        <item x="3798"/>
        <item x="2504"/>
        <item x="2143"/>
        <item x="3756"/>
        <item x="1951"/>
        <item x="3285"/>
        <item x="893"/>
        <item x="491"/>
        <item x="116"/>
        <item x="4151"/>
        <item x="4240"/>
        <item x="2889"/>
        <item x="110"/>
        <item x="2006"/>
        <item x="2782"/>
        <item x="1025"/>
        <item x="2718"/>
        <item x="1377"/>
        <item x="3654"/>
        <item x="1317"/>
        <item x="3740"/>
        <item x="1664"/>
        <item x="370"/>
        <item x="3511"/>
        <item x="1098"/>
        <item x="1931"/>
        <item x="2115"/>
        <item x="453"/>
        <item x="3792"/>
        <item x="289"/>
        <item x="66"/>
        <item x="867"/>
        <item x="2348"/>
        <item x="713"/>
        <item x="2177"/>
        <item x="323"/>
        <item x="3559"/>
        <item x="1340"/>
        <item x="417"/>
        <item x="3649"/>
        <item x="2916"/>
        <item x="72"/>
        <item x="1274"/>
        <item x="578"/>
        <item x="4264"/>
        <item x="4145"/>
        <item x="2751"/>
        <item x="4422"/>
        <item x="4167"/>
        <item x="2668"/>
        <item x="469"/>
        <item x="1424"/>
        <item x="3151"/>
        <item x="1518"/>
        <item x="3182"/>
        <item x="1930"/>
        <item x="2970"/>
        <item x="782"/>
        <item x="2941"/>
        <item x="318"/>
        <item x="632"/>
        <item x="2266"/>
        <item x="2212"/>
        <item x="218"/>
        <item x="659"/>
        <item x="2794"/>
        <item x="3959"/>
        <item x="1028"/>
        <item x="2945"/>
        <item x="3728"/>
        <item x="1906"/>
        <item x="2555"/>
        <item x="3453"/>
        <item x="732"/>
        <item x="1637"/>
        <item x="2012"/>
        <item x="2712"/>
        <item x="1567"/>
        <item x="2178"/>
        <item x="1464"/>
        <item x="3543"/>
        <item x="589"/>
        <item x="3073"/>
        <item x="2493"/>
        <item x="363"/>
        <item x="4325"/>
        <item x="3119"/>
        <item x="2123"/>
        <item x="3691"/>
        <item x="1845"/>
        <item x="623"/>
        <item x="3947"/>
        <item x="1067"/>
        <item x="2627"/>
        <item x="2934"/>
        <item x="4176"/>
        <item x="3387"/>
        <item x="3961"/>
        <item x="3978"/>
        <item x="719"/>
        <item x="1589"/>
        <item x="1864"/>
        <item x="3420"/>
        <item x="4408"/>
        <item x="2743"/>
        <item x="2480"/>
        <item x="1807"/>
        <item x="380"/>
        <item x="1395"/>
        <item x="4347"/>
        <item x="1187"/>
        <item x="232"/>
        <item x="3291"/>
        <item x="4105"/>
        <item x="4038"/>
        <item x="3624"/>
        <item x="1747"/>
        <item x="3615"/>
        <item x="418"/>
        <item x="537"/>
        <item x="1130"/>
        <item x="2547"/>
        <item x="3269"/>
        <item x="3128"/>
        <item x="423"/>
        <item x="991"/>
        <item x="723"/>
        <item x="1921"/>
        <item x="2808"/>
        <item x="482"/>
        <item x="1414"/>
        <item x="2185"/>
        <item x="1101"/>
        <item x="676"/>
        <item x="7"/>
        <item x="1711"/>
        <item x="2559"/>
        <item x="215"/>
        <item x="2283"/>
        <item x="3389"/>
        <item x="1914"/>
        <item x="3913"/>
        <item x="1147"/>
        <item x="2430"/>
        <item x="4213"/>
        <item x="579"/>
        <item x="3266"/>
        <item x="2045"/>
        <item x="377"/>
        <item x="2939"/>
        <item x="635"/>
        <item x="3242"/>
        <item x="1383"/>
        <item x="73"/>
        <item x="1136"/>
        <item x="2522"/>
        <item x="3204"/>
        <item x="2973"/>
        <item x="803"/>
        <item x="519"/>
        <item x="2597"/>
        <item x="777"/>
        <item x="4043"/>
        <item x="2699"/>
        <item x="1751"/>
        <item x="3851"/>
        <item x="2434"/>
        <item x="1768"/>
        <item x="770"/>
        <item x="287"/>
        <item x="472"/>
        <item x="2189"/>
        <item x="1545"/>
        <item x="384"/>
        <item x="552"/>
        <item x="1194"/>
        <item x="369"/>
        <item x="1627"/>
        <item x="791"/>
        <item x="1043"/>
        <item x="2427"/>
        <item x="3328"/>
        <item x="3873"/>
        <item x="2254"/>
        <item x="2587"/>
        <item x="3662"/>
        <item x="1411"/>
        <item x="3305"/>
        <item x="850"/>
        <item x="1390"/>
        <item x="1262"/>
        <item x="1841"/>
        <item x="4189"/>
        <item x="129"/>
        <item x="1198"/>
        <item x="89"/>
        <item x="4070"/>
        <item x="3403"/>
        <item x="1063"/>
        <item x="3239"/>
        <item x="2410"/>
        <item x="483"/>
        <item x="2395"/>
        <item x="3450"/>
        <item x="2874"/>
        <item x="712"/>
        <item x="4135"/>
        <item x="4268"/>
        <item x="2368"/>
        <item x="3954"/>
        <item x="3700"/>
        <item x="1299"/>
        <item x="3185"/>
        <item x="790"/>
        <item x="3039"/>
        <item x="1329"/>
        <item x="2786"/>
        <item x="2624"/>
        <item x="3250"/>
        <item x="4305"/>
        <item x="3231"/>
        <item x="2286"/>
        <item x="1698"/>
        <item x="1616"/>
        <item x="3539"/>
        <item x="1596"/>
        <item x="4358"/>
        <item x="652"/>
        <item x="800"/>
        <item x="912"/>
        <item x="2925"/>
        <item x="1856"/>
        <item x="4122"/>
        <item x="4237"/>
        <item x="2110"/>
        <item x="180"/>
        <item x="1328"/>
        <item x="3368"/>
        <item x="2926"/>
        <item x="3142"/>
        <item x="4011"/>
        <item x="1220"/>
        <item x="1128"/>
        <item x="3975"/>
        <item x="518"/>
        <item x="841"/>
        <item x="4280"/>
        <item x="2192"/>
        <item x="2584"/>
        <item x="2550"/>
        <item x="545"/>
        <item x="532"/>
        <item x="1504"/>
        <item x="593"/>
        <item x="4"/>
        <item x="4275"/>
        <item x="3223"/>
        <item x="3422"/>
        <item x="565"/>
        <item x="225"/>
        <item x="1470"/>
        <item x="1979"/>
        <item x="1540"/>
        <item x="4069"/>
        <item x="2992"/>
        <item x="1023"/>
        <item x="4287"/>
        <item x="757"/>
        <item x="1954"/>
        <item x="411"/>
        <item x="671"/>
        <item x="3218"/>
        <item x="630"/>
        <item x="1436"/>
        <item x="4252"/>
        <item x="1066"/>
        <item x="1039"/>
        <item x="2778"/>
        <item x="1053"/>
        <item x="3230"/>
        <item x="658"/>
        <item x="3514"/>
        <item x="662"/>
        <item x="3274"/>
        <item x="1267"/>
        <item x="1620"/>
        <item x="1575"/>
        <item x="759"/>
        <item x="3103"/>
        <item x="1679"/>
        <item x="3493"/>
        <item x="3878"/>
        <item x="511"/>
        <item x="3824"/>
        <item x="3597"/>
        <item x="100"/>
        <item x="611"/>
        <item x="3068"/>
        <item x="4319"/>
        <item x="1746"/>
        <item x="4063"/>
        <item x="903"/>
        <item x="1498"/>
        <item x="1499"/>
        <item x="2037"/>
        <item x="355"/>
        <item x="2741"/>
        <item x="2689"/>
        <item x="236"/>
        <item x="2016"/>
        <item x="192"/>
        <item x="4368"/>
        <item x="1115"/>
        <item x="2150"/>
        <item x="2554"/>
        <item x="999"/>
        <item x="333"/>
        <item x="3713"/>
        <item x="2334"/>
        <item x="2032"/>
        <item x="3801"/>
        <item x="2558"/>
        <item x="3205"/>
        <item x="3788"/>
        <item x="205"/>
        <item x="14"/>
        <item x="3770"/>
        <item x="553"/>
        <item x="1764"/>
        <item x="3523"/>
        <item x="758"/>
        <item x="3030"/>
        <item x="703"/>
        <item x="3668"/>
        <item x="173"/>
        <item x="1726"/>
        <item x="1422"/>
        <item x="3944"/>
        <item x="3084"/>
        <item x="1362"/>
        <item x="4373"/>
        <item x="346"/>
        <item x="1250"/>
        <item x="3791"/>
        <item x="2328"/>
        <item x="2051"/>
        <item x="3724"/>
        <item x="1407"/>
        <item x="3899"/>
        <item x="3850"/>
        <item x="1554"/>
        <item x="1790"/>
        <item x="495"/>
        <item x="2762"/>
        <item x="580"/>
        <item x="2374"/>
        <item x="3582"/>
        <item x="3854"/>
        <item x="1161"/>
        <item x="645"/>
        <item x="3050"/>
        <item x="1984"/>
        <item x="2566"/>
        <item x="4456"/>
        <item x="3210"/>
        <item x="980"/>
        <item x="1850"/>
        <item x="684"/>
        <item x="2525"/>
        <item x="1673"/>
        <item x="3656"/>
        <item x="1264"/>
        <item x="1762"/>
        <item x="785"/>
        <item x="254"/>
        <item x="463"/>
        <item x="1870"/>
        <item x="288"/>
        <item x="572"/>
        <item x="1279"/>
        <item x="123"/>
        <item x="1993"/>
        <item x="2074"/>
        <item x="1849"/>
        <item x="448"/>
        <item x="4302"/>
        <item x="1622"/>
        <item x="1742"/>
        <item x="3630"/>
        <item x="2039"/>
        <item x="2641"/>
        <item x="319"/>
        <item x="3421"/>
        <item x="2998"/>
        <item x="4255"/>
        <item x="3663"/>
        <item x="1860"/>
        <item x="3334"/>
        <item x="981"/>
        <item x="527"/>
        <item x="1292"/>
        <item x="3876"/>
        <item x="2291"/>
        <item x="3465"/>
        <item x="1916"/>
        <item x="3083"/>
        <item x="1977"/>
        <item x="3209"/>
        <item x="1022"/>
        <item x="1368"/>
        <item x="4085"/>
        <item x="4426"/>
        <item x="4284"/>
        <item x="2503"/>
        <item x="3319"/>
        <item x="4013"/>
        <item x="2079"/>
        <item x="2947"/>
        <item x="3238"/>
        <item x="62"/>
        <item x="4263"/>
        <item x="3918"/>
        <item x="1385"/>
        <item x="40"/>
        <item x="3941"/>
        <item x="4362"/>
        <item x="4125"/>
        <item x="4335"/>
        <item x="1500"/>
        <item x="1420"/>
        <item x="2906"/>
        <item x="2921"/>
        <item x="4081"/>
        <item x="1281"/>
        <item x="416"/>
        <item x="1920"/>
        <item x="1393"/>
        <item x="2700"/>
        <item x="3853"/>
        <item x="3023"/>
        <item x="278"/>
        <item x="3811"/>
        <item x="1706"/>
        <item x="125"/>
        <item x="2305"/>
        <item x="3430"/>
        <item x="2495"/>
        <item x="3746"/>
        <item x="4008"/>
        <item x="2486"/>
        <item x="1615"/>
        <item x="1804"/>
        <item x="2994"/>
        <item x="2162"/>
        <item x="958"/>
        <item x="2749"/>
        <item x="1099"/>
        <item x="1097"/>
        <item x="2775"/>
        <item x="4062"/>
        <item x="1017"/>
        <item x="2613"/>
        <item x="285"/>
        <item x="621"/>
        <item x="70"/>
        <item x="80"/>
        <item x="2647"/>
        <item x="269"/>
        <item x="2165"/>
        <item x="617"/>
        <item x="4214"/>
        <item x="60"/>
        <item x="2825"/>
        <item x="1693"/>
        <item x="493"/>
        <item x="3707"/>
        <item x="2710"/>
        <item x="2969"/>
        <item x="1927"/>
        <item x="1440"/>
        <item x="4127"/>
        <item x="2166"/>
        <item x="3196"/>
        <item x="3519"/>
        <item x="56"/>
        <item x="705"/>
        <item x="3515"/>
        <item x="4212"/>
        <item x="4171"/>
        <item x="2221"/>
        <item x="2642"/>
        <item x="1160"/>
        <item x="661"/>
        <item x="2216"/>
        <item x="1211"/>
        <item x="3983"/>
        <item x="4010"/>
        <item x="4204"/>
        <item x="3143"/>
        <item x="3197"/>
        <item x="3283"/>
        <item x="2404"/>
        <item x="291"/>
        <item x="3721"/>
        <item x="2764"/>
        <item x="1763"/>
        <item x="1145"/>
        <item x="694"/>
        <item x="1127"/>
        <item x="157"/>
        <item x="637"/>
        <item x="4402"/>
        <item x="1150"/>
        <item x="4006"/>
        <item x="4064"/>
        <item x="4414"/>
        <item x="3544"/>
        <item x="534"/>
        <item x="3258"/>
        <item x="948"/>
        <item x="1448"/>
        <item x="2957"/>
        <item x="3434"/>
        <item x="516"/>
        <item x="2408"/>
        <item x="590"/>
        <item x="894"/>
        <item x="2215"/>
        <item x="612"/>
        <item x="3897"/>
        <item x="1813"/>
        <item x="3293"/>
        <item x="3817"/>
        <item x="2127"/>
        <item x="2249"/>
        <item x="4074"/>
        <item x="2531"/>
        <item x="2536"/>
        <item x="3645"/>
        <item x="1096"/>
        <item x="660"/>
        <item x="3584"/>
        <item x="3454"/>
        <item x="1060"/>
        <item x="4101"/>
        <item x="419"/>
        <item x="170"/>
        <item x="3803"/>
        <item x="1687"/>
        <item x="4262"/>
        <item x="700"/>
        <item x="3507"/>
        <item x="2930"/>
        <item x="952"/>
        <item x="2211"/>
        <item x="3294"/>
        <item x="1129"/>
        <item x="2349"/>
        <item x="1248"/>
        <item x="1782"/>
        <item x="863"/>
        <item x="1527"/>
        <item x="1830"/>
        <item x="1408"/>
        <item x="2868"/>
        <item x="1466"/>
        <item x="1598"/>
        <item x="4137"/>
        <item x="2908"/>
        <item x="2373"/>
        <item x="4115"/>
        <item x="3189"/>
        <item x="2026"/>
        <item x="138"/>
        <item x="2205"/>
        <item x="3904"/>
        <item x="1709"/>
        <item x="3629"/>
        <item x="2005"/>
        <item x="71"/>
        <item x="3186"/>
        <item x="3370"/>
        <item x="2989"/>
        <item x="856"/>
        <item x="3171"/>
        <item x="570"/>
        <item x="2324"/>
        <item x="1531"/>
        <item x="932"/>
        <item x="3174"/>
        <item x="554"/>
        <item x="2839"/>
        <item x="2875"/>
        <item x="2009"/>
        <item x="1899"/>
        <item x="1945"/>
        <item x="1207"/>
        <item x="4282"/>
        <item x="3527"/>
        <item x="699"/>
        <item x="2962"/>
        <item x="2459"/>
        <item x="2871"/>
        <item x="2377"/>
        <item x="1735"/>
        <item x="3123"/>
        <item x="995"/>
        <item x="2257"/>
        <item x="2940"/>
        <item x="3126"/>
        <item x="4108"/>
        <item x="1234"/>
        <item x="1235"/>
        <item x="4318"/>
        <item x="3114"/>
        <item x="2105"/>
        <item x="167"/>
        <item x="4417"/>
        <item x="1304"/>
        <item x="2739"/>
        <item x="3657"/>
        <item x="2707"/>
        <item x="488"/>
        <item x="2201"/>
        <item x="2879"/>
        <item x="3016"/>
        <item x="628"/>
        <item x="3684"/>
        <item x="313"/>
        <item x="3784"/>
        <item x="3013"/>
        <item x="2676"/>
        <item x="252"/>
        <item x="3601"/>
        <item x="131"/>
        <item x="3585"/>
        <item x="4109"/>
        <item x="219"/>
        <item x="3631"/>
        <item x="4334"/>
        <item x="911"/>
        <item x="1140"/>
        <item x="1334"/>
        <item x="4112"/>
        <item x="3950"/>
        <item x="955"/>
        <item x="3212"/>
        <item x="501"/>
        <item x="724"/>
        <item x="3711"/>
        <item x="4153"/>
        <item x="2956"/>
        <item x="2317"/>
        <item x="357"/>
        <item x="3355"/>
        <item x="1533"/>
        <item x="4206"/>
        <item x="2172"/>
        <item x="3310"/>
        <item x="452"/>
        <item x="1820"/>
        <item x="2899"/>
        <item x="1268"/>
        <item x="1289"/>
        <item x="3190"/>
        <item x="1756"/>
        <item x="615"/>
        <item x="3841"/>
        <item x="1705"/>
        <item x="1697"/>
        <item x="704"/>
        <item x="2655"/>
        <item x="4324"/>
        <item x="1024"/>
        <item x="1201"/>
        <item x="3804"/>
        <item x="2309"/>
        <item x="1212"/>
        <item x="3495"/>
        <item x="508"/>
        <item x="3086"/>
        <item x="1512"/>
        <item x="1792"/>
        <item x="240"/>
        <item x="3968"/>
        <item x="4052"/>
        <item x="69"/>
        <item x="4265"/>
        <item x="2822"/>
        <item x="1480"/>
        <item x="3160"/>
        <item x="2451"/>
        <item x="507"/>
        <item x="3517"/>
        <item x="1913"/>
        <item x="1031"/>
        <item x="1020"/>
        <item x="1897"/>
        <item x="1946"/>
        <item x="4147"/>
        <item x="2469"/>
        <item x="1976"/>
        <item x="683"/>
        <item x="1669"/>
        <item x="1550"/>
        <item x="3362"/>
        <item x="4274"/>
        <item x="201"/>
        <item x="34"/>
        <item x="1492"/>
        <item x="3433"/>
        <item x="335"/>
        <item x="796"/>
        <item x="4458"/>
        <item x="3669"/>
        <item x="2501"/>
        <item x="2766"/>
        <item x="3881"/>
        <item x="4283"/>
        <item x="2663"/>
        <item x="2042"/>
        <item x="4002"/>
        <item x="1219"/>
        <item x="2002"/>
        <item x="1177"/>
        <item x="3096"/>
        <item x="1604"/>
        <item x="3307"/>
        <item x="569"/>
        <item x="3667"/>
        <item x="816"/>
        <item x="599"/>
        <item x="3435"/>
        <item x="3714"/>
        <item x="3361"/>
        <item x="1026"/>
        <item x="3980"/>
        <item x="97"/>
        <item x="2335"/>
        <item x="4223"/>
        <item x="2440"/>
        <item x="1944"/>
        <item x="3695"/>
        <item x="1391"/>
        <item x="4475"/>
        <item x="221"/>
        <item x="3810"/>
        <item x="1277"/>
        <item x="23"/>
        <item x="4140"/>
        <item x="3109"/>
        <item x="1866"/>
        <item x="258"/>
        <item x="145"/>
        <item x="4454"/>
        <item x="3466"/>
        <item x="2735"/>
        <item x="3985"/>
        <item x="2659"/>
        <item x="3689"/>
        <item x="4207"/>
        <item x="2397"/>
        <item x="2222"/>
        <item x="710"/>
        <item x="1239"/>
        <item x="2927"/>
        <item x="4418"/>
        <item x="3228"/>
        <item x="1817"/>
        <item x="1164"/>
        <item x="4289"/>
        <item x="2932"/>
        <item x="3641"/>
        <item x="1734"/>
        <item x="3282"/>
        <item x="264"/>
        <item x="490"/>
        <item x="3622"/>
        <item x="2141"/>
        <item x="1337"/>
        <item x="3106"/>
        <item x="2224"/>
        <item x="535"/>
        <item x="2304"/>
        <item x="763"/>
        <item x="749"/>
        <item x="4333"/>
        <item x="3952"/>
        <item x="4090"/>
        <item x="3339"/>
        <item x="3494"/>
        <item x="3761"/>
        <item x="3246"/>
        <item x="1760"/>
        <item x="2789"/>
        <item x="2500"/>
        <item x="3407"/>
        <item x="2878"/>
        <item x="1662"/>
        <item x="4403"/>
        <item x="1761"/>
        <item x="860"/>
        <item x="2389"/>
        <item x="3996"/>
        <item x="2519"/>
        <item x="3338"/>
        <item x="606"/>
        <item x="631"/>
        <item x="3020"/>
        <item x="1206"/>
        <item x="2603"/>
        <item x="1638"/>
        <item x="2022"/>
        <item x="3577"/>
        <item x="1833"/>
        <item x="3051"/>
        <item x="1892"/>
        <item x="1503"/>
        <item x="2770"/>
        <item x="184"/>
        <item x="3286"/>
        <item x="2450"/>
        <item x="1419"/>
        <item x="2483"/>
        <item x="126"/>
        <item x="625"/>
        <item x="1720"/>
        <item x="2884"/>
        <item x="3365"/>
        <item x="1828"/>
        <item x="121"/>
        <item x="163"/>
        <item x="183"/>
        <item x="1033"/>
        <item x="4461"/>
        <item x="1349"/>
        <item x="2477"/>
        <item x="2843"/>
        <item x="3391"/>
        <item x="2959"/>
        <item x="4420"/>
        <item x="2239"/>
        <item x="2024"/>
        <item x="3122"/>
        <item x="714"/>
        <item x="3327"/>
        <item x="4432"/>
        <item x="3670"/>
        <item x="934"/>
        <item x="1988"/>
        <item x="970"/>
        <item x="1898"/>
        <item x="2298"/>
        <item x="1490"/>
        <item x="2326"/>
        <item x="1915"/>
        <item x="1774"/>
        <item x="3481"/>
        <item x="1928"/>
        <item x="281"/>
        <item x="3967"/>
        <item x="1829"/>
        <item x="2988"/>
        <item x="2883"/>
        <item x="939"/>
        <item x="275"/>
        <item x="1224"/>
        <item x="3268"/>
        <item x="1007"/>
        <item x="3505"/>
        <item x="315"/>
        <item x="279"/>
        <item x="2733"/>
        <item x="771"/>
        <item x="3353"/>
        <item x="4467"/>
        <item x="190"/>
        <item x="3120"/>
        <item x="1495"/>
        <item x="1404"/>
        <item x="1517"/>
        <item x="3054"/>
        <item x="206"/>
        <item x="1832"/>
        <item x="2258"/>
        <item x="2193"/>
        <item x="2180"/>
        <item x="427"/>
        <item x="3781"/>
        <item x="928"/>
        <item x="4388"/>
        <item x="2734"/>
        <item x="2347"/>
        <item x="4158"/>
        <item x="2423"/>
        <item x="2320"/>
        <item x="1676"/>
        <item x="1459"/>
        <item x="4439"/>
        <item x="4330"/>
        <item x="280"/>
        <item x="525"/>
        <item x="1640"/>
        <item x="4292"/>
        <item x="4350"/>
        <item x="2365"/>
        <item x="2194"/>
        <item x="619"/>
        <item x="3078"/>
        <item x="986"/>
        <item x="239"/>
        <item x="3215"/>
        <item x="614"/>
        <item x="944"/>
        <item x="322"/>
        <item x="2122"/>
        <item x="1587"/>
        <item x="217"/>
        <item x="4363"/>
        <item x="1293"/>
        <item x="2366"/>
        <item x="966"/>
        <item x="2068"/>
        <item x="3017"/>
        <item x="698"/>
        <item x="1421"/>
        <item x="4382"/>
        <item x="98"/>
        <item x="3726"/>
        <item x="2924"/>
        <item x="2681"/>
        <item x="1819"/>
        <item x="2409"/>
        <item x="4354"/>
        <item x="481"/>
        <item x="541"/>
        <item x="3097"/>
        <item x="3628"/>
        <item x="2243"/>
        <item x="4032"/>
        <item x="3158"/>
        <item x="604"/>
        <item x="3166"/>
        <item x="443"/>
        <item x="2919"/>
        <item x="1757"/>
        <item x="169"/>
        <item x="1276"/>
        <item x="1003"/>
        <item x="506"/>
        <item x="3426"/>
        <item x="1861"/>
        <item x="906"/>
        <item x="360"/>
        <item x="3049"/>
        <item x="2132"/>
        <item x="1890"/>
        <item x="2113"/>
        <item x="1218"/>
        <item x="775"/>
        <item x="2102"/>
        <item x="4353"/>
        <item x="3063"/>
        <item x="1118"/>
        <item x="3038"/>
        <item x="212"/>
        <item x="4469"/>
        <item x="1055"/>
        <item x="2253"/>
        <item x="2518"/>
        <item x="2238"/>
        <item x="467"/>
        <item x="2542"/>
        <item x="3037"/>
        <item x="2346"/>
        <item x="4369"/>
        <item x="920"/>
        <item x="2742"/>
        <item x="1961"/>
        <item x="708"/>
        <item x="1631"/>
        <item x="3846"/>
        <item x="4298"/>
        <item x="1985"/>
        <item x="4236"/>
        <item x="1701"/>
        <item x="4100"/>
        <item x="3357"/>
        <item x="3070"/>
        <item x="476"/>
        <item x="2403"/>
        <item x="1471"/>
        <item x="736"/>
        <item x="1251"/>
        <item x="1119"/>
        <item x="2711"/>
        <item x="1770"/>
        <item x="3138"/>
        <item x="2386"/>
        <item x="4441"/>
        <item x="2179"/>
        <item x="607"/>
        <item x="2581"/>
        <item x="3232"/>
        <item x="3859"/>
        <item x="566"/>
        <item x="596"/>
        <item x="1327"/>
        <item x="430"/>
        <item x="4119"/>
        <item x="2285"/>
        <item x="1305"/>
        <item x="3012"/>
        <item x="3107"/>
        <item x="4297"/>
        <item x="1808"/>
        <item x="1004"/>
        <item x="3525"/>
        <item x="2835"/>
        <item x="2442"/>
        <item x="809"/>
        <item x="2157"/>
        <item x="4267"/>
        <item x="2701"/>
        <item x="4138"/>
        <item x="3229"/>
        <item x="388"/>
        <item x="4087"/>
        <item x="2489"/>
        <item x="103"/>
        <item x="2618"/>
        <item x="3735"/>
        <item x="1134"/>
        <item x="3047"/>
        <item x="1059"/>
        <item x="1862"/>
        <item x="130"/>
        <item x="2352"/>
        <item x="2049"/>
        <item x="79"/>
        <item x="1009"/>
        <item x="3061"/>
        <item x="420"/>
        <item x="2065"/>
        <item x="2256"/>
        <item x="2556"/>
        <item x="2598"/>
        <item x="4291"/>
        <item x="165"/>
        <item x="3318"/>
        <item x="1294"/>
        <item x="4128"/>
        <item x="4460"/>
        <item x="2319"/>
        <item x="1142"/>
        <item x="1313"/>
        <item x="99"/>
        <item x="4375"/>
        <item x="124"/>
        <item x="575"/>
        <item x="1048"/>
        <item x="2961"/>
        <item x="1016"/>
        <item x="1721"/>
        <item x="1904"/>
        <item x="2262"/>
        <item x="3113"/>
        <item x="4142"/>
        <item x="4293"/>
        <item x="2960"/>
        <item x="3198"/>
        <item x="2428"/>
        <item x="964"/>
        <item x="1151"/>
        <item x="2318"/>
        <item x="1454"/>
        <item x="618"/>
        <item x="3309"/>
        <item x="3940"/>
        <item x="2067"/>
        <item x="773"/>
        <item x="3443"/>
        <item x="2937"/>
        <item x="4245"/>
        <item x="1452"/>
        <item x="4103"/>
        <item x="3753"/>
        <item x="3712"/>
        <item x="445"/>
        <item x="2229"/>
        <item x="4243"/>
        <item x="1577"/>
        <item x="2412"/>
        <item x="297"/>
        <item x="584"/>
        <item x="2706"/>
        <item x="4359"/>
        <item x="2617"/>
        <item x="4447"/>
        <item x="2053"/>
        <item x="4380"/>
        <item x="818"/>
        <item x="1600"/>
        <item x="2061"/>
        <item x="2130"/>
        <item x="715"/>
        <item x="3323"/>
        <item x="1991"/>
        <item x="1252"/>
        <item x="2576"/>
        <item x="4229"/>
        <item x="2003"/>
        <item x="822"/>
        <item x="3567"/>
        <item x="3367"/>
        <item x="1497"/>
        <item x="936"/>
        <item x="557"/>
        <item x="3984"/>
        <item x="2991"/>
        <item x="1971"/>
        <item x="336"/>
        <item x="1075"/>
        <item x="4437"/>
        <item x="2866"/>
        <item x="1882"/>
        <item x="1663"/>
        <item x="3164"/>
        <item x="1348"/>
        <item x="1755"/>
        <item x="4078"/>
        <item x="316"/>
        <item x="2512"/>
        <item x="3483"/>
        <item x="4035"/>
        <item x="1924"/>
        <item x="2293"/>
        <item x="2931"/>
        <item x="4180"/>
        <item x="4320"/>
        <item x="4202"/>
        <item x="4190"/>
        <item x="3170"/>
        <item x="815"/>
        <item x="4327"/>
        <item x="2036"/>
        <item x="4470"/>
        <item x="3545"/>
        <item x="1087"/>
        <item x="1713"/>
        <item x="3296"/>
        <item x="2242"/>
        <item x="3578"/>
        <item x="3787"/>
        <item x="2814"/>
        <item x="2795"/>
        <item x="3352"/>
        <item x="929"/>
        <item x="2393"/>
        <item x="665"/>
        <item x="3475"/>
        <item x="2580"/>
        <item x="3035"/>
        <item x="1283"/>
        <item x="176"/>
        <item x="210"/>
        <item x="96"/>
        <item x="1541"/>
        <item x="1858"/>
        <item x="1719"/>
        <item x="3653"/>
        <item x="808"/>
        <item x="4156"/>
        <item x="1523"/>
        <item x="3386"/>
        <item x="368"/>
        <item x="4241"/>
        <item x="3480"/>
        <item x="468"/>
        <item x="1172"/>
        <item x="1822"/>
        <item x="2763"/>
        <item x="367"/>
        <item x="3988"/>
        <item x="1749"/>
        <item x="821"/>
        <item x="3509"/>
        <item x="81"/>
        <item x="2402"/>
        <item x="3895"/>
        <item x="2281"/>
        <item x="1588"/>
        <item x="3329"/>
        <item x="2129"/>
        <item x="2596"/>
        <item x="1827"/>
        <item x="1342"/>
        <item x="3442"/>
        <item x="1236"/>
        <item x="1878"/>
        <item x="2226"/>
        <item x="2630"/>
        <item x="3006"/>
        <item x="1752"/>
        <item x="1179"/>
        <item x="4332"/>
        <item x="539"/>
        <item x="4096"/>
        <item x="834"/>
        <item x="341"/>
        <item x="3623"/>
        <item x="2"/>
        <item x="523"/>
        <item x="3848"/>
        <item x="2272"/>
        <item x="4395"/>
        <item x="531"/>
        <item x="451"/>
        <item x="4405"/>
        <item x="4232"/>
        <item x="2090"/>
        <item x="678"/>
        <item x="3303"/>
        <item x="3821"/>
        <item x="2951"/>
        <item x="1323"/>
        <item x="77"/>
        <item x="4390"/>
        <item x="2914"/>
        <item x="2877"/>
        <item x="935"/>
        <item x="2117"/>
        <item x="3249"/>
        <item x="1779"/>
        <item x="2551"/>
        <item x="3264"/>
        <item x="3090"/>
        <item x="3608"/>
        <item x="542"/>
        <item x="957"/>
        <item x="139"/>
        <item x="3757"/>
        <item x="4061"/>
        <item x="1356"/>
        <item x="284"/>
        <item x="3796"/>
        <item x="399"/>
        <item x="1453"/>
        <item x="2060"/>
        <item x="3141"/>
        <item x="1433"/>
        <item x="2592"/>
        <item x="2907"/>
        <item x="1539"/>
        <item x="3606"/>
        <item x="741"/>
        <item x="3763"/>
        <item x="1462"/>
        <item x="2530"/>
        <item x="2240"/>
        <item x="1929"/>
        <item x="3834"/>
        <item x="1344"/>
        <item x="1062"/>
        <item x="3963"/>
        <item x="396"/>
        <item x="4328"/>
        <item x="1111"/>
        <item x="3872"/>
        <item x="1887"/>
        <item x="3767"/>
        <item x="2802"/>
        <item x="734"/>
        <item x="51"/>
        <item x="2658"/>
        <item x="726"/>
        <item x="560"/>
        <item x="2800"/>
        <item x="3092"/>
        <item x="2679"/>
        <item x="3001"/>
        <item x="512"/>
        <item x="2028"/>
        <item x="235"/>
        <item x="2606"/>
        <item x="1266"/>
        <item x="3057"/>
        <item x="3652"/>
        <item x="1821"/>
        <item x="4050"/>
        <item x="830"/>
        <item x="2218"/>
        <item x="1183"/>
        <item x="3484"/>
        <item x="1193"/>
        <item x="879"/>
        <item x="3976"/>
        <item x="2943"/>
        <item x="666"/>
        <item x="3245"/>
        <item x="1339"/>
        <item x="2560"/>
        <item x="1692"/>
        <item x="3021"/>
        <item x="4201"/>
        <item x="689"/>
        <item x="1649"/>
        <item x="2487"/>
        <item x="3154"/>
        <item x="3240"/>
        <item x="787"/>
        <item x="916"/>
        <item x="4352"/>
        <item x="2684"/>
        <item x="1047"/>
        <item x="2756"/>
        <item x="743"/>
        <item x="3033"/>
        <item x="1997"/>
        <item x="4427"/>
        <item x="489"/>
        <item x="1476"/>
        <item x="1132"/>
        <item x="2337"/>
        <item x="1888"/>
        <item x="2870"/>
        <item x="127"/>
        <item x="3739"/>
        <item x="3278"/>
        <item x="3168"/>
        <item x="4134"/>
        <item x="2929"/>
        <item x="2634"/>
        <item x="898"/>
        <item x="1999"/>
        <item x="2378"/>
        <item x="1144"/>
        <item x="2755"/>
        <item x="3259"/>
        <item x="1485"/>
        <item x="237"/>
        <item x="2010"/>
        <item x="2671"/>
        <item x="2672"/>
        <item x="2771"/>
        <item x="697"/>
        <item x="2612"/>
        <item x="1699"/>
        <item x="410"/>
        <item x="2747"/>
        <item x="2206"/>
        <item x="3260"/>
        <item x="383"/>
        <item x="1084"/>
        <item x="2411"/>
        <item x="312"/>
        <item x="1836"/>
        <item x="1957"/>
        <item x="1874"/>
        <item x="2089"/>
        <item x="2282"/>
        <item x="2342"/>
        <item x="2865"/>
        <item x="2832"/>
        <item x="2965"/>
        <item x="2250"/>
        <item x="2294"/>
        <item x="296"/>
        <item x="3553"/>
        <item x="4144"/>
        <item x="2023"/>
        <item x="804"/>
        <item x="4455"/>
        <item x="277"/>
        <item x="2199"/>
        <item x="3448"/>
        <item x="1203"/>
        <item x="222"/>
        <item x="3635"/>
        <item x="1306"/>
        <item x="2379"/>
        <item x="4097"/>
        <item x="4227"/>
        <item x="4104"/>
        <item x="1426"/>
        <item x="1333"/>
        <item x="693"/>
        <item x="1139"/>
        <item x="1166"/>
        <item x="3490"/>
        <item x="3748"/>
        <item x="973"/>
        <item x="833"/>
        <item x="3181"/>
        <item x="1290"/>
        <item x="2228"/>
        <item x="226"/>
        <item x="3217"/>
        <item x="4193"/>
        <item x="2292"/>
        <item x="2247"/>
        <item x="4143"/>
        <item x="2669"/>
        <item x="4278"/>
        <item x="3273"/>
        <item x="1996"/>
        <item x="2837"/>
        <item x="3658"/>
        <item x="1021"/>
        <item x="3397"/>
        <item x="3636"/>
        <item x="840"/>
        <item x="3885"/>
        <item x="4231"/>
        <item x="3324"/>
        <item x="2109"/>
        <item x="3029"/>
        <item x="1974"/>
        <item x="4345"/>
        <item x="1064"/>
        <item x="1859"/>
        <item x="1712"/>
        <item x="1960"/>
        <item x="1108"/>
        <item x="3571"/>
        <item x="2101"/>
        <item x="4067"/>
        <item x="620"/>
        <item x="4220"/>
        <item x="2625"/>
        <item x="1438"/>
        <item x="3202"/>
        <item x="33"/>
        <item x="2602"/>
        <item x="3124"/>
        <item x="4173"/>
        <item x="3587"/>
        <item x="4409"/>
        <item x="1242"/>
        <item x="1401"/>
        <item x="3778"/>
        <item x="1258"/>
        <item x="188"/>
        <item x="1347"/>
        <item x="3754"/>
        <item x="2284"/>
        <item x="2035"/>
        <item x="1137"/>
        <item x="30"/>
        <item x="835"/>
        <item x="663"/>
        <item x="3180"/>
        <item x="2855"/>
        <item x="317"/>
        <item x="3869"/>
        <item x="1188"/>
        <item x="3311"/>
        <item x="3625"/>
        <item x="959"/>
        <item x="1061"/>
        <item x="4233"/>
        <item x="2976"/>
        <item x="4331"/>
        <item x="2544"/>
        <item x="2191"/>
        <item x="915"/>
        <item x="2640"/>
        <item x="706"/>
        <item x="4478"/>
        <item x="1478"/>
        <item x="2338"/>
        <item x="2571"/>
        <item x="3774"/>
        <item x="371"/>
        <item x="4244"/>
        <item x="238"/>
        <item x="2407"/>
        <item x="3562"/>
        <item x="4088"/>
        <item x="3997"/>
        <item x="2146"/>
        <item x="1190"/>
        <item x="993"/>
        <item x="3907"/>
        <item x="2757"/>
        <item x="3928"/>
        <item x="1595"/>
        <item x="3572"/>
        <item x="1505"/>
        <item x="1475"/>
        <item x="1812"/>
        <item x="1702"/>
        <item x="3830"/>
        <item x="309"/>
        <item x="2040"/>
        <item x="1799"/>
        <item x="3989"/>
        <item x="1816"/>
        <item x="3938"/>
        <item x="2344"/>
        <item x="2608"/>
        <item x="3306"/>
        <item x="779"/>
        <item x="93"/>
        <item x="2030"/>
        <item x="581"/>
        <item x="3762"/>
        <item x="848"/>
        <item x="2033"/>
        <item x="536"/>
        <item x="3187"/>
        <item x="3473"/>
        <item x="4311"/>
        <item x="1642"/>
        <item x="2513"/>
        <item x="4453"/>
        <item x="3937"/>
        <item x="761"/>
        <item x="2746"/>
        <item x="1773"/>
        <item x="2626"/>
        <item x="842"/>
        <item x="4485"/>
        <item x="1444"/>
        <item x="455"/>
        <item x="3393"/>
        <item x="2980"/>
        <item x="3003"/>
        <item x="3116"/>
        <item x="3315"/>
        <item x="2780"/>
        <item x="3335"/>
        <item x="778"/>
        <item x="1585"/>
        <item x="1652"/>
        <item x="1788"/>
        <item x="1635"/>
        <item x="9"/>
        <item x="1805"/>
        <item x="4428"/>
        <item x="1696"/>
        <item x="3243"/>
        <item x="207"/>
        <item x="3500"/>
        <item x="947"/>
        <item x="1811"/>
        <item x="3429"/>
        <item x="1232"/>
        <item x="1397"/>
        <item x="937"/>
        <item x="3536"/>
        <item x="4126"/>
        <item x="3855"/>
        <item x="276"/>
        <item x="1647"/>
        <item x="4374"/>
        <item x="1270"/>
        <item x="462"/>
        <item x="3193"/>
        <item x="3939"/>
        <item x="1413"/>
        <item x="2543"/>
        <item x="4047"/>
        <item x="3304"/>
        <item x="3414"/>
        <item x="3445"/>
        <item x="3011"/>
        <item x="2862"/>
        <item x="1972"/>
        <item x="2773"/>
        <item x="1970"/>
        <item x="3117"/>
        <item x="1192"/>
        <item x="3343"/>
        <item x="3574"/>
        <item x="247"/>
        <item x="810"/>
        <item x="2460"/>
        <item x="2173"/>
        <item x="102"/>
        <item x="3725"/>
        <item x="3994"/>
        <item x="4015"/>
        <item x="1415"/>
        <item x="4444"/>
        <item x="4399"/>
        <item x="3588"/>
        <item x="306"/>
        <item x="3581"/>
        <item x="1370"/>
        <item x="2167"/>
        <item x="2059"/>
        <item x="132"/>
        <item x="3364"/>
        <item x="1741"/>
        <item x="690"/>
        <item x="3099"/>
        <item x="1307"/>
        <item x="2698"/>
        <item x="244"/>
        <item x="3425"/>
        <item x="52"/>
        <item x="4471"/>
        <item x="720"/>
        <item x="866"/>
        <item x="1015"/>
        <item x="199"/>
        <item x="2508"/>
        <item x="3799"/>
        <item x="3596"/>
        <item x="1371"/>
        <item x="268"/>
        <item x="1336"/>
        <item x="1511"/>
        <item x="186"/>
        <item x="245"/>
        <item x="1423"/>
        <item x="2985"/>
        <item x="1623"/>
        <item x="329"/>
        <item x="1560"/>
        <item x="3485"/>
        <item x="722"/>
        <item x="594"/>
        <item x="2188"/>
        <item x="2439"/>
        <item x="872"/>
        <item x="2827"/>
        <item x="3922"/>
        <item x="1107"/>
        <item x="327"/>
        <item x="229"/>
        <item x="769"/>
        <item x="817"/>
        <item x="3042"/>
        <item x="4452"/>
        <item x="1330"/>
        <item x="63"/>
        <item x="1008"/>
        <item x="1195"/>
        <item x="4045"/>
        <item x="2333"/>
        <item x="2124"/>
        <item x="2209"/>
        <item x="53"/>
        <item x="401"/>
        <item x="320"/>
        <item x="3590"/>
        <item x="3797"/>
        <item x="3390"/>
        <item x="1233"/>
        <item x="3241"/>
        <item x="3005"/>
        <item x="2805"/>
        <item x="1278"/>
        <item x="1388"/>
        <item x="104"/>
        <item x="344"/>
        <item x="2425"/>
        <item x="2473"/>
        <item x="3790"/>
        <item x="1460"/>
        <item x="18"/>
        <item x="3813"/>
        <item x="3632"/>
        <item x="3472"/>
        <item x="905"/>
        <item x="918"/>
        <item x="234"/>
        <item x="2942"/>
        <item x="385"/>
        <item x="3263"/>
        <item x="2295"/>
        <item x="899"/>
        <item x="668"/>
        <item x="267"/>
        <item x="1876"/>
        <item x="2838"/>
        <item x="4479"/>
        <item x="2458"/>
        <item x="1613"/>
        <item x="1871"/>
        <item x="3614"/>
        <item x="1839"/>
        <item x="4457"/>
        <item x="3169"/>
        <item x="300"/>
        <item x="735"/>
        <item x="1113"/>
        <item x="202"/>
        <item x="643"/>
        <item x="601"/>
        <item x="1671"/>
        <item x="976"/>
        <item x="5"/>
        <item x="387"/>
        <item x="4182"/>
        <item x="2307"/>
        <item x="2070"/>
        <item x="3529"/>
        <item x="768"/>
        <item x="2020"/>
        <item x="2854"/>
        <item x="386"/>
        <item x="2670"/>
        <item x="1045"/>
        <item x="3829"/>
        <item x="2437"/>
        <item x="2732"/>
        <item x="19"/>
        <item x="3551"/>
        <item x="498"/>
        <item x="3847"/>
        <item x="1343"/>
        <item x="2380"/>
        <item x="2322"/>
        <item x="253"/>
        <item x="592"/>
        <item x="3524"/>
        <item x="2195"/>
        <item x="1153"/>
        <item x="120"/>
        <item x="1771"/>
        <item x="4025"/>
        <item x="568"/>
        <item x="2586"/>
        <item x="1630"/>
        <item x="1345"/>
        <item x="1189"/>
        <item x="3845"/>
        <item x="1445"/>
        <item x="1723"/>
        <item x="3716"/>
        <item x="4157"/>
        <item x="1073"/>
        <item x="1117"/>
        <item x="3468"/>
        <item x="2872"/>
        <item x="1610"/>
        <item x="3840"/>
        <item x="971"/>
        <item x="2888"/>
        <item x="1285"/>
        <item x="2509"/>
        <item x="3643"/>
        <item x="825"/>
        <item x="4346"/>
        <item x="3999"/>
        <item x="4141"/>
        <item x="4366"/>
        <item x="691"/>
        <item x="3783"/>
        <item x="4094"/>
        <item x="1375"/>
        <item x="3772"/>
        <item x="1106"/>
        <item x="3558"/>
        <item x="1534"/>
        <item x="374"/>
        <item x="2614"/>
        <item x="2840"/>
        <item x="429"/>
        <item x="4250"/>
        <item x="1872"/>
        <item x="3666"/>
        <item x="2137"/>
        <item x="2585"/>
        <item x="836"/>
        <item x="255"/>
        <item x="119"/>
        <item x="1365"/>
        <item x="1013"/>
        <item x="4377"/>
        <item x="2923"/>
        <item x="744"/>
        <item x="4199"/>
        <item x="2604"/>
        <item x="1463"/>
        <item x="3916"/>
        <item x="2887"/>
        <item x="4012"/>
        <item x="3720"/>
        <item x="949"/>
        <item x="583"/>
        <item x="1158"/>
        <item x="2429"/>
        <item x="862"/>
        <item x="3137"/>
        <item x="4464"/>
        <item x="3565"/>
        <item x="1058"/>
        <item x="4177"/>
        <item x="4160"/>
        <item x="140"/>
        <item x="4349"/>
        <item x="3948"/>
        <item x="1967"/>
        <item x="2046"/>
        <item x="762"/>
        <item x="2693"/>
        <item x="36"/>
        <item x="4371"/>
        <item x="3789"/>
        <item x="2261"/>
        <item x="3252"/>
        <item x="2902"/>
        <item x="421"/>
        <item x="3734"/>
        <item x="843"/>
        <item x="3602"/>
        <item x="556"/>
        <item x="1542"/>
        <item x="12"/>
        <item x="3281"/>
        <item x="2484"/>
        <item x="1868"/>
        <item x="975"/>
        <item x="3213"/>
        <item x="3513"/>
        <item x="1538"/>
        <item x="3298"/>
        <item x="1548"/>
        <item x="1382"/>
        <item x="4003"/>
        <item x="4285"/>
        <item x="692"/>
        <item x="3147"/>
        <item x="450"/>
        <item x="3949"/>
        <item x="250"/>
        <item x="3093"/>
        <item x="1602"/>
        <item x="711"/>
        <item x="4286"/>
        <item x="824"/>
        <item x="3009"/>
        <item x="339"/>
        <item x="3176"/>
        <item x="2043"/>
        <item x="1785"/>
        <item x="4205"/>
        <item x="302"/>
        <item x="2813"/>
        <item x="3146"/>
        <item x="563"/>
        <item x="4442"/>
        <item x="3014"/>
        <item x="3487"/>
        <item x="1668"/>
        <item x="799"/>
        <item x="1138"/>
        <item x="409"/>
        <item x="950"/>
        <item x="1787"/>
        <item x="499"/>
        <item x="1163"/>
        <item x="1626"/>
        <item x="701"/>
        <item x="3446"/>
        <item x="3555"/>
        <item x="2323"/>
        <item x="2052"/>
        <item x="2217"/>
        <item x="4378"/>
        <item x="3094"/>
        <item x="1050"/>
        <item x="2245"/>
        <item x="1077"/>
        <item x="3321"/>
        <item x="564"/>
        <item x="4041"/>
        <item x="3222"/>
        <item x="2546"/>
        <item x="807"/>
        <item x="3399"/>
        <item x="4288"/>
        <item x="2819"/>
        <item x="987"/>
        <item x="1230"/>
        <item x="3369"/>
        <item x="2135"/>
        <item x="4438"/>
        <item x="4392"/>
        <item x="3827"/>
        <item x="3342"/>
        <item x="4370"/>
        <item x="3908"/>
        <item x="3015"/>
        <item x="2599"/>
        <item x="1467"/>
        <item x="1351"/>
        <item x="2062"/>
        <item x="846"/>
        <item x="4357"/>
        <item x="3942"/>
        <item x="1392"/>
        <item x="3350"/>
        <item x="2527"/>
        <item x="1934"/>
        <item x="3592"/>
        <item x="2705"/>
        <item x="428"/>
        <item x="3452"/>
        <item x="3563"/>
        <item x="3272"/>
        <item x="1783"/>
        <item x="242"/>
        <item x="42"/>
        <item x="1326"/>
        <item x="4446"/>
        <item x="3071"/>
        <item x="2461"/>
        <item x="492"/>
        <item x="2917"/>
        <item x="1254"/>
        <item x="402"/>
        <item x="881"/>
        <item x="4326"/>
        <item x="931"/>
        <item x="1297"/>
        <item x="1551"/>
        <item x="156"/>
        <item x="2478"/>
        <item x="562"/>
        <item x="2000"/>
        <item x="624"/>
        <item x="3206"/>
        <item x="1243"/>
        <item x="4386"/>
        <item x="717"/>
        <item x="2750"/>
        <item x="2645"/>
        <item x="1648"/>
        <item x="2562"/>
        <item x="136"/>
        <item x="203"/>
        <item x="2833"/>
        <item x="586"/>
        <item x="513"/>
        <item x="1826"/>
        <item x="681"/>
        <item x="2099"/>
        <item x="1809"/>
        <item x="1185"/>
        <item x="2100"/>
        <item x="2607"/>
        <item x="2573"/>
        <item x="1399"/>
        <item x="106"/>
        <item x="3568"/>
        <item x="3336"/>
        <item x="3793"/>
        <item x="746"/>
        <item x="3595"/>
        <item x="4387"/>
        <item x="4309"/>
        <item x="431"/>
        <item x="101"/>
        <item x="3325"/>
        <item x="1959"/>
        <item x="2264"/>
        <item x="1398"/>
        <item x="3108"/>
        <item x="3920"/>
        <item x="3265"/>
        <item x="3337"/>
        <item x="352"/>
        <item x="43"/>
        <item x="2680"/>
        <item x="3686"/>
        <item x="1378"/>
        <item x="2928"/>
        <item x="1857"/>
        <item x="1483"/>
        <item x="1769"/>
        <item x="3100"/>
        <item x="2524"/>
        <item x="1174"/>
        <item x="1170"/>
        <item x="3547"/>
        <item x="3069"/>
        <item x="1549"/>
        <item x="2818"/>
        <item x="4054"/>
        <item x="1447"/>
        <item x="1493"/>
        <item x="2831"/>
        <item x="193"/>
        <item x="737"/>
        <item x="951"/>
        <item x="4169"/>
        <item x="849"/>
        <item x="3287"/>
        <item x="112"/>
        <item x="2197"/>
        <item x="1714"/>
        <item x="3065"/>
        <item x="2297"/>
        <item x="1325"/>
        <item x="1935"/>
        <item x="4463"/>
        <item x="2666"/>
        <item x="1148"/>
        <item x="189"/>
        <item x="361"/>
        <item x="3104"/>
        <item x="3408"/>
        <item x="1601"/>
        <item x="4294"/>
        <item x="4159"/>
        <item x="2475"/>
        <item x="4057"/>
        <item x="765"/>
        <item x="3384"/>
        <item x="4218"/>
        <item x="1110"/>
        <item x="2134"/>
        <item x="930"/>
        <item x="1353"/>
        <item x="1247"/>
        <item x="1324"/>
        <item x="3935"/>
        <item x="4269"/>
        <item x="233"/>
        <item x="3308"/>
        <item x="1573"/>
        <item x="753"/>
        <item x="3722"/>
        <item x="1181"/>
        <item x="216"/>
        <item x="4099"/>
        <item x="256"/>
        <item x="347"/>
        <item x="2138"/>
        <item x="3224"/>
        <item x="3914"/>
        <item x="731"/>
        <item x="4391"/>
        <item x="1070"/>
        <item x="400"/>
        <item x="1632"/>
        <item x="3056"/>
        <item x="1969"/>
        <item x="687"/>
        <item x="1851"/>
        <item x="4481"/>
        <item x="1359"/>
        <item x="2864"/>
        <item x="3478"/>
        <item x="1366"/>
        <item x="1280"/>
        <item x="1710"/>
        <item x="4022"/>
        <item x="2903"/>
        <item x="2223"/>
        <item x="600"/>
        <item x="4208"/>
        <item x="2086"/>
        <item x="122"/>
        <item x="480"/>
        <item x="2760"/>
        <item x="334"/>
        <item x="2938"/>
        <item x="3089"/>
        <item x="4440"/>
        <item x="2638"/>
        <item x="3639"/>
        <item x="2801"/>
        <item x="4079"/>
        <item x="1572"/>
        <item x="953"/>
        <item x="1312"/>
        <item x="4254"/>
        <item x="4450"/>
        <item x="2233"/>
        <item x="372"/>
        <item x="837"/>
        <item x="3512"/>
        <item x="1965"/>
        <item x="392"/>
        <item x="548"/>
        <item x="1831"/>
        <item x="3502"/>
        <item x="3388"/>
        <item x="655"/>
        <item x="2577"/>
        <item x="729"/>
        <item x="1369"/>
        <item x="1886"/>
        <item x="2905"/>
        <item x="2806"/>
        <item x="2339"/>
        <item x="2894"/>
        <item x="1287"/>
        <item x="3153"/>
        <item x="2241"/>
        <item x="567"/>
        <item x="3706"/>
        <item x="1840"/>
        <item x="4121"/>
        <item x="64"/>
        <item x="3226"/>
        <item x="4340"/>
        <item x="3831"/>
        <item x="3995"/>
        <item x="2313"/>
        <item x="1546"/>
        <item x="484"/>
        <item x="839"/>
        <item x="828"/>
        <item x="1474"/>
        <item x="1529"/>
        <item x="1386"/>
        <item x="3705"/>
        <item x="4276"/>
        <item x="470"/>
        <item x="403"/>
        <item x="1372"/>
        <item x="4051"/>
        <item x="3690"/>
        <item x="3765"/>
        <item x="2631"/>
        <item x="2148"/>
        <item x="2441"/>
        <item x="688"/>
        <item x="2966"/>
        <item x="1295"/>
        <item x="1088"/>
        <item x="365"/>
        <item x="2329"/>
        <item x="4163"/>
        <item x="1213"/>
        <item x="3018"/>
        <item x="1406"/>
        <item x="2892"/>
        <item x="2944"/>
        <item x="459"/>
        <item x="2810"/>
        <item x="3969"/>
        <item x="200"/>
        <item x="389"/>
        <item x="1952"/>
        <item x="2790"/>
        <item x="4198"/>
        <item x="4376"/>
        <item x="3573"/>
        <item x="2145"/>
        <item x="1263"/>
        <item x="727"/>
        <item x="598"/>
        <item x="3603"/>
        <item x="4364"/>
        <item x="3145"/>
        <item x="1442"/>
        <item x="2521"/>
        <item x="3031"/>
        <item x="1558"/>
        <item x="2300"/>
        <item x="3474"/>
        <item x="639"/>
        <item x="4258"/>
        <item x="3849"/>
        <item x="738"/>
        <item x="998"/>
        <item x="3800"/>
        <item x="3566"/>
        <item x="3036"/>
        <item x="1566"/>
        <item x="1308"/>
        <item x="2510"/>
        <item x="2703"/>
        <item x="2567"/>
        <item x="897"/>
        <item x="1981"/>
        <item x="2375"/>
        <item x="3779"/>
        <item x="3921"/>
        <item x="4139"/>
        <item x="2290"/>
        <item x="16"/>
        <item x="633"/>
        <item x="1842"/>
        <item x="1316"/>
        <item x="2849"/>
        <item x="2454"/>
        <item x="1396"/>
        <item x="3886"/>
        <item x="3647"/>
        <item x="2435"/>
        <item x="4246"/>
        <item x="4343"/>
        <item x="1889"/>
        <item x="3986"/>
        <item x="1739"/>
        <item x="458"/>
        <item x="2073"/>
        <item x="4196"/>
        <item x="349"/>
        <item x="1332"/>
        <item x="4130"/>
        <item x="530"/>
        <item x="2269"/>
        <item x="558"/>
        <item x="194"/>
        <item x="3048"/>
        <item x="3279"/>
        <item x="1715"/>
        <item x="425"/>
        <item x="3702"/>
        <item x="2673"/>
        <item x="2729"/>
        <item x="35"/>
        <item x="2455"/>
        <item x="517"/>
        <item x="597"/>
        <item x="2207"/>
        <item x="3786"/>
        <item x="3295"/>
        <item x="4415"/>
        <item x="11"/>
        <item x="2758"/>
        <item x="1112"/>
        <item x="3043"/>
        <item x="3292"/>
        <item x="4487"/>
        <item x="3759"/>
        <item x="1154"/>
        <item x="4150"/>
        <item x="2646"/>
        <item x="2321"/>
        <item x="672"/>
        <item x="1284"/>
        <item x="1301"/>
        <item x="3862"/>
        <item x="3383"/>
        <item x="1733"/>
        <item x="497"/>
        <item x="1469"/>
        <item x="2975"/>
        <item x="1716"/>
        <item x="4024"/>
        <item x="2635"/>
        <item x="150"/>
        <item x="1619"/>
        <item x="376"/>
        <item x="3825"/>
        <item x="3432"/>
        <item x="1152"/>
        <item x="146"/>
        <item x="4394"/>
        <item x="2418"/>
        <item x="2948"/>
        <item x="3363"/>
        <item x="1202"/>
        <item x="2087"/>
        <item x="2396"/>
        <item x="1432"/>
        <item x="3007"/>
        <item x="3482"/>
        <item x="2953"/>
        <item x="2420"/>
        <item x="3471"/>
        <item x="2847"/>
        <item x="1853"/>
        <item x="2610"/>
        <item x="767"/>
        <item x="135"/>
        <item x="1394"/>
        <item x="3880"/>
        <item x="4184"/>
        <item x="3398"/>
        <item x="1216"/>
        <item x="1902"/>
        <item x="4146"/>
        <item x="3609"/>
        <item x="32"/>
        <item x="1265"/>
        <item x="3930"/>
        <item x="4321"/>
        <item x="514"/>
        <item x="4021"/>
        <item x="3828"/>
        <item x="4449"/>
        <item x="265"/>
        <item x="3871"/>
        <item x="1777"/>
        <item x="2072"/>
        <item x="332"/>
        <item x="2539"/>
        <item x="2622"/>
        <item x="1975"/>
        <item x="4411"/>
        <item x="395"/>
        <item x="1563"/>
        <item x="2370"/>
        <item x="3225"/>
        <item x="1237"/>
        <item x="2731"/>
        <item x="198"/>
        <item x="84"/>
        <item x="1555"/>
        <item x="3610"/>
        <item x="613"/>
        <item x="3417"/>
        <item x="1434"/>
        <item x="351"/>
        <item x="3816"/>
        <item x="152"/>
        <item x="2846"/>
        <item x="1797"/>
        <item x="977"/>
        <item x="107"/>
        <item x="1109"/>
        <item x="2384"/>
        <item x="3874"/>
        <item x="2569"/>
        <item x="2740"/>
        <item x="4129"/>
        <item x="1309"/>
        <item x="1532"/>
        <item x="1570"/>
        <item x="574"/>
        <item x="1611"/>
        <item x="1496"/>
        <item x="2968"/>
        <item x="4066"/>
        <item x="3870"/>
        <item x="3730"/>
        <item x="4179"/>
        <item x="2787"/>
        <item x="2526"/>
        <item x="1953"/>
        <item x="3910"/>
        <item x="1795"/>
        <item x="2383"/>
        <item x="3620"/>
        <item x="2619"/>
        <item x="67"/>
        <item x="4009"/>
        <item x="805"/>
        <item x="1939"/>
        <item x="4192"/>
        <item x="2830"/>
        <item x="3345"/>
        <item x="4290"/>
        <item x="1625"/>
        <item x="3660"/>
        <item x="1400"/>
        <item x="938"/>
        <item x="91"/>
        <item x="3768"/>
        <item x="1204"/>
        <item x="118"/>
        <item x="3271"/>
        <item x="1590"/>
        <item x="2203"/>
        <item x="3052"/>
        <item x="1402"/>
        <item x="1079"/>
        <item x="4337"/>
        <item x="3381"/>
        <item x="3883"/>
        <item x="2591"/>
        <item x="143"/>
        <item x="2308"/>
        <item x="3211"/>
        <item x="2724"/>
        <item x="1998"/>
        <item x="321"/>
        <item x="896"/>
        <item x="249"/>
        <item x="1363"/>
        <item x="160"/>
        <item x="3780"/>
        <item x="2263"/>
        <item x="1086"/>
        <item x="4480"/>
        <item x="869"/>
        <item x="4216"/>
        <item x="4367"/>
        <item x="1528"/>
        <item x="657"/>
        <item x="1036"/>
        <item x="2331"/>
        <item x="414"/>
        <item x="4482"/>
        <item x="3534"/>
        <item x="2126"/>
        <item x="1427"/>
        <item x="25"/>
        <item x="2723"/>
        <item x="2861"/>
        <item x="4023"/>
        <item x="4039"/>
        <item x="3479"/>
        <item x="1502"/>
        <item x="674"/>
        <item x="172"/>
        <item x="960"/>
        <item x="4165"/>
        <item x="1908"/>
        <item x="616"/>
        <item x="3673"/>
        <item x="3838"/>
        <item x="577"/>
        <item x="1089"/>
        <item x="820"/>
        <item x="4106"/>
        <item x="3675"/>
        <item x="1644"/>
        <item x="1708"/>
        <item x="4234"/>
        <item x="784"/>
        <item x="1114"/>
        <item x="4203"/>
        <item x="505"/>
        <item x="1441"/>
        <item x="3889"/>
        <item x="4116"/>
        <item x="2301"/>
        <item x="2388"/>
        <item x="2682"/>
        <item x="667"/>
        <item x="4435"/>
        <item x="1918"/>
        <item x="6"/>
        <item x="2971"/>
        <item x="3302"/>
        <item x="1425"/>
        <item x="1437"/>
        <item x="1176"/>
        <item x="1838"/>
        <item x="3627"/>
        <item x="751"/>
        <item x="2990"/>
        <item x="4338"/>
        <item x="1173"/>
        <item x="1947"/>
        <item x="3742"/>
        <item x="546"/>
        <item x="1919"/>
        <item x="4221"/>
        <item x="4162"/>
        <item x="844"/>
        <item x="412"/>
        <item x="1621"/>
        <item x="3518"/>
        <item x="3704"/>
        <item x="1522"/>
        <item x="487"/>
        <item x="555"/>
        <item x="479"/>
        <item x="831"/>
        <item x="1737"/>
        <item x="174"/>
        <item x="1310"/>
        <item x="1932"/>
        <item x="3718"/>
        <item x="3348"/>
        <item x="2351"/>
        <item x="2330"/>
        <item x="3254"/>
        <item x="1599"/>
        <item x="3970"/>
        <item x="486"/>
        <item x="3901"/>
        <item x="1854"/>
        <item x="1221"/>
        <item x="845"/>
        <item x="3316"/>
        <item x="1653"/>
        <item x="1846"/>
        <item x="3127"/>
        <item x="27"/>
        <item x="3132"/>
        <item x="440"/>
        <item x="298"/>
        <item x="1027"/>
        <item x="1680"/>
        <item x="2147"/>
        <item x="3979"/>
        <item x="582"/>
        <item x="2358"/>
        <item x="1565"/>
        <item x="1688"/>
        <item x="4384"/>
        <item x="819"/>
        <item x="2964"/>
        <item x="2025"/>
        <item x="943"/>
        <item x="2897"/>
        <item x="3805"/>
        <item x="407"/>
        <item x="433"/>
        <item x="2246"/>
        <item x="1580"/>
        <item x="2161"/>
        <item x="2537"/>
        <item x="195"/>
        <item x="2355"/>
        <item x="166"/>
        <item x="2081"/>
        <item x="551"/>
        <item x="2841"/>
        <item x="1657"/>
        <item x="2196"/>
        <item x="602"/>
        <item x="3201"/>
        <item x="4155"/>
        <item x="3492"/>
        <item x="1786"/>
        <item x="3322"/>
        <item x="4178"/>
        <item x="3618"/>
        <item x="1318"/>
        <item x="3140"/>
        <item x="3460"/>
        <item x="1133"/>
        <item x="3299"/>
        <item x="1683"/>
        <item x="1909"/>
        <item x="2881"/>
        <item x="1461"/>
        <item x="1717"/>
        <item x="2982"/>
        <item x="1501"/>
        <item x="117"/>
        <item x="1948"/>
        <item x="3865"/>
        <item x="1725"/>
        <item x="2816"/>
        <item x="1002"/>
        <item x="760"/>
        <item x="115"/>
        <item x="444"/>
        <item x="2779"/>
        <item x="1880"/>
        <item x="1018"/>
        <item x="1510"/>
        <item x="3510"/>
        <item x="1507"/>
        <item x="3044"/>
        <item x="2232"/>
        <item x="2792"/>
        <item x="3694"/>
        <item x="2776"/>
        <item x="47"/>
        <item x="4312"/>
        <item x="1759"/>
        <item x="3111"/>
        <item x="974"/>
        <item x="2967"/>
        <item x="1629"/>
        <item x="2111"/>
        <item x="695"/>
        <item x="432"/>
        <item x="988"/>
        <item x="2589"/>
        <item x="175"/>
        <item x="3395"/>
        <item x="1360"/>
        <item x="3733"/>
        <item x="795"/>
        <item x="788"/>
        <item x="2392"/>
        <item x="2809"/>
        <item x="3749"/>
        <item x="3380"/>
        <item x="4164"/>
        <item x="31"/>
        <item x="1051"/>
        <item x="1354"/>
        <item x="2728"/>
        <item x="3782"/>
        <item x="1707"/>
        <item x="4434"/>
        <item x="2092"/>
        <item x="3613"/>
        <item x="2058"/>
        <item x="1586"/>
        <item x="3593"/>
        <item x="3156"/>
        <item x="2438"/>
        <item x="2788"/>
        <item x="3896"/>
        <item x="3041"/>
        <item x="3256"/>
        <item x="465"/>
        <item x="2579"/>
        <item x="271"/>
        <item x="1891"/>
        <item x="3121"/>
        <item x="1376"/>
        <item x="1684"/>
        <item x="4344"/>
        <item x="3933"/>
        <item x="653"/>
        <item x="3459"/>
        <item x="1806"/>
        <item x="379"/>
        <item x="4299"/>
        <item x="1612"/>
        <item x="304"/>
        <item x="4277"/>
        <item x="4118"/>
        <item x="887"/>
        <item x="4017"/>
        <item x="2909"/>
        <item x="2400"/>
        <item x="4168"/>
        <item x="273"/>
        <item x="3858"/>
        <item x="1227"/>
        <item x="179"/>
        <item x="2448"/>
        <item x="2029"/>
        <item x="4393"/>
        <item x="2414"/>
        <item x="2071"/>
        <item x="4421"/>
        <item x="1877"/>
        <item x="3973"/>
        <item x="3235"/>
        <item x="890"/>
        <item x="1814"/>
        <item x="485"/>
        <item x="629"/>
        <item x="4445"/>
        <item x="1298"/>
        <item x="2125"/>
        <item x="1273"/>
        <item x="3537"/>
        <item x="2048"/>
        <item x="1450"/>
        <item x="326"/>
        <item x="2044"/>
        <item x="4133"/>
        <item x="2548"/>
        <item x="3776"/>
        <item x="3075"/>
        <item x="2817"/>
        <item x="350"/>
        <item x="48"/>
        <item x="4194"/>
        <item x="814"/>
        <item x="4215"/>
        <item x="3034"/>
        <item x="2661"/>
        <item x="1578"/>
        <item x="4110"/>
        <item x="3902"/>
        <item x="1494"/>
        <item x="3600"/>
        <item x="1465"/>
        <item x="730"/>
        <item x="4174"/>
        <item x="1718"/>
        <item x="4210"/>
        <item x="2863"/>
        <item x="74"/>
        <item x="2153"/>
        <item x="185"/>
        <item x="3237"/>
        <item x="2371"/>
        <item x="75"/>
        <item x="3693"/>
        <item x="61"/>
        <item x="2413"/>
        <item x="2140"/>
        <item x="2303"/>
        <item x="921"/>
        <item x="3703"/>
        <item x="2181"/>
        <item x="290"/>
        <item x="1509"/>
        <item x="3589"/>
        <item x="2491"/>
        <item x="2466"/>
        <item x="3330"/>
        <item x="1614"/>
        <item x="827"/>
        <item x="3066"/>
        <item x="3583"/>
        <item x="3844"/>
        <item x="1796"/>
        <item x="3521"/>
        <item x="3993"/>
        <item x="4317"/>
        <item x="1660"/>
        <item x="3681"/>
        <item x="1074"/>
        <item x="2270"/>
        <item x="1167"/>
        <item x="2901"/>
        <item x="3467"/>
        <item x="989"/>
        <item x="884"/>
        <item x="2657"/>
        <item x="3191"/>
        <item x="4401"/>
        <item x="2972"/>
        <item x="2171"/>
        <item x="595"/>
        <item x="171"/>
        <item x="3416"/>
        <item x="520"/>
        <item x="644"/>
        <item x="1321"/>
        <item x="3165"/>
        <item x="2183"/>
        <item x="2267"/>
        <item x="1005"/>
        <item x="1536"/>
        <item x="2472"/>
        <item x="3531"/>
        <item x="4230"/>
        <item x="3760"/>
        <item x="1156"/>
        <item x="2398"/>
        <item x="38"/>
        <item x="1122"/>
        <item x="2119"/>
        <item x="2470"/>
        <item x="1940"/>
        <item x="3356"/>
        <item x="2118"/>
        <item x="1686"/>
        <item x="3814"/>
        <item x="1205"/>
        <item x="3102"/>
        <item x="4191"/>
        <item x="792"/>
        <item x="2085"/>
        <item x="2796"/>
        <item x="94"/>
        <item x="1094"/>
        <item x="673"/>
        <item x="1199"/>
        <item x="50"/>
        <item x="859"/>
        <item x="1682"/>
        <item x="3449"/>
        <item x="2696"/>
        <item x="3233"/>
        <item x="3906"/>
        <item x="2158"/>
        <item x="1416"/>
        <item x="3440"/>
        <item x="1481"/>
        <item x="3540"/>
        <item x="3911"/>
        <item x="2761"/>
        <item x="1451"/>
        <item x="4476"/>
        <item x="3764"/>
        <item x="3990"/>
        <item x="2488"/>
        <item x="1209"/>
        <item x="748"/>
        <item x="585"/>
        <item x="2590"/>
        <item x="3807"/>
        <item x="1835"/>
        <item x="3040"/>
        <item x="2252"/>
        <item x="521"/>
        <item x="213"/>
        <item x="151"/>
        <item x="2433"/>
        <item x="2021"/>
        <item x="3297"/>
        <item x="1896"/>
        <item x="2781"/>
        <item x="3812"/>
        <item x="2665"/>
        <item x="1609"/>
        <item x="1011"/>
        <item x="1458"/>
        <item x="2507"/>
        <item x="1847"/>
        <item x="2856"/>
        <item x="3777"/>
        <item x="3320"/>
        <item x="3067"/>
        <item x="2593"/>
        <item x="2534"/>
        <item x="2726"/>
        <item x="3599"/>
        <item x="4154"/>
        <item x="1641"/>
        <item x="3672"/>
        <item x="528"/>
        <item x="1843"/>
        <item x="2248"/>
        <item x="220"/>
        <item x="228"/>
        <item x="1120"/>
        <item x="4431"/>
        <item x="3962"/>
        <item x="2353"/>
        <item x="1126"/>
        <item x="2064"/>
        <item x="1041"/>
        <item x="1651"/>
        <item x="2359"/>
        <item x="1744"/>
        <item x="1803"/>
        <item x="3837"/>
        <item x="878"/>
        <item x="1034"/>
        <item x="2255"/>
        <item x="1685"/>
        <item x="2170"/>
        <item x="1754"/>
        <item x="3289"/>
        <item x="2687"/>
        <item x="4406"/>
        <item x="2121"/>
        <item x="2399"/>
        <item x="3341"/>
        <item x="3755"/>
        <item x="2662"/>
        <item x="3010"/>
        <item x="3680"/>
        <item x="2704"/>
        <item x="3769"/>
        <item x="2600"/>
        <item x="2572"/>
        <item x="3301"/>
        <item x="1300"/>
        <item x="3134"/>
        <item x="1056"/>
        <item x="680"/>
        <item x="3333"/>
        <item x="1818"/>
        <item x="4132"/>
        <item x="1837"/>
        <item x="1672"/>
        <item x="2721"/>
        <item x="2738"/>
        <item x="1001"/>
        <item x="3640"/>
        <item x="2984"/>
        <item x="2419"/>
        <item x="4251"/>
        <item x="294"/>
        <item x="2452"/>
        <item x="1000"/>
        <item x="571"/>
        <item x="1964"/>
        <item x="1691"/>
        <item x="4124"/>
        <item x="353"/>
        <item x="2136"/>
        <item x="2019"/>
        <item x="1834"/>
        <item x="945"/>
        <item x="2541"/>
        <item x="2078"/>
        <item x="3731"/>
        <item x="473"/>
        <item x="4071"/>
        <item x="813"/>
        <item x="756"/>
        <item x="2230"/>
        <item x="44"/>
        <item x="1029"/>
        <item x="2652"/>
        <item x="1765"/>
        <item x="3410"/>
        <item x="2481"/>
        <item x="3284"/>
        <item x="1526"/>
        <item x="2312"/>
        <item x="1559"/>
        <item x="913"/>
        <item x="4385"/>
        <item x="3221"/>
        <item x="3917"/>
        <item x="2116"/>
        <item x="3192"/>
        <item x="3195"/>
        <item x="4295"/>
        <item x="3688"/>
        <item x="3677"/>
        <item x="3773"/>
        <item x="3887"/>
        <item x="4468"/>
        <item x="1694"/>
        <item x="2362"/>
        <item x="2296"/>
        <item x="752"/>
        <item x="2299"/>
        <item x="1724"/>
        <item x="3860"/>
        <item x="1793"/>
        <item x="1508"/>
        <item x="1923"/>
        <item x="1429"/>
        <item x="3852"/>
        <item x="1379"/>
        <item x="257"/>
        <item x="1314"/>
        <item x="2176"/>
        <item x="2582"/>
        <item x="3409"/>
        <item x="2376"/>
        <item x="740"/>
        <item x="1926"/>
        <item x="3864"/>
        <item x="3665"/>
        <item x="696"/>
        <item x="1521"/>
        <item x="1085"/>
        <item x="2720"/>
        <item x="28"/>
        <item x="2443"/>
        <item x="3894"/>
        <item x="609"/>
        <item x="292"/>
        <item x="789"/>
        <item x="854"/>
        <item x="2629"/>
        <item x="1430"/>
        <item x="2027"/>
        <item x="26"/>
        <item x="1753"/>
        <item x="3288"/>
        <item x="2456"/>
        <item x="1319"/>
        <item x="1583"/>
        <item x="3290"/>
        <item x="3461"/>
        <item x="3506"/>
        <item x="780"/>
        <item x="1941"/>
        <item x="1514"/>
        <item x="1222"/>
        <item x="1042"/>
        <item x="2219"/>
        <item x="4272"/>
        <item x="4080"/>
        <item x="3617"/>
        <item x="2482"/>
        <item x="1544"/>
        <item x="1044"/>
        <item x="1346"/>
        <item x="3501"/>
        <item x="2730"/>
        <item x="90"/>
        <item x="1065"/>
        <item x="3184"/>
        <item x="2235"/>
        <item x="373"/>
        <item x="1810"/>
        <item x="2014"/>
        <item x="4102"/>
        <item x="24"/>
        <item x="3966"/>
        <item x="3982"/>
        <item x="1791"/>
        <item x="2406"/>
        <item x="3591"/>
        <item x="2075"/>
        <item x="3032"/>
        <item x="923"/>
        <item x="942"/>
        <item x="2341"/>
        <item x="638"/>
        <item x="114"/>
        <item x="1659"/>
        <item x="4185"/>
        <item x="3912"/>
        <item x="2447"/>
        <item x="622"/>
        <item x="3971"/>
        <item x="2424"/>
        <item x="4448"/>
        <item x="164"/>
        <item x="3744"/>
        <item x="1844"/>
        <item x="3419"/>
        <item x="4451"/>
        <item x="1772"/>
        <item x="2811"/>
        <item x="924"/>
        <item x="2765"/>
        <item x="4483"/>
        <item x="159"/>
        <item x="2446"/>
        <item x="3832"/>
        <item x="1473"/>
        <item x="2485"/>
        <item x="2340"/>
        <item x="2476"/>
        <item x="747"/>
        <item x="3594"/>
        <item x="413"/>
        <item x="2660"/>
        <item x="314"/>
        <item x="1506"/>
        <item x="2151"/>
        <item x="1722"/>
        <item x="1582"/>
        <item x="4410"/>
        <item x="133"/>
        <item x="4273"/>
        <item x="147"/>
        <item x="868"/>
        <item x="2869"/>
        <item x="3752"/>
        <item x="3275"/>
        <item x="1513"/>
        <item x="3025"/>
        <item x="3771"/>
        <item x="95"/>
        <item x="2804"/>
        <item x="1146"/>
        <item x="2713"/>
        <item x="3105"/>
        <item x="721"/>
        <item x="3794"/>
        <item x="342"/>
        <item x="1730"/>
        <item x="148"/>
        <item x="2315"/>
        <item x="3554"/>
        <item x="2415"/>
        <item x="3516"/>
        <item x="1214"/>
        <item x="4095"/>
        <item x="1584"/>
        <item x="1171"/>
        <item x="3633"/>
        <item x="3637"/>
        <item x="2644"/>
        <item x="2017"/>
        <item x="1311"/>
        <item x="3820"/>
        <item x="2653"/>
        <item x="2198"/>
        <item x="781"/>
        <item x="3709"/>
        <item x="716"/>
        <item x="524"/>
        <item x="1639"/>
        <item x="2986"/>
        <item x="1537"/>
        <item x="2845"/>
        <item x="3392"/>
        <item x="1178"/>
        <item x="994"/>
        <item x="2114"/>
        <item x="1869"/>
        <item x="10"/>
        <item x="161"/>
        <item x="832"/>
        <item x="1564"/>
        <item x="3651"/>
        <item x="2497"/>
        <item x="1740"/>
        <item x="21"/>
        <item x="3843"/>
        <item x="2674"/>
        <item x="4042"/>
        <item x="3504"/>
        <item x="4117"/>
        <item x="3280"/>
        <item x="3177"/>
        <item x="739"/>
        <item x="3868"/>
        <item x="4310"/>
        <item x="4472"/>
        <item x="2155"/>
        <item x="1100"/>
        <item x="4279"/>
        <item x="812"/>
        <item x="415"/>
        <item x="1387"/>
        <item x="702"/>
        <item x="4342"/>
        <item x="2997"/>
        <item x="1180"/>
        <item x="1543"/>
        <item x="649"/>
        <item x="1040"/>
        <item x="4028"/>
        <item x="2336"/>
        <item x="1678"/>
        <item x="2677"/>
        <item x="3149"/>
        <item x="2859"/>
        <item x="3926"/>
        <item x="2545"/>
        <item x="3118"/>
        <item x="1223"/>
        <item x="1776"/>
        <item x="1607"/>
        <item x="2834"/>
        <item x="76"/>
        <item x="1665"/>
        <item x="2784"/>
        <item x="3819"/>
        <item x="1484"/>
        <item x="1104"/>
        <item x="4404"/>
        <item x="3376"/>
        <item x="855"/>
        <item x="2494"/>
        <item x="1568"/>
        <item x="2955"/>
        <item x="2066"/>
        <item x="4381"/>
        <item x="1030"/>
        <item x="3428"/>
        <item x="709"/>
        <item x="3469"/>
        <item x="3026"/>
        <item x="2421"/>
        <item x="875"/>
        <item x="2502"/>
        <item x="3101"/>
        <item x="2918"/>
        <item x="4161"/>
        <item x="466"/>
        <item x="3586"/>
        <item x="1879"/>
        <item x="1302"/>
        <item x="3095"/>
        <item x="3423"/>
        <item x="2996"/>
        <item x="3346"/>
        <item x="4261"/>
        <item x="4093"/>
        <item x="797"/>
        <item x="3144"/>
        <item x="2310"/>
        <item x="3277"/>
        <item x="3905"/>
        <item x="3179"/>
        <item x="3374"/>
        <item x="2709"/>
        <item x="2449"/>
        <item x="2958"/>
        <item x="3248"/>
        <item x="3991"/>
        <item x="2667"/>
        <item x="2156"/>
        <item x="1019"/>
        <item x="3257"/>
        <item x="4256"/>
        <item x="3960"/>
        <item x="3203"/>
        <item x="1389"/>
        <item x="2643"/>
        <item x="3598"/>
        <item x="1552"/>
        <item x="1200"/>
        <item x="1078"/>
        <item x="682"/>
        <item x="2496"/>
        <item x="3685"/>
        <item x="2405"/>
        <item x="1240"/>
        <item x="4033"/>
        <item x="4077"/>
        <item x="1244"/>
        <item x="3528"/>
        <item x="4049"/>
        <item x="802"/>
        <item x="3750"/>
        <item x="3546"/>
        <item x="1439"/>
        <item x="504"/>
        <item x="900"/>
        <item x="2963"/>
        <item x="1666"/>
        <item x="4257"/>
        <item x="707"/>
        <item x="1121"/>
        <item x="2904"/>
        <item x="2387"/>
        <item x="3253"/>
        <item x="1535"/>
        <item x="3957"/>
        <item x="4314"/>
        <item x="3925"/>
        <item x="2745"/>
        <item x="1361"/>
        <item x="3194"/>
        <item x="3175"/>
        <item x="2848"/>
        <item x="857"/>
        <item x="305"/>
        <item x="909"/>
        <item x="3267"/>
        <item x="3385"/>
        <item x="2950"/>
        <item x="1457"/>
        <item x="1950"/>
        <item x="3344"/>
        <item x="134"/>
        <item x="1943"/>
        <item x="2826"/>
        <item x="3570"/>
        <item x="3936"/>
        <item x="3638"/>
        <item x="2637"/>
        <item x="46"/>
        <item x="1123"/>
        <item x="1525"/>
        <item x="1576"/>
        <item x="1561"/>
        <item x="2385"/>
        <item x="2803"/>
        <item x="2876"/>
        <item x="3958"/>
        <item x="4056"/>
        <item x="2133"/>
        <item x="3877"/>
        <item x="1282"/>
        <item x="3683"/>
        <item x="550"/>
        <item x="1229"/>
        <item x="2008"/>
        <item x="3371"/>
        <item x="1729"/>
        <item x="4465"/>
        <item x="3642"/>
        <item x="4301"/>
        <item x="2277"/>
        <item x="4026"/>
        <item x="2128"/>
        <item x="3234"/>
        <item x="464"/>
        <item x="2516"/>
        <item x="3340"/>
        <item x="3064"/>
        <item x="2479"/>
        <item x="877"/>
        <item x="1958"/>
        <item x="3808"/>
        <item x="2999"/>
        <item x="3745"/>
        <item x="4166"/>
        <item x="3818"/>
        <item x="2714"/>
        <item x="547"/>
        <item x="3331"/>
        <item x="1032"/>
        <item x="4107"/>
        <item x="2664"/>
        <item x="3533"/>
        <item x="4004"/>
        <item x="209"/>
        <item x="4225"/>
        <item x="2031"/>
        <item x="908"/>
        <item x="961"/>
        <item x="3697"/>
        <item x="543"/>
        <item x="39"/>
        <item x="1689"/>
        <item x="3053"/>
        <item x="1350"/>
        <item x="2759"/>
        <item x="2798"/>
        <item x="1736"/>
        <item x="2702"/>
        <item x="587"/>
        <item x="3349"/>
        <item x="3900"/>
        <item x="985"/>
        <item x="2748"/>
        <item x="1784"/>
        <item x="3219"/>
        <item x="3977"/>
        <item x="4030"/>
        <item x="426"/>
        <item x="1912"/>
        <item x="2628"/>
        <item x="954"/>
        <item x="283"/>
        <item x="1182"/>
        <item x="328"/>
        <item x="3411"/>
        <item x="2164"/>
        <item x="356"/>
        <item x="2038"/>
        <item x="1983"/>
        <item x="1670"/>
        <item x="2265"/>
        <item x="4423"/>
        <item x="3438"/>
        <item x="449"/>
        <item x="1973"/>
        <item x="3462"/>
        <item x="3110"/>
        <item x="4195"/>
        <item x="263"/>
        <item x="262"/>
        <item x="1197"/>
        <item x="4181"/>
        <item x="3943"/>
        <item x="2098"/>
        <item x="3489"/>
        <item x="2737"/>
        <item x="83"/>
        <item x="3992"/>
        <item x="2091"/>
        <item x="3611"/>
        <item x="3159"/>
        <item x="2288"/>
        <item x="2981"/>
        <item x="940"/>
        <item x="2691"/>
        <item x="2752"/>
        <item x="4089"/>
        <item x="3415"/>
        <item x="1320"/>
        <item x="362"/>
        <item x="2103"/>
        <item x="301"/>
        <item x="4238"/>
        <item x="246"/>
        <item x="4239"/>
        <item x="3276"/>
        <item x="1574"/>
        <item x="3891"/>
        <item x="196"/>
        <item x="85"/>
        <item x="456"/>
        <item x="754"/>
        <item x="3564"/>
        <item x="826"/>
        <item x="2858"/>
        <item x="2004"/>
        <item x="4351"/>
        <item x="3129"/>
        <item x="1331"/>
        <item x="2204"/>
        <item x="1482"/>
        <item x="29"/>
        <item x="2715"/>
        <item x="3931"/>
        <item x="946"/>
        <item x="3607"/>
        <item x="1125"/>
        <item x="1750"/>
        <item x="2465"/>
        <item x="3701"/>
        <item x="886"/>
        <item x="1381"/>
        <item x="230"/>
        <item x="1260"/>
        <item x="4188"/>
        <item x="2499"/>
        <item x="2621"/>
        <item x="2890"/>
        <item x="3758"/>
        <item x="1775"/>
        <item x="4323"/>
        <item x="1815"/>
        <item x="3929"/>
        <item x="997"/>
        <item x="967"/>
        <item x="2694"/>
        <item x="3866"/>
        <item x="965"/>
        <item x="1743"/>
        <item x="1103"/>
        <item x="2514"/>
        <item x="1593"/>
        <item x="861"/>
        <item x="149"/>
        <item x="1579"/>
        <item x="4430"/>
        <item x="1135"/>
        <item x="3719"/>
        <item x="2097"/>
        <item x="4270"/>
        <item x="1519"/>
        <item x="2552"/>
        <item x="2850"/>
        <item x="1291"/>
        <item x="4313"/>
        <item x="4031"/>
        <item x="2977"/>
        <item x="3135"/>
        <item x="1727"/>
        <item x="3674"/>
        <item x="3981"/>
        <item x="2842"/>
        <item x="2893"/>
        <item x="3464"/>
        <item x="1215"/>
        <item x="1748"/>
        <item x="3427"/>
        <item x="1933"/>
        <item x="2142"/>
        <item x="2880"/>
        <item x="3131"/>
        <item x="2873"/>
        <item x="1091"/>
        <item x="4136"/>
        <item x="1341"/>
        <item x="2852"/>
        <item x="2231"/>
        <item x="1412"/>
        <item x="1"/>
        <item x="2363"/>
        <item x="3879"/>
        <item x="3488"/>
        <item x="3498"/>
        <item x="2186"/>
        <item x="772"/>
        <item x="2601"/>
        <item x="4322"/>
        <item x="3532"/>
        <item x="3437"/>
        <item x="852"/>
        <item x="1700"/>
        <item x="3766"/>
        <item x="750"/>
        <item x="634"/>
        <item x="437"/>
        <item x="679"/>
        <item x="3074"/>
        <item x="4365"/>
        <item x="1257"/>
        <item x="3148"/>
        <item x="2369"/>
        <item x="3444"/>
        <item x="2417"/>
        <item x="654"/>
        <item x="766"/>
        <item x="2182"/>
        <item x="359"/>
        <item x="2688"/>
        <item x="58"/>
        <item x="4400"/>
        <item x="3491"/>
        <item x="910"/>
        <item x="793"/>
        <item x="391"/>
        <item x="178"/>
        <item x="274"/>
        <item x="3909"/>
        <item x="904"/>
        <item x="2426"/>
        <item x="261"/>
        <item x="1654"/>
        <item x="1597"/>
        <item x="307"/>
        <item x="865"/>
        <item x="968"/>
        <item x="2343"/>
        <item x="2549"/>
        <item x="2200"/>
        <item x="109"/>
        <item x="901"/>
        <item x="1728"/>
        <item x="406"/>
        <item x="4014"/>
        <item x="3161"/>
        <item x="1963"/>
        <item x="2844"/>
        <item x="983"/>
        <item x="2139"/>
        <item x="1636"/>
        <item x="3247"/>
        <item x="162"/>
        <item x="3477"/>
        <item x="1553"/>
        <item x="4474"/>
        <item x="502"/>
        <item x="3884"/>
        <item x="1571"/>
        <item x="293"/>
        <item x="3919"/>
        <item x="3497"/>
        <item x="4046"/>
        <item x="141"/>
        <item x="2372"/>
        <item x="627"/>
        <item x="642"/>
        <item x="718"/>
        <item x="4429"/>
        <item x="3951"/>
        <item x="3178"/>
        <item x="2159"/>
        <item x="4113"/>
        <item x="3314"/>
        <item x="4443"/>
        <item x="3659"/>
        <item x="4253"/>
        <item x="1738"/>
        <item x="2364"/>
        <item x="1781"/>
        <item x="838"/>
        <item x="3112"/>
        <item x="3650"/>
        <item x="2828"/>
        <item x="3157"/>
        <item x="4361"/>
        <item x="259"/>
        <item x="3183"/>
        <item x="2474"/>
        <item x="4055"/>
        <item x="4396"/>
        <item x="331"/>
        <item x="2639"/>
        <item x="4086"/>
        <item x="3867"/>
        <item x="926"/>
        <item x="4329"/>
        <item x="3621"/>
        <item x="1472"/>
        <item x="460"/>
        <item x="2535"/>
        <item x="2260"/>
        <item x="3394"/>
        <item x="1238"/>
        <item x="2717"/>
        <item x="919"/>
        <item x="3366"/>
        <item x="4266"/>
        <item x="2754"/>
        <item x="3892"/>
        <item x="2314"/>
        <item x="248"/>
        <item x="214"/>
        <item x="3679"/>
        <item x="1269"/>
        <item x="2557"/>
        <item x="2083"/>
        <item x="3172"/>
        <item x="864"/>
        <item x="49"/>
        <item x="2532"/>
        <item x="4044"/>
        <item x="2225"/>
        <item x="231"/>
        <item x="2913"/>
        <item x="441"/>
        <item x="4187"/>
        <item x="2538"/>
        <item x="2979"/>
        <item x="435"/>
        <item x="2650"/>
        <item x="1296"/>
        <item x="3312"/>
        <item x="4397"/>
        <item x="1962"/>
        <item x="978"/>
        <item t="default"/>
      </items>
    </pivotField>
    <pivotField axis="axisRow" showAll="0" sortType="descending">
      <items count="5">
        <item x="0"/>
        <item x="1"/>
        <item x="2"/>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8"/>
  </rowFields>
  <rowItems count="5">
    <i>
      <x v="1"/>
    </i>
    <i>
      <x v="3"/>
    </i>
    <i>
      <x v="2"/>
    </i>
    <i>
      <x/>
    </i>
    <i t="grand">
      <x/>
    </i>
  </rowItems>
  <colItems count="1">
    <i/>
  </colItems>
  <dataFields count="1">
    <dataField name="Sum of total_price" fld="12" baseField="0" baseItem="0"/>
  </dataFields>
  <chartFormats count="10">
    <chartFormat chart="6" format="0" series="1">
      <pivotArea type="data" outline="0" fieldPosition="0">
        <references count="1">
          <reference field="4294967294" count="1" selected="0">
            <x v="0"/>
          </reference>
        </references>
      </pivotArea>
    </chartFormat>
    <chartFormat chart="6" format="1">
      <pivotArea type="data" outline="0" fieldPosition="0">
        <references count="2">
          <reference field="4294967294" count="1" selected="0">
            <x v="0"/>
          </reference>
          <reference field="8" count="1" selected="0">
            <x v="1"/>
          </reference>
        </references>
      </pivotArea>
    </chartFormat>
    <chartFormat chart="6" format="2">
      <pivotArea type="data" outline="0" fieldPosition="0">
        <references count="2">
          <reference field="4294967294" count="1" selected="0">
            <x v="0"/>
          </reference>
          <reference field="8" count="1" selected="0">
            <x v="3"/>
          </reference>
        </references>
      </pivotArea>
    </chartFormat>
    <chartFormat chart="6" format="3">
      <pivotArea type="data" outline="0" fieldPosition="0">
        <references count="2">
          <reference field="4294967294" count="1" selected="0">
            <x v="0"/>
          </reference>
          <reference field="8" count="1" selected="0">
            <x v="0"/>
          </reference>
        </references>
      </pivotArea>
    </chartFormat>
    <chartFormat chart="6" format="4">
      <pivotArea type="data" outline="0" fieldPosition="0">
        <references count="2">
          <reference field="4294967294" count="1" selected="0">
            <x v="0"/>
          </reference>
          <reference field="8" count="1" selected="0">
            <x v="2"/>
          </reference>
        </references>
      </pivotArea>
    </chartFormat>
    <chartFormat chart="8" format="10" series="1">
      <pivotArea type="data" outline="0" fieldPosition="0">
        <references count="1">
          <reference field="4294967294" count="1" selected="0">
            <x v="0"/>
          </reference>
        </references>
      </pivotArea>
    </chartFormat>
    <chartFormat chart="8" format="11">
      <pivotArea type="data" outline="0" fieldPosition="0">
        <references count="2">
          <reference field="4294967294" count="1" selected="0">
            <x v="0"/>
          </reference>
          <reference field="8" count="1" selected="0">
            <x v="0"/>
          </reference>
        </references>
      </pivotArea>
    </chartFormat>
    <chartFormat chart="8" format="12">
      <pivotArea type="data" outline="0" fieldPosition="0">
        <references count="2">
          <reference field="4294967294" count="1" selected="0">
            <x v="0"/>
          </reference>
          <reference field="8" count="1" selected="0">
            <x v="1"/>
          </reference>
        </references>
      </pivotArea>
    </chartFormat>
    <chartFormat chart="8" format="13">
      <pivotArea type="data" outline="0" fieldPosition="0">
        <references count="2">
          <reference field="4294967294" count="1" selected="0">
            <x v="0"/>
          </reference>
          <reference field="8" count="1" selected="0">
            <x v="2"/>
          </reference>
        </references>
      </pivotArea>
    </chartFormat>
    <chartFormat chart="8" format="14">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FB765CD-1D82-1A4B-91AB-4BF7C99D8DE5}" name="daily trends"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11" firstHeaderRow="1" firstDataRow="1" firstDataCol="1"/>
  <pivotFields count="15">
    <pivotField showAll="0"/>
    <pivotField showAll="0"/>
    <pivotField dataField="1" showAll="0"/>
    <pivotField showAll="0">
      <items count="13">
        <item x="0"/>
        <item x="1"/>
        <item x="2"/>
        <item x="3"/>
        <item x="4"/>
        <item x="5"/>
        <item x="6"/>
        <item x="7"/>
        <item x="8"/>
        <item x="9"/>
        <item x="10"/>
        <item x="11"/>
        <item t="default"/>
      </items>
    </pivotField>
    <pivotField numFmtId="14" showAll="0"/>
    <pivotField axis="axisRow" showAll="0">
      <items count="8">
        <item x="6"/>
        <item x="0"/>
        <item x="1"/>
        <item x="2"/>
        <item x="3"/>
        <item x="4"/>
        <item x="5"/>
        <item t="default"/>
      </items>
    </pivotField>
    <pivotField showAll="0"/>
    <pivotField numFmtId="21" showAll="0">
      <items count="4489">
        <item x="3898"/>
        <item x="3200"/>
        <item x="2381"/>
        <item x="2793"/>
        <item x="4242"/>
        <item x="1992"/>
        <item x="2271"/>
        <item x="2464"/>
        <item x="3503"/>
        <item x="2920"/>
        <item x="2692"/>
        <item x="4316"/>
        <item x="3270"/>
        <item x="2275"/>
        <item x="3351"/>
        <item x="3575"/>
        <item x="515"/>
        <item x="2540"/>
        <item x="2354"/>
        <item x="3133"/>
        <item x="1255"/>
        <item x="158"/>
        <item x="2050"/>
        <item x="1855"/>
        <item x="1071"/>
        <item x="4111"/>
        <item x="847"/>
        <item x="22"/>
        <item x="1081"/>
        <item x="3535"/>
        <item x="3455"/>
        <item x="182"/>
        <item x="15"/>
        <item x="111"/>
        <item x="3072"/>
        <item x="1767"/>
        <item x="3576"/>
        <item x="2018"/>
        <item x="1184"/>
        <item x="4389"/>
        <item x="137"/>
        <item x="3698"/>
        <item x="3022"/>
        <item x="646"/>
        <item x="529"/>
        <item x="1681"/>
        <item x="2244"/>
        <item x="4000"/>
        <item x="2144"/>
        <item x="1884"/>
        <item x="2152"/>
        <item x="3915"/>
        <item x="2936"/>
        <item x="3945"/>
        <item x="3382"/>
        <item x="2690"/>
        <item x="3244"/>
        <item x="3060"/>
        <item x="4219"/>
        <item x="927"/>
        <item x="4020"/>
        <item x="2416"/>
        <item x="2565"/>
        <item x="1994"/>
        <item x="3648"/>
        <item x="1259"/>
        <item x="1315"/>
        <item x="345"/>
        <item x="2498"/>
        <item x="155"/>
        <item x="1374"/>
        <item x="4360"/>
        <item x="3447"/>
        <item x="3710"/>
        <item x="1384"/>
        <item x="1159"/>
        <item x="2777"/>
        <item x="1225"/>
        <item x="4473"/>
        <item x="3751"/>
        <item x="1547"/>
        <item x="3377"/>
        <item x="1893"/>
        <item x="311"/>
        <item x="251"/>
        <item x="2076"/>
        <item x="755"/>
        <item x="1704"/>
        <item x="3542"/>
        <item x="3091"/>
        <item x="745"/>
        <item x="1645"/>
        <item x="3024"/>
        <item x="2274"/>
        <item x="4281"/>
        <item x="397"/>
        <item x="4398"/>
        <item x="3835"/>
        <item x="3059"/>
        <item x="4459"/>
        <item x="442"/>
        <item x="2851"/>
        <item x="1966"/>
        <item x="882"/>
        <item x="1261"/>
        <item x="591"/>
        <item x="3708"/>
        <item x="2077"/>
        <item x="1487"/>
        <item x="3732"/>
        <item x="1674"/>
        <item x="1885"/>
        <item x="2744"/>
        <item x="3548"/>
        <item x="1037"/>
        <item x="2184"/>
        <item x="343"/>
        <item x="211"/>
        <item x="969"/>
        <item x="3715"/>
        <item x="2675"/>
        <item x="522"/>
        <item x="2463"/>
        <item x="1076"/>
        <item x="3150"/>
        <item x="1789"/>
        <item x="54"/>
        <item x="3530"/>
        <item x="191"/>
        <item x="325"/>
        <item x="4296"/>
        <item x="3076"/>
        <item x="1455"/>
        <item x="142"/>
        <item x="2553"/>
        <item x="3378"/>
        <item x="3125"/>
        <item x="3152"/>
        <item x="4037"/>
        <item x="108"/>
        <item x="8"/>
        <item x="86"/>
        <item x="381"/>
        <item x="2432"/>
        <item x="1443"/>
        <item x="299"/>
        <item x="2259"/>
        <item x="794"/>
        <item x="88"/>
        <item x="4412"/>
        <item x="742"/>
        <item x="3313"/>
        <item x="3405"/>
        <item x="4034"/>
        <item x="3634"/>
        <item x="2611"/>
        <item x="922"/>
        <item x="2220"/>
        <item x="3664"/>
        <item x="1556"/>
        <item x="549"/>
        <item x="461"/>
        <item x="2983"/>
        <item x="2922"/>
        <item x="2654"/>
        <item x="2273"/>
        <item x="4486"/>
        <item x="1731"/>
        <item x="2444"/>
        <item x="1446"/>
        <item x="3723"/>
        <item x="398"/>
        <item x="1409"/>
        <item x="3747"/>
        <item x="1102"/>
        <item x="4175"/>
        <item x="2345"/>
        <item x="3261"/>
        <item x="3508"/>
        <item x="2401"/>
        <item x="1907"/>
        <item x="4260"/>
        <item x="3888"/>
        <item x="477"/>
        <item x="2529"/>
        <item x="1175"/>
        <item x="1489"/>
        <item x="68"/>
        <item x="2505"/>
        <item x="559"/>
        <item x="45"/>
        <item x="474"/>
        <item x="885"/>
        <item x="1072"/>
        <item x="686"/>
        <item x="996"/>
        <item x="1241"/>
        <item x="1800"/>
        <item x="4149"/>
        <item x="4075"/>
        <item x="2453"/>
        <item x="4211"/>
        <item x="57"/>
        <item x="3822"/>
        <item x="3079"/>
        <item x="3173"/>
        <item x="3088"/>
        <item x="3162"/>
        <item x="436"/>
        <item x="4059"/>
        <item x="2013"/>
        <item x="3717"/>
        <item x="4092"/>
        <item x="2651"/>
        <item x="1272"/>
        <item x="4315"/>
        <item x="1624"/>
        <item x="2422"/>
        <item x="1162"/>
        <item x="4477"/>
        <item x="2279"/>
        <item x="3347"/>
        <item x="3216"/>
        <item x="3431"/>
        <item x="1557"/>
        <item x="2492"/>
        <item x="2722"/>
        <item x="3692"/>
        <item x="337"/>
        <item x="4027"/>
        <item x="4300"/>
        <item x="1881"/>
        <item x="4484"/>
        <item x="2467"/>
        <item x="4466"/>
        <item x="454"/>
        <item x="330"/>
        <item x="907"/>
        <item x="4348"/>
        <item x="4170"/>
        <item x="1335"/>
        <item x="2278"/>
        <item x="1069"/>
        <item x="3890"/>
        <item x="4413"/>
        <item x="3699"/>
        <item x="982"/>
        <item x="2214"/>
        <item x="1380"/>
        <item x="3000"/>
        <item x="2912"/>
        <item x="626"/>
        <item x="2007"/>
        <item x="941"/>
        <item x="2160"/>
        <item x="3208"/>
        <item x="2237"/>
        <item x="3795"/>
        <item x="1428"/>
        <item x="2686"/>
        <item x="496"/>
        <item x="2891"/>
        <item x="1095"/>
        <item x="2034"/>
        <item x="764"/>
        <item x="4222"/>
        <item x="3028"/>
        <item x="457"/>
        <item x="2697"/>
        <item x="3556"/>
        <item x="2987"/>
        <item x="2057"/>
        <item x="2807"/>
        <item x="3619"/>
        <item x="4098"/>
        <item x="2719"/>
        <item x="208"/>
        <item x="2995"/>
        <item x="2520"/>
        <item x="1157"/>
        <item x="979"/>
        <item x="725"/>
        <item x="4248"/>
        <item x="3220"/>
        <item x="223"/>
        <item x="478"/>
        <item x="3436"/>
        <item x="1530"/>
        <item x="1449"/>
        <item x="3136"/>
        <item x="2575"/>
        <item x="669"/>
        <item x="2227"/>
        <item x="4114"/>
        <item x="1196"/>
        <item x="3077"/>
        <item x="2993"/>
        <item x="2952"/>
        <item x="2289"/>
        <item x="2595"/>
        <item x="3081"/>
        <item x="144"/>
        <item x="78"/>
        <item x="2462"/>
        <item x="303"/>
        <item x="1358"/>
        <item x="3300"/>
        <item x="41"/>
        <item x="3953"/>
        <item x="3251"/>
        <item x="4462"/>
        <item x="1435"/>
        <item x="1863"/>
        <item x="2727"/>
        <item x="1131"/>
        <item x="2533"/>
        <item x="651"/>
        <item x="1373"/>
        <item x="494"/>
        <item x="1288"/>
        <item x="4048"/>
        <item x="2716"/>
        <item x="2615"/>
        <item x="2823"/>
        <item x="1168"/>
        <item x="2561"/>
        <item x="3863"/>
        <item x="3412"/>
        <item x="1352"/>
        <item x="801"/>
        <item x="3857"/>
        <item x="1901"/>
        <item x="990"/>
        <item x="3470"/>
        <item x="1338"/>
        <item x="876"/>
        <item x="4372"/>
        <item x="3227"/>
        <item x="3826"/>
        <item x="2933"/>
        <item x="500"/>
        <item x="2821"/>
        <item x="4336"/>
        <item x="1208"/>
        <item x="2695"/>
        <item x="1491"/>
        <item x="3418"/>
        <item x="3424"/>
        <item x="1093"/>
        <item x="2517"/>
        <item x="3856"/>
        <item x="1617"/>
        <item x="260"/>
        <item x="1658"/>
        <item x="4303"/>
        <item x="3046"/>
        <item x="2588"/>
        <item x="1650"/>
        <item x="3785"/>
        <item x="3579"/>
        <item x="3413"/>
        <item x="2280"/>
        <item x="2112"/>
        <item x="3557"/>
        <item x="914"/>
        <item x="1083"/>
        <item x="227"/>
        <item x="4341"/>
        <item x="728"/>
        <item x="1488"/>
        <item x="2815"/>
        <item x="1982"/>
        <item x="1798"/>
        <item x="2174"/>
        <item x="798"/>
        <item x="4018"/>
        <item x="3332"/>
        <item x="1456"/>
        <item x="2120"/>
        <item x="656"/>
        <item x="354"/>
        <item x="1228"/>
        <item x="446"/>
        <item x="2954"/>
        <item x="603"/>
        <item x="2570"/>
        <item x="3561"/>
        <item x="2797"/>
        <item x="2163"/>
        <item x="4091"/>
        <item x="3058"/>
        <item x="4058"/>
        <item x="3002"/>
        <item x="1758"/>
        <item x="2774"/>
        <item x="1403"/>
        <item x="3004"/>
        <item x="3115"/>
        <item x="324"/>
        <item x="1801"/>
        <item x="2564"/>
        <item x="3236"/>
        <item x="2772"/>
        <item x="1591"/>
        <item x="272"/>
        <item x="1922"/>
        <item x="3130"/>
        <item x="4029"/>
        <item x="3923"/>
        <item x="1987"/>
        <item x="2093"/>
        <item x="1364"/>
        <item x="2632"/>
        <item x="2357"/>
        <item x="1780"/>
        <item x="2391"/>
        <item x="783"/>
        <item x="3655"/>
        <item x="1014"/>
        <item x="59"/>
        <item x="2511"/>
        <item x="640"/>
        <item x="544"/>
        <item x="561"/>
        <item x="1802"/>
        <item x="1367"/>
        <item x="3214"/>
        <item x="1852"/>
        <item x="348"/>
        <item x="1052"/>
        <item x="1667"/>
        <item x="471"/>
        <item x="4224"/>
        <item x="677"/>
        <item x="3486"/>
        <item x="2056"/>
        <item x="1569"/>
        <item x="1980"/>
        <item x="405"/>
        <item x="610"/>
        <item x="4197"/>
        <item x="641"/>
        <item x="204"/>
        <item x="3833"/>
        <item x="3552"/>
        <item x="573"/>
        <item x="3743"/>
        <item x="2978"/>
        <item x="2885"/>
        <item x="153"/>
        <item x="4053"/>
        <item x="2208"/>
        <item x="874"/>
        <item x="2457"/>
        <item x="2583"/>
        <item x="670"/>
        <item x="2360"/>
        <item x="873"/>
        <item x="1634"/>
        <item x="4419"/>
        <item x="829"/>
        <item x="438"/>
        <item x="917"/>
        <item x="3580"/>
        <item x="408"/>
        <item x="1703"/>
        <item x="3538"/>
        <item x="2974"/>
        <item x="2853"/>
        <item x="1515"/>
        <item x="4271"/>
        <item x="2095"/>
        <item x="3317"/>
        <item x="4383"/>
        <item x="685"/>
        <item x="4247"/>
        <item x="1606"/>
        <item x="4005"/>
        <item x="65"/>
        <item x="4186"/>
        <item x="1010"/>
        <item x="424"/>
        <item x="2649"/>
        <item x="1956"/>
        <item x="3379"/>
        <item x="3729"/>
        <item x="1046"/>
        <item x="1217"/>
        <item x="3520"/>
        <item x="2886"/>
        <item x="4436"/>
        <item x="3463"/>
        <item x="3955"/>
        <item x="2594"/>
        <item x="3696"/>
        <item x="1246"/>
        <item x="3139"/>
        <item x="503"/>
        <item x="3027"/>
        <item x="2094"/>
        <item x="3646"/>
        <item x="3080"/>
        <item x="4308"/>
        <item x="963"/>
        <item x="1618"/>
        <item x="3476"/>
        <item x="3903"/>
        <item x="181"/>
        <item x="1894"/>
        <item x="241"/>
        <item x="3560"/>
        <item x="1989"/>
        <item x="4307"/>
        <item x="3541"/>
        <item x="880"/>
        <item x="1937"/>
        <item x="2896"/>
        <item x="2276"/>
        <item x="1186"/>
        <item x="984"/>
        <item x="2574"/>
        <item x="933"/>
        <item x="2636"/>
        <item x="393"/>
        <item x="3738"/>
        <item x="4433"/>
        <item x="2605"/>
        <item x="992"/>
        <item x="3815"/>
        <item x="2785"/>
        <item x="1249"/>
        <item x="2041"/>
        <item x="2783"/>
        <item x="605"/>
        <item x="733"/>
        <item x="1116"/>
        <item x="1895"/>
        <item x="1875"/>
        <item x="3458"/>
        <item x="2287"/>
        <item x="3842"/>
        <item x="3972"/>
        <item x="2708"/>
        <item x="2900"/>
        <item x="2084"/>
        <item x="2236"/>
        <item x="2063"/>
        <item x="1655"/>
        <item x="310"/>
        <item x="526"/>
        <item x="2935"/>
        <item x="2769"/>
        <item x="675"/>
        <item x="358"/>
        <item x="1191"/>
        <item x="3604"/>
        <item x="3644"/>
        <item x="2149"/>
        <item x="889"/>
        <item x="3373"/>
        <item x="3404"/>
        <item x="1865"/>
        <item x="2911"/>
        <item x="4407"/>
        <item x="1633"/>
        <item x="3326"/>
        <item x="3062"/>
        <item x="811"/>
        <item x="1848"/>
        <item x="650"/>
        <item x="608"/>
        <item x="2350"/>
        <item x="2082"/>
        <item x="3402"/>
        <item x="4007"/>
        <item x="1477"/>
        <item x="4228"/>
        <item x="20"/>
        <item x="1035"/>
        <item x="2154"/>
        <item x="1012"/>
        <item x="3946"/>
        <item x="390"/>
        <item x="3155"/>
        <item x="588"/>
        <item x="2055"/>
        <item x="92"/>
        <item x="2268"/>
        <item x="243"/>
        <item x="447"/>
        <item x="4123"/>
        <item x="4131"/>
        <item x="3008"/>
        <item x="2202"/>
        <item x="4016"/>
        <item x="3045"/>
        <item x="2563"/>
        <item x="2213"/>
        <item x="1745"/>
        <item x="364"/>
        <item x="1524"/>
        <item x="4355"/>
        <item x="3396"/>
        <item x="2616"/>
        <item x="3019"/>
        <item x="1581"/>
        <item x="3741"/>
        <item x="1322"/>
        <item x="1903"/>
        <item x="2753"/>
        <item x="4249"/>
        <item x="266"/>
        <item x="2069"/>
        <item x="2910"/>
        <item x="3372"/>
        <item x="2523"/>
        <item x="1210"/>
        <item x="3806"/>
        <item x="1286"/>
        <item x="340"/>
        <item x="378"/>
        <item x="3605"/>
        <item x="2768"/>
        <item x="4172"/>
        <item x="2623"/>
        <item x="510"/>
        <item x="1226"/>
        <item x="956"/>
        <item x="3375"/>
        <item x="2431"/>
        <item x="270"/>
        <item x="3802"/>
        <item x="375"/>
        <item x="3441"/>
        <item x="4120"/>
        <item x="3167"/>
        <item x="1092"/>
        <item x="1357"/>
        <item x="382"/>
        <item x="2175"/>
        <item x="3055"/>
        <item x="3163"/>
        <item x="823"/>
        <item x="1271"/>
        <item x="2836"/>
        <item x="3727"/>
        <item x="2234"/>
        <item x="1155"/>
        <item x="55"/>
        <item x="4065"/>
        <item x="2332"/>
        <item x="1143"/>
        <item x="3360"/>
        <item x="2506"/>
        <item x="1917"/>
        <item x="4304"/>
        <item x="576"/>
        <item x="1955"/>
        <item x="2860"/>
        <item x="2394"/>
        <item x="17"/>
        <item x="3836"/>
        <item x="1925"/>
        <item x="1936"/>
        <item x="1080"/>
        <item x="3882"/>
        <item x="902"/>
        <item x="1968"/>
        <item x="3736"/>
        <item x="540"/>
        <item x="404"/>
        <item x="1049"/>
        <item x="1405"/>
        <item x="3199"/>
        <item x="853"/>
        <item x="2131"/>
        <item x="664"/>
        <item x="1824"/>
        <item x="1355"/>
        <item x="4339"/>
        <item x="3358"/>
        <item x="2106"/>
        <item x="3682"/>
        <item x="2946"/>
        <item x="3569"/>
        <item x="3678"/>
        <item x="2678"/>
        <item x="4259"/>
        <item x="647"/>
        <item x="786"/>
        <item x="286"/>
        <item x="1825"/>
        <item x="892"/>
        <item x="4379"/>
        <item x="3809"/>
        <item x="3839"/>
        <item x="2824"/>
        <item x="3893"/>
        <item x="2578"/>
        <item x="3207"/>
        <item x="891"/>
        <item x="177"/>
        <item x="1006"/>
        <item x="2015"/>
        <item x="1778"/>
        <item x="1646"/>
        <item x="1169"/>
        <item x="282"/>
        <item x="113"/>
        <item x="4306"/>
        <item x="806"/>
        <item x="2620"/>
        <item x="962"/>
        <item x="2812"/>
        <item x="2867"/>
        <item x="1124"/>
        <item x="4183"/>
        <item x="4217"/>
        <item x="1141"/>
        <item x="533"/>
        <item x="2169"/>
        <item x="295"/>
        <item x="3956"/>
        <item x="1643"/>
        <item x="3612"/>
        <item x="870"/>
        <item x="3401"/>
        <item x="2791"/>
        <item x="3924"/>
        <item x="1256"/>
        <item x="1905"/>
        <item x="1605"/>
        <item x="1105"/>
        <item x="648"/>
        <item x="2725"/>
        <item x="3262"/>
        <item x="2306"/>
        <item x="2436"/>
        <item x="3496"/>
        <item x="1675"/>
        <item x="1054"/>
        <item x="3875"/>
        <item x="422"/>
        <item x="4425"/>
        <item x="82"/>
        <item x="1516"/>
        <item x="3964"/>
        <item x="2210"/>
        <item x="3451"/>
        <item x="4073"/>
        <item x="1900"/>
        <item x="4040"/>
        <item x="4082"/>
        <item x="3406"/>
        <item x="1090"/>
        <item x="2648"/>
        <item x="2490"/>
        <item x="1417"/>
        <item x="4148"/>
        <item x="2685"/>
        <item x="2882"/>
        <item x="1695"/>
        <item x="2054"/>
        <item x="1303"/>
        <item x="538"/>
        <item x="3456"/>
        <item x="3085"/>
        <item x="2633"/>
        <item x="4416"/>
        <item x="1562"/>
        <item x="4424"/>
        <item x="2088"/>
        <item x="1253"/>
        <item x="1990"/>
        <item x="475"/>
        <item x="2568"/>
        <item x="2356"/>
        <item x="2327"/>
        <item x="1690"/>
        <item x="154"/>
        <item x="224"/>
        <item x="1656"/>
        <item x="0"/>
        <item x="3457"/>
        <item x="338"/>
        <item x="3550"/>
        <item x="1486"/>
        <item x="4084"/>
        <item x="2190"/>
        <item x="1418"/>
        <item x="1520"/>
        <item x="3998"/>
        <item x="3188"/>
        <item x="3987"/>
        <item x="2471"/>
        <item x="2528"/>
        <item x="1231"/>
        <item x="2390"/>
        <item x="1867"/>
        <item x="3549"/>
        <item x="2251"/>
        <item x="2108"/>
        <item x="4001"/>
        <item x="1873"/>
        <item x="3522"/>
        <item x="1608"/>
        <item x="3082"/>
        <item x="1165"/>
        <item x="4235"/>
        <item x="1911"/>
        <item x="168"/>
        <item x="87"/>
        <item x="1038"/>
        <item x="1594"/>
        <item x="1479"/>
        <item x="3687"/>
        <item x="1082"/>
        <item x="4209"/>
        <item x="3400"/>
        <item x="2736"/>
        <item x="308"/>
        <item x="851"/>
        <item x="2895"/>
        <item x="2325"/>
        <item x="883"/>
        <item x="3861"/>
        <item x="3616"/>
        <item x="972"/>
        <item x="3354"/>
        <item x="2096"/>
        <item x="2104"/>
        <item x="2080"/>
        <item x="2898"/>
        <item x="4036"/>
        <item x="3934"/>
        <item x="3676"/>
        <item x="925"/>
        <item x="1431"/>
        <item x="3626"/>
        <item x="4076"/>
        <item x="1995"/>
        <item x="2316"/>
        <item x="2656"/>
        <item x="128"/>
        <item x="3927"/>
        <item x="394"/>
        <item x="2799"/>
        <item x="2107"/>
        <item x="3"/>
        <item x="4072"/>
        <item x="3737"/>
        <item x="1628"/>
        <item x="3671"/>
        <item x="2609"/>
        <item x="3974"/>
        <item x="2001"/>
        <item x="2011"/>
        <item x="3661"/>
        <item x="1766"/>
        <item x="2515"/>
        <item x="1938"/>
        <item x="858"/>
        <item x="3526"/>
        <item x="3439"/>
        <item x="4200"/>
        <item x="3087"/>
        <item x="2047"/>
        <item x="3255"/>
        <item x="3965"/>
        <item x="2361"/>
        <item x="4068"/>
        <item x="2311"/>
        <item x="1986"/>
        <item x="871"/>
        <item x="2367"/>
        <item x="1245"/>
        <item x="2767"/>
        <item x="1910"/>
        <item x="3098"/>
        <item x="2949"/>
        <item x="37"/>
        <item x="2829"/>
        <item x="1823"/>
        <item x="4152"/>
        <item x="2187"/>
        <item x="774"/>
        <item x="3823"/>
        <item x="4019"/>
        <item x="1883"/>
        <item x="3775"/>
        <item x="4226"/>
        <item x="1661"/>
        <item x="1732"/>
        <item x="1149"/>
        <item x="434"/>
        <item x="1677"/>
        <item x="1410"/>
        <item x="2445"/>
        <item x="2683"/>
        <item x="4083"/>
        <item x="187"/>
        <item x="3499"/>
        <item x="1592"/>
        <item x="105"/>
        <item x="2302"/>
        <item x="1942"/>
        <item x="3932"/>
        <item x="2168"/>
        <item x="2382"/>
        <item x="13"/>
        <item x="776"/>
        <item x="1794"/>
        <item x="888"/>
        <item x="1275"/>
        <item x="2857"/>
        <item x="197"/>
        <item x="1949"/>
        <item x="2915"/>
        <item x="1603"/>
        <item x="2820"/>
        <item x="1978"/>
        <item x="1068"/>
        <item x="2468"/>
        <item x="509"/>
        <item x="3359"/>
        <item x="1057"/>
        <item x="895"/>
        <item x="636"/>
        <item x="366"/>
        <item x="1468"/>
        <item x="4356"/>
        <item x="439"/>
        <item x="4060"/>
        <item x="3798"/>
        <item x="2504"/>
        <item x="2143"/>
        <item x="3756"/>
        <item x="1951"/>
        <item x="3285"/>
        <item x="893"/>
        <item x="491"/>
        <item x="116"/>
        <item x="4151"/>
        <item x="4240"/>
        <item x="2889"/>
        <item x="110"/>
        <item x="2006"/>
        <item x="2782"/>
        <item x="1025"/>
        <item x="2718"/>
        <item x="1377"/>
        <item x="3654"/>
        <item x="1317"/>
        <item x="3740"/>
        <item x="1664"/>
        <item x="370"/>
        <item x="3511"/>
        <item x="1098"/>
        <item x="1931"/>
        <item x="2115"/>
        <item x="453"/>
        <item x="3792"/>
        <item x="289"/>
        <item x="66"/>
        <item x="867"/>
        <item x="2348"/>
        <item x="713"/>
        <item x="2177"/>
        <item x="323"/>
        <item x="3559"/>
        <item x="1340"/>
        <item x="417"/>
        <item x="3649"/>
        <item x="2916"/>
        <item x="72"/>
        <item x="1274"/>
        <item x="578"/>
        <item x="4264"/>
        <item x="4145"/>
        <item x="2751"/>
        <item x="4422"/>
        <item x="4167"/>
        <item x="2668"/>
        <item x="469"/>
        <item x="1424"/>
        <item x="3151"/>
        <item x="1518"/>
        <item x="3182"/>
        <item x="1930"/>
        <item x="2970"/>
        <item x="782"/>
        <item x="2941"/>
        <item x="318"/>
        <item x="632"/>
        <item x="2266"/>
        <item x="2212"/>
        <item x="218"/>
        <item x="659"/>
        <item x="2794"/>
        <item x="3959"/>
        <item x="1028"/>
        <item x="2945"/>
        <item x="3728"/>
        <item x="1906"/>
        <item x="2555"/>
        <item x="3453"/>
        <item x="732"/>
        <item x="1637"/>
        <item x="2012"/>
        <item x="2712"/>
        <item x="1567"/>
        <item x="2178"/>
        <item x="1464"/>
        <item x="3543"/>
        <item x="589"/>
        <item x="3073"/>
        <item x="2493"/>
        <item x="363"/>
        <item x="4325"/>
        <item x="3119"/>
        <item x="2123"/>
        <item x="3691"/>
        <item x="1845"/>
        <item x="623"/>
        <item x="3947"/>
        <item x="1067"/>
        <item x="2627"/>
        <item x="2934"/>
        <item x="4176"/>
        <item x="3387"/>
        <item x="3961"/>
        <item x="3978"/>
        <item x="719"/>
        <item x="1589"/>
        <item x="1864"/>
        <item x="3420"/>
        <item x="4408"/>
        <item x="2743"/>
        <item x="2480"/>
        <item x="1807"/>
        <item x="380"/>
        <item x="1395"/>
        <item x="4347"/>
        <item x="1187"/>
        <item x="232"/>
        <item x="3291"/>
        <item x="4105"/>
        <item x="4038"/>
        <item x="3624"/>
        <item x="1747"/>
        <item x="3615"/>
        <item x="418"/>
        <item x="537"/>
        <item x="1130"/>
        <item x="2547"/>
        <item x="3269"/>
        <item x="3128"/>
        <item x="423"/>
        <item x="991"/>
        <item x="723"/>
        <item x="1921"/>
        <item x="2808"/>
        <item x="482"/>
        <item x="1414"/>
        <item x="2185"/>
        <item x="1101"/>
        <item x="676"/>
        <item x="7"/>
        <item x="1711"/>
        <item x="2559"/>
        <item x="215"/>
        <item x="2283"/>
        <item x="3389"/>
        <item x="1914"/>
        <item x="3913"/>
        <item x="1147"/>
        <item x="2430"/>
        <item x="4213"/>
        <item x="579"/>
        <item x="3266"/>
        <item x="2045"/>
        <item x="377"/>
        <item x="2939"/>
        <item x="635"/>
        <item x="3242"/>
        <item x="1383"/>
        <item x="73"/>
        <item x="1136"/>
        <item x="2522"/>
        <item x="3204"/>
        <item x="2973"/>
        <item x="803"/>
        <item x="519"/>
        <item x="2597"/>
        <item x="777"/>
        <item x="4043"/>
        <item x="2699"/>
        <item x="1751"/>
        <item x="3851"/>
        <item x="2434"/>
        <item x="1768"/>
        <item x="770"/>
        <item x="287"/>
        <item x="472"/>
        <item x="2189"/>
        <item x="1545"/>
        <item x="384"/>
        <item x="552"/>
        <item x="1194"/>
        <item x="369"/>
        <item x="1627"/>
        <item x="791"/>
        <item x="1043"/>
        <item x="2427"/>
        <item x="3328"/>
        <item x="3873"/>
        <item x="2254"/>
        <item x="2587"/>
        <item x="3662"/>
        <item x="1411"/>
        <item x="3305"/>
        <item x="850"/>
        <item x="1390"/>
        <item x="1262"/>
        <item x="1841"/>
        <item x="4189"/>
        <item x="129"/>
        <item x="1198"/>
        <item x="89"/>
        <item x="4070"/>
        <item x="3403"/>
        <item x="1063"/>
        <item x="3239"/>
        <item x="2410"/>
        <item x="483"/>
        <item x="2395"/>
        <item x="3450"/>
        <item x="2874"/>
        <item x="712"/>
        <item x="4135"/>
        <item x="4268"/>
        <item x="2368"/>
        <item x="3954"/>
        <item x="3700"/>
        <item x="1299"/>
        <item x="3185"/>
        <item x="790"/>
        <item x="3039"/>
        <item x="1329"/>
        <item x="2786"/>
        <item x="2624"/>
        <item x="3250"/>
        <item x="4305"/>
        <item x="3231"/>
        <item x="2286"/>
        <item x="1698"/>
        <item x="1616"/>
        <item x="3539"/>
        <item x="1596"/>
        <item x="4358"/>
        <item x="652"/>
        <item x="800"/>
        <item x="912"/>
        <item x="2925"/>
        <item x="1856"/>
        <item x="4122"/>
        <item x="4237"/>
        <item x="2110"/>
        <item x="180"/>
        <item x="1328"/>
        <item x="3368"/>
        <item x="2926"/>
        <item x="3142"/>
        <item x="4011"/>
        <item x="1220"/>
        <item x="1128"/>
        <item x="3975"/>
        <item x="518"/>
        <item x="841"/>
        <item x="4280"/>
        <item x="2192"/>
        <item x="2584"/>
        <item x="2550"/>
        <item x="545"/>
        <item x="532"/>
        <item x="1504"/>
        <item x="593"/>
        <item x="4"/>
        <item x="4275"/>
        <item x="3223"/>
        <item x="3422"/>
        <item x="565"/>
        <item x="225"/>
        <item x="1470"/>
        <item x="1979"/>
        <item x="1540"/>
        <item x="4069"/>
        <item x="2992"/>
        <item x="1023"/>
        <item x="4287"/>
        <item x="757"/>
        <item x="1954"/>
        <item x="411"/>
        <item x="671"/>
        <item x="3218"/>
        <item x="630"/>
        <item x="1436"/>
        <item x="4252"/>
        <item x="1066"/>
        <item x="1039"/>
        <item x="2778"/>
        <item x="1053"/>
        <item x="3230"/>
        <item x="658"/>
        <item x="3514"/>
        <item x="662"/>
        <item x="3274"/>
        <item x="1267"/>
        <item x="1620"/>
        <item x="1575"/>
        <item x="759"/>
        <item x="3103"/>
        <item x="1679"/>
        <item x="3493"/>
        <item x="3878"/>
        <item x="511"/>
        <item x="3824"/>
        <item x="3597"/>
        <item x="100"/>
        <item x="611"/>
        <item x="3068"/>
        <item x="4319"/>
        <item x="1746"/>
        <item x="4063"/>
        <item x="903"/>
        <item x="1498"/>
        <item x="1499"/>
        <item x="2037"/>
        <item x="355"/>
        <item x="2741"/>
        <item x="2689"/>
        <item x="236"/>
        <item x="2016"/>
        <item x="192"/>
        <item x="4368"/>
        <item x="1115"/>
        <item x="2150"/>
        <item x="2554"/>
        <item x="999"/>
        <item x="333"/>
        <item x="3713"/>
        <item x="2334"/>
        <item x="2032"/>
        <item x="3801"/>
        <item x="2558"/>
        <item x="3205"/>
        <item x="3788"/>
        <item x="205"/>
        <item x="14"/>
        <item x="3770"/>
        <item x="553"/>
        <item x="1764"/>
        <item x="3523"/>
        <item x="758"/>
        <item x="3030"/>
        <item x="703"/>
        <item x="3668"/>
        <item x="173"/>
        <item x="1726"/>
        <item x="1422"/>
        <item x="3944"/>
        <item x="3084"/>
        <item x="1362"/>
        <item x="4373"/>
        <item x="346"/>
        <item x="1250"/>
        <item x="3791"/>
        <item x="2328"/>
        <item x="2051"/>
        <item x="3724"/>
        <item x="1407"/>
        <item x="3899"/>
        <item x="3850"/>
        <item x="1554"/>
        <item x="1790"/>
        <item x="495"/>
        <item x="2762"/>
        <item x="580"/>
        <item x="2374"/>
        <item x="3582"/>
        <item x="3854"/>
        <item x="1161"/>
        <item x="645"/>
        <item x="3050"/>
        <item x="1984"/>
        <item x="2566"/>
        <item x="4456"/>
        <item x="3210"/>
        <item x="980"/>
        <item x="1850"/>
        <item x="684"/>
        <item x="2525"/>
        <item x="1673"/>
        <item x="3656"/>
        <item x="1264"/>
        <item x="1762"/>
        <item x="785"/>
        <item x="254"/>
        <item x="463"/>
        <item x="1870"/>
        <item x="288"/>
        <item x="572"/>
        <item x="1279"/>
        <item x="123"/>
        <item x="1993"/>
        <item x="2074"/>
        <item x="1849"/>
        <item x="448"/>
        <item x="4302"/>
        <item x="1622"/>
        <item x="1742"/>
        <item x="3630"/>
        <item x="2039"/>
        <item x="2641"/>
        <item x="319"/>
        <item x="3421"/>
        <item x="2998"/>
        <item x="4255"/>
        <item x="3663"/>
        <item x="1860"/>
        <item x="3334"/>
        <item x="981"/>
        <item x="527"/>
        <item x="1292"/>
        <item x="3876"/>
        <item x="2291"/>
        <item x="3465"/>
        <item x="1916"/>
        <item x="3083"/>
        <item x="1977"/>
        <item x="3209"/>
        <item x="1022"/>
        <item x="1368"/>
        <item x="4085"/>
        <item x="4426"/>
        <item x="4284"/>
        <item x="2503"/>
        <item x="3319"/>
        <item x="4013"/>
        <item x="2079"/>
        <item x="2947"/>
        <item x="3238"/>
        <item x="62"/>
        <item x="4263"/>
        <item x="3918"/>
        <item x="1385"/>
        <item x="40"/>
        <item x="3941"/>
        <item x="4362"/>
        <item x="4125"/>
        <item x="4335"/>
        <item x="1500"/>
        <item x="1420"/>
        <item x="2906"/>
        <item x="2921"/>
        <item x="4081"/>
        <item x="1281"/>
        <item x="416"/>
        <item x="1920"/>
        <item x="1393"/>
        <item x="2700"/>
        <item x="3853"/>
        <item x="3023"/>
        <item x="278"/>
        <item x="3811"/>
        <item x="1706"/>
        <item x="125"/>
        <item x="2305"/>
        <item x="3430"/>
        <item x="2495"/>
        <item x="3746"/>
        <item x="4008"/>
        <item x="2486"/>
        <item x="1615"/>
        <item x="1804"/>
        <item x="2994"/>
        <item x="2162"/>
        <item x="958"/>
        <item x="2749"/>
        <item x="1099"/>
        <item x="1097"/>
        <item x="2775"/>
        <item x="4062"/>
        <item x="1017"/>
        <item x="2613"/>
        <item x="285"/>
        <item x="621"/>
        <item x="70"/>
        <item x="80"/>
        <item x="2647"/>
        <item x="269"/>
        <item x="2165"/>
        <item x="617"/>
        <item x="4214"/>
        <item x="60"/>
        <item x="2825"/>
        <item x="1693"/>
        <item x="493"/>
        <item x="3707"/>
        <item x="2710"/>
        <item x="2969"/>
        <item x="1927"/>
        <item x="1440"/>
        <item x="4127"/>
        <item x="2166"/>
        <item x="3196"/>
        <item x="3519"/>
        <item x="56"/>
        <item x="705"/>
        <item x="3515"/>
        <item x="4212"/>
        <item x="4171"/>
        <item x="2221"/>
        <item x="2642"/>
        <item x="1160"/>
        <item x="661"/>
        <item x="2216"/>
        <item x="1211"/>
        <item x="3983"/>
        <item x="4010"/>
        <item x="4204"/>
        <item x="3143"/>
        <item x="3197"/>
        <item x="3283"/>
        <item x="2404"/>
        <item x="291"/>
        <item x="3721"/>
        <item x="2764"/>
        <item x="1763"/>
        <item x="1145"/>
        <item x="694"/>
        <item x="1127"/>
        <item x="157"/>
        <item x="637"/>
        <item x="4402"/>
        <item x="1150"/>
        <item x="4006"/>
        <item x="4064"/>
        <item x="4414"/>
        <item x="3544"/>
        <item x="534"/>
        <item x="3258"/>
        <item x="948"/>
        <item x="1448"/>
        <item x="2957"/>
        <item x="3434"/>
        <item x="516"/>
        <item x="2408"/>
        <item x="590"/>
        <item x="894"/>
        <item x="2215"/>
        <item x="612"/>
        <item x="3897"/>
        <item x="1813"/>
        <item x="3293"/>
        <item x="3817"/>
        <item x="2127"/>
        <item x="2249"/>
        <item x="4074"/>
        <item x="2531"/>
        <item x="2536"/>
        <item x="3645"/>
        <item x="1096"/>
        <item x="660"/>
        <item x="3584"/>
        <item x="3454"/>
        <item x="1060"/>
        <item x="4101"/>
        <item x="419"/>
        <item x="170"/>
        <item x="3803"/>
        <item x="1687"/>
        <item x="4262"/>
        <item x="700"/>
        <item x="3507"/>
        <item x="2930"/>
        <item x="952"/>
        <item x="2211"/>
        <item x="3294"/>
        <item x="1129"/>
        <item x="2349"/>
        <item x="1248"/>
        <item x="1782"/>
        <item x="863"/>
        <item x="1527"/>
        <item x="1830"/>
        <item x="1408"/>
        <item x="2868"/>
        <item x="1466"/>
        <item x="1598"/>
        <item x="4137"/>
        <item x="2908"/>
        <item x="2373"/>
        <item x="4115"/>
        <item x="3189"/>
        <item x="2026"/>
        <item x="138"/>
        <item x="2205"/>
        <item x="3904"/>
        <item x="1709"/>
        <item x="3629"/>
        <item x="2005"/>
        <item x="71"/>
        <item x="3186"/>
        <item x="3370"/>
        <item x="2989"/>
        <item x="856"/>
        <item x="3171"/>
        <item x="570"/>
        <item x="2324"/>
        <item x="1531"/>
        <item x="932"/>
        <item x="3174"/>
        <item x="554"/>
        <item x="2839"/>
        <item x="2875"/>
        <item x="2009"/>
        <item x="1899"/>
        <item x="1945"/>
        <item x="1207"/>
        <item x="4282"/>
        <item x="3527"/>
        <item x="699"/>
        <item x="2962"/>
        <item x="2459"/>
        <item x="2871"/>
        <item x="2377"/>
        <item x="1735"/>
        <item x="3123"/>
        <item x="995"/>
        <item x="2257"/>
        <item x="2940"/>
        <item x="3126"/>
        <item x="4108"/>
        <item x="1234"/>
        <item x="1235"/>
        <item x="4318"/>
        <item x="3114"/>
        <item x="2105"/>
        <item x="167"/>
        <item x="4417"/>
        <item x="1304"/>
        <item x="2739"/>
        <item x="3657"/>
        <item x="2707"/>
        <item x="488"/>
        <item x="2201"/>
        <item x="2879"/>
        <item x="3016"/>
        <item x="628"/>
        <item x="3684"/>
        <item x="313"/>
        <item x="3784"/>
        <item x="3013"/>
        <item x="2676"/>
        <item x="252"/>
        <item x="3601"/>
        <item x="131"/>
        <item x="3585"/>
        <item x="4109"/>
        <item x="219"/>
        <item x="3631"/>
        <item x="4334"/>
        <item x="911"/>
        <item x="1140"/>
        <item x="1334"/>
        <item x="4112"/>
        <item x="3950"/>
        <item x="955"/>
        <item x="3212"/>
        <item x="501"/>
        <item x="724"/>
        <item x="3711"/>
        <item x="4153"/>
        <item x="2956"/>
        <item x="2317"/>
        <item x="357"/>
        <item x="3355"/>
        <item x="1533"/>
        <item x="4206"/>
        <item x="2172"/>
        <item x="3310"/>
        <item x="452"/>
        <item x="1820"/>
        <item x="2899"/>
        <item x="1268"/>
        <item x="1289"/>
        <item x="3190"/>
        <item x="1756"/>
        <item x="615"/>
        <item x="3841"/>
        <item x="1705"/>
        <item x="1697"/>
        <item x="704"/>
        <item x="2655"/>
        <item x="4324"/>
        <item x="1024"/>
        <item x="1201"/>
        <item x="3804"/>
        <item x="2309"/>
        <item x="1212"/>
        <item x="3495"/>
        <item x="508"/>
        <item x="3086"/>
        <item x="1512"/>
        <item x="1792"/>
        <item x="240"/>
        <item x="3968"/>
        <item x="4052"/>
        <item x="69"/>
        <item x="4265"/>
        <item x="2822"/>
        <item x="1480"/>
        <item x="3160"/>
        <item x="2451"/>
        <item x="507"/>
        <item x="3517"/>
        <item x="1913"/>
        <item x="1031"/>
        <item x="1020"/>
        <item x="1897"/>
        <item x="1946"/>
        <item x="4147"/>
        <item x="2469"/>
        <item x="1976"/>
        <item x="683"/>
        <item x="1669"/>
        <item x="1550"/>
        <item x="3362"/>
        <item x="4274"/>
        <item x="201"/>
        <item x="34"/>
        <item x="1492"/>
        <item x="3433"/>
        <item x="335"/>
        <item x="796"/>
        <item x="4458"/>
        <item x="3669"/>
        <item x="2501"/>
        <item x="2766"/>
        <item x="3881"/>
        <item x="4283"/>
        <item x="2663"/>
        <item x="2042"/>
        <item x="4002"/>
        <item x="1219"/>
        <item x="2002"/>
        <item x="1177"/>
        <item x="3096"/>
        <item x="1604"/>
        <item x="3307"/>
        <item x="569"/>
        <item x="3667"/>
        <item x="816"/>
        <item x="599"/>
        <item x="3435"/>
        <item x="3714"/>
        <item x="3361"/>
        <item x="1026"/>
        <item x="3980"/>
        <item x="97"/>
        <item x="2335"/>
        <item x="4223"/>
        <item x="2440"/>
        <item x="1944"/>
        <item x="3695"/>
        <item x="1391"/>
        <item x="4475"/>
        <item x="221"/>
        <item x="3810"/>
        <item x="1277"/>
        <item x="23"/>
        <item x="4140"/>
        <item x="3109"/>
        <item x="1866"/>
        <item x="258"/>
        <item x="145"/>
        <item x="4454"/>
        <item x="3466"/>
        <item x="2735"/>
        <item x="3985"/>
        <item x="2659"/>
        <item x="3689"/>
        <item x="4207"/>
        <item x="2397"/>
        <item x="2222"/>
        <item x="710"/>
        <item x="1239"/>
        <item x="2927"/>
        <item x="4418"/>
        <item x="3228"/>
        <item x="1817"/>
        <item x="1164"/>
        <item x="4289"/>
        <item x="2932"/>
        <item x="3641"/>
        <item x="1734"/>
        <item x="3282"/>
        <item x="264"/>
        <item x="490"/>
        <item x="3622"/>
        <item x="2141"/>
        <item x="1337"/>
        <item x="3106"/>
        <item x="2224"/>
        <item x="535"/>
        <item x="2304"/>
        <item x="763"/>
        <item x="749"/>
        <item x="4333"/>
        <item x="3952"/>
        <item x="4090"/>
        <item x="3339"/>
        <item x="3494"/>
        <item x="3761"/>
        <item x="3246"/>
        <item x="1760"/>
        <item x="2789"/>
        <item x="2500"/>
        <item x="3407"/>
        <item x="2878"/>
        <item x="1662"/>
        <item x="4403"/>
        <item x="1761"/>
        <item x="860"/>
        <item x="2389"/>
        <item x="3996"/>
        <item x="2519"/>
        <item x="3338"/>
        <item x="606"/>
        <item x="631"/>
        <item x="3020"/>
        <item x="1206"/>
        <item x="2603"/>
        <item x="1638"/>
        <item x="2022"/>
        <item x="3577"/>
        <item x="1833"/>
        <item x="3051"/>
        <item x="1892"/>
        <item x="1503"/>
        <item x="2770"/>
        <item x="184"/>
        <item x="3286"/>
        <item x="2450"/>
        <item x="1419"/>
        <item x="2483"/>
        <item x="126"/>
        <item x="625"/>
        <item x="1720"/>
        <item x="2884"/>
        <item x="3365"/>
        <item x="1828"/>
        <item x="121"/>
        <item x="163"/>
        <item x="183"/>
        <item x="1033"/>
        <item x="4461"/>
        <item x="1349"/>
        <item x="2477"/>
        <item x="2843"/>
        <item x="3391"/>
        <item x="2959"/>
        <item x="4420"/>
        <item x="2239"/>
        <item x="2024"/>
        <item x="3122"/>
        <item x="714"/>
        <item x="3327"/>
        <item x="4432"/>
        <item x="3670"/>
        <item x="934"/>
        <item x="1988"/>
        <item x="970"/>
        <item x="1898"/>
        <item x="2298"/>
        <item x="1490"/>
        <item x="2326"/>
        <item x="1915"/>
        <item x="1774"/>
        <item x="3481"/>
        <item x="1928"/>
        <item x="281"/>
        <item x="3967"/>
        <item x="1829"/>
        <item x="2988"/>
        <item x="2883"/>
        <item x="939"/>
        <item x="275"/>
        <item x="1224"/>
        <item x="3268"/>
        <item x="1007"/>
        <item x="3505"/>
        <item x="315"/>
        <item x="279"/>
        <item x="2733"/>
        <item x="771"/>
        <item x="3353"/>
        <item x="4467"/>
        <item x="190"/>
        <item x="3120"/>
        <item x="1495"/>
        <item x="1404"/>
        <item x="1517"/>
        <item x="3054"/>
        <item x="206"/>
        <item x="1832"/>
        <item x="2258"/>
        <item x="2193"/>
        <item x="2180"/>
        <item x="427"/>
        <item x="3781"/>
        <item x="928"/>
        <item x="4388"/>
        <item x="2734"/>
        <item x="2347"/>
        <item x="4158"/>
        <item x="2423"/>
        <item x="2320"/>
        <item x="1676"/>
        <item x="1459"/>
        <item x="4439"/>
        <item x="4330"/>
        <item x="280"/>
        <item x="525"/>
        <item x="1640"/>
        <item x="4292"/>
        <item x="4350"/>
        <item x="2365"/>
        <item x="2194"/>
        <item x="619"/>
        <item x="3078"/>
        <item x="986"/>
        <item x="239"/>
        <item x="3215"/>
        <item x="614"/>
        <item x="944"/>
        <item x="322"/>
        <item x="2122"/>
        <item x="1587"/>
        <item x="217"/>
        <item x="4363"/>
        <item x="1293"/>
        <item x="2366"/>
        <item x="966"/>
        <item x="2068"/>
        <item x="3017"/>
        <item x="698"/>
        <item x="1421"/>
        <item x="4382"/>
        <item x="98"/>
        <item x="3726"/>
        <item x="2924"/>
        <item x="2681"/>
        <item x="1819"/>
        <item x="2409"/>
        <item x="4354"/>
        <item x="481"/>
        <item x="541"/>
        <item x="3097"/>
        <item x="3628"/>
        <item x="2243"/>
        <item x="4032"/>
        <item x="3158"/>
        <item x="604"/>
        <item x="3166"/>
        <item x="443"/>
        <item x="2919"/>
        <item x="1757"/>
        <item x="169"/>
        <item x="1276"/>
        <item x="1003"/>
        <item x="506"/>
        <item x="3426"/>
        <item x="1861"/>
        <item x="906"/>
        <item x="360"/>
        <item x="3049"/>
        <item x="2132"/>
        <item x="1890"/>
        <item x="2113"/>
        <item x="1218"/>
        <item x="775"/>
        <item x="2102"/>
        <item x="4353"/>
        <item x="3063"/>
        <item x="1118"/>
        <item x="3038"/>
        <item x="212"/>
        <item x="4469"/>
        <item x="1055"/>
        <item x="2253"/>
        <item x="2518"/>
        <item x="2238"/>
        <item x="467"/>
        <item x="2542"/>
        <item x="3037"/>
        <item x="2346"/>
        <item x="4369"/>
        <item x="920"/>
        <item x="2742"/>
        <item x="1961"/>
        <item x="708"/>
        <item x="1631"/>
        <item x="3846"/>
        <item x="4298"/>
        <item x="1985"/>
        <item x="4236"/>
        <item x="1701"/>
        <item x="4100"/>
        <item x="3357"/>
        <item x="3070"/>
        <item x="476"/>
        <item x="2403"/>
        <item x="1471"/>
        <item x="736"/>
        <item x="1251"/>
        <item x="1119"/>
        <item x="2711"/>
        <item x="1770"/>
        <item x="3138"/>
        <item x="2386"/>
        <item x="4441"/>
        <item x="2179"/>
        <item x="607"/>
        <item x="2581"/>
        <item x="3232"/>
        <item x="3859"/>
        <item x="566"/>
        <item x="596"/>
        <item x="1327"/>
        <item x="430"/>
        <item x="4119"/>
        <item x="2285"/>
        <item x="1305"/>
        <item x="3012"/>
        <item x="3107"/>
        <item x="4297"/>
        <item x="1808"/>
        <item x="1004"/>
        <item x="3525"/>
        <item x="2835"/>
        <item x="2442"/>
        <item x="809"/>
        <item x="2157"/>
        <item x="4267"/>
        <item x="2701"/>
        <item x="4138"/>
        <item x="3229"/>
        <item x="388"/>
        <item x="4087"/>
        <item x="2489"/>
        <item x="103"/>
        <item x="2618"/>
        <item x="3735"/>
        <item x="1134"/>
        <item x="3047"/>
        <item x="1059"/>
        <item x="1862"/>
        <item x="130"/>
        <item x="2352"/>
        <item x="2049"/>
        <item x="79"/>
        <item x="1009"/>
        <item x="3061"/>
        <item x="420"/>
        <item x="2065"/>
        <item x="2256"/>
        <item x="2556"/>
        <item x="2598"/>
        <item x="4291"/>
        <item x="165"/>
        <item x="3318"/>
        <item x="1294"/>
        <item x="4128"/>
        <item x="4460"/>
        <item x="2319"/>
        <item x="1142"/>
        <item x="1313"/>
        <item x="99"/>
        <item x="4375"/>
        <item x="124"/>
        <item x="575"/>
        <item x="1048"/>
        <item x="2961"/>
        <item x="1016"/>
        <item x="1721"/>
        <item x="1904"/>
        <item x="2262"/>
        <item x="3113"/>
        <item x="4142"/>
        <item x="4293"/>
        <item x="2960"/>
        <item x="3198"/>
        <item x="2428"/>
        <item x="964"/>
        <item x="1151"/>
        <item x="2318"/>
        <item x="1454"/>
        <item x="618"/>
        <item x="3309"/>
        <item x="3940"/>
        <item x="2067"/>
        <item x="773"/>
        <item x="3443"/>
        <item x="2937"/>
        <item x="4245"/>
        <item x="1452"/>
        <item x="4103"/>
        <item x="3753"/>
        <item x="3712"/>
        <item x="445"/>
        <item x="2229"/>
        <item x="4243"/>
        <item x="1577"/>
        <item x="2412"/>
        <item x="297"/>
        <item x="584"/>
        <item x="2706"/>
        <item x="4359"/>
        <item x="2617"/>
        <item x="4447"/>
        <item x="2053"/>
        <item x="4380"/>
        <item x="818"/>
        <item x="1600"/>
        <item x="2061"/>
        <item x="2130"/>
        <item x="715"/>
        <item x="3323"/>
        <item x="1991"/>
        <item x="1252"/>
        <item x="2576"/>
        <item x="4229"/>
        <item x="2003"/>
        <item x="822"/>
        <item x="3567"/>
        <item x="3367"/>
        <item x="1497"/>
        <item x="936"/>
        <item x="557"/>
        <item x="3984"/>
        <item x="2991"/>
        <item x="1971"/>
        <item x="336"/>
        <item x="1075"/>
        <item x="4437"/>
        <item x="2866"/>
        <item x="1882"/>
        <item x="1663"/>
        <item x="3164"/>
        <item x="1348"/>
        <item x="1755"/>
        <item x="4078"/>
        <item x="316"/>
        <item x="2512"/>
        <item x="3483"/>
        <item x="4035"/>
        <item x="1924"/>
        <item x="2293"/>
        <item x="2931"/>
        <item x="4180"/>
        <item x="4320"/>
        <item x="4202"/>
        <item x="4190"/>
        <item x="3170"/>
        <item x="815"/>
        <item x="4327"/>
        <item x="2036"/>
        <item x="4470"/>
        <item x="3545"/>
        <item x="1087"/>
        <item x="1713"/>
        <item x="3296"/>
        <item x="2242"/>
        <item x="3578"/>
        <item x="3787"/>
        <item x="2814"/>
        <item x="2795"/>
        <item x="3352"/>
        <item x="929"/>
        <item x="2393"/>
        <item x="665"/>
        <item x="3475"/>
        <item x="2580"/>
        <item x="3035"/>
        <item x="1283"/>
        <item x="176"/>
        <item x="210"/>
        <item x="96"/>
        <item x="1541"/>
        <item x="1858"/>
        <item x="1719"/>
        <item x="3653"/>
        <item x="808"/>
        <item x="4156"/>
        <item x="1523"/>
        <item x="3386"/>
        <item x="368"/>
        <item x="4241"/>
        <item x="3480"/>
        <item x="468"/>
        <item x="1172"/>
        <item x="1822"/>
        <item x="2763"/>
        <item x="367"/>
        <item x="3988"/>
        <item x="1749"/>
        <item x="821"/>
        <item x="3509"/>
        <item x="81"/>
        <item x="2402"/>
        <item x="3895"/>
        <item x="2281"/>
        <item x="1588"/>
        <item x="3329"/>
        <item x="2129"/>
        <item x="2596"/>
        <item x="1827"/>
        <item x="1342"/>
        <item x="3442"/>
        <item x="1236"/>
        <item x="1878"/>
        <item x="2226"/>
        <item x="2630"/>
        <item x="3006"/>
        <item x="1752"/>
        <item x="1179"/>
        <item x="4332"/>
        <item x="539"/>
        <item x="4096"/>
        <item x="834"/>
        <item x="341"/>
        <item x="3623"/>
        <item x="2"/>
        <item x="523"/>
        <item x="3848"/>
        <item x="2272"/>
        <item x="4395"/>
        <item x="531"/>
        <item x="451"/>
        <item x="4405"/>
        <item x="4232"/>
        <item x="2090"/>
        <item x="678"/>
        <item x="3303"/>
        <item x="3821"/>
        <item x="2951"/>
        <item x="1323"/>
        <item x="77"/>
        <item x="4390"/>
        <item x="2914"/>
        <item x="2877"/>
        <item x="935"/>
        <item x="2117"/>
        <item x="3249"/>
        <item x="1779"/>
        <item x="2551"/>
        <item x="3264"/>
        <item x="3090"/>
        <item x="3608"/>
        <item x="542"/>
        <item x="957"/>
        <item x="139"/>
        <item x="3757"/>
        <item x="4061"/>
        <item x="1356"/>
        <item x="284"/>
        <item x="3796"/>
        <item x="399"/>
        <item x="1453"/>
        <item x="2060"/>
        <item x="3141"/>
        <item x="1433"/>
        <item x="2592"/>
        <item x="2907"/>
        <item x="1539"/>
        <item x="3606"/>
        <item x="741"/>
        <item x="3763"/>
        <item x="1462"/>
        <item x="2530"/>
        <item x="2240"/>
        <item x="1929"/>
        <item x="3834"/>
        <item x="1344"/>
        <item x="1062"/>
        <item x="3963"/>
        <item x="396"/>
        <item x="4328"/>
        <item x="1111"/>
        <item x="3872"/>
        <item x="1887"/>
        <item x="3767"/>
        <item x="2802"/>
        <item x="734"/>
        <item x="51"/>
        <item x="2658"/>
        <item x="726"/>
        <item x="560"/>
        <item x="2800"/>
        <item x="3092"/>
        <item x="2679"/>
        <item x="3001"/>
        <item x="512"/>
        <item x="2028"/>
        <item x="235"/>
        <item x="2606"/>
        <item x="1266"/>
        <item x="3057"/>
        <item x="3652"/>
        <item x="1821"/>
        <item x="4050"/>
        <item x="830"/>
        <item x="2218"/>
        <item x="1183"/>
        <item x="3484"/>
        <item x="1193"/>
        <item x="879"/>
        <item x="3976"/>
        <item x="2943"/>
        <item x="666"/>
        <item x="3245"/>
        <item x="1339"/>
        <item x="2560"/>
        <item x="1692"/>
        <item x="3021"/>
        <item x="4201"/>
        <item x="689"/>
        <item x="1649"/>
        <item x="2487"/>
        <item x="3154"/>
        <item x="3240"/>
        <item x="787"/>
        <item x="916"/>
        <item x="4352"/>
        <item x="2684"/>
        <item x="1047"/>
        <item x="2756"/>
        <item x="743"/>
        <item x="3033"/>
        <item x="1997"/>
        <item x="4427"/>
        <item x="489"/>
        <item x="1476"/>
        <item x="1132"/>
        <item x="2337"/>
        <item x="1888"/>
        <item x="2870"/>
        <item x="127"/>
        <item x="3739"/>
        <item x="3278"/>
        <item x="3168"/>
        <item x="4134"/>
        <item x="2929"/>
        <item x="2634"/>
        <item x="898"/>
        <item x="1999"/>
        <item x="2378"/>
        <item x="1144"/>
        <item x="2755"/>
        <item x="3259"/>
        <item x="1485"/>
        <item x="237"/>
        <item x="2010"/>
        <item x="2671"/>
        <item x="2672"/>
        <item x="2771"/>
        <item x="697"/>
        <item x="2612"/>
        <item x="1699"/>
        <item x="410"/>
        <item x="2747"/>
        <item x="2206"/>
        <item x="3260"/>
        <item x="383"/>
        <item x="1084"/>
        <item x="2411"/>
        <item x="312"/>
        <item x="1836"/>
        <item x="1957"/>
        <item x="1874"/>
        <item x="2089"/>
        <item x="2282"/>
        <item x="2342"/>
        <item x="2865"/>
        <item x="2832"/>
        <item x="2965"/>
        <item x="2250"/>
        <item x="2294"/>
        <item x="296"/>
        <item x="3553"/>
        <item x="4144"/>
        <item x="2023"/>
        <item x="804"/>
        <item x="4455"/>
        <item x="277"/>
        <item x="2199"/>
        <item x="3448"/>
        <item x="1203"/>
        <item x="222"/>
        <item x="3635"/>
        <item x="1306"/>
        <item x="2379"/>
        <item x="4097"/>
        <item x="4227"/>
        <item x="4104"/>
        <item x="1426"/>
        <item x="1333"/>
        <item x="693"/>
        <item x="1139"/>
        <item x="1166"/>
        <item x="3490"/>
        <item x="3748"/>
        <item x="973"/>
        <item x="833"/>
        <item x="3181"/>
        <item x="1290"/>
        <item x="2228"/>
        <item x="226"/>
        <item x="3217"/>
        <item x="4193"/>
        <item x="2292"/>
        <item x="2247"/>
        <item x="4143"/>
        <item x="2669"/>
        <item x="4278"/>
        <item x="3273"/>
        <item x="1996"/>
        <item x="2837"/>
        <item x="3658"/>
        <item x="1021"/>
        <item x="3397"/>
        <item x="3636"/>
        <item x="840"/>
        <item x="3885"/>
        <item x="4231"/>
        <item x="3324"/>
        <item x="2109"/>
        <item x="3029"/>
        <item x="1974"/>
        <item x="4345"/>
        <item x="1064"/>
        <item x="1859"/>
        <item x="1712"/>
        <item x="1960"/>
        <item x="1108"/>
        <item x="3571"/>
        <item x="2101"/>
        <item x="4067"/>
        <item x="620"/>
        <item x="4220"/>
        <item x="2625"/>
        <item x="1438"/>
        <item x="3202"/>
        <item x="33"/>
        <item x="2602"/>
        <item x="3124"/>
        <item x="4173"/>
        <item x="3587"/>
        <item x="4409"/>
        <item x="1242"/>
        <item x="1401"/>
        <item x="3778"/>
        <item x="1258"/>
        <item x="188"/>
        <item x="1347"/>
        <item x="3754"/>
        <item x="2284"/>
        <item x="2035"/>
        <item x="1137"/>
        <item x="30"/>
        <item x="835"/>
        <item x="663"/>
        <item x="3180"/>
        <item x="2855"/>
        <item x="317"/>
        <item x="3869"/>
        <item x="1188"/>
        <item x="3311"/>
        <item x="3625"/>
        <item x="959"/>
        <item x="1061"/>
        <item x="4233"/>
        <item x="2976"/>
        <item x="4331"/>
        <item x="2544"/>
        <item x="2191"/>
        <item x="915"/>
        <item x="2640"/>
        <item x="706"/>
        <item x="4478"/>
        <item x="1478"/>
        <item x="2338"/>
        <item x="2571"/>
        <item x="3774"/>
        <item x="371"/>
        <item x="4244"/>
        <item x="238"/>
        <item x="2407"/>
        <item x="3562"/>
        <item x="4088"/>
        <item x="3997"/>
        <item x="2146"/>
        <item x="1190"/>
        <item x="993"/>
        <item x="3907"/>
        <item x="2757"/>
        <item x="3928"/>
        <item x="1595"/>
        <item x="3572"/>
        <item x="1505"/>
        <item x="1475"/>
        <item x="1812"/>
        <item x="1702"/>
        <item x="3830"/>
        <item x="309"/>
        <item x="2040"/>
        <item x="1799"/>
        <item x="3989"/>
        <item x="1816"/>
        <item x="3938"/>
        <item x="2344"/>
        <item x="2608"/>
        <item x="3306"/>
        <item x="779"/>
        <item x="93"/>
        <item x="2030"/>
        <item x="581"/>
        <item x="3762"/>
        <item x="848"/>
        <item x="2033"/>
        <item x="536"/>
        <item x="3187"/>
        <item x="3473"/>
        <item x="4311"/>
        <item x="1642"/>
        <item x="2513"/>
        <item x="4453"/>
        <item x="3937"/>
        <item x="761"/>
        <item x="2746"/>
        <item x="1773"/>
        <item x="2626"/>
        <item x="842"/>
        <item x="4485"/>
        <item x="1444"/>
        <item x="455"/>
        <item x="3393"/>
        <item x="2980"/>
        <item x="3003"/>
        <item x="3116"/>
        <item x="3315"/>
        <item x="2780"/>
        <item x="3335"/>
        <item x="778"/>
        <item x="1585"/>
        <item x="1652"/>
        <item x="1788"/>
        <item x="1635"/>
        <item x="9"/>
        <item x="1805"/>
        <item x="4428"/>
        <item x="1696"/>
        <item x="3243"/>
        <item x="207"/>
        <item x="3500"/>
        <item x="947"/>
        <item x="1811"/>
        <item x="3429"/>
        <item x="1232"/>
        <item x="1397"/>
        <item x="937"/>
        <item x="3536"/>
        <item x="4126"/>
        <item x="3855"/>
        <item x="276"/>
        <item x="1647"/>
        <item x="4374"/>
        <item x="1270"/>
        <item x="462"/>
        <item x="3193"/>
        <item x="3939"/>
        <item x="1413"/>
        <item x="2543"/>
        <item x="4047"/>
        <item x="3304"/>
        <item x="3414"/>
        <item x="3445"/>
        <item x="3011"/>
        <item x="2862"/>
        <item x="1972"/>
        <item x="2773"/>
        <item x="1970"/>
        <item x="3117"/>
        <item x="1192"/>
        <item x="3343"/>
        <item x="3574"/>
        <item x="247"/>
        <item x="810"/>
        <item x="2460"/>
        <item x="2173"/>
        <item x="102"/>
        <item x="3725"/>
        <item x="3994"/>
        <item x="4015"/>
        <item x="1415"/>
        <item x="4444"/>
        <item x="4399"/>
        <item x="3588"/>
        <item x="306"/>
        <item x="3581"/>
        <item x="1370"/>
        <item x="2167"/>
        <item x="2059"/>
        <item x="132"/>
        <item x="3364"/>
        <item x="1741"/>
        <item x="690"/>
        <item x="3099"/>
        <item x="1307"/>
        <item x="2698"/>
        <item x="244"/>
        <item x="3425"/>
        <item x="52"/>
        <item x="4471"/>
        <item x="720"/>
        <item x="866"/>
        <item x="1015"/>
        <item x="199"/>
        <item x="2508"/>
        <item x="3799"/>
        <item x="3596"/>
        <item x="1371"/>
        <item x="268"/>
        <item x="1336"/>
        <item x="1511"/>
        <item x="186"/>
        <item x="245"/>
        <item x="1423"/>
        <item x="2985"/>
        <item x="1623"/>
        <item x="329"/>
        <item x="1560"/>
        <item x="3485"/>
        <item x="722"/>
        <item x="594"/>
        <item x="2188"/>
        <item x="2439"/>
        <item x="872"/>
        <item x="2827"/>
        <item x="3922"/>
        <item x="1107"/>
        <item x="327"/>
        <item x="229"/>
        <item x="769"/>
        <item x="817"/>
        <item x="3042"/>
        <item x="4452"/>
        <item x="1330"/>
        <item x="63"/>
        <item x="1008"/>
        <item x="1195"/>
        <item x="4045"/>
        <item x="2333"/>
        <item x="2124"/>
        <item x="2209"/>
        <item x="53"/>
        <item x="401"/>
        <item x="320"/>
        <item x="3590"/>
        <item x="3797"/>
        <item x="3390"/>
        <item x="1233"/>
        <item x="3241"/>
        <item x="3005"/>
        <item x="2805"/>
        <item x="1278"/>
        <item x="1388"/>
        <item x="104"/>
        <item x="344"/>
        <item x="2425"/>
        <item x="2473"/>
        <item x="3790"/>
        <item x="1460"/>
        <item x="18"/>
        <item x="3813"/>
        <item x="3632"/>
        <item x="3472"/>
        <item x="905"/>
        <item x="918"/>
        <item x="234"/>
        <item x="2942"/>
        <item x="385"/>
        <item x="3263"/>
        <item x="2295"/>
        <item x="899"/>
        <item x="668"/>
        <item x="267"/>
        <item x="1876"/>
        <item x="2838"/>
        <item x="4479"/>
        <item x="2458"/>
        <item x="1613"/>
        <item x="1871"/>
        <item x="3614"/>
        <item x="1839"/>
        <item x="4457"/>
        <item x="3169"/>
        <item x="300"/>
        <item x="735"/>
        <item x="1113"/>
        <item x="202"/>
        <item x="643"/>
        <item x="601"/>
        <item x="1671"/>
        <item x="976"/>
        <item x="5"/>
        <item x="387"/>
        <item x="4182"/>
        <item x="2307"/>
        <item x="2070"/>
        <item x="3529"/>
        <item x="768"/>
        <item x="2020"/>
        <item x="2854"/>
        <item x="386"/>
        <item x="2670"/>
        <item x="1045"/>
        <item x="3829"/>
        <item x="2437"/>
        <item x="2732"/>
        <item x="19"/>
        <item x="3551"/>
        <item x="498"/>
        <item x="3847"/>
        <item x="1343"/>
        <item x="2380"/>
        <item x="2322"/>
        <item x="253"/>
        <item x="592"/>
        <item x="3524"/>
        <item x="2195"/>
        <item x="1153"/>
        <item x="120"/>
        <item x="1771"/>
        <item x="4025"/>
        <item x="568"/>
        <item x="2586"/>
        <item x="1630"/>
        <item x="1345"/>
        <item x="1189"/>
        <item x="3845"/>
        <item x="1445"/>
        <item x="1723"/>
        <item x="3716"/>
        <item x="4157"/>
        <item x="1073"/>
        <item x="1117"/>
        <item x="3468"/>
        <item x="2872"/>
        <item x="1610"/>
        <item x="3840"/>
        <item x="971"/>
        <item x="2888"/>
        <item x="1285"/>
        <item x="2509"/>
        <item x="3643"/>
        <item x="825"/>
        <item x="4346"/>
        <item x="3999"/>
        <item x="4141"/>
        <item x="4366"/>
        <item x="691"/>
        <item x="3783"/>
        <item x="4094"/>
        <item x="1375"/>
        <item x="3772"/>
        <item x="1106"/>
        <item x="3558"/>
        <item x="1534"/>
        <item x="374"/>
        <item x="2614"/>
        <item x="2840"/>
        <item x="429"/>
        <item x="4250"/>
        <item x="1872"/>
        <item x="3666"/>
        <item x="2137"/>
        <item x="2585"/>
        <item x="836"/>
        <item x="255"/>
        <item x="119"/>
        <item x="1365"/>
        <item x="1013"/>
        <item x="4377"/>
        <item x="2923"/>
        <item x="744"/>
        <item x="4199"/>
        <item x="2604"/>
        <item x="1463"/>
        <item x="3916"/>
        <item x="2887"/>
        <item x="4012"/>
        <item x="3720"/>
        <item x="949"/>
        <item x="583"/>
        <item x="1158"/>
        <item x="2429"/>
        <item x="862"/>
        <item x="3137"/>
        <item x="4464"/>
        <item x="3565"/>
        <item x="1058"/>
        <item x="4177"/>
        <item x="4160"/>
        <item x="140"/>
        <item x="4349"/>
        <item x="3948"/>
        <item x="1967"/>
        <item x="2046"/>
        <item x="762"/>
        <item x="2693"/>
        <item x="36"/>
        <item x="4371"/>
        <item x="3789"/>
        <item x="2261"/>
        <item x="3252"/>
        <item x="2902"/>
        <item x="421"/>
        <item x="3734"/>
        <item x="843"/>
        <item x="3602"/>
        <item x="556"/>
        <item x="1542"/>
        <item x="12"/>
        <item x="3281"/>
        <item x="2484"/>
        <item x="1868"/>
        <item x="975"/>
        <item x="3213"/>
        <item x="3513"/>
        <item x="1538"/>
        <item x="3298"/>
        <item x="1548"/>
        <item x="1382"/>
        <item x="4003"/>
        <item x="4285"/>
        <item x="692"/>
        <item x="3147"/>
        <item x="450"/>
        <item x="3949"/>
        <item x="250"/>
        <item x="3093"/>
        <item x="1602"/>
        <item x="711"/>
        <item x="4286"/>
        <item x="824"/>
        <item x="3009"/>
        <item x="339"/>
        <item x="3176"/>
        <item x="2043"/>
        <item x="1785"/>
        <item x="4205"/>
        <item x="302"/>
        <item x="2813"/>
        <item x="3146"/>
        <item x="563"/>
        <item x="4442"/>
        <item x="3014"/>
        <item x="3487"/>
        <item x="1668"/>
        <item x="799"/>
        <item x="1138"/>
        <item x="409"/>
        <item x="950"/>
        <item x="1787"/>
        <item x="499"/>
        <item x="1163"/>
        <item x="1626"/>
        <item x="701"/>
        <item x="3446"/>
        <item x="3555"/>
        <item x="2323"/>
        <item x="2052"/>
        <item x="2217"/>
        <item x="4378"/>
        <item x="3094"/>
        <item x="1050"/>
        <item x="2245"/>
        <item x="1077"/>
        <item x="3321"/>
        <item x="564"/>
        <item x="4041"/>
        <item x="3222"/>
        <item x="2546"/>
        <item x="807"/>
        <item x="3399"/>
        <item x="4288"/>
        <item x="2819"/>
        <item x="987"/>
        <item x="1230"/>
        <item x="3369"/>
        <item x="2135"/>
        <item x="4438"/>
        <item x="4392"/>
        <item x="3827"/>
        <item x="3342"/>
        <item x="4370"/>
        <item x="3908"/>
        <item x="3015"/>
        <item x="2599"/>
        <item x="1467"/>
        <item x="1351"/>
        <item x="2062"/>
        <item x="846"/>
        <item x="4357"/>
        <item x="3942"/>
        <item x="1392"/>
        <item x="3350"/>
        <item x="2527"/>
        <item x="1934"/>
        <item x="3592"/>
        <item x="2705"/>
        <item x="428"/>
        <item x="3452"/>
        <item x="3563"/>
        <item x="3272"/>
        <item x="1783"/>
        <item x="242"/>
        <item x="42"/>
        <item x="1326"/>
        <item x="4446"/>
        <item x="3071"/>
        <item x="2461"/>
        <item x="492"/>
        <item x="2917"/>
        <item x="1254"/>
        <item x="402"/>
        <item x="881"/>
        <item x="4326"/>
        <item x="931"/>
        <item x="1297"/>
        <item x="1551"/>
        <item x="156"/>
        <item x="2478"/>
        <item x="562"/>
        <item x="2000"/>
        <item x="624"/>
        <item x="3206"/>
        <item x="1243"/>
        <item x="4386"/>
        <item x="717"/>
        <item x="2750"/>
        <item x="2645"/>
        <item x="1648"/>
        <item x="2562"/>
        <item x="136"/>
        <item x="203"/>
        <item x="2833"/>
        <item x="586"/>
        <item x="513"/>
        <item x="1826"/>
        <item x="681"/>
        <item x="2099"/>
        <item x="1809"/>
        <item x="1185"/>
        <item x="2100"/>
        <item x="2607"/>
        <item x="2573"/>
        <item x="1399"/>
        <item x="106"/>
        <item x="3568"/>
        <item x="3336"/>
        <item x="3793"/>
        <item x="746"/>
        <item x="3595"/>
        <item x="4387"/>
        <item x="4309"/>
        <item x="431"/>
        <item x="101"/>
        <item x="3325"/>
        <item x="1959"/>
        <item x="2264"/>
        <item x="1398"/>
        <item x="3108"/>
        <item x="3920"/>
        <item x="3265"/>
        <item x="3337"/>
        <item x="352"/>
        <item x="43"/>
        <item x="2680"/>
        <item x="3686"/>
        <item x="1378"/>
        <item x="2928"/>
        <item x="1857"/>
        <item x="1483"/>
        <item x="1769"/>
        <item x="3100"/>
        <item x="2524"/>
        <item x="1174"/>
        <item x="1170"/>
        <item x="3547"/>
        <item x="3069"/>
        <item x="1549"/>
        <item x="2818"/>
        <item x="4054"/>
        <item x="1447"/>
        <item x="1493"/>
        <item x="2831"/>
        <item x="193"/>
        <item x="737"/>
        <item x="951"/>
        <item x="4169"/>
        <item x="849"/>
        <item x="3287"/>
        <item x="112"/>
        <item x="2197"/>
        <item x="1714"/>
        <item x="3065"/>
        <item x="2297"/>
        <item x="1325"/>
        <item x="1935"/>
        <item x="4463"/>
        <item x="2666"/>
        <item x="1148"/>
        <item x="189"/>
        <item x="361"/>
        <item x="3104"/>
        <item x="3408"/>
        <item x="1601"/>
        <item x="4294"/>
        <item x="4159"/>
        <item x="2475"/>
        <item x="4057"/>
        <item x="765"/>
        <item x="3384"/>
        <item x="4218"/>
        <item x="1110"/>
        <item x="2134"/>
        <item x="930"/>
        <item x="1353"/>
        <item x="1247"/>
        <item x="1324"/>
        <item x="3935"/>
        <item x="4269"/>
        <item x="233"/>
        <item x="3308"/>
        <item x="1573"/>
        <item x="753"/>
        <item x="3722"/>
        <item x="1181"/>
        <item x="216"/>
        <item x="4099"/>
        <item x="256"/>
        <item x="347"/>
        <item x="2138"/>
        <item x="3224"/>
        <item x="3914"/>
        <item x="731"/>
        <item x="4391"/>
        <item x="1070"/>
        <item x="400"/>
        <item x="1632"/>
        <item x="3056"/>
        <item x="1969"/>
        <item x="687"/>
        <item x="1851"/>
        <item x="4481"/>
        <item x="1359"/>
        <item x="2864"/>
        <item x="3478"/>
        <item x="1366"/>
        <item x="1280"/>
        <item x="1710"/>
        <item x="4022"/>
        <item x="2903"/>
        <item x="2223"/>
        <item x="600"/>
        <item x="4208"/>
        <item x="2086"/>
        <item x="122"/>
        <item x="480"/>
        <item x="2760"/>
        <item x="334"/>
        <item x="2938"/>
        <item x="3089"/>
        <item x="4440"/>
        <item x="2638"/>
        <item x="3639"/>
        <item x="2801"/>
        <item x="4079"/>
        <item x="1572"/>
        <item x="953"/>
        <item x="1312"/>
        <item x="4254"/>
        <item x="4450"/>
        <item x="2233"/>
        <item x="372"/>
        <item x="837"/>
        <item x="3512"/>
        <item x="1965"/>
        <item x="392"/>
        <item x="548"/>
        <item x="1831"/>
        <item x="3502"/>
        <item x="3388"/>
        <item x="655"/>
        <item x="2577"/>
        <item x="729"/>
        <item x="1369"/>
        <item x="1886"/>
        <item x="2905"/>
        <item x="2806"/>
        <item x="2339"/>
        <item x="2894"/>
        <item x="1287"/>
        <item x="3153"/>
        <item x="2241"/>
        <item x="567"/>
        <item x="3706"/>
        <item x="1840"/>
        <item x="4121"/>
        <item x="64"/>
        <item x="3226"/>
        <item x="4340"/>
        <item x="3831"/>
        <item x="3995"/>
        <item x="2313"/>
        <item x="1546"/>
        <item x="484"/>
        <item x="839"/>
        <item x="828"/>
        <item x="1474"/>
        <item x="1529"/>
        <item x="1386"/>
        <item x="3705"/>
        <item x="4276"/>
        <item x="470"/>
        <item x="403"/>
        <item x="1372"/>
        <item x="4051"/>
        <item x="3690"/>
        <item x="3765"/>
        <item x="2631"/>
        <item x="2148"/>
        <item x="2441"/>
        <item x="688"/>
        <item x="2966"/>
        <item x="1295"/>
        <item x="1088"/>
        <item x="365"/>
        <item x="2329"/>
        <item x="4163"/>
        <item x="1213"/>
        <item x="3018"/>
        <item x="1406"/>
        <item x="2892"/>
        <item x="2944"/>
        <item x="459"/>
        <item x="2810"/>
        <item x="3969"/>
        <item x="200"/>
        <item x="389"/>
        <item x="1952"/>
        <item x="2790"/>
        <item x="4198"/>
        <item x="4376"/>
        <item x="3573"/>
        <item x="2145"/>
        <item x="1263"/>
        <item x="727"/>
        <item x="598"/>
        <item x="3603"/>
        <item x="4364"/>
        <item x="3145"/>
        <item x="1442"/>
        <item x="2521"/>
        <item x="3031"/>
        <item x="1558"/>
        <item x="2300"/>
        <item x="3474"/>
        <item x="639"/>
        <item x="4258"/>
        <item x="3849"/>
        <item x="738"/>
        <item x="998"/>
        <item x="3800"/>
        <item x="3566"/>
        <item x="3036"/>
        <item x="1566"/>
        <item x="1308"/>
        <item x="2510"/>
        <item x="2703"/>
        <item x="2567"/>
        <item x="897"/>
        <item x="1981"/>
        <item x="2375"/>
        <item x="3779"/>
        <item x="3921"/>
        <item x="4139"/>
        <item x="2290"/>
        <item x="16"/>
        <item x="633"/>
        <item x="1842"/>
        <item x="1316"/>
        <item x="2849"/>
        <item x="2454"/>
        <item x="1396"/>
        <item x="3886"/>
        <item x="3647"/>
        <item x="2435"/>
        <item x="4246"/>
        <item x="4343"/>
        <item x="1889"/>
        <item x="3986"/>
        <item x="1739"/>
        <item x="458"/>
        <item x="2073"/>
        <item x="4196"/>
        <item x="349"/>
        <item x="1332"/>
        <item x="4130"/>
        <item x="530"/>
        <item x="2269"/>
        <item x="558"/>
        <item x="194"/>
        <item x="3048"/>
        <item x="3279"/>
        <item x="1715"/>
        <item x="425"/>
        <item x="3702"/>
        <item x="2673"/>
        <item x="2729"/>
        <item x="35"/>
        <item x="2455"/>
        <item x="517"/>
        <item x="597"/>
        <item x="2207"/>
        <item x="3786"/>
        <item x="3295"/>
        <item x="4415"/>
        <item x="11"/>
        <item x="2758"/>
        <item x="1112"/>
        <item x="3043"/>
        <item x="3292"/>
        <item x="4487"/>
        <item x="3759"/>
        <item x="1154"/>
        <item x="4150"/>
        <item x="2646"/>
        <item x="2321"/>
        <item x="672"/>
        <item x="1284"/>
        <item x="1301"/>
        <item x="3862"/>
        <item x="3383"/>
        <item x="1733"/>
        <item x="497"/>
        <item x="1469"/>
        <item x="2975"/>
        <item x="1716"/>
        <item x="4024"/>
        <item x="2635"/>
        <item x="150"/>
        <item x="1619"/>
        <item x="376"/>
        <item x="3825"/>
        <item x="3432"/>
        <item x="1152"/>
        <item x="146"/>
        <item x="4394"/>
        <item x="2418"/>
        <item x="2948"/>
        <item x="3363"/>
        <item x="1202"/>
        <item x="2087"/>
        <item x="2396"/>
        <item x="1432"/>
        <item x="3007"/>
        <item x="3482"/>
        <item x="2953"/>
        <item x="2420"/>
        <item x="3471"/>
        <item x="2847"/>
        <item x="1853"/>
        <item x="2610"/>
        <item x="767"/>
        <item x="135"/>
        <item x="1394"/>
        <item x="3880"/>
        <item x="4184"/>
        <item x="3398"/>
        <item x="1216"/>
        <item x="1902"/>
        <item x="4146"/>
        <item x="3609"/>
        <item x="32"/>
        <item x="1265"/>
        <item x="3930"/>
        <item x="4321"/>
        <item x="514"/>
        <item x="4021"/>
        <item x="3828"/>
        <item x="4449"/>
        <item x="265"/>
        <item x="3871"/>
        <item x="1777"/>
        <item x="2072"/>
        <item x="332"/>
        <item x="2539"/>
        <item x="2622"/>
        <item x="1975"/>
        <item x="4411"/>
        <item x="395"/>
        <item x="1563"/>
        <item x="2370"/>
        <item x="3225"/>
        <item x="1237"/>
        <item x="2731"/>
        <item x="198"/>
        <item x="84"/>
        <item x="1555"/>
        <item x="3610"/>
        <item x="613"/>
        <item x="3417"/>
        <item x="1434"/>
        <item x="351"/>
        <item x="3816"/>
        <item x="152"/>
        <item x="2846"/>
        <item x="1797"/>
        <item x="977"/>
        <item x="107"/>
        <item x="1109"/>
        <item x="2384"/>
        <item x="3874"/>
        <item x="2569"/>
        <item x="2740"/>
        <item x="4129"/>
        <item x="1309"/>
        <item x="1532"/>
        <item x="1570"/>
        <item x="574"/>
        <item x="1611"/>
        <item x="1496"/>
        <item x="2968"/>
        <item x="4066"/>
        <item x="3870"/>
        <item x="3730"/>
        <item x="4179"/>
        <item x="2787"/>
        <item x="2526"/>
        <item x="1953"/>
        <item x="3910"/>
        <item x="1795"/>
        <item x="2383"/>
        <item x="3620"/>
        <item x="2619"/>
        <item x="67"/>
        <item x="4009"/>
        <item x="805"/>
        <item x="1939"/>
        <item x="4192"/>
        <item x="2830"/>
        <item x="3345"/>
        <item x="4290"/>
        <item x="1625"/>
        <item x="3660"/>
        <item x="1400"/>
        <item x="938"/>
        <item x="91"/>
        <item x="3768"/>
        <item x="1204"/>
        <item x="118"/>
        <item x="3271"/>
        <item x="1590"/>
        <item x="2203"/>
        <item x="3052"/>
        <item x="1402"/>
        <item x="1079"/>
        <item x="4337"/>
        <item x="3381"/>
        <item x="3883"/>
        <item x="2591"/>
        <item x="143"/>
        <item x="2308"/>
        <item x="3211"/>
        <item x="2724"/>
        <item x="1998"/>
        <item x="321"/>
        <item x="896"/>
        <item x="249"/>
        <item x="1363"/>
        <item x="160"/>
        <item x="3780"/>
        <item x="2263"/>
        <item x="1086"/>
        <item x="4480"/>
        <item x="869"/>
        <item x="4216"/>
        <item x="4367"/>
        <item x="1528"/>
        <item x="657"/>
        <item x="1036"/>
        <item x="2331"/>
        <item x="414"/>
        <item x="4482"/>
        <item x="3534"/>
        <item x="2126"/>
        <item x="1427"/>
        <item x="25"/>
        <item x="2723"/>
        <item x="2861"/>
        <item x="4023"/>
        <item x="4039"/>
        <item x="3479"/>
        <item x="1502"/>
        <item x="674"/>
        <item x="172"/>
        <item x="960"/>
        <item x="4165"/>
        <item x="1908"/>
        <item x="616"/>
        <item x="3673"/>
        <item x="3838"/>
        <item x="577"/>
        <item x="1089"/>
        <item x="820"/>
        <item x="4106"/>
        <item x="3675"/>
        <item x="1644"/>
        <item x="1708"/>
        <item x="4234"/>
        <item x="784"/>
        <item x="1114"/>
        <item x="4203"/>
        <item x="505"/>
        <item x="1441"/>
        <item x="3889"/>
        <item x="4116"/>
        <item x="2301"/>
        <item x="2388"/>
        <item x="2682"/>
        <item x="667"/>
        <item x="4435"/>
        <item x="1918"/>
        <item x="6"/>
        <item x="2971"/>
        <item x="3302"/>
        <item x="1425"/>
        <item x="1437"/>
        <item x="1176"/>
        <item x="1838"/>
        <item x="3627"/>
        <item x="751"/>
        <item x="2990"/>
        <item x="4338"/>
        <item x="1173"/>
        <item x="1947"/>
        <item x="3742"/>
        <item x="546"/>
        <item x="1919"/>
        <item x="4221"/>
        <item x="4162"/>
        <item x="844"/>
        <item x="412"/>
        <item x="1621"/>
        <item x="3518"/>
        <item x="3704"/>
        <item x="1522"/>
        <item x="487"/>
        <item x="555"/>
        <item x="479"/>
        <item x="831"/>
        <item x="1737"/>
        <item x="174"/>
        <item x="1310"/>
        <item x="1932"/>
        <item x="3718"/>
        <item x="3348"/>
        <item x="2351"/>
        <item x="2330"/>
        <item x="3254"/>
        <item x="1599"/>
        <item x="3970"/>
        <item x="486"/>
        <item x="3901"/>
        <item x="1854"/>
        <item x="1221"/>
        <item x="845"/>
        <item x="3316"/>
        <item x="1653"/>
        <item x="1846"/>
        <item x="3127"/>
        <item x="27"/>
        <item x="3132"/>
        <item x="440"/>
        <item x="298"/>
        <item x="1027"/>
        <item x="1680"/>
        <item x="2147"/>
        <item x="3979"/>
        <item x="582"/>
        <item x="2358"/>
        <item x="1565"/>
        <item x="1688"/>
        <item x="4384"/>
        <item x="819"/>
        <item x="2964"/>
        <item x="2025"/>
        <item x="943"/>
        <item x="2897"/>
        <item x="3805"/>
        <item x="407"/>
        <item x="433"/>
        <item x="2246"/>
        <item x="1580"/>
        <item x="2161"/>
        <item x="2537"/>
        <item x="195"/>
        <item x="2355"/>
        <item x="166"/>
        <item x="2081"/>
        <item x="551"/>
        <item x="2841"/>
        <item x="1657"/>
        <item x="2196"/>
        <item x="602"/>
        <item x="3201"/>
        <item x="4155"/>
        <item x="3492"/>
        <item x="1786"/>
        <item x="3322"/>
        <item x="4178"/>
        <item x="3618"/>
        <item x="1318"/>
        <item x="3140"/>
        <item x="3460"/>
        <item x="1133"/>
        <item x="3299"/>
        <item x="1683"/>
        <item x="1909"/>
        <item x="2881"/>
        <item x="1461"/>
        <item x="1717"/>
        <item x="2982"/>
        <item x="1501"/>
        <item x="117"/>
        <item x="1948"/>
        <item x="3865"/>
        <item x="1725"/>
        <item x="2816"/>
        <item x="1002"/>
        <item x="760"/>
        <item x="115"/>
        <item x="444"/>
        <item x="2779"/>
        <item x="1880"/>
        <item x="1018"/>
        <item x="1510"/>
        <item x="3510"/>
        <item x="1507"/>
        <item x="3044"/>
        <item x="2232"/>
        <item x="2792"/>
        <item x="3694"/>
        <item x="2776"/>
        <item x="47"/>
        <item x="4312"/>
        <item x="1759"/>
        <item x="3111"/>
        <item x="974"/>
        <item x="2967"/>
        <item x="1629"/>
        <item x="2111"/>
        <item x="695"/>
        <item x="432"/>
        <item x="988"/>
        <item x="2589"/>
        <item x="175"/>
        <item x="3395"/>
        <item x="1360"/>
        <item x="3733"/>
        <item x="795"/>
        <item x="788"/>
        <item x="2392"/>
        <item x="2809"/>
        <item x="3749"/>
        <item x="3380"/>
        <item x="4164"/>
        <item x="31"/>
        <item x="1051"/>
        <item x="1354"/>
        <item x="2728"/>
        <item x="3782"/>
        <item x="1707"/>
        <item x="4434"/>
        <item x="2092"/>
        <item x="3613"/>
        <item x="2058"/>
        <item x="1586"/>
        <item x="3593"/>
        <item x="3156"/>
        <item x="2438"/>
        <item x="2788"/>
        <item x="3896"/>
        <item x="3041"/>
        <item x="3256"/>
        <item x="465"/>
        <item x="2579"/>
        <item x="271"/>
        <item x="1891"/>
        <item x="3121"/>
        <item x="1376"/>
        <item x="1684"/>
        <item x="4344"/>
        <item x="3933"/>
        <item x="653"/>
        <item x="3459"/>
        <item x="1806"/>
        <item x="379"/>
        <item x="4299"/>
        <item x="1612"/>
        <item x="304"/>
        <item x="4277"/>
        <item x="4118"/>
        <item x="887"/>
        <item x="4017"/>
        <item x="2909"/>
        <item x="2400"/>
        <item x="4168"/>
        <item x="273"/>
        <item x="3858"/>
        <item x="1227"/>
        <item x="179"/>
        <item x="2448"/>
        <item x="2029"/>
        <item x="4393"/>
        <item x="2414"/>
        <item x="2071"/>
        <item x="4421"/>
        <item x="1877"/>
        <item x="3973"/>
        <item x="3235"/>
        <item x="890"/>
        <item x="1814"/>
        <item x="485"/>
        <item x="629"/>
        <item x="4445"/>
        <item x="1298"/>
        <item x="2125"/>
        <item x="1273"/>
        <item x="3537"/>
        <item x="2048"/>
        <item x="1450"/>
        <item x="326"/>
        <item x="2044"/>
        <item x="4133"/>
        <item x="2548"/>
        <item x="3776"/>
        <item x="3075"/>
        <item x="2817"/>
        <item x="350"/>
        <item x="48"/>
        <item x="4194"/>
        <item x="814"/>
        <item x="4215"/>
        <item x="3034"/>
        <item x="2661"/>
        <item x="1578"/>
        <item x="4110"/>
        <item x="3902"/>
        <item x="1494"/>
        <item x="3600"/>
        <item x="1465"/>
        <item x="730"/>
        <item x="4174"/>
        <item x="1718"/>
        <item x="4210"/>
        <item x="2863"/>
        <item x="74"/>
        <item x="2153"/>
        <item x="185"/>
        <item x="3237"/>
        <item x="2371"/>
        <item x="75"/>
        <item x="3693"/>
        <item x="61"/>
        <item x="2413"/>
        <item x="2140"/>
        <item x="2303"/>
        <item x="921"/>
        <item x="3703"/>
        <item x="2181"/>
        <item x="290"/>
        <item x="1509"/>
        <item x="3589"/>
        <item x="2491"/>
        <item x="2466"/>
        <item x="3330"/>
        <item x="1614"/>
        <item x="827"/>
        <item x="3066"/>
        <item x="3583"/>
        <item x="3844"/>
        <item x="1796"/>
        <item x="3521"/>
        <item x="3993"/>
        <item x="4317"/>
        <item x="1660"/>
        <item x="3681"/>
        <item x="1074"/>
        <item x="2270"/>
        <item x="1167"/>
        <item x="2901"/>
        <item x="3467"/>
        <item x="989"/>
        <item x="884"/>
        <item x="2657"/>
        <item x="3191"/>
        <item x="4401"/>
        <item x="2972"/>
        <item x="2171"/>
        <item x="595"/>
        <item x="171"/>
        <item x="3416"/>
        <item x="520"/>
        <item x="644"/>
        <item x="1321"/>
        <item x="3165"/>
        <item x="2183"/>
        <item x="2267"/>
        <item x="1005"/>
        <item x="1536"/>
        <item x="2472"/>
        <item x="3531"/>
        <item x="4230"/>
        <item x="3760"/>
        <item x="1156"/>
        <item x="2398"/>
        <item x="38"/>
        <item x="1122"/>
        <item x="2119"/>
        <item x="2470"/>
        <item x="1940"/>
        <item x="3356"/>
        <item x="2118"/>
        <item x="1686"/>
        <item x="3814"/>
        <item x="1205"/>
        <item x="3102"/>
        <item x="4191"/>
        <item x="792"/>
        <item x="2085"/>
        <item x="2796"/>
        <item x="94"/>
        <item x="1094"/>
        <item x="673"/>
        <item x="1199"/>
        <item x="50"/>
        <item x="859"/>
        <item x="1682"/>
        <item x="3449"/>
        <item x="2696"/>
        <item x="3233"/>
        <item x="3906"/>
        <item x="2158"/>
        <item x="1416"/>
        <item x="3440"/>
        <item x="1481"/>
        <item x="3540"/>
        <item x="3911"/>
        <item x="2761"/>
        <item x="1451"/>
        <item x="4476"/>
        <item x="3764"/>
        <item x="3990"/>
        <item x="2488"/>
        <item x="1209"/>
        <item x="748"/>
        <item x="585"/>
        <item x="2590"/>
        <item x="3807"/>
        <item x="1835"/>
        <item x="3040"/>
        <item x="2252"/>
        <item x="521"/>
        <item x="213"/>
        <item x="151"/>
        <item x="2433"/>
        <item x="2021"/>
        <item x="3297"/>
        <item x="1896"/>
        <item x="2781"/>
        <item x="3812"/>
        <item x="2665"/>
        <item x="1609"/>
        <item x="1011"/>
        <item x="1458"/>
        <item x="2507"/>
        <item x="1847"/>
        <item x="2856"/>
        <item x="3777"/>
        <item x="3320"/>
        <item x="3067"/>
        <item x="2593"/>
        <item x="2534"/>
        <item x="2726"/>
        <item x="3599"/>
        <item x="4154"/>
        <item x="1641"/>
        <item x="3672"/>
        <item x="528"/>
        <item x="1843"/>
        <item x="2248"/>
        <item x="220"/>
        <item x="228"/>
        <item x="1120"/>
        <item x="4431"/>
        <item x="3962"/>
        <item x="2353"/>
        <item x="1126"/>
        <item x="2064"/>
        <item x="1041"/>
        <item x="1651"/>
        <item x="2359"/>
        <item x="1744"/>
        <item x="1803"/>
        <item x="3837"/>
        <item x="878"/>
        <item x="1034"/>
        <item x="2255"/>
        <item x="1685"/>
        <item x="2170"/>
        <item x="1754"/>
        <item x="3289"/>
        <item x="2687"/>
        <item x="4406"/>
        <item x="2121"/>
        <item x="2399"/>
        <item x="3341"/>
        <item x="3755"/>
        <item x="2662"/>
        <item x="3010"/>
        <item x="3680"/>
        <item x="2704"/>
        <item x="3769"/>
        <item x="2600"/>
        <item x="2572"/>
        <item x="3301"/>
        <item x="1300"/>
        <item x="3134"/>
        <item x="1056"/>
        <item x="680"/>
        <item x="3333"/>
        <item x="1818"/>
        <item x="4132"/>
        <item x="1837"/>
        <item x="1672"/>
        <item x="2721"/>
        <item x="2738"/>
        <item x="1001"/>
        <item x="3640"/>
        <item x="2984"/>
        <item x="2419"/>
        <item x="4251"/>
        <item x="294"/>
        <item x="2452"/>
        <item x="1000"/>
        <item x="571"/>
        <item x="1964"/>
        <item x="1691"/>
        <item x="4124"/>
        <item x="353"/>
        <item x="2136"/>
        <item x="2019"/>
        <item x="1834"/>
        <item x="945"/>
        <item x="2541"/>
        <item x="2078"/>
        <item x="3731"/>
        <item x="473"/>
        <item x="4071"/>
        <item x="813"/>
        <item x="756"/>
        <item x="2230"/>
        <item x="44"/>
        <item x="1029"/>
        <item x="2652"/>
        <item x="1765"/>
        <item x="3410"/>
        <item x="2481"/>
        <item x="3284"/>
        <item x="1526"/>
        <item x="2312"/>
        <item x="1559"/>
        <item x="913"/>
        <item x="4385"/>
        <item x="3221"/>
        <item x="3917"/>
        <item x="2116"/>
        <item x="3192"/>
        <item x="3195"/>
        <item x="4295"/>
        <item x="3688"/>
        <item x="3677"/>
        <item x="3773"/>
        <item x="3887"/>
        <item x="4468"/>
        <item x="1694"/>
        <item x="2362"/>
        <item x="2296"/>
        <item x="752"/>
        <item x="2299"/>
        <item x="1724"/>
        <item x="3860"/>
        <item x="1793"/>
        <item x="1508"/>
        <item x="1923"/>
        <item x="1429"/>
        <item x="3852"/>
        <item x="1379"/>
        <item x="257"/>
        <item x="1314"/>
        <item x="2176"/>
        <item x="2582"/>
        <item x="3409"/>
        <item x="2376"/>
        <item x="740"/>
        <item x="1926"/>
        <item x="3864"/>
        <item x="3665"/>
        <item x="696"/>
        <item x="1521"/>
        <item x="1085"/>
        <item x="2720"/>
        <item x="28"/>
        <item x="2443"/>
        <item x="3894"/>
        <item x="609"/>
        <item x="292"/>
        <item x="789"/>
        <item x="854"/>
        <item x="2629"/>
        <item x="1430"/>
        <item x="2027"/>
        <item x="26"/>
        <item x="1753"/>
        <item x="3288"/>
        <item x="2456"/>
        <item x="1319"/>
        <item x="1583"/>
        <item x="3290"/>
        <item x="3461"/>
        <item x="3506"/>
        <item x="780"/>
        <item x="1941"/>
        <item x="1514"/>
        <item x="1222"/>
        <item x="1042"/>
        <item x="2219"/>
        <item x="4272"/>
        <item x="4080"/>
        <item x="3617"/>
        <item x="2482"/>
        <item x="1544"/>
        <item x="1044"/>
        <item x="1346"/>
        <item x="3501"/>
        <item x="2730"/>
        <item x="90"/>
        <item x="1065"/>
        <item x="3184"/>
        <item x="2235"/>
        <item x="373"/>
        <item x="1810"/>
        <item x="2014"/>
        <item x="4102"/>
        <item x="24"/>
        <item x="3966"/>
        <item x="3982"/>
        <item x="1791"/>
        <item x="2406"/>
        <item x="3591"/>
        <item x="2075"/>
        <item x="3032"/>
        <item x="923"/>
        <item x="942"/>
        <item x="2341"/>
        <item x="638"/>
        <item x="114"/>
        <item x="1659"/>
        <item x="4185"/>
        <item x="3912"/>
        <item x="2447"/>
        <item x="622"/>
        <item x="3971"/>
        <item x="2424"/>
        <item x="4448"/>
        <item x="164"/>
        <item x="3744"/>
        <item x="1844"/>
        <item x="3419"/>
        <item x="4451"/>
        <item x="1772"/>
        <item x="2811"/>
        <item x="924"/>
        <item x="2765"/>
        <item x="4483"/>
        <item x="159"/>
        <item x="2446"/>
        <item x="3832"/>
        <item x="1473"/>
        <item x="2485"/>
        <item x="2340"/>
        <item x="2476"/>
        <item x="747"/>
        <item x="3594"/>
        <item x="413"/>
        <item x="2660"/>
        <item x="314"/>
        <item x="1506"/>
        <item x="2151"/>
        <item x="1722"/>
        <item x="1582"/>
        <item x="4410"/>
        <item x="133"/>
        <item x="4273"/>
        <item x="147"/>
        <item x="868"/>
        <item x="2869"/>
        <item x="3752"/>
        <item x="3275"/>
        <item x="1513"/>
        <item x="3025"/>
        <item x="3771"/>
        <item x="95"/>
        <item x="2804"/>
        <item x="1146"/>
        <item x="2713"/>
        <item x="3105"/>
        <item x="721"/>
        <item x="3794"/>
        <item x="342"/>
        <item x="1730"/>
        <item x="148"/>
        <item x="2315"/>
        <item x="3554"/>
        <item x="2415"/>
        <item x="3516"/>
        <item x="1214"/>
        <item x="4095"/>
        <item x="1584"/>
        <item x="1171"/>
        <item x="3633"/>
        <item x="3637"/>
        <item x="2644"/>
        <item x="2017"/>
        <item x="1311"/>
        <item x="3820"/>
        <item x="2653"/>
        <item x="2198"/>
        <item x="781"/>
        <item x="3709"/>
        <item x="716"/>
        <item x="524"/>
        <item x="1639"/>
        <item x="2986"/>
        <item x="1537"/>
        <item x="2845"/>
        <item x="3392"/>
        <item x="1178"/>
        <item x="994"/>
        <item x="2114"/>
        <item x="1869"/>
        <item x="10"/>
        <item x="161"/>
        <item x="832"/>
        <item x="1564"/>
        <item x="3651"/>
        <item x="2497"/>
        <item x="1740"/>
        <item x="21"/>
        <item x="3843"/>
        <item x="2674"/>
        <item x="4042"/>
        <item x="3504"/>
        <item x="4117"/>
        <item x="3280"/>
        <item x="3177"/>
        <item x="739"/>
        <item x="3868"/>
        <item x="4310"/>
        <item x="4472"/>
        <item x="2155"/>
        <item x="1100"/>
        <item x="4279"/>
        <item x="812"/>
        <item x="415"/>
        <item x="1387"/>
        <item x="702"/>
        <item x="4342"/>
        <item x="2997"/>
        <item x="1180"/>
        <item x="1543"/>
        <item x="649"/>
        <item x="1040"/>
        <item x="4028"/>
        <item x="2336"/>
        <item x="1678"/>
        <item x="2677"/>
        <item x="3149"/>
        <item x="2859"/>
        <item x="3926"/>
        <item x="2545"/>
        <item x="3118"/>
        <item x="1223"/>
        <item x="1776"/>
        <item x="1607"/>
        <item x="2834"/>
        <item x="76"/>
        <item x="1665"/>
        <item x="2784"/>
        <item x="3819"/>
        <item x="1484"/>
        <item x="1104"/>
        <item x="4404"/>
        <item x="3376"/>
        <item x="855"/>
        <item x="2494"/>
        <item x="1568"/>
        <item x="2955"/>
        <item x="2066"/>
        <item x="4381"/>
        <item x="1030"/>
        <item x="3428"/>
        <item x="709"/>
        <item x="3469"/>
        <item x="3026"/>
        <item x="2421"/>
        <item x="875"/>
        <item x="2502"/>
        <item x="3101"/>
        <item x="2918"/>
        <item x="4161"/>
        <item x="466"/>
        <item x="3586"/>
        <item x="1879"/>
        <item x="1302"/>
        <item x="3095"/>
        <item x="3423"/>
        <item x="2996"/>
        <item x="3346"/>
        <item x="4261"/>
        <item x="4093"/>
        <item x="797"/>
        <item x="3144"/>
        <item x="2310"/>
        <item x="3277"/>
        <item x="3905"/>
        <item x="3179"/>
        <item x="3374"/>
        <item x="2709"/>
        <item x="2449"/>
        <item x="2958"/>
        <item x="3248"/>
        <item x="3991"/>
        <item x="2667"/>
        <item x="2156"/>
        <item x="1019"/>
        <item x="3257"/>
        <item x="4256"/>
        <item x="3960"/>
        <item x="3203"/>
        <item x="1389"/>
        <item x="2643"/>
        <item x="3598"/>
        <item x="1552"/>
        <item x="1200"/>
        <item x="1078"/>
        <item x="682"/>
        <item x="2496"/>
        <item x="3685"/>
        <item x="2405"/>
        <item x="1240"/>
        <item x="4033"/>
        <item x="4077"/>
        <item x="1244"/>
        <item x="3528"/>
        <item x="4049"/>
        <item x="802"/>
        <item x="3750"/>
        <item x="3546"/>
        <item x="1439"/>
        <item x="504"/>
        <item x="900"/>
        <item x="2963"/>
        <item x="1666"/>
        <item x="4257"/>
        <item x="707"/>
        <item x="1121"/>
        <item x="2904"/>
        <item x="2387"/>
        <item x="3253"/>
        <item x="1535"/>
        <item x="3957"/>
        <item x="4314"/>
        <item x="3925"/>
        <item x="2745"/>
        <item x="1361"/>
        <item x="3194"/>
        <item x="3175"/>
        <item x="2848"/>
        <item x="857"/>
        <item x="305"/>
        <item x="909"/>
        <item x="3267"/>
        <item x="3385"/>
        <item x="2950"/>
        <item x="1457"/>
        <item x="1950"/>
        <item x="3344"/>
        <item x="134"/>
        <item x="1943"/>
        <item x="2826"/>
        <item x="3570"/>
        <item x="3936"/>
        <item x="3638"/>
        <item x="2637"/>
        <item x="46"/>
        <item x="1123"/>
        <item x="1525"/>
        <item x="1576"/>
        <item x="1561"/>
        <item x="2385"/>
        <item x="2803"/>
        <item x="2876"/>
        <item x="3958"/>
        <item x="4056"/>
        <item x="2133"/>
        <item x="3877"/>
        <item x="1282"/>
        <item x="3683"/>
        <item x="550"/>
        <item x="1229"/>
        <item x="2008"/>
        <item x="3371"/>
        <item x="1729"/>
        <item x="4465"/>
        <item x="3642"/>
        <item x="4301"/>
        <item x="2277"/>
        <item x="4026"/>
        <item x="2128"/>
        <item x="3234"/>
        <item x="464"/>
        <item x="2516"/>
        <item x="3340"/>
        <item x="3064"/>
        <item x="2479"/>
        <item x="877"/>
        <item x="1958"/>
        <item x="3808"/>
        <item x="2999"/>
        <item x="3745"/>
        <item x="4166"/>
        <item x="3818"/>
        <item x="2714"/>
        <item x="547"/>
        <item x="3331"/>
        <item x="1032"/>
        <item x="4107"/>
        <item x="2664"/>
        <item x="3533"/>
        <item x="4004"/>
        <item x="209"/>
        <item x="4225"/>
        <item x="2031"/>
        <item x="908"/>
        <item x="961"/>
        <item x="3697"/>
        <item x="543"/>
        <item x="39"/>
        <item x="1689"/>
        <item x="3053"/>
        <item x="1350"/>
        <item x="2759"/>
        <item x="2798"/>
        <item x="1736"/>
        <item x="2702"/>
        <item x="587"/>
        <item x="3349"/>
        <item x="3900"/>
        <item x="985"/>
        <item x="2748"/>
        <item x="1784"/>
        <item x="3219"/>
        <item x="3977"/>
        <item x="4030"/>
        <item x="426"/>
        <item x="1912"/>
        <item x="2628"/>
        <item x="954"/>
        <item x="283"/>
        <item x="1182"/>
        <item x="328"/>
        <item x="3411"/>
        <item x="2164"/>
        <item x="356"/>
        <item x="2038"/>
        <item x="1983"/>
        <item x="1670"/>
        <item x="2265"/>
        <item x="4423"/>
        <item x="3438"/>
        <item x="449"/>
        <item x="1973"/>
        <item x="3462"/>
        <item x="3110"/>
        <item x="4195"/>
        <item x="263"/>
        <item x="262"/>
        <item x="1197"/>
        <item x="4181"/>
        <item x="3943"/>
        <item x="2098"/>
        <item x="3489"/>
        <item x="2737"/>
        <item x="83"/>
        <item x="3992"/>
        <item x="2091"/>
        <item x="3611"/>
        <item x="3159"/>
        <item x="2288"/>
        <item x="2981"/>
        <item x="940"/>
        <item x="2691"/>
        <item x="2752"/>
        <item x="4089"/>
        <item x="3415"/>
        <item x="1320"/>
        <item x="362"/>
        <item x="2103"/>
        <item x="301"/>
        <item x="4238"/>
        <item x="246"/>
        <item x="4239"/>
        <item x="3276"/>
        <item x="1574"/>
        <item x="3891"/>
        <item x="196"/>
        <item x="85"/>
        <item x="456"/>
        <item x="754"/>
        <item x="3564"/>
        <item x="826"/>
        <item x="2858"/>
        <item x="2004"/>
        <item x="4351"/>
        <item x="3129"/>
        <item x="1331"/>
        <item x="2204"/>
        <item x="1482"/>
        <item x="29"/>
        <item x="2715"/>
        <item x="3931"/>
        <item x="946"/>
        <item x="3607"/>
        <item x="1125"/>
        <item x="1750"/>
        <item x="2465"/>
        <item x="3701"/>
        <item x="886"/>
        <item x="1381"/>
        <item x="230"/>
        <item x="1260"/>
        <item x="4188"/>
        <item x="2499"/>
        <item x="2621"/>
        <item x="2890"/>
        <item x="3758"/>
        <item x="1775"/>
        <item x="4323"/>
        <item x="1815"/>
        <item x="3929"/>
        <item x="997"/>
        <item x="967"/>
        <item x="2694"/>
        <item x="3866"/>
        <item x="965"/>
        <item x="1743"/>
        <item x="1103"/>
        <item x="2514"/>
        <item x="1593"/>
        <item x="861"/>
        <item x="149"/>
        <item x="1579"/>
        <item x="4430"/>
        <item x="1135"/>
        <item x="3719"/>
        <item x="2097"/>
        <item x="4270"/>
        <item x="1519"/>
        <item x="2552"/>
        <item x="2850"/>
        <item x="1291"/>
        <item x="4313"/>
        <item x="4031"/>
        <item x="2977"/>
        <item x="3135"/>
        <item x="1727"/>
        <item x="3674"/>
        <item x="3981"/>
        <item x="2842"/>
        <item x="2893"/>
        <item x="3464"/>
        <item x="1215"/>
        <item x="1748"/>
        <item x="3427"/>
        <item x="1933"/>
        <item x="2142"/>
        <item x="2880"/>
        <item x="3131"/>
        <item x="2873"/>
        <item x="1091"/>
        <item x="4136"/>
        <item x="1341"/>
        <item x="2852"/>
        <item x="2231"/>
        <item x="1412"/>
        <item x="1"/>
        <item x="2363"/>
        <item x="3879"/>
        <item x="3488"/>
        <item x="3498"/>
        <item x="2186"/>
        <item x="772"/>
        <item x="2601"/>
        <item x="4322"/>
        <item x="3532"/>
        <item x="3437"/>
        <item x="852"/>
        <item x="1700"/>
        <item x="3766"/>
        <item x="750"/>
        <item x="634"/>
        <item x="437"/>
        <item x="679"/>
        <item x="3074"/>
        <item x="4365"/>
        <item x="1257"/>
        <item x="3148"/>
        <item x="2369"/>
        <item x="3444"/>
        <item x="2417"/>
        <item x="654"/>
        <item x="766"/>
        <item x="2182"/>
        <item x="359"/>
        <item x="2688"/>
        <item x="58"/>
        <item x="4400"/>
        <item x="3491"/>
        <item x="910"/>
        <item x="793"/>
        <item x="391"/>
        <item x="178"/>
        <item x="274"/>
        <item x="3909"/>
        <item x="904"/>
        <item x="2426"/>
        <item x="261"/>
        <item x="1654"/>
        <item x="1597"/>
        <item x="307"/>
        <item x="865"/>
        <item x="968"/>
        <item x="2343"/>
        <item x="2549"/>
        <item x="2200"/>
        <item x="109"/>
        <item x="901"/>
        <item x="1728"/>
        <item x="406"/>
        <item x="4014"/>
        <item x="3161"/>
        <item x="1963"/>
        <item x="2844"/>
        <item x="983"/>
        <item x="2139"/>
        <item x="1636"/>
        <item x="3247"/>
        <item x="162"/>
        <item x="3477"/>
        <item x="1553"/>
        <item x="4474"/>
        <item x="502"/>
        <item x="3884"/>
        <item x="1571"/>
        <item x="293"/>
        <item x="3919"/>
        <item x="3497"/>
        <item x="4046"/>
        <item x="141"/>
        <item x="2372"/>
        <item x="627"/>
        <item x="642"/>
        <item x="718"/>
        <item x="4429"/>
        <item x="3951"/>
        <item x="3178"/>
        <item x="2159"/>
        <item x="4113"/>
        <item x="3314"/>
        <item x="4443"/>
        <item x="3659"/>
        <item x="4253"/>
        <item x="1738"/>
        <item x="2364"/>
        <item x="1781"/>
        <item x="838"/>
        <item x="3112"/>
        <item x="3650"/>
        <item x="2828"/>
        <item x="3157"/>
        <item x="4361"/>
        <item x="259"/>
        <item x="3183"/>
        <item x="2474"/>
        <item x="4055"/>
        <item x="4396"/>
        <item x="331"/>
        <item x="2639"/>
        <item x="4086"/>
        <item x="3867"/>
        <item x="926"/>
        <item x="4329"/>
        <item x="3621"/>
        <item x="1472"/>
        <item x="460"/>
        <item x="2535"/>
        <item x="2260"/>
        <item x="3394"/>
        <item x="1238"/>
        <item x="2717"/>
        <item x="919"/>
        <item x="3366"/>
        <item x="4266"/>
        <item x="2754"/>
        <item x="3892"/>
        <item x="2314"/>
        <item x="248"/>
        <item x="214"/>
        <item x="3679"/>
        <item x="1269"/>
        <item x="2557"/>
        <item x="2083"/>
        <item x="3172"/>
        <item x="864"/>
        <item x="49"/>
        <item x="2532"/>
        <item x="4044"/>
        <item x="2225"/>
        <item x="231"/>
        <item x="2913"/>
        <item x="441"/>
        <item x="4187"/>
        <item x="2538"/>
        <item x="2979"/>
        <item x="435"/>
        <item x="2650"/>
        <item x="1296"/>
        <item x="3312"/>
        <item x="4397"/>
        <item x="1962"/>
        <item x="978"/>
        <item t="default"/>
      </items>
    </pivotField>
    <pivotField showAll="0"/>
    <pivotField showAll="0"/>
    <pivotField showAll="0"/>
    <pivotField showAll="0"/>
    <pivotField showAll="0"/>
    <pivotField showAll="0"/>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5"/>
  </rowFields>
  <rowItems count="8">
    <i>
      <x/>
    </i>
    <i>
      <x v="1"/>
    </i>
    <i>
      <x v="2"/>
    </i>
    <i>
      <x v="3"/>
    </i>
    <i>
      <x v="4"/>
    </i>
    <i>
      <x v="5"/>
    </i>
    <i>
      <x v="6"/>
    </i>
    <i t="grand">
      <x/>
    </i>
  </rowItems>
  <colItems count="1">
    <i/>
  </colItems>
  <dataFields count="1">
    <dataField name="Sum of total_orders" fld="2" baseField="0" baseItem="0"/>
  </dataFields>
  <chartFormats count="3">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5"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E1CAC9D-FDCD-A544-BAFD-0B651321099B}" name="hourly trends"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5:B28" firstHeaderRow="1" firstDataRow="1" firstDataCol="1"/>
  <pivotFields count="15">
    <pivotField showAll="0"/>
    <pivotField showAll="0"/>
    <pivotField showAll="0"/>
    <pivotField showAll="0">
      <items count="13">
        <item x="0"/>
        <item x="1"/>
        <item x="2"/>
        <item x="3"/>
        <item x="4"/>
        <item x="5"/>
        <item x="6"/>
        <item x="7"/>
        <item x="8"/>
        <item x="9"/>
        <item x="10"/>
        <item x="11"/>
        <item t="default"/>
      </items>
    </pivotField>
    <pivotField numFmtId="14" showAll="0"/>
    <pivotField showAll="0"/>
    <pivotField showAll="0"/>
    <pivotField numFmtId="21" showAll="0">
      <items count="4489">
        <item x="3898"/>
        <item x="3200"/>
        <item x="2381"/>
        <item x="2793"/>
        <item x="4242"/>
        <item x="1992"/>
        <item x="2271"/>
        <item x="2464"/>
        <item x="3503"/>
        <item x="2920"/>
        <item x="2692"/>
        <item x="4316"/>
        <item x="3270"/>
        <item x="2275"/>
        <item x="3351"/>
        <item x="3575"/>
        <item x="515"/>
        <item x="2540"/>
        <item x="2354"/>
        <item x="3133"/>
        <item x="1255"/>
        <item x="158"/>
        <item x="2050"/>
        <item x="1855"/>
        <item x="1071"/>
        <item x="4111"/>
        <item x="847"/>
        <item x="22"/>
        <item x="1081"/>
        <item x="3535"/>
        <item x="3455"/>
        <item x="182"/>
        <item x="15"/>
        <item x="111"/>
        <item x="3072"/>
        <item x="1767"/>
        <item x="3576"/>
        <item x="2018"/>
        <item x="1184"/>
        <item x="4389"/>
        <item x="137"/>
        <item x="3698"/>
        <item x="3022"/>
        <item x="646"/>
        <item x="529"/>
        <item x="1681"/>
        <item x="2244"/>
        <item x="4000"/>
        <item x="2144"/>
        <item x="1884"/>
        <item x="2152"/>
        <item x="3915"/>
        <item x="2936"/>
        <item x="3945"/>
        <item x="3382"/>
        <item x="2690"/>
        <item x="3244"/>
        <item x="3060"/>
        <item x="4219"/>
        <item x="927"/>
        <item x="4020"/>
        <item x="2416"/>
        <item x="2565"/>
        <item x="1994"/>
        <item x="3648"/>
        <item x="1259"/>
        <item x="1315"/>
        <item x="345"/>
        <item x="2498"/>
        <item x="155"/>
        <item x="1374"/>
        <item x="4360"/>
        <item x="3447"/>
        <item x="3710"/>
        <item x="1384"/>
        <item x="1159"/>
        <item x="2777"/>
        <item x="1225"/>
        <item x="4473"/>
        <item x="3751"/>
        <item x="1547"/>
        <item x="3377"/>
        <item x="1893"/>
        <item x="311"/>
        <item x="251"/>
        <item x="2076"/>
        <item x="755"/>
        <item x="1704"/>
        <item x="3542"/>
        <item x="3091"/>
        <item x="745"/>
        <item x="1645"/>
        <item x="3024"/>
        <item x="2274"/>
        <item x="4281"/>
        <item x="397"/>
        <item x="4398"/>
        <item x="3835"/>
        <item x="3059"/>
        <item x="4459"/>
        <item x="442"/>
        <item x="2851"/>
        <item x="1966"/>
        <item x="882"/>
        <item x="1261"/>
        <item x="591"/>
        <item x="3708"/>
        <item x="2077"/>
        <item x="1487"/>
        <item x="3732"/>
        <item x="1674"/>
        <item x="1885"/>
        <item x="2744"/>
        <item x="3548"/>
        <item x="1037"/>
        <item x="2184"/>
        <item x="343"/>
        <item x="211"/>
        <item x="969"/>
        <item x="3715"/>
        <item x="2675"/>
        <item x="522"/>
        <item x="2463"/>
        <item x="1076"/>
        <item x="3150"/>
        <item x="1789"/>
        <item x="54"/>
        <item x="3530"/>
        <item x="191"/>
        <item x="325"/>
        <item x="4296"/>
        <item x="3076"/>
        <item x="1455"/>
        <item x="142"/>
        <item x="2553"/>
        <item x="3378"/>
        <item x="3125"/>
        <item x="3152"/>
        <item x="4037"/>
        <item x="108"/>
        <item x="8"/>
        <item x="86"/>
        <item x="381"/>
        <item x="2432"/>
        <item x="1443"/>
        <item x="299"/>
        <item x="2259"/>
        <item x="794"/>
        <item x="88"/>
        <item x="4412"/>
        <item x="742"/>
        <item x="3313"/>
        <item x="3405"/>
        <item x="4034"/>
        <item x="3634"/>
        <item x="2611"/>
        <item x="922"/>
        <item x="2220"/>
        <item x="3664"/>
        <item x="1556"/>
        <item x="549"/>
        <item x="461"/>
        <item x="2983"/>
        <item x="2922"/>
        <item x="2654"/>
        <item x="2273"/>
        <item x="4486"/>
        <item x="1731"/>
        <item x="2444"/>
        <item x="1446"/>
        <item x="3723"/>
        <item x="398"/>
        <item x="1409"/>
        <item x="3747"/>
        <item x="1102"/>
        <item x="4175"/>
        <item x="2345"/>
        <item x="3261"/>
        <item x="3508"/>
        <item x="2401"/>
        <item x="1907"/>
        <item x="4260"/>
        <item x="3888"/>
        <item x="477"/>
        <item x="2529"/>
        <item x="1175"/>
        <item x="1489"/>
        <item x="68"/>
        <item x="2505"/>
        <item x="559"/>
        <item x="45"/>
        <item x="474"/>
        <item x="885"/>
        <item x="1072"/>
        <item x="686"/>
        <item x="996"/>
        <item x="1241"/>
        <item x="1800"/>
        <item x="4149"/>
        <item x="4075"/>
        <item x="2453"/>
        <item x="4211"/>
        <item x="57"/>
        <item x="3822"/>
        <item x="3079"/>
        <item x="3173"/>
        <item x="3088"/>
        <item x="3162"/>
        <item x="436"/>
        <item x="4059"/>
        <item x="2013"/>
        <item x="3717"/>
        <item x="4092"/>
        <item x="2651"/>
        <item x="1272"/>
        <item x="4315"/>
        <item x="1624"/>
        <item x="2422"/>
        <item x="1162"/>
        <item x="4477"/>
        <item x="2279"/>
        <item x="3347"/>
        <item x="3216"/>
        <item x="3431"/>
        <item x="1557"/>
        <item x="2492"/>
        <item x="2722"/>
        <item x="3692"/>
        <item x="337"/>
        <item x="4027"/>
        <item x="4300"/>
        <item x="1881"/>
        <item x="4484"/>
        <item x="2467"/>
        <item x="4466"/>
        <item x="454"/>
        <item x="330"/>
        <item x="907"/>
        <item x="4348"/>
        <item x="4170"/>
        <item x="1335"/>
        <item x="2278"/>
        <item x="1069"/>
        <item x="3890"/>
        <item x="4413"/>
        <item x="3699"/>
        <item x="982"/>
        <item x="2214"/>
        <item x="1380"/>
        <item x="3000"/>
        <item x="2912"/>
        <item x="626"/>
        <item x="2007"/>
        <item x="941"/>
        <item x="2160"/>
        <item x="3208"/>
        <item x="2237"/>
        <item x="3795"/>
        <item x="1428"/>
        <item x="2686"/>
        <item x="496"/>
        <item x="2891"/>
        <item x="1095"/>
        <item x="2034"/>
        <item x="764"/>
        <item x="4222"/>
        <item x="3028"/>
        <item x="457"/>
        <item x="2697"/>
        <item x="3556"/>
        <item x="2987"/>
        <item x="2057"/>
        <item x="2807"/>
        <item x="3619"/>
        <item x="4098"/>
        <item x="2719"/>
        <item x="208"/>
        <item x="2995"/>
        <item x="2520"/>
        <item x="1157"/>
        <item x="979"/>
        <item x="725"/>
        <item x="4248"/>
        <item x="3220"/>
        <item x="223"/>
        <item x="478"/>
        <item x="3436"/>
        <item x="1530"/>
        <item x="1449"/>
        <item x="3136"/>
        <item x="2575"/>
        <item x="669"/>
        <item x="2227"/>
        <item x="4114"/>
        <item x="1196"/>
        <item x="3077"/>
        <item x="2993"/>
        <item x="2952"/>
        <item x="2289"/>
        <item x="2595"/>
        <item x="3081"/>
        <item x="144"/>
        <item x="78"/>
        <item x="2462"/>
        <item x="303"/>
        <item x="1358"/>
        <item x="3300"/>
        <item x="41"/>
        <item x="3953"/>
        <item x="3251"/>
        <item x="4462"/>
        <item x="1435"/>
        <item x="1863"/>
        <item x="2727"/>
        <item x="1131"/>
        <item x="2533"/>
        <item x="651"/>
        <item x="1373"/>
        <item x="494"/>
        <item x="1288"/>
        <item x="4048"/>
        <item x="2716"/>
        <item x="2615"/>
        <item x="2823"/>
        <item x="1168"/>
        <item x="2561"/>
        <item x="3863"/>
        <item x="3412"/>
        <item x="1352"/>
        <item x="801"/>
        <item x="3857"/>
        <item x="1901"/>
        <item x="990"/>
        <item x="3470"/>
        <item x="1338"/>
        <item x="876"/>
        <item x="4372"/>
        <item x="3227"/>
        <item x="3826"/>
        <item x="2933"/>
        <item x="500"/>
        <item x="2821"/>
        <item x="4336"/>
        <item x="1208"/>
        <item x="2695"/>
        <item x="1491"/>
        <item x="3418"/>
        <item x="3424"/>
        <item x="1093"/>
        <item x="2517"/>
        <item x="3856"/>
        <item x="1617"/>
        <item x="260"/>
        <item x="1658"/>
        <item x="4303"/>
        <item x="3046"/>
        <item x="2588"/>
        <item x="1650"/>
        <item x="3785"/>
        <item x="3579"/>
        <item x="3413"/>
        <item x="2280"/>
        <item x="2112"/>
        <item x="3557"/>
        <item x="914"/>
        <item x="1083"/>
        <item x="227"/>
        <item x="4341"/>
        <item x="728"/>
        <item x="1488"/>
        <item x="2815"/>
        <item x="1982"/>
        <item x="1798"/>
        <item x="2174"/>
        <item x="798"/>
        <item x="4018"/>
        <item x="3332"/>
        <item x="1456"/>
        <item x="2120"/>
        <item x="656"/>
        <item x="354"/>
        <item x="1228"/>
        <item x="446"/>
        <item x="2954"/>
        <item x="603"/>
        <item x="2570"/>
        <item x="3561"/>
        <item x="2797"/>
        <item x="2163"/>
        <item x="4091"/>
        <item x="3058"/>
        <item x="4058"/>
        <item x="3002"/>
        <item x="1758"/>
        <item x="2774"/>
        <item x="1403"/>
        <item x="3004"/>
        <item x="3115"/>
        <item x="324"/>
        <item x="1801"/>
        <item x="2564"/>
        <item x="3236"/>
        <item x="2772"/>
        <item x="1591"/>
        <item x="272"/>
        <item x="1922"/>
        <item x="3130"/>
        <item x="4029"/>
        <item x="3923"/>
        <item x="1987"/>
        <item x="2093"/>
        <item x="1364"/>
        <item x="2632"/>
        <item x="2357"/>
        <item x="1780"/>
        <item x="2391"/>
        <item x="783"/>
        <item x="3655"/>
        <item x="1014"/>
        <item x="59"/>
        <item x="2511"/>
        <item x="640"/>
        <item x="544"/>
        <item x="561"/>
        <item x="1802"/>
        <item x="1367"/>
        <item x="3214"/>
        <item x="1852"/>
        <item x="348"/>
        <item x="1052"/>
        <item x="1667"/>
        <item x="471"/>
        <item x="4224"/>
        <item x="677"/>
        <item x="3486"/>
        <item x="2056"/>
        <item x="1569"/>
        <item x="1980"/>
        <item x="405"/>
        <item x="610"/>
        <item x="4197"/>
        <item x="641"/>
        <item x="204"/>
        <item x="3833"/>
        <item x="3552"/>
        <item x="573"/>
        <item x="3743"/>
        <item x="2978"/>
        <item x="2885"/>
        <item x="153"/>
        <item x="4053"/>
        <item x="2208"/>
        <item x="874"/>
        <item x="2457"/>
        <item x="2583"/>
        <item x="670"/>
        <item x="2360"/>
        <item x="873"/>
        <item x="1634"/>
        <item x="4419"/>
        <item x="829"/>
        <item x="438"/>
        <item x="917"/>
        <item x="3580"/>
        <item x="408"/>
        <item x="1703"/>
        <item x="3538"/>
        <item x="2974"/>
        <item x="2853"/>
        <item x="1515"/>
        <item x="4271"/>
        <item x="2095"/>
        <item x="3317"/>
        <item x="4383"/>
        <item x="685"/>
        <item x="4247"/>
        <item x="1606"/>
        <item x="4005"/>
        <item x="65"/>
        <item x="4186"/>
        <item x="1010"/>
        <item x="424"/>
        <item x="2649"/>
        <item x="1956"/>
        <item x="3379"/>
        <item x="3729"/>
        <item x="1046"/>
        <item x="1217"/>
        <item x="3520"/>
        <item x="2886"/>
        <item x="4436"/>
        <item x="3463"/>
        <item x="3955"/>
        <item x="2594"/>
        <item x="3696"/>
        <item x="1246"/>
        <item x="3139"/>
        <item x="503"/>
        <item x="3027"/>
        <item x="2094"/>
        <item x="3646"/>
        <item x="3080"/>
        <item x="4308"/>
        <item x="963"/>
        <item x="1618"/>
        <item x="3476"/>
        <item x="3903"/>
        <item x="181"/>
        <item x="1894"/>
        <item x="241"/>
        <item x="3560"/>
        <item x="1989"/>
        <item x="4307"/>
        <item x="3541"/>
        <item x="880"/>
        <item x="1937"/>
        <item x="2896"/>
        <item x="2276"/>
        <item x="1186"/>
        <item x="984"/>
        <item x="2574"/>
        <item x="933"/>
        <item x="2636"/>
        <item x="393"/>
        <item x="3738"/>
        <item x="4433"/>
        <item x="2605"/>
        <item x="992"/>
        <item x="3815"/>
        <item x="2785"/>
        <item x="1249"/>
        <item x="2041"/>
        <item x="2783"/>
        <item x="605"/>
        <item x="733"/>
        <item x="1116"/>
        <item x="1895"/>
        <item x="1875"/>
        <item x="3458"/>
        <item x="2287"/>
        <item x="3842"/>
        <item x="3972"/>
        <item x="2708"/>
        <item x="2900"/>
        <item x="2084"/>
        <item x="2236"/>
        <item x="2063"/>
        <item x="1655"/>
        <item x="310"/>
        <item x="526"/>
        <item x="2935"/>
        <item x="2769"/>
        <item x="675"/>
        <item x="358"/>
        <item x="1191"/>
        <item x="3604"/>
        <item x="3644"/>
        <item x="2149"/>
        <item x="889"/>
        <item x="3373"/>
        <item x="3404"/>
        <item x="1865"/>
        <item x="2911"/>
        <item x="4407"/>
        <item x="1633"/>
        <item x="3326"/>
        <item x="3062"/>
        <item x="811"/>
        <item x="1848"/>
        <item x="650"/>
        <item x="608"/>
        <item x="2350"/>
        <item x="2082"/>
        <item x="3402"/>
        <item x="4007"/>
        <item x="1477"/>
        <item x="4228"/>
        <item x="20"/>
        <item x="1035"/>
        <item x="2154"/>
        <item x="1012"/>
        <item x="3946"/>
        <item x="390"/>
        <item x="3155"/>
        <item x="588"/>
        <item x="2055"/>
        <item x="92"/>
        <item x="2268"/>
        <item x="243"/>
        <item x="447"/>
        <item x="4123"/>
        <item x="4131"/>
        <item x="3008"/>
        <item x="2202"/>
        <item x="4016"/>
        <item x="3045"/>
        <item x="2563"/>
        <item x="2213"/>
        <item x="1745"/>
        <item x="364"/>
        <item x="1524"/>
        <item x="4355"/>
        <item x="3396"/>
        <item x="2616"/>
        <item x="3019"/>
        <item x="1581"/>
        <item x="3741"/>
        <item x="1322"/>
        <item x="1903"/>
        <item x="2753"/>
        <item x="4249"/>
        <item x="266"/>
        <item x="2069"/>
        <item x="2910"/>
        <item x="3372"/>
        <item x="2523"/>
        <item x="1210"/>
        <item x="3806"/>
        <item x="1286"/>
        <item x="340"/>
        <item x="378"/>
        <item x="3605"/>
        <item x="2768"/>
        <item x="4172"/>
        <item x="2623"/>
        <item x="510"/>
        <item x="1226"/>
        <item x="956"/>
        <item x="3375"/>
        <item x="2431"/>
        <item x="270"/>
        <item x="3802"/>
        <item x="375"/>
        <item x="3441"/>
        <item x="4120"/>
        <item x="3167"/>
        <item x="1092"/>
        <item x="1357"/>
        <item x="382"/>
        <item x="2175"/>
        <item x="3055"/>
        <item x="3163"/>
        <item x="823"/>
        <item x="1271"/>
        <item x="2836"/>
        <item x="3727"/>
        <item x="2234"/>
        <item x="1155"/>
        <item x="55"/>
        <item x="4065"/>
        <item x="2332"/>
        <item x="1143"/>
        <item x="3360"/>
        <item x="2506"/>
        <item x="1917"/>
        <item x="4304"/>
        <item x="576"/>
        <item x="1955"/>
        <item x="2860"/>
        <item x="2394"/>
        <item x="17"/>
        <item x="3836"/>
        <item x="1925"/>
        <item x="1936"/>
        <item x="1080"/>
        <item x="3882"/>
        <item x="902"/>
        <item x="1968"/>
        <item x="3736"/>
        <item x="540"/>
        <item x="404"/>
        <item x="1049"/>
        <item x="1405"/>
        <item x="3199"/>
        <item x="853"/>
        <item x="2131"/>
        <item x="664"/>
        <item x="1824"/>
        <item x="1355"/>
        <item x="4339"/>
        <item x="3358"/>
        <item x="2106"/>
        <item x="3682"/>
        <item x="2946"/>
        <item x="3569"/>
        <item x="3678"/>
        <item x="2678"/>
        <item x="4259"/>
        <item x="647"/>
        <item x="786"/>
        <item x="286"/>
        <item x="1825"/>
        <item x="892"/>
        <item x="4379"/>
        <item x="3809"/>
        <item x="3839"/>
        <item x="2824"/>
        <item x="3893"/>
        <item x="2578"/>
        <item x="3207"/>
        <item x="891"/>
        <item x="177"/>
        <item x="1006"/>
        <item x="2015"/>
        <item x="1778"/>
        <item x="1646"/>
        <item x="1169"/>
        <item x="282"/>
        <item x="113"/>
        <item x="4306"/>
        <item x="806"/>
        <item x="2620"/>
        <item x="962"/>
        <item x="2812"/>
        <item x="2867"/>
        <item x="1124"/>
        <item x="4183"/>
        <item x="4217"/>
        <item x="1141"/>
        <item x="533"/>
        <item x="2169"/>
        <item x="295"/>
        <item x="3956"/>
        <item x="1643"/>
        <item x="3612"/>
        <item x="870"/>
        <item x="3401"/>
        <item x="2791"/>
        <item x="3924"/>
        <item x="1256"/>
        <item x="1905"/>
        <item x="1605"/>
        <item x="1105"/>
        <item x="648"/>
        <item x="2725"/>
        <item x="3262"/>
        <item x="2306"/>
        <item x="2436"/>
        <item x="3496"/>
        <item x="1675"/>
        <item x="1054"/>
        <item x="3875"/>
        <item x="422"/>
        <item x="4425"/>
        <item x="82"/>
        <item x="1516"/>
        <item x="3964"/>
        <item x="2210"/>
        <item x="3451"/>
        <item x="4073"/>
        <item x="1900"/>
        <item x="4040"/>
        <item x="4082"/>
        <item x="3406"/>
        <item x="1090"/>
        <item x="2648"/>
        <item x="2490"/>
        <item x="1417"/>
        <item x="4148"/>
        <item x="2685"/>
        <item x="2882"/>
        <item x="1695"/>
        <item x="2054"/>
        <item x="1303"/>
        <item x="538"/>
        <item x="3456"/>
        <item x="3085"/>
        <item x="2633"/>
        <item x="4416"/>
        <item x="1562"/>
        <item x="4424"/>
        <item x="2088"/>
        <item x="1253"/>
        <item x="1990"/>
        <item x="475"/>
        <item x="2568"/>
        <item x="2356"/>
        <item x="2327"/>
        <item x="1690"/>
        <item x="154"/>
        <item x="224"/>
        <item x="1656"/>
        <item x="0"/>
        <item x="3457"/>
        <item x="338"/>
        <item x="3550"/>
        <item x="1486"/>
        <item x="4084"/>
        <item x="2190"/>
        <item x="1418"/>
        <item x="1520"/>
        <item x="3998"/>
        <item x="3188"/>
        <item x="3987"/>
        <item x="2471"/>
        <item x="2528"/>
        <item x="1231"/>
        <item x="2390"/>
        <item x="1867"/>
        <item x="3549"/>
        <item x="2251"/>
        <item x="2108"/>
        <item x="4001"/>
        <item x="1873"/>
        <item x="3522"/>
        <item x="1608"/>
        <item x="3082"/>
        <item x="1165"/>
        <item x="4235"/>
        <item x="1911"/>
        <item x="168"/>
        <item x="87"/>
        <item x="1038"/>
        <item x="1594"/>
        <item x="1479"/>
        <item x="3687"/>
        <item x="1082"/>
        <item x="4209"/>
        <item x="3400"/>
        <item x="2736"/>
        <item x="308"/>
        <item x="851"/>
        <item x="2895"/>
        <item x="2325"/>
        <item x="883"/>
        <item x="3861"/>
        <item x="3616"/>
        <item x="972"/>
        <item x="3354"/>
        <item x="2096"/>
        <item x="2104"/>
        <item x="2080"/>
        <item x="2898"/>
        <item x="4036"/>
        <item x="3934"/>
        <item x="3676"/>
        <item x="925"/>
        <item x="1431"/>
        <item x="3626"/>
        <item x="4076"/>
        <item x="1995"/>
        <item x="2316"/>
        <item x="2656"/>
        <item x="128"/>
        <item x="3927"/>
        <item x="394"/>
        <item x="2799"/>
        <item x="2107"/>
        <item x="3"/>
        <item x="4072"/>
        <item x="3737"/>
        <item x="1628"/>
        <item x="3671"/>
        <item x="2609"/>
        <item x="3974"/>
        <item x="2001"/>
        <item x="2011"/>
        <item x="3661"/>
        <item x="1766"/>
        <item x="2515"/>
        <item x="1938"/>
        <item x="858"/>
        <item x="3526"/>
        <item x="3439"/>
        <item x="4200"/>
        <item x="3087"/>
        <item x="2047"/>
        <item x="3255"/>
        <item x="3965"/>
        <item x="2361"/>
        <item x="4068"/>
        <item x="2311"/>
        <item x="1986"/>
        <item x="871"/>
        <item x="2367"/>
        <item x="1245"/>
        <item x="2767"/>
        <item x="1910"/>
        <item x="3098"/>
        <item x="2949"/>
        <item x="37"/>
        <item x="2829"/>
        <item x="1823"/>
        <item x="4152"/>
        <item x="2187"/>
        <item x="774"/>
        <item x="3823"/>
        <item x="4019"/>
        <item x="1883"/>
        <item x="3775"/>
        <item x="4226"/>
        <item x="1661"/>
        <item x="1732"/>
        <item x="1149"/>
        <item x="434"/>
        <item x="1677"/>
        <item x="1410"/>
        <item x="2445"/>
        <item x="2683"/>
        <item x="4083"/>
        <item x="187"/>
        <item x="3499"/>
        <item x="1592"/>
        <item x="105"/>
        <item x="2302"/>
        <item x="1942"/>
        <item x="3932"/>
        <item x="2168"/>
        <item x="2382"/>
        <item x="13"/>
        <item x="776"/>
        <item x="1794"/>
        <item x="888"/>
        <item x="1275"/>
        <item x="2857"/>
        <item x="197"/>
        <item x="1949"/>
        <item x="2915"/>
        <item x="1603"/>
        <item x="2820"/>
        <item x="1978"/>
        <item x="1068"/>
        <item x="2468"/>
        <item x="509"/>
        <item x="3359"/>
        <item x="1057"/>
        <item x="895"/>
        <item x="636"/>
        <item x="366"/>
        <item x="1468"/>
        <item x="4356"/>
        <item x="439"/>
        <item x="4060"/>
        <item x="3798"/>
        <item x="2504"/>
        <item x="2143"/>
        <item x="3756"/>
        <item x="1951"/>
        <item x="3285"/>
        <item x="893"/>
        <item x="491"/>
        <item x="116"/>
        <item x="4151"/>
        <item x="4240"/>
        <item x="2889"/>
        <item x="110"/>
        <item x="2006"/>
        <item x="2782"/>
        <item x="1025"/>
        <item x="2718"/>
        <item x="1377"/>
        <item x="3654"/>
        <item x="1317"/>
        <item x="3740"/>
        <item x="1664"/>
        <item x="370"/>
        <item x="3511"/>
        <item x="1098"/>
        <item x="1931"/>
        <item x="2115"/>
        <item x="453"/>
        <item x="3792"/>
        <item x="289"/>
        <item x="66"/>
        <item x="867"/>
        <item x="2348"/>
        <item x="713"/>
        <item x="2177"/>
        <item x="323"/>
        <item x="3559"/>
        <item x="1340"/>
        <item x="417"/>
        <item x="3649"/>
        <item x="2916"/>
        <item x="72"/>
        <item x="1274"/>
        <item x="578"/>
        <item x="4264"/>
        <item x="4145"/>
        <item x="2751"/>
        <item x="4422"/>
        <item x="4167"/>
        <item x="2668"/>
        <item x="469"/>
        <item x="1424"/>
        <item x="3151"/>
        <item x="1518"/>
        <item x="3182"/>
        <item x="1930"/>
        <item x="2970"/>
        <item x="782"/>
        <item x="2941"/>
        <item x="318"/>
        <item x="632"/>
        <item x="2266"/>
        <item x="2212"/>
        <item x="218"/>
        <item x="659"/>
        <item x="2794"/>
        <item x="3959"/>
        <item x="1028"/>
        <item x="2945"/>
        <item x="3728"/>
        <item x="1906"/>
        <item x="2555"/>
        <item x="3453"/>
        <item x="732"/>
        <item x="1637"/>
        <item x="2012"/>
        <item x="2712"/>
        <item x="1567"/>
        <item x="2178"/>
        <item x="1464"/>
        <item x="3543"/>
        <item x="589"/>
        <item x="3073"/>
        <item x="2493"/>
        <item x="363"/>
        <item x="4325"/>
        <item x="3119"/>
        <item x="2123"/>
        <item x="3691"/>
        <item x="1845"/>
        <item x="623"/>
        <item x="3947"/>
        <item x="1067"/>
        <item x="2627"/>
        <item x="2934"/>
        <item x="4176"/>
        <item x="3387"/>
        <item x="3961"/>
        <item x="3978"/>
        <item x="719"/>
        <item x="1589"/>
        <item x="1864"/>
        <item x="3420"/>
        <item x="4408"/>
        <item x="2743"/>
        <item x="2480"/>
        <item x="1807"/>
        <item x="380"/>
        <item x="1395"/>
        <item x="4347"/>
        <item x="1187"/>
        <item x="232"/>
        <item x="3291"/>
        <item x="4105"/>
        <item x="4038"/>
        <item x="3624"/>
        <item x="1747"/>
        <item x="3615"/>
        <item x="418"/>
        <item x="537"/>
        <item x="1130"/>
        <item x="2547"/>
        <item x="3269"/>
        <item x="3128"/>
        <item x="423"/>
        <item x="991"/>
        <item x="723"/>
        <item x="1921"/>
        <item x="2808"/>
        <item x="482"/>
        <item x="1414"/>
        <item x="2185"/>
        <item x="1101"/>
        <item x="676"/>
        <item x="7"/>
        <item x="1711"/>
        <item x="2559"/>
        <item x="215"/>
        <item x="2283"/>
        <item x="3389"/>
        <item x="1914"/>
        <item x="3913"/>
        <item x="1147"/>
        <item x="2430"/>
        <item x="4213"/>
        <item x="579"/>
        <item x="3266"/>
        <item x="2045"/>
        <item x="377"/>
        <item x="2939"/>
        <item x="635"/>
        <item x="3242"/>
        <item x="1383"/>
        <item x="73"/>
        <item x="1136"/>
        <item x="2522"/>
        <item x="3204"/>
        <item x="2973"/>
        <item x="803"/>
        <item x="519"/>
        <item x="2597"/>
        <item x="777"/>
        <item x="4043"/>
        <item x="2699"/>
        <item x="1751"/>
        <item x="3851"/>
        <item x="2434"/>
        <item x="1768"/>
        <item x="770"/>
        <item x="287"/>
        <item x="472"/>
        <item x="2189"/>
        <item x="1545"/>
        <item x="384"/>
        <item x="552"/>
        <item x="1194"/>
        <item x="369"/>
        <item x="1627"/>
        <item x="791"/>
        <item x="1043"/>
        <item x="2427"/>
        <item x="3328"/>
        <item x="3873"/>
        <item x="2254"/>
        <item x="2587"/>
        <item x="3662"/>
        <item x="1411"/>
        <item x="3305"/>
        <item x="850"/>
        <item x="1390"/>
        <item x="1262"/>
        <item x="1841"/>
        <item x="4189"/>
        <item x="129"/>
        <item x="1198"/>
        <item x="89"/>
        <item x="4070"/>
        <item x="3403"/>
        <item x="1063"/>
        <item x="3239"/>
        <item x="2410"/>
        <item x="483"/>
        <item x="2395"/>
        <item x="3450"/>
        <item x="2874"/>
        <item x="712"/>
        <item x="4135"/>
        <item x="4268"/>
        <item x="2368"/>
        <item x="3954"/>
        <item x="3700"/>
        <item x="1299"/>
        <item x="3185"/>
        <item x="790"/>
        <item x="3039"/>
        <item x="1329"/>
        <item x="2786"/>
        <item x="2624"/>
        <item x="3250"/>
        <item x="4305"/>
        <item x="3231"/>
        <item x="2286"/>
        <item x="1698"/>
        <item x="1616"/>
        <item x="3539"/>
        <item x="1596"/>
        <item x="4358"/>
        <item x="652"/>
        <item x="800"/>
        <item x="912"/>
        <item x="2925"/>
        <item x="1856"/>
        <item x="4122"/>
        <item x="4237"/>
        <item x="2110"/>
        <item x="180"/>
        <item x="1328"/>
        <item x="3368"/>
        <item x="2926"/>
        <item x="3142"/>
        <item x="4011"/>
        <item x="1220"/>
        <item x="1128"/>
        <item x="3975"/>
        <item x="518"/>
        <item x="841"/>
        <item x="4280"/>
        <item x="2192"/>
        <item x="2584"/>
        <item x="2550"/>
        <item x="545"/>
        <item x="532"/>
        <item x="1504"/>
        <item x="593"/>
        <item x="4"/>
        <item x="4275"/>
        <item x="3223"/>
        <item x="3422"/>
        <item x="565"/>
        <item x="225"/>
        <item x="1470"/>
        <item x="1979"/>
        <item x="1540"/>
        <item x="4069"/>
        <item x="2992"/>
        <item x="1023"/>
        <item x="4287"/>
        <item x="757"/>
        <item x="1954"/>
        <item x="411"/>
        <item x="671"/>
        <item x="3218"/>
        <item x="630"/>
        <item x="1436"/>
        <item x="4252"/>
        <item x="1066"/>
        <item x="1039"/>
        <item x="2778"/>
        <item x="1053"/>
        <item x="3230"/>
        <item x="658"/>
        <item x="3514"/>
        <item x="662"/>
        <item x="3274"/>
        <item x="1267"/>
        <item x="1620"/>
        <item x="1575"/>
        <item x="759"/>
        <item x="3103"/>
        <item x="1679"/>
        <item x="3493"/>
        <item x="3878"/>
        <item x="511"/>
        <item x="3824"/>
        <item x="3597"/>
        <item x="100"/>
        <item x="611"/>
        <item x="3068"/>
        <item x="4319"/>
        <item x="1746"/>
        <item x="4063"/>
        <item x="903"/>
        <item x="1498"/>
        <item x="1499"/>
        <item x="2037"/>
        <item x="355"/>
        <item x="2741"/>
        <item x="2689"/>
        <item x="236"/>
        <item x="2016"/>
        <item x="192"/>
        <item x="4368"/>
        <item x="1115"/>
        <item x="2150"/>
        <item x="2554"/>
        <item x="999"/>
        <item x="333"/>
        <item x="3713"/>
        <item x="2334"/>
        <item x="2032"/>
        <item x="3801"/>
        <item x="2558"/>
        <item x="3205"/>
        <item x="3788"/>
        <item x="205"/>
        <item x="14"/>
        <item x="3770"/>
        <item x="553"/>
        <item x="1764"/>
        <item x="3523"/>
        <item x="758"/>
        <item x="3030"/>
        <item x="703"/>
        <item x="3668"/>
        <item x="173"/>
        <item x="1726"/>
        <item x="1422"/>
        <item x="3944"/>
        <item x="3084"/>
        <item x="1362"/>
        <item x="4373"/>
        <item x="346"/>
        <item x="1250"/>
        <item x="3791"/>
        <item x="2328"/>
        <item x="2051"/>
        <item x="3724"/>
        <item x="1407"/>
        <item x="3899"/>
        <item x="3850"/>
        <item x="1554"/>
        <item x="1790"/>
        <item x="495"/>
        <item x="2762"/>
        <item x="580"/>
        <item x="2374"/>
        <item x="3582"/>
        <item x="3854"/>
        <item x="1161"/>
        <item x="645"/>
        <item x="3050"/>
        <item x="1984"/>
        <item x="2566"/>
        <item x="4456"/>
        <item x="3210"/>
        <item x="980"/>
        <item x="1850"/>
        <item x="684"/>
        <item x="2525"/>
        <item x="1673"/>
        <item x="3656"/>
        <item x="1264"/>
        <item x="1762"/>
        <item x="785"/>
        <item x="254"/>
        <item x="463"/>
        <item x="1870"/>
        <item x="288"/>
        <item x="572"/>
        <item x="1279"/>
        <item x="123"/>
        <item x="1993"/>
        <item x="2074"/>
        <item x="1849"/>
        <item x="448"/>
        <item x="4302"/>
        <item x="1622"/>
        <item x="1742"/>
        <item x="3630"/>
        <item x="2039"/>
        <item x="2641"/>
        <item x="319"/>
        <item x="3421"/>
        <item x="2998"/>
        <item x="4255"/>
        <item x="3663"/>
        <item x="1860"/>
        <item x="3334"/>
        <item x="981"/>
        <item x="527"/>
        <item x="1292"/>
        <item x="3876"/>
        <item x="2291"/>
        <item x="3465"/>
        <item x="1916"/>
        <item x="3083"/>
        <item x="1977"/>
        <item x="3209"/>
        <item x="1022"/>
        <item x="1368"/>
        <item x="4085"/>
        <item x="4426"/>
        <item x="4284"/>
        <item x="2503"/>
        <item x="3319"/>
        <item x="4013"/>
        <item x="2079"/>
        <item x="2947"/>
        <item x="3238"/>
        <item x="62"/>
        <item x="4263"/>
        <item x="3918"/>
        <item x="1385"/>
        <item x="40"/>
        <item x="3941"/>
        <item x="4362"/>
        <item x="4125"/>
        <item x="4335"/>
        <item x="1500"/>
        <item x="1420"/>
        <item x="2906"/>
        <item x="2921"/>
        <item x="4081"/>
        <item x="1281"/>
        <item x="416"/>
        <item x="1920"/>
        <item x="1393"/>
        <item x="2700"/>
        <item x="3853"/>
        <item x="3023"/>
        <item x="278"/>
        <item x="3811"/>
        <item x="1706"/>
        <item x="125"/>
        <item x="2305"/>
        <item x="3430"/>
        <item x="2495"/>
        <item x="3746"/>
        <item x="4008"/>
        <item x="2486"/>
        <item x="1615"/>
        <item x="1804"/>
        <item x="2994"/>
        <item x="2162"/>
        <item x="958"/>
        <item x="2749"/>
        <item x="1099"/>
        <item x="1097"/>
        <item x="2775"/>
        <item x="4062"/>
        <item x="1017"/>
        <item x="2613"/>
        <item x="285"/>
        <item x="621"/>
        <item x="70"/>
        <item x="80"/>
        <item x="2647"/>
        <item x="269"/>
        <item x="2165"/>
        <item x="617"/>
        <item x="4214"/>
        <item x="60"/>
        <item x="2825"/>
        <item x="1693"/>
        <item x="493"/>
        <item x="3707"/>
        <item x="2710"/>
        <item x="2969"/>
        <item x="1927"/>
        <item x="1440"/>
        <item x="4127"/>
        <item x="2166"/>
        <item x="3196"/>
        <item x="3519"/>
        <item x="56"/>
        <item x="705"/>
        <item x="3515"/>
        <item x="4212"/>
        <item x="4171"/>
        <item x="2221"/>
        <item x="2642"/>
        <item x="1160"/>
        <item x="661"/>
        <item x="2216"/>
        <item x="1211"/>
        <item x="3983"/>
        <item x="4010"/>
        <item x="4204"/>
        <item x="3143"/>
        <item x="3197"/>
        <item x="3283"/>
        <item x="2404"/>
        <item x="291"/>
        <item x="3721"/>
        <item x="2764"/>
        <item x="1763"/>
        <item x="1145"/>
        <item x="694"/>
        <item x="1127"/>
        <item x="157"/>
        <item x="637"/>
        <item x="4402"/>
        <item x="1150"/>
        <item x="4006"/>
        <item x="4064"/>
        <item x="4414"/>
        <item x="3544"/>
        <item x="534"/>
        <item x="3258"/>
        <item x="948"/>
        <item x="1448"/>
        <item x="2957"/>
        <item x="3434"/>
        <item x="516"/>
        <item x="2408"/>
        <item x="590"/>
        <item x="894"/>
        <item x="2215"/>
        <item x="612"/>
        <item x="3897"/>
        <item x="1813"/>
        <item x="3293"/>
        <item x="3817"/>
        <item x="2127"/>
        <item x="2249"/>
        <item x="4074"/>
        <item x="2531"/>
        <item x="2536"/>
        <item x="3645"/>
        <item x="1096"/>
        <item x="660"/>
        <item x="3584"/>
        <item x="3454"/>
        <item x="1060"/>
        <item x="4101"/>
        <item x="419"/>
        <item x="170"/>
        <item x="3803"/>
        <item x="1687"/>
        <item x="4262"/>
        <item x="700"/>
        <item x="3507"/>
        <item x="2930"/>
        <item x="952"/>
        <item x="2211"/>
        <item x="3294"/>
        <item x="1129"/>
        <item x="2349"/>
        <item x="1248"/>
        <item x="1782"/>
        <item x="863"/>
        <item x="1527"/>
        <item x="1830"/>
        <item x="1408"/>
        <item x="2868"/>
        <item x="1466"/>
        <item x="1598"/>
        <item x="4137"/>
        <item x="2908"/>
        <item x="2373"/>
        <item x="4115"/>
        <item x="3189"/>
        <item x="2026"/>
        <item x="138"/>
        <item x="2205"/>
        <item x="3904"/>
        <item x="1709"/>
        <item x="3629"/>
        <item x="2005"/>
        <item x="71"/>
        <item x="3186"/>
        <item x="3370"/>
        <item x="2989"/>
        <item x="856"/>
        <item x="3171"/>
        <item x="570"/>
        <item x="2324"/>
        <item x="1531"/>
        <item x="932"/>
        <item x="3174"/>
        <item x="554"/>
        <item x="2839"/>
        <item x="2875"/>
        <item x="2009"/>
        <item x="1899"/>
        <item x="1945"/>
        <item x="1207"/>
        <item x="4282"/>
        <item x="3527"/>
        <item x="699"/>
        <item x="2962"/>
        <item x="2459"/>
        <item x="2871"/>
        <item x="2377"/>
        <item x="1735"/>
        <item x="3123"/>
        <item x="995"/>
        <item x="2257"/>
        <item x="2940"/>
        <item x="3126"/>
        <item x="4108"/>
        <item x="1234"/>
        <item x="1235"/>
        <item x="4318"/>
        <item x="3114"/>
        <item x="2105"/>
        <item x="167"/>
        <item x="4417"/>
        <item x="1304"/>
        <item x="2739"/>
        <item x="3657"/>
        <item x="2707"/>
        <item x="488"/>
        <item x="2201"/>
        <item x="2879"/>
        <item x="3016"/>
        <item x="628"/>
        <item x="3684"/>
        <item x="313"/>
        <item x="3784"/>
        <item x="3013"/>
        <item x="2676"/>
        <item x="252"/>
        <item x="3601"/>
        <item x="131"/>
        <item x="3585"/>
        <item x="4109"/>
        <item x="219"/>
        <item x="3631"/>
        <item x="4334"/>
        <item x="911"/>
        <item x="1140"/>
        <item x="1334"/>
        <item x="4112"/>
        <item x="3950"/>
        <item x="955"/>
        <item x="3212"/>
        <item x="501"/>
        <item x="724"/>
        <item x="3711"/>
        <item x="4153"/>
        <item x="2956"/>
        <item x="2317"/>
        <item x="357"/>
        <item x="3355"/>
        <item x="1533"/>
        <item x="4206"/>
        <item x="2172"/>
        <item x="3310"/>
        <item x="452"/>
        <item x="1820"/>
        <item x="2899"/>
        <item x="1268"/>
        <item x="1289"/>
        <item x="3190"/>
        <item x="1756"/>
        <item x="615"/>
        <item x="3841"/>
        <item x="1705"/>
        <item x="1697"/>
        <item x="704"/>
        <item x="2655"/>
        <item x="4324"/>
        <item x="1024"/>
        <item x="1201"/>
        <item x="3804"/>
        <item x="2309"/>
        <item x="1212"/>
        <item x="3495"/>
        <item x="508"/>
        <item x="3086"/>
        <item x="1512"/>
        <item x="1792"/>
        <item x="240"/>
        <item x="3968"/>
        <item x="4052"/>
        <item x="69"/>
        <item x="4265"/>
        <item x="2822"/>
        <item x="1480"/>
        <item x="3160"/>
        <item x="2451"/>
        <item x="507"/>
        <item x="3517"/>
        <item x="1913"/>
        <item x="1031"/>
        <item x="1020"/>
        <item x="1897"/>
        <item x="1946"/>
        <item x="4147"/>
        <item x="2469"/>
        <item x="1976"/>
        <item x="683"/>
        <item x="1669"/>
        <item x="1550"/>
        <item x="3362"/>
        <item x="4274"/>
        <item x="201"/>
        <item x="34"/>
        <item x="1492"/>
        <item x="3433"/>
        <item x="335"/>
        <item x="796"/>
        <item x="4458"/>
        <item x="3669"/>
        <item x="2501"/>
        <item x="2766"/>
        <item x="3881"/>
        <item x="4283"/>
        <item x="2663"/>
        <item x="2042"/>
        <item x="4002"/>
        <item x="1219"/>
        <item x="2002"/>
        <item x="1177"/>
        <item x="3096"/>
        <item x="1604"/>
        <item x="3307"/>
        <item x="569"/>
        <item x="3667"/>
        <item x="816"/>
        <item x="599"/>
        <item x="3435"/>
        <item x="3714"/>
        <item x="3361"/>
        <item x="1026"/>
        <item x="3980"/>
        <item x="97"/>
        <item x="2335"/>
        <item x="4223"/>
        <item x="2440"/>
        <item x="1944"/>
        <item x="3695"/>
        <item x="1391"/>
        <item x="4475"/>
        <item x="221"/>
        <item x="3810"/>
        <item x="1277"/>
        <item x="23"/>
        <item x="4140"/>
        <item x="3109"/>
        <item x="1866"/>
        <item x="258"/>
        <item x="145"/>
        <item x="4454"/>
        <item x="3466"/>
        <item x="2735"/>
        <item x="3985"/>
        <item x="2659"/>
        <item x="3689"/>
        <item x="4207"/>
        <item x="2397"/>
        <item x="2222"/>
        <item x="710"/>
        <item x="1239"/>
        <item x="2927"/>
        <item x="4418"/>
        <item x="3228"/>
        <item x="1817"/>
        <item x="1164"/>
        <item x="4289"/>
        <item x="2932"/>
        <item x="3641"/>
        <item x="1734"/>
        <item x="3282"/>
        <item x="264"/>
        <item x="490"/>
        <item x="3622"/>
        <item x="2141"/>
        <item x="1337"/>
        <item x="3106"/>
        <item x="2224"/>
        <item x="535"/>
        <item x="2304"/>
        <item x="763"/>
        <item x="749"/>
        <item x="4333"/>
        <item x="3952"/>
        <item x="4090"/>
        <item x="3339"/>
        <item x="3494"/>
        <item x="3761"/>
        <item x="3246"/>
        <item x="1760"/>
        <item x="2789"/>
        <item x="2500"/>
        <item x="3407"/>
        <item x="2878"/>
        <item x="1662"/>
        <item x="4403"/>
        <item x="1761"/>
        <item x="860"/>
        <item x="2389"/>
        <item x="3996"/>
        <item x="2519"/>
        <item x="3338"/>
        <item x="606"/>
        <item x="631"/>
        <item x="3020"/>
        <item x="1206"/>
        <item x="2603"/>
        <item x="1638"/>
        <item x="2022"/>
        <item x="3577"/>
        <item x="1833"/>
        <item x="3051"/>
        <item x="1892"/>
        <item x="1503"/>
        <item x="2770"/>
        <item x="184"/>
        <item x="3286"/>
        <item x="2450"/>
        <item x="1419"/>
        <item x="2483"/>
        <item x="126"/>
        <item x="625"/>
        <item x="1720"/>
        <item x="2884"/>
        <item x="3365"/>
        <item x="1828"/>
        <item x="121"/>
        <item x="163"/>
        <item x="183"/>
        <item x="1033"/>
        <item x="4461"/>
        <item x="1349"/>
        <item x="2477"/>
        <item x="2843"/>
        <item x="3391"/>
        <item x="2959"/>
        <item x="4420"/>
        <item x="2239"/>
        <item x="2024"/>
        <item x="3122"/>
        <item x="714"/>
        <item x="3327"/>
        <item x="4432"/>
        <item x="3670"/>
        <item x="934"/>
        <item x="1988"/>
        <item x="970"/>
        <item x="1898"/>
        <item x="2298"/>
        <item x="1490"/>
        <item x="2326"/>
        <item x="1915"/>
        <item x="1774"/>
        <item x="3481"/>
        <item x="1928"/>
        <item x="281"/>
        <item x="3967"/>
        <item x="1829"/>
        <item x="2988"/>
        <item x="2883"/>
        <item x="939"/>
        <item x="275"/>
        <item x="1224"/>
        <item x="3268"/>
        <item x="1007"/>
        <item x="3505"/>
        <item x="315"/>
        <item x="279"/>
        <item x="2733"/>
        <item x="771"/>
        <item x="3353"/>
        <item x="4467"/>
        <item x="190"/>
        <item x="3120"/>
        <item x="1495"/>
        <item x="1404"/>
        <item x="1517"/>
        <item x="3054"/>
        <item x="206"/>
        <item x="1832"/>
        <item x="2258"/>
        <item x="2193"/>
        <item x="2180"/>
        <item x="427"/>
        <item x="3781"/>
        <item x="928"/>
        <item x="4388"/>
        <item x="2734"/>
        <item x="2347"/>
        <item x="4158"/>
        <item x="2423"/>
        <item x="2320"/>
        <item x="1676"/>
        <item x="1459"/>
        <item x="4439"/>
        <item x="4330"/>
        <item x="280"/>
        <item x="525"/>
        <item x="1640"/>
        <item x="4292"/>
        <item x="4350"/>
        <item x="2365"/>
        <item x="2194"/>
        <item x="619"/>
        <item x="3078"/>
        <item x="986"/>
        <item x="239"/>
        <item x="3215"/>
        <item x="614"/>
        <item x="944"/>
        <item x="322"/>
        <item x="2122"/>
        <item x="1587"/>
        <item x="217"/>
        <item x="4363"/>
        <item x="1293"/>
        <item x="2366"/>
        <item x="966"/>
        <item x="2068"/>
        <item x="3017"/>
        <item x="698"/>
        <item x="1421"/>
        <item x="4382"/>
        <item x="98"/>
        <item x="3726"/>
        <item x="2924"/>
        <item x="2681"/>
        <item x="1819"/>
        <item x="2409"/>
        <item x="4354"/>
        <item x="481"/>
        <item x="541"/>
        <item x="3097"/>
        <item x="3628"/>
        <item x="2243"/>
        <item x="4032"/>
        <item x="3158"/>
        <item x="604"/>
        <item x="3166"/>
        <item x="443"/>
        <item x="2919"/>
        <item x="1757"/>
        <item x="169"/>
        <item x="1276"/>
        <item x="1003"/>
        <item x="506"/>
        <item x="3426"/>
        <item x="1861"/>
        <item x="906"/>
        <item x="360"/>
        <item x="3049"/>
        <item x="2132"/>
        <item x="1890"/>
        <item x="2113"/>
        <item x="1218"/>
        <item x="775"/>
        <item x="2102"/>
        <item x="4353"/>
        <item x="3063"/>
        <item x="1118"/>
        <item x="3038"/>
        <item x="212"/>
        <item x="4469"/>
        <item x="1055"/>
        <item x="2253"/>
        <item x="2518"/>
        <item x="2238"/>
        <item x="467"/>
        <item x="2542"/>
        <item x="3037"/>
        <item x="2346"/>
        <item x="4369"/>
        <item x="920"/>
        <item x="2742"/>
        <item x="1961"/>
        <item x="708"/>
        <item x="1631"/>
        <item x="3846"/>
        <item x="4298"/>
        <item x="1985"/>
        <item x="4236"/>
        <item x="1701"/>
        <item x="4100"/>
        <item x="3357"/>
        <item x="3070"/>
        <item x="476"/>
        <item x="2403"/>
        <item x="1471"/>
        <item x="736"/>
        <item x="1251"/>
        <item x="1119"/>
        <item x="2711"/>
        <item x="1770"/>
        <item x="3138"/>
        <item x="2386"/>
        <item x="4441"/>
        <item x="2179"/>
        <item x="607"/>
        <item x="2581"/>
        <item x="3232"/>
        <item x="3859"/>
        <item x="566"/>
        <item x="596"/>
        <item x="1327"/>
        <item x="430"/>
        <item x="4119"/>
        <item x="2285"/>
        <item x="1305"/>
        <item x="3012"/>
        <item x="3107"/>
        <item x="4297"/>
        <item x="1808"/>
        <item x="1004"/>
        <item x="3525"/>
        <item x="2835"/>
        <item x="2442"/>
        <item x="809"/>
        <item x="2157"/>
        <item x="4267"/>
        <item x="2701"/>
        <item x="4138"/>
        <item x="3229"/>
        <item x="388"/>
        <item x="4087"/>
        <item x="2489"/>
        <item x="103"/>
        <item x="2618"/>
        <item x="3735"/>
        <item x="1134"/>
        <item x="3047"/>
        <item x="1059"/>
        <item x="1862"/>
        <item x="130"/>
        <item x="2352"/>
        <item x="2049"/>
        <item x="79"/>
        <item x="1009"/>
        <item x="3061"/>
        <item x="420"/>
        <item x="2065"/>
        <item x="2256"/>
        <item x="2556"/>
        <item x="2598"/>
        <item x="4291"/>
        <item x="165"/>
        <item x="3318"/>
        <item x="1294"/>
        <item x="4128"/>
        <item x="4460"/>
        <item x="2319"/>
        <item x="1142"/>
        <item x="1313"/>
        <item x="99"/>
        <item x="4375"/>
        <item x="124"/>
        <item x="575"/>
        <item x="1048"/>
        <item x="2961"/>
        <item x="1016"/>
        <item x="1721"/>
        <item x="1904"/>
        <item x="2262"/>
        <item x="3113"/>
        <item x="4142"/>
        <item x="4293"/>
        <item x="2960"/>
        <item x="3198"/>
        <item x="2428"/>
        <item x="964"/>
        <item x="1151"/>
        <item x="2318"/>
        <item x="1454"/>
        <item x="618"/>
        <item x="3309"/>
        <item x="3940"/>
        <item x="2067"/>
        <item x="773"/>
        <item x="3443"/>
        <item x="2937"/>
        <item x="4245"/>
        <item x="1452"/>
        <item x="4103"/>
        <item x="3753"/>
        <item x="3712"/>
        <item x="445"/>
        <item x="2229"/>
        <item x="4243"/>
        <item x="1577"/>
        <item x="2412"/>
        <item x="297"/>
        <item x="584"/>
        <item x="2706"/>
        <item x="4359"/>
        <item x="2617"/>
        <item x="4447"/>
        <item x="2053"/>
        <item x="4380"/>
        <item x="818"/>
        <item x="1600"/>
        <item x="2061"/>
        <item x="2130"/>
        <item x="715"/>
        <item x="3323"/>
        <item x="1991"/>
        <item x="1252"/>
        <item x="2576"/>
        <item x="4229"/>
        <item x="2003"/>
        <item x="822"/>
        <item x="3567"/>
        <item x="3367"/>
        <item x="1497"/>
        <item x="936"/>
        <item x="557"/>
        <item x="3984"/>
        <item x="2991"/>
        <item x="1971"/>
        <item x="336"/>
        <item x="1075"/>
        <item x="4437"/>
        <item x="2866"/>
        <item x="1882"/>
        <item x="1663"/>
        <item x="3164"/>
        <item x="1348"/>
        <item x="1755"/>
        <item x="4078"/>
        <item x="316"/>
        <item x="2512"/>
        <item x="3483"/>
        <item x="4035"/>
        <item x="1924"/>
        <item x="2293"/>
        <item x="2931"/>
        <item x="4180"/>
        <item x="4320"/>
        <item x="4202"/>
        <item x="4190"/>
        <item x="3170"/>
        <item x="815"/>
        <item x="4327"/>
        <item x="2036"/>
        <item x="4470"/>
        <item x="3545"/>
        <item x="1087"/>
        <item x="1713"/>
        <item x="3296"/>
        <item x="2242"/>
        <item x="3578"/>
        <item x="3787"/>
        <item x="2814"/>
        <item x="2795"/>
        <item x="3352"/>
        <item x="929"/>
        <item x="2393"/>
        <item x="665"/>
        <item x="3475"/>
        <item x="2580"/>
        <item x="3035"/>
        <item x="1283"/>
        <item x="176"/>
        <item x="210"/>
        <item x="96"/>
        <item x="1541"/>
        <item x="1858"/>
        <item x="1719"/>
        <item x="3653"/>
        <item x="808"/>
        <item x="4156"/>
        <item x="1523"/>
        <item x="3386"/>
        <item x="368"/>
        <item x="4241"/>
        <item x="3480"/>
        <item x="468"/>
        <item x="1172"/>
        <item x="1822"/>
        <item x="2763"/>
        <item x="367"/>
        <item x="3988"/>
        <item x="1749"/>
        <item x="821"/>
        <item x="3509"/>
        <item x="81"/>
        <item x="2402"/>
        <item x="3895"/>
        <item x="2281"/>
        <item x="1588"/>
        <item x="3329"/>
        <item x="2129"/>
        <item x="2596"/>
        <item x="1827"/>
        <item x="1342"/>
        <item x="3442"/>
        <item x="1236"/>
        <item x="1878"/>
        <item x="2226"/>
        <item x="2630"/>
        <item x="3006"/>
        <item x="1752"/>
        <item x="1179"/>
        <item x="4332"/>
        <item x="539"/>
        <item x="4096"/>
        <item x="834"/>
        <item x="341"/>
        <item x="3623"/>
        <item x="2"/>
        <item x="523"/>
        <item x="3848"/>
        <item x="2272"/>
        <item x="4395"/>
        <item x="531"/>
        <item x="451"/>
        <item x="4405"/>
        <item x="4232"/>
        <item x="2090"/>
        <item x="678"/>
        <item x="3303"/>
        <item x="3821"/>
        <item x="2951"/>
        <item x="1323"/>
        <item x="77"/>
        <item x="4390"/>
        <item x="2914"/>
        <item x="2877"/>
        <item x="935"/>
        <item x="2117"/>
        <item x="3249"/>
        <item x="1779"/>
        <item x="2551"/>
        <item x="3264"/>
        <item x="3090"/>
        <item x="3608"/>
        <item x="542"/>
        <item x="957"/>
        <item x="139"/>
        <item x="3757"/>
        <item x="4061"/>
        <item x="1356"/>
        <item x="284"/>
        <item x="3796"/>
        <item x="399"/>
        <item x="1453"/>
        <item x="2060"/>
        <item x="3141"/>
        <item x="1433"/>
        <item x="2592"/>
        <item x="2907"/>
        <item x="1539"/>
        <item x="3606"/>
        <item x="741"/>
        <item x="3763"/>
        <item x="1462"/>
        <item x="2530"/>
        <item x="2240"/>
        <item x="1929"/>
        <item x="3834"/>
        <item x="1344"/>
        <item x="1062"/>
        <item x="3963"/>
        <item x="396"/>
        <item x="4328"/>
        <item x="1111"/>
        <item x="3872"/>
        <item x="1887"/>
        <item x="3767"/>
        <item x="2802"/>
        <item x="734"/>
        <item x="51"/>
        <item x="2658"/>
        <item x="726"/>
        <item x="560"/>
        <item x="2800"/>
        <item x="3092"/>
        <item x="2679"/>
        <item x="3001"/>
        <item x="512"/>
        <item x="2028"/>
        <item x="235"/>
        <item x="2606"/>
        <item x="1266"/>
        <item x="3057"/>
        <item x="3652"/>
        <item x="1821"/>
        <item x="4050"/>
        <item x="830"/>
        <item x="2218"/>
        <item x="1183"/>
        <item x="3484"/>
        <item x="1193"/>
        <item x="879"/>
        <item x="3976"/>
        <item x="2943"/>
        <item x="666"/>
        <item x="3245"/>
        <item x="1339"/>
        <item x="2560"/>
        <item x="1692"/>
        <item x="3021"/>
        <item x="4201"/>
        <item x="689"/>
        <item x="1649"/>
        <item x="2487"/>
        <item x="3154"/>
        <item x="3240"/>
        <item x="787"/>
        <item x="916"/>
        <item x="4352"/>
        <item x="2684"/>
        <item x="1047"/>
        <item x="2756"/>
        <item x="743"/>
        <item x="3033"/>
        <item x="1997"/>
        <item x="4427"/>
        <item x="489"/>
        <item x="1476"/>
        <item x="1132"/>
        <item x="2337"/>
        <item x="1888"/>
        <item x="2870"/>
        <item x="127"/>
        <item x="3739"/>
        <item x="3278"/>
        <item x="3168"/>
        <item x="4134"/>
        <item x="2929"/>
        <item x="2634"/>
        <item x="898"/>
        <item x="1999"/>
        <item x="2378"/>
        <item x="1144"/>
        <item x="2755"/>
        <item x="3259"/>
        <item x="1485"/>
        <item x="237"/>
        <item x="2010"/>
        <item x="2671"/>
        <item x="2672"/>
        <item x="2771"/>
        <item x="697"/>
        <item x="2612"/>
        <item x="1699"/>
        <item x="410"/>
        <item x="2747"/>
        <item x="2206"/>
        <item x="3260"/>
        <item x="383"/>
        <item x="1084"/>
        <item x="2411"/>
        <item x="312"/>
        <item x="1836"/>
        <item x="1957"/>
        <item x="1874"/>
        <item x="2089"/>
        <item x="2282"/>
        <item x="2342"/>
        <item x="2865"/>
        <item x="2832"/>
        <item x="2965"/>
        <item x="2250"/>
        <item x="2294"/>
        <item x="296"/>
        <item x="3553"/>
        <item x="4144"/>
        <item x="2023"/>
        <item x="804"/>
        <item x="4455"/>
        <item x="277"/>
        <item x="2199"/>
        <item x="3448"/>
        <item x="1203"/>
        <item x="222"/>
        <item x="3635"/>
        <item x="1306"/>
        <item x="2379"/>
        <item x="4097"/>
        <item x="4227"/>
        <item x="4104"/>
        <item x="1426"/>
        <item x="1333"/>
        <item x="693"/>
        <item x="1139"/>
        <item x="1166"/>
        <item x="3490"/>
        <item x="3748"/>
        <item x="973"/>
        <item x="833"/>
        <item x="3181"/>
        <item x="1290"/>
        <item x="2228"/>
        <item x="226"/>
        <item x="3217"/>
        <item x="4193"/>
        <item x="2292"/>
        <item x="2247"/>
        <item x="4143"/>
        <item x="2669"/>
        <item x="4278"/>
        <item x="3273"/>
        <item x="1996"/>
        <item x="2837"/>
        <item x="3658"/>
        <item x="1021"/>
        <item x="3397"/>
        <item x="3636"/>
        <item x="840"/>
        <item x="3885"/>
        <item x="4231"/>
        <item x="3324"/>
        <item x="2109"/>
        <item x="3029"/>
        <item x="1974"/>
        <item x="4345"/>
        <item x="1064"/>
        <item x="1859"/>
        <item x="1712"/>
        <item x="1960"/>
        <item x="1108"/>
        <item x="3571"/>
        <item x="2101"/>
        <item x="4067"/>
        <item x="620"/>
        <item x="4220"/>
        <item x="2625"/>
        <item x="1438"/>
        <item x="3202"/>
        <item x="33"/>
        <item x="2602"/>
        <item x="3124"/>
        <item x="4173"/>
        <item x="3587"/>
        <item x="4409"/>
        <item x="1242"/>
        <item x="1401"/>
        <item x="3778"/>
        <item x="1258"/>
        <item x="188"/>
        <item x="1347"/>
        <item x="3754"/>
        <item x="2284"/>
        <item x="2035"/>
        <item x="1137"/>
        <item x="30"/>
        <item x="835"/>
        <item x="663"/>
        <item x="3180"/>
        <item x="2855"/>
        <item x="317"/>
        <item x="3869"/>
        <item x="1188"/>
        <item x="3311"/>
        <item x="3625"/>
        <item x="959"/>
        <item x="1061"/>
        <item x="4233"/>
        <item x="2976"/>
        <item x="4331"/>
        <item x="2544"/>
        <item x="2191"/>
        <item x="915"/>
        <item x="2640"/>
        <item x="706"/>
        <item x="4478"/>
        <item x="1478"/>
        <item x="2338"/>
        <item x="2571"/>
        <item x="3774"/>
        <item x="371"/>
        <item x="4244"/>
        <item x="238"/>
        <item x="2407"/>
        <item x="3562"/>
        <item x="4088"/>
        <item x="3997"/>
        <item x="2146"/>
        <item x="1190"/>
        <item x="993"/>
        <item x="3907"/>
        <item x="2757"/>
        <item x="3928"/>
        <item x="1595"/>
        <item x="3572"/>
        <item x="1505"/>
        <item x="1475"/>
        <item x="1812"/>
        <item x="1702"/>
        <item x="3830"/>
        <item x="309"/>
        <item x="2040"/>
        <item x="1799"/>
        <item x="3989"/>
        <item x="1816"/>
        <item x="3938"/>
        <item x="2344"/>
        <item x="2608"/>
        <item x="3306"/>
        <item x="779"/>
        <item x="93"/>
        <item x="2030"/>
        <item x="581"/>
        <item x="3762"/>
        <item x="848"/>
        <item x="2033"/>
        <item x="536"/>
        <item x="3187"/>
        <item x="3473"/>
        <item x="4311"/>
        <item x="1642"/>
        <item x="2513"/>
        <item x="4453"/>
        <item x="3937"/>
        <item x="761"/>
        <item x="2746"/>
        <item x="1773"/>
        <item x="2626"/>
        <item x="842"/>
        <item x="4485"/>
        <item x="1444"/>
        <item x="455"/>
        <item x="3393"/>
        <item x="2980"/>
        <item x="3003"/>
        <item x="3116"/>
        <item x="3315"/>
        <item x="2780"/>
        <item x="3335"/>
        <item x="778"/>
        <item x="1585"/>
        <item x="1652"/>
        <item x="1788"/>
        <item x="1635"/>
        <item x="9"/>
        <item x="1805"/>
        <item x="4428"/>
        <item x="1696"/>
        <item x="3243"/>
        <item x="207"/>
        <item x="3500"/>
        <item x="947"/>
        <item x="1811"/>
        <item x="3429"/>
        <item x="1232"/>
        <item x="1397"/>
        <item x="937"/>
        <item x="3536"/>
        <item x="4126"/>
        <item x="3855"/>
        <item x="276"/>
        <item x="1647"/>
        <item x="4374"/>
        <item x="1270"/>
        <item x="462"/>
        <item x="3193"/>
        <item x="3939"/>
        <item x="1413"/>
        <item x="2543"/>
        <item x="4047"/>
        <item x="3304"/>
        <item x="3414"/>
        <item x="3445"/>
        <item x="3011"/>
        <item x="2862"/>
        <item x="1972"/>
        <item x="2773"/>
        <item x="1970"/>
        <item x="3117"/>
        <item x="1192"/>
        <item x="3343"/>
        <item x="3574"/>
        <item x="247"/>
        <item x="810"/>
        <item x="2460"/>
        <item x="2173"/>
        <item x="102"/>
        <item x="3725"/>
        <item x="3994"/>
        <item x="4015"/>
        <item x="1415"/>
        <item x="4444"/>
        <item x="4399"/>
        <item x="3588"/>
        <item x="306"/>
        <item x="3581"/>
        <item x="1370"/>
        <item x="2167"/>
        <item x="2059"/>
        <item x="132"/>
        <item x="3364"/>
        <item x="1741"/>
        <item x="690"/>
        <item x="3099"/>
        <item x="1307"/>
        <item x="2698"/>
        <item x="244"/>
        <item x="3425"/>
        <item x="52"/>
        <item x="4471"/>
        <item x="720"/>
        <item x="866"/>
        <item x="1015"/>
        <item x="199"/>
        <item x="2508"/>
        <item x="3799"/>
        <item x="3596"/>
        <item x="1371"/>
        <item x="268"/>
        <item x="1336"/>
        <item x="1511"/>
        <item x="186"/>
        <item x="245"/>
        <item x="1423"/>
        <item x="2985"/>
        <item x="1623"/>
        <item x="329"/>
        <item x="1560"/>
        <item x="3485"/>
        <item x="722"/>
        <item x="594"/>
        <item x="2188"/>
        <item x="2439"/>
        <item x="872"/>
        <item x="2827"/>
        <item x="3922"/>
        <item x="1107"/>
        <item x="327"/>
        <item x="229"/>
        <item x="769"/>
        <item x="817"/>
        <item x="3042"/>
        <item x="4452"/>
        <item x="1330"/>
        <item x="63"/>
        <item x="1008"/>
        <item x="1195"/>
        <item x="4045"/>
        <item x="2333"/>
        <item x="2124"/>
        <item x="2209"/>
        <item x="53"/>
        <item x="401"/>
        <item x="320"/>
        <item x="3590"/>
        <item x="3797"/>
        <item x="3390"/>
        <item x="1233"/>
        <item x="3241"/>
        <item x="3005"/>
        <item x="2805"/>
        <item x="1278"/>
        <item x="1388"/>
        <item x="104"/>
        <item x="344"/>
        <item x="2425"/>
        <item x="2473"/>
        <item x="3790"/>
        <item x="1460"/>
        <item x="18"/>
        <item x="3813"/>
        <item x="3632"/>
        <item x="3472"/>
        <item x="905"/>
        <item x="918"/>
        <item x="234"/>
        <item x="2942"/>
        <item x="385"/>
        <item x="3263"/>
        <item x="2295"/>
        <item x="899"/>
        <item x="668"/>
        <item x="267"/>
        <item x="1876"/>
        <item x="2838"/>
        <item x="4479"/>
        <item x="2458"/>
        <item x="1613"/>
        <item x="1871"/>
        <item x="3614"/>
        <item x="1839"/>
        <item x="4457"/>
        <item x="3169"/>
        <item x="300"/>
        <item x="735"/>
        <item x="1113"/>
        <item x="202"/>
        <item x="643"/>
        <item x="601"/>
        <item x="1671"/>
        <item x="976"/>
        <item x="5"/>
        <item x="387"/>
        <item x="4182"/>
        <item x="2307"/>
        <item x="2070"/>
        <item x="3529"/>
        <item x="768"/>
        <item x="2020"/>
        <item x="2854"/>
        <item x="386"/>
        <item x="2670"/>
        <item x="1045"/>
        <item x="3829"/>
        <item x="2437"/>
        <item x="2732"/>
        <item x="19"/>
        <item x="3551"/>
        <item x="498"/>
        <item x="3847"/>
        <item x="1343"/>
        <item x="2380"/>
        <item x="2322"/>
        <item x="253"/>
        <item x="592"/>
        <item x="3524"/>
        <item x="2195"/>
        <item x="1153"/>
        <item x="120"/>
        <item x="1771"/>
        <item x="4025"/>
        <item x="568"/>
        <item x="2586"/>
        <item x="1630"/>
        <item x="1345"/>
        <item x="1189"/>
        <item x="3845"/>
        <item x="1445"/>
        <item x="1723"/>
        <item x="3716"/>
        <item x="4157"/>
        <item x="1073"/>
        <item x="1117"/>
        <item x="3468"/>
        <item x="2872"/>
        <item x="1610"/>
        <item x="3840"/>
        <item x="971"/>
        <item x="2888"/>
        <item x="1285"/>
        <item x="2509"/>
        <item x="3643"/>
        <item x="825"/>
        <item x="4346"/>
        <item x="3999"/>
        <item x="4141"/>
        <item x="4366"/>
        <item x="691"/>
        <item x="3783"/>
        <item x="4094"/>
        <item x="1375"/>
        <item x="3772"/>
        <item x="1106"/>
        <item x="3558"/>
        <item x="1534"/>
        <item x="374"/>
        <item x="2614"/>
        <item x="2840"/>
        <item x="429"/>
        <item x="4250"/>
        <item x="1872"/>
        <item x="3666"/>
        <item x="2137"/>
        <item x="2585"/>
        <item x="836"/>
        <item x="255"/>
        <item x="119"/>
        <item x="1365"/>
        <item x="1013"/>
        <item x="4377"/>
        <item x="2923"/>
        <item x="744"/>
        <item x="4199"/>
        <item x="2604"/>
        <item x="1463"/>
        <item x="3916"/>
        <item x="2887"/>
        <item x="4012"/>
        <item x="3720"/>
        <item x="949"/>
        <item x="583"/>
        <item x="1158"/>
        <item x="2429"/>
        <item x="862"/>
        <item x="3137"/>
        <item x="4464"/>
        <item x="3565"/>
        <item x="1058"/>
        <item x="4177"/>
        <item x="4160"/>
        <item x="140"/>
        <item x="4349"/>
        <item x="3948"/>
        <item x="1967"/>
        <item x="2046"/>
        <item x="762"/>
        <item x="2693"/>
        <item x="36"/>
        <item x="4371"/>
        <item x="3789"/>
        <item x="2261"/>
        <item x="3252"/>
        <item x="2902"/>
        <item x="421"/>
        <item x="3734"/>
        <item x="843"/>
        <item x="3602"/>
        <item x="556"/>
        <item x="1542"/>
        <item x="12"/>
        <item x="3281"/>
        <item x="2484"/>
        <item x="1868"/>
        <item x="975"/>
        <item x="3213"/>
        <item x="3513"/>
        <item x="1538"/>
        <item x="3298"/>
        <item x="1548"/>
        <item x="1382"/>
        <item x="4003"/>
        <item x="4285"/>
        <item x="692"/>
        <item x="3147"/>
        <item x="450"/>
        <item x="3949"/>
        <item x="250"/>
        <item x="3093"/>
        <item x="1602"/>
        <item x="711"/>
        <item x="4286"/>
        <item x="824"/>
        <item x="3009"/>
        <item x="339"/>
        <item x="3176"/>
        <item x="2043"/>
        <item x="1785"/>
        <item x="4205"/>
        <item x="302"/>
        <item x="2813"/>
        <item x="3146"/>
        <item x="563"/>
        <item x="4442"/>
        <item x="3014"/>
        <item x="3487"/>
        <item x="1668"/>
        <item x="799"/>
        <item x="1138"/>
        <item x="409"/>
        <item x="950"/>
        <item x="1787"/>
        <item x="499"/>
        <item x="1163"/>
        <item x="1626"/>
        <item x="701"/>
        <item x="3446"/>
        <item x="3555"/>
        <item x="2323"/>
        <item x="2052"/>
        <item x="2217"/>
        <item x="4378"/>
        <item x="3094"/>
        <item x="1050"/>
        <item x="2245"/>
        <item x="1077"/>
        <item x="3321"/>
        <item x="564"/>
        <item x="4041"/>
        <item x="3222"/>
        <item x="2546"/>
        <item x="807"/>
        <item x="3399"/>
        <item x="4288"/>
        <item x="2819"/>
        <item x="987"/>
        <item x="1230"/>
        <item x="3369"/>
        <item x="2135"/>
        <item x="4438"/>
        <item x="4392"/>
        <item x="3827"/>
        <item x="3342"/>
        <item x="4370"/>
        <item x="3908"/>
        <item x="3015"/>
        <item x="2599"/>
        <item x="1467"/>
        <item x="1351"/>
        <item x="2062"/>
        <item x="846"/>
        <item x="4357"/>
        <item x="3942"/>
        <item x="1392"/>
        <item x="3350"/>
        <item x="2527"/>
        <item x="1934"/>
        <item x="3592"/>
        <item x="2705"/>
        <item x="428"/>
        <item x="3452"/>
        <item x="3563"/>
        <item x="3272"/>
        <item x="1783"/>
        <item x="242"/>
        <item x="42"/>
        <item x="1326"/>
        <item x="4446"/>
        <item x="3071"/>
        <item x="2461"/>
        <item x="492"/>
        <item x="2917"/>
        <item x="1254"/>
        <item x="402"/>
        <item x="881"/>
        <item x="4326"/>
        <item x="931"/>
        <item x="1297"/>
        <item x="1551"/>
        <item x="156"/>
        <item x="2478"/>
        <item x="562"/>
        <item x="2000"/>
        <item x="624"/>
        <item x="3206"/>
        <item x="1243"/>
        <item x="4386"/>
        <item x="717"/>
        <item x="2750"/>
        <item x="2645"/>
        <item x="1648"/>
        <item x="2562"/>
        <item x="136"/>
        <item x="203"/>
        <item x="2833"/>
        <item x="586"/>
        <item x="513"/>
        <item x="1826"/>
        <item x="681"/>
        <item x="2099"/>
        <item x="1809"/>
        <item x="1185"/>
        <item x="2100"/>
        <item x="2607"/>
        <item x="2573"/>
        <item x="1399"/>
        <item x="106"/>
        <item x="3568"/>
        <item x="3336"/>
        <item x="3793"/>
        <item x="746"/>
        <item x="3595"/>
        <item x="4387"/>
        <item x="4309"/>
        <item x="431"/>
        <item x="101"/>
        <item x="3325"/>
        <item x="1959"/>
        <item x="2264"/>
        <item x="1398"/>
        <item x="3108"/>
        <item x="3920"/>
        <item x="3265"/>
        <item x="3337"/>
        <item x="352"/>
        <item x="43"/>
        <item x="2680"/>
        <item x="3686"/>
        <item x="1378"/>
        <item x="2928"/>
        <item x="1857"/>
        <item x="1483"/>
        <item x="1769"/>
        <item x="3100"/>
        <item x="2524"/>
        <item x="1174"/>
        <item x="1170"/>
        <item x="3547"/>
        <item x="3069"/>
        <item x="1549"/>
        <item x="2818"/>
        <item x="4054"/>
        <item x="1447"/>
        <item x="1493"/>
        <item x="2831"/>
        <item x="193"/>
        <item x="737"/>
        <item x="951"/>
        <item x="4169"/>
        <item x="849"/>
        <item x="3287"/>
        <item x="112"/>
        <item x="2197"/>
        <item x="1714"/>
        <item x="3065"/>
        <item x="2297"/>
        <item x="1325"/>
        <item x="1935"/>
        <item x="4463"/>
        <item x="2666"/>
        <item x="1148"/>
        <item x="189"/>
        <item x="361"/>
        <item x="3104"/>
        <item x="3408"/>
        <item x="1601"/>
        <item x="4294"/>
        <item x="4159"/>
        <item x="2475"/>
        <item x="4057"/>
        <item x="765"/>
        <item x="3384"/>
        <item x="4218"/>
        <item x="1110"/>
        <item x="2134"/>
        <item x="930"/>
        <item x="1353"/>
        <item x="1247"/>
        <item x="1324"/>
        <item x="3935"/>
        <item x="4269"/>
        <item x="233"/>
        <item x="3308"/>
        <item x="1573"/>
        <item x="753"/>
        <item x="3722"/>
        <item x="1181"/>
        <item x="216"/>
        <item x="4099"/>
        <item x="256"/>
        <item x="347"/>
        <item x="2138"/>
        <item x="3224"/>
        <item x="3914"/>
        <item x="731"/>
        <item x="4391"/>
        <item x="1070"/>
        <item x="400"/>
        <item x="1632"/>
        <item x="3056"/>
        <item x="1969"/>
        <item x="687"/>
        <item x="1851"/>
        <item x="4481"/>
        <item x="1359"/>
        <item x="2864"/>
        <item x="3478"/>
        <item x="1366"/>
        <item x="1280"/>
        <item x="1710"/>
        <item x="4022"/>
        <item x="2903"/>
        <item x="2223"/>
        <item x="600"/>
        <item x="4208"/>
        <item x="2086"/>
        <item x="122"/>
        <item x="480"/>
        <item x="2760"/>
        <item x="334"/>
        <item x="2938"/>
        <item x="3089"/>
        <item x="4440"/>
        <item x="2638"/>
        <item x="3639"/>
        <item x="2801"/>
        <item x="4079"/>
        <item x="1572"/>
        <item x="953"/>
        <item x="1312"/>
        <item x="4254"/>
        <item x="4450"/>
        <item x="2233"/>
        <item x="372"/>
        <item x="837"/>
        <item x="3512"/>
        <item x="1965"/>
        <item x="392"/>
        <item x="548"/>
        <item x="1831"/>
        <item x="3502"/>
        <item x="3388"/>
        <item x="655"/>
        <item x="2577"/>
        <item x="729"/>
        <item x="1369"/>
        <item x="1886"/>
        <item x="2905"/>
        <item x="2806"/>
        <item x="2339"/>
        <item x="2894"/>
        <item x="1287"/>
        <item x="3153"/>
        <item x="2241"/>
        <item x="567"/>
        <item x="3706"/>
        <item x="1840"/>
        <item x="4121"/>
        <item x="64"/>
        <item x="3226"/>
        <item x="4340"/>
        <item x="3831"/>
        <item x="3995"/>
        <item x="2313"/>
        <item x="1546"/>
        <item x="484"/>
        <item x="839"/>
        <item x="828"/>
        <item x="1474"/>
        <item x="1529"/>
        <item x="1386"/>
        <item x="3705"/>
        <item x="4276"/>
        <item x="470"/>
        <item x="403"/>
        <item x="1372"/>
        <item x="4051"/>
        <item x="3690"/>
        <item x="3765"/>
        <item x="2631"/>
        <item x="2148"/>
        <item x="2441"/>
        <item x="688"/>
        <item x="2966"/>
        <item x="1295"/>
        <item x="1088"/>
        <item x="365"/>
        <item x="2329"/>
        <item x="4163"/>
        <item x="1213"/>
        <item x="3018"/>
        <item x="1406"/>
        <item x="2892"/>
        <item x="2944"/>
        <item x="459"/>
        <item x="2810"/>
        <item x="3969"/>
        <item x="200"/>
        <item x="389"/>
        <item x="1952"/>
        <item x="2790"/>
        <item x="4198"/>
        <item x="4376"/>
        <item x="3573"/>
        <item x="2145"/>
        <item x="1263"/>
        <item x="727"/>
        <item x="598"/>
        <item x="3603"/>
        <item x="4364"/>
        <item x="3145"/>
        <item x="1442"/>
        <item x="2521"/>
        <item x="3031"/>
        <item x="1558"/>
        <item x="2300"/>
        <item x="3474"/>
        <item x="639"/>
        <item x="4258"/>
        <item x="3849"/>
        <item x="738"/>
        <item x="998"/>
        <item x="3800"/>
        <item x="3566"/>
        <item x="3036"/>
        <item x="1566"/>
        <item x="1308"/>
        <item x="2510"/>
        <item x="2703"/>
        <item x="2567"/>
        <item x="897"/>
        <item x="1981"/>
        <item x="2375"/>
        <item x="3779"/>
        <item x="3921"/>
        <item x="4139"/>
        <item x="2290"/>
        <item x="16"/>
        <item x="633"/>
        <item x="1842"/>
        <item x="1316"/>
        <item x="2849"/>
        <item x="2454"/>
        <item x="1396"/>
        <item x="3886"/>
        <item x="3647"/>
        <item x="2435"/>
        <item x="4246"/>
        <item x="4343"/>
        <item x="1889"/>
        <item x="3986"/>
        <item x="1739"/>
        <item x="458"/>
        <item x="2073"/>
        <item x="4196"/>
        <item x="349"/>
        <item x="1332"/>
        <item x="4130"/>
        <item x="530"/>
        <item x="2269"/>
        <item x="558"/>
        <item x="194"/>
        <item x="3048"/>
        <item x="3279"/>
        <item x="1715"/>
        <item x="425"/>
        <item x="3702"/>
        <item x="2673"/>
        <item x="2729"/>
        <item x="35"/>
        <item x="2455"/>
        <item x="517"/>
        <item x="597"/>
        <item x="2207"/>
        <item x="3786"/>
        <item x="3295"/>
        <item x="4415"/>
        <item x="11"/>
        <item x="2758"/>
        <item x="1112"/>
        <item x="3043"/>
        <item x="3292"/>
        <item x="4487"/>
        <item x="3759"/>
        <item x="1154"/>
        <item x="4150"/>
        <item x="2646"/>
        <item x="2321"/>
        <item x="672"/>
        <item x="1284"/>
        <item x="1301"/>
        <item x="3862"/>
        <item x="3383"/>
        <item x="1733"/>
        <item x="497"/>
        <item x="1469"/>
        <item x="2975"/>
        <item x="1716"/>
        <item x="4024"/>
        <item x="2635"/>
        <item x="150"/>
        <item x="1619"/>
        <item x="376"/>
        <item x="3825"/>
        <item x="3432"/>
        <item x="1152"/>
        <item x="146"/>
        <item x="4394"/>
        <item x="2418"/>
        <item x="2948"/>
        <item x="3363"/>
        <item x="1202"/>
        <item x="2087"/>
        <item x="2396"/>
        <item x="1432"/>
        <item x="3007"/>
        <item x="3482"/>
        <item x="2953"/>
        <item x="2420"/>
        <item x="3471"/>
        <item x="2847"/>
        <item x="1853"/>
        <item x="2610"/>
        <item x="767"/>
        <item x="135"/>
        <item x="1394"/>
        <item x="3880"/>
        <item x="4184"/>
        <item x="3398"/>
        <item x="1216"/>
        <item x="1902"/>
        <item x="4146"/>
        <item x="3609"/>
        <item x="32"/>
        <item x="1265"/>
        <item x="3930"/>
        <item x="4321"/>
        <item x="514"/>
        <item x="4021"/>
        <item x="3828"/>
        <item x="4449"/>
        <item x="265"/>
        <item x="3871"/>
        <item x="1777"/>
        <item x="2072"/>
        <item x="332"/>
        <item x="2539"/>
        <item x="2622"/>
        <item x="1975"/>
        <item x="4411"/>
        <item x="395"/>
        <item x="1563"/>
        <item x="2370"/>
        <item x="3225"/>
        <item x="1237"/>
        <item x="2731"/>
        <item x="198"/>
        <item x="84"/>
        <item x="1555"/>
        <item x="3610"/>
        <item x="613"/>
        <item x="3417"/>
        <item x="1434"/>
        <item x="351"/>
        <item x="3816"/>
        <item x="152"/>
        <item x="2846"/>
        <item x="1797"/>
        <item x="977"/>
        <item x="107"/>
        <item x="1109"/>
        <item x="2384"/>
        <item x="3874"/>
        <item x="2569"/>
        <item x="2740"/>
        <item x="4129"/>
        <item x="1309"/>
        <item x="1532"/>
        <item x="1570"/>
        <item x="574"/>
        <item x="1611"/>
        <item x="1496"/>
        <item x="2968"/>
        <item x="4066"/>
        <item x="3870"/>
        <item x="3730"/>
        <item x="4179"/>
        <item x="2787"/>
        <item x="2526"/>
        <item x="1953"/>
        <item x="3910"/>
        <item x="1795"/>
        <item x="2383"/>
        <item x="3620"/>
        <item x="2619"/>
        <item x="67"/>
        <item x="4009"/>
        <item x="805"/>
        <item x="1939"/>
        <item x="4192"/>
        <item x="2830"/>
        <item x="3345"/>
        <item x="4290"/>
        <item x="1625"/>
        <item x="3660"/>
        <item x="1400"/>
        <item x="938"/>
        <item x="91"/>
        <item x="3768"/>
        <item x="1204"/>
        <item x="118"/>
        <item x="3271"/>
        <item x="1590"/>
        <item x="2203"/>
        <item x="3052"/>
        <item x="1402"/>
        <item x="1079"/>
        <item x="4337"/>
        <item x="3381"/>
        <item x="3883"/>
        <item x="2591"/>
        <item x="143"/>
        <item x="2308"/>
        <item x="3211"/>
        <item x="2724"/>
        <item x="1998"/>
        <item x="321"/>
        <item x="896"/>
        <item x="249"/>
        <item x="1363"/>
        <item x="160"/>
        <item x="3780"/>
        <item x="2263"/>
        <item x="1086"/>
        <item x="4480"/>
        <item x="869"/>
        <item x="4216"/>
        <item x="4367"/>
        <item x="1528"/>
        <item x="657"/>
        <item x="1036"/>
        <item x="2331"/>
        <item x="414"/>
        <item x="4482"/>
        <item x="3534"/>
        <item x="2126"/>
        <item x="1427"/>
        <item x="25"/>
        <item x="2723"/>
        <item x="2861"/>
        <item x="4023"/>
        <item x="4039"/>
        <item x="3479"/>
        <item x="1502"/>
        <item x="674"/>
        <item x="172"/>
        <item x="960"/>
        <item x="4165"/>
        <item x="1908"/>
        <item x="616"/>
        <item x="3673"/>
        <item x="3838"/>
        <item x="577"/>
        <item x="1089"/>
        <item x="820"/>
        <item x="4106"/>
        <item x="3675"/>
        <item x="1644"/>
        <item x="1708"/>
        <item x="4234"/>
        <item x="784"/>
        <item x="1114"/>
        <item x="4203"/>
        <item x="505"/>
        <item x="1441"/>
        <item x="3889"/>
        <item x="4116"/>
        <item x="2301"/>
        <item x="2388"/>
        <item x="2682"/>
        <item x="667"/>
        <item x="4435"/>
        <item x="1918"/>
        <item x="6"/>
        <item x="2971"/>
        <item x="3302"/>
        <item x="1425"/>
        <item x="1437"/>
        <item x="1176"/>
        <item x="1838"/>
        <item x="3627"/>
        <item x="751"/>
        <item x="2990"/>
        <item x="4338"/>
        <item x="1173"/>
        <item x="1947"/>
        <item x="3742"/>
        <item x="546"/>
        <item x="1919"/>
        <item x="4221"/>
        <item x="4162"/>
        <item x="844"/>
        <item x="412"/>
        <item x="1621"/>
        <item x="3518"/>
        <item x="3704"/>
        <item x="1522"/>
        <item x="487"/>
        <item x="555"/>
        <item x="479"/>
        <item x="831"/>
        <item x="1737"/>
        <item x="174"/>
        <item x="1310"/>
        <item x="1932"/>
        <item x="3718"/>
        <item x="3348"/>
        <item x="2351"/>
        <item x="2330"/>
        <item x="3254"/>
        <item x="1599"/>
        <item x="3970"/>
        <item x="486"/>
        <item x="3901"/>
        <item x="1854"/>
        <item x="1221"/>
        <item x="845"/>
        <item x="3316"/>
        <item x="1653"/>
        <item x="1846"/>
        <item x="3127"/>
        <item x="27"/>
        <item x="3132"/>
        <item x="440"/>
        <item x="298"/>
        <item x="1027"/>
        <item x="1680"/>
        <item x="2147"/>
        <item x="3979"/>
        <item x="582"/>
        <item x="2358"/>
        <item x="1565"/>
        <item x="1688"/>
        <item x="4384"/>
        <item x="819"/>
        <item x="2964"/>
        <item x="2025"/>
        <item x="943"/>
        <item x="2897"/>
        <item x="3805"/>
        <item x="407"/>
        <item x="433"/>
        <item x="2246"/>
        <item x="1580"/>
        <item x="2161"/>
        <item x="2537"/>
        <item x="195"/>
        <item x="2355"/>
        <item x="166"/>
        <item x="2081"/>
        <item x="551"/>
        <item x="2841"/>
        <item x="1657"/>
        <item x="2196"/>
        <item x="602"/>
        <item x="3201"/>
        <item x="4155"/>
        <item x="3492"/>
        <item x="1786"/>
        <item x="3322"/>
        <item x="4178"/>
        <item x="3618"/>
        <item x="1318"/>
        <item x="3140"/>
        <item x="3460"/>
        <item x="1133"/>
        <item x="3299"/>
        <item x="1683"/>
        <item x="1909"/>
        <item x="2881"/>
        <item x="1461"/>
        <item x="1717"/>
        <item x="2982"/>
        <item x="1501"/>
        <item x="117"/>
        <item x="1948"/>
        <item x="3865"/>
        <item x="1725"/>
        <item x="2816"/>
        <item x="1002"/>
        <item x="760"/>
        <item x="115"/>
        <item x="444"/>
        <item x="2779"/>
        <item x="1880"/>
        <item x="1018"/>
        <item x="1510"/>
        <item x="3510"/>
        <item x="1507"/>
        <item x="3044"/>
        <item x="2232"/>
        <item x="2792"/>
        <item x="3694"/>
        <item x="2776"/>
        <item x="47"/>
        <item x="4312"/>
        <item x="1759"/>
        <item x="3111"/>
        <item x="974"/>
        <item x="2967"/>
        <item x="1629"/>
        <item x="2111"/>
        <item x="695"/>
        <item x="432"/>
        <item x="988"/>
        <item x="2589"/>
        <item x="175"/>
        <item x="3395"/>
        <item x="1360"/>
        <item x="3733"/>
        <item x="795"/>
        <item x="788"/>
        <item x="2392"/>
        <item x="2809"/>
        <item x="3749"/>
        <item x="3380"/>
        <item x="4164"/>
        <item x="31"/>
        <item x="1051"/>
        <item x="1354"/>
        <item x="2728"/>
        <item x="3782"/>
        <item x="1707"/>
        <item x="4434"/>
        <item x="2092"/>
        <item x="3613"/>
        <item x="2058"/>
        <item x="1586"/>
        <item x="3593"/>
        <item x="3156"/>
        <item x="2438"/>
        <item x="2788"/>
        <item x="3896"/>
        <item x="3041"/>
        <item x="3256"/>
        <item x="465"/>
        <item x="2579"/>
        <item x="271"/>
        <item x="1891"/>
        <item x="3121"/>
        <item x="1376"/>
        <item x="1684"/>
        <item x="4344"/>
        <item x="3933"/>
        <item x="653"/>
        <item x="3459"/>
        <item x="1806"/>
        <item x="379"/>
        <item x="4299"/>
        <item x="1612"/>
        <item x="304"/>
        <item x="4277"/>
        <item x="4118"/>
        <item x="887"/>
        <item x="4017"/>
        <item x="2909"/>
        <item x="2400"/>
        <item x="4168"/>
        <item x="273"/>
        <item x="3858"/>
        <item x="1227"/>
        <item x="179"/>
        <item x="2448"/>
        <item x="2029"/>
        <item x="4393"/>
        <item x="2414"/>
        <item x="2071"/>
        <item x="4421"/>
        <item x="1877"/>
        <item x="3973"/>
        <item x="3235"/>
        <item x="890"/>
        <item x="1814"/>
        <item x="485"/>
        <item x="629"/>
        <item x="4445"/>
        <item x="1298"/>
        <item x="2125"/>
        <item x="1273"/>
        <item x="3537"/>
        <item x="2048"/>
        <item x="1450"/>
        <item x="326"/>
        <item x="2044"/>
        <item x="4133"/>
        <item x="2548"/>
        <item x="3776"/>
        <item x="3075"/>
        <item x="2817"/>
        <item x="350"/>
        <item x="48"/>
        <item x="4194"/>
        <item x="814"/>
        <item x="4215"/>
        <item x="3034"/>
        <item x="2661"/>
        <item x="1578"/>
        <item x="4110"/>
        <item x="3902"/>
        <item x="1494"/>
        <item x="3600"/>
        <item x="1465"/>
        <item x="730"/>
        <item x="4174"/>
        <item x="1718"/>
        <item x="4210"/>
        <item x="2863"/>
        <item x="74"/>
        <item x="2153"/>
        <item x="185"/>
        <item x="3237"/>
        <item x="2371"/>
        <item x="75"/>
        <item x="3693"/>
        <item x="61"/>
        <item x="2413"/>
        <item x="2140"/>
        <item x="2303"/>
        <item x="921"/>
        <item x="3703"/>
        <item x="2181"/>
        <item x="290"/>
        <item x="1509"/>
        <item x="3589"/>
        <item x="2491"/>
        <item x="2466"/>
        <item x="3330"/>
        <item x="1614"/>
        <item x="827"/>
        <item x="3066"/>
        <item x="3583"/>
        <item x="3844"/>
        <item x="1796"/>
        <item x="3521"/>
        <item x="3993"/>
        <item x="4317"/>
        <item x="1660"/>
        <item x="3681"/>
        <item x="1074"/>
        <item x="2270"/>
        <item x="1167"/>
        <item x="2901"/>
        <item x="3467"/>
        <item x="989"/>
        <item x="884"/>
        <item x="2657"/>
        <item x="3191"/>
        <item x="4401"/>
        <item x="2972"/>
        <item x="2171"/>
        <item x="595"/>
        <item x="171"/>
        <item x="3416"/>
        <item x="520"/>
        <item x="644"/>
        <item x="1321"/>
        <item x="3165"/>
        <item x="2183"/>
        <item x="2267"/>
        <item x="1005"/>
        <item x="1536"/>
        <item x="2472"/>
        <item x="3531"/>
        <item x="4230"/>
        <item x="3760"/>
        <item x="1156"/>
        <item x="2398"/>
        <item x="38"/>
        <item x="1122"/>
        <item x="2119"/>
        <item x="2470"/>
        <item x="1940"/>
        <item x="3356"/>
        <item x="2118"/>
        <item x="1686"/>
        <item x="3814"/>
        <item x="1205"/>
        <item x="3102"/>
        <item x="4191"/>
        <item x="792"/>
        <item x="2085"/>
        <item x="2796"/>
        <item x="94"/>
        <item x="1094"/>
        <item x="673"/>
        <item x="1199"/>
        <item x="50"/>
        <item x="859"/>
        <item x="1682"/>
        <item x="3449"/>
        <item x="2696"/>
        <item x="3233"/>
        <item x="3906"/>
        <item x="2158"/>
        <item x="1416"/>
        <item x="3440"/>
        <item x="1481"/>
        <item x="3540"/>
        <item x="3911"/>
        <item x="2761"/>
        <item x="1451"/>
        <item x="4476"/>
        <item x="3764"/>
        <item x="3990"/>
        <item x="2488"/>
        <item x="1209"/>
        <item x="748"/>
        <item x="585"/>
        <item x="2590"/>
        <item x="3807"/>
        <item x="1835"/>
        <item x="3040"/>
        <item x="2252"/>
        <item x="521"/>
        <item x="213"/>
        <item x="151"/>
        <item x="2433"/>
        <item x="2021"/>
        <item x="3297"/>
        <item x="1896"/>
        <item x="2781"/>
        <item x="3812"/>
        <item x="2665"/>
        <item x="1609"/>
        <item x="1011"/>
        <item x="1458"/>
        <item x="2507"/>
        <item x="1847"/>
        <item x="2856"/>
        <item x="3777"/>
        <item x="3320"/>
        <item x="3067"/>
        <item x="2593"/>
        <item x="2534"/>
        <item x="2726"/>
        <item x="3599"/>
        <item x="4154"/>
        <item x="1641"/>
        <item x="3672"/>
        <item x="528"/>
        <item x="1843"/>
        <item x="2248"/>
        <item x="220"/>
        <item x="228"/>
        <item x="1120"/>
        <item x="4431"/>
        <item x="3962"/>
        <item x="2353"/>
        <item x="1126"/>
        <item x="2064"/>
        <item x="1041"/>
        <item x="1651"/>
        <item x="2359"/>
        <item x="1744"/>
        <item x="1803"/>
        <item x="3837"/>
        <item x="878"/>
        <item x="1034"/>
        <item x="2255"/>
        <item x="1685"/>
        <item x="2170"/>
        <item x="1754"/>
        <item x="3289"/>
        <item x="2687"/>
        <item x="4406"/>
        <item x="2121"/>
        <item x="2399"/>
        <item x="3341"/>
        <item x="3755"/>
        <item x="2662"/>
        <item x="3010"/>
        <item x="3680"/>
        <item x="2704"/>
        <item x="3769"/>
        <item x="2600"/>
        <item x="2572"/>
        <item x="3301"/>
        <item x="1300"/>
        <item x="3134"/>
        <item x="1056"/>
        <item x="680"/>
        <item x="3333"/>
        <item x="1818"/>
        <item x="4132"/>
        <item x="1837"/>
        <item x="1672"/>
        <item x="2721"/>
        <item x="2738"/>
        <item x="1001"/>
        <item x="3640"/>
        <item x="2984"/>
        <item x="2419"/>
        <item x="4251"/>
        <item x="294"/>
        <item x="2452"/>
        <item x="1000"/>
        <item x="571"/>
        <item x="1964"/>
        <item x="1691"/>
        <item x="4124"/>
        <item x="353"/>
        <item x="2136"/>
        <item x="2019"/>
        <item x="1834"/>
        <item x="945"/>
        <item x="2541"/>
        <item x="2078"/>
        <item x="3731"/>
        <item x="473"/>
        <item x="4071"/>
        <item x="813"/>
        <item x="756"/>
        <item x="2230"/>
        <item x="44"/>
        <item x="1029"/>
        <item x="2652"/>
        <item x="1765"/>
        <item x="3410"/>
        <item x="2481"/>
        <item x="3284"/>
        <item x="1526"/>
        <item x="2312"/>
        <item x="1559"/>
        <item x="913"/>
        <item x="4385"/>
        <item x="3221"/>
        <item x="3917"/>
        <item x="2116"/>
        <item x="3192"/>
        <item x="3195"/>
        <item x="4295"/>
        <item x="3688"/>
        <item x="3677"/>
        <item x="3773"/>
        <item x="3887"/>
        <item x="4468"/>
        <item x="1694"/>
        <item x="2362"/>
        <item x="2296"/>
        <item x="752"/>
        <item x="2299"/>
        <item x="1724"/>
        <item x="3860"/>
        <item x="1793"/>
        <item x="1508"/>
        <item x="1923"/>
        <item x="1429"/>
        <item x="3852"/>
        <item x="1379"/>
        <item x="257"/>
        <item x="1314"/>
        <item x="2176"/>
        <item x="2582"/>
        <item x="3409"/>
        <item x="2376"/>
        <item x="740"/>
        <item x="1926"/>
        <item x="3864"/>
        <item x="3665"/>
        <item x="696"/>
        <item x="1521"/>
        <item x="1085"/>
        <item x="2720"/>
        <item x="28"/>
        <item x="2443"/>
        <item x="3894"/>
        <item x="609"/>
        <item x="292"/>
        <item x="789"/>
        <item x="854"/>
        <item x="2629"/>
        <item x="1430"/>
        <item x="2027"/>
        <item x="26"/>
        <item x="1753"/>
        <item x="3288"/>
        <item x="2456"/>
        <item x="1319"/>
        <item x="1583"/>
        <item x="3290"/>
        <item x="3461"/>
        <item x="3506"/>
        <item x="780"/>
        <item x="1941"/>
        <item x="1514"/>
        <item x="1222"/>
        <item x="1042"/>
        <item x="2219"/>
        <item x="4272"/>
        <item x="4080"/>
        <item x="3617"/>
        <item x="2482"/>
        <item x="1544"/>
        <item x="1044"/>
        <item x="1346"/>
        <item x="3501"/>
        <item x="2730"/>
        <item x="90"/>
        <item x="1065"/>
        <item x="3184"/>
        <item x="2235"/>
        <item x="373"/>
        <item x="1810"/>
        <item x="2014"/>
        <item x="4102"/>
        <item x="24"/>
        <item x="3966"/>
        <item x="3982"/>
        <item x="1791"/>
        <item x="2406"/>
        <item x="3591"/>
        <item x="2075"/>
        <item x="3032"/>
        <item x="923"/>
        <item x="942"/>
        <item x="2341"/>
        <item x="638"/>
        <item x="114"/>
        <item x="1659"/>
        <item x="4185"/>
        <item x="3912"/>
        <item x="2447"/>
        <item x="622"/>
        <item x="3971"/>
        <item x="2424"/>
        <item x="4448"/>
        <item x="164"/>
        <item x="3744"/>
        <item x="1844"/>
        <item x="3419"/>
        <item x="4451"/>
        <item x="1772"/>
        <item x="2811"/>
        <item x="924"/>
        <item x="2765"/>
        <item x="4483"/>
        <item x="159"/>
        <item x="2446"/>
        <item x="3832"/>
        <item x="1473"/>
        <item x="2485"/>
        <item x="2340"/>
        <item x="2476"/>
        <item x="747"/>
        <item x="3594"/>
        <item x="413"/>
        <item x="2660"/>
        <item x="314"/>
        <item x="1506"/>
        <item x="2151"/>
        <item x="1722"/>
        <item x="1582"/>
        <item x="4410"/>
        <item x="133"/>
        <item x="4273"/>
        <item x="147"/>
        <item x="868"/>
        <item x="2869"/>
        <item x="3752"/>
        <item x="3275"/>
        <item x="1513"/>
        <item x="3025"/>
        <item x="3771"/>
        <item x="95"/>
        <item x="2804"/>
        <item x="1146"/>
        <item x="2713"/>
        <item x="3105"/>
        <item x="721"/>
        <item x="3794"/>
        <item x="342"/>
        <item x="1730"/>
        <item x="148"/>
        <item x="2315"/>
        <item x="3554"/>
        <item x="2415"/>
        <item x="3516"/>
        <item x="1214"/>
        <item x="4095"/>
        <item x="1584"/>
        <item x="1171"/>
        <item x="3633"/>
        <item x="3637"/>
        <item x="2644"/>
        <item x="2017"/>
        <item x="1311"/>
        <item x="3820"/>
        <item x="2653"/>
        <item x="2198"/>
        <item x="781"/>
        <item x="3709"/>
        <item x="716"/>
        <item x="524"/>
        <item x="1639"/>
        <item x="2986"/>
        <item x="1537"/>
        <item x="2845"/>
        <item x="3392"/>
        <item x="1178"/>
        <item x="994"/>
        <item x="2114"/>
        <item x="1869"/>
        <item x="10"/>
        <item x="161"/>
        <item x="832"/>
        <item x="1564"/>
        <item x="3651"/>
        <item x="2497"/>
        <item x="1740"/>
        <item x="21"/>
        <item x="3843"/>
        <item x="2674"/>
        <item x="4042"/>
        <item x="3504"/>
        <item x="4117"/>
        <item x="3280"/>
        <item x="3177"/>
        <item x="739"/>
        <item x="3868"/>
        <item x="4310"/>
        <item x="4472"/>
        <item x="2155"/>
        <item x="1100"/>
        <item x="4279"/>
        <item x="812"/>
        <item x="415"/>
        <item x="1387"/>
        <item x="702"/>
        <item x="4342"/>
        <item x="2997"/>
        <item x="1180"/>
        <item x="1543"/>
        <item x="649"/>
        <item x="1040"/>
        <item x="4028"/>
        <item x="2336"/>
        <item x="1678"/>
        <item x="2677"/>
        <item x="3149"/>
        <item x="2859"/>
        <item x="3926"/>
        <item x="2545"/>
        <item x="3118"/>
        <item x="1223"/>
        <item x="1776"/>
        <item x="1607"/>
        <item x="2834"/>
        <item x="76"/>
        <item x="1665"/>
        <item x="2784"/>
        <item x="3819"/>
        <item x="1484"/>
        <item x="1104"/>
        <item x="4404"/>
        <item x="3376"/>
        <item x="855"/>
        <item x="2494"/>
        <item x="1568"/>
        <item x="2955"/>
        <item x="2066"/>
        <item x="4381"/>
        <item x="1030"/>
        <item x="3428"/>
        <item x="709"/>
        <item x="3469"/>
        <item x="3026"/>
        <item x="2421"/>
        <item x="875"/>
        <item x="2502"/>
        <item x="3101"/>
        <item x="2918"/>
        <item x="4161"/>
        <item x="466"/>
        <item x="3586"/>
        <item x="1879"/>
        <item x="1302"/>
        <item x="3095"/>
        <item x="3423"/>
        <item x="2996"/>
        <item x="3346"/>
        <item x="4261"/>
        <item x="4093"/>
        <item x="797"/>
        <item x="3144"/>
        <item x="2310"/>
        <item x="3277"/>
        <item x="3905"/>
        <item x="3179"/>
        <item x="3374"/>
        <item x="2709"/>
        <item x="2449"/>
        <item x="2958"/>
        <item x="3248"/>
        <item x="3991"/>
        <item x="2667"/>
        <item x="2156"/>
        <item x="1019"/>
        <item x="3257"/>
        <item x="4256"/>
        <item x="3960"/>
        <item x="3203"/>
        <item x="1389"/>
        <item x="2643"/>
        <item x="3598"/>
        <item x="1552"/>
        <item x="1200"/>
        <item x="1078"/>
        <item x="682"/>
        <item x="2496"/>
        <item x="3685"/>
        <item x="2405"/>
        <item x="1240"/>
        <item x="4033"/>
        <item x="4077"/>
        <item x="1244"/>
        <item x="3528"/>
        <item x="4049"/>
        <item x="802"/>
        <item x="3750"/>
        <item x="3546"/>
        <item x="1439"/>
        <item x="504"/>
        <item x="900"/>
        <item x="2963"/>
        <item x="1666"/>
        <item x="4257"/>
        <item x="707"/>
        <item x="1121"/>
        <item x="2904"/>
        <item x="2387"/>
        <item x="3253"/>
        <item x="1535"/>
        <item x="3957"/>
        <item x="4314"/>
        <item x="3925"/>
        <item x="2745"/>
        <item x="1361"/>
        <item x="3194"/>
        <item x="3175"/>
        <item x="2848"/>
        <item x="857"/>
        <item x="305"/>
        <item x="909"/>
        <item x="3267"/>
        <item x="3385"/>
        <item x="2950"/>
        <item x="1457"/>
        <item x="1950"/>
        <item x="3344"/>
        <item x="134"/>
        <item x="1943"/>
        <item x="2826"/>
        <item x="3570"/>
        <item x="3936"/>
        <item x="3638"/>
        <item x="2637"/>
        <item x="46"/>
        <item x="1123"/>
        <item x="1525"/>
        <item x="1576"/>
        <item x="1561"/>
        <item x="2385"/>
        <item x="2803"/>
        <item x="2876"/>
        <item x="3958"/>
        <item x="4056"/>
        <item x="2133"/>
        <item x="3877"/>
        <item x="1282"/>
        <item x="3683"/>
        <item x="550"/>
        <item x="1229"/>
        <item x="2008"/>
        <item x="3371"/>
        <item x="1729"/>
        <item x="4465"/>
        <item x="3642"/>
        <item x="4301"/>
        <item x="2277"/>
        <item x="4026"/>
        <item x="2128"/>
        <item x="3234"/>
        <item x="464"/>
        <item x="2516"/>
        <item x="3340"/>
        <item x="3064"/>
        <item x="2479"/>
        <item x="877"/>
        <item x="1958"/>
        <item x="3808"/>
        <item x="2999"/>
        <item x="3745"/>
        <item x="4166"/>
        <item x="3818"/>
        <item x="2714"/>
        <item x="547"/>
        <item x="3331"/>
        <item x="1032"/>
        <item x="4107"/>
        <item x="2664"/>
        <item x="3533"/>
        <item x="4004"/>
        <item x="209"/>
        <item x="4225"/>
        <item x="2031"/>
        <item x="908"/>
        <item x="961"/>
        <item x="3697"/>
        <item x="543"/>
        <item x="39"/>
        <item x="1689"/>
        <item x="3053"/>
        <item x="1350"/>
        <item x="2759"/>
        <item x="2798"/>
        <item x="1736"/>
        <item x="2702"/>
        <item x="587"/>
        <item x="3349"/>
        <item x="3900"/>
        <item x="985"/>
        <item x="2748"/>
        <item x="1784"/>
        <item x="3219"/>
        <item x="3977"/>
        <item x="4030"/>
        <item x="426"/>
        <item x="1912"/>
        <item x="2628"/>
        <item x="954"/>
        <item x="283"/>
        <item x="1182"/>
        <item x="328"/>
        <item x="3411"/>
        <item x="2164"/>
        <item x="356"/>
        <item x="2038"/>
        <item x="1983"/>
        <item x="1670"/>
        <item x="2265"/>
        <item x="4423"/>
        <item x="3438"/>
        <item x="449"/>
        <item x="1973"/>
        <item x="3462"/>
        <item x="3110"/>
        <item x="4195"/>
        <item x="263"/>
        <item x="262"/>
        <item x="1197"/>
        <item x="4181"/>
        <item x="3943"/>
        <item x="2098"/>
        <item x="3489"/>
        <item x="2737"/>
        <item x="83"/>
        <item x="3992"/>
        <item x="2091"/>
        <item x="3611"/>
        <item x="3159"/>
        <item x="2288"/>
        <item x="2981"/>
        <item x="940"/>
        <item x="2691"/>
        <item x="2752"/>
        <item x="4089"/>
        <item x="3415"/>
        <item x="1320"/>
        <item x="362"/>
        <item x="2103"/>
        <item x="301"/>
        <item x="4238"/>
        <item x="246"/>
        <item x="4239"/>
        <item x="3276"/>
        <item x="1574"/>
        <item x="3891"/>
        <item x="196"/>
        <item x="85"/>
        <item x="456"/>
        <item x="754"/>
        <item x="3564"/>
        <item x="826"/>
        <item x="2858"/>
        <item x="2004"/>
        <item x="4351"/>
        <item x="3129"/>
        <item x="1331"/>
        <item x="2204"/>
        <item x="1482"/>
        <item x="29"/>
        <item x="2715"/>
        <item x="3931"/>
        <item x="946"/>
        <item x="3607"/>
        <item x="1125"/>
        <item x="1750"/>
        <item x="2465"/>
        <item x="3701"/>
        <item x="886"/>
        <item x="1381"/>
        <item x="230"/>
        <item x="1260"/>
        <item x="4188"/>
        <item x="2499"/>
        <item x="2621"/>
        <item x="2890"/>
        <item x="3758"/>
        <item x="1775"/>
        <item x="4323"/>
        <item x="1815"/>
        <item x="3929"/>
        <item x="997"/>
        <item x="967"/>
        <item x="2694"/>
        <item x="3866"/>
        <item x="965"/>
        <item x="1743"/>
        <item x="1103"/>
        <item x="2514"/>
        <item x="1593"/>
        <item x="861"/>
        <item x="149"/>
        <item x="1579"/>
        <item x="4430"/>
        <item x="1135"/>
        <item x="3719"/>
        <item x="2097"/>
        <item x="4270"/>
        <item x="1519"/>
        <item x="2552"/>
        <item x="2850"/>
        <item x="1291"/>
        <item x="4313"/>
        <item x="4031"/>
        <item x="2977"/>
        <item x="3135"/>
        <item x="1727"/>
        <item x="3674"/>
        <item x="3981"/>
        <item x="2842"/>
        <item x="2893"/>
        <item x="3464"/>
        <item x="1215"/>
        <item x="1748"/>
        <item x="3427"/>
        <item x="1933"/>
        <item x="2142"/>
        <item x="2880"/>
        <item x="3131"/>
        <item x="2873"/>
        <item x="1091"/>
        <item x="4136"/>
        <item x="1341"/>
        <item x="2852"/>
        <item x="2231"/>
        <item x="1412"/>
        <item x="1"/>
        <item x="2363"/>
        <item x="3879"/>
        <item x="3488"/>
        <item x="3498"/>
        <item x="2186"/>
        <item x="772"/>
        <item x="2601"/>
        <item x="4322"/>
        <item x="3532"/>
        <item x="3437"/>
        <item x="852"/>
        <item x="1700"/>
        <item x="3766"/>
        <item x="750"/>
        <item x="634"/>
        <item x="437"/>
        <item x="679"/>
        <item x="3074"/>
        <item x="4365"/>
        <item x="1257"/>
        <item x="3148"/>
        <item x="2369"/>
        <item x="3444"/>
        <item x="2417"/>
        <item x="654"/>
        <item x="766"/>
        <item x="2182"/>
        <item x="359"/>
        <item x="2688"/>
        <item x="58"/>
        <item x="4400"/>
        <item x="3491"/>
        <item x="910"/>
        <item x="793"/>
        <item x="391"/>
        <item x="178"/>
        <item x="274"/>
        <item x="3909"/>
        <item x="904"/>
        <item x="2426"/>
        <item x="261"/>
        <item x="1654"/>
        <item x="1597"/>
        <item x="307"/>
        <item x="865"/>
        <item x="968"/>
        <item x="2343"/>
        <item x="2549"/>
        <item x="2200"/>
        <item x="109"/>
        <item x="901"/>
        <item x="1728"/>
        <item x="406"/>
        <item x="4014"/>
        <item x="3161"/>
        <item x="1963"/>
        <item x="2844"/>
        <item x="983"/>
        <item x="2139"/>
        <item x="1636"/>
        <item x="3247"/>
        <item x="162"/>
        <item x="3477"/>
        <item x="1553"/>
        <item x="4474"/>
        <item x="502"/>
        <item x="3884"/>
        <item x="1571"/>
        <item x="293"/>
        <item x="3919"/>
        <item x="3497"/>
        <item x="4046"/>
        <item x="141"/>
        <item x="2372"/>
        <item x="627"/>
        <item x="642"/>
        <item x="718"/>
        <item x="4429"/>
        <item x="3951"/>
        <item x="3178"/>
        <item x="2159"/>
        <item x="4113"/>
        <item x="3314"/>
        <item x="4443"/>
        <item x="3659"/>
        <item x="4253"/>
        <item x="1738"/>
        <item x="2364"/>
        <item x="1781"/>
        <item x="838"/>
        <item x="3112"/>
        <item x="3650"/>
        <item x="2828"/>
        <item x="3157"/>
        <item x="4361"/>
        <item x="259"/>
        <item x="3183"/>
        <item x="2474"/>
        <item x="4055"/>
        <item x="4396"/>
        <item x="331"/>
        <item x="2639"/>
        <item x="4086"/>
        <item x="3867"/>
        <item x="926"/>
        <item x="4329"/>
        <item x="3621"/>
        <item x="1472"/>
        <item x="460"/>
        <item x="2535"/>
        <item x="2260"/>
        <item x="3394"/>
        <item x="1238"/>
        <item x="2717"/>
        <item x="919"/>
        <item x="3366"/>
        <item x="4266"/>
        <item x="2754"/>
        <item x="3892"/>
        <item x="2314"/>
        <item x="248"/>
        <item x="214"/>
        <item x="3679"/>
        <item x="1269"/>
        <item x="2557"/>
        <item x="2083"/>
        <item x="3172"/>
        <item x="864"/>
        <item x="49"/>
        <item x="2532"/>
        <item x="4044"/>
        <item x="2225"/>
        <item x="231"/>
        <item x="2913"/>
        <item x="441"/>
        <item x="4187"/>
        <item x="2538"/>
        <item x="2979"/>
        <item x="435"/>
        <item x="2650"/>
        <item x="1296"/>
        <item x="3312"/>
        <item x="4397"/>
        <item x="1962"/>
        <item x="978"/>
        <item t="default"/>
      </items>
    </pivotField>
    <pivotField showAll="0"/>
    <pivotField showAll="0"/>
    <pivotField showAll="0"/>
    <pivotField showAll="0"/>
    <pivotField showAll="0"/>
    <pivotField dataField="1" showAll="0"/>
    <pivotField axis="axisRow"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s>
  <rowFields count="1">
    <field x="14"/>
  </rowFields>
  <rowItems count="13">
    <i>
      <x v="10"/>
    </i>
    <i>
      <x v="11"/>
    </i>
    <i>
      <x v="12"/>
    </i>
    <i>
      <x v="13"/>
    </i>
    <i>
      <x v="14"/>
    </i>
    <i>
      <x v="15"/>
    </i>
    <i>
      <x v="16"/>
    </i>
    <i>
      <x v="17"/>
    </i>
    <i>
      <x v="18"/>
    </i>
    <i>
      <x v="19"/>
    </i>
    <i>
      <x v="20"/>
    </i>
    <i>
      <x v="21"/>
    </i>
    <i t="grand">
      <x/>
    </i>
  </rowItems>
  <colItems count="1">
    <i/>
  </colItems>
  <dataFields count="1">
    <dataField name="Sum of unique_order" fld="13" baseField="0" baseItem="0"/>
  </dataFields>
  <chartFormats count="14">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14" count="1" selected="0">
            <x v="13"/>
          </reference>
        </references>
      </pivotArea>
    </chartFormat>
    <chartFormat chart="4" format="4">
      <pivotArea type="data" outline="0" fieldPosition="0">
        <references count="2">
          <reference field="4294967294" count="1" selected="0">
            <x v="0"/>
          </reference>
          <reference field="14" count="1" selected="0">
            <x v="14"/>
          </reference>
        </references>
      </pivotArea>
    </chartFormat>
    <chartFormat chart="4" format="5">
      <pivotArea type="data" outline="0" fieldPosition="0">
        <references count="2">
          <reference field="4294967294" count="1" selected="0">
            <x v="0"/>
          </reference>
          <reference field="14" count="1" selected="0">
            <x v="10"/>
          </reference>
        </references>
      </pivotArea>
    </chartFormat>
    <chartFormat chart="4" format="6">
      <pivotArea type="data" outline="0" fieldPosition="0">
        <references count="2">
          <reference field="4294967294" count="1" selected="0">
            <x v="0"/>
          </reference>
          <reference field="14" count="1" selected="0">
            <x v="11"/>
          </reference>
        </references>
      </pivotArea>
    </chartFormat>
    <chartFormat chart="4" format="7">
      <pivotArea type="data" outline="0" fieldPosition="0">
        <references count="2">
          <reference field="4294967294" count="1" selected="0">
            <x v="0"/>
          </reference>
          <reference field="14" count="1" selected="0">
            <x v="12"/>
          </reference>
        </references>
      </pivotArea>
    </chartFormat>
    <chartFormat chart="4" format="8">
      <pivotArea type="data" outline="0" fieldPosition="0">
        <references count="2">
          <reference field="4294967294" count="1" selected="0">
            <x v="0"/>
          </reference>
          <reference field="14" count="1" selected="0">
            <x v="15"/>
          </reference>
        </references>
      </pivotArea>
    </chartFormat>
    <chartFormat chart="4" format="9">
      <pivotArea type="data" outline="0" fieldPosition="0">
        <references count="2">
          <reference field="4294967294" count="1" selected="0">
            <x v="0"/>
          </reference>
          <reference field="14" count="1" selected="0">
            <x v="16"/>
          </reference>
        </references>
      </pivotArea>
    </chartFormat>
    <chartFormat chart="4" format="10">
      <pivotArea type="data" outline="0" fieldPosition="0">
        <references count="2">
          <reference field="4294967294" count="1" selected="0">
            <x v="0"/>
          </reference>
          <reference field="14" count="1" selected="0">
            <x v="17"/>
          </reference>
        </references>
      </pivotArea>
    </chartFormat>
    <chartFormat chart="4" format="11">
      <pivotArea type="data" outline="0" fieldPosition="0">
        <references count="2">
          <reference field="4294967294" count="1" selected="0">
            <x v="0"/>
          </reference>
          <reference field="14" count="1" selected="0">
            <x v="18"/>
          </reference>
        </references>
      </pivotArea>
    </chartFormat>
    <chartFormat chart="4" format="12">
      <pivotArea type="data" outline="0" fieldPosition="0">
        <references count="2">
          <reference field="4294967294" count="1" selected="0">
            <x v="0"/>
          </reference>
          <reference field="14" count="1" selected="0">
            <x v="19"/>
          </reference>
        </references>
      </pivotArea>
    </chartFormat>
    <chartFormat chart="4" format="13">
      <pivotArea type="data" outline="0" fieldPosition="0">
        <references count="2">
          <reference field="4294967294" count="1" selected="0">
            <x v="0"/>
          </reference>
          <reference field="14" count="1" selected="0">
            <x v="20"/>
          </reference>
        </references>
      </pivotArea>
    </chartFormat>
    <chartFormat chart="4" format="14">
      <pivotArea type="data" outline="0" fieldPosition="0">
        <references count="2">
          <reference field="4294967294" count="1" selected="0">
            <x v="0"/>
          </reference>
          <reference field="14" count="1" selected="0">
            <x v="2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3CDD99C-C1CC-D348-B426-8A9162CE4836}" name="product percentage per unit "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68:B74" firstHeaderRow="1" firstDataRow="1" firstDataCol="1"/>
  <pivotFields count="15">
    <pivotField showAll="0"/>
    <pivotField showAll="0"/>
    <pivotField showAll="0"/>
    <pivotField showAll="0">
      <items count="13">
        <item x="0"/>
        <item x="1"/>
        <item x="2"/>
        <item x="3"/>
        <item x="4"/>
        <item x="5"/>
        <item x="6"/>
        <item x="7"/>
        <item x="8"/>
        <item x="9"/>
        <item x="10"/>
        <item x="11"/>
        <item t="default"/>
      </items>
    </pivotField>
    <pivotField numFmtId="14" showAll="0"/>
    <pivotField showAll="0"/>
    <pivotField showAll="0"/>
    <pivotField numFmtId="21" showAll="0">
      <items count="4489">
        <item x="3898"/>
        <item x="3200"/>
        <item x="2381"/>
        <item x="2793"/>
        <item x="4242"/>
        <item x="1992"/>
        <item x="2271"/>
        <item x="2464"/>
        <item x="3503"/>
        <item x="2920"/>
        <item x="2692"/>
        <item x="4316"/>
        <item x="3270"/>
        <item x="2275"/>
        <item x="3351"/>
        <item x="3575"/>
        <item x="515"/>
        <item x="2540"/>
        <item x="2354"/>
        <item x="3133"/>
        <item x="1255"/>
        <item x="158"/>
        <item x="2050"/>
        <item x="1855"/>
        <item x="1071"/>
        <item x="4111"/>
        <item x="847"/>
        <item x="22"/>
        <item x="1081"/>
        <item x="3535"/>
        <item x="3455"/>
        <item x="182"/>
        <item x="15"/>
        <item x="111"/>
        <item x="3072"/>
        <item x="1767"/>
        <item x="3576"/>
        <item x="2018"/>
        <item x="1184"/>
        <item x="4389"/>
        <item x="137"/>
        <item x="3698"/>
        <item x="3022"/>
        <item x="646"/>
        <item x="529"/>
        <item x="1681"/>
        <item x="2244"/>
        <item x="4000"/>
        <item x="2144"/>
        <item x="1884"/>
        <item x="2152"/>
        <item x="3915"/>
        <item x="2936"/>
        <item x="3945"/>
        <item x="3382"/>
        <item x="2690"/>
        <item x="3244"/>
        <item x="3060"/>
        <item x="4219"/>
        <item x="927"/>
        <item x="4020"/>
        <item x="2416"/>
        <item x="2565"/>
        <item x="1994"/>
        <item x="3648"/>
        <item x="1259"/>
        <item x="1315"/>
        <item x="345"/>
        <item x="2498"/>
        <item x="155"/>
        <item x="1374"/>
        <item x="4360"/>
        <item x="3447"/>
        <item x="3710"/>
        <item x="1384"/>
        <item x="1159"/>
        <item x="2777"/>
        <item x="1225"/>
        <item x="4473"/>
        <item x="3751"/>
        <item x="1547"/>
        <item x="3377"/>
        <item x="1893"/>
        <item x="311"/>
        <item x="251"/>
        <item x="2076"/>
        <item x="755"/>
        <item x="1704"/>
        <item x="3542"/>
        <item x="3091"/>
        <item x="745"/>
        <item x="1645"/>
        <item x="3024"/>
        <item x="2274"/>
        <item x="4281"/>
        <item x="397"/>
        <item x="4398"/>
        <item x="3835"/>
        <item x="3059"/>
        <item x="4459"/>
        <item x="442"/>
        <item x="2851"/>
        <item x="1966"/>
        <item x="882"/>
        <item x="1261"/>
        <item x="591"/>
        <item x="3708"/>
        <item x="2077"/>
        <item x="1487"/>
        <item x="3732"/>
        <item x="1674"/>
        <item x="1885"/>
        <item x="2744"/>
        <item x="3548"/>
        <item x="1037"/>
        <item x="2184"/>
        <item x="343"/>
        <item x="211"/>
        <item x="969"/>
        <item x="3715"/>
        <item x="2675"/>
        <item x="522"/>
        <item x="2463"/>
        <item x="1076"/>
        <item x="3150"/>
        <item x="1789"/>
        <item x="54"/>
        <item x="3530"/>
        <item x="191"/>
        <item x="325"/>
        <item x="4296"/>
        <item x="3076"/>
        <item x="1455"/>
        <item x="142"/>
        <item x="2553"/>
        <item x="3378"/>
        <item x="3125"/>
        <item x="3152"/>
        <item x="4037"/>
        <item x="108"/>
        <item x="8"/>
        <item x="86"/>
        <item x="381"/>
        <item x="2432"/>
        <item x="1443"/>
        <item x="299"/>
        <item x="2259"/>
        <item x="794"/>
        <item x="88"/>
        <item x="4412"/>
        <item x="742"/>
        <item x="3313"/>
        <item x="3405"/>
        <item x="4034"/>
        <item x="3634"/>
        <item x="2611"/>
        <item x="922"/>
        <item x="2220"/>
        <item x="3664"/>
        <item x="1556"/>
        <item x="549"/>
        <item x="461"/>
        <item x="2983"/>
        <item x="2922"/>
        <item x="2654"/>
        <item x="2273"/>
        <item x="4486"/>
        <item x="1731"/>
        <item x="2444"/>
        <item x="1446"/>
        <item x="3723"/>
        <item x="398"/>
        <item x="1409"/>
        <item x="3747"/>
        <item x="1102"/>
        <item x="4175"/>
        <item x="2345"/>
        <item x="3261"/>
        <item x="3508"/>
        <item x="2401"/>
        <item x="1907"/>
        <item x="4260"/>
        <item x="3888"/>
        <item x="477"/>
        <item x="2529"/>
        <item x="1175"/>
        <item x="1489"/>
        <item x="68"/>
        <item x="2505"/>
        <item x="559"/>
        <item x="45"/>
        <item x="474"/>
        <item x="885"/>
        <item x="1072"/>
        <item x="686"/>
        <item x="996"/>
        <item x="1241"/>
        <item x="1800"/>
        <item x="4149"/>
        <item x="4075"/>
        <item x="2453"/>
        <item x="4211"/>
        <item x="57"/>
        <item x="3822"/>
        <item x="3079"/>
        <item x="3173"/>
        <item x="3088"/>
        <item x="3162"/>
        <item x="436"/>
        <item x="4059"/>
        <item x="2013"/>
        <item x="3717"/>
        <item x="4092"/>
        <item x="2651"/>
        <item x="1272"/>
        <item x="4315"/>
        <item x="1624"/>
        <item x="2422"/>
        <item x="1162"/>
        <item x="4477"/>
        <item x="2279"/>
        <item x="3347"/>
        <item x="3216"/>
        <item x="3431"/>
        <item x="1557"/>
        <item x="2492"/>
        <item x="2722"/>
        <item x="3692"/>
        <item x="337"/>
        <item x="4027"/>
        <item x="4300"/>
        <item x="1881"/>
        <item x="4484"/>
        <item x="2467"/>
        <item x="4466"/>
        <item x="454"/>
        <item x="330"/>
        <item x="907"/>
        <item x="4348"/>
        <item x="4170"/>
        <item x="1335"/>
        <item x="2278"/>
        <item x="1069"/>
        <item x="3890"/>
        <item x="4413"/>
        <item x="3699"/>
        <item x="982"/>
        <item x="2214"/>
        <item x="1380"/>
        <item x="3000"/>
        <item x="2912"/>
        <item x="626"/>
        <item x="2007"/>
        <item x="941"/>
        <item x="2160"/>
        <item x="3208"/>
        <item x="2237"/>
        <item x="3795"/>
        <item x="1428"/>
        <item x="2686"/>
        <item x="496"/>
        <item x="2891"/>
        <item x="1095"/>
        <item x="2034"/>
        <item x="764"/>
        <item x="4222"/>
        <item x="3028"/>
        <item x="457"/>
        <item x="2697"/>
        <item x="3556"/>
        <item x="2987"/>
        <item x="2057"/>
        <item x="2807"/>
        <item x="3619"/>
        <item x="4098"/>
        <item x="2719"/>
        <item x="208"/>
        <item x="2995"/>
        <item x="2520"/>
        <item x="1157"/>
        <item x="979"/>
        <item x="725"/>
        <item x="4248"/>
        <item x="3220"/>
        <item x="223"/>
        <item x="478"/>
        <item x="3436"/>
        <item x="1530"/>
        <item x="1449"/>
        <item x="3136"/>
        <item x="2575"/>
        <item x="669"/>
        <item x="2227"/>
        <item x="4114"/>
        <item x="1196"/>
        <item x="3077"/>
        <item x="2993"/>
        <item x="2952"/>
        <item x="2289"/>
        <item x="2595"/>
        <item x="3081"/>
        <item x="144"/>
        <item x="78"/>
        <item x="2462"/>
        <item x="303"/>
        <item x="1358"/>
        <item x="3300"/>
        <item x="41"/>
        <item x="3953"/>
        <item x="3251"/>
        <item x="4462"/>
        <item x="1435"/>
        <item x="1863"/>
        <item x="2727"/>
        <item x="1131"/>
        <item x="2533"/>
        <item x="651"/>
        <item x="1373"/>
        <item x="494"/>
        <item x="1288"/>
        <item x="4048"/>
        <item x="2716"/>
        <item x="2615"/>
        <item x="2823"/>
        <item x="1168"/>
        <item x="2561"/>
        <item x="3863"/>
        <item x="3412"/>
        <item x="1352"/>
        <item x="801"/>
        <item x="3857"/>
        <item x="1901"/>
        <item x="990"/>
        <item x="3470"/>
        <item x="1338"/>
        <item x="876"/>
        <item x="4372"/>
        <item x="3227"/>
        <item x="3826"/>
        <item x="2933"/>
        <item x="500"/>
        <item x="2821"/>
        <item x="4336"/>
        <item x="1208"/>
        <item x="2695"/>
        <item x="1491"/>
        <item x="3418"/>
        <item x="3424"/>
        <item x="1093"/>
        <item x="2517"/>
        <item x="3856"/>
        <item x="1617"/>
        <item x="260"/>
        <item x="1658"/>
        <item x="4303"/>
        <item x="3046"/>
        <item x="2588"/>
        <item x="1650"/>
        <item x="3785"/>
        <item x="3579"/>
        <item x="3413"/>
        <item x="2280"/>
        <item x="2112"/>
        <item x="3557"/>
        <item x="914"/>
        <item x="1083"/>
        <item x="227"/>
        <item x="4341"/>
        <item x="728"/>
        <item x="1488"/>
        <item x="2815"/>
        <item x="1982"/>
        <item x="1798"/>
        <item x="2174"/>
        <item x="798"/>
        <item x="4018"/>
        <item x="3332"/>
        <item x="1456"/>
        <item x="2120"/>
        <item x="656"/>
        <item x="354"/>
        <item x="1228"/>
        <item x="446"/>
        <item x="2954"/>
        <item x="603"/>
        <item x="2570"/>
        <item x="3561"/>
        <item x="2797"/>
        <item x="2163"/>
        <item x="4091"/>
        <item x="3058"/>
        <item x="4058"/>
        <item x="3002"/>
        <item x="1758"/>
        <item x="2774"/>
        <item x="1403"/>
        <item x="3004"/>
        <item x="3115"/>
        <item x="324"/>
        <item x="1801"/>
        <item x="2564"/>
        <item x="3236"/>
        <item x="2772"/>
        <item x="1591"/>
        <item x="272"/>
        <item x="1922"/>
        <item x="3130"/>
        <item x="4029"/>
        <item x="3923"/>
        <item x="1987"/>
        <item x="2093"/>
        <item x="1364"/>
        <item x="2632"/>
        <item x="2357"/>
        <item x="1780"/>
        <item x="2391"/>
        <item x="783"/>
        <item x="3655"/>
        <item x="1014"/>
        <item x="59"/>
        <item x="2511"/>
        <item x="640"/>
        <item x="544"/>
        <item x="561"/>
        <item x="1802"/>
        <item x="1367"/>
        <item x="3214"/>
        <item x="1852"/>
        <item x="348"/>
        <item x="1052"/>
        <item x="1667"/>
        <item x="471"/>
        <item x="4224"/>
        <item x="677"/>
        <item x="3486"/>
        <item x="2056"/>
        <item x="1569"/>
        <item x="1980"/>
        <item x="405"/>
        <item x="610"/>
        <item x="4197"/>
        <item x="641"/>
        <item x="204"/>
        <item x="3833"/>
        <item x="3552"/>
        <item x="573"/>
        <item x="3743"/>
        <item x="2978"/>
        <item x="2885"/>
        <item x="153"/>
        <item x="4053"/>
        <item x="2208"/>
        <item x="874"/>
        <item x="2457"/>
        <item x="2583"/>
        <item x="670"/>
        <item x="2360"/>
        <item x="873"/>
        <item x="1634"/>
        <item x="4419"/>
        <item x="829"/>
        <item x="438"/>
        <item x="917"/>
        <item x="3580"/>
        <item x="408"/>
        <item x="1703"/>
        <item x="3538"/>
        <item x="2974"/>
        <item x="2853"/>
        <item x="1515"/>
        <item x="4271"/>
        <item x="2095"/>
        <item x="3317"/>
        <item x="4383"/>
        <item x="685"/>
        <item x="4247"/>
        <item x="1606"/>
        <item x="4005"/>
        <item x="65"/>
        <item x="4186"/>
        <item x="1010"/>
        <item x="424"/>
        <item x="2649"/>
        <item x="1956"/>
        <item x="3379"/>
        <item x="3729"/>
        <item x="1046"/>
        <item x="1217"/>
        <item x="3520"/>
        <item x="2886"/>
        <item x="4436"/>
        <item x="3463"/>
        <item x="3955"/>
        <item x="2594"/>
        <item x="3696"/>
        <item x="1246"/>
        <item x="3139"/>
        <item x="503"/>
        <item x="3027"/>
        <item x="2094"/>
        <item x="3646"/>
        <item x="3080"/>
        <item x="4308"/>
        <item x="963"/>
        <item x="1618"/>
        <item x="3476"/>
        <item x="3903"/>
        <item x="181"/>
        <item x="1894"/>
        <item x="241"/>
        <item x="3560"/>
        <item x="1989"/>
        <item x="4307"/>
        <item x="3541"/>
        <item x="880"/>
        <item x="1937"/>
        <item x="2896"/>
        <item x="2276"/>
        <item x="1186"/>
        <item x="984"/>
        <item x="2574"/>
        <item x="933"/>
        <item x="2636"/>
        <item x="393"/>
        <item x="3738"/>
        <item x="4433"/>
        <item x="2605"/>
        <item x="992"/>
        <item x="3815"/>
        <item x="2785"/>
        <item x="1249"/>
        <item x="2041"/>
        <item x="2783"/>
        <item x="605"/>
        <item x="733"/>
        <item x="1116"/>
        <item x="1895"/>
        <item x="1875"/>
        <item x="3458"/>
        <item x="2287"/>
        <item x="3842"/>
        <item x="3972"/>
        <item x="2708"/>
        <item x="2900"/>
        <item x="2084"/>
        <item x="2236"/>
        <item x="2063"/>
        <item x="1655"/>
        <item x="310"/>
        <item x="526"/>
        <item x="2935"/>
        <item x="2769"/>
        <item x="675"/>
        <item x="358"/>
        <item x="1191"/>
        <item x="3604"/>
        <item x="3644"/>
        <item x="2149"/>
        <item x="889"/>
        <item x="3373"/>
        <item x="3404"/>
        <item x="1865"/>
        <item x="2911"/>
        <item x="4407"/>
        <item x="1633"/>
        <item x="3326"/>
        <item x="3062"/>
        <item x="811"/>
        <item x="1848"/>
        <item x="650"/>
        <item x="608"/>
        <item x="2350"/>
        <item x="2082"/>
        <item x="3402"/>
        <item x="4007"/>
        <item x="1477"/>
        <item x="4228"/>
        <item x="20"/>
        <item x="1035"/>
        <item x="2154"/>
        <item x="1012"/>
        <item x="3946"/>
        <item x="390"/>
        <item x="3155"/>
        <item x="588"/>
        <item x="2055"/>
        <item x="92"/>
        <item x="2268"/>
        <item x="243"/>
        <item x="447"/>
        <item x="4123"/>
        <item x="4131"/>
        <item x="3008"/>
        <item x="2202"/>
        <item x="4016"/>
        <item x="3045"/>
        <item x="2563"/>
        <item x="2213"/>
        <item x="1745"/>
        <item x="364"/>
        <item x="1524"/>
        <item x="4355"/>
        <item x="3396"/>
        <item x="2616"/>
        <item x="3019"/>
        <item x="1581"/>
        <item x="3741"/>
        <item x="1322"/>
        <item x="1903"/>
        <item x="2753"/>
        <item x="4249"/>
        <item x="266"/>
        <item x="2069"/>
        <item x="2910"/>
        <item x="3372"/>
        <item x="2523"/>
        <item x="1210"/>
        <item x="3806"/>
        <item x="1286"/>
        <item x="340"/>
        <item x="378"/>
        <item x="3605"/>
        <item x="2768"/>
        <item x="4172"/>
        <item x="2623"/>
        <item x="510"/>
        <item x="1226"/>
        <item x="956"/>
        <item x="3375"/>
        <item x="2431"/>
        <item x="270"/>
        <item x="3802"/>
        <item x="375"/>
        <item x="3441"/>
        <item x="4120"/>
        <item x="3167"/>
        <item x="1092"/>
        <item x="1357"/>
        <item x="382"/>
        <item x="2175"/>
        <item x="3055"/>
        <item x="3163"/>
        <item x="823"/>
        <item x="1271"/>
        <item x="2836"/>
        <item x="3727"/>
        <item x="2234"/>
        <item x="1155"/>
        <item x="55"/>
        <item x="4065"/>
        <item x="2332"/>
        <item x="1143"/>
        <item x="3360"/>
        <item x="2506"/>
        <item x="1917"/>
        <item x="4304"/>
        <item x="576"/>
        <item x="1955"/>
        <item x="2860"/>
        <item x="2394"/>
        <item x="17"/>
        <item x="3836"/>
        <item x="1925"/>
        <item x="1936"/>
        <item x="1080"/>
        <item x="3882"/>
        <item x="902"/>
        <item x="1968"/>
        <item x="3736"/>
        <item x="540"/>
        <item x="404"/>
        <item x="1049"/>
        <item x="1405"/>
        <item x="3199"/>
        <item x="853"/>
        <item x="2131"/>
        <item x="664"/>
        <item x="1824"/>
        <item x="1355"/>
        <item x="4339"/>
        <item x="3358"/>
        <item x="2106"/>
        <item x="3682"/>
        <item x="2946"/>
        <item x="3569"/>
        <item x="3678"/>
        <item x="2678"/>
        <item x="4259"/>
        <item x="647"/>
        <item x="786"/>
        <item x="286"/>
        <item x="1825"/>
        <item x="892"/>
        <item x="4379"/>
        <item x="3809"/>
        <item x="3839"/>
        <item x="2824"/>
        <item x="3893"/>
        <item x="2578"/>
        <item x="3207"/>
        <item x="891"/>
        <item x="177"/>
        <item x="1006"/>
        <item x="2015"/>
        <item x="1778"/>
        <item x="1646"/>
        <item x="1169"/>
        <item x="282"/>
        <item x="113"/>
        <item x="4306"/>
        <item x="806"/>
        <item x="2620"/>
        <item x="962"/>
        <item x="2812"/>
        <item x="2867"/>
        <item x="1124"/>
        <item x="4183"/>
        <item x="4217"/>
        <item x="1141"/>
        <item x="533"/>
        <item x="2169"/>
        <item x="295"/>
        <item x="3956"/>
        <item x="1643"/>
        <item x="3612"/>
        <item x="870"/>
        <item x="3401"/>
        <item x="2791"/>
        <item x="3924"/>
        <item x="1256"/>
        <item x="1905"/>
        <item x="1605"/>
        <item x="1105"/>
        <item x="648"/>
        <item x="2725"/>
        <item x="3262"/>
        <item x="2306"/>
        <item x="2436"/>
        <item x="3496"/>
        <item x="1675"/>
        <item x="1054"/>
        <item x="3875"/>
        <item x="422"/>
        <item x="4425"/>
        <item x="82"/>
        <item x="1516"/>
        <item x="3964"/>
        <item x="2210"/>
        <item x="3451"/>
        <item x="4073"/>
        <item x="1900"/>
        <item x="4040"/>
        <item x="4082"/>
        <item x="3406"/>
        <item x="1090"/>
        <item x="2648"/>
        <item x="2490"/>
        <item x="1417"/>
        <item x="4148"/>
        <item x="2685"/>
        <item x="2882"/>
        <item x="1695"/>
        <item x="2054"/>
        <item x="1303"/>
        <item x="538"/>
        <item x="3456"/>
        <item x="3085"/>
        <item x="2633"/>
        <item x="4416"/>
        <item x="1562"/>
        <item x="4424"/>
        <item x="2088"/>
        <item x="1253"/>
        <item x="1990"/>
        <item x="475"/>
        <item x="2568"/>
        <item x="2356"/>
        <item x="2327"/>
        <item x="1690"/>
        <item x="154"/>
        <item x="224"/>
        <item x="1656"/>
        <item x="0"/>
        <item x="3457"/>
        <item x="338"/>
        <item x="3550"/>
        <item x="1486"/>
        <item x="4084"/>
        <item x="2190"/>
        <item x="1418"/>
        <item x="1520"/>
        <item x="3998"/>
        <item x="3188"/>
        <item x="3987"/>
        <item x="2471"/>
        <item x="2528"/>
        <item x="1231"/>
        <item x="2390"/>
        <item x="1867"/>
        <item x="3549"/>
        <item x="2251"/>
        <item x="2108"/>
        <item x="4001"/>
        <item x="1873"/>
        <item x="3522"/>
        <item x="1608"/>
        <item x="3082"/>
        <item x="1165"/>
        <item x="4235"/>
        <item x="1911"/>
        <item x="168"/>
        <item x="87"/>
        <item x="1038"/>
        <item x="1594"/>
        <item x="1479"/>
        <item x="3687"/>
        <item x="1082"/>
        <item x="4209"/>
        <item x="3400"/>
        <item x="2736"/>
        <item x="308"/>
        <item x="851"/>
        <item x="2895"/>
        <item x="2325"/>
        <item x="883"/>
        <item x="3861"/>
        <item x="3616"/>
        <item x="972"/>
        <item x="3354"/>
        <item x="2096"/>
        <item x="2104"/>
        <item x="2080"/>
        <item x="2898"/>
        <item x="4036"/>
        <item x="3934"/>
        <item x="3676"/>
        <item x="925"/>
        <item x="1431"/>
        <item x="3626"/>
        <item x="4076"/>
        <item x="1995"/>
        <item x="2316"/>
        <item x="2656"/>
        <item x="128"/>
        <item x="3927"/>
        <item x="394"/>
        <item x="2799"/>
        <item x="2107"/>
        <item x="3"/>
        <item x="4072"/>
        <item x="3737"/>
        <item x="1628"/>
        <item x="3671"/>
        <item x="2609"/>
        <item x="3974"/>
        <item x="2001"/>
        <item x="2011"/>
        <item x="3661"/>
        <item x="1766"/>
        <item x="2515"/>
        <item x="1938"/>
        <item x="858"/>
        <item x="3526"/>
        <item x="3439"/>
        <item x="4200"/>
        <item x="3087"/>
        <item x="2047"/>
        <item x="3255"/>
        <item x="3965"/>
        <item x="2361"/>
        <item x="4068"/>
        <item x="2311"/>
        <item x="1986"/>
        <item x="871"/>
        <item x="2367"/>
        <item x="1245"/>
        <item x="2767"/>
        <item x="1910"/>
        <item x="3098"/>
        <item x="2949"/>
        <item x="37"/>
        <item x="2829"/>
        <item x="1823"/>
        <item x="4152"/>
        <item x="2187"/>
        <item x="774"/>
        <item x="3823"/>
        <item x="4019"/>
        <item x="1883"/>
        <item x="3775"/>
        <item x="4226"/>
        <item x="1661"/>
        <item x="1732"/>
        <item x="1149"/>
        <item x="434"/>
        <item x="1677"/>
        <item x="1410"/>
        <item x="2445"/>
        <item x="2683"/>
        <item x="4083"/>
        <item x="187"/>
        <item x="3499"/>
        <item x="1592"/>
        <item x="105"/>
        <item x="2302"/>
        <item x="1942"/>
        <item x="3932"/>
        <item x="2168"/>
        <item x="2382"/>
        <item x="13"/>
        <item x="776"/>
        <item x="1794"/>
        <item x="888"/>
        <item x="1275"/>
        <item x="2857"/>
        <item x="197"/>
        <item x="1949"/>
        <item x="2915"/>
        <item x="1603"/>
        <item x="2820"/>
        <item x="1978"/>
        <item x="1068"/>
        <item x="2468"/>
        <item x="509"/>
        <item x="3359"/>
        <item x="1057"/>
        <item x="895"/>
        <item x="636"/>
        <item x="366"/>
        <item x="1468"/>
        <item x="4356"/>
        <item x="439"/>
        <item x="4060"/>
        <item x="3798"/>
        <item x="2504"/>
        <item x="2143"/>
        <item x="3756"/>
        <item x="1951"/>
        <item x="3285"/>
        <item x="893"/>
        <item x="491"/>
        <item x="116"/>
        <item x="4151"/>
        <item x="4240"/>
        <item x="2889"/>
        <item x="110"/>
        <item x="2006"/>
        <item x="2782"/>
        <item x="1025"/>
        <item x="2718"/>
        <item x="1377"/>
        <item x="3654"/>
        <item x="1317"/>
        <item x="3740"/>
        <item x="1664"/>
        <item x="370"/>
        <item x="3511"/>
        <item x="1098"/>
        <item x="1931"/>
        <item x="2115"/>
        <item x="453"/>
        <item x="3792"/>
        <item x="289"/>
        <item x="66"/>
        <item x="867"/>
        <item x="2348"/>
        <item x="713"/>
        <item x="2177"/>
        <item x="323"/>
        <item x="3559"/>
        <item x="1340"/>
        <item x="417"/>
        <item x="3649"/>
        <item x="2916"/>
        <item x="72"/>
        <item x="1274"/>
        <item x="578"/>
        <item x="4264"/>
        <item x="4145"/>
        <item x="2751"/>
        <item x="4422"/>
        <item x="4167"/>
        <item x="2668"/>
        <item x="469"/>
        <item x="1424"/>
        <item x="3151"/>
        <item x="1518"/>
        <item x="3182"/>
        <item x="1930"/>
        <item x="2970"/>
        <item x="782"/>
        <item x="2941"/>
        <item x="318"/>
        <item x="632"/>
        <item x="2266"/>
        <item x="2212"/>
        <item x="218"/>
        <item x="659"/>
        <item x="2794"/>
        <item x="3959"/>
        <item x="1028"/>
        <item x="2945"/>
        <item x="3728"/>
        <item x="1906"/>
        <item x="2555"/>
        <item x="3453"/>
        <item x="732"/>
        <item x="1637"/>
        <item x="2012"/>
        <item x="2712"/>
        <item x="1567"/>
        <item x="2178"/>
        <item x="1464"/>
        <item x="3543"/>
        <item x="589"/>
        <item x="3073"/>
        <item x="2493"/>
        <item x="363"/>
        <item x="4325"/>
        <item x="3119"/>
        <item x="2123"/>
        <item x="3691"/>
        <item x="1845"/>
        <item x="623"/>
        <item x="3947"/>
        <item x="1067"/>
        <item x="2627"/>
        <item x="2934"/>
        <item x="4176"/>
        <item x="3387"/>
        <item x="3961"/>
        <item x="3978"/>
        <item x="719"/>
        <item x="1589"/>
        <item x="1864"/>
        <item x="3420"/>
        <item x="4408"/>
        <item x="2743"/>
        <item x="2480"/>
        <item x="1807"/>
        <item x="380"/>
        <item x="1395"/>
        <item x="4347"/>
        <item x="1187"/>
        <item x="232"/>
        <item x="3291"/>
        <item x="4105"/>
        <item x="4038"/>
        <item x="3624"/>
        <item x="1747"/>
        <item x="3615"/>
        <item x="418"/>
        <item x="537"/>
        <item x="1130"/>
        <item x="2547"/>
        <item x="3269"/>
        <item x="3128"/>
        <item x="423"/>
        <item x="991"/>
        <item x="723"/>
        <item x="1921"/>
        <item x="2808"/>
        <item x="482"/>
        <item x="1414"/>
        <item x="2185"/>
        <item x="1101"/>
        <item x="676"/>
        <item x="7"/>
        <item x="1711"/>
        <item x="2559"/>
        <item x="215"/>
        <item x="2283"/>
        <item x="3389"/>
        <item x="1914"/>
        <item x="3913"/>
        <item x="1147"/>
        <item x="2430"/>
        <item x="4213"/>
        <item x="579"/>
        <item x="3266"/>
        <item x="2045"/>
        <item x="377"/>
        <item x="2939"/>
        <item x="635"/>
        <item x="3242"/>
        <item x="1383"/>
        <item x="73"/>
        <item x="1136"/>
        <item x="2522"/>
        <item x="3204"/>
        <item x="2973"/>
        <item x="803"/>
        <item x="519"/>
        <item x="2597"/>
        <item x="777"/>
        <item x="4043"/>
        <item x="2699"/>
        <item x="1751"/>
        <item x="3851"/>
        <item x="2434"/>
        <item x="1768"/>
        <item x="770"/>
        <item x="287"/>
        <item x="472"/>
        <item x="2189"/>
        <item x="1545"/>
        <item x="384"/>
        <item x="552"/>
        <item x="1194"/>
        <item x="369"/>
        <item x="1627"/>
        <item x="791"/>
        <item x="1043"/>
        <item x="2427"/>
        <item x="3328"/>
        <item x="3873"/>
        <item x="2254"/>
        <item x="2587"/>
        <item x="3662"/>
        <item x="1411"/>
        <item x="3305"/>
        <item x="850"/>
        <item x="1390"/>
        <item x="1262"/>
        <item x="1841"/>
        <item x="4189"/>
        <item x="129"/>
        <item x="1198"/>
        <item x="89"/>
        <item x="4070"/>
        <item x="3403"/>
        <item x="1063"/>
        <item x="3239"/>
        <item x="2410"/>
        <item x="483"/>
        <item x="2395"/>
        <item x="3450"/>
        <item x="2874"/>
        <item x="712"/>
        <item x="4135"/>
        <item x="4268"/>
        <item x="2368"/>
        <item x="3954"/>
        <item x="3700"/>
        <item x="1299"/>
        <item x="3185"/>
        <item x="790"/>
        <item x="3039"/>
        <item x="1329"/>
        <item x="2786"/>
        <item x="2624"/>
        <item x="3250"/>
        <item x="4305"/>
        <item x="3231"/>
        <item x="2286"/>
        <item x="1698"/>
        <item x="1616"/>
        <item x="3539"/>
        <item x="1596"/>
        <item x="4358"/>
        <item x="652"/>
        <item x="800"/>
        <item x="912"/>
        <item x="2925"/>
        <item x="1856"/>
        <item x="4122"/>
        <item x="4237"/>
        <item x="2110"/>
        <item x="180"/>
        <item x="1328"/>
        <item x="3368"/>
        <item x="2926"/>
        <item x="3142"/>
        <item x="4011"/>
        <item x="1220"/>
        <item x="1128"/>
        <item x="3975"/>
        <item x="518"/>
        <item x="841"/>
        <item x="4280"/>
        <item x="2192"/>
        <item x="2584"/>
        <item x="2550"/>
        <item x="545"/>
        <item x="532"/>
        <item x="1504"/>
        <item x="593"/>
        <item x="4"/>
        <item x="4275"/>
        <item x="3223"/>
        <item x="3422"/>
        <item x="565"/>
        <item x="225"/>
        <item x="1470"/>
        <item x="1979"/>
        <item x="1540"/>
        <item x="4069"/>
        <item x="2992"/>
        <item x="1023"/>
        <item x="4287"/>
        <item x="757"/>
        <item x="1954"/>
        <item x="411"/>
        <item x="671"/>
        <item x="3218"/>
        <item x="630"/>
        <item x="1436"/>
        <item x="4252"/>
        <item x="1066"/>
        <item x="1039"/>
        <item x="2778"/>
        <item x="1053"/>
        <item x="3230"/>
        <item x="658"/>
        <item x="3514"/>
        <item x="662"/>
        <item x="3274"/>
        <item x="1267"/>
        <item x="1620"/>
        <item x="1575"/>
        <item x="759"/>
        <item x="3103"/>
        <item x="1679"/>
        <item x="3493"/>
        <item x="3878"/>
        <item x="511"/>
        <item x="3824"/>
        <item x="3597"/>
        <item x="100"/>
        <item x="611"/>
        <item x="3068"/>
        <item x="4319"/>
        <item x="1746"/>
        <item x="4063"/>
        <item x="903"/>
        <item x="1498"/>
        <item x="1499"/>
        <item x="2037"/>
        <item x="355"/>
        <item x="2741"/>
        <item x="2689"/>
        <item x="236"/>
        <item x="2016"/>
        <item x="192"/>
        <item x="4368"/>
        <item x="1115"/>
        <item x="2150"/>
        <item x="2554"/>
        <item x="999"/>
        <item x="333"/>
        <item x="3713"/>
        <item x="2334"/>
        <item x="2032"/>
        <item x="3801"/>
        <item x="2558"/>
        <item x="3205"/>
        <item x="3788"/>
        <item x="205"/>
        <item x="14"/>
        <item x="3770"/>
        <item x="553"/>
        <item x="1764"/>
        <item x="3523"/>
        <item x="758"/>
        <item x="3030"/>
        <item x="703"/>
        <item x="3668"/>
        <item x="173"/>
        <item x="1726"/>
        <item x="1422"/>
        <item x="3944"/>
        <item x="3084"/>
        <item x="1362"/>
        <item x="4373"/>
        <item x="346"/>
        <item x="1250"/>
        <item x="3791"/>
        <item x="2328"/>
        <item x="2051"/>
        <item x="3724"/>
        <item x="1407"/>
        <item x="3899"/>
        <item x="3850"/>
        <item x="1554"/>
        <item x="1790"/>
        <item x="495"/>
        <item x="2762"/>
        <item x="580"/>
        <item x="2374"/>
        <item x="3582"/>
        <item x="3854"/>
        <item x="1161"/>
        <item x="645"/>
        <item x="3050"/>
        <item x="1984"/>
        <item x="2566"/>
        <item x="4456"/>
        <item x="3210"/>
        <item x="980"/>
        <item x="1850"/>
        <item x="684"/>
        <item x="2525"/>
        <item x="1673"/>
        <item x="3656"/>
        <item x="1264"/>
        <item x="1762"/>
        <item x="785"/>
        <item x="254"/>
        <item x="463"/>
        <item x="1870"/>
        <item x="288"/>
        <item x="572"/>
        <item x="1279"/>
        <item x="123"/>
        <item x="1993"/>
        <item x="2074"/>
        <item x="1849"/>
        <item x="448"/>
        <item x="4302"/>
        <item x="1622"/>
        <item x="1742"/>
        <item x="3630"/>
        <item x="2039"/>
        <item x="2641"/>
        <item x="319"/>
        <item x="3421"/>
        <item x="2998"/>
        <item x="4255"/>
        <item x="3663"/>
        <item x="1860"/>
        <item x="3334"/>
        <item x="981"/>
        <item x="527"/>
        <item x="1292"/>
        <item x="3876"/>
        <item x="2291"/>
        <item x="3465"/>
        <item x="1916"/>
        <item x="3083"/>
        <item x="1977"/>
        <item x="3209"/>
        <item x="1022"/>
        <item x="1368"/>
        <item x="4085"/>
        <item x="4426"/>
        <item x="4284"/>
        <item x="2503"/>
        <item x="3319"/>
        <item x="4013"/>
        <item x="2079"/>
        <item x="2947"/>
        <item x="3238"/>
        <item x="62"/>
        <item x="4263"/>
        <item x="3918"/>
        <item x="1385"/>
        <item x="40"/>
        <item x="3941"/>
        <item x="4362"/>
        <item x="4125"/>
        <item x="4335"/>
        <item x="1500"/>
        <item x="1420"/>
        <item x="2906"/>
        <item x="2921"/>
        <item x="4081"/>
        <item x="1281"/>
        <item x="416"/>
        <item x="1920"/>
        <item x="1393"/>
        <item x="2700"/>
        <item x="3853"/>
        <item x="3023"/>
        <item x="278"/>
        <item x="3811"/>
        <item x="1706"/>
        <item x="125"/>
        <item x="2305"/>
        <item x="3430"/>
        <item x="2495"/>
        <item x="3746"/>
        <item x="4008"/>
        <item x="2486"/>
        <item x="1615"/>
        <item x="1804"/>
        <item x="2994"/>
        <item x="2162"/>
        <item x="958"/>
        <item x="2749"/>
        <item x="1099"/>
        <item x="1097"/>
        <item x="2775"/>
        <item x="4062"/>
        <item x="1017"/>
        <item x="2613"/>
        <item x="285"/>
        <item x="621"/>
        <item x="70"/>
        <item x="80"/>
        <item x="2647"/>
        <item x="269"/>
        <item x="2165"/>
        <item x="617"/>
        <item x="4214"/>
        <item x="60"/>
        <item x="2825"/>
        <item x="1693"/>
        <item x="493"/>
        <item x="3707"/>
        <item x="2710"/>
        <item x="2969"/>
        <item x="1927"/>
        <item x="1440"/>
        <item x="4127"/>
        <item x="2166"/>
        <item x="3196"/>
        <item x="3519"/>
        <item x="56"/>
        <item x="705"/>
        <item x="3515"/>
        <item x="4212"/>
        <item x="4171"/>
        <item x="2221"/>
        <item x="2642"/>
        <item x="1160"/>
        <item x="661"/>
        <item x="2216"/>
        <item x="1211"/>
        <item x="3983"/>
        <item x="4010"/>
        <item x="4204"/>
        <item x="3143"/>
        <item x="3197"/>
        <item x="3283"/>
        <item x="2404"/>
        <item x="291"/>
        <item x="3721"/>
        <item x="2764"/>
        <item x="1763"/>
        <item x="1145"/>
        <item x="694"/>
        <item x="1127"/>
        <item x="157"/>
        <item x="637"/>
        <item x="4402"/>
        <item x="1150"/>
        <item x="4006"/>
        <item x="4064"/>
        <item x="4414"/>
        <item x="3544"/>
        <item x="534"/>
        <item x="3258"/>
        <item x="948"/>
        <item x="1448"/>
        <item x="2957"/>
        <item x="3434"/>
        <item x="516"/>
        <item x="2408"/>
        <item x="590"/>
        <item x="894"/>
        <item x="2215"/>
        <item x="612"/>
        <item x="3897"/>
        <item x="1813"/>
        <item x="3293"/>
        <item x="3817"/>
        <item x="2127"/>
        <item x="2249"/>
        <item x="4074"/>
        <item x="2531"/>
        <item x="2536"/>
        <item x="3645"/>
        <item x="1096"/>
        <item x="660"/>
        <item x="3584"/>
        <item x="3454"/>
        <item x="1060"/>
        <item x="4101"/>
        <item x="419"/>
        <item x="170"/>
        <item x="3803"/>
        <item x="1687"/>
        <item x="4262"/>
        <item x="700"/>
        <item x="3507"/>
        <item x="2930"/>
        <item x="952"/>
        <item x="2211"/>
        <item x="3294"/>
        <item x="1129"/>
        <item x="2349"/>
        <item x="1248"/>
        <item x="1782"/>
        <item x="863"/>
        <item x="1527"/>
        <item x="1830"/>
        <item x="1408"/>
        <item x="2868"/>
        <item x="1466"/>
        <item x="1598"/>
        <item x="4137"/>
        <item x="2908"/>
        <item x="2373"/>
        <item x="4115"/>
        <item x="3189"/>
        <item x="2026"/>
        <item x="138"/>
        <item x="2205"/>
        <item x="3904"/>
        <item x="1709"/>
        <item x="3629"/>
        <item x="2005"/>
        <item x="71"/>
        <item x="3186"/>
        <item x="3370"/>
        <item x="2989"/>
        <item x="856"/>
        <item x="3171"/>
        <item x="570"/>
        <item x="2324"/>
        <item x="1531"/>
        <item x="932"/>
        <item x="3174"/>
        <item x="554"/>
        <item x="2839"/>
        <item x="2875"/>
        <item x="2009"/>
        <item x="1899"/>
        <item x="1945"/>
        <item x="1207"/>
        <item x="4282"/>
        <item x="3527"/>
        <item x="699"/>
        <item x="2962"/>
        <item x="2459"/>
        <item x="2871"/>
        <item x="2377"/>
        <item x="1735"/>
        <item x="3123"/>
        <item x="995"/>
        <item x="2257"/>
        <item x="2940"/>
        <item x="3126"/>
        <item x="4108"/>
        <item x="1234"/>
        <item x="1235"/>
        <item x="4318"/>
        <item x="3114"/>
        <item x="2105"/>
        <item x="167"/>
        <item x="4417"/>
        <item x="1304"/>
        <item x="2739"/>
        <item x="3657"/>
        <item x="2707"/>
        <item x="488"/>
        <item x="2201"/>
        <item x="2879"/>
        <item x="3016"/>
        <item x="628"/>
        <item x="3684"/>
        <item x="313"/>
        <item x="3784"/>
        <item x="3013"/>
        <item x="2676"/>
        <item x="252"/>
        <item x="3601"/>
        <item x="131"/>
        <item x="3585"/>
        <item x="4109"/>
        <item x="219"/>
        <item x="3631"/>
        <item x="4334"/>
        <item x="911"/>
        <item x="1140"/>
        <item x="1334"/>
        <item x="4112"/>
        <item x="3950"/>
        <item x="955"/>
        <item x="3212"/>
        <item x="501"/>
        <item x="724"/>
        <item x="3711"/>
        <item x="4153"/>
        <item x="2956"/>
        <item x="2317"/>
        <item x="357"/>
        <item x="3355"/>
        <item x="1533"/>
        <item x="4206"/>
        <item x="2172"/>
        <item x="3310"/>
        <item x="452"/>
        <item x="1820"/>
        <item x="2899"/>
        <item x="1268"/>
        <item x="1289"/>
        <item x="3190"/>
        <item x="1756"/>
        <item x="615"/>
        <item x="3841"/>
        <item x="1705"/>
        <item x="1697"/>
        <item x="704"/>
        <item x="2655"/>
        <item x="4324"/>
        <item x="1024"/>
        <item x="1201"/>
        <item x="3804"/>
        <item x="2309"/>
        <item x="1212"/>
        <item x="3495"/>
        <item x="508"/>
        <item x="3086"/>
        <item x="1512"/>
        <item x="1792"/>
        <item x="240"/>
        <item x="3968"/>
        <item x="4052"/>
        <item x="69"/>
        <item x="4265"/>
        <item x="2822"/>
        <item x="1480"/>
        <item x="3160"/>
        <item x="2451"/>
        <item x="507"/>
        <item x="3517"/>
        <item x="1913"/>
        <item x="1031"/>
        <item x="1020"/>
        <item x="1897"/>
        <item x="1946"/>
        <item x="4147"/>
        <item x="2469"/>
        <item x="1976"/>
        <item x="683"/>
        <item x="1669"/>
        <item x="1550"/>
        <item x="3362"/>
        <item x="4274"/>
        <item x="201"/>
        <item x="34"/>
        <item x="1492"/>
        <item x="3433"/>
        <item x="335"/>
        <item x="796"/>
        <item x="4458"/>
        <item x="3669"/>
        <item x="2501"/>
        <item x="2766"/>
        <item x="3881"/>
        <item x="4283"/>
        <item x="2663"/>
        <item x="2042"/>
        <item x="4002"/>
        <item x="1219"/>
        <item x="2002"/>
        <item x="1177"/>
        <item x="3096"/>
        <item x="1604"/>
        <item x="3307"/>
        <item x="569"/>
        <item x="3667"/>
        <item x="816"/>
        <item x="599"/>
        <item x="3435"/>
        <item x="3714"/>
        <item x="3361"/>
        <item x="1026"/>
        <item x="3980"/>
        <item x="97"/>
        <item x="2335"/>
        <item x="4223"/>
        <item x="2440"/>
        <item x="1944"/>
        <item x="3695"/>
        <item x="1391"/>
        <item x="4475"/>
        <item x="221"/>
        <item x="3810"/>
        <item x="1277"/>
        <item x="23"/>
        <item x="4140"/>
        <item x="3109"/>
        <item x="1866"/>
        <item x="258"/>
        <item x="145"/>
        <item x="4454"/>
        <item x="3466"/>
        <item x="2735"/>
        <item x="3985"/>
        <item x="2659"/>
        <item x="3689"/>
        <item x="4207"/>
        <item x="2397"/>
        <item x="2222"/>
        <item x="710"/>
        <item x="1239"/>
        <item x="2927"/>
        <item x="4418"/>
        <item x="3228"/>
        <item x="1817"/>
        <item x="1164"/>
        <item x="4289"/>
        <item x="2932"/>
        <item x="3641"/>
        <item x="1734"/>
        <item x="3282"/>
        <item x="264"/>
        <item x="490"/>
        <item x="3622"/>
        <item x="2141"/>
        <item x="1337"/>
        <item x="3106"/>
        <item x="2224"/>
        <item x="535"/>
        <item x="2304"/>
        <item x="763"/>
        <item x="749"/>
        <item x="4333"/>
        <item x="3952"/>
        <item x="4090"/>
        <item x="3339"/>
        <item x="3494"/>
        <item x="3761"/>
        <item x="3246"/>
        <item x="1760"/>
        <item x="2789"/>
        <item x="2500"/>
        <item x="3407"/>
        <item x="2878"/>
        <item x="1662"/>
        <item x="4403"/>
        <item x="1761"/>
        <item x="860"/>
        <item x="2389"/>
        <item x="3996"/>
        <item x="2519"/>
        <item x="3338"/>
        <item x="606"/>
        <item x="631"/>
        <item x="3020"/>
        <item x="1206"/>
        <item x="2603"/>
        <item x="1638"/>
        <item x="2022"/>
        <item x="3577"/>
        <item x="1833"/>
        <item x="3051"/>
        <item x="1892"/>
        <item x="1503"/>
        <item x="2770"/>
        <item x="184"/>
        <item x="3286"/>
        <item x="2450"/>
        <item x="1419"/>
        <item x="2483"/>
        <item x="126"/>
        <item x="625"/>
        <item x="1720"/>
        <item x="2884"/>
        <item x="3365"/>
        <item x="1828"/>
        <item x="121"/>
        <item x="163"/>
        <item x="183"/>
        <item x="1033"/>
        <item x="4461"/>
        <item x="1349"/>
        <item x="2477"/>
        <item x="2843"/>
        <item x="3391"/>
        <item x="2959"/>
        <item x="4420"/>
        <item x="2239"/>
        <item x="2024"/>
        <item x="3122"/>
        <item x="714"/>
        <item x="3327"/>
        <item x="4432"/>
        <item x="3670"/>
        <item x="934"/>
        <item x="1988"/>
        <item x="970"/>
        <item x="1898"/>
        <item x="2298"/>
        <item x="1490"/>
        <item x="2326"/>
        <item x="1915"/>
        <item x="1774"/>
        <item x="3481"/>
        <item x="1928"/>
        <item x="281"/>
        <item x="3967"/>
        <item x="1829"/>
        <item x="2988"/>
        <item x="2883"/>
        <item x="939"/>
        <item x="275"/>
        <item x="1224"/>
        <item x="3268"/>
        <item x="1007"/>
        <item x="3505"/>
        <item x="315"/>
        <item x="279"/>
        <item x="2733"/>
        <item x="771"/>
        <item x="3353"/>
        <item x="4467"/>
        <item x="190"/>
        <item x="3120"/>
        <item x="1495"/>
        <item x="1404"/>
        <item x="1517"/>
        <item x="3054"/>
        <item x="206"/>
        <item x="1832"/>
        <item x="2258"/>
        <item x="2193"/>
        <item x="2180"/>
        <item x="427"/>
        <item x="3781"/>
        <item x="928"/>
        <item x="4388"/>
        <item x="2734"/>
        <item x="2347"/>
        <item x="4158"/>
        <item x="2423"/>
        <item x="2320"/>
        <item x="1676"/>
        <item x="1459"/>
        <item x="4439"/>
        <item x="4330"/>
        <item x="280"/>
        <item x="525"/>
        <item x="1640"/>
        <item x="4292"/>
        <item x="4350"/>
        <item x="2365"/>
        <item x="2194"/>
        <item x="619"/>
        <item x="3078"/>
        <item x="986"/>
        <item x="239"/>
        <item x="3215"/>
        <item x="614"/>
        <item x="944"/>
        <item x="322"/>
        <item x="2122"/>
        <item x="1587"/>
        <item x="217"/>
        <item x="4363"/>
        <item x="1293"/>
        <item x="2366"/>
        <item x="966"/>
        <item x="2068"/>
        <item x="3017"/>
        <item x="698"/>
        <item x="1421"/>
        <item x="4382"/>
        <item x="98"/>
        <item x="3726"/>
        <item x="2924"/>
        <item x="2681"/>
        <item x="1819"/>
        <item x="2409"/>
        <item x="4354"/>
        <item x="481"/>
        <item x="541"/>
        <item x="3097"/>
        <item x="3628"/>
        <item x="2243"/>
        <item x="4032"/>
        <item x="3158"/>
        <item x="604"/>
        <item x="3166"/>
        <item x="443"/>
        <item x="2919"/>
        <item x="1757"/>
        <item x="169"/>
        <item x="1276"/>
        <item x="1003"/>
        <item x="506"/>
        <item x="3426"/>
        <item x="1861"/>
        <item x="906"/>
        <item x="360"/>
        <item x="3049"/>
        <item x="2132"/>
        <item x="1890"/>
        <item x="2113"/>
        <item x="1218"/>
        <item x="775"/>
        <item x="2102"/>
        <item x="4353"/>
        <item x="3063"/>
        <item x="1118"/>
        <item x="3038"/>
        <item x="212"/>
        <item x="4469"/>
        <item x="1055"/>
        <item x="2253"/>
        <item x="2518"/>
        <item x="2238"/>
        <item x="467"/>
        <item x="2542"/>
        <item x="3037"/>
        <item x="2346"/>
        <item x="4369"/>
        <item x="920"/>
        <item x="2742"/>
        <item x="1961"/>
        <item x="708"/>
        <item x="1631"/>
        <item x="3846"/>
        <item x="4298"/>
        <item x="1985"/>
        <item x="4236"/>
        <item x="1701"/>
        <item x="4100"/>
        <item x="3357"/>
        <item x="3070"/>
        <item x="476"/>
        <item x="2403"/>
        <item x="1471"/>
        <item x="736"/>
        <item x="1251"/>
        <item x="1119"/>
        <item x="2711"/>
        <item x="1770"/>
        <item x="3138"/>
        <item x="2386"/>
        <item x="4441"/>
        <item x="2179"/>
        <item x="607"/>
        <item x="2581"/>
        <item x="3232"/>
        <item x="3859"/>
        <item x="566"/>
        <item x="596"/>
        <item x="1327"/>
        <item x="430"/>
        <item x="4119"/>
        <item x="2285"/>
        <item x="1305"/>
        <item x="3012"/>
        <item x="3107"/>
        <item x="4297"/>
        <item x="1808"/>
        <item x="1004"/>
        <item x="3525"/>
        <item x="2835"/>
        <item x="2442"/>
        <item x="809"/>
        <item x="2157"/>
        <item x="4267"/>
        <item x="2701"/>
        <item x="4138"/>
        <item x="3229"/>
        <item x="388"/>
        <item x="4087"/>
        <item x="2489"/>
        <item x="103"/>
        <item x="2618"/>
        <item x="3735"/>
        <item x="1134"/>
        <item x="3047"/>
        <item x="1059"/>
        <item x="1862"/>
        <item x="130"/>
        <item x="2352"/>
        <item x="2049"/>
        <item x="79"/>
        <item x="1009"/>
        <item x="3061"/>
        <item x="420"/>
        <item x="2065"/>
        <item x="2256"/>
        <item x="2556"/>
        <item x="2598"/>
        <item x="4291"/>
        <item x="165"/>
        <item x="3318"/>
        <item x="1294"/>
        <item x="4128"/>
        <item x="4460"/>
        <item x="2319"/>
        <item x="1142"/>
        <item x="1313"/>
        <item x="99"/>
        <item x="4375"/>
        <item x="124"/>
        <item x="575"/>
        <item x="1048"/>
        <item x="2961"/>
        <item x="1016"/>
        <item x="1721"/>
        <item x="1904"/>
        <item x="2262"/>
        <item x="3113"/>
        <item x="4142"/>
        <item x="4293"/>
        <item x="2960"/>
        <item x="3198"/>
        <item x="2428"/>
        <item x="964"/>
        <item x="1151"/>
        <item x="2318"/>
        <item x="1454"/>
        <item x="618"/>
        <item x="3309"/>
        <item x="3940"/>
        <item x="2067"/>
        <item x="773"/>
        <item x="3443"/>
        <item x="2937"/>
        <item x="4245"/>
        <item x="1452"/>
        <item x="4103"/>
        <item x="3753"/>
        <item x="3712"/>
        <item x="445"/>
        <item x="2229"/>
        <item x="4243"/>
        <item x="1577"/>
        <item x="2412"/>
        <item x="297"/>
        <item x="584"/>
        <item x="2706"/>
        <item x="4359"/>
        <item x="2617"/>
        <item x="4447"/>
        <item x="2053"/>
        <item x="4380"/>
        <item x="818"/>
        <item x="1600"/>
        <item x="2061"/>
        <item x="2130"/>
        <item x="715"/>
        <item x="3323"/>
        <item x="1991"/>
        <item x="1252"/>
        <item x="2576"/>
        <item x="4229"/>
        <item x="2003"/>
        <item x="822"/>
        <item x="3567"/>
        <item x="3367"/>
        <item x="1497"/>
        <item x="936"/>
        <item x="557"/>
        <item x="3984"/>
        <item x="2991"/>
        <item x="1971"/>
        <item x="336"/>
        <item x="1075"/>
        <item x="4437"/>
        <item x="2866"/>
        <item x="1882"/>
        <item x="1663"/>
        <item x="3164"/>
        <item x="1348"/>
        <item x="1755"/>
        <item x="4078"/>
        <item x="316"/>
        <item x="2512"/>
        <item x="3483"/>
        <item x="4035"/>
        <item x="1924"/>
        <item x="2293"/>
        <item x="2931"/>
        <item x="4180"/>
        <item x="4320"/>
        <item x="4202"/>
        <item x="4190"/>
        <item x="3170"/>
        <item x="815"/>
        <item x="4327"/>
        <item x="2036"/>
        <item x="4470"/>
        <item x="3545"/>
        <item x="1087"/>
        <item x="1713"/>
        <item x="3296"/>
        <item x="2242"/>
        <item x="3578"/>
        <item x="3787"/>
        <item x="2814"/>
        <item x="2795"/>
        <item x="3352"/>
        <item x="929"/>
        <item x="2393"/>
        <item x="665"/>
        <item x="3475"/>
        <item x="2580"/>
        <item x="3035"/>
        <item x="1283"/>
        <item x="176"/>
        <item x="210"/>
        <item x="96"/>
        <item x="1541"/>
        <item x="1858"/>
        <item x="1719"/>
        <item x="3653"/>
        <item x="808"/>
        <item x="4156"/>
        <item x="1523"/>
        <item x="3386"/>
        <item x="368"/>
        <item x="4241"/>
        <item x="3480"/>
        <item x="468"/>
        <item x="1172"/>
        <item x="1822"/>
        <item x="2763"/>
        <item x="367"/>
        <item x="3988"/>
        <item x="1749"/>
        <item x="821"/>
        <item x="3509"/>
        <item x="81"/>
        <item x="2402"/>
        <item x="3895"/>
        <item x="2281"/>
        <item x="1588"/>
        <item x="3329"/>
        <item x="2129"/>
        <item x="2596"/>
        <item x="1827"/>
        <item x="1342"/>
        <item x="3442"/>
        <item x="1236"/>
        <item x="1878"/>
        <item x="2226"/>
        <item x="2630"/>
        <item x="3006"/>
        <item x="1752"/>
        <item x="1179"/>
        <item x="4332"/>
        <item x="539"/>
        <item x="4096"/>
        <item x="834"/>
        <item x="341"/>
        <item x="3623"/>
        <item x="2"/>
        <item x="523"/>
        <item x="3848"/>
        <item x="2272"/>
        <item x="4395"/>
        <item x="531"/>
        <item x="451"/>
        <item x="4405"/>
        <item x="4232"/>
        <item x="2090"/>
        <item x="678"/>
        <item x="3303"/>
        <item x="3821"/>
        <item x="2951"/>
        <item x="1323"/>
        <item x="77"/>
        <item x="4390"/>
        <item x="2914"/>
        <item x="2877"/>
        <item x="935"/>
        <item x="2117"/>
        <item x="3249"/>
        <item x="1779"/>
        <item x="2551"/>
        <item x="3264"/>
        <item x="3090"/>
        <item x="3608"/>
        <item x="542"/>
        <item x="957"/>
        <item x="139"/>
        <item x="3757"/>
        <item x="4061"/>
        <item x="1356"/>
        <item x="284"/>
        <item x="3796"/>
        <item x="399"/>
        <item x="1453"/>
        <item x="2060"/>
        <item x="3141"/>
        <item x="1433"/>
        <item x="2592"/>
        <item x="2907"/>
        <item x="1539"/>
        <item x="3606"/>
        <item x="741"/>
        <item x="3763"/>
        <item x="1462"/>
        <item x="2530"/>
        <item x="2240"/>
        <item x="1929"/>
        <item x="3834"/>
        <item x="1344"/>
        <item x="1062"/>
        <item x="3963"/>
        <item x="396"/>
        <item x="4328"/>
        <item x="1111"/>
        <item x="3872"/>
        <item x="1887"/>
        <item x="3767"/>
        <item x="2802"/>
        <item x="734"/>
        <item x="51"/>
        <item x="2658"/>
        <item x="726"/>
        <item x="560"/>
        <item x="2800"/>
        <item x="3092"/>
        <item x="2679"/>
        <item x="3001"/>
        <item x="512"/>
        <item x="2028"/>
        <item x="235"/>
        <item x="2606"/>
        <item x="1266"/>
        <item x="3057"/>
        <item x="3652"/>
        <item x="1821"/>
        <item x="4050"/>
        <item x="830"/>
        <item x="2218"/>
        <item x="1183"/>
        <item x="3484"/>
        <item x="1193"/>
        <item x="879"/>
        <item x="3976"/>
        <item x="2943"/>
        <item x="666"/>
        <item x="3245"/>
        <item x="1339"/>
        <item x="2560"/>
        <item x="1692"/>
        <item x="3021"/>
        <item x="4201"/>
        <item x="689"/>
        <item x="1649"/>
        <item x="2487"/>
        <item x="3154"/>
        <item x="3240"/>
        <item x="787"/>
        <item x="916"/>
        <item x="4352"/>
        <item x="2684"/>
        <item x="1047"/>
        <item x="2756"/>
        <item x="743"/>
        <item x="3033"/>
        <item x="1997"/>
        <item x="4427"/>
        <item x="489"/>
        <item x="1476"/>
        <item x="1132"/>
        <item x="2337"/>
        <item x="1888"/>
        <item x="2870"/>
        <item x="127"/>
        <item x="3739"/>
        <item x="3278"/>
        <item x="3168"/>
        <item x="4134"/>
        <item x="2929"/>
        <item x="2634"/>
        <item x="898"/>
        <item x="1999"/>
        <item x="2378"/>
        <item x="1144"/>
        <item x="2755"/>
        <item x="3259"/>
        <item x="1485"/>
        <item x="237"/>
        <item x="2010"/>
        <item x="2671"/>
        <item x="2672"/>
        <item x="2771"/>
        <item x="697"/>
        <item x="2612"/>
        <item x="1699"/>
        <item x="410"/>
        <item x="2747"/>
        <item x="2206"/>
        <item x="3260"/>
        <item x="383"/>
        <item x="1084"/>
        <item x="2411"/>
        <item x="312"/>
        <item x="1836"/>
        <item x="1957"/>
        <item x="1874"/>
        <item x="2089"/>
        <item x="2282"/>
        <item x="2342"/>
        <item x="2865"/>
        <item x="2832"/>
        <item x="2965"/>
        <item x="2250"/>
        <item x="2294"/>
        <item x="296"/>
        <item x="3553"/>
        <item x="4144"/>
        <item x="2023"/>
        <item x="804"/>
        <item x="4455"/>
        <item x="277"/>
        <item x="2199"/>
        <item x="3448"/>
        <item x="1203"/>
        <item x="222"/>
        <item x="3635"/>
        <item x="1306"/>
        <item x="2379"/>
        <item x="4097"/>
        <item x="4227"/>
        <item x="4104"/>
        <item x="1426"/>
        <item x="1333"/>
        <item x="693"/>
        <item x="1139"/>
        <item x="1166"/>
        <item x="3490"/>
        <item x="3748"/>
        <item x="973"/>
        <item x="833"/>
        <item x="3181"/>
        <item x="1290"/>
        <item x="2228"/>
        <item x="226"/>
        <item x="3217"/>
        <item x="4193"/>
        <item x="2292"/>
        <item x="2247"/>
        <item x="4143"/>
        <item x="2669"/>
        <item x="4278"/>
        <item x="3273"/>
        <item x="1996"/>
        <item x="2837"/>
        <item x="3658"/>
        <item x="1021"/>
        <item x="3397"/>
        <item x="3636"/>
        <item x="840"/>
        <item x="3885"/>
        <item x="4231"/>
        <item x="3324"/>
        <item x="2109"/>
        <item x="3029"/>
        <item x="1974"/>
        <item x="4345"/>
        <item x="1064"/>
        <item x="1859"/>
        <item x="1712"/>
        <item x="1960"/>
        <item x="1108"/>
        <item x="3571"/>
        <item x="2101"/>
        <item x="4067"/>
        <item x="620"/>
        <item x="4220"/>
        <item x="2625"/>
        <item x="1438"/>
        <item x="3202"/>
        <item x="33"/>
        <item x="2602"/>
        <item x="3124"/>
        <item x="4173"/>
        <item x="3587"/>
        <item x="4409"/>
        <item x="1242"/>
        <item x="1401"/>
        <item x="3778"/>
        <item x="1258"/>
        <item x="188"/>
        <item x="1347"/>
        <item x="3754"/>
        <item x="2284"/>
        <item x="2035"/>
        <item x="1137"/>
        <item x="30"/>
        <item x="835"/>
        <item x="663"/>
        <item x="3180"/>
        <item x="2855"/>
        <item x="317"/>
        <item x="3869"/>
        <item x="1188"/>
        <item x="3311"/>
        <item x="3625"/>
        <item x="959"/>
        <item x="1061"/>
        <item x="4233"/>
        <item x="2976"/>
        <item x="4331"/>
        <item x="2544"/>
        <item x="2191"/>
        <item x="915"/>
        <item x="2640"/>
        <item x="706"/>
        <item x="4478"/>
        <item x="1478"/>
        <item x="2338"/>
        <item x="2571"/>
        <item x="3774"/>
        <item x="371"/>
        <item x="4244"/>
        <item x="238"/>
        <item x="2407"/>
        <item x="3562"/>
        <item x="4088"/>
        <item x="3997"/>
        <item x="2146"/>
        <item x="1190"/>
        <item x="993"/>
        <item x="3907"/>
        <item x="2757"/>
        <item x="3928"/>
        <item x="1595"/>
        <item x="3572"/>
        <item x="1505"/>
        <item x="1475"/>
        <item x="1812"/>
        <item x="1702"/>
        <item x="3830"/>
        <item x="309"/>
        <item x="2040"/>
        <item x="1799"/>
        <item x="3989"/>
        <item x="1816"/>
        <item x="3938"/>
        <item x="2344"/>
        <item x="2608"/>
        <item x="3306"/>
        <item x="779"/>
        <item x="93"/>
        <item x="2030"/>
        <item x="581"/>
        <item x="3762"/>
        <item x="848"/>
        <item x="2033"/>
        <item x="536"/>
        <item x="3187"/>
        <item x="3473"/>
        <item x="4311"/>
        <item x="1642"/>
        <item x="2513"/>
        <item x="4453"/>
        <item x="3937"/>
        <item x="761"/>
        <item x="2746"/>
        <item x="1773"/>
        <item x="2626"/>
        <item x="842"/>
        <item x="4485"/>
        <item x="1444"/>
        <item x="455"/>
        <item x="3393"/>
        <item x="2980"/>
        <item x="3003"/>
        <item x="3116"/>
        <item x="3315"/>
        <item x="2780"/>
        <item x="3335"/>
        <item x="778"/>
        <item x="1585"/>
        <item x="1652"/>
        <item x="1788"/>
        <item x="1635"/>
        <item x="9"/>
        <item x="1805"/>
        <item x="4428"/>
        <item x="1696"/>
        <item x="3243"/>
        <item x="207"/>
        <item x="3500"/>
        <item x="947"/>
        <item x="1811"/>
        <item x="3429"/>
        <item x="1232"/>
        <item x="1397"/>
        <item x="937"/>
        <item x="3536"/>
        <item x="4126"/>
        <item x="3855"/>
        <item x="276"/>
        <item x="1647"/>
        <item x="4374"/>
        <item x="1270"/>
        <item x="462"/>
        <item x="3193"/>
        <item x="3939"/>
        <item x="1413"/>
        <item x="2543"/>
        <item x="4047"/>
        <item x="3304"/>
        <item x="3414"/>
        <item x="3445"/>
        <item x="3011"/>
        <item x="2862"/>
        <item x="1972"/>
        <item x="2773"/>
        <item x="1970"/>
        <item x="3117"/>
        <item x="1192"/>
        <item x="3343"/>
        <item x="3574"/>
        <item x="247"/>
        <item x="810"/>
        <item x="2460"/>
        <item x="2173"/>
        <item x="102"/>
        <item x="3725"/>
        <item x="3994"/>
        <item x="4015"/>
        <item x="1415"/>
        <item x="4444"/>
        <item x="4399"/>
        <item x="3588"/>
        <item x="306"/>
        <item x="3581"/>
        <item x="1370"/>
        <item x="2167"/>
        <item x="2059"/>
        <item x="132"/>
        <item x="3364"/>
        <item x="1741"/>
        <item x="690"/>
        <item x="3099"/>
        <item x="1307"/>
        <item x="2698"/>
        <item x="244"/>
        <item x="3425"/>
        <item x="52"/>
        <item x="4471"/>
        <item x="720"/>
        <item x="866"/>
        <item x="1015"/>
        <item x="199"/>
        <item x="2508"/>
        <item x="3799"/>
        <item x="3596"/>
        <item x="1371"/>
        <item x="268"/>
        <item x="1336"/>
        <item x="1511"/>
        <item x="186"/>
        <item x="245"/>
        <item x="1423"/>
        <item x="2985"/>
        <item x="1623"/>
        <item x="329"/>
        <item x="1560"/>
        <item x="3485"/>
        <item x="722"/>
        <item x="594"/>
        <item x="2188"/>
        <item x="2439"/>
        <item x="872"/>
        <item x="2827"/>
        <item x="3922"/>
        <item x="1107"/>
        <item x="327"/>
        <item x="229"/>
        <item x="769"/>
        <item x="817"/>
        <item x="3042"/>
        <item x="4452"/>
        <item x="1330"/>
        <item x="63"/>
        <item x="1008"/>
        <item x="1195"/>
        <item x="4045"/>
        <item x="2333"/>
        <item x="2124"/>
        <item x="2209"/>
        <item x="53"/>
        <item x="401"/>
        <item x="320"/>
        <item x="3590"/>
        <item x="3797"/>
        <item x="3390"/>
        <item x="1233"/>
        <item x="3241"/>
        <item x="3005"/>
        <item x="2805"/>
        <item x="1278"/>
        <item x="1388"/>
        <item x="104"/>
        <item x="344"/>
        <item x="2425"/>
        <item x="2473"/>
        <item x="3790"/>
        <item x="1460"/>
        <item x="18"/>
        <item x="3813"/>
        <item x="3632"/>
        <item x="3472"/>
        <item x="905"/>
        <item x="918"/>
        <item x="234"/>
        <item x="2942"/>
        <item x="385"/>
        <item x="3263"/>
        <item x="2295"/>
        <item x="899"/>
        <item x="668"/>
        <item x="267"/>
        <item x="1876"/>
        <item x="2838"/>
        <item x="4479"/>
        <item x="2458"/>
        <item x="1613"/>
        <item x="1871"/>
        <item x="3614"/>
        <item x="1839"/>
        <item x="4457"/>
        <item x="3169"/>
        <item x="300"/>
        <item x="735"/>
        <item x="1113"/>
        <item x="202"/>
        <item x="643"/>
        <item x="601"/>
        <item x="1671"/>
        <item x="976"/>
        <item x="5"/>
        <item x="387"/>
        <item x="4182"/>
        <item x="2307"/>
        <item x="2070"/>
        <item x="3529"/>
        <item x="768"/>
        <item x="2020"/>
        <item x="2854"/>
        <item x="386"/>
        <item x="2670"/>
        <item x="1045"/>
        <item x="3829"/>
        <item x="2437"/>
        <item x="2732"/>
        <item x="19"/>
        <item x="3551"/>
        <item x="498"/>
        <item x="3847"/>
        <item x="1343"/>
        <item x="2380"/>
        <item x="2322"/>
        <item x="253"/>
        <item x="592"/>
        <item x="3524"/>
        <item x="2195"/>
        <item x="1153"/>
        <item x="120"/>
        <item x="1771"/>
        <item x="4025"/>
        <item x="568"/>
        <item x="2586"/>
        <item x="1630"/>
        <item x="1345"/>
        <item x="1189"/>
        <item x="3845"/>
        <item x="1445"/>
        <item x="1723"/>
        <item x="3716"/>
        <item x="4157"/>
        <item x="1073"/>
        <item x="1117"/>
        <item x="3468"/>
        <item x="2872"/>
        <item x="1610"/>
        <item x="3840"/>
        <item x="971"/>
        <item x="2888"/>
        <item x="1285"/>
        <item x="2509"/>
        <item x="3643"/>
        <item x="825"/>
        <item x="4346"/>
        <item x="3999"/>
        <item x="4141"/>
        <item x="4366"/>
        <item x="691"/>
        <item x="3783"/>
        <item x="4094"/>
        <item x="1375"/>
        <item x="3772"/>
        <item x="1106"/>
        <item x="3558"/>
        <item x="1534"/>
        <item x="374"/>
        <item x="2614"/>
        <item x="2840"/>
        <item x="429"/>
        <item x="4250"/>
        <item x="1872"/>
        <item x="3666"/>
        <item x="2137"/>
        <item x="2585"/>
        <item x="836"/>
        <item x="255"/>
        <item x="119"/>
        <item x="1365"/>
        <item x="1013"/>
        <item x="4377"/>
        <item x="2923"/>
        <item x="744"/>
        <item x="4199"/>
        <item x="2604"/>
        <item x="1463"/>
        <item x="3916"/>
        <item x="2887"/>
        <item x="4012"/>
        <item x="3720"/>
        <item x="949"/>
        <item x="583"/>
        <item x="1158"/>
        <item x="2429"/>
        <item x="862"/>
        <item x="3137"/>
        <item x="4464"/>
        <item x="3565"/>
        <item x="1058"/>
        <item x="4177"/>
        <item x="4160"/>
        <item x="140"/>
        <item x="4349"/>
        <item x="3948"/>
        <item x="1967"/>
        <item x="2046"/>
        <item x="762"/>
        <item x="2693"/>
        <item x="36"/>
        <item x="4371"/>
        <item x="3789"/>
        <item x="2261"/>
        <item x="3252"/>
        <item x="2902"/>
        <item x="421"/>
        <item x="3734"/>
        <item x="843"/>
        <item x="3602"/>
        <item x="556"/>
        <item x="1542"/>
        <item x="12"/>
        <item x="3281"/>
        <item x="2484"/>
        <item x="1868"/>
        <item x="975"/>
        <item x="3213"/>
        <item x="3513"/>
        <item x="1538"/>
        <item x="3298"/>
        <item x="1548"/>
        <item x="1382"/>
        <item x="4003"/>
        <item x="4285"/>
        <item x="692"/>
        <item x="3147"/>
        <item x="450"/>
        <item x="3949"/>
        <item x="250"/>
        <item x="3093"/>
        <item x="1602"/>
        <item x="711"/>
        <item x="4286"/>
        <item x="824"/>
        <item x="3009"/>
        <item x="339"/>
        <item x="3176"/>
        <item x="2043"/>
        <item x="1785"/>
        <item x="4205"/>
        <item x="302"/>
        <item x="2813"/>
        <item x="3146"/>
        <item x="563"/>
        <item x="4442"/>
        <item x="3014"/>
        <item x="3487"/>
        <item x="1668"/>
        <item x="799"/>
        <item x="1138"/>
        <item x="409"/>
        <item x="950"/>
        <item x="1787"/>
        <item x="499"/>
        <item x="1163"/>
        <item x="1626"/>
        <item x="701"/>
        <item x="3446"/>
        <item x="3555"/>
        <item x="2323"/>
        <item x="2052"/>
        <item x="2217"/>
        <item x="4378"/>
        <item x="3094"/>
        <item x="1050"/>
        <item x="2245"/>
        <item x="1077"/>
        <item x="3321"/>
        <item x="564"/>
        <item x="4041"/>
        <item x="3222"/>
        <item x="2546"/>
        <item x="807"/>
        <item x="3399"/>
        <item x="4288"/>
        <item x="2819"/>
        <item x="987"/>
        <item x="1230"/>
        <item x="3369"/>
        <item x="2135"/>
        <item x="4438"/>
        <item x="4392"/>
        <item x="3827"/>
        <item x="3342"/>
        <item x="4370"/>
        <item x="3908"/>
        <item x="3015"/>
        <item x="2599"/>
        <item x="1467"/>
        <item x="1351"/>
        <item x="2062"/>
        <item x="846"/>
        <item x="4357"/>
        <item x="3942"/>
        <item x="1392"/>
        <item x="3350"/>
        <item x="2527"/>
        <item x="1934"/>
        <item x="3592"/>
        <item x="2705"/>
        <item x="428"/>
        <item x="3452"/>
        <item x="3563"/>
        <item x="3272"/>
        <item x="1783"/>
        <item x="242"/>
        <item x="42"/>
        <item x="1326"/>
        <item x="4446"/>
        <item x="3071"/>
        <item x="2461"/>
        <item x="492"/>
        <item x="2917"/>
        <item x="1254"/>
        <item x="402"/>
        <item x="881"/>
        <item x="4326"/>
        <item x="931"/>
        <item x="1297"/>
        <item x="1551"/>
        <item x="156"/>
        <item x="2478"/>
        <item x="562"/>
        <item x="2000"/>
        <item x="624"/>
        <item x="3206"/>
        <item x="1243"/>
        <item x="4386"/>
        <item x="717"/>
        <item x="2750"/>
        <item x="2645"/>
        <item x="1648"/>
        <item x="2562"/>
        <item x="136"/>
        <item x="203"/>
        <item x="2833"/>
        <item x="586"/>
        <item x="513"/>
        <item x="1826"/>
        <item x="681"/>
        <item x="2099"/>
        <item x="1809"/>
        <item x="1185"/>
        <item x="2100"/>
        <item x="2607"/>
        <item x="2573"/>
        <item x="1399"/>
        <item x="106"/>
        <item x="3568"/>
        <item x="3336"/>
        <item x="3793"/>
        <item x="746"/>
        <item x="3595"/>
        <item x="4387"/>
        <item x="4309"/>
        <item x="431"/>
        <item x="101"/>
        <item x="3325"/>
        <item x="1959"/>
        <item x="2264"/>
        <item x="1398"/>
        <item x="3108"/>
        <item x="3920"/>
        <item x="3265"/>
        <item x="3337"/>
        <item x="352"/>
        <item x="43"/>
        <item x="2680"/>
        <item x="3686"/>
        <item x="1378"/>
        <item x="2928"/>
        <item x="1857"/>
        <item x="1483"/>
        <item x="1769"/>
        <item x="3100"/>
        <item x="2524"/>
        <item x="1174"/>
        <item x="1170"/>
        <item x="3547"/>
        <item x="3069"/>
        <item x="1549"/>
        <item x="2818"/>
        <item x="4054"/>
        <item x="1447"/>
        <item x="1493"/>
        <item x="2831"/>
        <item x="193"/>
        <item x="737"/>
        <item x="951"/>
        <item x="4169"/>
        <item x="849"/>
        <item x="3287"/>
        <item x="112"/>
        <item x="2197"/>
        <item x="1714"/>
        <item x="3065"/>
        <item x="2297"/>
        <item x="1325"/>
        <item x="1935"/>
        <item x="4463"/>
        <item x="2666"/>
        <item x="1148"/>
        <item x="189"/>
        <item x="361"/>
        <item x="3104"/>
        <item x="3408"/>
        <item x="1601"/>
        <item x="4294"/>
        <item x="4159"/>
        <item x="2475"/>
        <item x="4057"/>
        <item x="765"/>
        <item x="3384"/>
        <item x="4218"/>
        <item x="1110"/>
        <item x="2134"/>
        <item x="930"/>
        <item x="1353"/>
        <item x="1247"/>
        <item x="1324"/>
        <item x="3935"/>
        <item x="4269"/>
        <item x="233"/>
        <item x="3308"/>
        <item x="1573"/>
        <item x="753"/>
        <item x="3722"/>
        <item x="1181"/>
        <item x="216"/>
        <item x="4099"/>
        <item x="256"/>
        <item x="347"/>
        <item x="2138"/>
        <item x="3224"/>
        <item x="3914"/>
        <item x="731"/>
        <item x="4391"/>
        <item x="1070"/>
        <item x="400"/>
        <item x="1632"/>
        <item x="3056"/>
        <item x="1969"/>
        <item x="687"/>
        <item x="1851"/>
        <item x="4481"/>
        <item x="1359"/>
        <item x="2864"/>
        <item x="3478"/>
        <item x="1366"/>
        <item x="1280"/>
        <item x="1710"/>
        <item x="4022"/>
        <item x="2903"/>
        <item x="2223"/>
        <item x="600"/>
        <item x="4208"/>
        <item x="2086"/>
        <item x="122"/>
        <item x="480"/>
        <item x="2760"/>
        <item x="334"/>
        <item x="2938"/>
        <item x="3089"/>
        <item x="4440"/>
        <item x="2638"/>
        <item x="3639"/>
        <item x="2801"/>
        <item x="4079"/>
        <item x="1572"/>
        <item x="953"/>
        <item x="1312"/>
        <item x="4254"/>
        <item x="4450"/>
        <item x="2233"/>
        <item x="372"/>
        <item x="837"/>
        <item x="3512"/>
        <item x="1965"/>
        <item x="392"/>
        <item x="548"/>
        <item x="1831"/>
        <item x="3502"/>
        <item x="3388"/>
        <item x="655"/>
        <item x="2577"/>
        <item x="729"/>
        <item x="1369"/>
        <item x="1886"/>
        <item x="2905"/>
        <item x="2806"/>
        <item x="2339"/>
        <item x="2894"/>
        <item x="1287"/>
        <item x="3153"/>
        <item x="2241"/>
        <item x="567"/>
        <item x="3706"/>
        <item x="1840"/>
        <item x="4121"/>
        <item x="64"/>
        <item x="3226"/>
        <item x="4340"/>
        <item x="3831"/>
        <item x="3995"/>
        <item x="2313"/>
        <item x="1546"/>
        <item x="484"/>
        <item x="839"/>
        <item x="828"/>
        <item x="1474"/>
        <item x="1529"/>
        <item x="1386"/>
        <item x="3705"/>
        <item x="4276"/>
        <item x="470"/>
        <item x="403"/>
        <item x="1372"/>
        <item x="4051"/>
        <item x="3690"/>
        <item x="3765"/>
        <item x="2631"/>
        <item x="2148"/>
        <item x="2441"/>
        <item x="688"/>
        <item x="2966"/>
        <item x="1295"/>
        <item x="1088"/>
        <item x="365"/>
        <item x="2329"/>
        <item x="4163"/>
        <item x="1213"/>
        <item x="3018"/>
        <item x="1406"/>
        <item x="2892"/>
        <item x="2944"/>
        <item x="459"/>
        <item x="2810"/>
        <item x="3969"/>
        <item x="200"/>
        <item x="389"/>
        <item x="1952"/>
        <item x="2790"/>
        <item x="4198"/>
        <item x="4376"/>
        <item x="3573"/>
        <item x="2145"/>
        <item x="1263"/>
        <item x="727"/>
        <item x="598"/>
        <item x="3603"/>
        <item x="4364"/>
        <item x="3145"/>
        <item x="1442"/>
        <item x="2521"/>
        <item x="3031"/>
        <item x="1558"/>
        <item x="2300"/>
        <item x="3474"/>
        <item x="639"/>
        <item x="4258"/>
        <item x="3849"/>
        <item x="738"/>
        <item x="998"/>
        <item x="3800"/>
        <item x="3566"/>
        <item x="3036"/>
        <item x="1566"/>
        <item x="1308"/>
        <item x="2510"/>
        <item x="2703"/>
        <item x="2567"/>
        <item x="897"/>
        <item x="1981"/>
        <item x="2375"/>
        <item x="3779"/>
        <item x="3921"/>
        <item x="4139"/>
        <item x="2290"/>
        <item x="16"/>
        <item x="633"/>
        <item x="1842"/>
        <item x="1316"/>
        <item x="2849"/>
        <item x="2454"/>
        <item x="1396"/>
        <item x="3886"/>
        <item x="3647"/>
        <item x="2435"/>
        <item x="4246"/>
        <item x="4343"/>
        <item x="1889"/>
        <item x="3986"/>
        <item x="1739"/>
        <item x="458"/>
        <item x="2073"/>
        <item x="4196"/>
        <item x="349"/>
        <item x="1332"/>
        <item x="4130"/>
        <item x="530"/>
        <item x="2269"/>
        <item x="558"/>
        <item x="194"/>
        <item x="3048"/>
        <item x="3279"/>
        <item x="1715"/>
        <item x="425"/>
        <item x="3702"/>
        <item x="2673"/>
        <item x="2729"/>
        <item x="35"/>
        <item x="2455"/>
        <item x="517"/>
        <item x="597"/>
        <item x="2207"/>
        <item x="3786"/>
        <item x="3295"/>
        <item x="4415"/>
        <item x="11"/>
        <item x="2758"/>
        <item x="1112"/>
        <item x="3043"/>
        <item x="3292"/>
        <item x="4487"/>
        <item x="3759"/>
        <item x="1154"/>
        <item x="4150"/>
        <item x="2646"/>
        <item x="2321"/>
        <item x="672"/>
        <item x="1284"/>
        <item x="1301"/>
        <item x="3862"/>
        <item x="3383"/>
        <item x="1733"/>
        <item x="497"/>
        <item x="1469"/>
        <item x="2975"/>
        <item x="1716"/>
        <item x="4024"/>
        <item x="2635"/>
        <item x="150"/>
        <item x="1619"/>
        <item x="376"/>
        <item x="3825"/>
        <item x="3432"/>
        <item x="1152"/>
        <item x="146"/>
        <item x="4394"/>
        <item x="2418"/>
        <item x="2948"/>
        <item x="3363"/>
        <item x="1202"/>
        <item x="2087"/>
        <item x="2396"/>
        <item x="1432"/>
        <item x="3007"/>
        <item x="3482"/>
        <item x="2953"/>
        <item x="2420"/>
        <item x="3471"/>
        <item x="2847"/>
        <item x="1853"/>
        <item x="2610"/>
        <item x="767"/>
        <item x="135"/>
        <item x="1394"/>
        <item x="3880"/>
        <item x="4184"/>
        <item x="3398"/>
        <item x="1216"/>
        <item x="1902"/>
        <item x="4146"/>
        <item x="3609"/>
        <item x="32"/>
        <item x="1265"/>
        <item x="3930"/>
        <item x="4321"/>
        <item x="514"/>
        <item x="4021"/>
        <item x="3828"/>
        <item x="4449"/>
        <item x="265"/>
        <item x="3871"/>
        <item x="1777"/>
        <item x="2072"/>
        <item x="332"/>
        <item x="2539"/>
        <item x="2622"/>
        <item x="1975"/>
        <item x="4411"/>
        <item x="395"/>
        <item x="1563"/>
        <item x="2370"/>
        <item x="3225"/>
        <item x="1237"/>
        <item x="2731"/>
        <item x="198"/>
        <item x="84"/>
        <item x="1555"/>
        <item x="3610"/>
        <item x="613"/>
        <item x="3417"/>
        <item x="1434"/>
        <item x="351"/>
        <item x="3816"/>
        <item x="152"/>
        <item x="2846"/>
        <item x="1797"/>
        <item x="977"/>
        <item x="107"/>
        <item x="1109"/>
        <item x="2384"/>
        <item x="3874"/>
        <item x="2569"/>
        <item x="2740"/>
        <item x="4129"/>
        <item x="1309"/>
        <item x="1532"/>
        <item x="1570"/>
        <item x="574"/>
        <item x="1611"/>
        <item x="1496"/>
        <item x="2968"/>
        <item x="4066"/>
        <item x="3870"/>
        <item x="3730"/>
        <item x="4179"/>
        <item x="2787"/>
        <item x="2526"/>
        <item x="1953"/>
        <item x="3910"/>
        <item x="1795"/>
        <item x="2383"/>
        <item x="3620"/>
        <item x="2619"/>
        <item x="67"/>
        <item x="4009"/>
        <item x="805"/>
        <item x="1939"/>
        <item x="4192"/>
        <item x="2830"/>
        <item x="3345"/>
        <item x="4290"/>
        <item x="1625"/>
        <item x="3660"/>
        <item x="1400"/>
        <item x="938"/>
        <item x="91"/>
        <item x="3768"/>
        <item x="1204"/>
        <item x="118"/>
        <item x="3271"/>
        <item x="1590"/>
        <item x="2203"/>
        <item x="3052"/>
        <item x="1402"/>
        <item x="1079"/>
        <item x="4337"/>
        <item x="3381"/>
        <item x="3883"/>
        <item x="2591"/>
        <item x="143"/>
        <item x="2308"/>
        <item x="3211"/>
        <item x="2724"/>
        <item x="1998"/>
        <item x="321"/>
        <item x="896"/>
        <item x="249"/>
        <item x="1363"/>
        <item x="160"/>
        <item x="3780"/>
        <item x="2263"/>
        <item x="1086"/>
        <item x="4480"/>
        <item x="869"/>
        <item x="4216"/>
        <item x="4367"/>
        <item x="1528"/>
        <item x="657"/>
        <item x="1036"/>
        <item x="2331"/>
        <item x="414"/>
        <item x="4482"/>
        <item x="3534"/>
        <item x="2126"/>
        <item x="1427"/>
        <item x="25"/>
        <item x="2723"/>
        <item x="2861"/>
        <item x="4023"/>
        <item x="4039"/>
        <item x="3479"/>
        <item x="1502"/>
        <item x="674"/>
        <item x="172"/>
        <item x="960"/>
        <item x="4165"/>
        <item x="1908"/>
        <item x="616"/>
        <item x="3673"/>
        <item x="3838"/>
        <item x="577"/>
        <item x="1089"/>
        <item x="820"/>
        <item x="4106"/>
        <item x="3675"/>
        <item x="1644"/>
        <item x="1708"/>
        <item x="4234"/>
        <item x="784"/>
        <item x="1114"/>
        <item x="4203"/>
        <item x="505"/>
        <item x="1441"/>
        <item x="3889"/>
        <item x="4116"/>
        <item x="2301"/>
        <item x="2388"/>
        <item x="2682"/>
        <item x="667"/>
        <item x="4435"/>
        <item x="1918"/>
        <item x="6"/>
        <item x="2971"/>
        <item x="3302"/>
        <item x="1425"/>
        <item x="1437"/>
        <item x="1176"/>
        <item x="1838"/>
        <item x="3627"/>
        <item x="751"/>
        <item x="2990"/>
        <item x="4338"/>
        <item x="1173"/>
        <item x="1947"/>
        <item x="3742"/>
        <item x="546"/>
        <item x="1919"/>
        <item x="4221"/>
        <item x="4162"/>
        <item x="844"/>
        <item x="412"/>
        <item x="1621"/>
        <item x="3518"/>
        <item x="3704"/>
        <item x="1522"/>
        <item x="487"/>
        <item x="555"/>
        <item x="479"/>
        <item x="831"/>
        <item x="1737"/>
        <item x="174"/>
        <item x="1310"/>
        <item x="1932"/>
        <item x="3718"/>
        <item x="3348"/>
        <item x="2351"/>
        <item x="2330"/>
        <item x="3254"/>
        <item x="1599"/>
        <item x="3970"/>
        <item x="486"/>
        <item x="3901"/>
        <item x="1854"/>
        <item x="1221"/>
        <item x="845"/>
        <item x="3316"/>
        <item x="1653"/>
        <item x="1846"/>
        <item x="3127"/>
        <item x="27"/>
        <item x="3132"/>
        <item x="440"/>
        <item x="298"/>
        <item x="1027"/>
        <item x="1680"/>
        <item x="2147"/>
        <item x="3979"/>
        <item x="582"/>
        <item x="2358"/>
        <item x="1565"/>
        <item x="1688"/>
        <item x="4384"/>
        <item x="819"/>
        <item x="2964"/>
        <item x="2025"/>
        <item x="943"/>
        <item x="2897"/>
        <item x="3805"/>
        <item x="407"/>
        <item x="433"/>
        <item x="2246"/>
        <item x="1580"/>
        <item x="2161"/>
        <item x="2537"/>
        <item x="195"/>
        <item x="2355"/>
        <item x="166"/>
        <item x="2081"/>
        <item x="551"/>
        <item x="2841"/>
        <item x="1657"/>
        <item x="2196"/>
        <item x="602"/>
        <item x="3201"/>
        <item x="4155"/>
        <item x="3492"/>
        <item x="1786"/>
        <item x="3322"/>
        <item x="4178"/>
        <item x="3618"/>
        <item x="1318"/>
        <item x="3140"/>
        <item x="3460"/>
        <item x="1133"/>
        <item x="3299"/>
        <item x="1683"/>
        <item x="1909"/>
        <item x="2881"/>
        <item x="1461"/>
        <item x="1717"/>
        <item x="2982"/>
        <item x="1501"/>
        <item x="117"/>
        <item x="1948"/>
        <item x="3865"/>
        <item x="1725"/>
        <item x="2816"/>
        <item x="1002"/>
        <item x="760"/>
        <item x="115"/>
        <item x="444"/>
        <item x="2779"/>
        <item x="1880"/>
        <item x="1018"/>
        <item x="1510"/>
        <item x="3510"/>
        <item x="1507"/>
        <item x="3044"/>
        <item x="2232"/>
        <item x="2792"/>
        <item x="3694"/>
        <item x="2776"/>
        <item x="47"/>
        <item x="4312"/>
        <item x="1759"/>
        <item x="3111"/>
        <item x="974"/>
        <item x="2967"/>
        <item x="1629"/>
        <item x="2111"/>
        <item x="695"/>
        <item x="432"/>
        <item x="988"/>
        <item x="2589"/>
        <item x="175"/>
        <item x="3395"/>
        <item x="1360"/>
        <item x="3733"/>
        <item x="795"/>
        <item x="788"/>
        <item x="2392"/>
        <item x="2809"/>
        <item x="3749"/>
        <item x="3380"/>
        <item x="4164"/>
        <item x="31"/>
        <item x="1051"/>
        <item x="1354"/>
        <item x="2728"/>
        <item x="3782"/>
        <item x="1707"/>
        <item x="4434"/>
        <item x="2092"/>
        <item x="3613"/>
        <item x="2058"/>
        <item x="1586"/>
        <item x="3593"/>
        <item x="3156"/>
        <item x="2438"/>
        <item x="2788"/>
        <item x="3896"/>
        <item x="3041"/>
        <item x="3256"/>
        <item x="465"/>
        <item x="2579"/>
        <item x="271"/>
        <item x="1891"/>
        <item x="3121"/>
        <item x="1376"/>
        <item x="1684"/>
        <item x="4344"/>
        <item x="3933"/>
        <item x="653"/>
        <item x="3459"/>
        <item x="1806"/>
        <item x="379"/>
        <item x="4299"/>
        <item x="1612"/>
        <item x="304"/>
        <item x="4277"/>
        <item x="4118"/>
        <item x="887"/>
        <item x="4017"/>
        <item x="2909"/>
        <item x="2400"/>
        <item x="4168"/>
        <item x="273"/>
        <item x="3858"/>
        <item x="1227"/>
        <item x="179"/>
        <item x="2448"/>
        <item x="2029"/>
        <item x="4393"/>
        <item x="2414"/>
        <item x="2071"/>
        <item x="4421"/>
        <item x="1877"/>
        <item x="3973"/>
        <item x="3235"/>
        <item x="890"/>
        <item x="1814"/>
        <item x="485"/>
        <item x="629"/>
        <item x="4445"/>
        <item x="1298"/>
        <item x="2125"/>
        <item x="1273"/>
        <item x="3537"/>
        <item x="2048"/>
        <item x="1450"/>
        <item x="326"/>
        <item x="2044"/>
        <item x="4133"/>
        <item x="2548"/>
        <item x="3776"/>
        <item x="3075"/>
        <item x="2817"/>
        <item x="350"/>
        <item x="48"/>
        <item x="4194"/>
        <item x="814"/>
        <item x="4215"/>
        <item x="3034"/>
        <item x="2661"/>
        <item x="1578"/>
        <item x="4110"/>
        <item x="3902"/>
        <item x="1494"/>
        <item x="3600"/>
        <item x="1465"/>
        <item x="730"/>
        <item x="4174"/>
        <item x="1718"/>
        <item x="4210"/>
        <item x="2863"/>
        <item x="74"/>
        <item x="2153"/>
        <item x="185"/>
        <item x="3237"/>
        <item x="2371"/>
        <item x="75"/>
        <item x="3693"/>
        <item x="61"/>
        <item x="2413"/>
        <item x="2140"/>
        <item x="2303"/>
        <item x="921"/>
        <item x="3703"/>
        <item x="2181"/>
        <item x="290"/>
        <item x="1509"/>
        <item x="3589"/>
        <item x="2491"/>
        <item x="2466"/>
        <item x="3330"/>
        <item x="1614"/>
        <item x="827"/>
        <item x="3066"/>
        <item x="3583"/>
        <item x="3844"/>
        <item x="1796"/>
        <item x="3521"/>
        <item x="3993"/>
        <item x="4317"/>
        <item x="1660"/>
        <item x="3681"/>
        <item x="1074"/>
        <item x="2270"/>
        <item x="1167"/>
        <item x="2901"/>
        <item x="3467"/>
        <item x="989"/>
        <item x="884"/>
        <item x="2657"/>
        <item x="3191"/>
        <item x="4401"/>
        <item x="2972"/>
        <item x="2171"/>
        <item x="595"/>
        <item x="171"/>
        <item x="3416"/>
        <item x="520"/>
        <item x="644"/>
        <item x="1321"/>
        <item x="3165"/>
        <item x="2183"/>
        <item x="2267"/>
        <item x="1005"/>
        <item x="1536"/>
        <item x="2472"/>
        <item x="3531"/>
        <item x="4230"/>
        <item x="3760"/>
        <item x="1156"/>
        <item x="2398"/>
        <item x="38"/>
        <item x="1122"/>
        <item x="2119"/>
        <item x="2470"/>
        <item x="1940"/>
        <item x="3356"/>
        <item x="2118"/>
        <item x="1686"/>
        <item x="3814"/>
        <item x="1205"/>
        <item x="3102"/>
        <item x="4191"/>
        <item x="792"/>
        <item x="2085"/>
        <item x="2796"/>
        <item x="94"/>
        <item x="1094"/>
        <item x="673"/>
        <item x="1199"/>
        <item x="50"/>
        <item x="859"/>
        <item x="1682"/>
        <item x="3449"/>
        <item x="2696"/>
        <item x="3233"/>
        <item x="3906"/>
        <item x="2158"/>
        <item x="1416"/>
        <item x="3440"/>
        <item x="1481"/>
        <item x="3540"/>
        <item x="3911"/>
        <item x="2761"/>
        <item x="1451"/>
        <item x="4476"/>
        <item x="3764"/>
        <item x="3990"/>
        <item x="2488"/>
        <item x="1209"/>
        <item x="748"/>
        <item x="585"/>
        <item x="2590"/>
        <item x="3807"/>
        <item x="1835"/>
        <item x="3040"/>
        <item x="2252"/>
        <item x="521"/>
        <item x="213"/>
        <item x="151"/>
        <item x="2433"/>
        <item x="2021"/>
        <item x="3297"/>
        <item x="1896"/>
        <item x="2781"/>
        <item x="3812"/>
        <item x="2665"/>
        <item x="1609"/>
        <item x="1011"/>
        <item x="1458"/>
        <item x="2507"/>
        <item x="1847"/>
        <item x="2856"/>
        <item x="3777"/>
        <item x="3320"/>
        <item x="3067"/>
        <item x="2593"/>
        <item x="2534"/>
        <item x="2726"/>
        <item x="3599"/>
        <item x="4154"/>
        <item x="1641"/>
        <item x="3672"/>
        <item x="528"/>
        <item x="1843"/>
        <item x="2248"/>
        <item x="220"/>
        <item x="228"/>
        <item x="1120"/>
        <item x="4431"/>
        <item x="3962"/>
        <item x="2353"/>
        <item x="1126"/>
        <item x="2064"/>
        <item x="1041"/>
        <item x="1651"/>
        <item x="2359"/>
        <item x="1744"/>
        <item x="1803"/>
        <item x="3837"/>
        <item x="878"/>
        <item x="1034"/>
        <item x="2255"/>
        <item x="1685"/>
        <item x="2170"/>
        <item x="1754"/>
        <item x="3289"/>
        <item x="2687"/>
        <item x="4406"/>
        <item x="2121"/>
        <item x="2399"/>
        <item x="3341"/>
        <item x="3755"/>
        <item x="2662"/>
        <item x="3010"/>
        <item x="3680"/>
        <item x="2704"/>
        <item x="3769"/>
        <item x="2600"/>
        <item x="2572"/>
        <item x="3301"/>
        <item x="1300"/>
        <item x="3134"/>
        <item x="1056"/>
        <item x="680"/>
        <item x="3333"/>
        <item x="1818"/>
        <item x="4132"/>
        <item x="1837"/>
        <item x="1672"/>
        <item x="2721"/>
        <item x="2738"/>
        <item x="1001"/>
        <item x="3640"/>
        <item x="2984"/>
        <item x="2419"/>
        <item x="4251"/>
        <item x="294"/>
        <item x="2452"/>
        <item x="1000"/>
        <item x="571"/>
        <item x="1964"/>
        <item x="1691"/>
        <item x="4124"/>
        <item x="353"/>
        <item x="2136"/>
        <item x="2019"/>
        <item x="1834"/>
        <item x="945"/>
        <item x="2541"/>
        <item x="2078"/>
        <item x="3731"/>
        <item x="473"/>
        <item x="4071"/>
        <item x="813"/>
        <item x="756"/>
        <item x="2230"/>
        <item x="44"/>
        <item x="1029"/>
        <item x="2652"/>
        <item x="1765"/>
        <item x="3410"/>
        <item x="2481"/>
        <item x="3284"/>
        <item x="1526"/>
        <item x="2312"/>
        <item x="1559"/>
        <item x="913"/>
        <item x="4385"/>
        <item x="3221"/>
        <item x="3917"/>
        <item x="2116"/>
        <item x="3192"/>
        <item x="3195"/>
        <item x="4295"/>
        <item x="3688"/>
        <item x="3677"/>
        <item x="3773"/>
        <item x="3887"/>
        <item x="4468"/>
        <item x="1694"/>
        <item x="2362"/>
        <item x="2296"/>
        <item x="752"/>
        <item x="2299"/>
        <item x="1724"/>
        <item x="3860"/>
        <item x="1793"/>
        <item x="1508"/>
        <item x="1923"/>
        <item x="1429"/>
        <item x="3852"/>
        <item x="1379"/>
        <item x="257"/>
        <item x="1314"/>
        <item x="2176"/>
        <item x="2582"/>
        <item x="3409"/>
        <item x="2376"/>
        <item x="740"/>
        <item x="1926"/>
        <item x="3864"/>
        <item x="3665"/>
        <item x="696"/>
        <item x="1521"/>
        <item x="1085"/>
        <item x="2720"/>
        <item x="28"/>
        <item x="2443"/>
        <item x="3894"/>
        <item x="609"/>
        <item x="292"/>
        <item x="789"/>
        <item x="854"/>
        <item x="2629"/>
        <item x="1430"/>
        <item x="2027"/>
        <item x="26"/>
        <item x="1753"/>
        <item x="3288"/>
        <item x="2456"/>
        <item x="1319"/>
        <item x="1583"/>
        <item x="3290"/>
        <item x="3461"/>
        <item x="3506"/>
        <item x="780"/>
        <item x="1941"/>
        <item x="1514"/>
        <item x="1222"/>
        <item x="1042"/>
        <item x="2219"/>
        <item x="4272"/>
        <item x="4080"/>
        <item x="3617"/>
        <item x="2482"/>
        <item x="1544"/>
        <item x="1044"/>
        <item x="1346"/>
        <item x="3501"/>
        <item x="2730"/>
        <item x="90"/>
        <item x="1065"/>
        <item x="3184"/>
        <item x="2235"/>
        <item x="373"/>
        <item x="1810"/>
        <item x="2014"/>
        <item x="4102"/>
        <item x="24"/>
        <item x="3966"/>
        <item x="3982"/>
        <item x="1791"/>
        <item x="2406"/>
        <item x="3591"/>
        <item x="2075"/>
        <item x="3032"/>
        <item x="923"/>
        <item x="942"/>
        <item x="2341"/>
        <item x="638"/>
        <item x="114"/>
        <item x="1659"/>
        <item x="4185"/>
        <item x="3912"/>
        <item x="2447"/>
        <item x="622"/>
        <item x="3971"/>
        <item x="2424"/>
        <item x="4448"/>
        <item x="164"/>
        <item x="3744"/>
        <item x="1844"/>
        <item x="3419"/>
        <item x="4451"/>
        <item x="1772"/>
        <item x="2811"/>
        <item x="924"/>
        <item x="2765"/>
        <item x="4483"/>
        <item x="159"/>
        <item x="2446"/>
        <item x="3832"/>
        <item x="1473"/>
        <item x="2485"/>
        <item x="2340"/>
        <item x="2476"/>
        <item x="747"/>
        <item x="3594"/>
        <item x="413"/>
        <item x="2660"/>
        <item x="314"/>
        <item x="1506"/>
        <item x="2151"/>
        <item x="1722"/>
        <item x="1582"/>
        <item x="4410"/>
        <item x="133"/>
        <item x="4273"/>
        <item x="147"/>
        <item x="868"/>
        <item x="2869"/>
        <item x="3752"/>
        <item x="3275"/>
        <item x="1513"/>
        <item x="3025"/>
        <item x="3771"/>
        <item x="95"/>
        <item x="2804"/>
        <item x="1146"/>
        <item x="2713"/>
        <item x="3105"/>
        <item x="721"/>
        <item x="3794"/>
        <item x="342"/>
        <item x="1730"/>
        <item x="148"/>
        <item x="2315"/>
        <item x="3554"/>
        <item x="2415"/>
        <item x="3516"/>
        <item x="1214"/>
        <item x="4095"/>
        <item x="1584"/>
        <item x="1171"/>
        <item x="3633"/>
        <item x="3637"/>
        <item x="2644"/>
        <item x="2017"/>
        <item x="1311"/>
        <item x="3820"/>
        <item x="2653"/>
        <item x="2198"/>
        <item x="781"/>
        <item x="3709"/>
        <item x="716"/>
        <item x="524"/>
        <item x="1639"/>
        <item x="2986"/>
        <item x="1537"/>
        <item x="2845"/>
        <item x="3392"/>
        <item x="1178"/>
        <item x="994"/>
        <item x="2114"/>
        <item x="1869"/>
        <item x="10"/>
        <item x="161"/>
        <item x="832"/>
        <item x="1564"/>
        <item x="3651"/>
        <item x="2497"/>
        <item x="1740"/>
        <item x="21"/>
        <item x="3843"/>
        <item x="2674"/>
        <item x="4042"/>
        <item x="3504"/>
        <item x="4117"/>
        <item x="3280"/>
        <item x="3177"/>
        <item x="739"/>
        <item x="3868"/>
        <item x="4310"/>
        <item x="4472"/>
        <item x="2155"/>
        <item x="1100"/>
        <item x="4279"/>
        <item x="812"/>
        <item x="415"/>
        <item x="1387"/>
        <item x="702"/>
        <item x="4342"/>
        <item x="2997"/>
        <item x="1180"/>
        <item x="1543"/>
        <item x="649"/>
        <item x="1040"/>
        <item x="4028"/>
        <item x="2336"/>
        <item x="1678"/>
        <item x="2677"/>
        <item x="3149"/>
        <item x="2859"/>
        <item x="3926"/>
        <item x="2545"/>
        <item x="3118"/>
        <item x="1223"/>
        <item x="1776"/>
        <item x="1607"/>
        <item x="2834"/>
        <item x="76"/>
        <item x="1665"/>
        <item x="2784"/>
        <item x="3819"/>
        <item x="1484"/>
        <item x="1104"/>
        <item x="4404"/>
        <item x="3376"/>
        <item x="855"/>
        <item x="2494"/>
        <item x="1568"/>
        <item x="2955"/>
        <item x="2066"/>
        <item x="4381"/>
        <item x="1030"/>
        <item x="3428"/>
        <item x="709"/>
        <item x="3469"/>
        <item x="3026"/>
        <item x="2421"/>
        <item x="875"/>
        <item x="2502"/>
        <item x="3101"/>
        <item x="2918"/>
        <item x="4161"/>
        <item x="466"/>
        <item x="3586"/>
        <item x="1879"/>
        <item x="1302"/>
        <item x="3095"/>
        <item x="3423"/>
        <item x="2996"/>
        <item x="3346"/>
        <item x="4261"/>
        <item x="4093"/>
        <item x="797"/>
        <item x="3144"/>
        <item x="2310"/>
        <item x="3277"/>
        <item x="3905"/>
        <item x="3179"/>
        <item x="3374"/>
        <item x="2709"/>
        <item x="2449"/>
        <item x="2958"/>
        <item x="3248"/>
        <item x="3991"/>
        <item x="2667"/>
        <item x="2156"/>
        <item x="1019"/>
        <item x="3257"/>
        <item x="4256"/>
        <item x="3960"/>
        <item x="3203"/>
        <item x="1389"/>
        <item x="2643"/>
        <item x="3598"/>
        <item x="1552"/>
        <item x="1200"/>
        <item x="1078"/>
        <item x="682"/>
        <item x="2496"/>
        <item x="3685"/>
        <item x="2405"/>
        <item x="1240"/>
        <item x="4033"/>
        <item x="4077"/>
        <item x="1244"/>
        <item x="3528"/>
        <item x="4049"/>
        <item x="802"/>
        <item x="3750"/>
        <item x="3546"/>
        <item x="1439"/>
        <item x="504"/>
        <item x="900"/>
        <item x="2963"/>
        <item x="1666"/>
        <item x="4257"/>
        <item x="707"/>
        <item x="1121"/>
        <item x="2904"/>
        <item x="2387"/>
        <item x="3253"/>
        <item x="1535"/>
        <item x="3957"/>
        <item x="4314"/>
        <item x="3925"/>
        <item x="2745"/>
        <item x="1361"/>
        <item x="3194"/>
        <item x="3175"/>
        <item x="2848"/>
        <item x="857"/>
        <item x="305"/>
        <item x="909"/>
        <item x="3267"/>
        <item x="3385"/>
        <item x="2950"/>
        <item x="1457"/>
        <item x="1950"/>
        <item x="3344"/>
        <item x="134"/>
        <item x="1943"/>
        <item x="2826"/>
        <item x="3570"/>
        <item x="3936"/>
        <item x="3638"/>
        <item x="2637"/>
        <item x="46"/>
        <item x="1123"/>
        <item x="1525"/>
        <item x="1576"/>
        <item x="1561"/>
        <item x="2385"/>
        <item x="2803"/>
        <item x="2876"/>
        <item x="3958"/>
        <item x="4056"/>
        <item x="2133"/>
        <item x="3877"/>
        <item x="1282"/>
        <item x="3683"/>
        <item x="550"/>
        <item x="1229"/>
        <item x="2008"/>
        <item x="3371"/>
        <item x="1729"/>
        <item x="4465"/>
        <item x="3642"/>
        <item x="4301"/>
        <item x="2277"/>
        <item x="4026"/>
        <item x="2128"/>
        <item x="3234"/>
        <item x="464"/>
        <item x="2516"/>
        <item x="3340"/>
        <item x="3064"/>
        <item x="2479"/>
        <item x="877"/>
        <item x="1958"/>
        <item x="3808"/>
        <item x="2999"/>
        <item x="3745"/>
        <item x="4166"/>
        <item x="3818"/>
        <item x="2714"/>
        <item x="547"/>
        <item x="3331"/>
        <item x="1032"/>
        <item x="4107"/>
        <item x="2664"/>
        <item x="3533"/>
        <item x="4004"/>
        <item x="209"/>
        <item x="4225"/>
        <item x="2031"/>
        <item x="908"/>
        <item x="961"/>
        <item x="3697"/>
        <item x="543"/>
        <item x="39"/>
        <item x="1689"/>
        <item x="3053"/>
        <item x="1350"/>
        <item x="2759"/>
        <item x="2798"/>
        <item x="1736"/>
        <item x="2702"/>
        <item x="587"/>
        <item x="3349"/>
        <item x="3900"/>
        <item x="985"/>
        <item x="2748"/>
        <item x="1784"/>
        <item x="3219"/>
        <item x="3977"/>
        <item x="4030"/>
        <item x="426"/>
        <item x="1912"/>
        <item x="2628"/>
        <item x="954"/>
        <item x="283"/>
        <item x="1182"/>
        <item x="328"/>
        <item x="3411"/>
        <item x="2164"/>
        <item x="356"/>
        <item x="2038"/>
        <item x="1983"/>
        <item x="1670"/>
        <item x="2265"/>
        <item x="4423"/>
        <item x="3438"/>
        <item x="449"/>
        <item x="1973"/>
        <item x="3462"/>
        <item x="3110"/>
        <item x="4195"/>
        <item x="263"/>
        <item x="262"/>
        <item x="1197"/>
        <item x="4181"/>
        <item x="3943"/>
        <item x="2098"/>
        <item x="3489"/>
        <item x="2737"/>
        <item x="83"/>
        <item x="3992"/>
        <item x="2091"/>
        <item x="3611"/>
        <item x="3159"/>
        <item x="2288"/>
        <item x="2981"/>
        <item x="940"/>
        <item x="2691"/>
        <item x="2752"/>
        <item x="4089"/>
        <item x="3415"/>
        <item x="1320"/>
        <item x="362"/>
        <item x="2103"/>
        <item x="301"/>
        <item x="4238"/>
        <item x="246"/>
        <item x="4239"/>
        <item x="3276"/>
        <item x="1574"/>
        <item x="3891"/>
        <item x="196"/>
        <item x="85"/>
        <item x="456"/>
        <item x="754"/>
        <item x="3564"/>
        <item x="826"/>
        <item x="2858"/>
        <item x="2004"/>
        <item x="4351"/>
        <item x="3129"/>
        <item x="1331"/>
        <item x="2204"/>
        <item x="1482"/>
        <item x="29"/>
        <item x="2715"/>
        <item x="3931"/>
        <item x="946"/>
        <item x="3607"/>
        <item x="1125"/>
        <item x="1750"/>
        <item x="2465"/>
        <item x="3701"/>
        <item x="886"/>
        <item x="1381"/>
        <item x="230"/>
        <item x="1260"/>
        <item x="4188"/>
        <item x="2499"/>
        <item x="2621"/>
        <item x="2890"/>
        <item x="3758"/>
        <item x="1775"/>
        <item x="4323"/>
        <item x="1815"/>
        <item x="3929"/>
        <item x="997"/>
        <item x="967"/>
        <item x="2694"/>
        <item x="3866"/>
        <item x="965"/>
        <item x="1743"/>
        <item x="1103"/>
        <item x="2514"/>
        <item x="1593"/>
        <item x="861"/>
        <item x="149"/>
        <item x="1579"/>
        <item x="4430"/>
        <item x="1135"/>
        <item x="3719"/>
        <item x="2097"/>
        <item x="4270"/>
        <item x="1519"/>
        <item x="2552"/>
        <item x="2850"/>
        <item x="1291"/>
        <item x="4313"/>
        <item x="4031"/>
        <item x="2977"/>
        <item x="3135"/>
        <item x="1727"/>
        <item x="3674"/>
        <item x="3981"/>
        <item x="2842"/>
        <item x="2893"/>
        <item x="3464"/>
        <item x="1215"/>
        <item x="1748"/>
        <item x="3427"/>
        <item x="1933"/>
        <item x="2142"/>
        <item x="2880"/>
        <item x="3131"/>
        <item x="2873"/>
        <item x="1091"/>
        <item x="4136"/>
        <item x="1341"/>
        <item x="2852"/>
        <item x="2231"/>
        <item x="1412"/>
        <item x="1"/>
        <item x="2363"/>
        <item x="3879"/>
        <item x="3488"/>
        <item x="3498"/>
        <item x="2186"/>
        <item x="772"/>
        <item x="2601"/>
        <item x="4322"/>
        <item x="3532"/>
        <item x="3437"/>
        <item x="852"/>
        <item x="1700"/>
        <item x="3766"/>
        <item x="750"/>
        <item x="634"/>
        <item x="437"/>
        <item x="679"/>
        <item x="3074"/>
        <item x="4365"/>
        <item x="1257"/>
        <item x="3148"/>
        <item x="2369"/>
        <item x="3444"/>
        <item x="2417"/>
        <item x="654"/>
        <item x="766"/>
        <item x="2182"/>
        <item x="359"/>
        <item x="2688"/>
        <item x="58"/>
        <item x="4400"/>
        <item x="3491"/>
        <item x="910"/>
        <item x="793"/>
        <item x="391"/>
        <item x="178"/>
        <item x="274"/>
        <item x="3909"/>
        <item x="904"/>
        <item x="2426"/>
        <item x="261"/>
        <item x="1654"/>
        <item x="1597"/>
        <item x="307"/>
        <item x="865"/>
        <item x="968"/>
        <item x="2343"/>
        <item x="2549"/>
        <item x="2200"/>
        <item x="109"/>
        <item x="901"/>
        <item x="1728"/>
        <item x="406"/>
        <item x="4014"/>
        <item x="3161"/>
        <item x="1963"/>
        <item x="2844"/>
        <item x="983"/>
        <item x="2139"/>
        <item x="1636"/>
        <item x="3247"/>
        <item x="162"/>
        <item x="3477"/>
        <item x="1553"/>
        <item x="4474"/>
        <item x="502"/>
        <item x="3884"/>
        <item x="1571"/>
        <item x="293"/>
        <item x="3919"/>
        <item x="3497"/>
        <item x="4046"/>
        <item x="141"/>
        <item x="2372"/>
        <item x="627"/>
        <item x="642"/>
        <item x="718"/>
        <item x="4429"/>
        <item x="3951"/>
        <item x="3178"/>
        <item x="2159"/>
        <item x="4113"/>
        <item x="3314"/>
        <item x="4443"/>
        <item x="3659"/>
        <item x="4253"/>
        <item x="1738"/>
        <item x="2364"/>
        <item x="1781"/>
        <item x="838"/>
        <item x="3112"/>
        <item x="3650"/>
        <item x="2828"/>
        <item x="3157"/>
        <item x="4361"/>
        <item x="259"/>
        <item x="3183"/>
        <item x="2474"/>
        <item x="4055"/>
        <item x="4396"/>
        <item x="331"/>
        <item x="2639"/>
        <item x="4086"/>
        <item x="3867"/>
        <item x="926"/>
        <item x="4329"/>
        <item x="3621"/>
        <item x="1472"/>
        <item x="460"/>
        <item x="2535"/>
        <item x="2260"/>
        <item x="3394"/>
        <item x="1238"/>
        <item x="2717"/>
        <item x="919"/>
        <item x="3366"/>
        <item x="4266"/>
        <item x="2754"/>
        <item x="3892"/>
        <item x="2314"/>
        <item x="248"/>
        <item x="214"/>
        <item x="3679"/>
        <item x="1269"/>
        <item x="2557"/>
        <item x="2083"/>
        <item x="3172"/>
        <item x="864"/>
        <item x="49"/>
        <item x="2532"/>
        <item x="4044"/>
        <item x="2225"/>
        <item x="231"/>
        <item x="2913"/>
        <item x="441"/>
        <item x="4187"/>
        <item x="2538"/>
        <item x="2979"/>
        <item x="435"/>
        <item x="2650"/>
        <item x="1296"/>
        <item x="3312"/>
        <item x="4397"/>
        <item x="1962"/>
        <item x="978"/>
        <item t="default"/>
      </items>
    </pivotField>
    <pivotField showAll="0"/>
    <pivotField axis="axisRow" showAll="0" measureFilter="1" sortType="descending">
      <items count="20">
        <item x="14"/>
        <item x="5"/>
        <item x="0"/>
        <item x="3"/>
        <item x="10"/>
        <item x="17"/>
        <item x="4"/>
        <item x="13"/>
        <item x="12"/>
        <item x="6"/>
        <item x="7"/>
        <item x="8"/>
        <item x="18"/>
        <item x="15"/>
        <item x="16"/>
        <item x="11"/>
        <item x="9"/>
        <item x="1"/>
        <item x="2"/>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9"/>
  </rowFields>
  <rowItems count="6">
    <i>
      <x v="4"/>
    </i>
    <i>
      <x v="13"/>
    </i>
    <i>
      <x v="15"/>
    </i>
    <i>
      <x v="10"/>
    </i>
    <i>
      <x v="1"/>
    </i>
    <i t="grand">
      <x/>
    </i>
  </rowItems>
  <colItems count="1">
    <i/>
  </colItems>
  <dataFields count="1">
    <dataField name="Sum of quantity" fld="10" showDataAs="percentOfCol" baseField="0" baseItem="0" numFmtId="10"/>
  </dataFields>
  <chartFormats count="27">
    <chartFormat chart="10" format="0"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3" format="1">
      <pivotArea type="data" outline="0" fieldPosition="0">
        <references count="2">
          <reference field="4294967294" count="1" selected="0">
            <x v="0"/>
          </reference>
          <reference field="9" count="1" selected="0">
            <x v="7"/>
          </reference>
        </references>
      </pivotArea>
    </chartFormat>
    <chartFormat chart="13" format="2">
      <pivotArea type="data" outline="0" fieldPosition="0">
        <references count="2">
          <reference field="4294967294" count="1" selected="0">
            <x v="0"/>
          </reference>
          <reference field="9" count="1" selected="0">
            <x v="0"/>
          </reference>
        </references>
      </pivotArea>
    </chartFormat>
    <chartFormat chart="13" format="3">
      <pivotArea type="data" outline="0" fieldPosition="0">
        <references count="2">
          <reference field="4294967294" count="1" selected="0">
            <x v="0"/>
          </reference>
          <reference field="9" count="1" selected="0">
            <x v="17"/>
          </reference>
        </references>
      </pivotArea>
    </chartFormat>
    <chartFormat chart="13" format="4">
      <pivotArea type="data" outline="0" fieldPosition="0">
        <references count="2">
          <reference field="4294967294" count="1" selected="0">
            <x v="0"/>
          </reference>
          <reference field="9" count="1" selected="0">
            <x v="2"/>
          </reference>
        </references>
      </pivotArea>
    </chartFormat>
    <chartFormat chart="13" format="5">
      <pivotArea type="data" outline="0" fieldPosition="0">
        <references count="2">
          <reference field="4294967294" count="1" selected="0">
            <x v="0"/>
          </reference>
          <reference field="9" count="1" selected="0">
            <x v="11"/>
          </reference>
        </references>
      </pivotArea>
    </chartFormat>
    <chartFormat chart="13" format="6">
      <pivotArea type="data" outline="0" fieldPosition="0">
        <references count="2">
          <reference field="4294967294" count="1" selected="0">
            <x v="0"/>
          </reference>
          <reference field="9" count="1" selected="0">
            <x v="16"/>
          </reference>
        </references>
      </pivotArea>
    </chartFormat>
    <chartFormat chart="13" format="7">
      <pivotArea type="data" outline="0" fieldPosition="0">
        <references count="2">
          <reference field="4294967294" count="1" selected="0">
            <x v="0"/>
          </reference>
          <reference field="9" count="1" selected="0">
            <x v="5"/>
          </reference>
        </references>
      </pivotArea>
    </chartFormat>
    <chartFormat chart="13" format="8">
      <pivotArea type="data" outline="0" fieldPosition="0">
        <references count="2">
          <reference field="4294967294" count="1" selected="0">
            <x v="0"/>
          </reference>
          <reference field="9" count="1" selected="0">
            <x v="14"/>
          </reference>
        </references>
      </pivotArea>
    </chartFormat>
    <chartFormat chart="13" format="9">
      <pivotArea type="data" outline="0" fieldPosition="0">
        <references count="2">
          <reference field="4294967294" count="1" selected="0">
            <x v="0"/>
          </reference>
          <reference field="9" count="1" selected="0">
            <x v="6"/>
          </reference>
        </references>
      </pivotArea>
    </chartFormat>
    <chartFormat chart="13" format="10">
      <pivotArea type="data" outline="0" fieldPosition="0">
        <references count="2">
          <reference field="4294967294" count="1" selected="0">
            <x v="0"/>
          </reference>
          <reference field="9" count="1" selected="0">
            <x v="18"/>
          </reference>
        </references>
      </pivotArea>
    </chartFormat>
    <chartFormat chart="13" format="11">
      <pivotArea type="data" outline="0" fieldPosition="0">
        <references count="2">
          <reference field="4294967294" count="1" selected="0">
            <x v="0"/>
          </reference>
          <reference field="9" count="1" selected="0">
            <x v="12"/>
          </reference>
        </references>
      </pivotArea>
    </chartFormat>
    <chartFormat chart="13" format="12">
      <pivotArea type="data" outline="0" fieldPosition="0">
        <references count="2">
          <reference field="4294967294" count="1" selected="0">
            <x v="0"/>
          </reference>
          <reference field="9" count="1" selected="0">
            <x v="9"/>
          </reference>
        </references>
      </pivotArea>
    </chartFormat>
    <chartFormat chart="13" format="13">
      <pivotArea type="data" outline="0" fieldPosition="0">
        <references count="2">
          <reference field="4294967294" count="1" selected="0">
            <x v="0"/>
          </reference>
          <reference field="9" count="1" selected="0">
            <x v="3"/>
          </reference>
        </references>
      </pivotArea>
    </chartFormat>
    <chartFormat chart="13" format="14">
      <pivotArea type="data" outline="0" fieldPosition="0">
        <references count="2">
          <reference field="4294967294" count="1" selected="0">
            <x v="0"/>
          </reference>
          <reference field="9" count="1" selected="0">
            <x v="8"/>
          </reference>
        </references>
      </pivotArea>
    </chartFormat>
    <chartFormat chart="13" format="15">
      <pivotArea type="data" outline="0" fieldPosition="0">
        <references count="2">
          <reference field="4294967294" count="1" selected="0">
            <x v="0"/>
          </reference>
          <reference field="9" count="1" selected="0">
            <x v="1"/>
          </reference>
        </references>
      </pivotArea>
    </chartFormat>
    <chartFormat chart="13" format="16">
      <pivotArea type="data" outline="0" fieldPosition="0">
        <references count="2">
          <reference field="4294967294" count="1" selected="0">
            <x v="0"/>
          </reference>
          <reference field="9" count="1" selected="0">
            <x v="10"/>
          </reference>
        </references>
      </pivotArea>
    </chartFormat>
    <chartFormat chart="13" format="17">
      <pivotArea type="data" outline="0" fieldPosition="0">
        <references count="2">
          <reference field="4294967294" count="1" selected="0">
            <x v="0"/>
          </reference>
          <reference field="9" count="1" selected="0">
            <x v="15"/>
          </reference>
        </references>
      </pivotArea>
    </chartFormat>
    <chartFormat chart="13" format="18">
      <pivotArea type="data" outline="0" fieldPosition="0">
        <references count="2">
          <reference field="4294967294" count="1" selected="0">
            <x v="0"/>
          </reference>
          <reference field="9" count="1" selected="0">
            <x v="13"/>
          </reference>
        </references>
      </pivotArea>
    </chartFormat>
    <chartFormat chart="13" format="19">
      <pivotArea type="data" outline="0" fieldPosition="0">
        <references count="2">
          <reference field="4294967294" count="1" selected="0">
            <x v="0"/>
          </reference>
          <reference field="9" count="1" selected="0">
            <x v="4"/>
          </reference>
        </references>
      </pivotArea>
    </chartFormat>
    <chartFormat chart="15" format="26" series="1">
      <pivotArea type="data" outline="0" fieldPosition="0">
        <references count="1">
          <reference field="4294967294" count="1" selected="0">
            <x v="0"/>
          </reference>
        </references>
      </pivotArea>
    </chartFormat>
    <chartFormat chart="15" format="27">
      <pivotArea type="data" outline="0" fieldPosition="0">
        <references count="2">
          <reference field="4294967294" count="1" selected="0">
            <x v="0"/>
          </reference>
          <reference field="9" count="1" selected="0">
            <x v="1"/>
          </reference>
        </references>
      </pivotArea>
    </chartFormat>
    <chartFormat chart="15" format="28">
      <pivotArea type="data" outline="0" fieldPosition="0">
        <references count="2">
          <reference field="4294967294" count="1" selected="0">
            <x v="0"/>
          </reference>
          <reference field="9" count="1" selected="0">
            <x v="10"/>
          </reference>
        </references>
      </pivotArea>
    </chartFormat>
    <chartFormat chart="15" format="29">
      <pivotArea type="data" outline="0" fieldPosition="0">
        <references count="2">
          <reference field="4294967294" count="1" selected="0">
            <x v="0"/>
          </reference>
          <reference field="9" count="1" selected="0">
            <x v="13"/>
          </reference>
        </references>
      </pivotArea>
    </chartFormat>
    <chartFormat chart="15" format="30">
      <pivotArea type="data" outline="0" fieldPosition="0">
        <references count="2">
          <reference field="4294967294" count="1" selected="0">
            <x v="0"/>
          </reference>
          <reference field="9" count="1" selected="0">
            <x v="15"/>
          </reference>
        </references>
      </pivotArea>
    </chartFormat>
    <chartFormat chart="15" format="31">
      <pivotArea type="data" outline="0" fieldPosition="0">
        <references count="2">
          <reference field="4294967294" count="1" selected="0">
            <x v="0"/>
          </reference>
          <reference field="9" count="1" selected="0">
            <x v="4"/>
          </reference>
        </references>
      </pivotArea>
    </chartFormat>
  </chartFormats>
  <pivotTableStyleInfo name="PivotStyleLight16" showRowHeaders="1" showColHeaders="1" showRowStripes="0" showColStripes="0" showLastColumn="1"/>
  <filters count="1">
    <filter fld="9"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D915E37-DAF8-A847-B272-AFB10142360F}"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79:B85" firstHeaderRow="1" firstDataRow="1" firstDataCol="1"/>
  <pivotFields count="15">
    <pivotField showAll="0"/>
    <pivotField showAll="0"/>
    <pivotField showAll="0"/>
    <pivotField showAll="0">
      <items count="13">
        <item x="0"/>
        <item x="1"/>
        <item x="2"/>
        <item x="3"/>
        <item x="4"/>
        <item x="5"/>
        <item x="6"/>
        <item x="7"/>
        <item x="8"/>
        <item x="9"/>
        <item x="10"/>
        <item x="11"/>
        <item t="default"/>
      </items>
    </pivotField>
    <pivotField numFmtId="14" showAll="0"/>
    <pivotField showAll="0"/>
    <pivotField showAll="0"/>
    <pivotField numFmtId="21" showAll="0">
      <items count="4489">
        <item x="3898"/>
        <item x="3200"/>
        <item x="2381"/>
        <item x="2793"/>
        <item x="4242"/>
        <item x="1992"/>
        <item x="2271"/>
        <item x="2464"/>
        <item x="3503"/>
        <item x="2920"/>
        <item x="2692"/>
        <item x="4316"/>
        <item x="3270"/>
        <item x="2275"/>
        <item x="3351"/>
        <item x="3575"/>
        <item x="515"/>
        <item x="2540"/>
        <item x="2354"/>
        <item x="3133"/>
        <item x="1255"/>
        <item x="158"/>
        <item x="2050"/>
        <item x="1855"/>
        <item x="1071"/>
        <item x="4111"/>
        <item x="847"/>
        <item x="22"/>
        <item x="1081"/>
        <item x="3535"/>
        <item x="3455"/>
        <item x="182"/>
        <item x="15"/>
        <item x="111"/>
        <item x="3072"/>
        <item x="1767"/>
        <item x="3576"/>
        <item x="2018"/>
        <item x="1184"/>
        <item x="4389"/>
        <item x="137"/>
        <item x="3698"/>
        <item x="3022"/>
        <item x="646"/>
        <item x="529"/>
        <item x="1681"/>
        <item x="2244"/>
        <item x="4000"/>
        <item x="2144"/>
        <item x="1884"/>
        <item x="2152"/>
        <item x="3915"/>
        <item x="2936"/>
        <item x="3945"/>
        <item x="3382"/>
        <item x="2690"/>
        <item x="3244"/>
        <item x="3060"/>
        <item x="4219"/>
        <item x="927"/>
        <item x="4020"/>
        <item x="2416"/>
        <item x="2565"/>
        <item x="1994"/>
        <item x="3648"/>
        <item x="1259"/>
        <item x="1315"/>
        <item x="345"/>
        <item x="2498"/>
        <item x="155"/>
        <item x="1374"/>
        <item x="4360"/>
        <item x="3447"/>
        <item x="3710"/>
        <item x="1384"/>
        <item x="1159"/>
        <item x="2777"/>
        <item x="1225"/>
        <item x="4473"/>
        <item x="3751"/>
        <item x="1547"/>
        <item x="3377"/>
        <item x="1893"/>
        <item x="311"/>
        <item x="251"/>
        <item x="2076"/>
        <item x="755"/>
        <item x="1704"/>
        <item x="3542"/>
        <item x="3091"/>
        <item x="745"/>
        <item x="1645"/>
        <item x="3024"/>
        <item x="2274"/>
        <item x="4281"/>
        <item x="397"/>
        <item x="4398"/>
        <item x="3835"/>
        <item x="3059"/>
        <item x="4459"/>
        <item x="442"/>
        <item x="2851"/>
        <item x="1966"/>
        <item x="882"/>
        <item x="1261"/>
        <item x="591"/>
        <item x="3708"/>
        <item x="2077"/>
        <item x="1487"/>
        <item x="3732"/>
        <item x="1674"/>
        <item x="1885"/>
        <item x="2744"/>
        <item x="3548"/>
        <item x="1037"/>
        <item x="2184"/>
        <item x="343"/>
        <item x="211"/>
        <item x="969"/>
        <item x="3715"/>
        <item x="2675"/>
        <item x="522"/>
        <item x="2463"/>
        <item x="1076"/>
        <item x="3150"/>
        <item x="1789"/>
        <item x="54"/>
        <item x="3530"/>
        <item x="191"/>
        <item x="325"/>
        <item x="4296"/>
        <item x="3076"/>
        <item x="1455"/>
        <item x="142"/>
        <item x="2553"/>
        <item x="3378"/>
        <item x="3125"/>
        <item x="3152"/>
        <item x="4037"/>
        <item x="108"/>
        <item x="8"/>
        <item x="86"/>
        <item x="381"/>
        <item x="2432"/>
        <item x="1443"/>
        <item x="299"/>
        <item x="2259"/>
        <item x="794"/>
        <item x="88"/>
        <item x="4412"/>
        <item x="742"/>
        <item x="3313"/>
        <item x="3405"/>
        <item x="4034"/>
        <item x="3634"/>
        <item x="2611"/>
        <item x="922"/>
        <item x="2220"/>
        <item x="3664"/>
        <item x="1556"/>
        <item x="549"/>
        <item x="461"/>
        <item x="2983"/>
        <item x="2922"/>
        <item x="2654"/>
        <item x="2273"/>
        <item x="4486"/>
        <item x="1731"/>
        <item x="2444"/>
        <item x="1446"/>
        <item x="3723"/>
        <item x="398"/>
        <item x="1409"/>
        <item x="3747"/>
        <item x="1102"/>
        <item x="4175"/>
        <item x="2345"/>
        <item x="3261"/>
        <item x="3508"/>
        <item x="2401"/>
        <item x="1907"/>
        <item x="4260"/>
        <item x="3888"/>
        <item x="477"/>
        <item x="2529"/>
        <item x="1175"/>
        <item x="1489"/>
        <item x="68"/>
        <item x="2505"/>
        <item x="559"/>
        <item x="45"/>
        <item x="474"/>
        <item x="885"/>
        <item x="1072"/>
        <item x="686"/>
        <item x="996"/>
        <item x="1241"/>
        <item x="1800"/>
        <item x="4149"/>
        <item x="4075"/>
        <item x="2453"/>
        <item x="4211"/>
        <item x="57"/>
        <item x="3822"/>
        <item x="3079"/>
        <item x="3173"/>
        <item x="3088"/>
        <item x="3162"/>
        <item x="436"/>
        <item x="4059"/>
        <item x="2013"/>
        <item x="3717"/>
        <item x="4092"/>
        <item x="2651"/>
        <item x="1272"/>
        <item x="4315"/>
        <item x="1624"/>
        <item x="2422"/>
        <item x="1162"/>
        <item x="4477"/>
        <item x="2279"/>
        <item x="3347"/>
        <item x="3216"/>
        <item x="3431"/>
        <item x="1557"/>
        <item x="2492"/>
        <item x="2722"/>
        <item x="3692"/>
        <item x="337"/>
        <item x="4027"/>
        <item x="4300"/>
        <item x="1881"/>
        <item x="4484"/>
        <item x="2467"/>
        <item x="4466"/>
        <item x="454"/>
        <item x="330"/>
        <item x="907"/>
        <item x="4348"/>
        <item x="4170"/>
        <item x="1335"/>
        <item x="2278"/>
        <item x="1069"/>
        <item x="3890"/>
        <item x="4413"/>
        <item x="3699"/>
        <item x="982"/>
        <item x="2214"/>
        <item x="1380"/>
        <item x="3000"/>
        <item x="2912"/>
        <item x="626"/>
        <item x="2007"/>
        <item x="941"/>
        <item x="2160"/>
        <item x="3208"/>
        <item x="2237"/>
        <item x="3795"/>
        <item x="1428"/>
        <item x="2686"/>
        <item x="496"/>
        <item x="2891"/>
        <item x="1095"/>
        <item x="2034"/>
        <item x="764"/>
        <item x="4222"/>
        <item x="3028"/>
        <item x="457"/>
        <item x="2697"/>
        <item x="3556"/>
        <item x="2987"/>
        <item x="2057"/>
        <item x="2807"/>
        <item x="3619"/>
        <item x="4098"/>
        <item x="2719"/>
        <item x="208"/>
        <item x="2995"/>
        <item x="2520"/>
        <item x="1157"/>
        <item x="979"/>
        <item x="725"/>
        <item x="4248"/>
        <item x="3220"/>
        <item x="223"/>
        <item x="478"/>
        <item x="3436"/>
        <item x="1530"/>
        <item x="1449"/>
        <item x="3136"/>
        <item x="2575"/>
        <item x="669"/>
        <item x="2227"/>
        <item x="4114"/>
        <item x="1196"/>
        <item x="3077"/>
        <item x="2993"/>
        <item x="2952"/>
        <item x="2289"/>
        <item x="2595"/>
        <item x="3081"/>
        <item x="144"/>
        <item x="78"/>
        <item x="2462"/>
        <item x="303"/>
        <item x="1358"/>
        <item x="3300"/>
        <item x="41"/>
        <item x="3953"/>
        <item x="3251"/>
        <item x="4462"/>
        <item x="1435"/>
        <item x="1863"/>
        <item x="2727"/>
        <item x="1131"/>
        <item x="2533"/>
        <item x="651"/>
        <item x="1373"/>
        <item x="494"/>
        <item x="1288"/>
        <item x="4048"/>
        <item x="2716"/>
        <item x="2615"/>
        <item x="2823"/>
        <item x="1168"/>
        <item x="2561"/>
        <item x="3863"/>
        <item x="3412"/>
        <item x="1352"/>
        <item x="801"/>
        <item x="3857"/>
        <item x="1901"/>
        <item x="990"/>
        <item x="3470"/>
        <item x="1338"/>
        <item x="876"/>
        <item x="4372"/>
        <item x="3227"/>
        <item x="3826"/>
        <item x="2933"/>
        <item x="500"/>
        <item x="2821"/>
        <item x="4336"/>
        <item x="1208"/>
        <item x="2695"/>
        <item x="1491"/>
        <item x="3418"/>
        <item x="3424"/>
        <item x="1093"/>
        <item x="2517"/>
        <item x="3856"/>
        <item x="1617"/>
        <item x="260"/>
        <item x="1658"/>
        <item x="4303"/>
        <item x="3046"/>
        <item x="2588"/>
        <item x="1650"/>
        <item x="3785"/>
        <item x="3579"/>
        <item x="3413"/>
        <item x="2280"/>
        <item x="2112"/>
        <item x="3557"/>
        <item x="914"/>
        <item x="1083"/>
        <item x="227"/>
        <item x="4341"/>
        <item x="728"/>
        <item x="1488"/>
        <item x="2815"/>
        <item x="1982"/>
        <item x="1798"/>
        <item x="2174"/>
        <item x="798"/>
        <item x="4018"/>
        <item x="3332"/>
        <item x="1456"/>
        <item x="2120"/>
        <item x="656"/>
        <item x="354"/>
        <item x="1228"/>
        <item x="446"/>
        <item x="2954"/>
        <item x="603"/>
        <item x="2570"/>
        <item x="3561"/>
        <item x="2797"/>
        <item x="2163"/>
        <item x="4091"/>
        <item x="3058"/>
        <item x="4058"/>
        <item x="3002"/>
        <item x="1758"/>
        <item x="2774"/>
        <item x="1403"/>
        <item x="3004"/>
        <item x="3115"/>
        <item x="324"/>
        <item x="1801"/>
        <item x="2564"/>
        <item x="3236"/>
        <item x="2772"/>
        <item x="1591"/>
        <item x="272"/>
        <item x="1922"/>
        <item x="3130"/>
        <item x="4029"/>
        <item x="3923"/>
        <item x="1987"/>
        <item x="2093"/>
        <item x="1364"/>
        <item x="2632"/>
        <item x="2357"/>
        <item x="1780"/>
        <item x="2391"/>
        <item x="783"/>
        <item x="3655"/>
        <item x="1014"/>
        <item x="59"/>
        <item x="2511"/>
        <item x="640"/>
        <item x="544"/>
        <item x="561"/>
        <item x="1802"/>
        <item x="1367"/>
        <item x="3214"/>
        <item x="1852"/>
        <item x="348"/>
        <item x="1052"/>
        <item x="1667"/>
        <item x="471"/>
        <item x="4224"/>
        <item x="677"/>
        <item x="3486"/>
        <item x="2056"/>
        <item x="1569"/>
        <item x="1980"/>
        <item x="405"/>
        <item x="610"/>
        <item x="4197"/>
        <item x="641"/>
        <item x="204"/>
        <item x="3833"/>
        <item x="3552"/>
        <item x="573"/>
        <item x="3743"/>
        <item x="2978"/>
        <item x="2885"/>
        <item x="153"/>
        <item x="4053"/>
        <item x="2208"/>
        <item x="874"/>
        <item x="2457"/>
        <item x="2583"/>
        <item x="670"/>
        <item x="2360"/>
        <item x="873"/>
        <item x="1634"/>
        <item x="4419"/>
        <item x="829"/>
        <item x="438"/>
        <item x="917"/>
        <item x="3580"/>
        <item x="408"/>
        <item x="1703"/>
        <item x="3538"/>
        <item x="2974"/>
        <item x="2853"/>
        <item x="1515"/>
        <item x="4271"/>
        <item x="2095"/>
        <item x="3317"/>
        <item x="4383"/>
        <item x="685"/>
        <item x="4247"/>
        <item x="1606"/>
        <item x="4005"/>
        <item x="65"/>
        <item x="4186"/>
        <item x="1010"/>
        <item x="424"/>
        <item x="2649"/>
        <item x="1956"/>
        <item x="3379"/>
        <item x="3729"/>
        <item x="1046"/>
        <item x="1217"/>
        <item x="3520"/>
        <item x="2886"/>
        <item x="4436"/>
        <item x="3463"/>
        <item x="3955"/>
        <item x="2594"/>
        <item x="3696"/>
        <item x="1246"/>
        <item x="3139"/>
        <item x="503"/>
        <item x="3027"/>
        <item x="2094"/>
        <item x="3646"/>
        <item x="3080"/>
        <item x="4308"/>
        <item x="963"/>
        <item x="1618"/>
        <item x="3476"/>
        <item x="3903"/>
        <item x="181"/>
        <item x="1894"/>
        <item x="241"/>
        <item x="3560"/>
        <item x="1989"/>
        <item x="4307"/>
        <item x="3541"/>
        <item x="880"/>
        <item x="1937"/>
        <item x="2896"/>
        <item x="2276"/>
        <item x="1186"/>
        <item x="984"/>
        <item x="2574"/>
        <item x="933"/>
        <item x="2636"/>
        <item x="393"/>
        <item x="3738"/>
        <item x="4433"/>
        <item x="2605"/>
        <item x="992"/>
        <item x="3815"/>
        <item x="2785"/>
        <item x="1249"/>
        <item x="2041"/>
        <item x="2783"/>
        <item x="605"/>
        <item x="733"/>
        <item x="1116"/>
        <item x="1895"/>
        <item x="1875"/>
        <item x="3458"/>
        <item x="2287"/>
        <item x="3842"/>
        <item x="3972"/>
        <item x="2708"/>
        <item x="2900"/>
        <item x="2084"/>
        <item x="2236"/>
        <item x="2063"/>
        <item x="1655"/>
        <item x="310"/>
        <item x="526"/>
        <item x="2935"/>
        <item x="2769"/>
        <item x="675"/>
        <item x="358"/>
        <item x="1191"/>
        <item x="3604"/>
        <item x="3644"/>
        <item x="2149"/>
        <item x="889"/>
        <item x="3373"/>
        <item x="3404"/>
        <item x="1865"/>
        <item x="2911"/>
        <item x="4407"/>
        <item x="1633"/>
        <item x="3326"/>
        <item x="3062"/>
        <item x="811"/>
        <item x="1848"/>
        <item x="650"/>
        <item x="608"/>
        <item x="2350"/>
        <item x="2082"/>
        <item x="3402"/>
        <item x="4007"/>
        <item x="1477"/>
        <item x="4228"/>
        <item x="20"/>
        <item x="1035"/>
        <item x="2154"/>
        <item x="1012"/>
        <item x="3946"/>
        <item x="390"/>
        <item x="3155"/>
        <item x="588"/>
        <item x="2055"/>
        <item x="92"/>
        <item x="2268"/>
        <item x="243"/>
        <item x="447"/>
        <item x="4123"/>
        <item x="4131"/>
        <item x="3008"/>
        <item x="2202"/>
        <item x="4016"/>
        <item x="3045"/>
        <item x="2563"/>
        <item x="2213"/>
        <item x="1745"/>
        <item x="364"/>
        <item x="1524"/>
        <item x="4355"/>
        <item x="3396"/>
        <item x="2616"/>
        <item x="3019"/>
        <item x="1581"/>
        <item x="3741"/>
        <item x="1322"/>
        <item x="1903"/>
        <item x="2753"/>
        <item x="4249"/>
        <item x="266"/>
        <item x="2069"/>
        <item x="2910"/>
        <item x="3372"/>
        <item x="2523"/>
        <item x="1210"/>
        <item x="3806"/>
        <item x="1286"/>
        <item x="340"/>
        <item x="378"/>
        <item x="3605"/>
        <item x="2768"/>
        <item x="4172"/>
        <item x="2623"/>
        <item x="510"/>
        <item x="1226"/>
        <item x="956"/>
        <item x="3375"/>
        <item x="2431"/>
        <item x="270"/>
        <item x="3802"/>
        <item x="375"/>
        <item x="3441"/>
        <item x="4120"/>
        <item x="3167"/>
        <item x="1092"/>
        <item x="1357"/>
        <item x="382"/>
        <item x="2175"/>
        <item x="3055"/>
        <item x="3163"/>
        <item x="823"/>
        <item x="1271"/>
        <item x="2836"/>
        <item x="3727"/>
        <item x="2234"/>
        <item x="1155"/>
        <item x="55"/>
        <item x="4065"/>
        <item x="2332"/>
        <item x="1143"/>
        <item x="3360"/>
        <item x="2506"/>
        <item x="1917"/>
        <item x="4304"/>
        <item x="576"/>
        <item x="1955"/>
        <item x="2860"/>
        <item x="2394"/>
        <item x="17"/>
        <item x="3836"/>
        <item x="1925"/>
        <item x="1936"/>
        <item x="1080"/>
        <item x="3882"/>
        <item x="902"/>
        <item x="1968"/>
        <item x="3736"/>
        <item x="540"/>
        <item x="404"/>
        <item x="1049"/>
        <item x="1405"/>
        <item x="3199"/>
        <item x="853"/>
        <item x="2131"/>
        <item x="664"/>
        <item x="1824"/>
        <item x="1355"/>
        <item x="4339"/>
        <item x="3358"/>
        <item x="2106"/>
        <item x="3682"/>
        <item x="2946"/>
        <item x="3569"/>
        <item x="3678"/>
        <item x="2678"/>
        <item x="4259"/>
        <item x="647"/>
        <item x="786"/>
        <item x="286"/>
        <item x="1825"/>
        <item x="892"/>
        <item x="4379"/>
        <item x="3809"/>
        <item x="3839"/>
        <item x="2824"/>
        <item x="3893"/>
        <item x="2578"/>
        <item x="3207"/>
        <item x="891"/>
        <item x="177"/>
        <item x="1006"/>
        <item x="2015"/>
        <item x="1778"/>
        <item x="1646"/>
        <item x="1169"/>
        <item x="282"/>
        <item x="113"/>
        <item x="4306"/>
        <item x="806"/>
        <item x="2620"/>
        <item x="962"/>
        <item x="2812"/>
        <item x="2867"/>
        <item x="1124"/>
        <item x="4183"/>
        <item x="4217"/>
        <item x="1141"/>
        <item x="533"/>
        <item x="2169"/>
        <item x="295"/>
        <item x="3956"/>
        <item x="1643"/>
        <item x="3612"/>
        <item x="870"/>
        <item x="3401"/>
        <item x="2791"/>
        <item x="3924"/>
        <item x="1256"/>
        <item x="1905"/>
        <item x="1605"/>
        <item x="1105"/>
        <item x="648"/>
        <item x="2725"/>
        <item x="3262"/>
        <item x="2306"/>
        <item x="2436"/>
        <item x="3496"/>
        <item x="1675"/>
        <item x="1054"/>
        <item x="3875"/>
        <item x="422"/>
        <item x="4425"/>
        <item x="82"/>
        <item x="1516"/>
        <item x="3964"/>
        <item x="2210"/>
        <item x="3451"/>
        <item x="4073"/>
        <item x="1900"/>
        <item x="4040"/>
        <item x="4082"/>
        <item x="3406"/>
        <item x="1090"/>
        <item x="2648"/>
        <item x="2490"/>
        <item x="1417"/>
        <item x="4148"/>
        <item x="2685"/>
        <item x="2882"/>
        <item x="1695"/>
        <item x="2054"/>
        <item x="1303"/>
        <item x="538"/>
        <item x="3456"/>
        <item x="3085"/>
        <item x="2633"/>
        <item x="4416"/>
        <item x="1562"/>
        <item x="4424"/>
        <item x="2088"/>
        <item x="1253"/>
        <item x="1990"/>
        <item x="475"/>
        <item x="2568"/>
        <item x="2356"/>
        <item x="2327"/>
        <item x="1690"/>
        <item x="154"/>
        <item x="224"/>
        <item x="1656"/>
        <item x="0"/>
        <item x="3457"/>
        <item x="338"/>
        <item x="3550"/>
        <item x="1486"/>
        <item x="4084"/>
        <item x="2190"/>
        <item x="1418"/>
        <item x="1520"/>
        <item x="3998"/>
        <item x="3188"/>
        <item x="3987"/>
        <item x="2471"/>
        <item x="2528"/>
        <item x="1231"/>
        <item x="2390"/>
        <item x="1867"/>
        <item x="3549"/>
        <item x="2251"/>
        <item x="2108"/>
        <item x="4001"/>
        <item x="1873"/>
        <item x="3522"/>
        <item x="1608"/>
        <item x="3082"/>
        <item x="1165"/>
        <item x="4235"/>
        <item x="1911"/>
        <item x="168"/>
        <item x="87"/>
        <item x="1038"/>
        <item x="1594"/>
        <item x="1479"/>
        <item x="3687"/>
        <item x="1082"/>
        <item x="4209"/>
        <item x="3400"/>
        <item x="2736"/>
        <item x="308"/>
        <item x="851"/>
        <item x="2895"/>
        <item x="2325"/>
        <item x="883"/>
        <item x="3861"/>
        <item x="3616"/>
        <item x="972"/>
        <item x="3354"/>
        <item x="2096"/>
        <item x="2104"/>
        <item x="2080"/>
        <item x="2898"/>
        <item x="4036"/>
        <item x="3934"/>
        <item x="3676"/>
        <item x="925"/>
        <item x="1431"/>
        <item x="3626"/>
        <item x="4076"/>
        <item x="1995"/>
        <item x="2316"/>
        <item x="2656"/>
        <item x="128"/>
        <item x="3927"/>
        <item x="394"/>
        <item x="2799"/>
        <item x="2107"/>
        <item x="3"/>
        <item x="4072"/>
        <item x="3737"/>
        <item x="1628"/>
        <item x="3671"/>
        <item x="2609"/>
        <item x="3974"/>
        <item x="2001"/>
        <item x="2011"/>
        <item x="3661"/>
        <item x="1766"/>
        <item x="2515"/>
        <item x="1938"/>
        <item x="858"/>
        <item x="3526"/>
        <item x="3439"/>
        <item x="4200"/>
        <item x="3087"/>
        <item x="2047"/>
        <item x="3255"/>
        <item x="3965"/>
        <item x="2361"/>
        <item x="4068"/>
        <item x="2311"/>
        <item x="1986"/>
        <item x="871"/>
        <item x="2367"/>
        <item x="1245"/>
        <item x="2767"/>
        <item x="1910"/>
        <item x="3098"/>
        <item x="2949"/>
        <item x="37"/>
        <item x="2829"/>
        <item x="1823"/>
        <item x="4152"/>
        <item x="2187"/>
        <item x="774"/>
        <item x="3823"/>
        <item x="4019"/>
        <item x="1883"/>
        <item x="3775"/>
        <item x="4226"/>
        <item x="1661"/>
        <item x="1732"/>
        <item x="1149"/>
        <item x="434"/>
        <item x="1677"/>
        <item x="1410"/>
        <item x="2445"/>
        <item x="2683"/>
        <item x="4083"/>
        <item x="187"/>
        <item x="3499"/>
        <item x="1592"/>
        <item x="105"/>
        <item x="2302"/>
        <item x="1942"/>
        <item x="3932"/>
        <item x="2168"/>
        <item x="2382"/>
        <item x="13"/>
        <item x="776"/>
        <item x="1794"/>
        <item x="888"/>
        <item x="1275"/>
        <item x="2857"/>
        <item x="197"/>
        <item x="1949"/>
        <item x="2915"/>
        <item x="1603"/>
        <item x="2820"/>
        <item x="1978"/>
        <item x="1068"/>
        <item x="2468"/>
        <item x="509"/>
        <item x="3359"/>
        <item x="1057"/>
        <item x="895"/>
        <item x="636"/>
        <item x="366"/>
        <item x="1468"/>
        <item x="4356"/>
        <item x="439"/>
        <item x="4060"/>
        <item x="3798"/>
        <item x="2504"/>
        <item x="2143"/>
        <item x="3756"/>
        <item x="1951"/>
        <item x="3285"/>
        <item x="893"/>
        <item x="491"/>
        <item x="116"/>
        <item x="4151"/>
        <item x="4240"/>
        <item x="2889"/>
        <item x="110"/>
        <item x="2006"/>
        <item x="2782"/>
        <item x="1025"/>
        <item x="2718"/>
        <item x="1377"/>
        <item x="3654"/>
        <item x="1317"/>
        <item x="3740"/>
        <item x="1664"/>
        <item x="370"/>
        <item x="3511"/>
        <item x="1098"/>
        <item x="1931"/>
        <item x="2115"/>
        <item x="453"/>
        <item x="3792"/>
        <item x="289"/>
        <item x="66"/>
        <item x="867"/>
        <item x="2348"/>
        <item x="713"/>
        <item x="2177"/>
        <item x="323"/>
        <item x="3559"/>
        <item x="1340"/>
        <item x="417"/>
        <item x="3649"/>
        <item x="2916"/>
        <item x="72"/>
        <item x="1274"/>
        <item x="578"/>
        <item x="4264"/>
        <item x="4145"/>
        <item x="2751"/>
        <item x="4422"/>
        <item x="4167"/>
        <item x="2668"/>
        <item x="469"/>
        <item x="1424"/>
        <item x="3151"/>
        <item x="1518"/>
        <item x="3182"/>
        <item x="1930"/>
        <item x="2970"/>
        <item x="782"/>
        <item x="2941"/>
        <item x="318"/>
        <item x="632"/>
        <item x="2266"/>
        <item x="2212"/>
        <item x="218"/>
        <item x="659"/>
        <item x="2794"/>
        <item x="3959"/>
        <item x="1028"/>
        <item x="2945"/>
        <item x="3728"/>
        <item x="1906"/>
        <item x="2555"/>
        <item x="3453"/>
        <item x="732"/>
        <item x="1637"/>
        <item x="2012"/>
        <item x="2712"/>
        <item x="1567"/>
        <item x="2178"/>
        <item x="1464"/>
        <item x="3543"/>
        <item x="589"/>
        <item x="3073"/>
        <item x="2493"/>
        <item x="363"/>
        <item x="4325"/>
        <item x="3119"/>
        <item x="2123"/>
        <item x="3691"/>
        <item x="1845"/>
        <item x="623"/>
        <item x="3947"/>
        <item x="1067"/>
        <item x="2627"/>
        <item x="2934"/>
        <item x="4176"/>
        <item x="3387"/>
        <item x="3961"/>
        <item x="3978"/>
        <item x="719"/>
        <item x="1589"/>
        <item x="1864"/>
        <item x="3420"/>
        <item x="4408"/>
        <item x="2743"/>
        <item x="2480"/>
        <item x="1807"/>
        <item x="380"/>
        <item x="1395"/>
        <item x="4347"/>
        <item x="1187"/>
        <item x="232"/>
        <item x="3291"/>
        <item x="4105"/>
        <item x="4038"/>
        <item x="3624"/>
        <item x="1747"/>
        <item x="3615"/>
        <item x="418"/>
        <item x="537"/>
        <item x="1130"/>
        <item x="2547"/>
        <item x="3269"/>
        <item x="3128"/>
        <item x="423"/>
        <item x="991"/>
        <item x="723"/>
        <item x="1921"/>
        <item x="2808"/>
        <item x="482"/>
        <item x="1414"/>
        <item x="2185"/>
        <item x="1101"/>
        <item x="676"/>
        <item x="7"/>
        <item x="1711"/>
        <item x="2559"/>
        <item x="215"/>
        <item x="2283"/>
        <item x="3389"/>
        <item x="1914"/>
        <item x="3913"/>
        <item x="1147"/>
        <item x="2430"/>
        <item x="4213"/>
        <item x="579"/>
        <item x="3266"/>
        <item x="2045"/>
        <item x="377"/>
        <item x="2939"/>
        <item x="635"/>
        <item x="3242"/>
        <item x="1383"/>
        <item x="73"/>
        <item x="1136"/>
        <item x="2522"/>
        <item x="3204"/>
        <item x="2973"/>
        <item x="803"/>
        <item x="519"/>
        <item x="2597"/>
        <item x="777"/>
        <item x="4043"/>
        <item x="2699"/>
        <item x="1751"/>
        <item x="3851"/>
        <item x="2434"/>
        <item x="1768"/>
        <item x="770"/>
        <item x="287"/>
        <item x="472"/>
        <item x="2189"/>
        <item x="1545"/>
        <item x="384"/>
        <item x="552"/>
        <item x="1194"/>
        <item x="369"/>
        <item x="1627"/>
        <item x="791"/>
        <item x="1043"/>
        <item x="2427"/>
        <item x="3328"/>
        <item x="3873"/>
        <item x="2254"/>
        <item x="2587"/>
        <item x="3662"/>
        <item x="1411"/>
        <item x="3305"/>
        <item x="850"/>
        <item x="1390"/>
        <item x="1262"/>
        <item x="1841"/>
        <item x="4189"/>
        <item x="129"/>
        <item x="1198"/>
        <item x="89"/>
        <item x="4070"/>
        <item x="3403"/>
        <item x="1063"/>
        <item x="3239"/>
        <item x="2410"/>
        <item x="483"/>
        <item x="2395"/>
        <item x="3450"/>
        <item x="2874"/>
        <item x="712"/>
        <item x="4135"/>
        <item x="4268"/>
        <item x="2368"/>
        <item x="3954"/>
        <item x="3700"/>
        <item x="1299"/>
        <item x="3185"/>
        <item x="790"/>
        <item x="3039"/>
        <item x="1329"/>
        <item x="2786"/>
        <item x="2624"/>
        <item x="3250"/>
        <item x="4305"/>
        <item x="3231"/>
        <item x="2286"/>
        <item x="1698"/>
        <item x="1616"/>
        <item x="3539"/>
        <item x="1596"/>
        <item x="4358"/>
        <item x="652"/>
        <item x="800"/>
        <item x="912"/>
        <item x="2925"/>
        <item x="1856"/>
        <item x="4122"/>
        <item x="4237"/>
        <item x="2110"/>
        <item x="180"/>
        <item x="1328"/>
        <item x="3368"/>
        <item x="2926"/>
        <item x="3142"/>
        <item x="4011"/>
        <item x="1220"/>
        <item x="1128"/>
        <item x="3975"/>
        <item x="518"/>
        <item x="841"/>
        <item x="4280"/>
        <item x="2192"/>
        <item x="2584"/>
        <item x="2550"/>
        <item x="545"/>
        <item x="532"/>
        <item x="1504"/>
        <item x="593"/>
        <item x="4"/>
        <item x="4275"/>
        <item x="3223"/>
        <item x="3422"/>
        <item x="565"/>
        <item x="225"/>
        <item x="1470"/>
        <item x="1979"/>
        <item x="1540"/>
        <item x="4069"/>
        <item x="2992"/>
        <item x="1023"/>
        <item x="4287"/>
        <item x="757"/>
        <item x="1954"/>
        <item x="411"/>
        <item x="671"/>
        <item x="3218"/>
        <item x="630"/>
        <item x="1436"/>
        <item x="4252"/>
        <item x="1066"/>
        <item x="1039"/>
        <item x="2778"/>
        <item x="1053"/>
        <item x="3230"/>
        <item x="658"/>
        <item x="3514"/>
        <item x="662"/>
        <item x="3274"/>
        <item x="1267"/>
        <item x="1620"/>
        <item x="1575"/>
        <item x="759"/>
        <item x="3103"/>
        <item x="1679"/>
        <item x="3493"/>
        <item x="3878"/>
        <item x="511"/>
        <item x="3824"/>
        <item x="3597"/>
        <item x="100"/>
        <item x="611"/>
        <item x="3068"/>
        <item x="4319"/>
        <item x="1746"/>
        <item x="4063"/>
        <item x="903"/>
        <item x="1498"/>
        <item x="1499"/>
        <item x="2037"/>
        <item x="355"/>
        <item x="2741"/>
        <item x="2689"/>
        <item x="236"/>
        <item x="2016"/>
        <item x="192"/>
        <item x="4368"/>
        <item x="1115"/>
        <item x="2150"/>
        <item x="2554"/>
        <item x="999"/>
        <item x="333"/>
        <item x="3713"/>
        <item x="2334"/>
        <item x="2032"/>
        <item x="3801"/>
        <item x="2558"/>
        <item x="3205"/>
        <item x="3788"/>
        <item x="205"/>
        <item x="14"/>
        <item x="3770"/>
        <item x="553"/>
        <item x="1764"/>
        <item x="3523"/>
        <item x="758"/>
        <item x="3030"/>
        <item x="703"/>
        <item x="3668"/>
        <item x="173"/>
        <item x="1726"/>
        <item x="1422"/>
        <item x="3944"/>
        <item x="3084"/>
        <item x="1362"/>
        <item x="4373"/>
        <item x="346"/>
        <item x="1250"/>
        <item x="3791"/>
        <item x="2328"/>
        <item x="2051"/>
        <item x="3724"/>
        <item x="1407"/>
        <item x="3899"/>
        <item x="3850"/>
        <item x="1554"/>
        <item x="1790"/>
        <item x="495"/>
        <item x="2762"/>
        <item x="580"/>
        <item x="2374"/>
        <item x="3582"/>
        <item x="3854"/>
        <item x="1161"/>
        <item x="645"/>
        <item x="3050"/>
        <item x="1984"/>
        <item x="2566"/>
        <item x="4456"/>
        <item x="3210"/>
        <item x="980"/>
        <item x="1850"/>
        <item x="684"/>
        <item x="2525"/>
        <item x="1673"/>
        <item x="3656"/>
        <item x="1264"/>
        <item x="1762"/>
        <item x="785"/>
        <item x="254"/>
        <item x="463"/>
        <item x="1870"/>
        <item x="288"/>
        <item x="572"/>
        <item x="1279"/>
        <item x="123"/>
        <item x="1993"/>
        <item x="2074"/>
        <item x="1849"/>
        <item x="448"/>
        <item x="4302"/>
        <item x="1622"/>
        <item x="1742"/>
        <item x="3630"/>
        <item x="2039"/>
        <item x="2641"/>
        <item x="319"/>
        <item x="3421"/>
        <item x="2998"/>
        <item x="4255"/>
        <item x="3663"/>
        <item x="1860"/>
        <item x="3334"/>
        <item x="981"/>
        <item x="527"/>
        <item x="1292"/>
        <item x="3876"/>
        <item x="2291"/>
        <item x="3465"/>
        <item x="1916"/>
        <item x="3083"/>
        <item x="1977"/>
        <item x="3209"/>
        <item x="1022"/>
        <item x="1368"/>
        <item x="4085"/>
        <item x="4426"/>
        <item x="4284"/>
        <item x="2503"/>
        <item x="3319"/>
        <item x="4013"/>
        <item x="2079"/>
        <item x="2947"/>
        <item x="3238"/>
        <item x="62"/>
        <item x="4263"/>
        <item x="3918"/>
        <item x="1385"/>
        <item x="40"/>
        <item x="3941"/>
        <item x="4362"/>
        <item x="4125"/>
        <item x="4335"/>
        <item x="1500"/>
        <item x="1420"/>
        <item x="2906"/>
        <item x="2921"/>
        <item x="4081"/>
        <item x="1281"/>
        <item x="416"/>
        <item x="1920"/>
        <item x="1393"/>
        <item x="2700"/>
        <item x="3853"/>
        <item x="3023"/>
        <item x="278"/>
        <item x="3811"/>
        <item x="1706"/>
        <item x="125"/>
        <item x="2305"/>
        <item x="3430"/>
        <item x="2495"/>
        <item x="3746"/>
        <item x="4008"/>
        <item x="2486"/>
        <item x="1615"/>
        <item x="1804"/>
        <item x="2994"/>
        <item x="2162"/>
        <item x="958"/>
        <item x="2749"/>
        <item x="1099"/>
        <item x="1097"/>
        <item x="2775"/>
        <item x="4062"/>
        <item x="1017"/>
        <item x="2613"/>
        <item x="285"/>
        <item x="621"/>
        <item x="70"/>
        <item x="80"/>
        <item x="2647"/>
        <item x="269"/>
        <item x="2165"/>
        <item x="617"/>
        <item x="4214"/>
        <item x="60"/>
        <item x="2825"/>
        <item x="1693"/>
        <item x="493"/>
        <item x="3707"/>
        <item x="2710"/>
        <item x="2969"/>
        <item x="1927"/>
        <item x="1440"/>
        <item x="4127"/>
        <item x="2166"/>
        <item x="3196"/>
        <item x="3519"/>
        <item x="56"/>
        <item x="705"/>
        <item x="3515"/>
        <item x="4212"/>
        <item x="4171"/>
        <item x="2221"/>
        <item x="2642"/>
        <item x="1160"/>
        <item x="661"/>
        <item x="2216"/>
        <item x="1211"/>
        <item x="3983"/>
        <item x="4010"/>
        <item x="4204"/>
        <item x="3143"/>
        <item x="3197"/>
        <item x="3283"/>
        <item x="2404"/>
        <item x="291"/>
        <item x="3721"/>
        <item x="2764"/>
        <item x="1763"/>
        <item x="1145"/>
        <item x="694"/>
        <item x="1127"/>
        <item x="157"/>
        <item x="637"/>
        <item x="4402"/>
        <item x="1150"/>
        <item x="4006"/>
        <item x="4064"/>
        <item x="4414"/>
        <item x="3544"/>
        <item x="534"/>
        <item x="3258"/>
        <item x="948"/>
        <item x="1448"/>
        <item x="2957"/>
        <item x="3434"/>
        <item x="516"/>
        <item x="2408"/>
        <item x="590"/>
        <item x="894"/>
        <item x="2215"/>
        <item x="612"/>
        <item x="3897"/>
        <item x="1813"/>
        <item x="3293"/>
        <item x="3817"/>
        <item x="2127"/>
        <item x="2249"/>
        <item x="4074"/>
        <item x="2531"/>
        <item x="2536"/>
        <item x="3645"/>
        <item x="1096"/>
        <item x="660"/>
        <item x="3584"/>
        <item x="3454"/>
        <item x="1060"/>
        <item x="4101"/>
        <item x="419"/>
        <item x="170"/>
        <item x="3803"/>
        <item x="1687"/>
        <item x="4262"/>
        <item x="700"/>
        <item x="3507"/>
        <item x="2930"/>
        <item x="952"/>
        <item x="2211"/>
        <item x="3294"/>
        <item x="1129"/>
        <item x="2349"/>
        <item x="1248"/>
        <item x="1782"/>
        <item x="863"/>
        <item x="1527"/>
        <item x="1830"/>
        <item x="1408"/>
        <item x="2868"/>
        <item x="1466"/>
        <item x="1598"/>
        <item x="4137"/>
        <item x="2908"/>
        <item x="2373"/>
        <item x="4115"/>
        <item x="3189"/>
        <item x="2026"/>
        <item x="138"/>
        <item x="2205"/>
        <item x="3904"/>
        <item x="1709"/>
        <item x="3629"/>
        <item x="2005"/>
        <item x="71"/>
        <item x="3186"/>
        <item x="3370"/>
        <item x="2989"/>
        <item x="856"/>
        <item x="3171"/>
        <item x="570"/>
        <item x="2324"/>
        <item x="1531"/>
        <item x="932"/>
        <item x="3174"/>
        <item x="554"/>
        <item x="2839"/>
        <item x="2875"/>
        <item x="2009"/>
        <item x="1899"/>
        <item x="1945"/>
        <item x="1207"/>
        <item x="4282"/>
        <item x="3527"/>
        <item x="699"/>
        <item x="2962"/>
        <item x="2459"/>
        <item x="2871"/>
        <item x="2377"/>
        <item x="1735"/>
        <item x="3123"/>
        <item x="995"/>
        <item x="2257"/>
        <item x="2940"/>
        <item x="3126"/>
        <item x="4108"/>
        <item x="1234"/>
        <item x="1235"/>
        <item x="4318"/>
        <item x="3114"/>
        <item x="2105"/>
        <item x="167"/>
        <item x="4417"/>
        <item x="1304"/>
        <item x="2739"/>
        <item x="3657"/>
        <item x="2707"/>
        <item x="488"/>
        <item x="2201"/>
        <item x="2879"/>
        <item x="3016"/>
        <item x="628"/>
        <item x="3684"/>
        <item x="313"/>
        <item x="3784"/>
        <item x="3013"/>
        <item x="2676"/>
        <item x="252"/>
        <item x="3601"/>
        <item x="131"/>
        <item x="3585"/>
        <item x="4109"/>
        <item x="219"/>
        <item x="3631"/>
        <item x="4334"/>
        <item x="911"/>
        <item x="1140"/>
        <item x="1334"/>
        <item x="4112"/>
        <item x="3950"/>
        <item x="955"/>
        <item x="3212"/>
        <item x="501"/>
        <item x="724"/>
        <item x="3711"/>
        <item x="4153"/>
        <item x="2956"/>
        <item x="2317"/>
        <item x="357"/>
        <item x="3355"/>
        <item x="1533"/>
        <item x="4206"/>
        <item x="2172"/>
        <item x="3310"/>
        <item x="452"/>
        <item x="1820"/>
        <item x="2899"/>
        <item x="1268"/>
        <item x="1289"/>
        <item x="3190"/>
        <item x="1756"/>
        <item x="615"/>
        <item x="3841"/>
        <item x="1705"/>
        <item x="1697"/>
        <item x="704"/>
        <item x="2655"/>
        <item x="4324"/>
        <item x="1024"/>
        <item x="1201"/>
        <item x="3804"/>
        <item x="2309"/>
        <item x="1212"/>
        <item x="3495"/>
        <item x="508"/>
        <item x="3086"/>
        <item x="1512"/>
        <item x="1792"/>
        <item x="240"/>
        <item x="3968"/>
        <item x="4052"/>
        <item x="69"/>
        <item x="4265"/>
        <item x="2822"/>
        <item x="1480"/>
        <item x="3160"/>
        <item x="2451"/>
        <item x="507"/>
        <item x="3517"/>
        <item x="1913"/>
        <item x="1031"/>
        <item x="1020"/>
        <item x="1897"/>
        <item x="1946"/>
        <item x="4147"/>
        <item x="2469"/>
        <item x="1976"/>
        <item x="683"/>
        <item x="1669"/>
        <item x="1550"/>
        <item x="3362"/>
        <item x="4274"/>
        <item x="201"/>
        <item x="34"/>
        <item x="1492"/>
        <item x="3433"/>
        <item x="335"/>
        <item x="796"/>
        <item x="4458"/>
        <item x="3669"/>
        <item x="2501"/>
        <item x="2766"/>
        <item x="3881"/>
        <item x="4283"/>
        <item x="2663"/>
        <item x="2042"/>
        <item x="4002"/>
        <item x="1219"/>
        <item x="2002"/>
        <item x="1177"/>
        <item x="3096"/>
        <item x="1604"/>
        <item x="3307"/>
        <item x="569"/>
        <item x="3667"/>
        <item x="816"/>
        <item x="599"/>
        <item x="3435"/>
        <item x="3714"/>
        <item x="3361"/>
        <item x="1026"/>
        <item x="3980"/>
        <item x="97"/>
        <item x="2335"/>
        <item x="4223"/>
        <item x="2440"/>
        <item x="1944"/>
        <item x="3695"/>
        <item x="1391"/>
        <item x="4475"/>
        <item x="221"/>
        <item x="3810"/>
        <item x="1277"/>
        <item x="23"/>
        <item x="4140"/>
        <item x="3109"/>
        <item x="1866"/>
        <item x="258"/>
        <item x="145"/>
        <item x="4454"/>
        <item x="3466"/>
        <item x="2735"/>
        <item x="3985"/>
        <item x="2659"/>
        <item x="3689"/>
        <item x="4207"/>
        <item x="2397"/>
        <item x="2222"/>
        <item x="710"/>
        <item x="1239"/>
        <item x="2927"/>
        <item x="4418"/>
        <item x="3228"/>
        <item x="1817"/>
        <item x="1164"/>
        <item x="4289"/>
        <item x="2932"/>
        <item x="3641"/>
        <item x="1734"/>
        <item x="3282"/>
        <item x="264"/>
        <item x="490"/>
        <item x="3622"/>
        <item x="2141"/>
        <item x="1337"/>
        <item x="3106"/>
        <item x="2224"/>
        <item x="535"/>
        <item x="2304"/>
        <item x="763"/>
        <item x="749"/>
        <item x="4333"/>
        <item x="3952"/>
        <item x="4090"/>
        <item x="3339"/>
        <item x="3494"/>
        <item x="3761"/>
        <item x="3246"/>
        <item x="1760"/>
        <item x="2789"/>
        <item x="2500"/>
        <item x="3407"/>
        <item x="2878"/>
        <item x="1662"/>
        <item x="4403"/>
        <item x="1761"/>
        <item x="860"/>
        <item x="2389"/>
        <item x="3996"/>
        <item x="2519"/>
        <item x="3338"/>
        <item x="606"/>
        <item x="631"/>
        <item x="3020"/>
        <item x="1206"/>
        <item x="2603"/>
        <item x="1638"/>
        <item x="2022"/>
        <item x="3577"/>
        <item x="1833"/>
        <item x="3051"/>
        <item x="1892"/>
        <item x="1503"/>
        <item x="2770"/>
        <item x="184"/>
        <item x="3286"/>
        <item x="2450"/>
        <item x="1419"/>
        <item x="2483"/>
        <item x="126"/>
        <item x="625"/>
        <item x="1720"/>
        <item x="2884"/>
        <item x="3365"/>
        <item x="1828"/>
        <item x="121"/>
        <item x="163"/>
        <item x="183"/>
        <item x="1033"/>
        <item x="4461"/>
        <item x="1349"/>
        <item x="2477"/>
        <item x="2843"/>
        <item x="3391"/>
        <item x="2959"/>
        <item x="4420"/>
        <item x="2239"/>
        <item x="2024"/>
        <item x="3122"/>
        <item x="714"/>
        <item x="3327"/>
        <item x="4432"/>
        <item x="3670"/>
        <item x="934"/>
        <item x="1988"/>
        <item x="970"/>
        <item x="1898"/>
        <item x="2298"/>
        <item x="1490"/>
        <item x="2326"/>
        <item x="1915"/>
        <item x="1774"/>
        <item x="3481"/>
        <item x="1928"/>
        <item x="281"/>
        <item x="3967"/>
        <item x="1829"/>
        <item x="2988"/>
        <item x="2883"/>
        <item x="939"/>
        <item x="275"/>
        <item x="1224"/>
        <item x="3268"/>
        <item x="1007"/>
        <item x="3505"/>
        <item x="315"/>
        <item x="279"/>
        <item x="2733"/>
        <item x="771"/>
        <item x="3353"/>
        <item x="4467"/>
        <item x="190"/>
        <item x="3120"/>
        <item x="1495"/>
        <item x="1404"/>
        <item x="1517"/>
        <item x="3054"/>
        <item x="206"/>
        <item x="1832"/>
        <item x="2258"/>
        <item x="2193"/>
        <item x="2180"/>
        <item x="427"/>
        <item x="3781"/>
        <item x="928"/>
        <item x="4388"/>
        <item x="2734"/>
        <item x="2347"/>
        <item x="4158"/>
        <item x="2423"/>
        <item x="2320"/>
        <item x="1676"/>
        <item x="1459"/>
        <item x="4439"/>
        <item x="4330"/>
        <item x="280"/>
        <item x="525"/>
        <item x="1640"/>
        <item x="4292"/>
        <item x="4350"/>
        <item x="2365"/>
        <item x="2194"/>
        <item x="619"/>
        <item x="3078"/>
        <item x="986"/>
        <item x="239"/>
        <item x="3215"/>
        <item x="614"/>
        <item x="944"/>
        <item x="322"/>
        <item x="2122"/>
        <item x="1587"/>
        <item x="217"/>
        <item x="4363"/>
        <item x="1293"/>
        <item x="2366"/>
        <item x="966"/>
        <item x="2068"/>
        <item x="3017"/>
        <item x="698"/>
        <item x="1421"/>
        <item x="4382"/>
        <item x="98"/>
        <item x="3726"/>
        <item x="2924"/>
        <item x="2681"/>
        <item x="1819"/>
        <item x="2409"/>
        <item x="4354"/>
        <item x="481"/>
        <item x="541"/>
        <item x="3097"/>
        <item x="3628"/>
        <item x="2243"/>
        <item x="4032"/>
        <item x="3158"/>
        <item x="604"/>
        <item x="3166"/>
        <item x="443"/>
        <item x="2919"/>
        <item x="1757"/>
        <item x="169"/>
        <item x="1276"/>
        <item x="1003"/>
        <item x="506"/>
        <item x="3426"/>
        <item x="1861"/>
        <item x="906"/>
        <item x="360"/>
        <item x="3049"/>
        <item x="2132"/>
        <item x="1890"/>
        <item x="2113"/>
        <item x="1218"/>
        <item x="775"/>
        <item x="2102"/>
        <item x="4353"/>
        <item x="3063"/>
        <item x="1118"/>
        <item x="3038"/>
        <item x="212"/>
        <item x="4469"/>
        <item x="1055"/>
        <item x="2253"/>
        <item x="2518"/>
        <item x="2238"/>
        <item x="467"/>
        <item x="2542"/>
        <item x="3037"/>
        <item x="2346"/>
        <item x="4369"/>
        <item x="920"/>
        <item x="2742"/>
        <item x="1961"/>
        <item x="708"/>
        <item x="1631"/>
        <item x="3846"/>
        <item x="4298"/>
        <item x="1985"/>
        <item x="4236"/>
        <item x="1701"/>
        <item x="4100"/>
        <item x="3357"/>
        <item x="3070"/>
        <item x="476"/>
        <item x="2403"/>
        <item x="1471"/>
        <item x="736"/>
        <item x="1251"/>
        <item x="1119"/>
        <item x="2711"/>
        <item x="1770"/>
        <item x="3138"/>
        <item x="2386"/>
        <item x="4441"/>
        <item x="2179"/>
        <item x="607"/>
        <item x="2581"/>
        <item x="3232"/>
        <item x="3859"/>
        <item x="566"/>
        <item x="596"/>
        <item x="1327"/>
        <item x="430"/>
        <item x="4119"/>
        <item x="2285"/>
        <item x="1305"/>
        <item x="3012"/>
        <item x="3107"/>
        <item x="4297"/>
        <item x="1808"/>
        <item x="1004"/>
        <item x="3525"/>
        <item x="2835"/>
        <item x="2442"/>
        <item x="809"/>
        <item x="2157"/>
        <item x="4267"/>
        <item x="2701"/>
        <item x="4138"/>
        <item x="3229"/>
        <item x="388"/>
        <item x="4087"/>
        <item x="2489"/>
        <item x="103"/>
        <item x="2618"/>
        <item x="3735"/>
        <item x="1134"/>
        <item x="3047"/>
        <item x="1059"/>
        <item x="1862"/>
        <item x="130"/>
        <item x="2352"/>
        <item x="2049"/>
        <item x="79"/>
        <item x="1009"/>
        <item x="3061"/>
        <item x="420"/>
        <item x="2065"/>
        <item x="2256"/>
        <item x="2556"/>
        <item x="2598"/>
        <item x="4291"/>
        <item x="165"/>
        <item x="3318"/>
        <item x="1294"/>
        <item x="4128"/>
        <item x="4460"/>
        <item x="2319"/>
        <item x="1142"/>
        <item x="1313"/>
        <item x="99"/>
        <item x="4375"/>
        <item x="124"/>
        <item x="575"/>
        <item x="1048"/>
        <item x="2961"/>
        <item x="1016"/>
        <item x="1721"/>
        <item x="1904"/>
        <item x="2262"/>
        <item x="3113"/>
        <item x="4142"/>
        <item x="4293"/>
        <item x="2960"/>
        <item x="3198"/>
        <item x="2428"/>
        <item x="964"/>
        <item x="1151"/>
        <item x="2318"/>
        <item x="1454"/>
        <item x="618"/>
        <item x="3309"/>
        <item x="3940"/>
        <item x="2067"/>
        <item x="773"/>
        <item x="3443"/>
        <item x="2937"/>
        <item x="4245"/>
        <item x="1452"/>
        <item x="4103"/>
        <item x="3753"/>
        <item x="3712"/>
        <item x="445"/>
        <item x="2229"/>
        <item x="4243"/>
        <item x="1577"/>
        <item x="2412"/>
        <item x="297"/>
        <item x="584"/>
        <item x="2706"/>
        <item x="4359"/>
        <item x="2617"/>
        <item x="4447"/>
        <item x="2053"/>
        <item x="4380"/>
        <item x="818"/>
        <item x="1600"/>
        <item x="2061"/>
        <item x="2130"/>
        <item x="715"/>
        <item x="3323"/>
        <item x="1991"/>
        <item x="1252"/>
        <item x="2576"/>
        <item x="4229"/>
        <item x="2003"/>
        <item x="822"/>
        <item x="3567"/>
        <item x="3367"/>
        <item x="1497"/>
        <item x="936"/>
        <item x="557"/>
        <item x="3984"/>
        <item x="2991"/>
        <item x="1971"/>
        <item x="336"/>
        <item x="1075"/>
        <item x="4437"/>
        <item x="2866"/>
        <item x="1882"/>
        <item x="1663"/>
        <item x="3164"/>
        <item x="1348"/>
        <item x="1755"/>
        <item x="4078"/>
        <item x="316"/>
        <item x="2512"/>
        <item x="3483"/>
        <item x="4035"/>
        <item x="1924"/>
        <item x="2293"/>
        <item x="2931"/>
        <item x="4180"/>
        <item x="4320"/>
        <item x="4202"/>
        <item x="4190"/>
        <item x="3170"/>
        <item x="815"/>
        <item x="4327"/>
        <item x="2036"/>
        <item x="4470"/>
        <item x="3545"/>
        <item x="1087"/>
        <item x="1713"/>
        <item x="3296"/>
        <item x="2242"/>
        <item x="3578"/>
        <item x="3787"/>
        <item x="2814"/>
        <item x="2795"/>
        <item x="3352"/>
        <item x="929"/>
        <item x="2393"/>
        <item x="665"/>
        <item x="3475"/>
        <item x="2580"/>
        <item x="3035"/>
        <item x="1283"/>
        <item x="176"/>
        <item x="210"/>
        <item x="96"/>
        <item x="1541"/>
        <item x="1858"/>
        <item x="1719"/>
        <item x="3653"/>
        <item x="808"/>
        <item x="4156"/>
        <item x="1523"/>
        <item x="3386"/>
        <item x="368"/>
        <item x="4241"/>
        <item x="3480"/>
        <item x="468"/>
        <item x="1172"/>
        <item x="1822"/>
        <item x="2763"/>
        <item x="367"/>
        <item x="3988"/>
        <item x="1749"/>
        <item x="821"/>
        <item x="3509"/>
        <item x="81"/>
        <item x="2402"/>
        <item x="3895"/>
        <item x="2281"/>
        <item x="1588"/>
        <item x="3329"/>
        <item x="2129"/>
        <item x="2596"/>
        <item x="1827"/>
        <item x="1342"/>
        <item x="3442"/>
        <item x="1236"/>
        <item x="1878"/>
        <item x="2226"/>
        <item x="2630"/>
        <item x="3006"/>
        <item x="1752"/>
        <item x="1179"/>
        <item x="4332"/>
        <item x="539"/>
        <item x="4096"/>
        <item x="834"/>
        <item x="341"/>
        <item x="3623"/>
        <item x="2"/>
        <item x="523"/>
        <item x="3848"/>
        <item x="2272"/>
        <item x="4395"/>
        <item x="531"/>
        <item x="451"/>
        <item x="4405"/>
        <item x="4232"/>
        <item x="2090"/>
        <item x="678"/>
        <item x="3303"/>
        <item x="3821"/>
        <item x="2951"/>
        <item x="1323"/>
        <item x="77"/>
        <item x="4390"/>
        <item x="2914"/>
        <item x="2877"/>
        <item x="935"/>
        <item x="2117"/>
        <item x="3249"/>
        <item x="1779"/>
        <item x="2551"/>
        <item x="3264"/>
        <item x="3090"/>
        <item x="3608"/>
        <item x="542"/>
        <item x="957"/>
        <item x="139"/>
        <item x="3757"/>
        <item x="4061"/>
        <item x="1356"/>
        <item x="284"/>
        <item x="3796"/>
        <item x="399"/>
        <item x="1453"/>
        <item x="2060"/>
        <item x="3141"/>
        <item x="1433"/>
        <item x="2592"/>
        <item x="2907"/>
        <item x="1539"/>
        <item x="3606"/>
        <item x="741"/>
        <item x="3763"/>
        <item x="1462"/>
        <item x="2530"/>
        <item x="2240"/>
        <item x="1929"/>
        <item x="3834"/>
        <item x="1344"/>
        <item x="1062"/>
        <item x="3963"/>
        <item x="396"/>
        <item x="4328"/>
        <item x="1111"/>
        <item x="3872"/>
        <item x="1887"/>
        <item x="3767"/>
        <item x="2802"/>
        <item x="734"/>
        <item x="51"/>
        <item x="2658"/>
        <item x="726"/>
        <item x="560"/>
        <item x="2800"/>
        <item x="3092"/>
        <item x="2679"/>
        <item x="3001"/>
        <item x="512"/>
        <item x="2028"/>
        <item x="235"/>
        <item x="2606"/>
        <item x="1266"/>
        <item x="3057"/>
        <item x="3652"/>
        <item x="1821"/>
        <item x="4050"/>
        <item x="830"/>
        <item x="2218"/>
        <item x="1183"/>
        <item x="3484"/>
        <item x="1193"/>
        <item x="879"/>
        <item x="3976"/>
        <item x="2943"/>
        <item x="666"/>
        <item x="3245"/>
        <item x="1339"/>
        <item x="2560"/>
        <item x="1692"/>
        <item x="3021"/>
        <item x="4201"/>
        <item x="689"/>
        <item x="1649"/>
        <item x="2487"/>
        <item x="3154"/>
        <item x="3240"/>
        <item x="787"/>
        <item x="916"/>
        <item x="4352"/>
        <item x="2684"/>
        <item x="1047"/>
        <item x="2756"/>
        <item x="743"/>
        <item x="3033"/>
        <item x="1997"/>
        <item x="4427"/>
        <item x="489"/>
        <item x="1476"/>
        <item x="1132"/>
        <item x="2337"/>
        <item x="1888"/>
        <item x="2870"/>
        <item x="127"/>
        <item x="3739"/>
        <item x="3278"/>
        <item x="3168"/>
        <item x="4134"/>
        <item x="2929"/>
        <item x="2634"/>
        <item x="898"/>
        <item x="1999"/>
        <item x="2378"/>
        <item x="1144"/>
        <item x="2755"/>
        <item x="3259"/>
        <item x="1485"/>
        <item x="237"/>
        <item x="2010"/>
        <item x="2671"/>
        <item x="2672"/>
        <item x="2771"/>
        <item x="697"/>
        <item x="2612"/>
        <item x="1699"/>
        <item x="410"/>
        <item x="2747"/>
        <item x="2206"/>
        <item x="3260"/>
        <item x="383"/>
        <item x="1084"/>
        <item x="2411"/>
        <item x="312"/>
        <item x="1836"/>
        <item x="1957"/>
        <item x="1874"/>
        <item x="2089"/>
        <item x="2282"/>
        <item x="2342"/>
        <item x="2865"/>
        <item x="2832"/>
        <item x="2965"/>
        <item x="2250"/>
        <item x="2294"/>
        <item x="296"/>
        <item x="3553"/>
        <item x="4144"/>
        <item x="2023"/>
        <item x="804"/>
        <item x="4455"/>
        <item x="277"/>
        <item x="2199"/>
        <item x="3448"/>
        <item x="1203"/>
        <item x="222"/>
        <item x="3635"/>
        <item x="1306"/>
        <item x="2379"/>
        <item x="4097"/>
        <item x="4227"/>
        <item x="4104"/>
        <item x="1426"/>
        <item x="1333"/>
        <item x="693"/>
        <item x="1139"/>
        <item x="1166"/>
        <item x="3490"/>
        <item x="3748"/>
        <item x="973"/>
        <item x="833"/>
        <item x="3181"/>
        <item x="1290"/>
        <item x="2228"/>
        <item x="226"/>
        <item x="3217"/>
        <item x="4193"/>
        <item x="2292"/>
        <item x="2247"/>
        <item x="4143"/>
        <item x="2669"/>
        <item x="4278"/>
        <item x="3273"/>
        <item x="1996"/>
        <item x="2837"/>
        <item x="3658"/>
        <item x="1021"/>
        <item x="3397"/>
        <item x="3636"/>
        <item x="840"/>
        <item x="3885"/>
        <item x="4231"/>
        <item x="3324"/>
        <item x="2109"/>
        <item x="3029"/>
        <item x="1974"/>
        <item x="4345"/>
        <item x="1064"/>
        <item x="1859"/>
        <item x="1712"/>
        <item x="1960"/>
        <item x="1108"/>
        <item x="3571"/>
        <item x="2101"/>
        <item x="4067"/>
        <item x="620"/>
        <item x="4220"/>
        <item x="2625"/>
        <item x="1438"/>
        <item x="3202"/>
        <item x="33"/>
        <item x="2602"/>
        <item x="3124"/>
        <item x="4173"/>
        <item x="3587"/>
        <item x="4409"/>
        <item x="1242"/>
        <item x="1401"/>
        <item x="3778"/>
        <item x="1258"/>
        <item x="188"/>
        <item x="1347"/>
        <item x="3754"/>
        <item x="2284"/>
        <item x="2035"/>
        <item x="1137"/>
        <item x="30"/>
        <item x="835"/>
        <item x="663"/>
        <item x="3180"/>
        <item x="2855"/>
        <item x="317"/>
        <item x="3869"/>
        <item x="1188"/>
        <item x="3311"/>
        <item x="3625"/>
        <item x="959"/>
        <item x="1061"/>
        <item x="4233"/>
        <item x="2976"/>
        <item x="4331"/>
        <item x="2544"/>
        <item x="2191"/>
        <item x="915"/>
        <item x="2640"/>
        <item x="706"/>
        <item x="4478"/>
        <item x="1478"/>
        <item x="2338"/>
        <item x="2571"/>
        <item x="3774"/>
        <item x="371"/>
        <item x="4244"/>
        <item x="238"/>
        <item x="2407"/>
        <item x="3562"/>
        <item x="4088"/>
        <item x="3997"/>
        <item x="2146"/>
        <item x="1190"/>
        <item x="993"/>
        <item x="3907"/>
        <item x="2757"/>
        <item x="3928"/>
        <item x="1595"/>
        <item x="3572"/>
        <item x="1505"/>
        <item x="1475"/>
        <item x="1812"/>
        <item x="1702"/>
        <item x="3830"/>
        <item x="309"/>
        <item x="2040"/>
        <item x="1799"/>
        <item x="3989"/>
        <item x="1816"/>
        <item x="3938"/>
        <item x="2344"/>
        <item x="2608"/>
        <item x="3306"/>
        <item x="779"/>
        <item x="93"/>
        <item x="2030"/>
        <item x="581"/>
        <item x="3762"/>
        <item x="848"/>
        <item x="2033"/>
        <item x="536"/>
        <item x="3187"/>
        <item x="3473"/>
        <item x="4311"/>
        <item x="1642"/>
        <item x="2513"/>
        <item x="4453"/>
        <item x="3937"/>
        <item x="761"/>
        <item x="2746"/>
        <item x="1773"/>
        <item x="2626"/>
        <item x="842"/>
        <item x="4485"/>
        <item x="1444"/>
        <item x="455"/>
        <item x="3393"/>
        <item x="2980"/>
        <item x="3003"/>
        <item x="3116"/>
        <item x="3315"/>
        <item x="2780"/>
        <item x="3335"/>
        <item x="778"/>
        <item x="1585"/>
        <item x="1652"/>
        <item x="1788"/>
        <item x="1635"/>
        <item x="9"/>
        <item x="1805"/>
        <item x="4428"/>
        <item x="1696"/>
        <item x="3243"/>
        <item x="207"/>
        <item x="3500"/>
        <item x="947"/>
        <item x="1811"/>
        <item x="3429"/>
        <item x="1232"/>
        <item x="1397"/>
        <item x="937"/>
        <item x="3536"/>
        <item x="4126"/>
        <item x="3855"/>
        <item x="276"/>
        <item x="1647"/>
        <item x="4374"/>
        <item x="1270"/>
        <item x="462"/>
        <item x="3193"/>
        <item x="3939"/>
        <item x="1413"/>
        <item x="2543"/>
        <item x="4047"/>
        <item x="3304"/>
        <item x="3414"/>
        <item x="3445"/>
        <item x="3011"/>
        <item x="2862"/>
        <item x="1972"/>
        <item x="2773"/>
        <item x="1970"/>
        <item x="3117"/>
        <item x="1192"/>
        <item x="3343"/>
        <item x="3574"/>
        <item x="247"/>
        <item x="810"/>
        <item x="2460"/>
        <item x="2173"/>
        <item x="102"/>
        <item x="3725"/>
        <item x="3994"/>
        <item x="4015"/>
        <item x="1415"/>
        <item x="4444"/>
        <item x="4399"/>
        <item x="3588"/>
        <item x="306"/>
        <item x="3581"/>
        <item x="1370"/>
        <item x="2167"/>
        <item x="2059"/>
        <item x="132"/>
        <item x="3364"/>
        <item x="1741"/>
        <item x="690"/>
        <item x="3099"/>
        <item x="1307"/>
        <item x="2698"/>
        <item x="244"/>
        <item x="3425"/>
        <item x="52"/>
        <item x="4471"/>
        <item x="720"/>
        <item x="866"/>
        <item x="1015"/>
        <item x="199"/>
        <item x="2508"/>
        <item x="3799"/>
        <item x="3596"/>
        <item x="1371"/>
        <item x="268"/>
        <item x="1336"/>
        <item x="1511"/>
        <item x="186"/>
        <item x="245"/>
        <item x="1423"/>
        <item x="2985"/>
        <item x="1623"/>
        <item x="329"/>
        <item x="1560"/>
        <item x="3485"/>
        <item x="722"/>
        <item x="594"/>
        <item x="2188"/>
        <item x="2439"/>
        <item x="872"/>
        <item x="2827"/>
        <item x="3922"/>
        <item x="1107"/>
        <item x="327"/>
        <item x="229"/>
        <item x="769"/>
        <item x="817"/>
        <item x="3042"/>
        <item x="4452"/>
        <item x="1330"/>
        <item x="63"/>
        <item x="1008"/>
        <item x="1195"/>
        <item x="4045"/>
        <item x="2333"/>
        <item x="2124"/>
        <item x="2209"/>
        <item x="53"/>
        <item x="401"/>
        <item x="320"/>
        <item x="3590"/>
        <item x="3797"/>
        <item x="3390"/>
        <item x="1233"/>
        <item x="3241"/>
        <item x="3005"/>
        <item x="2805"/>
        <item x="1278"/>
        <item x="1388"/>
        <item x="104"/>
        <item x="344"/>
        <item x="2425"/>
        <item x="2473"/>
        <item x="3790"/>
        <item x="1460"/>
        <item x="18"/>
        <item x="3813"/>
        <item x="3632"/>
        <item x="3472"/>
        <item x="905"/>
        <item x="918"/>
        <item x="234"/>
        <item x="2942"/>
        <item x="385"/>
        <item x="3263"/>
        <item x="2295"/>
        <item x="899"/>
        <item x="668"/>
        <item x="267"/>
        <item x="1876"/>
        <item x="2838"/>
        <item x="4479"/>
        <item x="2458"/>
        <item x="1613"/>
        <item x="1871"/>
        <item x="3614"/>
        <item x="1839"/>
        <item x="4457"/>
        <item x="3169"/>
        <item x="300"/>
        <item x="735"/>
        <item x="1113"/>
        <item x="202"/>
        <item x="643"/>
        <item x="601"/>
        <item x="1671"/>
        <item x="976"/>
        <item x="5"/>
        <item x="387"/>
        <item x="4182"/>
        <item x="2307"/>
        <item x="2070"/>
        <item x="3529"/>
        <item x="768"/>
        <item x="2020"/>
        <item x="2854"/>
        <item x="386"/>
        <item x="2670"/>
        <item x="1045"/>
        <item x="3829"/>
        <item x="2437"/>
        <item x="2732"/>
        <item x="19"/>
        <item x="3551"/>
        <item x="498"/>
        <item x="3847"/>
        <item x="1343"/>
        <item x="2380"/>
        <item x="2322"/>
        <item x="253"/>
        <item x="592"/>
        <item x="3524"/>
        <item x="2195"/>
        <item x="1153"/>
        <item x="120"/>
        <item x="1771"/>
        <item x="4025"/>
        <item x="568"/>
        <item x="2586"/>
        <item x="1630"/>
        <item x="1345"/>
        <item x="1189"/>
        <item x="3845"/>
        <item x="1445"/>
        <item x="1723"/>
        <item x="3716"/>
        <item x="4157"/>
        <item x="1073"/>
        <item x="1117"/>
        <item x="3468"/>
        <item x="2872"/>
        <item x="1610"/>
        <item x="3840"/>
        <item x="971"/>
        <item x="2888"/>
        <item x="1285"/>
        <item x="2509"/>
        <item x="3643"/>
        <item x="825"/>
        <item x="4346"/>
        <item x="3999"/>
        <item x="4141"/>
        <item x="4366"/>
        <item x="691"/>
        <item x="3783"/>
        <item x="4094"/>
        <item x="1375"/>
        <item x="3772"/>
        <item x="1106"/>
        <item x="3558"/>
        <item x="1534"/>
        <item x="374"/>
        <item x="2614"/>
        <item x="2840"/>
        <item x="429"/>
        <item x="4250"/>
        <item x="1872"/>
        <item x="3666"/>
        <item x="2137"/>
        <item x="2585"/>
        <item x="836"/>
        <item x="255"/>
        <item x="119"/>
        <item x="1365"/>
        <item x="1013"/>
        <item x="4377"/>
        <item x="2923"/>
        <item x="744"/>
        <item x="4199"/>
        <item x="2604"/>
        <item x="1463"/>
        <item x="3916"/>
        <item x="2887"/>
        <item x="4012"/>
        <item x="3720"/>
        <item x="949"/>
        <item x="583"/>
        <item x="1158"/>
        <item x="2429"/>
        <item x="862"/>
        <item x="3137"/>
        <item x="4464"/>
        <item x="3565"/>
        <item x="1058"/>
        <item x="4177"/>
        <item x="4160"/>
        <item x="140"/>
        <item x="4349"/>
        <item x="3948"/>
        <item x="1967"/>
        <item x="2046"/>
        <item x="762"/>
        <item x="2693"/>
        <item x="36"/>
        <item x="4371"/>
        <item x="3789"/>
        <item x="2261"/>
        <item x="3252"/>
        <item x="2902"/>
        <item x="421"/>
        <item x="3734"/>
        <item x="843"/>
        <item x="3602"/>
        <item x="556"/>
        <item x="1542"/>
        <item x="12"/>
        <item x="3281"/>
        <item x="2484"/>
        <item x="1868"/>
        <item x="975"/>
        <item x="3213"/>
        <item x="3513"/>
        <item x="1538"/>
        <item x="3298"/>
        <item x="1548"/>
        <item x="1382"/>
        <item x="4003"/>
        <item x="4285"/>
        <item x="692"/>
        <item x="3147"/>
        <item x="450"/>
        <item x="3949"/>
        <item x="250"/>
        <item x="3093"/>
        <item x="1602"/>
        <item x="711"/>
        <item x="4286"/>
        <item x="824"/>
        <item x="3009"/>
        <item x="339"/>
        <item x="3176"/>
        <item x="2043"/>
        <item x="1785"/>
        <item x="4205"/>
        <item x="302"/>
        <item x="2813"/>
        <item x="3146"/>
        <item x="563"/>
        <item x="4442"/>
        <item x="3014"/>
        <item x="3487"/>
        <item x="1668"/>
        <item x="799"/>
        <item x="1138"/>
        <item x="409"/>
        <item x="950"/>
        <item x="1787"/>
        <item x="499"/>
        <item x="1163"/>
        <item x="1626"/>
        <item x="701"/>
        <item x="3446"/>
        <item x="3555"/>
        <item x="2323"/>
        <item x="2052"/>
        <item x="2217"/>
        <item x="4378"/>
        <item x="3094"/>
        <item x="1050"/>
        <item x="2245"/>
        <item x="1077"/>
        <item x="3321"/>
        <item x="564"/>
        <item x="4041"/>
        <item x="3222"/>
        <item x="2546"/>
        <item x="807"/>
        <item x="3399"/>
        <item x="4288"/>
        <item x="2819"/>
        <item x="987"/>
        <item x="1230"/>
        <item x="3369"/>
        <item x="2135"/>
        <item x="4438"/>
        <item x="4392"/>
        <item x="3827"/>
        <item x="3342"/>
        <item x="4370"/>
        <item x="3908"/>
        <item x="3015"/>
        <item x="2599"/>
        <item x="1467"/>
        <item x="1351"/>
        <item x="2062"/>
        <item x="846"/>
        <item x="4357"/>
        <item x="3942"/>
        <item x="1392"/>
        <item x="3350"/>
        <item x="2527"/>
        <item x="1934"/>
        <item x="3592"/>
        <item x="2705"/>
        <item x="428"/>
        <item x="3452"/>
        <item x="3563"/>
        <item x="3272"/>
        <item x="1783"/>
        <item x="242"/>
        <item x="42"/>
        <item x="1326"/>
        <item x="4446"/>
        <item x="3071"/>
        <item x="2461"/>
        <item x="492"/>
        <item x="2917"/>
        <item x="1254"/>
        <item x="402"/>
        <item x="881"/>
        <item x="4326"/>
        <item x="931"/>
        <item x="1297"/>
        <item x="1551"/>
        <item x="156"/>
        <item x="2478"/>
        <item x="562"/>
        <item x="2000"/>
        <item x="624"/>
        <item x="3206"/>
        <item x="1243"/>
        <item x="4386"/>
        <item x="717"/>
        <item x="2750"/>
        <item x="2645"/>
        <item x="1648"/>
        <item x="2562"/>
        <item x="136"/>
        <item x="203"/>
        <item x="2833"/>
        <item x="586"/>
        <item x="513"/>
        <item x="1826"/>
        <item x="681"/>
        <item x="2099"/>
        <item x="1809"/>
        <item x="1185"/>
        <item x="2100"/>
        <item x="2607"/>
        <item x="2573"/>
        <item x="1399"/>
        <item x="106"/>
        <item x="3568"/>
        <item x="3336"/>
        <item x="3793"/>
        <item x="746"/>
        <item x="3595"/>
        <item x="4387"/>
        <item x="4309"/>
        <item x="431"/>
        <item x="101"/>
        <item x="3325"/>
        <item x="1959"/>
        <item x="2264"/>
        <item x="1398"/>
        <item x="3108"/>
        <item x="3920"/>
        <item x="3265"/>
        <item x="3337"/>
        <item x="352"/>
        <item x="43"/>
        <item x="2680"/>
        <item x="3686"/>
        <item x="1378"/>
        <item x="2928"/>
        <item x="1857"/>
        <item x="1483"/>
        <item x="1769"/>
        <item x="3100"/>
        <item x="2524"/>
        <item x="1174"/>
        <item x="1170"/>
        <item x="3547"/>
        <item x="3069"/>
        <item x="1549"/>
        <item x="2818"/>
        <item x="4054"/>
        <item x="1447"/>
        <item x="1493"/>
        <item x="2831"/>
        <item x="193"/>
        <item x="737"/>
        <item x="951"/>
        <item x="4169"/>
        <item x="849"/>
        <item x="3287"/>
        <item x="112"/>
        <item x="2197"/>
        <item x="1714"/>
        <item x="3065"/>
        <item x="2297"/>
        <item x="1325"/>
        <item x="1935"/>
        <item x="4463"/>
        <item x="2666"/>
        <item x="1148"/>
        <item x="189"/>
        <item x="361"/>
        <item x="3104"/>
        <item x="3408"/>
        <item x="1601"/>
        <item x="4294"/>
        <item x="4159"/>
        <item x="2475"/>
        <item x="4057"/>
        <item x="765"/>
        <item x="3384"/>
        <item x="4218"/>
        <item x="1110"/>
        <item x="2134"/>
        <item x="930"/>
        <item x="1353"/>
        <item x="1247"/>
        <item x="1324"/>
        <item x="3935"/>
        <item x="4269"/>
        <item x="233"/>
        <item x="3308"/>
        <item x="1573"/>
        <item x="753"/>
        <item x="3722"/>
        <item x="1181"/>
        <item x="216"/>
        <item x="4099"/>
        <item x="256"/>
        <item x="347"/>
        <item x="2138"/>
        <item x="3224"/>
        <item x="3914"/>
        <item x="731"/>
        <item x="4391"/>
        <item x="1070"/>
        <item x="400"/>
        <item x="1632"/>
        <item x="3056"/>
        <item x="1969"/>
        <item x="687"/>
        <item x="1851"/>
        <item x="4481"/>
        <item x="1359"/>
        <item x="2864"/>
        <item x="3478"/>
        <item x="1366"/>
        <item x="1280"/>
        <item x="1710"/>
        <item x="4022"/>
        <item x="2903"/>
        <item x="2223"/>
        <item x="600"/>
        <item x="4208"/>
        <item x="2086"/>
        <item x="122"/>
        <item x="480"/>
        <item x="2760"/>
        <item x="334"/>
        <item x="2938"/>
        <item x="3089"/>
        <item x="4440"/>
        <item x="2638"/>
        <item x="3639"/>
        <item x="2801"/>
        <item x="4079"/>
        <item x="1572"/>
        <item x="953"/>
        <item x="1312"/>
        <item x="4254"/>
        <item x="4450"/>
        <item x="2233"/>
        <item x="372"/>
        <item x="837"/>
        <item x="3512"/>
        <item x="1965"/>
        <item x="392"/>
        <item x="548"/>
        <item x="1831"/>
        <item x="3502"/>
        <item x="3388"/>
        <item x="655"/>
        <item x="2577"/>
        <item x="729"/>
        <item x="1369"/>
        <item x="1886"/>
        <item x="2905"/>
        <item x="2806"/>
        <item x="2339"/>
        <item x="2894"/>
        <item x="1287"/>
        <item x="3153"/>
        <item x="2241"/>
        <item x="567"/>
        <item x="3706"/>
        <item x="1840"/>
        <item x="4121"/>
        <item x="64"/>
        <item x="3226"/>
        <item x="4340"/>
        <item x="3831"/>
        <item x="3995"/>
        <item x="2313"/>
        <item x="1546"/>
        <item x="484"/>
        <item x="839"/>
        <item x="828"/>
        <item x="1474"/>
        <item x="1529"/>
        <item x="1386"/>
        <item x="3705"/>
        <item x="4276"/>
        <item x="470"/>
        <item x="403"/>
        <item x="1372"/>
        <item x="4051"/>
        <item x="3690"/>
        <item x="3765"/>
        <item x="2631"/>
        <item x="2148"/>
        <item x="2441"/>
        <item x="688"/>
        <item x="2966"/>
        <item x="1295"/>
        <item x="1088"/>
        <item x="365"/>
        <item x="2329"/>
        <item x="4163"/>
        <item x="1213"/>
        <item x="3018"/>
        <item x="1406"/>
        <item x="2892"/>
        <item x="2944"/>
        <item x="459"/>
        <item x="2810"/>
        <item x="3969"/>
        <item x="200"/>
        <item x="389"/>
        <item x="1952"/>
        <item x="2790"/>
        <item x="4198"/>
        <item x="4376"/>
        <item x="3573"/>
        <item x="2145"/>
        <item x="1263"/>
        <item x="727"/>
        <item x="598"/>
        <item x="3603"/>
        <item x="4364"/>
        <item x="3145"/>
        <item x="1442"/>
        <item x="2521"/>
        <item x="3031"/>
        <item x="1558"/>
        <item x="2300"/>
        <item x="3474"/>
        <item x="639"/>
        <item x="4258"/>
        <item x="3849"/>
        <item x="738"/>
        <item x="998"/>
        <item x="3800"/>
        <item x="3566"/>
        <item x="3036"/>
        <item x="1566"/>
        <item x="1308"/>
        <item x="2510"/>
        <item x="2703"/>
        <item x="2567"/>
        <item x="897"/>
        <item x="1981"/>
        <item x="2375"/>
        <item x="3779"/>
        <item x="3921"/>
        <item x="4139"/>
        <item x="2290"/>
        <item x="16"/>
        <item x="633"/>
        <item x="1842"/>
        <item x="1316"/>
        <item x="2849"/>
        <item x="2454"/>
        <item x="1396"/>
        <item x="3886"/>
        <item x="3647"/>
        <item x="2435"/>
        <item x="4246"/>
        <item x="4343"/>
        <item x="1889"/>
        <item x="3986"/>
        <item x="1739"/>
        <item x="458"/>
        <item x="2073"/>
        <item x="4196"/>
        <item x="349"/>
        <item x="1332"/>
        <item x="4130"/>
        <item x="530"/>
        <item x="2269"/>
        <item x="558"/>
        <item x="194"/>
        <item x="3048"/>
        <item x="3279"/>
        <item x="1715"/>
        <item x="425"/>
        <item x="3702"/>
        <item x="2673"/>
        <item x="2729"/>
        <item x="35"/>
        <item x="2455"/>
        <item x="517"/>
        <item x="597"/>
        <item x="2207"/>
        <item x="3786"/>
        <item x="3295"/>
        <item x="4415"/>
        <item x="11"/>
        <item x="2758"/>
        <item x="1112"/>
        <item x="3043"/>
        <item x="3292"/>
        <item x="4487"/>
        <item x="3759"/>
        <item x="1154"/>
        <item x="4150"/>
        <item x="2646"/>
        <item x="2321"/>
        <item x="672"/>
        <item x="1284"/>
        <item x="1301"/>
        <item x="3862"/>
        <item x="3383"/>
        <item x="1733"/>
        <item x="497"/>
        <item x="1469"/>
        <item x="2975"/>
        <item x="1716"/>
        <item x="4024"/>
        <item x="2635"/>
        <item x="150"/>
        <item x="1619"/>
        <item x="376"/>
        <item x="3825"/>
        <item x="3432"/>
        <item x="1152"/>
        <item x="146"/>
        <item x="4394"/>
        <item x="2418"/>
        <item x="2948"/>
        <item x="3363"/>
        <item x="1202"/>
        <item x="2087"/>
        <item x="2396"/>
        <item x="1432"/>
        <item x="3007"/>
        <item x="3482"/>
        <item x="2953"/>
        <item x="2420"/>
        <item x="3471"/>
        <item x="2847"/>
        <item x="1853"/>
        <item x="2610"/>
        <item x="767"/>
        <item x="135"/>
        <item x="1394"/>
        <item x="3880"/>
        <item x="4184"/>
        <item x="3398"/>
        <item x="1216"/>
        <item x="1902"/>
        <item x="4146"/>
        <item x="3609"/>
        <item x="32"/>
        <item x="1265"/>
        <item x="3930"/>
        <item x="4321"/>
        <item x="514"/>
        <item x="4021"/>
        <item x="3828"/>
        <item x="4449"/>
        <item x="265"/>
        <item x="3871"/>
        <item x="1777"/>
        <item x="2072"/>
        <item x="332"/>
        <item x="2539"/>
        <item x="2622"/>
        <item x="1975"/>
        <item x="4411"/>
        <item x="395"/>
        <item x="1563"/>
        <item x="2370"/>
        <item x="3225"/>
        <item x="1237"/>
        <item x="2731"/>
        <item x="198"/>
        <item x="84"/>
        <item x="1555"/>
        <item x="3610"/>
        <item x="613"/>
        <item x="3417"/>
        <item x="1434"/>
        <item x="351"/>
        <item x="3816"/>
        <item x="152"/>
        <item x="2846"/>
        <item x="1797"/>
        <item x="977"/>
        <item x="107"/>
        <item x="1109"/>
        <item x="2384"/>
        <item x="3874"/>
        <item x="2569"/>
        <item x="2740"/>
        <item x="4129"/>
        <item x="1309"/>
        <item x="1532"/>
        <item x="1570"/>
        <item x="574"/>
        <item x="1611"/>
        <item x="1496"/>
        <item x="2968"/>
        <item x="4066"/>
        <item x="3870"/>
        <item x="3730"/>
        <item x="4179"/>
        <item x="2787"/>
        <item x="2526"/>
        <item x="1953"/>
        <item x="3910"/>
        <item x="1795"/>
        <item x="2383"/>
        <item x="3620"/>
        <item x="2619"/>
        <item x="67"/>
        <item x="4009"/>
        <item x="805"/>
        <item x="1939"/>
        <item x="4192"/>
        <item x="2830"/>
        <item x="3345"/>
        <item x="4290"/>
        <item x="1625"/>
        <item x="3660"/>
        <item x="1400"/>
        <item x="938"/>
        <item x="91"/>
        <item x="3768"/>
        <item x="1204"/>
        <item x="118"/>
        <item x="3271"/>
        <item x="1590"/>
        <item x="2203"/>
        <item x="3052"/>
        <item x="1402"/>
        <item x="1079"/>
        <item x="4337"/>
        <item x="3381"/>
        <item x="3883"/>
        <item x="2591"/>
        <item x="143"/>
        <item x="2308"/>
        <item x="3211"/>
        <item x="2724"/>
        <item x="1998"/>
        <item x="321"/>
        <item x="896"/>
        <item x="249"/>
        <item x="1363"/>
        <item x="160"/>
        <item x="3780"/>
        <item x="2263"/>
        <item x="1086"/>
        <item x="4480"/>
        <item x="869"/>
        <item x="4216"/>
        <item x="4367"/>
        <item x="1528"/>
        <item x="657"/>
        <item x="1036"/>
        <item x="2331"/>
        <item x="414"/>
        <item x="4482"/>
        <item x="3534"/>
        <item x="2126"/>
        <item x="1427"/>
        <item x="25"/>
        <item x="2723"/>
        <item x="2861"/>
        <item x="4023"/>
        <item x="4039"/>
        <item x="3479"/>
        <item x="1502"/>
        <item x="674"/>
        <item x="172"/>
        <item x="960"/>
        <item x="4165"/>
        <item x="1908"/>
        <item x="616"/>
        <item x="3673"/>
        <item x="3838"/>
        <item x="577"/>
        <item x="1089"/>
        <item x="820"/>
        <item x="4106"/>
        <item x="3675"/>
        <item x="1644"/>
        <item x="1708"/>
        <item x="4234"/>
        <item x="784"/>
        <item x="1114"/>
        <item x="4203"/>
        <item x="505"/>
        <item x="1441"/>
        <item x="3889"/>
        <item x="4116"/>
        <item x="2301"/>
        <item x="2388"/>
        <item x="2682"/>
        <item x="667"/>
        <item x="4435"/>
        <item x="1918"/>
        <item x="6"/>
        <item x="2971"/>
        <item x="3302"/>
        <item x="1425"/>
        <item x="1437"/>
        <item x="1176"/>
        <item x="1838"/>
        <item x="3627"/>
        <item x="751"/>
        <item x="2990"/>
        <item x="4338"/>
        <item x="1173"/>
        <item x="1947"/>
        <item x="3742"/>
        <item x="546"/>
        <item x="1919"/>
        <item x="4221"/>
        <item x="4162"/>
        <item x="844"/>
        <item x="412"/>
        <item x="1621"/>
        <item x="3518"/>
        <item x="3704"/>
        <item x="1522"/>
        <item x="487"/>
        <item x="555"/>
        <item x="479"/>
        <item x="831"/>
        <item x="1737"/>
        <item x="174"/>
        <item x="1310"/>
        <item x="1932"/>
        <item x="3718"/>
        <item x="3348"/>
        <item x="2351"/>
        <item x="2330"/>
        <item x="3254"/>
        <item x="1599"/>
        <item x="3970"/>
        <item x="486"/>
        <item x="3901"/>
        <item x="1854"/>
        <item x="1221"/>
        <item x="845"/>
        <item x="3316"/>
        <item x="1653"/>
        <item x="1846"/>
        <item x="3127"/>
        <item x="27"/>
        <item x="3132"/>
        <item x="440"/>
        <item x="298"/>
        <item x="1027"/>
        <item x="1680"/>
        <item x="2147"/>
        <item x="3979"/>
        <item x="582"/>
        <item x="2358"/>
        <item x="1565"/>
        <item x="1688"/>
        <item x="4384"/>
        <item x="819"/>
        <item x="2964"/>
        <item x="2025"/>
        <item x="943"/>
        <item x="2897"/>
        <item x="3805"/>
        <item x="407"/>
        <item x="433"/>
        <item x="2246"/>
        <item x="1580"/>
        <item x="2161"/>
        <item x="2537"/>
        <item x="195"/>
        <item x="2355"/>
        <item x="166"/>
        <item x="2081"/>
        <item x="551"/>
        <item x="2841"/>
        <item x="1657"/>
        <item x="2196"/>
        <item x="602"/>
        <item x="3201"/>
        <item x="4155"/>
        <item x="3492"/>
        <item x="1786"/>
        <item x="3322"/>
        <item x="4178"/>
        <item x="3618"/>
        <item x="1318"/>
        <item x="3140"/>
        <item x="3460"/>
        <item x="1133"/>
        <item x="3299"/>
        <item x="1683"/>
        <item x="1909"/>
        <item x="2881"/>
        <item x="1461"/>
        <item x="1717"/>
        <item x="2982"/>
        <item x="1501"/>
        <item x="117"/>
        <item x="1948"/>
        <item x="3865"/>
        <item x="1725"/>
        <item x="2816"/>
        <item x="1002"/>
        <item x="760"/>
        <item x="115"/>
        <item x="444"/>
        <item x="2779"/>
        <item x="1880"/>
        <item x="1018"/>
        <item x="1510"/>
        <item x="3510"/>
        <item x="1507"/>
        <item x="3044"/>
        <item x="2232"/>
        <item x="2792"/>
        <item x="3694"/>
        <item x="2776"/>
        <item x="47"/>
        <item x="4312"/>
        <item x="1759"/>
        <item x="3111"/>
        <item x="974"/>
        <item x="2967"/>
        <item x="1629"/>
        <item x="2111"/>
        <item x="695"/>
        <item x="432"/>
        <item x="988"/>
        <item x="2589"/>
        <item x="175"/>
        <item x="3395"/>
        <item x="1360"/>
        <item x="3733"/>
        <item x="795"/>
        <item x="788"/>
        <item x="2392"/>
        <item x="2809"/>
        <item x="3749"/>
        <item x="3380"/>
        <item x="4164"/>
        <item x="31"/>
        <item x="1051"/>
        <item x="1354"/>
        <item x="2728"/>
        <item x="3782"/>
        <item x="1707"/>
        <item x="4434"/>
        <item x="2092"/>
        <item x="3613"/>
        <item x="2058"/>
        <item x="1586"/>
        <item x="3593"/>
        <item x="3156"/>
        <item x="2438"/>
        <item x="2788"/>
        <item x="3896"/>
        <item x="3041"/>
        <item x="3256"/>
        <item x="465"/>
        <item x="2579"/>
        <item x="271"/>
        <item x="1891"/>
        <item x="3121"/>
        <item x="1376"/>
        <item x="1684"/>
        <item x="4344"/>
        <item x="3933"/>
        <item x="653"/>
        <item x="3459"/>
        <item x="1806"/>
        <item x="379"/>
        <item x="4299"/>
        <item x="1612"/>
        <item x="304"/>
        <item x="4277"/>
        <item x="4118"/>
        <item x="887"/>
        <item x="4017"/>
        <item x="2909"/>
        <item x="2400"/>
        <item x="4168"/>
        <item x="273"/>
        <item x="3858"/>
        <item x="1227"/>
        <item x="179"/>
        <item x="2448"/>
        <item x="2029"/>
        <item x="4393"/>
        <item x="2414"/>
        <item x="2071"/>
        <item x="4421"/>
        <item x="1877"/>
        <item x="3973"/>
        <item x="3235"/>
        <item x="890"/>
        <item x="1814"/>
        <item x="485"/>
        <item x="629"/>
        <item x="4445"/>
        <item x="1298"/>
        <item x="2125"/>
        <item x="1273"/>
        <item x="3537"/>
        <item x="2048"/>
        <item x="1450"/>
        <item x="326"/>
        <item x="2044"/>
        <item x="4133"/>
        <item x="2548"/>
        <item x="3776"/>
        <item x="3075"/>
        <item x="2817"/>
        <item x="350"/>
        <item x="48"/>
        <item x="4194"/>
        <item x="814"/>
        <item x="4215"/>
        <item x="3034"/>
        <item x="2661"/>
        <item x="1578"/>
        <item x="4110"/>
        <item x="3902"/>
        <item x="1494"/>
        <item x="3600"/>
        <item x="1465"/>
        <item x="730"/>
        <item x="4174"/>
        <item x="1718"/>
        <item x="4210"/>
        <item x="2863"/>
        <item x="74"/>
        <item x="2153"/>
        <item x="185"/>
        <item x="3237"/>
        <item x="2371"/>
        <item x="75"/>
        <item x="3693"/>
        <item x="61"/>
        <item x="2413"/>
        <item x="2140"/>
        <item x="2303"/>
        <item x="921"/>
        <item x="3703"/>
        <item x="2181"/>
        <item x="290"/>
        <item x="1509"/>
        <item x="3589"/>
        <item x="2491"/>
        <item x="2466"/>
        <item x="3330"/>
        <item x="1614"/>
        <item x="827"/>
        <item x="3066"/>
        <item x="3583"/>
        <item x="3844"/>
        <item x="1796"/>
        <item x="3521"/>
        <item x="3993"/>
        <item x="4317"/>
        <item x="1660"/>
        <item x="3681"/>
        <item x="1074"/>
        <item x="2270"/>
        <item x="1167"/>
        <item x="2901"/>
        <item x="3467"/>
        <item x="989"/>
        <item x="884"/>
        <item x="2657"/>
        <item x="3191"/>
        <item x="4401"/>
        <item x="2972"/>
        <item x="2171"/>
        <item x="595"/>
        <item x="171"/>
        <item x="3416"/>
        <item x="520"/>
        <item x="644"/>
        <item x="1321"/>
        <item x="3165"/>
        <item x="2183"/>
        <item x="2267"/>
        <item x="1005"/>
        <item x="1536"/>
        <item x="2472"/>
        <item x="3531"/>
        <item x="4230"/>
        <item x="3760"/>
        <item x="1156"/>
        <item x="2398"/>
        <item x="38"/>
        <item x="1122"/>
        <item x="2119"/>
        <item x="2470"/>
        <item x="1940"/>
        <item x="3356"/>
        <item x="2118"/>
        <item x="1686"/>
        <item x="3814"/>
        <item x="1205"/>
        <item x="3102"/>
        <item x="4191"/>
        <item x="792"/>
        <item x="2085"/>
        <item x="2796"/>
        <item x="94"/>
        <item x="1094"/>
        <item x="673"/>
        <item x="1199"/>
        <item x="50"/>
        <item x="859"/>
        <item x="1682"/>
        <item x="3449"/>
        <item x="2696"/>
        <item x="3233"/>
        <item x="3906"/>
        <item x="2158"/>
        <item x="1416"/>
        <item x="3440"/>
        <item x="1481"/>
        <item x="3540"/>
        <item x="3911"/>
        <item x="2761"/>
        <item x="1451"/>
        <item x="4476"/>
        <item x="3764"/>
        <item x="3990"/>
        <item x="2488"/>
        <item x="1209"/>
        <item x="748"/>
        <item x="585"/>
        <item x="2590"/>
        <item x="3807"/>
        <item x="1835"/>
        <item x="3040"/>
        <item x="2252"/>
        <item x="521"/>
        <item x="213"/>
        <item x="151"/>
        <item x="2433"/>
        <item x="2021"/>
        <item x="3297"/>
        <item x="1896"/>
        <item x="2781"/>
        <item x="3812"/>
        <item x="2665"/>
        <item x="1609"/>
        <item x="1011"/>
        <item x="1458"/>
        <item x="2507"/>
        <item x="1847"/>
        <item x="2856"/>
        <item x="3777"/>
        <item x="3320"/>
        <item x="3067"/>
        <item x="2593"/>
        <item x="2534"/>
        <item x="2726"/>
        <item x="3599"/>
        <item x="4154"/>
        <item x="1641"/>
        <item x="3672"/>
        <item x="528"/>
        <item x="1843"/>
        <item x="2248"/>
        <item x="220"/>
        <item x="228"/>
        <item x="1120"/>
        <item x="4431"/>
        <item x="3962"/>
        <item x="2353"/>
        <item x="1126"/>
        <item x="2064"/>
        <item x="1041"/>
        <item x="1651"/>
        <item x="2359"/>
        <item x="1744"/>
        <item x="1803"/>
        <item x="3837"/>
        <item x="878"/>
        <item x="1034"/>
        <item x="2255"/>
        <item x="1685"/>
        <item x="2170"/>
        <item x="1754"/>
        <item x="3289"/>
        <item x="2687"/>
        <item x="4406"/>
        <item x="2121"/>
        <item x="2399"/>
        <item x="3341"/>
        <item x="3755"/>
        <item x="2662"/>
        <item x="3010"/>
        <item x="3680"/>
        <item x="2704"/>
        <item x="3769"/>
        <item x="2600"/>
        <item x="2572"/>
        <item x="3301"/>
        <item x="1300"/>
        <item x="3134"/>
        <item x="1056"/>
        <item x="680"/>
        <item x="3333"/>
        <item x="1818"/>
        <item x="4132"/>
        <item x="1837"/>
        <item x="1672"/>
        <item x="2721"/>
        <item x="2738"/>
        <item x="1001"/>
        <item x="3640"/>
        <item x="2984"/>
        <item x="2419"/>
        <item x="4251"/>
        <item x="294"/>
        <item x="2452"/>
        <item x="1000"/>
        <item x="571"/>
        <item x="1964"/>
        <item x="1691"/>
        <item x="4124"/>
        <item x="353"/>
        <item x="2136"/>
        <item x="2019"/>
        <item x="1834"/>
        <item x="945"/>
        <item x="2541"/>
        <item x="2078"/>
        <item x="3731"/>
        <item x="473"/>
        <item x="4071"/>
        <item x="813"/>
        <item x="756"/>
        <item x="2230"/>
        <item x="44"/>
        <item x="1029"/>
        <item x="2652"/>
        <item x="1765"/>
        <item x="3410"/>
        <item x="2481"/>
        <item x="3284"/>
        <item x="1526"/>
        <item x="2312"/>
        <item x="1559"/>
        <item x="913"/>
        <item x="4385"/>
        <item x="3221"/>
        <item x="3917"/>
        <item x="2116"/>
        <item x="3192"/>
        <item x="3195"/>
        <item x="4295"/>
        <item x="3688"/>
        <item x="3677"/>
        <item x="3773"/>
        <item x="3887"/>
        <item x="4468"/>
        <item x="1694"/>
        <item x="2362"/>
        <item x="2296"/>
        <item x="752"/>
        <item x="2299"/>
        <item x="1724"/>
        <item x="3860"/>
        <item x="1793"/>
        <item x="1508"/>
        <item x="1923"/>
        <item x="1429"/>
        <item x="3852"/>
        <item x="1379"/>
        <item x="257"/>
        <item x="1314"/>
        <item x="2176"/>
        <item x="2582"/>
        <item x="3409"/>
        <item x="2376"/>
        <item x="740"/>
        <item x="1926"/>
        <item x="3864"/>
        <item x="3665"/>
        <item x="696"/>
        <item x="1521"/>
        <item x="1085"/>
        <item x="2720"/>
        <item x="28"/>
        <item x="2443"/>
        <item x="3894"/>
        <item x="609"/>
        <item x="292"/>
        <item x="789"/>
        <item x="854"/>
        <item x="2629"/>
        <item x="1430"/>
        <item x="2027"/>
        <item x="26"/>
        <item x="1753"/>
        <item x="3288"/>
        <item x="2456"/>
        <item x="1319"/>
        <item x="1583"/>
        <item x="3290"/>
        <item x="3461"/>
        <item x="3506"/>
        <item x="780"/>
        <item x="1941"/>
        <item x="1514"/>
        <item x="1222"/>
        <item x="1042"/>
        <item x="2219"/>
        <item x="4272"/>
        <item x="4080"/>
        <item x="3617"/>
        <item x="2482"/>
        <item x="1544"/>
        <item x="1044"/>
        <item x="1346"/>
        <item x="3501"/>
        <item x="2730"/>
        <item x="90"/>
        <item x="1065"/>
        <item x="3184"/>
        <item x="2235"/>
        <item x="373"/>
        <item x="1810"/>
        <item x="2014"/>
        <item x="4102"/>
        <item x="24"/>
        <item x="3966"/>
        <item x="3982"/>
        <item x="1791"/>
        <item x="2406"/>
        <item x="3591"/>
        <item x="2075"/>
        <item x="3032"/>
        <item x="923"/>
        <item x="942"/>
        <item x="2341"/>
        <item x="638"/>
        <item x="114"/>
        <item x="1659"/>
        <item x="4185"/>
        <item x="3912"/>
        <item x="2447"/>
        <item x="622"/>
        <item x="3971"/>
        <item x="2424"/>
        <item x="4448"/>
        <item x="164"/>
        <item x="3744"/>
        <item x="1844"/>
        <item x="3419"/>
        <item x="4451"/>
        <item x="1772"/>
        <item x="2811"/>
        <item x="924"/>
        <item x="2765"/>
        <item x="4483"/>
        <item x="159"/>
        <item x="2446"/>
        <item x="3832"/>
        <item x="1473"/>
        <item x="2485"/>
        <item x="2340"/>
        <item x="2476"/>
        <item x="747"/>
        <item x="3594"/>
        <item x="413"/>
        <item x="2660"/>
        <item x="314"/>
        <item x="1506"/>
        <item x="2151"/>
        <item x="1722"/>
        <item x="1582"/>
        <item x="4410"/>
        <item x="133"/>
        <item x="4273"/>
        <item x="147"/>
        <item x="868"/>
        <item x="2869"/>
        <item x="3752"/>
        <item x="3275"/>
        <item x="1513"/>
        <item x="3025"/>
        <item x="3771"/>
        <item x="95"/>
        <item x="2804"/>
        <item x="1146"/>
        <item x="2713"/>
        <item x="3105"/>
        <item x="721"/>
        <item x="3794"/>
        <item x="342"/>
        <item x="1730"/>
        <item x="148"/>
        <item x="2315"/>
        <item x="3554"/>
        <item x="2415"/>
        <item x="3516"/>
        <item x="1214"/>
        <item x="4095"/>
        <item x="1584"/>
        <item x="1171"/>
        <item x="3633"/>
        <item x="3637"/>
        <item x="2644"/>
        <item x="2017"/>
        <item x="1311"/>
        <item x="3820"/>
        <item x="2653"/>
        <item x="2198"/>
        <item x="781"/>
        <item x="3709"/>
        <item x="716"/>
        <item x="524"/>
        <item x="1639"/>
        <item x="2986"/>
        <item x="1537"/>
        <item x="2845"/>
        <item x="3392"/>
        <item x="1178"/>
        <item x="994"/>
        <item x="2114"/>
        <item x="1869"/>
        <item x="10"/>
        <item x="161"/>
        <item x="832"/>
        <item x="1564"/>
        <item x="3651"/>
        <item x="2497"/>
        <item x="1740"/>
        <item x="21"/>
        <item x="3843"/>
        <item x="2674"/>
        <item x="4042"/>
        <item x="3504"/>
        <item x="4117"/>
        <item x="3280"/>
        <item x="3177"/>
        <item x="739"/>
        <item x="3868"/>
        <item x="4310"/>
        <item x="4472"/>
        <item x="2155"/>
        <item x="1100"/>
        <item x="4279"/>
        <item x="812"/>
        <item x="415"/>
        <item x="1387"/>
        <item x="702"/>
        <item x="4342"/>
        <item x="2997"/>
        <item x="1180"/>
        <item x="1543"/>
        <item x="649"/>
        <item x="1040"/>
        <item x="4028"/>
        <item x="2336"/>
        <item x="1678"/>
        <item x="2677"/>
        <item x="3149"/>
        <item x="2859"/>
        <item x="3926"/>
        <item x="2545"/>
        <item x="3118"/>
        <item x="1223"/>
        <item x="1776"/>
        <item x="1607"/>
        <item x="2834"/>
        <item x="76"/>
        <item x="1665"/>
        <item x="2784"/>
        <item x="3819"/>
        <item x="1484"/>
        <item x="1104"/>
        <item x="4404"/>
        <item x="3376"/>
        <item x="855"/>
        <item x="2494"/>
        <item x="1568"/>
        <item x="2955"/>
        <item x="2066"/>
        <item x="4381"/>
        <item x="1030"/>
        <item x="3428"/>
        <item x="709"/>
        <item x="3469"/>
        <item x="3026"/>
        <item x="2421"/>
        <item x="875"/>
        <item x="2502"/>
        <item x="3101"/>
        <item x="2918"/>
        <item x="4161"/>
        <item x="466"/>
        <item x="3586"/>
        <item x="1879"/>
        <item x="1302"/>
        <item x="3095"/>
        <item x="3423"/>
        <item x="2996"/>
        <item x="3346"/>
        <item x="4261"/>
        <item x="4093"/>
        <item x="797"/>
        <item x="3144"/>
        <item x="2310"/>
        <item x="3277"/>
        <item x="3905"/>
        <item x="3179"/>
        <item x="3374"/>
        <item x="2709"/>
        <item x="2449"/>
        <item x="2958"/>
        <item x="3248"/>
        <item x="3991"/>
        <item x="2667"/>
        <item x="2156"/>
        <item x="1019"/>
        <item x="3257"/>
        <item x="4256"/>
        <item x="3960"/>
        <item x="3203"/>
        <item x="1389"/>
        <item x="2643"/>
        <item x="3598"/>
        <item x="1552"/>
        <item x="1200"/>
        <item x="1078"/>
        <item x="682"/>
        <item x="2496"/>
        <item x="3685"/>
        <item x="2405"/>
        <item x="1240"/>
        <item x="4033"/>
        <item x="4077"/>
        <item x="1244"/>
        <item x="3528"/>
        <item x="4049"/>
        <item x="802"/>
        <item x="3750"/>
        <item x="3546"/>
        <item x="1439"/>
        <item x="504"/>
        <item x="900"/>
        <item x="2963"/>
        <item x="1666"/>
        <item x="4257"/>
        <item x="707"/>
        <item x="1121"/>
        <item x="2904"/>
        <item x="2387"/>
        <item x="3253"/>
        <item x="1535"/>
        <item x="3957"/>
        <item x="4314"/>
        <item x="3925"/>
        <item x="2745"/>
        <item x="1361"/>
        <item x="3194"/>
        <item x="3175"/>
        <item x="2848"/>
        <item x="857"/>
        <item x="305"/>
        <item x="909"/>
        <item x="3267"/>
        <item x="3385"/>
        <item x="2950"/>
        <item x="1457"/>
        <item x="1950"/>
        <item x="3344"/>
        <item x="134"/>
        <item x="1943"/>
        <item x="2826"/>
        <item x="3570"/>
        <item x="3936"/>
        <item x="3638"/>
        <item x="2637"/>
        <item x="46"/>
        <item x="1123"/>
        <item x="1525"/>
        <item x="1576"/>
        <item x="1561"/>
        <item x="2385"/>
        <item x="2803"/>
        <item x="2876"/>
        <item x="3958"/>
        <item x="4056"/>
        <item x="2133"/>
        <item x="3877"/>
        <item x="1282"/>
        <item x="3683"/>
        <item x="550"/>
        <item x="1229"/>
        <item x="2008"/>
        <item x="3371"/>
        <item x="1729"/>
        <item x="4465"/>
        <item x="3642"/>
        <item x="4301"/>
        <item x="2277"/>
        <item x="4026"/>
        <item x="2128"/>
        <item x="3234"/>
        <item x="464"/>
        <item x="2516"/>
        <item x="3340"/>
        <item x="3064"/>
        <item x="2479"/>
        <item x="877"/>
        <item x="1958"/>
        <item x="3808"/>
        <item x="2999"/>
        <item x="3745"/>
        <item x="4166"/>
        <item x="3818"/>
        <item x="2714"/>
        <item x="547"/>
        <item x="3331"/>
        <item x="1032"/>
        <item x="4107"/>
        <item x="2664"/>
        <item x="3533"/>
        <item x="4004"/>
        <item x="209"/>
        <item x="4225"/>
        <item x="2031"/>
        <item x="908"/>
        <item x="961"/>
        <item x="3697"/>
        <item x="543"/>
        <item x="39"/>
        <item x="1689"/>
        <item x="3053"/>
        <item x="1350"/>
        <item x="2759"/>
        <item x="2798"/>
        <item x="1736"/>
        <item x="2702"/>
        <item x="587"/>
        <item x="3349"/>
        <item x="3900"/>
        <item x="985"/>
        <item x="2748"/>
        <item x="1784"/>
        <item x="3219"/>
        <item x="3977"/>
        <item x="4030"/>
        <item x="426"/>
        <item x="1912"/>
        <item x="2628"/>
        <item x="954"/>
        <item x="283"/>
        <item x="1182"/>
        <item x="328"/>
        <item x="3411"/>
        <item x="2164"/>
        <item x="356"/>
        <item x="2038"/>
        <item x="1983"/>
        <item x="1670"/>
        <item x="2265"/>
        <item x="4423"/>
        <item x="3438"/>
        <item x="449"/>
        <item x="1973"/>
        <item x="3462"/>
        <item x="3110"/>
        <item x="4195"/>
        <item x="263"/>
        <item x="262"/>
        <item x="1197"/>
        <item x="4181"/>
        <item x="3943"/>
        <item x="2098"/>
        <item x="3489"/>
        <item x="2737"/>
        <item x="83"/>
        <item x="3992"/>
        <item x="2091"/>
        <item x="3611"/>
        <item x="3159"/>
        <item x="2288"/>
        <item x="2981"/>
        <item x="940"/>
        <item x="2691"/>
        <item x="2752"/>
        <item x="4089"/>
        <item x="3415"/>
        <item x="1320"/>
        <item x="362"/>
        <item x="2103"/>
        <item x="301"/>
        <item x="4238"/>
        <item x="246"/>
        <item x="4239"/>
        <item x="3276"/>
        <item x="1574"/>
        <item x="3891"/>
        <item x="196"/>
        <item x="85"/>
        <item x="456"/>
        <item x="754"/>
        <item x="3564"/>
        <item x="826"/>
        <item x="2858"/>
        <item x="2004"/>
        <item x="4351"/>
        <item x="3129"/>
        <item x="1331"/>
        <item x="2204"/>
        <item x="1482"/>
        <item x="29"/>
        <item x="2715"/>
        <item x="3931"/>
        <item x="946"/>
        <item x="3607"/>
        <item x="1125"/>
        <item x="1750"/>
        <item x="2465"/>
        <item x="3701"/>
        <item x="886"/>
        <item x="1381"/>
        <item x="230"/>
        <item x="1260"/>
        <item x="4188"/>
        <item x="2499"/>
        <item x="2621"/>
        <item x="2890"/>
        <item x="3758"/>
        <item x="1775"/>
        <item x="4323"/>
        <item x="1815"/>
        <item x="3929"/>
        <item x="997"/>
        <item x="967"/>
        <item x="2694"/>
        <item x="3866"/>
        <item x="965"/>
        <item x="1743"/>
        <item x="1103"/>
        <item x="2514"/>
        <item x="1593"/>
        <item x="861"/>
        <item x="149"/>
        <item x="1579"/>
        <item x="4430"/>
        <item x="1135"/>
        <item x="3719"/>
        <item x="2097"/>
        <item x="4270"/>
        <item x="1519"/>
        <item x="2552"/>
        <item x="2850"/>
        <item x="1291"/>
        <item x="4313"/>
        <item x="4031"/>
        <item x="2977"/>
        <item x="3135"/>
        <item x="1727"/>
        <item x="3674"/>
        <item x="3981"/>
        <item x="2842"/>
        <item x="2893"/>
        <item x="3464"/>
        <item x="1215"/>
        <item x="1748"/>
        <item x="3427"/>
        <item x="1933"/>
        <item x="2142"/>
        <item x="2880"/>
        <item x="3131"/>
        <item x="2873"/>
        <item x="1091"/>
        <item x="4136"/>
        <item x="1341"/>
        <item x="2852"/>
        <item x="2231"/>
        <item x="1412"/>
        <item x="1"/>
        <item x="2363"/>
        <item x="3879"/>
        <item x="3488"/>
        <item x="3498"/>
        <item x="2186"/>
        <item x="772"/>
        <item x="2601"/>
        <item x="4322"/>
        <item x="3532"/>
        <item x="3437"/>
        <item x="852"/>
        <item x="1700"/>
        <item x="3766"/>
        <item x="750"/>
        <item x="634"/>
        <item x="437"/>
        <item x="679"/>
        <item x="3074"/>
        <item x="4365"/>
        <item x="1257"/>
        <item x="3148"/>
        <item x="2369"/>
        <item x="3444"/>
        <item x="2417"/>
        <item x="654"/>
        <item x="766"/>
        <item x="2182"/>
        <item x="359"/>
        <item x="2688"/>
        <item x="58"/>
        <item x="4400"/>
        <item x="3491"/>
        <item x="910"/>
        <item x="793"/>
        <item x="391"/>
        <item x="178"/>
        <item x="274"/>
        <item x="3909"/>
        <item x="904"/>
        <item x="2426"/>
        <item x="261"/>
        <item x="1654"/>
        <item x="1597"/>
        <item x="307"/>
        <item x="865"/>
        <item x="968"/>
        <item x="2343"/>
        <item x="2549"/>
        <item x="2200"/>
        <item x="109"/>
        <item x="901"/>
        <item x="1728"/>
        <item x="406"/>
        <item x="4014"/>
        <item x="3161"/>
        <item x="1963"/>
        <item x="2844"/>
        <item x="983"/>
        <item x="2139"/>
        <item x="1636"/>
        <item x="3247"/>
        <item x="162"/>
        <item x="3477"/>
        <item x="1553"/>
        <item x="4474"/>
        <item x="502"/>
        <item x="3884"/>
        <item x="1571"/>
        <item x="293"/>
        <item x="3919"/>
        <item x="3497"/>
        <item x="4046"/>
        <item x="141"/>
        <item x="2372"/>
        <item x="627"/>
        <item x="642"/>
        <item x="718"/>
        <item x="4429"/>
        <item x="3951"/>
        <item x="3178"/>
        <item x="2159"/>
        <item x="4113"/>
        <item x="3314"/>
        <item x="4443"/>
        <item x="3659"/>
        <item x="4253"/>
        <item x="1738"/>
        <item x="2364"/>
        <item x="1781"/>
        <item x="838"/>
        <item x="3112"/>
        <item x="3650"/>
        <item x="2828"/>
        <item x="3157"/>
        <item x="4361"/>
        <item x="259"/>
        <item x="3183"/>
        <item x="2474"/>
        <item x="4055"/>
        <item x="4396"/>
        <item x="331"/>
        <item x="2639"/>
        <item x="4086"/>
        <item x="3867"/>
        <item x="926"/>
        <item x="4329"/>
        <item x="3621"/>
        <item x="1472"/>
        <item x="460"/>
        <item x="2535"/>
        <item x="2260"/>
        <item x="3394"/>
        <item x="1238"/>
        <item x="2717"/>
        <item x="919"/>
        <item x="3366"/>
        <item x="4266"/>
        <item x="2754"/>
        <item x="3892"/>
        <item x="2314"/>
        <item x="248"/>
        <item x="214"/>
        <item x="3679"/>
        <item x="1269"/>
        <item x="2557"/>
        <item x="2083"/>
        <item x="3172"/>
        <item x="864"/>
        <item x="49"/>
        <item x="2532"/>
        <item x="4044"/>
        <item x="2225"/>
        <item x="231"/>
        <item x="2913"/>
        <item x="441"/>
        <item x="4187"/>
        <item x="2538"/>
        <item x="2979"/>
        <item x="435"/>
        <item x="2650"/>
        <item x="1296"/>
        <item x="3312"/>
        <item x="4397"/>
        <item x="1962"/>
        <item x="978"/>
        <item t="default"/>
      </items>
    </pivotField>
    <pivotField showAll="0"/>
    <pivotField axis="axisRow" showAll="0" measureFilter="1" sortType="ascending">
      <items count="20">
        <item x="14"/>
        <item x="5"/>
        <item x="0"/>
        <item x="3"/>
        <item x="10"/>
        <item x="17"/>
        <item x="4"/>
        <item x="13"/>
        <item x="12"/>
        <item x="6"/>
        <item x="7"/>
        <item x="8"/>
        <item x="18"/>
        <item x="15"/>
        <item x="16"/>
        <item x="11"/>
        <item x="9"/>
        <item x="1"/>
        <item x="2"/>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9"/>
  </rowFields>
  <rowItems count="6">
    <i>
      <x v="7"/>
    </i>
    <i>
      <x/>
    </i>
    <i>
      <x v="17"/>
    </i>
    <i>
      <x v="2"/>
    </i>
    <i>
      <x v="11"/>
    </i>
    <i t="grand">
      <x/>
    </i>
  </rowItems>
  <colItems count="1">
    <i/>
  </colItems>
  <dataFields count="1">
    <dataField name="Sum of quantity" fld="10" showDataAs="percentOfCol" baseField="0" baseItem="0" numFmtId="10"/>
  </dataFields>
  <chartFormats count="45">
    <chartFormat chart="10" format="0"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3" format="1">
      <pivotArea type="data" outline="0" fieldPosition="0">
        <references count="2">
          <reference field="4294967294" count="1" selected="0">
            <x v="0"/>
          </reference>
          <reference field="9" count="1" selected="0">
            <x v="7"/>
          </reference>
        </references>
      </pivotArea>
    </chartFormat>
    <chartFormat chart="13" format="2">
      <pivotArea type="data" outline="0" fieldPosition="0">
        <references count="2">
          <reference field="4294967294" count="1" selected="0">
            <x v="0"/>
          </reference>
          <reference field="9" count="1" selected="0">
            <x v="0"/>
          </reference>
        </references>
      </pivotArea>
    </chartFormat>
    <chartFormat chart="13" format="3">
      <pivotArea type="data" outline="0" fieldPosition="0">
        <references count="2">
          <reference field="4294967294" count="1" selected="0">
            <x v="0"/>
          </reference>
          <reference field="9" count="1" selected="0">
            <x v="17"/>
          </reference>
        </references>
      </pivotArea>
    </chartFormat>
    <chartFormat chart="13" format="4">
      <pivotArea type="data" outline="0" fieldPosition="0">
        <references count="2">
          <reference field="4294967294" count="1" selected="0">
            <x v="0"/>
          </reference>
          <reference field="9" count="1" selected="0">
            <x v="2"/>
          </reference>
        </references>
      </pivotArea>
    </chartFormat>
    <chartFormat chart="13" format="5">
      <pivotArea type="data" outline="0" fieldPosition="0">
        <references count="2">
          <reference field="4294967294" count="1" selected="0">
            <x v="0"/>
          </reference>
          <reference field="9" count="1" selected="0">
            <x v="11"/>
          </reference>
        </references>
      </pivotArea>
    </chartFormat>
    <chartFormat chart="13" format="6">
      <pivotArea type="data" outline="0" fieldPosition="0">
        <references count="2">
          <reference field="4294967294" count="1" selected="0">
            <x v="0"/>
          </reference>
          <reference field="9" count="1" selected="0">
            <x v="16"/>
          </reference>
        </references>
      </pivotArea>
    </chartFormat>
    <chartFormat chart="13" format="7">
      <pivotArea type="data" outline="0" fieldPosition="0">
        <references count="2">
          <reference field="4294967294" count="1" selected="0">
            <x v="0"/>
          </reference>
          <reference field="9" count="1" selected="0">
            <x v="5"/>
          </reference>
        </references>
      </pivotArea>
    </chartFormat>
    <chartFormat chart="13" format="8">
      <pivotArea type="data" outline="0" fieldPosition="0">
        <references count="2">
          <reference field="4294967294" count="1" selected="0">
            <x v="0"/>
          </reference>
          <reference field="9" count="1" selected="0">
            <x v="14"/>
          </reference>
        </references>
      </pivotArea>
    </chartFormat>
    <chartFormat chart="13" format="9">
      <pivotArea type="data" outline="0" fieldPosition="0">
        <references count="2">
          <reference field="4294967294" count="1" selected="0">
            <x v="0"/>
          </reference>
          <reference field="9" count="1" selected="0">
            <x v="6"/>
          </reference>
        </references>
      </pivotArea>
    </chartFormat>
    <chartFormat chart="13" format="10">
      <pivotArea type="data" outline="0" fieldPosition="0">
        <references count="2">
          <reference field="4294967294" count="1" selected="0">
            <x v="0"/>
          </reference>
          <reference field="9" count="1" selected="0">
            <x v="18"/>
          </reference>
        </references>
      </pivotArea>
    </chartFormat>
    <chartFormat chart="13" format="11">
      <pivotArea type="data" outline="0" fieldPosition="0">
        <references count="2">
          <reference field="4294967294" count="1" selected="0">
            <x v="0"/>
          </reference>
          <reference field="9" count="1" selected="0">
            <x v="12"/>
          </reference>
        </references>
      </pivotArea>
    </chartFormat>
    <chartFormat chart="13" format="12">
      <pivotArea type="data" outline="0" fieldPosition="0">
        <references count="2">
          <reference field="4294967294" count="1" selected="0">
            <x v="0"/>
          </reference>
          <reference field="9" count="1" selected="0">
            <x v="9"/>
          </reference>
        </references>
      </pivotArea>
    </chartFormat>
    <chartFormat chart="13" format="13">
      <pivotArea type="data" outline="0" fieldPosition="0">
        <references count="2">
          <reference field="4294967294" count="1" selected="0">
            <x v="0"/>
          </reference>
          <reference field="9" count="1" selected="0">
            <x v="3"/>
          </reference>
        </references>
      </pivotArea>
    </chartFormat>
    <chartFormat chart="13" format="14">
      <pivotArea type="data" outline="0" fieldPosition="0">
        <references count="2">
          <reference field="4294967294" count="1" selected="0">
            <x v="0"/>
          </reference>
          <reference field="9" count="1" selected="0">
            <x v="8"/>
          </reference>
        </references>
      </pivotArea>
    </chartFormat>
    <chartFormat chart="13" format="15">
      <pivotArea type="data" outline="0" fieldPosition="0">
        <references count="2">
          <reference field="4294967294" count="1" selected="0">
            <x v="0"/>
          </reference>
          <reference field="9" count="1" selected="0">
            <x v="1"/>
          </reference>
        </references>
      </pivotArea>
    </chartFormat>
    <chartFormat chart="13" format="16">
      <pivotArea type="data" outline="0" fieldPosition="0">
        <references count="2">
          <reference field="4294967294" count="1" selected="0">
            <x v="0"/>
          </reference>
          <reference field="9" count="1" selected="0">
            <x v="10"/>
          </reference>
        </references>
      </pivotArea>
    </chartFormat>
    <chartFormat chart="13" format="17">
      <pivotArea type="data" outline="0" fieldPosition="0">
        <references count="2">
          <reference field="4294967294" count="1" selected="0">
            <x v="0"/>
          </reference>
          <reference field="9" count="1" selected="0">
            <x v="15"/>
          </reference>
        </references>
      </pivotArea>
    </chartFormat>
    <chartFormat chart="13" format="18">
      <pivotArea type="data" outline="0" fieldPosition="0">
        <references count="2">
          <reference field="4294967294" count="1" selected="0">
            <x v="0"/>
          </reference>
          <reference field="9" count="1" selected="0">
            <x v="13"/>
          </reference>
        </references>
      </pivotArea>
    </chartFormat>
    <chartFormat chart="13" format="19">
      <pivotArea type="data" outline="0" fieldPosition="0">
        <references count="2">
          <reference field="4294967294" count="1" selected="0">
            <x v="0"/>
          </reference>
          <reference field="9" count="1" selected="0">
            <x v="4"/>
          </reference>
        </references>
      </pivotArea>
    </chartFormat>
    <chartFormat chart="14" format="20" series="1">
      <pivotArea type="data" outline="0" fieldPosition="0">
        <references count="1">
          <reference field="4294967294" count="1" selected="0">
            <x v="0"/>
          </reference>
        </references>
      </pivotArea>
    </chartFormat>
    <chartFormat chart="14" format="21">
      <pivotArea type="data" outline="0" fieldPosition="0">
        <references count="2">
          <reference field="4294967294" count="1" selected="0">
            <x v="0"/>
          </reference>
          <reference field="9" count="1" selected="0">
            <x v="1"/>
          </reference>
        </references>
      </pivotArea>
    </chartFormat>
    <chartFormat chart="14" format="22">
      <pivotArea type="data" outline="0" fieldPosition="0">
        <references count="2">
          <reference field="4294967294" count="1" selected="0">
            <x v="0"/>
          </reference>
          <reference field="9" count="1" selected="0">
            <x v="10"/>
          </reference>
        </references>
      </pivotArea>
    </chartFormat>
    <chartFormat chart="14" format="23">
      <pivotArea type="data" outline="0" fieldPosition="0">
        <references count="2">
          <reference field="4294967294" count="1" selected="0">
            <x v="0"/>
          </reference>
          <reference field="9" count="1" selected="0">
            <x v="13"/>
          </reference>
        </references>
      </pivotArea>
    </chartFormat>
    <chartFormat chart="14" format="24">
      <pivotArea type="data" outline="0" fieldPosition="0">
        <references count="2">
          <reference field="4294967294" count="1" selected="0">
            <x v="0"/>
          </reference>
          <reference field="9" count="1" selected="0">
            <x v="15"/>
          </reference>
        </references>
      </pivotArea>
    </chartFormat>
    <chartFormat chart="14" format="25">
      <pivotArea type="data" outline="0" fieldPosition="0">
        <references count="2">
          <reference field="4294967294" count="1" selected="0">
            <x v="0"/>
          </reference>
          <reference field="9" count="1" selected="0">
            <x v="4"/>
          </reference>
        </references>
      </pivotArea>
    </chartFormat>
    <chartFormat chart="15" format="26" series="1">
      <pivotArea type="data" outline="0" fieldPosition="0">
        <references count="1">
          <reference field="4294967294" count="1" selected="0">
            <x v="0"/>
          </reference>
        </references>
      </pivotArea>
    </chartFormat>
    <chartFormat chart="15" format="27">
      <pivotArea type="data" outline="0" fieldPosition="0">
        <references count="2">
          <reference field="4294967294" count="1" selected="0">
            <x v="0"/>
          </reference>
          <reference field="9" count="1" selected="0">
            <x v="1"/>
          </reference>
        </references>
      </pivotArea>
    </chartFormat>
    <chartFormat chart="15" format="28">
      <pivotArea type="data" outline="0" fieldPosition="0">
        <references count="2">
          <reference field="4294967294" count="1" selected="0">
            <x v="0"/>
          </reference>
          <reference field="9" count="1" selected="0">
            <x v="10"/>
          </reference>
        </references>
      </pivotArea>
    </chartFormat>
    <chartFormat chart="15" format="29">
      <pivotArea type="data" outline="0" fieldPosition="0">
        <references count="2">
          <reference field="4294967294" count="1" selected="0">
            <x v="0"/>
          </reference>
          <reference field="9" count="1" selected="0">
            <x v="13"/>
          </reference>
        </references>
      </pivotArea>
    </chartFormat>
    <chartFormat chart="15" format="30">
      <pivotArea type="data" outline="0" fieldPosition="0">
        <references count="2">
          <reference field="4294967294" count="1" selected="0">
            <x v="0"/>
          </reference>
          <reference field="9" count="1" selected="0">
            <x v="15"/>
          </reference>
        </references>
      </pivotArea>
    </chartFormat>
    <chartFormat chart="15" format="31">
      <pivotArea type="data" outline="0" fieldPosition="0">
        <references count="2">
          <reference field="4294967294" count="1" selected="0">
            <x v="0"/>
          </reference>
          <reference field="9" count="1" selected="0">
            <x v="4"/>
          </reference>
        </references>
      </pivotArea>
    </chartFormat>
    <chartFormat chart="16" format="0" series="1">
      <pivotArea type="data" outline="0" fieldPosition="0">
        <references count="1">
          <reference field="4294967294" count="1" selected="0">
            <x v="0"/>
          </reference>
        </references>
      </pivotArea>
    </chartFormat>
    <chartFormat chart="18" format="7" series="1">
      <pivotArea type="data" outline="0" fieldPosition="0">
        <references count="1">
          <reference field="4294967294" count="1" selected="0">
            <x v="0"/>
          </reference>
        </references>
      </pivotArea>
    </chartFormat>
    <chartFormat chart="18" format="8">
      <pivotArea type="data" outline="0" fieldPosition="0">
        <references count="2">
          <reference field="4294967294" count="1" selected="0">
            <x v="0"/>
          </reference>
          <reference field="9" count="1" selected="0">
            <x v="7"/>
          </reference>
        </references>
      </pivotArea>
    </chartFormat>
    <chartFormat chart="18" format="9">
      <pivotArea type="data" outline="0" fieldPosition="0">
        <references count="2">
          <reference field="4294967294" count="1" selected="0">
            <x v="0"/>
          </reference>
          <reference field="9" count="1" selected="0">
            <x v="0"/>
          </reference>
        </references>
      </pivotArea>
    </chartFormat>
    <chartFormat chart="18" format="10">
      <pivotArea type="data" outline="0" fieldPosition="0">
        <references count="2">
          <reference field="4294967294" count="1" selected="0">
            <x v="0"/>
          </reference>
          <reference field="9" count="1" selected="0">
            <x v="17"/>
          </reference>
        </references>
      </pivotArea>
    </chartFormat>
    <chartFormat chart="18" format="11">
      <pivotArea type="data" outline="0" fieldPosition="0">
        <references count="2">
          <reference field="4294967294" count="1" selected="0">
            <x v="0"/>
          </reference>
          <reference field="9" count="1" selected="0">
            <x v="2"/>
          </reference>
        </references>
      </pivotArea>
    </chartFormat>
    <chartFormat chart="18" format="12">
      <pivotArea type="data" outline="0" fieldPosition="0">
        <references count="2">
          <reference field="4294967294" count="1" selected="0">
            <x v="0"/>
          </reference>
          <reference field="9" count="1" selected="0">
            <x v="11"/>
          </reference>
        </references>
      </pivotArea>
    </chartFormat>
    <chartFormat chart="16" format="1">
      <pivotArea type="data" outline="0" fieldPosition="0">
        <references count="2">
          <reference field="4294967294" count="1" selected="0">
            <x v="0"/>
          </reference>
          <reference field="9" count="1" selected="0">
            <x v="7"/>
          </reference>
        </references>
      </pivotArea>
    </chartFormat>
    <chartFormat chart="16" format="2">
      <pivotArea type="data" outline="0" fieldPosition="0">
        <references count="2">
          <reference field="4294967294" count="1" selected="0">
            <x v="0"/>
          </reference>
          <reference field="9" count="1" selected="0">
            <x v="0"/>
          </reference>
        </references>
      </pivotArea>
    </chartFormat>
    <chartFormat chart="16" format="3">
      <pivotArea type="data" outline="0" fieldPosition="0">
        <references count="2">
          <reference field="4294967294" count="1" selected="0">
            <x v="0"/>
          </reference>
          <reference field="9" count="1" selected="0">
            <x v="17"/>
          </reference>
        </references>
      </pivotArea>
    </chartFormat>
    <chartFormat chart="16" format="4">
      <pivotArea type="data" outline="0" fieldPosition="0">
        <references count="2">
          <reference field="4294967294" count="1" selected="0">
            <x v="0"/>
          </reference>
          <reference field="9" count="1" selected="0">
            <x v="2"/>
          </reference>
        </references>
      </pivotArea>
    </chartFormat>
    <chartFormat chart="16" format="5">
      <pivotArea type="data" outline="0" fieldPosition="0">
        <references count="2">
          <reference field="4294967294" count="1" selected="0">
            <x v="0"/>
          </reference>
          <reference field="9" count="1" selected="0">
            <x v="11"/>
          </reference>
        </references>
      </pivotArea>
    </chartFormat>
  </chartFormats>
  <pivotTableStyleInfo name="PivotStyleLight16" showRowHeaders="1" showColHeaders="1" showRowStripes="0" showColStripes="0" showLastColumn="1"/>
  <filters count="1">
    <filter fld="9" type="count" evalOrder="-1" id="2"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month" xr10:uid="{9B445ECD-F297-D749-9F9A-9562DE48483A}" sourceName="order_month">
  <pivotTables>
    <pivotTable tabId="5" name="PivotTable2"/>
    <pivotTable tabId="5" name="category percentage"/>
    <pivotTable tabId="5" name="daily trends"/>
    <pivotTable tabId="5" name="hourly trends"/>
    <pivotTable tabId="5" name="PivotTable1"/>
    <pivotTable tabId="5" name="PivotTable5"/>
    <pivotTable tabId="5" name="product percentage"/>
    <pivotTable tabId="5" name="product percentage per unit "/>
    <pivotTable tabId="2" name="PivotTable1"/>
    <pivotTable tabId="4" name="PivotTable1"/>
  </pivotTables>
  <data>
    <tabular pivotCacheId="1656252798">
      <items count="12">
        <i x="0" s="1"/>
        <i x="1" s="1"/>
        <i x="2" s="1"/>
        <i x="3" s="1"/>
        <i x="4" s="1"/>
        <i x="5" s="1"/>
        <i x="6" s="1"/>
        <i x="7" s="1"/>
        <i x="8" s="1"/>
        <i x="9" s="1"/>
        <i x="10" s="1"/>
        <i x="1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_month" xr10:uid="{EDE9C34A-7ADB-7243-B327-7D90755E5EB2}" cache="Slicer_order_month" caption="order_month" startItem="2"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_month 1" xr10:uid="{2EA3A8ED-CD47-3344-ABD9-D9B30213A761}" cache="Slicer_order_month" caption="Bakery sales slicer" style="SlicerStyleDark1"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3FA75C3-CF47-1049-B467-B3E0271C6ED5}" name="Table1" displayName="Table1" ref="A1:N4750" totalsRowShown="0">
  <autoFilter ref="A1:N4750" xr:uid="{83FA75C3-CF47-1049-B467-B3E0271C6ED5}"/>
  <tableColumns count="14">
    <tableColumn id="1" xr3:uid="{64A4273D-F101-5D40-AC8C-6707EE8CC70B}" name="id"/>
    <tableColumn id="2" xr3:uid="{8DFC58FC-6295-3249-AE2C-05E67ED42211}" name="order_id"/>
    <tableColumn id="10" xr3:uid="{603EA3B3-618C-5046-80AE-190FA41B3940}" name="total_orders" dataDxfId="7">
      <calculatedColumnFormula>1/COUNTIF(B:B,Table1[[#This Row],[order_id]])</calculatedColumnFormula>
    </tableColumn>
    <tableColumn id="13" xr3:uid="{948463F7-6013-4145-852F-D4C7FCCE3179}" name="order_month" dataDxfId="6">
      <calculatedColumnFormula>TEXT(Table1[[#This Row],[order_date]],"mmmm")</calculatedColumnFormula>
    </tableColumn>
    <tableColumn id="3" xr3:uid="{FC214C55-D609-F845-B441-FBC485194865}" name="order_date" dataDxfId="5"/>
    <tableColumn id="11" xr3:uid="{FC944E20-28C9-334F-B6B3-5A23EAB8BF19}" name="order_day" dataDxfId="4">
      <calculatedColumnFormula>TEXT(Table1[[#This Row],[order_date]],"dddd")</calculatedColumnFormula>
    </tableColumn>
    <tableColumn id="12" xr3:uid="{6D40E2DD-B63C-1E47-92C9-C5450248B491}" name="Hour" dataDxfId="3">
      <calculatedColumnFormula>HOUR(Table1[[#This Row],[order_time]])</calculatedColumnFormula>
    </tableColumn>
    <tableColumn id="4" xr3:uid="{78146E77-B62F-244F-9E7F-4351D520E41F}" name="order_time" dataDxfId="2"/>
    <tableColumn id="5" xr3:uid="{999FEF2C-2AC7-AA48-8556-75997101EB45}" name="category"/>
    <tableColumn id="6" xr3:uid="{3997413D-08E4-A840-8C08-0B1060089D3E}" name="product_name"/>
    <tableColumn id="7" xr3:uid="{8C4D0F9B-E3C5-214D-A858-BB742FEECE6B}" name="quantity"/>
    <tableColumn id="8" xr3:uid="{4533721D-563F-004A-9E1F-E951CA562F6C}" name="unit_price"/>
    <tableColumn id="9" xr3:uid="{C2454395-275D-7F46-A456-DDA5ED87EF78}" name="total_price"/>
    <tableColumn id="14" xr3:uid="{3A2D8887-B45A-7940-9DA7-82E0BE344AF5}" name="unique_order" dataDxfId="1">
      <calculatedColumnFormula>IF(COUNTIFS($B$2:B2,B2)=1,1,0)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10.xml"/><Relationship Id="rId3" Type="http://schemas.openxmlformats.org/officeDocument/2006/relationships/pivotTable" Target="../pivotTables/pivotTable5.xml"/><Relationship Id="rId7" Type="http://schemas.openxmlformats.org/officeDocument/2006/relationships/pivotTable" Target="../pivotTables/pivotTable9.xml"/><Relationship Id="rId2" Type="http://schemas.openxmlformats.org/officeDocument/2006/relationships/pivotTable" Target="../pivotTables/pivotTable4.xml"/><Relationship Id="rId1" Type="http://schemas.openxmlformats.org/officeDocument/2006/relationships/pivotTable" Target="../pivotTables/pivotTable3.xml"/><Relationship Id="rId6" Type="http://schemas.openxmlformats.org/officeDocument/2006/relationships/pivotTable" Target="../pivotTables/pivotTable8.xml"/><Relationship Id="rId5" Type="http://schemas.openxmlformats.org/officeDocument/2006/relationships/pivotTable" Target="../pivotTables/pivotTable7.xml"/><Relationship Id="rId10" Type="http://schemas.microsoft.com/office/2007/relationships/slicer" Target="../slicers/slicer1.xml"/><Relationship Id="rId4" Type="http://schemas.openxmlformats.org/officeDocument/2006/relationships/pivotTable" Target="../pivotTables/pivotTable6.xml"/><Relationship Id="rId9"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AF5FCA-9A85-D541-968E-2625F2D64892}">
  <dimension ref="A1:Q4750"/>
  <sheetViews>
    <sheetView topLeftCell="A2705" workbookViewId="0">
      <selection activeCell="D3" sqref="D3"/>
    </sheetView>
  </sheetViews>
  <sheetFormatPr baseColWidth="10" defaultRowHeight="16" x14ac:dyDescent="0.2"/>
  <cols>
    <col min="3" max="4" width="12.33203125" customWidth="1"/>
    <col min="5" max="6" width="12.5" customWidth="1"/>
    <col min="8" max="8" width="15.33203125" customWidth="1"/>
    <col min="10" max="10" width="11.6640625" customWidth="1"/>
    <col min="11" max="11" width="12.33203125" customWidth="1"/>
  </cols>
  <sheetData>
    <row r="1" spans="1:17" x14ac:dyDescent="0.2">
      <c r="A1" t="s">
        <v>0</v>
      </c>
      <c r="B1" t="s">
        <v>1</v>
      </c>
      <c r="C1" t="s">
        <v>34</v>
      </c>
      <c r="D1" t="s">
        <v>73</v>
      </c>
      <c r="E1" t="s">
        <v>2</v>
      </c>
      <c r="F1" t="s">
        <v>32</v>
      </c>
      <c r="G1" t="s">
        <v>62</v>
      </c>
      <c r="H1" t="s">
        <v>3</v>
      </c>
      <c r="I1" t="s">
        <v>4</v>
      </c>
      <c r="J1" t="s">
        <v>5</v>
      </c>
      <c r="K1" t="s">
        <v>6</v>
      </c>
      <c r="L1" t="s">
        <v>7</v>
      </c>
      <c r="M1" t="s">
        <v>8</v>
      </c>
      <c r="N1" t="s">
        <v>64</v>
      </c>
    </row>
    <row r="2" spans="1:17" x14ac:dyDescent="0.2">
      <c r="A2">
        <v>1</v>
      </c>
      <c r="B2">
        <v>1000</v>
      </c>
      <c r="C2">
        <f>1/COUNTIF(B:B,Table1[[#This Row],[order_id]])</f>
        <v>1</v>
      </c>
      <c r="D2" t="str">
        <f>TEXT(Table1[[#This Row],[order_date]],"mmmm")</f>
        <v>January</v>
      </c>
      <c r="E2" s="1">
        <v>45292</v>
      </c>
      <c r="F2" s="1" t="str">
        <f>TEXT(Table1[[#This Row],[order_date]],"dddd")</f>
        <v>Monday</v>
      </c>
      <c r="G2">
        <f>HOUR(Table1[[#This Row],[order_time]])</f>
        <v>11</v>
      </c>
      <c r="H2" s="2">
        <v>0.46284722222222224</v>
      </c>
      <c r="I2" t="s">
        <v>9</v>
      </c>
      <c r="J2" t="s">
        <v>10</v>
      </c>
      <c r="K2">
        <v>3</v>
      </c>
      <c r="L2">
        <v>20</v>
      </c>
      <c r="M2">
        <v>60</v>
      </c>
      <c r="N2">
        <f>IF(COUNTIFS($B$2:B2,B2)=1,1,0)</f>
        <v>1</v>
      </c>
      <c r="P2" t="s">
        <v>63</v>
      </c>
      <c r="Q2" t="s">
        <v>34</v>
      </c>
    </row>
    <row r="3" spans="1:17" x14ac:dyDescent="0.2">
      <c r="A3">
        <v>2</v>
      </c>
      <c r="B3">
        <v>1001</v>
      </c>
      <c r="C3">
        <f>1/COUNTIF(B:B,Table1[[#This Row],[order_id]])</f>
        <v>0.33333333333333331</v>
      </c>
      <c r="D3" t="str">
        <f>TEXT(Table1[[#This Row],[order_date]],"mmmm")</f>
        <v>January</v>
      </c>
      <c r="E3" s="1">
        <v>45292</v>
      </c>
      <c r="F3" s="1" t="str">
        <f>TEXT(Table1[[#This Row],[order_date]],"dddd")</f>
        <v>Monday</v>
      </c>
      <c r="G3">
        <f>HOUR(Table1[[#This Row],[order_time]])</f>
        <v>20</v>
      </c>
      <c r="H3" s="2">
        <v>0.85751157407407408</v>
      </c>
      <c r="I3" t="s">
        <v>11</v>
      </c>
      <c r="J3" t="s">
        <v>12</v>
      </c>
      <c r="K3">
        <v>3</v>
      </c>
      <c r="L3">
        <v>650</v>
      </c>
      <c r="M3">
        <v>1950</v>
      </c>
      <c r="N3">
        <f>IF(COUNTIFS($B$2:B3,B3)=1,1,0)</f>
        <v>1</v>
      </c>
      <c r="P3" s="4">
        <v>9</v>
      </c>
      <c r="Q3" cm="1">
        <f t="array" ref="Q3">COUNTA(_xlfn.UNIQUE(_xlfn._xlws.FILTER(Table1[order_id], Table1[Hour]=G10)))</f>
        <v>375</v>
      </c>
    </row>
    <row r="4" spans="1:17" x14ac:dyDescent="0.2">
      <c r="A4">
        <v>3</v>
      </c>
      <c r="B4">
        <v>1001</v>
      </c>
      <c r="C4">
        <f>1/COUNTIF(B:B,Table1[[#This Row],[order_id]])</f>
        <v>0.33333333333333331</v>
      </c>
      <c r="D4" t="str">
        <f>TEXT(Table1[[#This Row],[order_date]],"mmmm")</f>
        <v>January</v>
      </c>
      <c r="E4" s="1">
        <v>45292</v>
      </c>
      <c r="F4" s="1" t="str">
        <f>TEXT(Table1[[#This Row],[order_date]],"dddd")</f>
        <v>Monday</v>
      </c>
      <c r="G4">
        <f>HOUR(Table1[[#This Row],[order_time]])</f>
        <v>14</v>
      </c>
      <c r="H4" s="2">
        <v>0.61597222222222225</v>
      </c>
      <c r="I4" t="s">
        <v>11</v>
      </c>
      <c r="J4" t="s">
        <v>13</v>
      </c>
      <c r="K4">
        <v>3</v>
      </c>
      <c r="L4">
        <v>680</v>
      </c>
      <c r="M4">
        <v>2040</v>
      </c>
      <c r="N4">
        <f>IF(COUNTIFS($B$2:B4,B4)=1,1,0)</f>
        <v>0</v>
      </c>
      <c r="P4" s="4">
        <v>10</v>
      </c>
      <c r="Q4" cm="1">
        <f t="array" ref="Q4">COUNTA(_xlfn.UNIQUE(_xlfn._xlws.FILTER(Table1[order_id], Table1[Hour]=G61)))</f>
        <v>384</v>
      </c>
    </row>
    <row r="5" spans="1:17" x14ac:dyDescent="0.2">
      <c r="A5">
        <v>4</v>
      </c>
      <c r="B5">
        <v>1001</v>
      </c>
      <c r="C5">
        <f>1/COUNTIF(B:B,Table1[[#This Row],[order_id]])</f>
        <v>0.33333333333333331</v>
      </c>
      <c r="D5" t="str">
        <f>TEXT(Table1[[#This Row],[order_date]],"mmmm")</f>
        <v>January</v>
      </c>
      <c r="E5" s="1">
        <v>45292</v>
      </c>
      <c r="F5" s="1" t="str">
        <f>TEXT(Table1[[#This Row],[order_date]],"dddd")</f>
        <v>Monday</v>
      </c>
      <c r="G5">
        <f>HOUR(Table1[[#This Row],[order_time]])</f>
        <v>11</v>
      </c>
      <c r="H5" s="2">
        <v>0.46945601851851854</v>
      </c>
      <c r="I5" t="s">
        <v>11</v>
      </c>
      <c r="J5" t="s">
        <v>14</v>
      </c>
      <c r="K5">
        <v>4</v>
      </c>
      <c r="L5">
        <v>700</v>
      </c>
      <c r="M5">
        <v>2800</v>
      </c>
      <c r="N5">
        <f>IF(COUNTIFS($B$2:B5,B5)=1,1,0)</f>
        <v>0</v>
      </c>
      <c r="P5" s="4">
        <v>11</v>
      </c>
      <c r="Q5" cm="1">
        <f t="array" ref="Q5">COUNTA(_xlfn.UNIQUE(_xlfn._xlws.FILTER(Table1[order_id], Table1[Hour]=G9)))</f>
        <v>398</v>
      </c>
    </row>
    <row r="6" spans="1:17" x14ac:dyDescent="0.2">
      <c r="A6">
        <v>5</v>
      </c>
      <c r="B6">
        <v>1002</v>
      </c>
      <c r="C6">
        <f>1/COUNTIF(B:B,Table1[[#This Row],[order_id]])</f>
        <v>0.5</v>
      </c>
      <c r="D6" t="str">
        <f>TEXT(Table1[[#This Row],[order_date]],"mmmm")</f>
        <v>January</v>
      </c>
      <c r="E6" s="1">
        <v>45292</v>
      </c>
      <c r="F6" s="1" t="str">
        <f>TEXT(Table1[[#This Row],[order_date]],"dddd")</f>
        <v>Monday</v>
      </c>
      <c r="G6">
        <f>HOUR(Table1[[#This Row],[order_time]])</f>
        <v>12</v>
      </c>
      <c r="H6" s="2">
        <v>0.50378472222222226</v>
      </c>
      <c r="I6" t="s">
        <v>11</v>
      </c>
      <c r="J6" t="s">
        <v>15</v>
      </c>
      <c r="K6">
        <v>4</v>
      </c>
      <c r="L6">
        <v>600</v>
      </c>
      <c r="M6">
        <v>2400</v>
      </c>
      <c r="N6">
        <f>IF(COUNTIFS($B$2:B6,B6)=1,1,0)</f>
        <v>1</v>
      </c>
      <c r="P6" s="4">
        <v>12</v>
      </c>
      <c r="Q6" cm="1">
        <f t="array" ref="Q6">COUNTA(_xlfn.UNIQUE(_xlfn._xlws.FILTER(Table1[order_id], Table1[Hour]=G16)))</f>
        <v>347</v>
      </c>
    </row>
    <row r="7" spans="1:17" x14ac:dyDescent="0.2">
      <c r="A7">
        <v>6</v>
      </c>
      <c r="B7">
        <v>1002</v>
      </c>
      <c r="C7">
        <f>1/COUNTIF(B:B,Table1[[#This Row],[order_id]])</f>
        <v>0.5</v>
      </c>
      <c r="D7" t="str">
        <f>TEXT(Table1[[#This Row],[order_date]],"mmmm")</f>
        <v>January</v>
      </c>
      <c r="E7" s="1">
        <v>45292</v>
      </c>
      <c r="F7" s="1" t="str">
        <f>TEXT(Table1[[#This Row],[order_date]],"dddd")</f>
        <v>Monday</v>
      </c>
      <c r="G7">
        <f>HOUR(Table1[[#This Row],[order_time]])</f>
        <v>16</v>
      </c>
      <c r="H7" s="2">
        <v>0.66878472222222218</v>
      </c>
      <c r="I7" t="s">
        <v>16</v>
      </c>
      <c r="J7" t="s">
        <v>17</v>
      </c>
      <c r="K7">
        <v>1</v>
      </c>
      <c r="L7">
        <v>20</v>
      </c>
      <c r="M7">
        <v>20</v>
      </c>
      <c r="N7">
        <f>IF(COUNTIFS($B$2:B7,B7)=1,1,0)</f>
        <v>0</v>
      </c>
      <c r="P7" s="4">
        <v>13</v>
      </c>
      <c r="Q7" cm="1">
        <f t="array" ref="Q7">COUNTA(_xlfn.UNIQUE(_xlfn._xlws.FILTER(Table1[order_id], Table1[Hour]=G25)))</f>
        <v>351</v>
      </c>
    </row>
    <row r="8" spans="1:17" x14ac:dyDescent="0.2">
      <c r="A8">
        <v>7</v>
      </c>
      <c r="B8">
        <v>1003</v>
      </c>
      <c r="C8">
        <f>1/COUNTIF(B:B,Table1[[#This Row],[order_id]])</f>
        <v>1</v>
      </c>
      <c r="D8" t="str">
        <f>TEXT(Table1[[#This Row],[order_date]],"mmmm")</f>
        <v>January</v>
      </c>
      <c r="E8" s="1">
        <v>45292</v>
      </c>
      <c r="F8" s="1" t="str">
        <f>TEXT(Table1[[#This Row],[order_date]],"dddd")</f>
        <v>Monday</v>
      </c>
      <c r="G8">
        <f>HOUR(Table1[[#This Row],[order_time]])</f>
        <v>18</v>
      </c>
      <c r="H8" s="2">
        <v>0.75087962962962962</v>
      </c>
      <c r="I8" t="s">
        <v>18</v>
      </c>
      <c r="J8" t="s">
        <v>19</v>
      </c>
      <c r="K8">
        <v>4</v>
      </c>
      <c r="L8">
        <v>50</v>
      </c>
      <c r="M8">
        <v>200</v>
      </c>
      <c r="N8">
        <f>IF(COUNTIFS($B$2:B8,B8)=1,1,0)</f>
        <v>1</v>
      </c>
      <c r="P8" s="4">
        <v>14</v>
      </c>
      <c r="Q8" cm="1">
        <f t="array" ref="Q8">COUNTA(_xlfn.UNIQUE(_xlfn._xlws.FILTER(Table1[order_id], Table1[Hour]=G4)))</f>
        <v>369</v>
      </c>
    </row>
    <row r="9" spans="1:17" x14ac:dyDescent="0.2">
      <c r="A9">
        <v>8</v>
      </c>
      <c r="B9">
        <v>1004</v>
      </c>
      <c r="C9">
        <f>1/COUNTIF(B:B,Table1[[#This Row],[order_id]])</f>
        <v>0.5</v>
      </c>
      <c r="D9" t="str">
        <f>TEXT(Table1[[#This Row],[order_date]],"mmmm")</f>
        <v>January</v>
      </c>
      <c r="E9" s="1">
        <v>45292</v>
      </c>
      <c r="F9" s="1" t="str">
        <f>TEXT(Table1[[#This Row],[order_date]],"dddd")</f>
        <v>Monday</v>
      </c>
      <c r="G9">
        <f>HOUR(Table1[[#This Row],[order_time]])</f>
        <v>11</v>
      </c>
      <c r="H9" s="2">
        <v>0.49164351851851851</v>
      </c>
      <c r="I9" t="s">
        <v>11</v>
      </c>
      <c r="J9" t="s">
        <v>12</v>
      </c>
      <c r="K9">
        <v>1</v>
      </c>
      <c r="L9">
        <v>650</v>
      </c>
      <c r="M9">
        <v>650</v>
      </c>
      <c r="N9">
        <f>IF(COUNTIFS($B$2:B9,B9)=1,1,0)</f>
        <v>1</v>
      </c>
      <c r="P9" s="4">
        <v>15</v>
      </c>
      <c r="Q9" cm="1">
        <f t="array" ref="Q9">COUNTA(_xlfn.UNIQUE(_xlfn._xlws.FILTER(Table1[order_id], Table1[Hour]=G20)))</f>
        <v>371</v>
      </c>
    </row>
    <row r="10" spans="1:17" x14ac:dyDescent="0.2">
      <c r="A10">
        <v>9</v>
      </c>
      <c r="B10">
        <v>1004</v>
      </c>
      <c r="C10">
        <f>1/COUNTIF(B:B,Table1[[#This Row],[order_id]])</f>
        <v>0.5</v>
      </c>
      <c r="D10" t="str">
        <f>TEXT(Table1[[#This Row],[order_date]],"mmmm")</f>
        <v>January</v>
      </c>
      <c r="E10" s="1">
        <v>45292</v>
      </c>
      <c r="F10" s="1" t="str">
        <f>TEXT(Table1[[#This Row],[order_date]],"dddd")</f>
        <v>Monday</v>
      </c>
      <c r="G10">
        <f>HOUR(Table1[[#This Row],[order_time]])</f>
        <v>9</v>
      </c>
      <c r="H10" s="2">
        <v>0.3916087962962963</v>
      </c>
      <c r="I10" t="s">
        <v>9</v>
      </c>
      <c r="J10" t="s">
        <v>20</v>
      </c>
      <c r="K10">
        <v>4</v>
      </c>
      <c r="L10">
        <v>25</v>
      </c>
      <c r="M10">
        <v>100</v>
      </c>
      <c r="N10">
        <f>IF(COUNTIFS($B$2:B10,B10)=1,1,0)</f>
        <v>0</v>
      </c>
      <c r="P10" s="4">
        <v>16</v>
      </c>
      <c r="Q10" cm="1">
        <f t="array" ref="Q10">COUNTA(_xlfn.UNIQUE(_xlfn._xlws.FILTER(Table1[order_id], Table1[Hour]=G7)))</f>
        <v>372</v>
      </c>
    </row>
    <row r="11" spans="1:17" x14ac:dyDescent="0.2">
      <c r="A11">
        <v>10</v>
      </c>
      <c r="B11">
        <v>1005</v>
      </c>
      <c r="C11">
        <f>1/COUNTIF(B:B,Table1[[#This Row],[order_id]])</f>
        <v>0.33333333333333331</v>
      </c>
      <c r="D11" t="str">
        <f>TEXT(Table1[[#This Row],[order_date]],"mmmm")</f>
        <v>January</v>
      </c>
      <c r="E11" s="1">
        <v>45292</v>
      </c>
      <c r="F11" s="1" t="str">
        <f>TEXT(Table1[[#This Row],[order_date]],"dddd")</f>
        <v>Monday</v>
      </c>
      <c r="G11">
        <f>HOUR(Table1[[#This Row],[order_time]])</f>
        <v>15</v>
      </c>
      <c r="H11" s="2">
        <v>0.65137731481481487</v>
      </c>
      <c r="I11" t="s">
        <v>9</v>
      </c>
      <c r="J11" t="s">
        <v>21</v>
      </c>
      <c r="K11">
        <v>3</v>
      </c>
      <c r="L11">
        <v>10</v>
      </c>
      <c r="M11">
        <v>30</v>
      </c>
      <c r="N11">
        <f>IF(COUNTIFS($B$2:B11,B11)=1,1,0)</f>
        <v>1</v>
      </c>
      <c r="P11" s="4">
        <v>17</v>
      </c>
      <c r="Q11" cm="1">
        <f t="array" ref="Q11">COUNTA(_xlfn.UNIQUE(_xlfn._xlws.FILTER(Table1[order_id], Table1[Hour]=G13)))</f>
        <v>369</v>
      </c>
    </row>
    <row r="12" spans="1:17" x14ac:dyDescent="0.2">
      <c r="A12">
        <v>11</v>
      </c>
      <c r="B12">
        <v>1005</v>
      </c>
      <c r="C12">
        <f>1/COUNTIF(B:B,Table1[[#This Row],[order_id]])</f>
        <v>0.33333333333333331</v>
      </c>
      <c r="D12" t="str">
        <f>TEXT(Table1[[#This Row],[order_date]],"mmmm")</f>
        <v>January</v>
      </c>
      <c r="E12" s="1">
        <v>45292</v>
      </c>
      <c r="F12" s="1" t="str">
        <f>TEXT(Table1[[#This Row],[order_date]],"dddd")</f>
        <v>Monday</v>
      </c>
      <c r="G12">
        <f>HOUR(Table1[[#This Row],[order_time]])</f>
        <v>19</v>
      </c>
      <c r="H12" s="2">
        <v>0.81743055555555555</v>
      </c>
      <c r="I12" t="s">
        <v>9</v>
      </c>
      <c r="J12" t="s">
        <v>22</v>
      </c>
      <c r="K12">
        <v>5</v>
      </c>
      <c r="L12">
        <v>15</v>
      </c>
      <c r="M12">
        <v>75</v>
      </c>
      <c r="N12">
        <f>IF(COUNTIFS($B$2:B12,B12)=1,1,0)</f>
        <v>0</v>
      </c>
      <c r="P12" s="4">
        <v>18</v>
      </c>
      <c r="Q12" cm="1">
        <f t="array" ref="Q12">COUNTA(_xlfn.UNIQUE(_xlfn._xlws.FILTER(Table1[order_id], Table1[Hour]=G29)))</f>
        <v>411</v>
      </c>
    </row>
    <row r="13" spans="1:17" x14ac:dyDescent="0.2">
      <c r="A13">
        <v>12</v>
      </c>
      <c r="B13">
        <v>1005</v>
      </c>
      <c r="C13">
        <f>1/COUNTIF(B:B,Table1[[#This Row],[order_id]])</f>
        <v>0.33333333333333331</v>
      </c>
      <c r="D13" t="str">
        <f>TEXT(Table1[[#This Row],[order_date]],"mmmm")</f>
        <v>January</v>
      </c>
      <c r="E13" s="1">
        <v>45292</v>
      </c>
      <c r="F13" s="1" t="str">
        <f>TEXT(Table1[[#This Row],[order_date]],"dddd")</f>
        <v>Monday</v>
      </c>
      <c r="G13">
        <f>HOUR(Table1[[#This Row],[order_time]])</f>
        <v>17</v>
      </c>
      <c r="H13" s="2">
        <v>0.73055555555555551</v>
      </c>
      <c r="I13" t="s">
        <v>16</v>
      </c>
      <c r="J13" t="s">
        <v>23</v>
      </c>
      <c r="K13">
        <v>5</v>
      </c>
      <c r="L13">
        <v>30</v>
      </c>
      <c r="M13">
        <v>150</v>
      </c>
      <c r="N13">
        <f>IF(COUNTIFS($B$2:B13,B13)=1,1,0)</f>
        <v>0</v>
      </c>
      <c r="P13" s="4">
        <v>19</v>
      </c>
      <c r="Q13" cm="1">
        <f t="array" ref="Q13">COUNTA(_xlfn.UNIQUE(_xlfn._xlws.FILTER(Table1[order_id], Table1[Hour]=G12)))</f>
        <v>383</v>
      </c>
    </row>
    <row r="14" spans="1:17" x14ac:dyDescent="0.2">
      <c r="A14">
        <v>13</v>
      </c>
      <c r="B14">
        <v>1006</v>
      </c>
      <c r="C14">
        <f>1/COUNTIF(B:B,Table1[[#This Row],[order_id]])</f>
        <v>1</v>
      </c>
      <c r="D14" t="str">
        <f>TEXT(Table1[[#This Row],[order_date]],"mmmm")</f>
        <v>January</v>
      </c>
      <c r="E14" s="1">
        <v>45293</v>
      </c>
      <c r="F14" s="1" t="str">
        <f>TEXT(Table1[[#This Row],[order_date]],"dddd")</f>
        <v>Tuesday</v>
      </c>
      <c r="G14">
        <f>HOUR(Table1[[#This Row],[order_time]])</f>
        <v>16</v>
      </c>
      <c r="H14" s="2">
        <v>0.68142361111111116</v>
      </c>
      <c r="I14" t="s">
        <v>11</v>
      </c>
      <c r="J14" t="s">
        <v>12</v>
      </c>
      <c r="K14">
        <v>1</v>
      </c>
      <c r="L14">
        <v>650</v>
      </c>
      <c r="M14">
        <v>650</v>
      </c>
      <c r="N14">
        <f>IF(COUNTIFS($B$2:B14,B14)=1,1,0)</f>
        <v>1</v>
      </c>
      <c r="P14" s="4">
        <v>20</v>
      </c>
      <c r="Q14" cm="1">
        <f t="array" ref="Q14">COUNTA(_xlfn.UNIQUE(_xlfn._xlws.FILTER(Table1[order_id], Table1[Hour]=G3)))</f>
        <v>353</v>
      </c>
    </row>
    <row r="15" spans="1:17" x14ac:dyDescent="0.2">
      <c r="A15">
        <v>14</v>
      </c>
      <c r="B15">
        <v>1007</v>
      </c>
      <c r="C15">
        <f>1/COUNTIF(B:B,Table1[[#This Row],[order_id]])</f>
        <v>1</v>
      </c>
      <c r="D15" t="str">
        <f>TEXT(Table1[[#This Row],[order_date]],"mmmm")</f>
        <v>January</v>
      </c>
      <c r="E15" s="1">
        <v>45293</v>
      </c>
      <c r="F15" s="1" t="str">
        <f>TEXT(Table1[[#This Row],[order_date]],"dddd")</f>
        <v>Tuesday</v>
      </c>
      <c r="G15">
        <f>HOUR(Table1[[#This Row],[order_time]])</f>
        <v>11</v>
      </c>
      <c r="H15" s="2">
        <v>0.47561342592592593</v>
      </c>
      <c r="I15" t="s">
        <v>16</v>
      </c>
      <c r="J15" t="s">
        <v>24</v>
      </c>
      <c r="K15">
        <v>2</v>
      </c>
      <c r="L15">
        <v>35</v>
      </c>
      <c r="M15">
        <v>70</v>
      </c>
      <c r="N15">
        <f>IF(COUNTIFS($B$2:B15,B15)=1,1,0)</f>
        <v>1</v>
      </c>
    </row>
    <row r="16" spans="1:17" x14ac:dyDescent="0.2">
      <c r="A16">
        <v>15</v>
      </c>
      <c r="B16">
        <v>1008</v>
      </c>
      <c r="C16">
        <f>1/COUNTIF(B:B,Table1[[#This Row],[order_id]])</f>
        <v>0.33333333333333331</v>
      </c>
      <c r="D16" t="str">
        <f>TEXT(Table1[[#This Row],[order_date]],"mmmm")</f>
        <v>January</v>
      </c>
      <c r="E16" s="1">
        <v>45293</v>
      </c>
      <c r="F16" s="1" t="str">
        <f>TEXT(Table1[[#This Row],[order_date]],"dddd")</f>
        <v>Tuesday</v>
      </c>
      <c r="G16">
        <f>HOUR(Table1[[#This Row],[order_time]])</f>
        <v>12</v>
      </c>
      <c r="H16" s="2">
        <v>0.51225694444444447</v>
      </c>
      <c r="I16" t="s">
        <v>16</v>
      </c>
      <c r="J16" t="s">
        <v>24</v>
      </c>
      <c r="K16">
        <v>4</v>
      </c>
      <c r="L16">
        <v>35</v>
      </c>
      <c r="M16">
        <v>140</v>
      </c>
      <c r="N16">
        <f>IF(COUNTIFS($B$2:B16,B16)=1,1,0)</f>
        <v>1</v>
      </c>
    </row>
    <row r="17" spans="1:14" x14ac:dyDescent="0.2">
      <c r="A17">
        <v>16</v>
      </c>
      <c r="B17">
        <v>1008</v>
      </c>
      <c r="C17">
        <f>1/COUNTIF(B:B,Table1[[#This Row],[order_id]])</f>
        <v>0.33333333333333331</v>
      </c>
      <c r="D17" t="str">
        <f>TEXT(Table1[[#This Row],[order_date]],"mmmm")</f>
        <v>January</v>
      </c>
      <c r="E17" s="1">
        <v>45293</v>
      </c>
      <c r="F17" s="1" t="str">
        <f>TEXT(Table1[[#This Row],[order_date]],"dddd")</f>
        <v>Tuesday</v>
      </c>
      <c r="G17">
        <f>HOUR(Table1[[#This Row],[order_time]])</f>
        <v>9</v>
      </c>
      <c r="H17" s="2">
        <v>0.3790162037037037</v>
      </c>
      <c r="I17" t="s">
        <v>11</v>
      </c>
      <c r="J17" t="s">
        <v>25</v>
      </c>
      <c r="K17">
        <v>4</v>
      </c>
      <c r="L17">
        <v>1000</v>
      </c>
      <c r="M17">
        <v>4000</v>
      </c>
      <c r="N17">
        <f>IF(COUNTIFS($B$2:B17,B17)=1,1,0)</f>
        <v>0</v>
      </c>
    </row>
    <row r="18" spans="1:14" x14ac:dyDescent="0.2">
      <c r="A18">
        <v>17</v>
      </c>
      <c r="B18">
        <v>1008</v>
      </c>
      <c r="C18">
        <f>1/COUNTIF(B:B,Table1[[#This Row],[order_id]])</f>
        <v>0.33333333333333331</v>
      </c>
      <c r="D18" t="str">
        <f>TEXT(Table1[[#This Row],[order_date]],"mmmm")</f>
        <v>January</v>
      </c>
      <c r="E18" s="1">
        <v>45293</v>
      </c>
      <c r="F18" s="1" t="str">
        <f>TEXT(Table1[[#This Row],[order_date]],"dddd")</f>
        <v>Tuesday</v>
      </c>
      <c r="G18">
        <f>HOUR(Table1[[#This Row],[order_time]])</f>
        <v>17</v>
      </c>
      <c r="H18" s="2">
        <v>0.72488425925925926</v>
      </c>
      <c r="I18" t="s">
        <v>11</v>
      </c>
      <c r="J18" t="s">
        <v>15</v>
      </c>
      <c r="K18">
        <v>1</v>
      </c>
      <c r="L18">
        <v>600</v>
      </c>
      <c r="M18">
        <v>600</v>
      </c>
      <c r="N18">
        <f>IF(COUNTIFS($B$2:B18,B18)=1,1,0)</f>
        <v>0</v>
      </c>
    </row>
    <row r="19" spans="1:14" x14ac:dyDescent="0.2">
      <c r="A19">
        <v>18</v>
      </c>
      <c r="B19">
        <v>1009</v>
      </c>
      <c r="C19">
        <f>1/COUNTIF(B:B,Table1[[#This Row],[order_id]])</f>
        <v>0.33333333333333331</v>
      </c>
      <c r="D19" t="str">
        <f>TEXT(Table1[[#This Row],[order_date]],"mmmm")</f>
        <v>January</v>
      </c>
      <c r="E19" s="1">
        <v>45293</v>
      </c>
      <c r="F19" s="1" t="str">
        <f>TEXT(Table1[[#This Row],[order_date]],"dddd")</f>
        <v>Tuesday</v>
      </c>
      <c r="G19">
        <f>HOUR(Table1[[#This Row],[order_time]])</f>
        <v>10</v>
      </c>
      <c r="H19" s="2">
        <v>0.448125</v>
      </c>
      <c r="I19" t="s">
        <v>11</v>
      </c>
      <c r="J19" t="s">
        <v>14</v>
      </c>
      <c r="K19">
        <v>5</v>
      </c>
      <c r="L19">
        <v>700</v>
      </c>
      <c r="M19">
        <v>3500</v>
      </c>
      <c r="N19">
        <f>IF(COUNTIFS($B$2:B19,B19)=1,1,0)</f>
        <v>1</v>
      </c>
    </row>
    <row r="20" spans="1:14" x14ac:dyDescent="0.2">
      <c r="A20">
        <v>19</v>
      </c>
      <c r="B20">
        <v>1009</v>
      </c>
      <c r="C20">
        <f>1/COUNTIF(B:B,Table1[[#This Row],[order_id]])</f>
        <v>0.33333333333333331</v>
      </c>
      <c r="D20" t="str">
        <f>TEXT(Table1[[#This Row],[order_date]],"mmmm")</f>
        <v>January</v>
      </c>
      <c r="E20" s="1">
        <v>45293</v>
      </c>
      <c r="F20" s="1" t="str">
        <f>TEXT(Table1[[#This Row],[order_date]],"dddd")</f>
        <v>Tuesday</v>
      </c>
      <c r="G20">
        <f>HOUR(Table1[[#This Row],[order_time]])</f>
        <v>15</v>
      </c>
      <c r="H20" s="2">
        <v>0.66494212962962962</v>
      </c>
      <c r="I20" t="s">
        <v>16</v>
      </c>
      <c r="J20" t="s">
        <v>17</v>
      </c>
      <c r="K20">
        <v>1</v>
      </c>
      <c r="L20">
        <v>20</v>
      </c>
      <c r="M20">
        <v>20</v>
      </c>
      <c r="N20">
        <f>IF(COUNTIFS($B$2:B20,B20)=1,1,0)</f>
        <v>0</v>
      </c>
    </row>
    <row r="21" spans="1:14" x14ac:dyDescent="0.2">
      <c r="A21">
        <v>20</v>
      </c>
      <c r="B21">
        <v>1009</v>
      </c>
      <c r="C21">
        <f>1/COUNTIF(B:B,Table1[[#This Row],[order_id]])</f>
        <v>0.33333333333333331</v>
      </c>
      <c r="D21" t="str">
        <f>TEXT(Table1[[#This Row],[order_date]],"mmmm")</f>
        <v>January</v>
      </c>
      <c r="E21" s="1">
        <v>45293</v>
      </c>
      <c r="F21" s="1" t="str">
        <f>TEXT(Table1[[#This Row],[order_date]],"dddd")</f>
        <v>Tuesday</v>
      </c>
      <c r="G21">
        <f>HOUR(Table1[[#This Row],[order_time]])</f>
        <v>16</v>
      </c>
      <c r="H21" s="2">
        <v>0.66997685185185185</v>
      </c>
      <c r="I21" t="s">
        <v>18</v>
      </c>
      <c r="J21" t="s">
        <v>26</v>
      </c>
      <c r="K21">
        <v>2</v>
      </c>
      <c r="L21">
        <v>55</v>
      </c>
      <c r="M21">
        <v>110</v>
      </c>
      <c r="N21">
        <f>IF(COUNTIFS($B$2:B21,B21)=1,1,0)</f>
        <v>0</v>
      </c>
    </row>
    <row r="22" spans="1:14" x14ac:dyDescent="0.2">
      <c r="A22">
        <v>21</v>
      </c>
      <c r="B22">
        <v>1010</v>
      </c>
      <c r="C22">
        <f>1/COUNTIF(B:B,Table1[[#This Row],[order_id]])</f>
        <v>0.33333333333333331</v>
      </c>
      <c r="D22" t="str">
        <f>TEXT(Table1[[#This Row],[order_date]],"mmmm")</f>
        <v>January</v>
      </c>
      <c r="E22" s="1">
        <v>45293</v>
      </c>
      <c r="F22" s="1" t="str">
        <f>TEXT(Table1[[#This Row],[order_date]],"dddd")</f>
        <v>Tuesday</v>
      </c>
      <c r="G22">
        <f>HOUR(Table1[[#This Row],[order_time]])</f>
        <v>10</v>
      </c>
      <c r="H22" s="2">
        <v>0.43758101851851849</v>
      </c>
      <c r="I22" t="s">
        <v>11</v>
      </c>
      <c r="J22" t="s">
        <v>12</v>
      </c>
      <c r="K22">
        <v>4</v>
      </c>
      <c r="L22">
        <v>650</v>
      </c>
      <c r="M22">
        <v>2600</v>
      </c>
      <c r="N22">
        <f>IF(COUNTIFS($B$2:B22,B22)=1,1,0)</f>
        <v>1</v>
      </c>
    </row>
    <row r="23" spans="1:14" x14ac:dyDescent="0.2">
      <c r="A23">
        <v>22</v>
      </c>
      <c r="B23">
        <v>1010</v>
      </c>
      <c r="C23">
        <f>1/COUNTIF(B:B,Table1[[#This Row],[order_id]])</f>
        <v>0.33333333333333331</v>
      </c>
      <c r="D23" t="str">
        <f>TEXT(Table1[[#This Row],[order_date]],"mmmm")</f>
        <v>January</v>
      </c>
      <c r="E23" s="1">
        <v>45293</v>
      </c>
      <c r="F23" s="1" t="str">
        <f>TEXT(Table1[[#This Row],[order_date]],"dddd")</f>
        <v>Tuesday</v>
      </c>
      <c r="G23">
        <f>HOUR(Table1[[#This Row],[order_time]])</f>
        <v>19</v>
      </c>
      <c r="H23" s="2">
        <v>0.81767361111111114</v>
      </c>
      <c r="I23" t="s">
        <v>16</v>
      </c>
      <c r="J23" t="s">
        <v>24</v>
      </c>
      <c r="K23">
        <v>1</v>
      </c>
      <c r="L23">
        <v>35</v>
      </c>
      <c r="M23">
        <v>35</v>
      </c>
      <c r="N23">
        <f>IF(COUNTIFS($B$2:B23,B23)=1,1,0)</f>
        <v>0</v>
      </c>
    </row>
    <row r="24" spans="1:14" x14ac:dyDescent="0.2">
      <c r="A24">
        <v>23</v>
      </c>
      <c r="B24">
        <v>1010</v>
      </c>
      <c r="C24">
        <f>1/COUNTIF(B:B,Table1[[#This Row],[order_id]])</f>
        <v>0.33333333333333331</v>
      </c>
      <c r="D24" t="str">
        <f>TEXT(Table1[[#This Row],[order_date]],"mmmm")</f>
        <v>January</v>
      </c>
      <c r="E24" s="1">
        <v>45293</v>
      </c>
      <c r="F24" s="1" t="str">
        <f>TEXT(Table1[[#This Row],[order_date]],"dddd")</f>
        <v>Tuesday</v>
      </c>
      <c r="G24">
        <f>HOUR(Table1[[#This Row],[order_time]])</f>
        <v>9</v>
      </c>
      <c r="H24" s="2">
        <v>0.37834490740740739</v>
      </c>
      <c r="I24" t="s">
        <v>18</v>
      </c>
      <c r="J24" t="s">
        <v>27</v>
      </c>
      <c r="K24">
        <v>2</v>
      </c>
      <c r="L24">
        <v>40</v>
      </c>
      <c r="M24">
        <v>80</v>
      </c>
      <c r="N24">
        <f>IF(COUNTIFS($B$2:B24,B24)=1,1,0)</f>
        <v>0</v>
      </c>
    </row>
    <row r="25" spans="1:14" x14ac:dyDescent="0.2">
      <c r="A25">
        <v>24</v>
      </c>
      <c r="B25">
        <v>1011</v>
      </c>
      <c r="C25">
        <f>1/COUNTIF(B:B,Table1[[#This Row],[order_id]])</f>
        <v>0.5</v>
      </c>
      <c r="D25" t="str">
        <f>TEXT(Table1[[#This Row],[order_date]],"mmmm")</f>
        <v>January</v>
      </c>
      <c r="E25" s="1">
        <v>45293</v>
      </c>
      <c r="F25" s="1" t="str">
        <f>TEXT(Table1[[#This Row],[order_date]],"dddd")</f>
        <v>Tuesday</v>
      </c>
      <c r="G25">
        <f>HOUR(Table1[[#This Row],[order_time]])</f>
        <v>13</v>
      </c>
      <c r="H25" s="2">
        <v>0.56186342592592597</v>
      </c>
      <c r="I25" t="s">
        <v>11</v>
      </c>
      <c r="J25" t="s">
        <v>25</v>
      </c>
      <c r="K25">
        <v>3</v>
      </c>
      <c r="L25">
        <v>1000</v>
      </c>
      <c r="M25">
        <v>3000</v>
      </c>
      <c r="N25">
        <f>IF(COUNTIFS($B$2:B25,B25)=1,1,0)</f>
        <v>1</v>
      </c>
    </row>
    <row r="26" spans="1:14" x14ac:dyDescent="0.2">
      <c r="A26">
        <v>25</v>
      </c>
      <c r="B26">
        <v>1011</v>
      </c>
      <c r="C26">
        <f>1/COUNTIF(B:B,Table1[[#This Row],[order_id]])</f>
        <v>0.5</v>
      </c>
      <c r="D26" t="str">
        <f>TEXT(Table1[[#This Row],[order_date]],"mmmm")</f>
        <v>January</v>
      </c>
      <c r="E26" s="1">
        <v>45293</v>
      </c>
      <c r="F26" s="1" t="str">
        <f>TEXT(Table1[[#This Row],[order_date]],"dddd")</f>
        <v>Tuesday</v>
      </c>
      <c r="G26">
        <f>HOUR(Table1[[#This Row],[order_time]])</f>
        <v>19</v>
      </c>
      <c r="H26" s="2">
        <v>0.80596064814814816</v>
      </c>
      <c r="I26" t="s">
        <v>18</v>
      </c>
      <c r="J26" t="s">
        <v>19</v>
      </c>
      <c r="K26">
        <v>2</v>
      </c>
      <c r="L26">
        <v>50</v>
      </c>
      <c r="M26">
        <v>100</v>
      </c>
      <c r="N26">
        <f>IF(COUNTIFS($B$2:B26,B26)=1,1,0)</f>
        <v>0</v>
      </c>
    </row>
    <row r="27" spans="1:14" x14ac:dyDescent="0.2">
      <c r="A27">
        <v>26</v>
      </c>
      <c r="B27">
        <v>1012</v>
      </c>
      <c r="C27">
        <f>1/COUNTIF(B:B,Table1[[#This Row],[order_id]])</f>
        <v>1</v>
      </c>
      <c r="D27" t="str">
        <f>TEXT(Table1[[#This Row],[order_date]],"mmmm")</f>
        <v>January</v>
      </c>
      <c r="E27" s="1">
        <v>45293</v>
      </c>
      <c r="F27" s="1" t="str">
        <f>TEXT(Table1[[#This Row],[order_date]],"dddd")</f>
        <v>Tuesday</v>
      </c>
      <c r="G27">
        <f>HOUR(Table1[[#This Row],[order_time]])</f>
        <v>17</v>
      </c>
      <c r="H27" s="2">
        <v>0.74728009259259254</v>
      </c>
      <c r="I27" t="s">
        <v>16</v>
      </c>
      <c r="J27" t="s">
        <v>28</v>
      </c>
      <c r="K27">
        <v>3</v>
      </c>
      <c r="L27">
        <v>25</v>
      </c>
      <c r="M27">
        <v>75</v>
      </c>
      <c r="N27">
        <f>IF(COUNTIFS($B$2:B27,B27)=1,1,0)</f>
        <v>1</v>
      </c>
    </row>
    <row r="28" spans="1:14" x14ac:dyDescent="0.2">
      <c r="A28">
        <v>27</v>
      </c>
      <c r="B28">
        <v>1013</v>
      </c>
      <c r="C28">
        <f>1/COUNTIF(B:B,Table1[[#This Row],[order_id]])</f>
        <v>1</v>
      </c>
      <c r="D28" t="str">
        <f>TEXT(Table1[[#This Row],[order_date]],"mmmm")</f>
        <v>January</v>
      </c>
      <c r="E28" s="1">
        <v>45293</v>
      </c>
      <c r="F28" s="1" t="str">
        <f>TEXT(Table1[[#This Row],[order_date]],"dddd")</f>
        <v>Tuesday</v>
      </c>
      <c r="G28">
        <f>HOUR(Table1[[#This Row],[order_time]])</f>
        <v>19</v>
      </c>
      <c r="H28" s="2">
        <v>0.80273148148148143</v>
      </c>
      <c r="I28" t="s">
        <v>9</v>
      </c>
      <c r="J28" t="s">
        <v>29</v>
      </c>
      <c r="K28">
        <v>3</v>
      </c>
      <c r="L28">
        <v>5</v>
      </c>
      <c r="M28">
        <v>15</v>
      </c>
      <c r="N28">
        <f>IF(COUNTIFS($B$2:B28,B28)=1,1,0)</f>
        <v>1</v>
      </c>
    </row>
    <row r="29" spans="1:14" x14ac:dyDescent="0.2">
      <c r="A29">
        <v>28</v>
      </c>
      <c r="B29">
        <v>1014</v>
      </c>
      <c r="C29">
        <f>1/COUNTIF(B:B,Table1[[#This Row],[order_id]])</f>
        <v>0.5</v>
      </c>
      <c r="D29" t="str">
        <f>TEXT(Table1[[#This Row],[order_date]],"mmmm")</f>
        <v>January</v>
      </c>
      <c r="E29" s="1">
        <v>45293</v>
      </c>
      <c r="F29" s="1" t="str">
        <f>TEXT(Table1[[#This Row],[order_date]],"dddd")</f>
        <v>Tuesday</v>
      </c>
      <c r="G29">
        <f>HOUR(Table1[[#This Row],[order_time]])</f>
        <v>18</v>
      </c>
      <c r="H29" s="2">
        <v>0.75534722222222217</v>
      </c>
      <c r="I29" t="s">
        <v>18</v>
      </c>
      <c r="J29" t="s">
        <v>30</v>
      </c>
      <c r="K29">
        <v>4</v>
      </c>
      <c r="L29">
        <v>60</v>
      </c>
      <c r="M29">
        <v>240</v>
      </c>
      <c r="N29">
        <f>IF(COUNTIFS($B$2:B29,B29)=1,1,0)</f>
        <v>1</v>
      </c>
    </row>
    <row r="30" spans="1:14" x14ac:dyDescent="0.2">
      <c r="A30">
        <v>29</v>
      </c>
      <c r="B30">
        <v>1014</v>
      </c>
      <c r="C30">
        <f>1/COUNTIF(B:B,Table1[[#This Row],[order_id]])</f>
        <v>0.5</v>
      </c>
      <c r="D30" t="str">
        <f>TEXT(Table1[[#This Row],[order_date]],"mmmm")</f>
        <v>January</v>
      </c>
      <c r="E30" s="1">
        <v>45293</v>
      </c>
      <c r="F30" s="1" t="str">
        <f>TEXT(Table1[[#This Row],[order_date]],"dddd")</f>
        <v>Tuesday</v>
      </c>
      <c r="G30">
        <f>HOUR(Table1[[#This Row],[order_time]])</f>
        <v>19</v>
      </c>
      <c r="H30" s="2">
        <v>0.80208333333333337</v>
      </c>
      <c r="I30" t="s">
        <v>11</v>
      </c>
      <c r="J30" t="s">
        <v>12</v>
      </c>
      <c r="K30">
        <v>5</v>
      </c>
      <c r="L30">
        <v>650</v>
      </c>
      <c r="M30">
        <v>3250</v>
      </c>
      <c r="N30">
        <f>IF(COUNTIFS($B$2:B30,B30)=1,1,0)</f>
        <v>0</v>
      </c>
    </row>
    <row r="31" spans="1:14" x14ac:dyDescent="0.2">
      <c r="A31">
        <v>30</v>
      </c>
      <c r="B31">
        <v>1015</v>
      </c>
      <c r="C31">
        <f>1/COUNTIF(B:B,Table1[[#This Row],[order_id]])</f>
        <v>0.5</v>
      </c>
      <c r="D31" t="str">
        <f>TEXT(Table1[[#This Row],[order_date]],"mmmm")</f>
        <v>January</v>
      </c>
      <c r="E31" s="1">
        <v>45293</v>
      </c>
      <c r="F31" s="1" t="str">
        <f>TEXT(Table1[[#This Row],[order_date]],"dddd")</f>
        <v>Tuesday</v>
      </c>
      <c r="G31">
        <f>HOUR(Table1[[#This Row],[order_time]])</f>
        <v>20</v>
      </c>
      <c r="H31" s="2">
        <v>0.8501157407407407</v>
      </c>
      <c r="I31" t="s">
        <v>9</v>
      </c>
      <c r="J31" t="s">
        <v>21</v>
      </c>
      <c r="K31">
        <v>4</v>
      </c>
      <c r="L31">
        <v>10</v>
      </c>
      <c r="M31">
        <v>40</v>
      </c>
      <c r="N31">
        <f>IF(COUNTIFS($B$2:B31,B31)=1,1,0)</f>
        <v>1</v>
      </c>
    </row>
    <row r="32" spans="1:14" x14ac:dyDescent="0.2">
      <c r="A32">
        <v>31</v>
      </c>
      <c r="B32">
        <v>1015</v>
      </c>
      <c r="C32">
        <f>1/COUNTIF(B:B,Table1[[#This Row],[order_id]])</f>
        <v>0.5</v>
      </c>
      <c r="D32" t="str">
        <f>TEXT(Table1[[#This Row],[order_date]],"mmmm")</f>
        <v>January</v>
      </c>
      <c r="E32" s="1">
        <v>45293</v>
      </c>
      <c r="F32" s="1" t="str">
        <f>TEXT(Table1[[#This Row],[order_date]],"dddd")</f>
        <v>Tuesday</v>
      </c>
      <c r="G32">
        <f>HOUR(Table1[[#This Row],[order_time]])</f>
        <v>15</v>
      </c>
      <c r="H32" s="2">
        <v>0.64172453703703702</v>
      </c>
      <c r="I32" t="s">
        <v>11</v>
      </c>
      <c r="J32" t="s">
        <v>15</v>
      </c>
      <c r="K32">
        <v>3</v>
      </c>
      <c r="L32">
        <v>600</v>
      </c>
      <c r="M32">
        <v>1800</v>
      </c>
      <c r="N32">
        <f>IF(COUNTIFS($B$2:B32,B32)=1,1,0)</f>
        <v>0</v>
      </c>
    </row>
    <row r="33" spans="1:14" x14ac:dyDescent="0.2">
      <c r="A33">
        <v>32</v>
      </c>
      <c r="B33">
        <v>1016</v>
      </c>
      <c r="C33">
        <f>1/COUNTIF(B:B,Table1[[#This Row],[order_id]])</f>
        <v>1</v>
      </c>
      <c r="D33" t="str">
        <f>TEXT(Table1[[#This Row],[order_date]],"mmmm")</f>
        <v>January</v>
      </c>
      <c r="E33" s="1">
        <v>45294</v>
      </c>
      <c r="F33" s="1" t="str">
        <f>TEXT(Table1[[#This Row],[order_date]],"dddd")</f>
        <v>Wednesday</v>
      </c>
      <c r="G33">
        <f>HOUR(Table1[[#This Row],[order_time]])</f>
        <v>18</v>
      </c>
      <c r="H33" s="2">
        <v>0.76582175925925922</v>
      </c>
      <c r="I33" t="s">
        <v>9</v>
      </c>
      <c r="J33" t="s">
        <v>20</v>
      </c>
      <c r="K33">
        <v>1</v>
      </c>
      <c r="L33">
        <v>25</v>
      </c>
      <c r="M33">
        <v>25</v>
      </c>
      <c r="N33">
        <f>IF(COUNTIFS($B$2:B33,B33)=1,1,0)</f>
        <v>1</v>
      </c>
    </row>
    <row r="34" spans="1:14" x14ac:dyDescent="0.2">
      <c r="A34">
        <v>33</v>
      </c>
      <c r="B34">
        <v>1017</v>
      </c>
      <c r="C34">
        <f>1/COUNTIF(B:B,Table1[[#This Row],[order_id]])</f>
        <v>0.33333333333333331</v>
      </c>
      <c r="D34" t="str">
        <f>TEXT(Table1[[#This Row],[order_date]],"mmmm")</f>
        <v>January</v>
      </c>
      <c r="E34" s="1">
        <v>45294</v>
      </c>
      <c r="F34" s="1" t="str">
        <f>TEXT(Table1[[#This Row],[order_date]],"dddd")</f>
        <v>Wednesday</v>
      </c>
      <c r="G34">
        <f>HOUR(Table1[[#This Row],[order_time]])</f>
        <v>17</v>
      </c>
      <c r="H34" s="2">
        <v>0.73555555555555552</v>
      </c>
      <c r="I34" t="s">
        <v>9</v>
      </c>
      <c r="J34" t="s">
        <v>20</v>
      </c>
      <c r="K34">
        <v>1</v>
      </c>
      <c r="L34">
        <v>25</v>
      </c>
      <c r="M34">
        <v>25</v>
      </c>
      <c r="N34">
        <f>IF(COUNTIFS($B$2:B34,B34)=1,1,0)</f>
        <v>1</v>
      </c>
    </row>
    <row r="35" spans="1:14" x14ac:dyDescent="0.2">
      <c r="A35">
        <v>34</v>
      </c>
      <c r="B35">
        <v>1017</v>
      </c>
      <c r="C35">
        <f>1/COUNTIF(B:B,Table1[[#This Row],[order_id]])</f>
        <v>0.33333333333333331</v>
      </c>
      <c r="D35" t="str">
        <f>TEXT(Table1[[#This Row],[order_date]],"mmmm")</f>
        <v>January</v>
      </c>
      <c r="E35" s="1">
        <v>45294</v>
      </c>
      <c r="F35" s="1" t="str">
        <f>TEXT(Table1[[#This Row],[order_date]],"dddd")</f>
        <v>Wednesday</v>
      </c>
      <c r="G35">
        <f>HOUR(Table1[[#This Row],[order_time]])</f>
        <v>15</v>
      </c>
      <c r="H35" s="2">
        <v>0.63902777777777775</v>
      </c>
      <c r="I35" t="s">
        <v>18</v>
      </c>
      <c r="J35" t="s">
        <v>31</v>
      </c>
      <c r="K35">
        <v>5</v>
      </c>
      <c r="L35">
        <v>45</v>
      </c>
      <c r="M35">
        <v>225</v>
      </c>
      <c r="N35">
        <f>IF(COUNTIFS($B$2:B35,B35)=1,1,0)</f>
        <v>0</v>
      </c>
    </row>
    <row r="36" spans="1:14" x14ac:dyDescent="0.2">
      <c r="A36">
        <v>35</v>
      </c>
      <c r="B36">
        <v>1017</v>
      </c>
      <c r="C36">
        <f>1/COUNTIF(B:B,Table1[[#This Row],[order_id]])</f>
        <v>0.33333333333333331</v>
      </c>
      <c r="D36" t="str">
        <f>TEXT(Table1[[#This Row],[order_date]],"mmmm")</f>
        <v>January</v>
      </c>
      <c r="E36" s="1">
        <v>45294</v>
      </c>
      <c r="F36" s="1" t="str">
        <f>TEXT(Table1[[#This Row],[order_date]],"dddd")</f>
        <v>Wednesday</v>
      </c>
      <c r="G36">
        <f>HOUR(Table1[[#This Row],[order_time]])</f>
        <v>13</v>
      </c>
      <c r="H36" s="2">
        <v>0.5569560185185185</v>
      </c>
      <c r="I36" t="s">
        <v>16</v>
      </c>
      <c r="J36" t="s">
        <v>24</v>
      </c>
      <c r="K36">
        <v>1</v>
      </c>
      <c r="L36">
        <v>35</v>
      </c>
      <c r="M36">
        <v>35</v>
      </c>
      <c r="N36">
        <f>IF(COUNTIFS($B$2:B36,B36)=1,1,0)</f>
        <v>0</v>
      </c>
    </row>
    <row r="37" spans="1:14" x14ac:dyDescent="0.2">
      <c r="A37">
        <v>36</v>
      </c>
      <c r="B37">
        <v>1018</v>
      </c>
      <c r="C37">
        <f>1/COUNTIF(B:B,Table1[[#This Row],[order_id]])</f>
        <v>0.33333333333333331</v>
      </c>
      <c r="D37" t="str">
        <f>TEXT(Table1[[#This Row],[order_date]],"mmmm")</f>
        <v>January</v>
      </c>
      <c r="E37" s="1">
        <v>45294</v>
      </c>
      <c r="F37" s="1" t="str">
        <f>TEXT(Table1[[#This Row],[order_date]],"dddd")</f>
        <v>Wednesday</v>
      </c>
      <c r="G37">
        <f>HOUR(Table1[[#This Row],[order_time]])</f>
        <v>17</v>
      </c>
      <c r="H37" s="2">
        <v>0.72957175925925921</v>
      </c>
      <c r="I37" t="s">
        <v>9</v>
      </c>
      <c r="J37" t="s">
        <v>21</v>
      </c>
      <c r="K37">
        <v>1</v>
      </c>
      <c r="L37">
        <v>10</v>
      </c>
      <c r="M37">
        <v>10</v>
      </c>
      <c r="N37">
        <f>IF(COUNTIFS($B$2:B37,B37)=1,1,0)</f>
        <v>1</v>
      </c>
    </row>
    <row r="38" spans="1:14" x14ac:dyDescent="0.2">
      <c r="A38">
        <v>37</v>
      </c>
      <c r="B38">
        <v>1018</v>
      </c>
      <c r="C38">
        <f>1/COUNTIF(B:B,Table1[[#This Row],[order_id]])</f>
        <v>0.33333333333333331</v>
      </c>
      <c r="D38" t="str">
        <f>TEXT(Table1[[#This Row],[order_date]],"mmmm")</f>
        <v>January</v>
      </c>
      <c r="E38" s="1">
        <v>45294</v>
      </c>
      <c r="F38" s="1" t="str">
        <f>TEXT(Table1[[#This Row],[order_date]],"dddd")</f>
        <v>Wednesday</v>
      </c>
      <c r="G38">
        <f>HOUR(Table1[[#This Row],[order_time]])</f>
        <v>16</v>
      </c>
      <c r="H38" s="2">
        <v>0.68041666666666667</v>
      </c>
      <c r="I38" t="s">
        <v>11</v>
      </c>
      <c r="J38" t="s">
        <v>15</v>
      </c>
      <c r="K38">
        <v>2</v>
      </c>
      <c r="L38">
        <v>600</v>
      </c>
      <c r="M38">
        <v>1200</v>
      </c>
      <c r="N38">
        <f>IF(COUNTIFS($B$2:B38,B38)=1,1,0)</f>
        <v>0</v>
      </c>
    </row>
    <row r="39" spans="1:14" x14ac:dyDescent="0.2">
      <c r="A39">
        <v>38</v>
      </c>
      <c r="B39">
        <v>1018</v>
      </c>
      <c r="C39">
        <f>1/COUNTIF(B:B,Table1[[#This Row],[order_id]])</f>
        <v>0.33333333333333331</v>
      </c>
      <c r="D39" t="str">
        <f>TEXT(Table1[[#This Row],[order_date]],"mmmm")</f>
        <v>January</v>
      </c>
      <c r="E39" s="1">
        <v>45294</v>
      </c>
      <c r="F39" s="1" t="str">
        <f>TEXT(Table1[[#This Row],[order_date]],"dddd")</f>
        <v>Wednesday</v>
      </c>
      <c r="G39">
        <f>HOUR(Table1[[#This Row],[order_time]])</f>
        <v>11</v>
      </c>
      <c r="H39" s="2">
        <v>0.47296296296296297</v>
      </c>
      <c r="I39" t="s">
        <v>18</v>
      </c>
      <c r="J39" t="s">
        <v>27</v>
      </c>
      <c r="K39">
        <v>1</v>
      </c>
      <c r="L39">
        <v>40</v>
      </c>
      <c r="M39">
        <v>40</v>
      </c>
      <c r="N39">
        <f>IF(COUNTIFS($B$2:B39,B39)=1,1,0)</f>
        <v>0</v>
      </c>
    </row>
    <row r="40" spans="1:14" x14ac:dyDescent="0.2">
      <c r="A40">
        <v>39</v>
      </c>
      <c r="B40">
        <v>1019</v>
      </c>
      <c r="C40">
        <f>1/COUNTIF(B:B,Table1[[#This Row],[order_id]])</f>
        <v>1</v>
      </c>
      <c r="D40" t="str">
        <f>TEXT(Table1[[#This Row],[order_date]],"mmmm")</f>
        <v>January</v>
      </c>
      <c r="E40" s="1">
        <v>45295</v>
      </c>
      <c r="F40" s="1" t="str">
        <f>TEXT(Table1[[#This Row],[order_date]],"dddd")</f>
        <v>Thursday</v>
      </c>
      <c r="G40">
        <f>HOUR(Table1[[#This Row],[order_time]])</f>
        <v>18</v>
      </c>
      <c r="H40" s="2">
        <v>0.77991898148148153</v>
      </c>
      <c r="I40" t="s">
        <v>16</v>
      </c>
      <c r="J40" t="s">
        <v>23</v>
      </c>
      <c r="K40">
        <v>5</v>
      </c>
      <c r="L40">
        <v>30</v>
      </c>
      <c r="M40">
        <v>150</v>
      </c>
      <c r="N40">
        <f>IF(COUNTIFS($B$2:B40,B40)=1,1,0)</f>
        <v>1</v>
      </c>
    </row>
    <row r="41" spans="1:14" x14ac:dyDescent="0.2">
      <c r="A41">
        <v>40</v>
      </c>
      <c r="B41">
        <v>1020</v>
      </c>
      <c r="C41">
        <f>1/COUNTIF(B:B,Table1[[#This Row],[order_id]])</f>
        <v>1</v>
      </c>
      <c r="D41" t="str">
        <f>TEXT(Table1[[#This Row],[order_date]],"mmmm")</f>
        <v>January</v>
      </c>
      <c r="E41" s="1">
        <v>45295</v>
      </c>
      <c r="F41" s="1" t="str">
        <f>TEXT(Table1[[#This Row],[order_date]],"dddd")</f>
        <v>Thursday</v>
      </c>
      <c r="G41">
        <f>HOUR(Table1[[#This Row],[order_time]])</f>
        <v>20</v>
      </c>
      <c r="H41" s="2">
        <v>0.84032407407407406</v>
      </c>
      <c r="I41" t="s">
        <v>11</v>
      </c>
      <c r="J41" t="s">
        <v>15</v>
      </c>
      <c r="K41">
        <v>3</v>
      </c>
      <c r="L41">
        <v>600</v>
      </c>
      <c r="M41">
        <v>1800</v>
      </c>
      <c r="N41">
        <f>IF(COUNTIFS($B$2:B41,B41)=1,1,0)</f>
        <v>1</v>
      </c>
    </row>
    <row r="42" spans="1:14" x14ac:dyDescent="0.2">
      <c r="A42">
        <v>41</v>
      </c>
      <c r="B42">
        <v>1021</v>
      </c>
      <c r="C42">
        <f>1/COUNTIF(B:B,Table1[[#This Row],[order_id]])</f>
        <v>1</v>
      </c>
      <c r="D42" t="str">
        <f>TEXT(Table1[[#This Row],[order_date]],"mmmm")</f>
        <v>January</v>
      </c>
      <c r="E42" s="1">
        <v>45295</v>
      </c>
      <c r="F42" s="1" t="str">
        <f>TEXT(Table1[[#This Row],[order_date]],"dddd")</f>
        <v>Thursday</v>
      </c>
      <c r="G42">
        <f>HOUR(Table1[[#This Row],[order_time]])</f>
        <v>12</v>
      </c>
      <c r="H42" s="2">
        <v>0.52394675925925926</v>
      </c>
      <c r="I42" t="s">
        <v>9</v>
      </c>
      <c r="J42" t="s">
        <v>21</v>
      </c>
      <c r="K42">
        <v>2</v>
      </c>
      <c r="L42">
        <v>10</v>
      </c>
      <c r="M42">
        <v>20</v>
      </c>
      <c r="N42">
        <f>IF(COUNTIFS($B$2:B42,B42)=1,1,0)</f>
        <v>1</v>
      </c>
    </row>
    <row r="43" spans="1:14" x14ac:dyDescent="0.2">
      <c r="A43">
        <v>42</v>
      </c>
      <c r="B43">
        <v>1022</v>
      </c>
      <c r="C43">
        <f>1/COUNTIF(B:B,Table1[[#This Row],[order_id]])</f>
        <v>1</v>
      </c>
      <c r="D43" t="str">
        <f>TEXT(Table1[[#This Row],[order_date]],"mmmm")</f>
        <v>January</v>
      </c>
      <c r="E43" s="1">
        <v>45295</v>
      </c>
      <c r="F43" s="1" t="str">
        <f>TEXT(Table1[[#This Row],[order_date]],"dddd")</f>
        <v>Thursday</v>
      </c>
      <c r="G43">
        <f>HOUR(Table1[[#This Row],[order_time]])</f>
        <v>9</v>
      </c>
      <c r="H43" s="2">
        <v>0.40989583333333335</v>
      </c>
      <c r="I43" t="s">
        <v>9</v>
      </c>
      <c r="J43" t="s">
        <v>29</v>
      </c>
      <c r="K43">
        <v>4</v>
      </c>
      <c r="L43">
        <v>5</v>
      </c>
      <c r="M43">
        <v>20</v>
      </c>
      <c r="N43">
        <f>IF(COUNTIFS($B$2:B43,B43)=1,1,0)</f>
        <v>1</v>
      </c>
    </row>
    <row r="44" spans="1:14" x14ac:dyDescent="0.2">
      <c r="A44">
        <v>43</v>
      </c>
      <c r="B44">
        <v>1023</v>
      </c>
      <c r="C44">
        <f>1/COUNTIF(B:B,Table1[[#This Row],[order_id]])</f>
        <v>0.33333333333333331</v>
      </c>
      <c r="D44" t="str">
        <f>TEXT(Table1[[#This Row],[order_date]],"mmmm")</f>
        <v>January</v>
      </c>
      <c r="E44" s="1">
        <v>45295</v>
      </c>
      <c r="F44" s="1" t="str">
        <f>TEXT(Table1[[#This Row],[order_date]],"dddd")</f>
        <v>Thursday</v>
      </c>
      <c r="G44">
        <f>HOUR(Table1[[#This Row],[order_time]])</f>
        <v>16</v>
      </c>
      <c r="H44" s="2">
        <v>0.69363425925925926</v>
      </c>
      <c r="I44" t="s">
        <v>18</v>
      </c>
      <c r="J44" t="s">
        <v>31</v>
      </c>
      <c r="K44">
        <v>5</v>
      </c>
      <c r="L44">
        <v>45</v>
      </c>
      <c r="M44">
        <v>225</v>
      </c>
      <c r="N44">
        <f>IF(COUNTIFS($B$2:B44,B44)=1,1,0)</f>
        <v>1</v>
      </c>
    </row>
    <row r="45" spans="1:14" x14ac:dyDescent="0.2">
      <c r="A45">
        <v>44</v>
      </c>
      <c r="B45">
        <v>1023</v>
      </c>
      <c r="C45">
        <f>1/COUNTIF(B:B,Table1[[#This Row],[order_id]])</f>
        <v>0.33333333333333331</v>
      </c>
      <c r="D45" t="str">
        <f>TEXT(Table1[[#This Row],[order_date]],"mmmm")</f>
        <v>January</v>
      </c>
      <c r="E45" s="1">
        <v>45295</v>
      </c>
      <c r="F45" s="1" t="str">
        <f>TEXT(Table1[[#This Row],[order_date]],"dddd")</f>
        <v>Thursday</v>
      </c>
      <c r="G45">
        <f>HOUR(Table1[[#This Row],[order_time]])</f>
        <v>16</v>
      </c>
      <c r="H45" s="2">
        <v>0.69964120370370375</v>
      </c>
      <c r="I45" t="s">
        <v>11</v>
      </c>
      <c r="J45" t="s">
        <v>13</v>
      </c>
      <c r="K45">
        <v>2</v>
      </c>
      <c r="L45">
        <v>680</v>
      </c>
      <c r="M45">
        <v>1360</v>
      </c>
      <c r="N45">
        <f>IF(COUNTIFS($B$2:B45,B45)=1,1,0)</f>
        <v>0</v>
      </c>
    </row>
    <row r="46" spans="1:14" x14ac:dyDescent="0.2">
      <c r="A46">
        <v>45</v>
      </c>
      <c r="B46">
        <v>1023</v>
      </c>
      <c r="C46">
        <f>1/COUNTIF(B:B,Table1[[#This Row],[order_id]])</f>
        <v>0.33333333333333331</v>
      </c>
      <c r="D46" t="str">
        <f>TEXT(Table1[[#This Row],[order_date]],"mmmm")</f>
        <v>January</v>
      </c>
      <c r="E46" s="1">
        <v>45295</v>
      </c>
      <c r="F46" s="1" t="str">
        <f>TEXT(Table1[[#This Row],[order_date]],"dddd")</f>
        <v>Thursday</v>
      </c>
      <c r="G46">
        <f>HOUR(Table1[[#This Row],[order_time]])</f>
        <v>19</v>
      </c>
      <c r="H46" s="2">
        <v>0.79584490740740743</v>
      </c>
      <c r="I46" t="s">
        <v>11</v>
      </c>
      <c r="J46" t="s">
        <v>13</v>
      </c>
      <c r="K46">
        <v>3</v>
      </c>
      <c r="L46">
        <v>680</v>
      </c>
      <c r="M46">
        <v>2040</v>
      </c>
      <c r="N46">
        <f>IF(COUNTIFS($B$2:B46,B46)=1,1,0)</f>
        <v>0</v>
      </c>
    </row>
    <row r="47" spans="1:14" x14ac:dyDescent="0.2">
      <c r="A47">
        <v>46</v>
      </c>
      <c r="B47">
        <v>1024</v>
      </c>
      <c r="C47">
        <f>1/COUNTIF(B:B,Table1[[#This Row],[order_id]])</f>
        <v>0.33333333333333331</v>
      </c>
      <c r="D47" t="str">
        <f>TEXT(Table1[[#This Row],[order_date]],"mmmm")</f>
        <v>January</v>
      </c>
      <c r="E47" s="1">
        <v>45295</v>
      </c>
      <c r="F47" s="1" t="str">
        <f>TEXT(Table1[[#This Row],[order_date]],"dddd")</f>
        <v>Thursday</v>
      </c>
      <c r="G47">
        <f>HOUR(Table1[[#This Row],[order_time]])</f>
        <v>9</v>
      </c>
      <c r="H47" s="2">
        <v>0.3959259259259259</v>
      </c>
      <c r="I47" t="s">
        <v>11</v>
      </c>
      <c r="J47" t="s">
        <v>14</v>
      </c>
      <c r="K47">
        <v>2</v>
      </c>
      <c r="L47">
        <v>700</v>
      </c>
      <c r="M47">
        <v>1400</v>
      </c>
      <c r="N47">
        <f>IF(COUNTIFS($B$2:B47,B47)=1,1,0)</f>
        <v>1</v>
      </c>
    </row>
    <row r="48" spans="1:14" x14ac:dyDescent="0.2">
      <c r="A48">
        <v>47</v>
      </c>
      <c r="B48">
        <v>1024</v>
      </c>
      <c r="C48">
        <f>1/COUNTIF(B:B,Table1[[#This Row],[order_id]])</f>
        <v>0.33333333333333331</v>
      </c>
      <c r="D48" t="str">
        <f>TEXT(Table1[[#This Row],[order_date]],"mmmm")</f>
        <v>January</v>
      </c>
      <c r="E48" s="1">
        <v>45295</v>
      </c>
      <c r="F48" s="1" t="str">
        <f>TEXT(Table1[[#This Row],[order_date]],"dddd")</f>
        <v>Thursday</v>
      </c>
      <c r="G48">
        <f>HOUR(Table1[[#This Row],[order_time]])</f>
        <v>20</v>
      </c>
      <c r="H48" s="2">
        <v>0.83347222222222217</v>
      </c>
      <c r="I48" t="s">
        <v>11</v>
      </c>
      <c r="J48" t="s">
        <v>25</v>
      </c>
      <c r="K48">
        <v>3</v>
      </c>
      <c r="L48">
        <v>1000</v>
      </c>
      <c r="M48">
        <v>3000</v>
      </c>
      <c r="N48">
        <f>IF(COUNTIFS($B$2:B48,B48)=1,1,0)</f>
        <v>0</v>
      </c>
    </row>
    <row r="49" spans="1:14" x14ac:dyDescent="0.2">
      <c r="A49">
        <v>48</v>
      </c>
      <c r="B49">
        <v>1024</v>
      </c>
      <c r="C49">
        <f>1/COUNTIF(B:B,Table1[[#This Row],[order_id]])</f>
        <v>0.33333333333333331</v>
      </c>
      <c r="D49" t="str">
        <f>TEXT(Table1[[#This Row],[order_date]],"mmmm")</f>
        <v>January</v>
      </c>
      <c r="E49" s="1">
        <v>45295</v>
      </c>
      <c r="F49" s="1" t="str">
        <f>TEXT(Table1[[#This Row],[order_date]],"dddd")</f>
        <v>Thursday</v>
      </c>
      <c r="G49">
        <f>HOUR(Table1[[#This Row],[order_time]])</f>
        <v>18</v>
      </c>
      <c r="H49" s="2">
        <v>0.76370370370370366</v>
      </c>
      <c r="I49" t="s">
        <v>16</v>
      </c>
      <c r="J49" t="s">
        <v>24</v>
      </c>
      <c r="K49">
        <v>3</v>
      </c>
      <c r="L49">
        <v>35</v>
      </c>
      <c r="M49">
        <v>105</v>
      </c>
      <c r="N49">
        <f>IF(COUNTIFS($B$2:B49,B49)=1,1,0)</f>
        <v>0</v>
      </c>
    </row>
    <row r="50" spans="1:14" x14ac:dyDescent="0.2">
      <c r="A50">
        <v>49</v>
      </c>
      <c r="B50">
        <v>1025</v>
      </c>
      <c r="C50">
        <f>1/COUNTIF(B:B,Table1[[#This Row],[order_id]])</f>
        <v>1</v>
      </c>
      <c r="D50" t="str">
        <f>TEXT(Table1[[#This Row],[order_date]],"mmmm")</f>
        <v>January</v>
      </c>
      <c r="E50" s="1">
        <v>45295</v>
      </c>
      <c r="F50" s="1" t="str">
        <f>TEXT(Table1[[#This Row],[order_date]],"dddd")</f>
        <v>Thursday</v>
      </c>
      <c r="G50">
        <f>HOUR(Table1[[#This Row],[order_time]])</f>
        <v>18</v>
      </c>
      <c r="H50" s="2">
        <v>0.77285879629629628</v>
      </c>
      <c r="I50" t="s">
        <v>18</v>
      </c>
      <c r="J50" t="s">
        <v>19</v>
      </c>
      <c r="K50">
        <v>1</v>
      </c>
      <c r="L50">
        <v>50</v>
      </c>
      <c r="M50">
        <v>50</v>
      </c>
      <c r="N50">
        <f>IF(COUNTIFS($B$2:B50,B50)=1,1,0)</f>
        <v>1</v>
      </c>
    </row>
    <row r="51" spans="1:14" x14ac:dyDescent="0.2">
      <c r="A51">
        <v>50</v>
      </c>
      <c r="B51">
        <v>1026</v>
      </c>
      <c r="C51">
        <f>1/COUNTIF(B:B,Table1[[#This Row],[order_id]])</f>
        <v>0.33333333333333331</v>
      </c>
      <c r="D51" t="str">
        <f>TEXT(Table1[[#This Row],[order_date]],"mmmm")</f>
        <v>January</v>
      </c>
      <c r="E51" s="1">
        <v>45296</v>
      </c>
      <c r="F51" s="1" t="str">
        <f>TEXT(Table1[[#This Row],[order_date]],"dddd")</f>
        <v>Friday</v>
      </c>
      <c r="G51">
        <f>HOUR(Table1[[#This Row],[order_time]])</f>
        <v>20</v>
      </c>
      <c r="H51" s="2">
        <v>0.87370370370370365</v>
      </c>
      <c r="I51" t="s">
        <v>11</v>
      </c>
      <c r="J51" t="s">
        <v>14</v>
      </c>
      <c r="K51">
        <v>2</v>
      </c>
      <c r="L51">
        <v>700</v>
      </c>
      <c r="M51">
        <v>1400</v>
      </c>
      <c r="N51">
        <f>IF(COUNTIFS($B$2:B51,B51)=1,1,0)</f>
        <v>1</v>
      </c>
    </row>
    <row r="52" spans="1:14" x14ac:dyDescent="0.2">
      <c r="A52">
        <v>51</v>
      </c>
      <c r="B52">
        <v>1026</v>
      </c>
      <c r="C52">
        <f>1/COUNTIF(B:B,Table1[[#This Row],[order_id]])</f>
        <v>0.33333333333333331</v>
      </c>
      <c r="D52" t="str">
        <f>TEXT(Table1[[#This Row],[order_date]],"mmmm")</f>
        <v>January</v>
      </c>
      <c r="E52" s="1">
        <v>45296</v>
      </c>
      <c r="F52" s="1" t="str">
        <f>TEXT(Table1[[#This Row],[order_date]],"dddd")</f>
        <v>Friday</v>
      </c>
      <c r="G52">
        <f>HOUR(Table1[[#This Row],[order_time]])</f>
        <v>18</v>
      </c>
      <c r="H52" s="2">
        <v>0.78143518518518518</v>
      </c>
      <c r="I52" t="s">
        <v>11</v>
      </c>
      <c r="J52" t="s">
        <v>14</v>
      </c>
      <c r="K52">
        <v>3</v>
      </c>
      <c r="L52">
        <v>700</v>
      </c>
      <c r="M52">
        <v>2100</v>
      </c>
      <c r="N52">
        <f>IF(COUNTIFS($B$2:B52,B52)=1,1,0)</f>
        <v>0</v>
      </c>
    </row>
    <row r="53" spans="1:14" x14ac:dyDescent="0.2">
      <c r="A53">
        <v>52</v>
      </c>
      <c r="B53">
        <v>1026</v>
      </c>
      <c r="C53">
        <f>1/COUNTIF(B:B,Table1[[#This Row],[order_id]])</f>
        <v>0.33333333333333331</v>
      </c>
      <c r="D53" t="str">
        <f>TEXT(Table1[[#This Row],[order_date]],"mmmm")</f>
        <v>January</v>
      </c>
      <c r="E53" s="1">
        <v>45296</v>
      </c>
      <c r="F53" s="1" t="str">
        <f>TEXT(Table1[[#This Row],[order_date]],"dddd")</f>
        <v>Friday</v>
      </c>
      <c r="G53">
        <f>HOUR(Table1[[#This Row],[order_time]])</f>
        <v>14</v>
      </c>
      <c r="H53" s="2">
        <v>0.62221064814814819</v>
      </c>
      <c r="I53" t="s">
        <v>18</v>
      </c>
      <c r="J53" t="s">
        <v>19</v>
      </c>
      <c r="K53">
        <v>5</v>
      </c>
      <c r="L53">
        <v>50</v>
      </c>
      <c r="M53">
        <v>250</v>
      </c>
      <c r="N53">
        <f>IF(COUNTIFS($B$2:B53,B53)=1,1,0)</f>
        <v>0</v>
      </c>
    </row>
    <row r="54" spans="1:14" x14ac:dyDescent="0.2">
      <c r="A54">
        <v>53</v>
      </c>
      <c r="B54">
        <v>1027</v>
      </c>
      <c r="C54">
        <f>1/COUNTIF(B:B,Table1[[#This Row],[order_id]])</f>
        <v>1</v>
      </c>
      <c r="D54" t="str">
        <f>TEXT(Table1[[#This Row],[order_date]],"mmmm")</f>
        <v>January</v>
      </c>
      <c r="E54" s="1">
        <v>45296</v>
      </c>
      <c r="F54" s="1" t="str">
        <f>TEXT(Table1[[#This Row],[order_date]],"dddd")</f>
        <v>Friday</v>
      </c>
      <c r="G54">
        <f>HOUR(Table1[[#This Row],[order_time]])</f>
        <v>15</v>
      </c>
      <c r="H54" s="2">
        <v>0.65777777777777779</v>
      </c>
      <c r="I54" t="s">
        <v>11</v>
      </c>
      <c r="J54" t="s">
        <v>15</v>
      </c>
      <c r="K54">
        <v>2</v>
      </c>
      <c r="L54">
        <v>600</v>
      </c>
      <c r="M54">
        <v>1200</v>
      </c>
      <c r="N54">
        <f>IF(COUNTIFS($B$2:B54,B54)=1,1,0)</f>
        <v>1</v>
      </c>
    </row>
    <row r="55" spans="1:14" x14ac:dyDescent="0.2">
      <c r="A55">
        <v>54</v>
      </c>
      <c r="B55">
        <v>1028</v>
      </c>
      <c r="C55">
        <f>1/COUNTIF(B:B,Table1[[#This Row],[order_id]])</f>
        <v>1</v>
      </c>
      <c r="D55" t="str">
        <f>TEXT(Table1[[#This Row],[order_date]],"mmmm")</f>
        <v>January</v>
      </c>
      <c r="E55" s="1">
        <v>45296</v>
      </c>
      <c r="F55" s="1" t="str">
        <f>TEXT(Table1[[#This Row],[order_date]],"dddd")</f>
        <v>Friday</v>
      </c>
      <c r="G55">
        <f>HOUR(Table1[[#This Row],[order_time]])</f>
        <v>15</v>
      </c>
      <c r="H55" s="2">
        <v>0.66256944444444443</v>
      </c>
      <c r="I55" t="s">
        <v>11</v>
      </c>
      <c r="J55" t="s">
        <v>14</v>
      </c>
      <c r="K55">
        <v>5</v>
      </c>
      <c r="L55">
        <v>700</v>
      </c>
      <c r="M55">
        <v>3500</v>
      </c>
      <c r="N55">
        <f>IF(COUNTIFS($B$2:B55,B55)=1,1,0)</f>
        <v>1</v>
      </c>
    </row>
    <row r="56" spans="1:14" x14ac:dyDescent="0.2">
      <c r="A56">
        <v>55</v>
      </c>
      <c r="B56">
        <v>1029</v>
      </c>
      <c r="C56">
        <f>1/COUNTIF(B:B,Table1[[#This Row],[order_id]])</f>
        <v>1</v>
      </c>
      <c r="D56" t="str">
        <f>TEXT(Table1[[#This Row],[order_date]],"mmmm")</f>
        <v>January</v>
      </c>
      <c r="E56" s="1">
        <v>45296</v>
      </c>
      <c r="F56" s="1" t="str">
        <f>TEXT(Table1[[#This Row],[order_date]],"dddd")</f>
        <v>Friday</v>
      </c>
      <c r="G56">
        <f>HOUR(Table1[[#This Row],[order_time]])</f>
        <v>9</v>
      </c>
      <c r="H56" s="2">
        <v>0.39059027777777777</v>
      </c>
      <c r="I56" t="s">
        <v>18</v>
      </c>
      <c r="J56" t="s">
        <v>19</v>
      </c>
      <c r="K56">
        <v>2</v>
      </c>
      <c r="L56">
        <v>50</v>
      </c>
      <c r="M56">
        <v>100</v>
      </c>
      <c r="N56">
        <f>IF(COUNTIFS($B$2:B56,B56)=1,1,0)</f>
        <v>1</v>
      </c>
    </row>
    <row r="57" spans="1:14" x14ac:dyDescent="0.2">
      <c r="A57">
        <v>56</v>
      </c>
      <c r="B57">
        <v>1030</v>
      </c>
      <c r="C57">
        <f>1/COUNTIF(B:B,Table1[[#This Row],[order_id]])</f>
        <v>1</v>
      </c>
      <c r="D57" t="str">
        <f>TEXT(Table1[[#This Row],[order_date]],"mmmm")</f>
        <v>January</v>
      </c>
      <c r="E57" s="1">
        <v>45296</v>
      </c>
      <c r="F57" s="1" t="str">
        <f>TEXT(Table1[[#This Row],[order_date]],"dddd")</f>
        <v>Friday</v>
      </c>
      <c r="G57">
        <f>HOUR(Table1[[#This Row],[order_time]])</f>
        <v>10</v>
      </c>
      <c r="H57" s="2">
        <v>0.4463078703703704</v>
      </c>
      <c r="I57" t="s">
        <v>18</v>
      </c>
      <c r="J57" t="s">
        <v>26</v>
      </c>
      <c r="K57">
        <v>1</v>
      </c>
      <c r="L57">
        <v>55</v>
      </c>
      <c r="M57">
        <v>55</v>
      </c>
      <c r="N57">
        <f>IF(COUNTIFS($B$2:B57,B57)=1,1,0)</f>
        <v>1</v>
      </c>
    </row>
    <row r="58" spans="1:14" x14ac:dyDescent="0.2">
      <c r="A58">
        <v>57</v>
      </c>
      <c r="B58">
        <v>1031</v>
      </c>
      <c r="C58">
        <f>1/COUNTIF(B:B,Table1[[#This Row],[order_id]])</f>
        <v>0.33333333333333331</v>
      </c>
      <c r="D58" t="str">
        <f>TEXT(Table1[[#This Row],[order_date]],"mmmm")</f>
        <v>January</v>
      </c>
      <c r="E58" s="1">
        <v>45296</v>
      </c>
      <c r="F58" s="1" t="str">
        <f>TEXT(Table1[[#This Row],[order_date]],"dddd")</f>
        <v>Friday</v>
      </c>
      <c r="G58">
        <f>HOUR(Table1[[#This Row],[order_time]])</f>
        <v>12</v>
      </c>
      <c r="H58" s="2">
        <v>0.53119212962962958</v>
      </c>
      <c r="I58" t="s">
        <v>18</v>
      </c>
      <c r="J58" t="s">
        <v>27</v>
      </c>
      <c r="K58">
        <v>2</v>
      </c>
      <c r="L58">
        <v>40</v>
      </c>
      <c r="M58">
        <v>80</v>
      </c>
      <c r="N58">
        <f>IF(COUNTIFS($B$2:B58,B58)=1,1,0)</f>
        <v>1</v>
      </c>
    </row>
    <row r="59" spans="1:14" x14ac:dyDescent="0.2">
      <c r="A59">
        <v>58</v>
      </c>
      <c r="B59">
        <v>1031</v>
      </c>
      <c r="C59">
        <f>1/COUNTIF(B:B,Table1[[#This Row],[order_id]])</f>
        <v>0.33333333333333331</v>
      </c>
      <c r="D59" t="str">
        <f>TEXT(Table1[[#This Row],[order_date]],"mmmm")</f>
        <v>January</v>
      </c>
      <c r="E59" s="1">
        <v>45296</v>
      </c>
      <c r="F59" s="1" t="str">
        <f>TEXT(Table1[[#This Row],[order_date]],"dddd")</f>
        <v>Friday</v>
      </c>
      <c r="G59">
        <f>HOUR(Table1[[#This Row],[order_time]])</f>
        <v>9</v>
      </c>
      <c r="H59" s="2">
        <v>0.39734953703703701</v>
      </c>
      <c r="I59" t="s">
        <v>16</v>
      </c>
      <c r="J59" t="s">
        <v>24</v>
      </c>
      <c r="K59">
        <v>5</v>
      </c>
      <c r="L59">
        <v>35</v>
      </c>
      <c r="M59">
        <v>175</v>
      </c>
      <c r="N59">
        <f>IF(COUNTIFS($B$2:B59,B59)=1,1,0)</f>
        <v>0</v>
      </c>
    </row>
    <row r="60" spans="1:14" x14ac:dyDescent="0.2">
      <c r="A60">
        <v>59</v>
      </c>
      <c r="B60">
        <v>1031</v>
      </c>
      <c r="C60">
        <f>1/COUNTIF(B:B,Table1[[#This Row],[order_id]])</f>
        <v>0.33333333333333331</v>
      </c>
      <c r="D60" t="str">
        <f>TEXT(Table1[[#This Row],[order_date]],"mmmm")</f>
        <v>January</v>
      </c>
      <c r="E60" s="1">
        <v>45296</v>
      </c>
      <c r="F60" s="1" t="str">
        <f>TEXT(Table1[[#This Row],[order_date]],"dddd")</f>
        <v>Friday</v>
      </c>
      <c r="G60">
        <f>HOUR(Table1[[#This Row],[order_time]])</f>
        <v>20</v>
      </c>
      <c r="H60" s="2">
        <v>0.86123842592592592</v>
      </c>
      <c r="I60" t="s">
        <v>9</v>
      </c>
      <c r="J60" t="s">
        <v>22</v>
      </c>
      <c r="K60">
        <v>3</v>
      </c>
      <c r="L60">
        <v>15</v>
      </c>
      <c r="M60">
        <v>45</v>
      </c>
      <c r="N60">
        <f>IF(COUNTIFS($B$2:B60,B60)=1,1,0)</f>
        <v>0</v>
      </c>
    </row>
    <row r="61" spans="1:14" x14ac:dyDescent="0.2">
      <c r="A61">
        <v>60</v>
      </c>
      <c r="B61">
        <v>1032</v>
      </c>
      <c r="C61">
        <f>1/COUNTIF(B:B,Table1[[#This Row],[order_id]])</f>
        <v>0.33333333333333331</v>
      </c>
      <c r="D61" t="str">
        <f>TEXT(Table1[[#This Row],[order_date]],"mmmm")</f>
        <v>January</v>
      </c>
      <c r="E61" s="1">
        <v>45296</v>
      </c>
      <c r="F61" s="1" t="str">
        <f>TEXT(Table1[[#This Row],[order_date]],"dddd")</f>
        <v>Friday</v>
      </c>
      <c r="G61">
        <f>HOUR(Table1[[#This Row],[order_time]])</f>
        <v>10</v>
      </c>
      <c r="H61" s="2">
        <v>0.42121527777777779</v>
      </c>
      <c r="I61" t="s">
        <v>18</v>
      </c>
      <c r="J61" t="s">
        <v>26</v>
      </c>
      <c r="K61">
        <v>1</v>
      </c>
      <c r="L61">
        <v>55</v>
      </c>
      <c r="M61">
        <v>55</v>
      </c>
      <c r="N61">
        <f>IF(COUNTIFS($B$2:B61,B61)=1,1,0)</f>
        <v>1</v>
      </c>
    </row>
    <row r="62" spans="1:14" x14ac:dyDescent="0.2">
      <c r="A62">
        <v>61</v>
      </c>
      <c r="B62">
        <v>1032</v>
      </c>
      <c r="C62">
        <f>1/COUNTIF(B:B,Table1[[#This Row],[order_id]])</f>
        <v>0.33333333333333331</v>
      </c>
      <c r="D62" t="str">
        <f>TEXT(Table1[[#This Row],[order_date]],"mmmm")</f>
        <v>January</v>
      </c>
      <c r="E62" s="1">
        <v>45296</v>
      </c>
      <c r="F62" s="1" t="str">
        <f>TEXT(Table1[[#This Row],[order_date]],"dddd")</f>
        <v>Friday</v>
      </c>
      <c r="G62">
        <f>HOUR(Table1[[#This Row],[order_time]])</f>
        <v>12</v>
      </c>
      <c r="H62" s="2">
        <v>0.52969907407407413</v>
      </c>
      <c r="I62" t="s">
        <v>9</v>
      </c>
      <c r="J62" t="s">
        <v>21</v>
      </c>
      <c r="K62">
        <v>5</v>
      </c>
      <c r="L62">
        <v>10</v>
      </c>
      <c r="M62">
        <v>50</v>
      </c>
      <c r="N62">
        <f>IF(COUNTIFS($B$2:B62,B62)=1,1,0)</f>
        <v>0</v>
      </c>
    </row>
    <row r="63" spans="1:14" x14ac:dyDescent="0.2">
      <c r="A63">
        <v>62</v>
      </c>
      <c r="B63">
        <v>1032</v>
      </c>
      <c r="C63">
        <f>1/COUNTIF(B:B,Table1[[#This Row],[order_id]])</f>
        <v>0.33333333333333331</v>
      </c>
      <c r="D63" t="str">
        <f>TEXT(Table1[[#This Row],[order_date]],"mmmm")</f>
        <v>January</v>
      </c>
      <c r="E63" s="1">
        <v>45296</v>
      </c>
      <c r="F63" s="1" t="str">
        <f>TEXT(Table1[[#This Row],[order_date]],"dddd")</f>
        <v>Friday</v>
      </c>
      <c r="G63">
        <f>HOUR(Table1[[#This Row],[order_time]])</f>
        <v>18</v>
      </c>
      <c r="H63" s="2">
        <v>0.77515046296296297</v>
      </c>
      <c r="I63" t="s">
        <v>9</v>
      </c>
      <c r="J63" t="s">
        <v>21</v>
      </c>
      <c r="K63">
        <v>4</v>
      </c>
      <c r="L63">
        <v>10</v>
      </c>
      <c r="M63">
        <v>40</v>
      </c>
      <c r="N63">
        <f>IF(COUNTIFS($B$2:B63,B63)=1,1,0)</f>
        <v>0</v>
      </c>
    </row>
    <row r="64" spans="1:14" x14ac:dyDescent="0.2">
      <c r="A64">
        <v>63</v>
      </c>
      <c r="B64">
        <v>1033</v>
      </c>
      <c r="C64">
        <f>1/COUNTIF(B:B,Table1[[#This Row],[order_id]])</f>
        <v>1</v>
      </c>
      <c r="D64" t="str">
        <f>TEXT(Table1[[#This Row],[order_date]],"mmmm")</f>
        <v>January</v>
      </c>
      <c r="E64" s="1">
        <v>45297</v>
      </c>
      <c r="F64" s="1" t="str">
        <f>TEXT(Table1[[#This Row],[order_date]],"dddd")</f>
        <v>Saturday</v>
      </c>
      <c r="G64">
        <f>HOUR(Table1[[#This Row],[order_time]])</f>
        <v>12</v>
      </c>
      <c r="H64" s="2">
        <v>0.52350694444444446</v>
      </c>
      <c r="I64" t="s">
        <v>9</v>
      </c>
      <c r="J64" t="s">
        <v>21</v>
      </c>
      <c r="K64">
        <v>1</v>
      </c>
      <c r="L64">
        <v>10</v>
      </c>
      <c r="M64">
        <v>10</v>
      </c>
      <c r="N64">
        <f>IF(COUNTIFS($B$2:B64,B64)=1,1,0)</f>
        <v>1</v>
      </c>
    </row>
    <row r="65" spans="1:14" x14ac:dyDescent="0.2">
      <c r="A65">
        <v>64</v>
      </c>
      <c r="B65">
        <v>1034</v>
      </c>
      <c r="C65">
        <f>1/COUNTIF(B:B,Table1[[#This Row],[order_id]])</f>
        <v>0.33333333333333331</v>
      </c>
      <c r="D65" t="str">
        <f>TEXT(Table1[[#This Row],[order_date]],"mmmm")</f>
        <v>January</v>
      </c>
      <c r="E65" s="1">
        <v>45297</v>
      </c>
      <c r="F65" s="1" t="str">
        <f>TEXT(Table1[[#This Row],[order_date]],"dddd")</f>
        <v>Saturday</v>
      </c>
      <c r="G65">
        <f>HOUR(Table1[[#This Row],[order_time]])</f>
        <v>15</v>
      </c>
      <c r="H65" s="2">
        <v>0.6617939814814815</v>
      </c>
      <c r="I65" t="s">
        <v>9</v>
      </c>
      <c r="J65" t="s">
        <v>21</v>
      </c>
      <c r="K65">
        <v>5</v>
      </c>
      <c r="L65">
        <v>10</v>
      </c>
      <c r="M65">
        <v>50</v>
      </c>
      <c r="N65">
        <f>IF(COUNTIFS($B$2:B65,B65)=1,1,0)</f>
        <v>1</v>
      </c>
    </row>
    <row r="66" spans="1:14" x14ac:dyDescent="0.2">
      <c r="A66">
        <v>65</v>
      </c>
      <c r="B66">
        <v>1034</v>
      </c>
      <c r="C66">
        <f>1/COUNTIF(B:B,Table1[[#This Row],[order_id]])</f>
        <v>0.33333333333333331</v>
      </c>
      <c r="D66" t="str">
        <f>TEXT(Table1[[#This Row],[order_date]],"mmmm")</f>
        <v>January</v>
      </c>
      <c r="E66" s="1">
        <v>45297</v>
      </c>
      <c r="F66" s="1" t="str">
        <f>TEXT(Table1[[#This Row],[order_date]],"dddd")</f>
        <v>Saturday</v>
      </c>
      <c r="G66">
        <f>HOUR(Table1[[#This Row],[order_time]])</f>
        <v>17</v>
      </c>
      <c r="H66" s="2">
        <v>0.71498842592592593</v>
      </c>
      <c r="I66" t="s">
        <v>9</v>
      </c>
      <c r="J66" t="s">
        <v>22</v>
      </c>
      <c r="K66">
        <v>1</v>
      </c>
      <c r="L66">
        <v>15</v>
      </c>
      <c r="M66">
        <v>15</v>
      </c>
      <c r="N66">
        <f>IF(COUNTIFS($B$2:B66,B66)=1,1,0)</f>
        <v>0</v>
      </c>
    </row>
    <row r="67" spans="1:14" x14ac:dyDescent="0.2">
      <c r="A67">
        <v>66</v>
      </c>
      <c r="B67">
        <v>1034</v>
      </c>
      <c r="C67">
        <f>1/COUNTIF(B:B,Table1[[#This Row],[order_id]])</f>
        <v>0.33333333333333331</v>
      </c>
      <c r="D67" t="str">
        <f>TEXT(Table1[[#This Row],[order_date]],"mmmm")</f>
        <v>January</v>
      </c>
      <c r="E67" s="1">
        <v>45297</v>
      </c>
      <c r="F67" s="1" t="str">
        <f>TEXT(Table1[[#This Row],[order_date]],"dddd")</f>
        <v>Saturday</v>
      </c>
      <c r="G67">
        <f>HOUR(Table1[[#This Row],[order_time]])</f>
        <v>10</v>
      </c>
      <c r="H67" s="2">
        <v>0.42864583333333334</v>
      </c>
      <c r="I67" t="s">
        <v>16</v>
      </c>
      <c r="J67" t="s">
        <v>23</v>
      </c>
      <c r="K67">
        <v>5</v>
      </c>
      <c r="L67">
        <v>30</v>
      </c>
      <c r="M67">
        <v>150</v>
      </c>
      <c r="N67">
        <f>IF(COUNTIFS($B$2:B67,B67)=1,1,0)</f>
        <v>0</v>
      </c>
    </row>
    <row r="68" spans="1:14" x14ac:dyDescent="0.2">
      <c r="A68">
        <v>67</v>
      </c>
      <c r="B68">
        <v>1035</v>
      </c>
      <c r="C68">
        <f>1/COUNTIF(B:B,Table1[[#This Row],[order_id]])</f>
        <v>1</v>
      </c>
      <c r="D68" t="str">
        <f>TEXT(Table1[[#This Row],[order_date]],"mmmm")</f>
        <v>January</v>
      </c>
      <c r="E68" s="1">
        <v>45297</v>
      </c>
      <c r="F68" s="1" t="str">
        <f>TEXT(Table1[[#This Row],[order_date]],"dddd")</f>
        <v>Saturday</v>
      </c>
      <c r="G68">
        <f>HOUR(Table1[[#This Row],[order_time]])</f>
        <v>11</v>
      </c>
      <c r="H68" s="2">
        <v>0.48211805555555554</v>
      </c>
      <c r="I68" t="s">
        <v>11</v>
      </c>
      <c r="J68" t="s">
        <v>25</v>
      </c>
      <c r="K68">
        <v>4</v>
      </c>
      <c r="L68">
        <v>1000</v>
      </c>
      <c r="M68">
        <v>4000</v>
      </c>
      <c r="N68">
        <f>IF(COUNTIFS($B$2:B68,B68)=1,1,0)</f>
        <v>1</v>
      </c>
    </row>
    <row r="69" spans="1:14" x14ac:dyDescent="0.2">
      <c r="A69">
        <v>68</v>
      </c>
      <c r="B69">
        <v>1036</v>
      </c>
      <c r="C69">
        <f>1/COUNTIF(B:B,Table1[[#This Row],[order_id]])</f>
        <v>0.5</v>
      </c>
      <c r="D69" t="str">
        <f>TEXT(Table1[[#This Row],[order_date]],"mmmm")</f>
        <v>January</v>
      </c>
      <c r="E69" s="1">
        <v>45297</v>
      </c>
      <c r="F69" s="1" t="str">
        <f>TEXT(Table1[[#This Row],[order_date]],"dddd")</f>
        <v>Saturday</v>
      </c>
      <c r="G69">
        <f>HOUR(Table1[[#This Row],[order_time]])</f>
        <v>17</v>
      </c>
      <c r="H69" s="2">
        <v>0.74268518518518523</v>
      </c>
      <c r="I69" t="s">
        <v>9</v>
      </c>
      <c r="J69" t="s">
        <v>10</v>
      </c>
      <c r="K69">
        <v>5</v>
      </c>
      <c r="L69">
        <v>20</v>
      </c>
      <c r="M69">
        <v>100</v>
      </c>
      <c r="N69">
        <f>IF(COUNTIFS($B$2:B69,B69)=1,1,0)</f>
        <v>1</v>
      </c>
    </row>
    <row r="70" spans="1:14" x14ac:dyDescent="0.2">
      <c r="A70">
        <v>69</v>
      </c>
      <c r="B70">
        <v>1036</v>
      </c>
      <c r="C70">
        <f>1/COUNTIF(B:B,Table1[[#This Row],[order_id]])</f>
        <v>0.5</v>
      </c>
      <c r="D70" t="str">
        <f>TEXT(Table1[[#This Row],[order_date]],"mmmm")</f>
        <v>January</v>
      </c>
      <c r="E70" s="1">
        <v>45297</v>
      </c>
      <c r="F70" s="1" t="str">
        <f>TEXT(Table1[[#This Row],[order_date]],"dddd")</f>
        <v>Saturday</v>
      </c>
      <c r="G70">
        <f>HOUR(Table1[[#This Row],[order_time]])</f>
        <v>9</v>
      </c>
      <c r="H70" s="2">
        <v>0.39543981481481483</v>
      </c>
      <c r="I70" t="s">
        <v>16</v>
      </c>
      <c r="J70" t="s">
        <v>24</v>
      </c>
      <c r="K70">
        <v>5</v>
      </c>
      <c r="L70">
        <v>35</v>
      </c>
      <c r="M70">
        <v>175</v>
      </c>
      <c r="N70">
        <f>IF(COUNTIFS($B$2:B70,B70)=1,1,0)</f>
        <v>0</v>
      </c>
    </row>
    <row r="71" spans="1:14" x14ac:dyDescent="0.2">
      <c r="A71">
        <v>70</v>
      </c>
      <c r="B71">
        <v>1037</v>
      </c>
      <c r="C71">
        <f>1/COUNTIF(B:B,Table1[[#This Row],[order_id]])</f>
        <v>0.33333333333333331</v>
      </c>
      <c r="D71" t="str">
        <f>TEXT(Table1[[#This Row],[order_date]],"mmmm")</f>
        <v>January</v>
      </c>
      <c r="E71" s="1">
        <v>45297</v>
      </c>
      <c r="F71" s="1" t="str">
        <f>TEXT(Table1[[#This Row],[order_date]],"dddd")</f>
        <v>Saturday</v>
      </c>
      <c r="G71">
        <f>HOUR(Table1[[#This Row],[order_time]])</f>
        <v>13</v>
      </c>
      <c r="H71" s="2">
        <v>0.5544675925925926</v>
      </c>
      <c r="I71" t="s">
        <v>16</v>
      </c>
      <c r="J71" t="s">
        <v>23</v>
      </c>
      <c r="K71">
        <v>2</v>
      </c>
      <c r="L71">
        <v>30</v>
      </c>
      <c r="M71">
        <v>60</v>
      </c>
      <c r="N71">
        <f>IF(COUNTIFS($B$2:B71,B71)=1,1,0)</f>
        <v>1</v>
      </c>
    </row>
    <row r="72" spans="1:14" x14ac:dyDescent="0.2">
      <c r="A72">
        <v>71</v>
      </c>
      <c r="B72">
        <v>1037</v>
      </c>
      <c r="C72">
        <f>1/COUNTIF(B:B,Table1[[#This Row],[order_id]])</f>
        <v>0.33333333333333331</v>
      </c>
      <c r="D72" t="str">
        <f>TEXT(Table1[[#This Row],[order_date]],"mmmm")</f>
        <v>January</v>
      </c>
      <c r="E72" s="1">
        <v>45297</v>
      </c>
      <c r="F72" s="1" t="str">
        <f>TEXT(Table1[[#This Row],[order_date]],"dddd")</f>
        <v>Saturday</v>
      </c>
      <c r="G72">
        <f>HOUR(Table1[[#This Row],[order_time]])</f>
        <v>12</v>
      </c>
      <c r="H72" s="2">
        <v>0.52872685185185186</v>
      </c>
      <c r="I72" t="s">
        <v>11</v>
      </c>
      <c r="J72" t="s">
        <v>14</v>
      </c>
      <c r="K72">
        <v>2</v>
      </c>
      <c r="L72">
        <v>700</v>
      </c>
      <c r="M72">
        <v>1400</v>
      </c>
      <c r="N72">
        <f>IF(COUNTIFS($B$2:B72,B72)=1,1,0)</f>
        <v>0</v>
      </c>
    </row>
    <row r="73" spans="1:14" x14ac:dyDescent="0.2">
      <c r="A73">
        <v>72</v>
      </c>
      <c r="B73">
        <v>1037</v>
      </c>
      <c r="C73">
        <f>1/COUNTIF(B:B,Table1[[#This Row],[order_id]])</f>
        <v>0.33333333333333331</v>
      </c>
      <c r="D73" t="str">
        <f>TEXT(Table1[[#This Row],[order_date]],"mmmm")</f>
        <v>January</v>
      </c>
      <c r="E73" s="1">
        <v>45297</v>
      </c>
      <c r="F73" s="1" t="str">
        <f>TEXT(Table1[[#This Row],[order_date]],"dddd")</f>
        <v>Saturday</v>
      </c>
      <c r="G73">
        <f>HOUR(Table1[[#This Row],[order_time]])</f>
        <v>13</v>
      </c>
      <c r="H73" s="2">
        <v>0.54287037037037034</v>
      </c>
      <c r="I73" t="s">
        <v>16</v>
      </c>
      <c r="J73" t="s">
        <v>17</v>
      </c>
      <c r="K73">
        <v>5</v>
      </c>
      <c r="L73">
        <v>20</v>
      </c>
      <c r="M73">
        <v>100</v>
      </c>
      <c r="N73">
        <f>IF(COUNTIFS($B$2:B73,B73)=1,1,0)</f>
        <v>0</v>
      </c>
    </row>
    <row r="74" spans="1:14" x14ac:dyDescent="0.2">
      <c r="A74">
        <v>73</v>
      </c>
      <c r="B74">
        <v>1038</v>
      </c>
      <c r="C74">
        <f>1/COUNTIF(B:B,Table1[[#This Row],[order_id]])</f>
        <v>0.33333333333333331</v>
      </c>
      <c r="D74" t="str">
        <f>TEXT(Table1[[#This Row],[order_date]],"mmmm")</f>
        <v>January</v>
      </c>
      <c r="E74" s="1">
        <v>45297</v>
      </c>
      <c r="F74" s="1" t="str">
        <f>TEXT(Table1[[#This Row],[order_date]],"dddd")</f>
        <v>Saturday</v>
      </c>
      <c r="G74">
        <f>HOUR(Table1[[#This Row],[order_time]])</f>
        <v>11</v>
      </c>
      <c r="H74" s="2">
        <v>0.48335648148148147</v>
      </c>
      <c r="I74" t="s">
        <v>18</v>
      </c>
      <c r="J74" t="s">
        <v>27</v>
      </c>
      <c r="K74">
        <v>1</v>
      </c>
      <c r="L74">
        <v>40</v>
      </c>
      <c r="M74">
        <v>40</v>
      </c>
      <c r="N74">
        <f>IF(COUNTIFS($B$2:B74,B74)=1,1,0)</f>
        <v>1</v>
      </c>
    </row>
    <row r="75" spans="1:14" x14ac:dyDescent="0.2">
      <c r="A75">
        <v>74</v>
      </c>
      <c r="B75">
        <v>1038</v>
      </c>
      <c r="C75">
        <f>1/COUNTIF(B:B,Table1[[#This Row],[order_id]])</f>
        <v>0.33333333333333331</v>
      </c>
      <c r="D75" t="str">
        <f>TEXT(Table1[[#This Row],[order_date]],"mmmm")</f>
        <v>January</v>
      </c>
      <c r="E75" s="1">
        <v>45297</v>
      </c>
      <c r="F75" s="1" t="str">
        <f>TEXT(Table1[[#This Row],[order_date]],"dddd")</f>
        <v>Saturday</v>
      </c>
      <c r="G75">
        <f>HOUR(Table1[[#This Row],[order_time]])</f>
        <v>11</v>
      </c>
      <c r="H75" s="2">
        <v>0.49366898148148147</v>
      </c>
      <c r="I75" t="s">
        <v>16</v>
      </c>
      <c r="J75" t="s">
        <v>17</v>
      </c>
      <c r="K75">
        <v>3</v>
      </c>
      <c r="L75">
        <v>20</v>
      </c>
      <c r="M75">
        <v>60</v>
      </c>
      <c r="N75">
        <f>IF(COUNTIFS($B$2:B75,B75)=1,1,0)</f>
        <v>0</v>
      </c>
    </row>
    <row r="76" spans="1:14" x14ac:dyDescent="0.2">
      <c r="A76">
        <v>75</v>
      </c>
      <c r="B76">
        <v>1038</v>
      </c>
      <c r="C76">
        <f>1/COUNTIF(B:B,Table1[[#This Row],[order_id]])</f>
        <v>0.33333333333333331</v>
      </c>
      <c r="D76" t="str">
        <f>TEXT(Table1[[#This Row],[order_date]],"mmmm")</f>
        <v>January</v>
      </c>
      <c r="E76" s="1">
        <v>45297</v>
      </c>
      <c r="F76" s="1" t="str">
        <f>TEXT(Table1[[#This Row],[order_date]],"dddd")</f>
        <v>Saturday</v>
      </c>
      <c r="G76">
        <f>HOUR(Table1[[#This Row],[order_time]])</f>
        <v>18</v>
      </c>
      <c r="H76" s="2">
        <v>0.77432870370370366</v>
      </c>
      <c r="I76" t="s">
        <v>18</v>
      </c>
      <c r="J76" t="s">
        <v>30</v>
      </c>
      <c r="K76">
        <v>5</v>
      </c>
      <c r="L76">
        <v>60</v>
      </c>
      <c r="M76">
        <v>300</v>
      </c>
      <c r="N76">
        <f>IF(COUNTIFS($B$2:B76,B76)=1,1,0)</f>
        <v>0</v>
      </c>
    </row>
    <row r="77" spans="1:14" x14ac:dyDescent="0.2">
      <c r="A77">
        <v>76</v>
      </c>
      <c r="B77">
        <v>1039</v>
      </c>
      <c r="C77">
        <f>1/COUNTIF(B:B,Table1[[#This Row],[order_id]])</f>
        <v>0.5</v>
      </c>
      <c r="D77" t="str">
        <f>TEXT(Table1[[#This Row],[order_date]],"mmmm")</f>
        <v>January</v>
      </c>
      <c r="E77" s="1">
        <v>45298</v>
      </c>
      <c r="F77" s="1" t="str">
        <f>TEXT(Table1[[#This Row],[order_date]],"dddd")</f>
        <v>Sunday</v>
      </c>
      <c r="G77">
        <f>HOUR(Table1[[#This Row],[order_time]])</f>
        <v>18</v>
      </c>
      <c r="H77" s="2">
        <v>0.77487268518518515</v>
      </c>
      <c r="I77" t="s">
        <v>16</v>
      </c>
      <c r="J77" t="s">
        <v>24</v>
      </c>
      <c r="K77">
        <v>5</v>
      </c>
      <c r="L77">
        <v>35</v>
      </c>
      <c r="M77">
        <v>175</v>
      </c>
      <c r="N77">
        <f>IF(COUNTIFS($B$2:B77,B77)=1,1,0)</f>
        <v>1</v>
      </c>
    </row>
    <row r="78" spans="1:14" x14ac:dyDescent="0.2">
      <c r="A78">
        <v>77</v>
      </c>
      <c r="B78">
        <v>1039</v>
      </c>
      <c r="C78">
        <f>1/COUNTIF(B:B,Table1[[#This Row],[order_id]])</f>
        <v>0.5</v>
      </c>
      <c r="D78" t="str">
        <f>TEXT(Table1[[#This Row],[order_date]],"mmmm")</f>
        <v>January</v>
      </c>
      <c r="E78" s="1">
        <v>45298</v>
      </c>
      <c r="F78" s="1" t="str">
        <f>TEXT(Table1[[#This Row],[order_date]],"dddd")</f>
        <v>Sunday</v>
      </c>
      <c r="G78">
        <f>HOUR(Table1[[#This Row],[order_time]])</f>
        <v>19</v>
      </c>
      <c r="H78" s="2">
        <v>0.82196759259259256</v>
      </c>
      <c r="I78" t="s">
        <v>18</v>
      </c>
      <c r="J78" t="s">
        <v>27</v>
      </c>
      <c r="K78">
        <v>2</v>
      </c>
      <c r="L78">
        <v>40</v>
      </c>
      <c r="M78">
        <v>80</v>
      </c>
      <c r="N78">
        <f>IF(COUNTIFS($B$2:B78,B78)=1,1,0)</f>
        <v>0</v>
      </c>
    </row>
    <row r="79" spans="1:14" x14ac:dyDescent="0.2">
      <c r="A79">
        <v>78</v>
      </c>
      <c r="B79">
        <v>1040</v>
      </c>
      <c r="C79">
        <f>1/COUNTIF(B:B,Table1[[#This Row],[order_id]])</f>
        <v>1</v>
      </c>
      <c r="D79" t="str">
        <f>TEXT(Table1[[#This Row],[order_date]],"mmmm")</f>
        <v>January</v>
      </c>
      <c r="E79" s="1">
        <v>45298</v>
      </c>
      <c r="F79" s="1" t="str">
        <f>TEXT(Table1[[#This Row],[order_date]],"dddd")</f>
        <v>Sunday</v>
      </c>
      <c r="G79">
        <f>HOUR(Table1[[#This Row],[order_time]])</f>
        <v>14</v>
      </c>
      <c r="H79" s="2">
        <v>0.61703703703703705</v>
      </c>
      <c r="I79" t="s">
        <v>11</v>
      </c>
      <c r="J79" t="s">
        <v>25</v>
      </c>
      <c r="K79">
        <v>4</v>
      </c>
      <c r="L79">
        <v>1000</v>
      </c>
      <c r="M79">
        <v>4000</v>
      </c>
      <c r="N79">
        <f>IF(COUNTIFS($B$2:B79,B79)=1,1,0)</f>
        <v>1</v>
      </c>
    </row>
    <row r="80" spans="1:14" x14ac:dyDescent="0.2">
      <c r="A80">
        <v>79</v>
      </c>
      <c r="B80">
        <v>1041</v>
      </c>
      <c r="C80">
        <f>1/COUNTIF(B:B,Table1[[#This Row],[order_id]])</f>
        <v>0.5</v>
      </c>
      <c r="D80" t="str">
        <f>TEXT(Table1[[#This Row],[order_date]],"mmmm")</f>
        <v>January</v>
      </c>
      <c r="E80" s="1">
        <v>45298</v>
      </c>
      <c r="F80" s="1" t="str">
        <f>TEXT(Table1[[#This Row],[order_date]],"dddd")</f>
        <v>Sunday</v>
      </c>
      <c r="G80">
        <f>HOUR(Table1[[#This Row],[order_time]])</f>
        <v>9</v>
      </c>
      <c r="H80" s="2">
        <v>0.40920138888888891</v>
      </c>
      <c r="I80" t="s">
        <v>16</v>
      </c>
      <c r="J80" t="s">
        <v>23</v>
      </c>
      <c r="K80">
        <v>3</v>
      </c>
      <c r="L80">
        <v>30</v>
      </c>
      <c r="M80">
        <v>90</v>
      </c>
      <c r="N80">
        <f>IF(COUNTIFS($B$2:B80,B80)=1,1,0)</f>
        <v>1</v>
      </c>
    </row>
    <row r="81" spans="1:14" x14ac:dyDescent="0.2">
      <c r="A81">
        <v>80</v>
      </c>
      <c r="B81">
        <v>1041</v>
      </c>
      <c r="C81">
        <f>1/COUNTIF(B:B,Table1[[#This Row],[order_id]])</f>
        <v>0.5</v>
      </c>
      <c r="D81" t="str">
        <f>TEXT(Table1[[#This Row],[order_date]],"mmmm")</f>
        <v>January</v>
      </c>
      <c r="E81" s="1">
        <v>45298</v>
      </c>
      <c r="F81" s="1" t="str">
        <f>TEXT(Table1[[#This Row],[order_date]],"dddd")</f>
        <v>Sunday</v>
      </c>
      <c r="G81">
        <f>HOUR(Table1[[#This Row],[order_time]])</f>
        <v>14</v>
      </c>
      <c r="H81" s="2">
        <v>0.59537037037037033</v>
      </c>
      <c r="I81" t="s">
        <v>11</v>
      </c>
      <c r="J81" t="s">
        <v>25</v>
      </c>
      <c r="K81">
        <v>3</v>
      </c>
      <c r="L81">
        <v>1000</v>
      </c>
      <c r="M81">
        <v>3000</v>
      </c>
      <c r="N81">
        <f>IF(COUNTIFS($B$2:B81,B81)=1,1,0)</f>
        <v>0</v>
      </c>
    </row>
    <row r="82" spans="1:14" x14ac:dyDescent="0.2">
      <c r="A82">
        <v>81</v>
      </c>
      <c r="B82">
        <v>1042</v>
      </c>
      <c r="C82">
        <f>1/COUNTIF(B:B,Table1[[#This Row],[order_id]])</f>
        <v>1</v>
      </c>
      <c r="D82" t="str">
        <f>TEXT(Table1[[#This Row],[order_date]],"mmmm")</f>
        <v>January</v>
      </c>
      <c r="E82" s="1">
        <v>45298</v>
      </c>
      <c r="F82" s="1" t="str">
        <f>TEXT(Table1[[#This Row],[order_date]],"dddd")</f>
        <v>Sunday</v>
      </c>
      <c r="G82">
        <f>HOUR(Table1[[#This Row],[order_time]])</f>
        <v>12</v>
      </c>
      <c r="H82" s="2">
        <v>0.52902777777777776</v>
      </c>
      <c r="I82" t="s">
        <v>16</v>
      </c>
      <c r="J82" t="s">
        <v>24</v>
      </c>
      <c r="K82">
        <v>5</v>
      </c>
      <c r="L82">
        <v>35</v>
      </c>
      <c r="M82">
        <v>175</v>
      </c>
      <c r="N82">
        <f>IF(COUNTIFS($B$2:B82,B82)=1,1,0)</f>
        <v>1</v>
      </c>
    </row>
    <row r="83" spans="1:14" x14ac:dyDescent="0.2">
      <c r="A83">
        <v>82</v>
      </c>
      <c r="B83">
        <v>1043</v>
      </c>
      <c r="C83">
        <f>1/COUNTIF(B:B,Table1[[#This Row],[order_id]])</f>
        <v>0.5</v>
      </c>
      <c r="D83" t="str">
        <f>TEXT(Table1[[#This Row],[order_date]],"mmmm")</f>
        <v>January</v>
      </c>
      <c r="E83" s="1">
        <v>45299</v>
      </c>
      <c r="F83" s="1" t="str">
        <f>TEXT(Table1[[#This Row],[order_date]],"dddd")</f>
        <v>Monday</v>
      </c>
      <c r="G83">
        <f>HOUR(Table1[[#This Row],[order_time]])</f>
        <v>14</v>
      </c>
      <c r="H83" s="2">
        <v>0.61351851851851846</v>
      </c>
      <c r="I83" t="s">
        <v>18</v>
      </c>
      <c r="J83" t="s">
        <v>19</v>
      </c>
      <c r="K83">
        <v>3</v>
      </c>
      <c r="L83">
        <v>50</v>
      </c>
      <c r="M83">
        <v>150</v>
      </c>
      <c r="N83">
        <f>IF(COUNTIFS($B$2:B83,B83)=1,1,0)</f>
        <v>1</v>
      </c>
    </row>
    <row r="84" spans="1:14" x14ac:dyDescent="0.2">
      <c r="A84">
        <v>83</v>
      </c>
      <c r="B84">
        <v>1043</v>
      </c>
      <c r="C84">
        <f>1/COUNTIF(B:B,Table1[[#This Row],[order_id]])</f>
        <v>0.5</v>
      </c>
      <c r="D84" t="str">
        <f>TEXT(Table1[[#This Row],[order_date]],"mmmm")</f>
        <v>January</v>
      </c>
      <c r="E84" s="1">
        <v>45299</v>
      </c>
      <c r="F84" s="1" t="str">
        <f>TEXT(Table1[[#This Row],[order_date]],"dddd")</f>
        <v>Monday</v>
      </c>
      <c r="G84">
        <f>HOUR(Table1[[#This Row],[order_time]])</f>
        <v>10</v>
      </c>
      <c r="H84" s="2">
        <v>0.45729166666666665</v>
      </c>
      <c r="I84" t="s">
        <v>9</v>
      </c>
      <c r="J84" t="s">
        <v>21</v>
      </c>
      <c r="K84">
        <v>1</v>
      </c>
      <c r="L84">
        <v>10</v>
      </c>
      <c r="M84">
        <v>10</v>
      </c>
      <c r="N84">
        <f>IF(COUNTIFS($B$2:B84,B84)=1,1,0)</f>
        <v>0</v>
      </c>
    </row>
    <row r="85" spans="1:14" x14ac:dyDescent="0.2">
      <c r="A85">
        <v>84</v>
      </c>
      <c r="B85">
        <v>1044</v>
      </c>
      <c r="C85">
        <f>1/COUNTIF(B:B,Table1[[#This Row],[order_id]])</f>
        <v>0.5</v>
      </c>
      <c r="D85" t="str">
        <f>TEXT(Table1[[#This Row],[order_date]],"mmmm")</f>
        <v>January</v>
      </c>
      <c r="E85" s="1">
        <v>45299</v>
      </c>
      <c r="F85" s="1" t="str">
        <f>TEXT(Table1[[#This Row],[order_date]],"dddd")</f>
        <v>Monday</v>
      </c>
      <c r="G85">
        <f>HOUR(Table1[[#This Row],[order_time]])</f>
        <v>20</v>
      </c>
      <c r="H85" s="2">
        <v>0.84605324074074073</v>
      </c>
      <c r="I85" t="s">
        <v>16</v>
      </c>
      <c r="J85" t="s">
        <v>24</v>
      </c>
      <c r="K85">
        <v>1</v>
      </c>
      <c r="L85">
        <v>35</v>
      </c>
      <c r="M85">
        <v>35</v>
      </c>
      <c r="N85">
        <f>IF(COUNTIFS($B$2:B85,B85)=1,1,0)</f>
        <v>1</v>
      </c>
    </row>
    <row r="86" spans="1:14" x14ac:dyDescent="0.2">
      <c r="A86">
        <v>85</v>
      </c>
      <c r="B86">
        <v>1044</v>
      </c>
      <c r="C86">
        <f>1/COUNTIF(B:B,Table1[[#This Row],[order_id]])</f>
        <v>0.5</v>
      </c>
      <c r="D86" t="str">
        <f>TEXT(Table1[[#This Row],[order_date]],"mmmm")</f>
        <v>January</v>
      </c>
      <c r="E86" s="1">
        <v>45299</v>
      </c>
      <c r="F86" s="1" t="str">
        <f>TEXT(Table1[[#This Row],[order_date]],"dddd")</f>
        <v>Monday</v>
      </c>
      <c r="G86">
        <f>HOUR(Table1[[#This Row],[order_time]])</f>
        <v>17</v>
      </c>
      <c r="H86" s="2">
        <v>0.73769675925925926</v>
      </c>
      <c r="I86" t="s">
        <v>16</v>
      </c>
      <c r="J86" t="s">
        <v>24</v>
      </c>
      <c r="K86">
        <v>3</v>
      </c>
      <c r="L86">
        <v>35</v>
      </c>
      <c r="M86">
        <v>105</v>
      </c>
      <c r="N86">
        <f>IF(COUNTIFS($B$2:B86,B86)=1,1,0)</f>
        <v>0</v>
      </c>
    </row>
    <row r="87" spans="1:14" x14ac:dyDescent="0.2">
      <c r="A87">
        <v>86</v>
      </c>
      <c r="B87">
        <v>1045</v>
      </c>
      <c r="C87">
        <f>1/COUNTIF(B:B,Table1[[#This Row],[order_id]])</f>
        <v>0.33333333333333331</v>
      </c>
      <c r="D87" t="str">
        <f>TEXT(Table1[[#This Row],[order_date]],"mmmm")</f>
        <v>January</v>
      </c>
      <c r="E87" s="1">
        <v>45299</v>
      </c>
      <c r="F87" s="1" t="str">
        <f>TEXT(Table1[[#This Row],[order_date]],"dddd")</f>
        <v>Monday</v>
      </c>
      <c r="G87">
        <f>HOUR(Table1[[#This Row],[order_time]])</f>
        <v>20</v>
      </c>
      <c r="H87" s="2">
        <v>0.84895833333333337</v>
      </c>
      <c r="I87" t="s">
        <v>9</v>
      </c>
      <c r="J87" t="s">
        <v>21</v>
      </c>
      <c r="K87">
        <v>5</v>
      </c>
      <c r="L87">
        <v>10</v>
      </c>
      <c r="M87">
        <v>50</v>
      </c>
      <c r="N87">
        <f>IF(COUNTIFS($B$2:B87,B87)=1,1,0)</f>
        <v>1</v>
      </c>
    </row>
    <row r="88" spans="1:14" x14ac:dyDescent="0.2">
      <c r="A88">
        <v>87</v>
      </c>
      <c r="B88">
        <v>1045</v>
      </c>
      <c r="C88">
        <f>1/COUNTIF(B:B,Table1[[#This Row],[order_id]])</f>
        <v>0.33333333333333331</v>
      </c>
      <c r="D88" t="str">
        <f>TEXT(Table1[[#This Row],[order_date]],"mmmm")</f>
        <v>January</v>
      </c>
      <c r="E88" s="1">
        <v>45299</v>
      </c>
      <c r="F88" s="1" t="str">
        <f>TEXT(Table1[[#This Row],[order_date]],"dddd")</f>
        <v>Monday</v>
      </c>
      <c r="G88">
        <f>HOUR(Table1[[#This Row],[order_time]])</f>
        <v>9</v>
      </c>
      <c r="H88" s="2">
        <v>0.39174768518518521</v>
      </c>
      <c r="I88" t="s">
        <v>9</v>
      </c>
      <c r="J88" t="s">
        <v>29</v>
      </c>
      <c r="K88">
        <v>4</v>
      </c>
      <c r="L88">
        <v>5</v>
      </c>
      <c r="M88">
        <v>20</v>
      </c>
      <c r="N88">
        <f>IF(COUNTIFS($B$2:B88,B88)=1,1,0)</f>
        <v>0</v>
      </c>
    </row>
    <row r="89" spans="1:14" x14ac:dyDescent="0.2">
      <c r="A89">
        <v>88</v>
      </c>
      <c r="B89">
        <v>1045</v>
      </c>
      <c r="C89">
        <f>1/COUNTIF(B:B,Table1[[#This Row],[order_id]])</f>
        <v>0.33333333333333331</v>
      </c>
      <c r="D89" t="str">
        <f>TEXT(Table1[[#This Row],[order_date]],"mmmm")</f>
        <v>January</v>
      </c>
      <c r="E89" s="1">
        <v>45299</v>
      </c>
      <c r="F89" s="1" t="str">
        <f>TEXT(Table1[[#This Row],[order_date]],"dddd")</f>
        <v>Monday</v>
      </c>
      <c r="G89">
        <f>HOUR(Table1[[#This Row],[order_time]])</f>
        <v>11</v>
      </c>
      <c r="H89" s="2">
        <v>0.46576388888888887</v>
      </c>
      <c r="I89" t="s">
        <v>9</v>
      </c>
      <c r="J89" t="s">
        <v>10</v>
      </c>
      <c r="K89">
        <v>1</v>
      </c>
      <c r="L89">
        <v>20</v>
      </c>
      <c r="M89">
        <v>20</v>
      </c>
      <c r="N89">
        <f>IF(COUNTIFS($B$2:B89,B89)=1,1,0)</f>
        <v>0</v>
      </c>
    </row>
    <row r="90" spans="1:14" x14ac:dyDescent="0.2">
      <c r="A90">
        <v>89</v>
      </c>
      <c r="B90">
        <v>1046</v>
      </c>
      <c r="C90">
        <f>1/COUNTIF(B:B,Table1[[#This Row],[order_id]])</f>
        <v>1</v>
      </c>
      <c r="D90" t="str">
        <f>TEXT(Table1[[#This Row],[order_date]],"mmmm")</f>
        <v>January</v>
      </c>
      <c r="E90" s="1">
        <v>45299</v>
      </c>
      <c r="F90" s="1" t="str">
        <f>TEXT(Table1[[#This Row],[order_date]],"dddd")</f>
        <v>Monday</v>
      </c>
      <c r="G90">
        <f>HOUR(Table1[[#This Row],[order_time]])</f>
        <v>9</v>
      </c>
      <c r="H90" s="2">
        <v>0.39233796296296297</v>
      </c>
      <c r="I90" t="s">
        <v>11</v>
      </c>
      <c r="J90" t="s">
        <v>25</v>
      </c>
      <c r="K90">
        <v>4</v>
      </c>
      <c r="L90">
        <v>1000</v>
      </c>
      <c r="M90">
        <v>4000</v>
      </c>
      <c r="N90">
        <f>IF(COUNTIFS($B$2:B90,B90)=1,1,0)</f>
        <v>1</v>
      </c>
    </row>
    <row r="91" spans="1:14" x14ac:dyDescent="0.2">
      <c r="A91">
        <v>90</v>
      </c>
      <c r="B91">
        <v>1047</v>
      </c>
      <c r="C91">
        <f>1/COUNTIF(B:B,Table1[[#This Row],[order_id]])</f>
        <v>0.5</v>
      </c>
      <c r="D91" t="str">
        <f>TEXT(Table1[[#This Row],[order_date]],"mmmm")</f>
        <v>January</v>
      </c>
      <c r="E91" s="1">
        <v>45299</v>
      </c>
      <c r="F91" s="1" t="str">
        <f>TEXT(Table1[[#This Row],[order_date]],"dddd")</f>
        <v>Monday</v>
      </c>
      <c r="G91">
        <f>HOUR(Table1[[#This Row],[order_time]])</f>
        <v>11</v>
      </c>
      <c r="H91" s="2">
        <v>0.49777777777777776</v>
      </c>
      <c r="I91" t="s">
        <v>11</v>
      </c>
      <c r="J91" t="s">
        <v>14</v>
      </c>
      <c r="K91">
        <v>2</v>
      </c>
      <c r="L91">
        <v>700</v>
      </c>
      <c r="M91">
        <v>1400</v>
      </c>
      <c r="N91">
        <f>IF(COUNTIFS($B$2:B91,B91)=1,1,0)</f>
        <v>1</v>
      </c>
    </row>
    <row r="92" spans="1:14" x14ac:dyDescent="0.2">
      <c r="A92">
        <v>91</v>
      </c>
      <c r="B92">
        <v>1047</v>
      </c>
      <c r="C92">
        <f>1/COUNTIF(B:B,Table1[[#This Row],[order_id]])</f>
        <v>0.5</v>
      </c>
      <c r="D92" t="str">
        <f>TEXT(Table1[[#This Row],[order_date]],"mmmm")</f>
        <v>January</v>
      </c>
      <c r="E92" s="1">
        <v>45299</v>
      </c>
      <c r="F92" s="1" t="str">
        <f>TEXT(Table1[[#This Row],[order_date]],"dddd")</f>
        <v>Monday</v>
      </c>
      <c r="G92">
        <f>HOUR(Table1[[#This Row],[order_time]])</f>
        <v>19</v>
      </c>
      <c r="H92" s="2">
        <v>0.80506944444444439</v>
      </c>
      <c r="I92" t="s">
        <v>11</v>
      </c>
      <c r="J92" t="s">
        <v>15</v>
      </c>
      <c r="K92">
        <v>5</v>
      </c>
      <c r="L92">
        <v>600</v>
      </c>
      <c r="M92">
        <v>3000</v>
      </c>
      <c r="N92">
        <f>IF(COUNTIFS($B$2:B92,B92)=1,1,0)</f>
        <v>0</v>
      </c>
    </row>
    <row r="93" spans="1:14" x14ac:dyDescent="0.2">
      <c r="A93">
        <v>92</v>
      </c>
      <c r="B93">
        <v>1048</v>
      </c>
      <c r="C93">
        <f>1/COUNTIF(B:B,Table1[[#This Row],[order_id]])</f>
        <v>0.5</v>
      </c>
      <c r="D93" t="str">
        <f>TEXT(Table1[[#This Row],[order_date]],"mmmm")</f>
        <v>January</v>
      </c>
      <c r="E93" s="1">
        <v>45300</v>
      </c>
      <c r="F93" s="1" t="str">
        <f>TEXT(Table1[[#This Row],[order_date]],"dddd")</f>
        <v>Tuesday</v>
      </c>
      <c r="G93">
        <f>HOUR(Table1[[#This Row],[order_time]])</f>
        <v>17</v>
      </c>
      <c r="H93" s="2">
        <v>0.74395833333333339</v>
      </c>
      <c r="I93" t="s">
        <v>9</v>
      </c>
      <c r="J93" t="s">
        <v>10</v>
      </c>
      <c r="K93">
        <v>5</v>
      </c>
      <c r="L93">
        <v>20</v>
      </c>
      <c r="M93">
        <v>100</v>
      </c>
      <c r="N93">
        <f>IF(COUNTIFS($B$2:B93,B93)=1,1,0)</f>
        <v>1</v>
      </c>
    </row>
    <row r="94" spans="1:14" x14ac:dyDescent="0.2">
      <c r="A94">
        <v>93</v>
      </c>
      <c r="B94">
        <v>1048</v>
      </c>
      <c r="C94">
        <f>1/COUNTIF(B:B,Table1[[#This Row],[order_id]])</f>
        <v>0.5</v>
      </c>
      <c r="D94" t="str">
        <f>TEXT(Table1[[#This Row],[order_date]],"mmmm")</f>
        <v>January</v>
      </c>
      <c r="E94" s="1">
        <v>45300</v>
      </c>
      <c r="F94" s="1" t="str">
        <f>TEXT(Table1[[#This Row],[order_date]],"dddd")</f>
        <v>Tuesday</v>
      </c>
      <c r="G94">
        <f>HOUR(Table1[[#This Row],[order_time]])</f>
        <v>10</v>
      </c>
      <c r="H94" s="2">
        <v>0.43840277777777775</v>
      </c>
      <c r="I94" t="s">
        <v>16</v>
      </c>
      <c r="J94" t="s">
        <v>23</v>
      </c>
      <c r="K94">
        <v>5</v>
      </c>
      <c r="L94">
        <v>30</v>
      </c>
      <c r="M94">
        <v>150</v>
      </c>
      <c r="N94">
        <f>IF(COUNTIFS($B$2:B94,B94)=1,1,0)</f>
        <v>0</v>
      </c>
    </row>
    <row r="95" spans="1:14" x14ac:dyDescent="0.2">
      <c r="A95">
        <v>94</v>
      </c>
      <c r="B95">
        <v>1049</v>
      </c>
      <c r="C95">
        <f>1/COUNTIF(B:B,Table1[[#This Row],[order_id]])</f>
        <v>0.5</v>
      </c>
      <c r="D95" t="str">
        <f>TEXT(Table1[[#This Row],[order_date]],"mmmm")</f>
        <v>January</v>
      </c>
      <c r="E95" s="1">
        <v>45300</v>
      </c>
      <c r="F95" s="1" t="str">
        <f>TEXT(Table1[[#This Row],[order_date]],"dddd")</f>
        <v>Tuesday</v>
      </c>
      <c r="G95">
        <f>HOUR(Table1[[#This Row],[order_time]])</f>
        <v>15</v>
      </c>
      <c r="H95" s="2">
        <v>0.64800925925925923</v>
      </c>
      <c r="I95" t="s">
        <v>16</v>
      </c>
      <c r="J95" t="s">
        <v>17</v>
      </c>
      <c r="K95">
        <v>4</v>
      </c>
      <c r="L95">
        <v>20</v>
      </c>
      <c r="M95">
        <v>80</v>
      </c>
      <c r="N95">
        <f>IF(COUNTIFS($B$2:B95,B95)=1,1,0)</f>
        <v>1</v>
      </c>
    </row>
    <row r="96" spans="1:14" x14ac:dyDescent="0.2">
      <c r="A96">
        <v>95</v>
      </c>
      <c r="B96">
        <v>1049</v>
      </c>
      <c r="C96">
        <f>1/COUNTIF(B:B,Table1[[#This Row],[order_id]])</f>
        <v>0.5</v>
      </c>
      <c r="D96" t="str">
        <f>TEXT(Table1[[#This Row],[order_date]],"mmmm")</f>
        <v>January</v>
      </c>
      <c r="E96" s="1">
        <v>45300</v>
      </c>
      <c r="F96" s="1" t="str">
        <f>TEXT(Table1[[#This Row],[order_date]],"dddd")</f>
        <v>Tuesday</v>
      </c>
      <c r="G96">
        <f>HOUR(Table1[[#This Row],[order_time]])</f>
        <v>18</v>
      </c>
      <c r="H96" s="2">
        <v>0.78105324074074078</v>
      </c>
      <c r="I96" t="s">
        <v>16</v>
      </c>
      <c r="J96" t="s">
        <v>28</v>
      </c>
      <c r="K96">
        <v>4</v>
      </c>
      <c r="L96">
        <v>25</v>
      </c>
      <c r="M96">
        <v>100</v>
      </c>
      <c r="N96">
        <f>IF(COUNTIFS($B$2:B96,B96)=1,1,0)</f>
        <v>0</v>
      </c>
    </row>
    <row r="97" spans="1:14" x14ac:dyDescent="0.2">
      <c r="A97">
        <v>96</v>
      </c>
      <c r="B97">
        <v>1050</v>
      </c>
      <c r="C97">
        <f>1/COUNTIF(B:B,Table1[[#This Row],[order_id]])</f>
        <v>1</v>
      </c>
      <c r="D97" t="str">
        <f>TEXT(Table1[[#This Row],[order_date]],"mmmm")</f>
        <v>January</v>
      </c>
      <c r="E97" s="1">
        <v>45300</v>
      </c>
      <c r="F97" s="1" t="str">
        <f>TEXT(Table1[[#This Row],[order_date]],"dddd")</f>
        <v>Tuesday</v>
      </c>
      <c r="G97">
        <f>HOUR(Table1[[#This Row],[order_time]])</f>
        <v>19</v>
      </c>
      <c r="H97" s="2">
        <v>0.81266203703703699</v>
      </c>
      <c r="I97" t="s">
        <v>9</v>
      </c>
      <c r="J97" t="s">
        <v>21</v>
      </c>
      <c r="K97">
        <v>5</v>
      </c>
      <c r="L97">
        <v>10</v>
      </c>
      <c r="M97">
        <v>50</v>
      </c>
      <c r="N97">
        <f>IF(COUNTIFS($B$2:B97,B97)=1,1,0)</f>
        <v>1</v>
      </c>
    </row>
    <row r="98" spans="1:14" x14ac:dyDescent="0.2">
      <c r="A98">
        <v>97</v>
      </c>
      <c r="B98">
        <v>1051</v>
      </c>
      <c r="C98">
        <f>1/COUNTIF(B:B,Table1[[#This Row],[order_id]])</f>
        <v>0.33333333333333331</v>
      </c>
      <c r="D98" t="str">
        <f>TEXT(Table1[[#This Row],[order_date]],"mmmm")</f>
        <v>January</v>
      </c>
      <c r="E98" s="1">
        <v>45300</v>
      </c>
      <c r="F98" s="1" t="str">
        <f>TEXT(Table1[[#This Row],[order_date]],"dddd")</f>
        <v>Tuesday</v>
      </c>
      <c r="G98">
        <f>HOUR(Table1[[#This Row],[order_time]])</f>
        <v>14</v>
      </c>
      <c r="H98" s="2">
        <v>0.61092592592592587</v>
      </c>
      <c r="I98" t="s">
        <v>9</v>
      </c>
      <c r="J98" t="s">
        <v>22</v>
      </c>
      <c r="K98">
        <v>4</v>
      </c>
      <c r="L98">
        <v>15</v>
      </c>
      <c r="M98">
        <v>60</v>
      </c>
      <c r="N98">
        <f>IF(COUNTIFS($B$2:B98,B98)=1,1,0)</f>
        <v>1</v>
      </c>
    </row>
    <row r="99" spans="1:14" x14ac:dyDescent="0.2">
      <c r="A99">
        <v>98</v>
      </c>
      <c r="B99">
        <v>1051</v>
      </c>
      <c r="C99">
        <f>1/COUNTIF(B:B,Table1[[#This Row],[order_id]])</f>
        <v>0.33333333333333331</v>
      </c>
      <c r="D99" t="str">
        <f>TEXT(Table1[[#This Row],[order_date]],"mmmm")</f>
        <v>January</v>
      </c>
      <c r="E99" s="1">
        <v>45300</v>
      </c>
      <c r="F99" s="1" t="str">
        <f>TEXT(Table1[[#This Row],[order_date]],"dddd")</f>
        <v>Tuesday</v>
      </c>
      <c r="G99">
        <f>HOUR(Table1[[#This Row],[order_time]])</f>
        <v>13</v>
      </c>
      <c r="H99" s="2">
        <v>0.56074074074074076</v>
      </c>
      <c r="I99" t="s">
        <v>9</v>
      </c>
      <c r="J99" t="s">
        <v>20</v>
      </c>
      <c r="K99">
        <v>4</v>
      </c>
      <c r="L99">
        <v>25</v>
      </c>
      <c r="M99">
        <v>100</v>
      </c>
      <c r="N99">
        <f>IF(COUNTIFS($B$2:B99,B99)=1,1,0)</f>
        <v>0</v>
      </c>
    </row>
    <row r="100" spans="1:14" x14ac:dyDescent="0.2">
      <c r="A100">
        <v>99</v>
      </c>
      <c r="B100">
        <v>1051</v>
      </c>
      <c r="C100">
        <f>1/COUNTIF(B:B,Table1[[#This Row],[order_id]])</f>
        <v>0.33333333333333331</v>
      </c>
      <c r="D100" t="str">
        <f>TEXT(Table1[[#This Row],[order_date]],"mmmm")</f>
        <v>January</v>
      </c>
      <c r="E100" s="1">
        <v>45300</v>
      </c>
      <c r="F100" s="1" t="str">
        <f>TEXT(Table1[[#This Row],[order_date]],"dddd")</f>
        <v>Tuesday</v>
      </c>
      <c r="G100">
        <f>HOUR(Table1[[#This Row],[order_time]])</f>
        <v>13</v>
      </c>
      <c r="H100" s="2">
        <v>0.58263888888888893</v>
      </c>
      <c r="I100" t="s">
        <v>11</v>
      </c>
      <c r="J100" t="s">
        <v>12</v>
      </c>
      <c r="K100">
        <v>2</v>
      </c>
      <c r="L100">
        <v>650</v>
      </c>
      <c r="M100">
        <v>1300</v>
      </c>
      <c r="N100">
        <f>IF(COUNTIFS($B$2:B100,B100)=1,1,0)</f>
        <v>0</v>
      </c>
    </row>
    <row r="101" spans="1:14" x14ac:dyDescent="0.2">
      <c r="A101">
        <v>100</v>
      </c>
      <c r="B101">
        <v>1052</v>
      </c>
      <c r="C101">
        <f>1/COUNTIF(B:B,Table1[[#This Row],[order_id]])</f>
        <v>0.33333333333333331</v>
      </c>
      <c r="D101" t="str">
        <f>TEXT(Table1[[#This Row],[order_date]],"mmmm")</f>
        <v>January</v>
      </c>
      <c r="E101" s="1">
        <v>45300</v>
      </c>
      <c r="F101" s="1" t="str">
        <f>TEXT(Table1[[#This Row],[order_date]],"dddd")</f>
        <v>Tuesday</v>
      </c>
      <c r="G101">
        <f>HOUR(Table1[[#This Row],[order_time]])</f>
        <v>14</v>
      </c>
      <c r="H101" s="2">
        <v>0.59849537037037037</v>
      </c>
      <c r="I101" t="s">
        <v>16</v>
      </c>
      <c r="J101" t="s">
        <v>23</v>
      </c>
      <c r="K101">
        <v>3</v>
      </c>
      <c r="L101">
        <v>30</v>
      </c>
      <c r="M101">
        <v>90</v>
      </c>
      <c r="N101">
        <f>IF(COUNTIFS($B$2:B101,B101)=1,1,0)</f>
        <v>1</v>
      </c>
    </row>
    <row r="102" spans="1:14" x14ac:dyDescent="0.2">
      <c r="A102">
        <v>101</v>
      </c>
      <c r="B102">
        <v>1052</v>
      </c>
      <c r="C102">
        <f>1/COUNTIF(B:B,Table1[[#This Row],[order_id]])</f>
        <v>0.33333333333333331</v>
      </c>
      <c r="D102" t="str">
        <f>TEXT(Table1[[#This Row],[order_date]],"mmmm")</f>
        <v>January</v>
      </c>
      <c r="E102" s="1">
        <v>45300</v>
      </c>
      <c r="F102" s="1" t="str">
        <f>TEXT(Table1[[#This Row],[order_date]],"dddd")</f>
        <v>Tuesday</v>
      </c>
      <c r="G102">
        <f>HOUR(Table1[[#This Row],[order_time]])</f>
        <v>12</v>
      </c>
      <c r="H102" s="2">
        <v>0.50893518518518521</v>
      </c>
      <c r="I102" t="s">
        <v>9</v>
      </c>
      <c r="J102" t="s">
        <v>29</v>
      </c>
      <c r="K102">
        <v>2</v>
      </c>
      <c r="L102">
        <v>5</v>
      </c>
      <c r="M102">
        <v>10</v>
      </c>
      <c r="N102">
        <f>IF(COUNTIFS($B$2:B102,B102)=1,1,0)</f>
        <v>0</v>
      </c>
    </row>
    <row r="103" spans="1:14" x14ac:dyDescent="0.2">
      <c r="A103">
        <v>102</v>
      </c>
      <c r="B103">
        <v>1052</v>
      </c>
      <c r="C103">
        <f>1/COUNTIF(B:B,Table1[[#This Row],[order_id]])</f>
        <v>0.33333333333333331</v>
      </c>
      <c r="D103" t="str">
        <f>TEXT(Table1[[#This Row],[order_date]],"mmmm")</f>
        <v>January</v>
      </c>
      <c r="E103" s="1">
        <v>45300</v>
      </c>
      <c r="F103" s="1" t="str">
        <f>TEXT(Table1[[#This Row],[order_date]],"dddd")</f>
        <v>Tuesday</v>
      </c>
      <c r="G103">
        <f>HOUR(Table1[[#This Row],[order_time]])</f>
        <v>16</v>
      </c>
      <c r="H103" s="2">
        <v>0.69870370370370372</v>
      </c>
      <c r="I103" t="s">
        <v>11</v>
      </c>
      <c r="J103" t="s">
        <v>12</v>
      </c>
      <c r="K103">
        <v>1</v>
      </c>
      <c r="L103">
        <v>650</v>
      </c>
      <c r="M103">
        <v>650</v>
      </c>
      <c r="N103">
        <f>IF(COUNTIFS($B$2:B103,B103)=1,1,0)</f>
        <v>0</v>
      </c>
    </row>
    <row r="104" spans="1:14" x14ac:dyDescent="0.2">
      <c r="A104">
        <v>103</v>
      </c>
      <c r="B104">
        <v>1053</v>
      </c>
      <c r="C104">
        <f>1/COUNTIF(B:B,Table1[[#This Row],[order_id]])</f>
        <v>0.33333333333333331</v>
      </c>
      <c r="D104" t="str">
        <f>TEXT(Table1[[#This Row],[order_date]],"mmmm")</f>
        <v>January</v>
      </c>
      <c r="E104" s="1">
        <v>45300</v>
      </c>
      <c r="F104" s="1" t="str">
        <f>TEXT(Table1[[#This Row],[order_date]],"dddd")</f>
        <v>Tuesday</v>
      </c>
      <c r="G104">
        <f>HOUR(Table1[[#This Row],[order_time]])</f>
        <v>15</v>
      </c>
      <c r="H104" s="2">
        <v>0.65571759259259255</v>
      </c>
      <c r="I104" t="s">
        <v>16</v>
      </c>
      <c r="J104" t="s">
        <v>17</v>
      </c>
      <c r="K104">
        <v>5</v>
      </c>
      <c r="L104">
        <v>20</v>
      </c>
      <c r="M104">
        <v>100</v>
      </c>
      <c r="N104">
        <f>IF(COUNTIFS($B$2:B104,B104)=1,1,0)</f>
        <v>1</v>
      </c>
    </row>
    <row r="105" spans="1:14" x14ac:dyDescent="0.2">
      <c r="A105">
        <v>104</v>
      </c>
      <c r="B105">
        <v>1053</v>
      </c>
      <c r="C105">
        <f>1/COUNTIF(B:B,Table1[[#This Row],[order_id]])</f>
        <v>0.33333333333333331</v>
      </c>
      <c r="D105" t="str">
        <f>TEXT(Table1[[#This Row],[order_date]],"mmmm")</f>
        <v>January</v>
      </c>
      <c r="E105" s="1">
        <v>45300</v>
      </c>
      <c r="F105" s="1" t="str">
        <f>TEXT(Table1[[#This Row],[order_date]],"dddd")</f>
        <v>Tuesday</v>
      </c>
      <c r="G105">
        <f>HOUR(Table1[[#This Row],[order_time]])</f>
        <v>14</v>
      </c>
      <c r="H105" s="2">
        <v>0.59429398148148149</v>
      </c>
      <c r="I105" t="s">
        <v>9</v>
      </c>
      <c r="J105" t="s">
        <v>21</v>
      </c>
      <c r="K105">
        <v>5</v>
      </c>
      <c r="L105">
        <v>10</v>
      </c>
      <c r="M105">
        <v>50</v>
      </c>
      <c r="N105">
        <f>IF(COUNTIFS($B$2:B105,B105)=1,1,0)</f>
        <v>0</v>
      </c>
    </row>
    <row r="106" spans="1:14" x14ac:dyDescent="0.2">
      <c r="A106">
        <v>105</v>
      </c>
      <c r="B106">
        <v>1053</v>
      </c>
      <c r="C106">
        <f>1/COUNTIF(B:B,Table1[[#This Row],[order_id]])</f>
        <v>0.33333333333333331</v>
      </c>
      <c r="D106" t="str">
        <f>TEXT(Table1[[#This Row],[order_date]],"mmmm")</f>
        <v>January</v>
      </c>
      <c r="E106" s="1">
        <v>45300</v>
      </c>
      <c r="F106" s="1" t="str">
        <f>TEXT(Table1[[#This Row],[order_date]],"dddd")</f>
        <v>Tuesday</v>
      </c>
      <c r="G106">
        <f>HOUR(Table1[[#This Row],[order_time]])</f>
        <v>15</v>
      </c>
      <c r="H106" s="2">
        <v>0.6646643518518518</v>
      </c>
      <c r="I106" t="s">
        <v>11</v>
      </c>
      <c r="J106" t="s">
        <v>15</v>
      </c>
      <c r="K106">
        <v>2</v>
      </c>
      <c r="L106">
        <v>600</v>
      </c>
      <c r="M106">
        <v>1200</v>
      </c>
      <c r="N106">
        <f>IF(COUNTIFS($B$2:B106,B106)=1,1,0)</f>
        <v>0</v>
      </c>
    </row>
    <row r="107" spans="1:14" x14ac:dyDescent="0.2">
      <c r="A107">
        <v>106</v>
      </c>
      <c r="B107">
        <v>1054</v>
      </c>
      <c r="C107">
        <f>1/COUNTIF(B:B,Table1[[#This Row],[order_id]])</f>
        <v>1</v>
      </c>
      <c r="D107" t="str">
        <f>TEXT(Table1[[#This Row],[order_date]],"mmmm")</f>
        <v>January</v>
      </c>
      <c r="E107" s="1">
        <v>45301</v>
      </c>
      <c r="F107" s="1" t="str">
        <f>TEXT(Table1[[#This Row],[order_date]],"dddd")</f>
        <v>Wednesday</v>
      </c>
      <c r="G107">
        <f>HOUR(Table1[[#This Row],[order_time]])</f>
        <v>11</v>
      </c>
      <c r="H107" s="2">
        <v>0.47515046296296298</v>
      </c>
      <c r="I107" t="s">
        <v>11</v>
      </c>
      <c r="J107" t="s">
        <v>25</v>
      </c>
      <c r="K107">
        <v>3</v>
      </c>
      <c r="L107">
        <v>1000</v>
      </c>
      <c r="M107">
        <v>3000</v>
      </c>
      <c r="N107">
        <f>IF(COUNTIFS($B$2:B107,B107)=1,1,0)</f>
        <v>1</v>
      </c>
    </row>
    <row r="108" spans="1:14" x14ac:dyDescent="0.2">
      <c r="A108">
        <v>107</v>
      </c>
      <c r="B108">
        <v>1055</v>
      </c>
      <c r="C108">
        <f>1/COUNTIF(B:B,Table1[[#This Row],[order_id]])</f>
        <v>1</v>
      </c>
      <c r="D108" t="str">
        <f>TEXT(Table1[[#This Row],[order_date]],"mmmm")</f>
        <v>January</v>
      </c>
      <c r="E108" s="1">
        <v>45301</v>
      </c>
      <c r="F108" s="1" t="str">
        <f>TEXT(Table1[[#This Row],[order_date]],"dddd")</f>
        <v>Wednesday</v>
      </c>
      <c r="G108">
        <f>HOUR(Table1[[#This Row],[order_time]])</f>
        <v>16</v>
      </c>
      <c r="H108" s="2">
        <v>0.69780092592592591</v>
      </c>
      <c r="I108" t="s">
        <v>18</v>
      </c>
      <c r="J108" t="s">
        <v>26</v>
      </c>
      <c r="K108">
        <v>1</v>
      </c>
      <c r="L108">
        <v>55</v>
      </c>
      <c r="M108">
        <v>55</v>
      </c>
      <c r="N108">
        <f>IF(COUNTIFS($B$2:B108,B108)=1,1,0)</f>
        <v>1</v>
      </c>
    </row>
    <row r="109" spans="1:14" x14ac:dyDescent="0.2">
      <c r="A109">
        <v>108</v>
      </c>
      <c r="B109">
        <v>1056</v>
      </c>
      <c r="C109">
        <f>1/COUNTIF(B:B,Table1[[#This Row],[order_id]])</f>
        <v>0.33333333333333331</v>
      </c>
      <c r="D109" t="str">
        <f>TEXT(Table1[[#This Row],[order_date]],"mmmm")</f>
        <v>January</v>
      </c>
      <c r="E109" s="1">
        <v>45301</v>
      </c>
      <c r="F109" s="1" t="str">
        <f>TEXT(Table1[[#This Row],[order_date]],"dddd")</f>
        <v>Wednesday</v>
      </c>
      <c r="G109">
        <f>HOUR(Table1[[#This Row],[order_time]])</f>
        <v>17</v>
      </c>
      <c r="H109" s="2">
        <v>0.73929398148148151</v>
      </c>
      <c r="I109" t="s">
        <v>11</v>
      </c>
      <c r="J109" t="s">
        <v>13</v>
      </c>
      <c r="K109">
        <v>4</v>
      </c>
      <c r="L109">
        <v>680</v>
      </c>
      <c r="M109">
        <v>2720</v>
      </c>
      <c r="N109">
        <f>IF(COUNTIFS($B$2:B109,B109)=1,1,0)</f>
        <v>1</v>
      </c>
    </row>
    <row r="110" spans="1:14" x14ac:dyDescent="0.2">
      <c r="A110">
        <v>109</v>
      </c>
      <c r="B110">
        <v>1056</v>
      </c>
      <c r="C110">
        <f>1/COUNTIF(B:B,Table1[[#This Row],[order_id]])</f>
        <v>0.33333333333333331</v>
      </c>
      <c r="D110" t="str">
        <f>TEXT(Table1[[#This Row],[order_date]],"mmmm")</f>
        <v>January</v>
      </c>
      <c r="E110" s="1">
        <v>45301</v>
      </c>
      <c r="F110" s="1" t="str">
        <f>TEXT(Table1[[#This Row],[order_date]],"dddd")</f>
        <v>Wednesday</v>
      </c>
      <c r="G110">
        <f>HOUR(Table1[[#This Row],[order_time]])</f>
        <v>9</v>
      </c>
      <c r="H110" s="2">
        <v>0.39158564814814817</v>
      </c>
      <c r="I110" t="s">
        <v>11</v>
      </c>
      <c r="J110" t="s">
        <v>13</v>
      </c>
      <c r="K110">
        <v>2</v>
      </c>
      <c r="L110">
        <v>680</v>
      </c>
      <c r="M110">
        <v>1360</v>
      </c>
      <c r="N110">
        <f>IF(COUNTIFS($B$2:B110,B110)=1,1,0)</f>
        <v>0</v>
      </c>
    </row>
    <row r="111" spans="1:14" x14ac:dyDescent="0.2">
      <c r="A111">
        <v>110</v>
      </c>
      <c r="B111">
        <v>1056</v>
      </c>
      <c r="C111">
        <f>1/COUNTIF(B:B,Table1[[#This Row],[order_id]])</f>
        <v>0.33333333333333331</v>
      </c>
      <c r="D111" t="str">
        <f>TEXT(Table1[[#This Row],[order_date]],"mmmm")</f>
        <v>January</v>
      </c>
      <c r="E111" s="1">
        <v>45301</v>
      </c>
      <c r="F111" s="1" t="str">
        <f>TEXT(Table1[[#This Row],[order_date]],"dddd")</f>
        <v>Wednesday</v>
      </c>
      <c r="G111">
        <f>HOUR(Table1[[#This Row],[order_time]])</f>
        <v>20</v>
      </c>
      <c r="H111" s="2">
        <v>0.86394675925925923</v>
      </c>
      <c r="I111" t="s">
        <v>11</v>
      </c>
      <c r="J111" t="s">
        <v>12</v>
      </c>
      <c r="K111">
        <v>1</v>
      </c>
      <c r="L111">
        <v>650</v>
      </c>
      <c r="M111">
        <v>650</v>
      </c>
      <c r="N111">
        <f>IF(COUNTIFS($B$2:B111,B111)=1,1,0)</f>
        <v>0</v>
      </c>
    </row>
    <row r="112" spans="1:14" x14ac:dyDescent="0.2">
      <c r="A112">
        <v>111</v>
      </c>
      <c r="B112">
        <v>1057</v>
      </c>
      <c r="C112">
        <f>1/COUNTIF(B:B,Table1[[#This Row],[order_id]])</f>
        <v>0.33333333333333331</v>
      </c>
      <c r="D112" t="str">
        <f>TEXT(Table1[[#This Row],[order_date]],"mmmm")</f>
        <v>January</v>
      </c>
      <c r="E112" s="1">
        <v>45302</v>
      </c>
      <c r="F112" s="1" t="str">
        <f>TEXT(Table1[[#This Row],[order_date]],"dddd")</f>
        <v>Thursday</v>
      </c>
      <c r="G112">
        <f>HOUR(Table1[[#This Row],[order_time]])</f>
        <v>11</v>
      </c>
      <c r="H112" s="2">
        <v>0.47928240740740741</v>
      </c>
      <c r="I112" t="s">
        <v>16</v>
      </c>
      <c r="J112" t="s">
        <v>24</v>
      </c>
      <c r="K112">
        <v>5</v>
      </c>
      <c r="L112">
        <v>35</v>
      </c>
      <c r="M112">
        <v>175</v>
      </c>
      <c r="N112">
        <f>IF(COUNTIFS($B$2:B112,B112)=1,1,0)</f>
        <v>1</v>
      </c>
    </row>
    <row r="113" spans="1:14" x14ac:dyDescent="0.2">
      <c r="A113">
        <v>112</v>
      </c>
      <c r="B113">
        <v>1057</v>
      </c>
      <c r="C113">
        <f>1/COUNTIF(B:B,Table1[[#This Row],[order_id]])</f>
        <v>0.33333333333333331</v>
      </c>
      <c r="D113" t="str">
        <f>TEXT(Table1[[#This Row],[order_date]],"mmmm")</f>
        <v>January</v>
      </c>
      <c r="E113" s="1">
        <v>45302</v>
      </c>
      <c r="F113" s="1" t="str">
        <f>TEXT(Table1[[#This Row],[order_date]],"dddd")</f>
        <v>Thursday</v>
      </c>
      <c r="G113">
        <f>HOUR(Table1[[#This Row],[order_time]])</f>
        <v>9</v>
      </c>
      <c r="H113" s="2">
        <v>0.37903935185185184</v>
      </c>
      <c r="I113" t="s">
        <v>16</v>
      </c>
      <c r="J113" t="s">
        <v>28</v>
      </c>
      <c r="K113">
        <v>3</v>
      </c>
      <c r="L113">
        <v>25</v>
      </c>
      <c r="M113">
        <v>75</v>
      </c>
      <c r="N113">
        <f>IF(COUNTIFS($B$2:B113,B113)=1,1,0)</f>
        <v>0</v>
      </c>
    </row>
    <row r="114" spans="1:14" x14ac:dyDescent="0.2">
      <c r="A114">
        <v>113</v>
      </c>
      <c r="B114">
        <v>1057</v>
      </c>
      <c r="C114">
        <f>1/COUNTIF(B:B,Table1[[#This Row],[order_id]])</f>
        <v>0.33333333333333331</v>
      </c>
      <c r="D114" t="str">
        <f>TEXT(Table1[[#This Row],[order_date]],"mmmm")</f>
        <v>January</v>
      </c>
      <c r="E114" s="1">
        <v>45302</v>
      </c>
      <c r="F114" s="1" t="str">
        <f>TEXT(Table1[[#This Row],[order_date]],"dddd")</f>
        <v>Thursday</v>
      </c>
      <c r="G114">
        <f>HOUR(Table1[[#This Row],[order_time]])</f>
        <v>16</v>
      </c>
      <c r="H114" s="2">
        <v>0.7026041666666667</v>
      </c>
      <c r="I114" t="s">
        <v>9</v>
      </c>
      <c r="J114" t="s">
        <v>10</v>
      </c>
      <c r="K114">
        <v>5</v>
      </c>
      <c r="L114">
        <v>20</v>
      </c>
      <c r="M114">
        <v>100</v>
      </c>
      <c r="N114">
        <f>IF(COUNTIFS($B$2:B114,B114)=1,1,0)</f>
        <v>0</v>
      </c>
    </row>
    <row r="115" spans="1:14" x14ac:dyDescent="0.2">
      <c r="A115">
        <v>114</v>
      </c>
      <c r="B115">
        <v>1058</v>
      </c>
      <c r="C115">
        <f>1/COUNTIF(B:B,Table1[[#This Row],[order_id]])</f>
        <v>0.5</v>
      </c>
      <c r="D115" t="str">
        <f>TEXT(Table1[[#This Row],[order_date]],"mmmm")</f>
        <v>January</v>
      </c>
      <c r="E115" s="1">
        <v>45302</v>
      </c>
      <c r="F115" s="1" t="str">
        <f>TEXT(Table1[[#This Row],[order_date]],"dddd")</f>
        <v>Thursday</v>
      </c>
      <c r="G115">
        <f>HOUR(Table1[[#This Row],[order_time]])</f>
        <v>10</v>
      </c>
      <c r="H115" s="2">
        <v>0.45314814814814813</v>
      </c>
      <c r="I115" t="s">
        <v>11</v>
      </c>
      <c r="J115" t="s">
        <v>15</v>
      </c>
      <c r="K115">
        <v>5</v>
      </c>
      <c r="L115">
        <v>600</v>
      </c>
      <c r="M115">
        <v>3000</v>
      </c>
      <c r="N115">
        <f>IF(COUNTIFS($B$2:B115,B115)=1,1,0)</f>
        <v>1</v>
      </c>
    </row>
    <row r="116" spans="1:14" x14ac:dyDescent="0.2">
      <c r="A116">
        <v>115</v>
      </c>
      <c r="B116">
        <v>1058</v>
      </c>
      <c r="C116">
        <f>1/COUNTIF(B:B,Table1[[#This Row],[order_id]])</f>
        <v>0.5</v>
      </c>
      <c r="D116" t="str">
        <f>TEXT(Table1[[#This Row],[order_date]],"mmmm")</f>
        <v>January</v>
      </c>
      <c r="E116" s="1">
        <v>45302</v>
      </c>
      <c r="F116" s="1" t="str">
        <f>TEXT(Table1[[#This Row],[order_date]],"dddd")</f>
        <v>Thursday</v>
      </c>
      <c r="G116">
        <f>HOUR(Table1[[#This Row],[order_time]])</f>
        <v>19</v>
      </c>
      <c r="H116" s="2">
        <v>0.80760416666666668</v>
      </c>
      <c r="I116" t="s">
        <v>18</v>
      </c>
      <c r="J116" t="s">
        <v>27</v>
      </c>
      <c r="K116">
        <v>1</v>
      </c>
      <c r="L116">
        <v>40</v>
      </c>
      <c r="M116">
        <v>40</v>
      </c>
      <c r="N116">
        <f>IF(COUNTIFS($B$2:B116,B116)=1,1,0)</f>
        <v>0</v>
      </c>
    </row>
    <row r="117" spans="1:14" x14ac:dyDescent="0.2">
      <c r="A117">
        <v>116</v>
      </c>
      <c r="B117">
        <v>1059</v>
      </c>
      <c r="C117">
        <f>1/COUNTIF(B:B,Table1[[#This Row],[order_id]])</f>
        <v>0.33333333333333331</v>
      </c>
      <c r="D117" t="str">
        <f>TEXT(Table1[[#This Row],[order_date]],"mmmm")</f>
        <v>January</v>
      </c>
      <c r="E117" s="1">
        <v>45302</v>
      </c>
      <c r="F117" s="1" t="str">
        <f>TEXT(Table1[[#This Row],[order_date]],"dddd")</f>
        <v>Thursday</v>
      </c>
      <c r="G117">
        <f>HOUR(Table1[[#This Row],[order_time]])</f>
        <v>18</v>
      </c>
      <c r="H117" s="2">
        <v>0.76218750000000002</v>
      </c>
      <c r="I117" t="s">
        <v>9</v>
      </c>
      <c r="J117" t="s">
        <v>22</v>
      </c>
      <c r="K117">
        <v>1</v>
      </c>
      <c r="L117">
        <v>15</v>
      </c>
      <c r="M117">
        <v>15</v>
      </c>
      <c r="N117">
        <f>IF(COUNTIFS($B$2:B117,B117)=1,1,0)</f>
        <v>1</v>
      </c>
    </row>
    <row r="118" spans="1:14" x14ac:dyDescent="0.2">
      <c r="A118">
        <v>117</v>
      </c>
      <c r="B118">
        <v>1059</v>
      </c>
      <c r="C118">
        <f>1/COUNTIF(B:B,Table1[[#This Row],[order_id]])</f>
        <v>0.33333333333333331</v>
      </c>
      <c r="D118" t="str">
        <f>TEXT(Table1[[#This Row],[order_date]],"mmmm")</f>
        <v>January</v>
      </c>
      <c r="E118" s="1">
        <v>45302</v>
      </c>
      <c r="F118" s="1" t="str">
        <f>TEXT(Table1[[#This Row],[order_date]],"dddd")</f>
        <v>Thursday</v>
      </c>
      <c r="G118">
        <f>HOUR(Table1[[#This Row],[order_time]])</f>
        <v>11</v>
      </c>
      <c r="H118" s="2">
        <v>0.47877314814814814</v>
      </c>
      <c r="I118" t="s">
        <v>18</v>
      </c>
      <c r="J118" t="s">
        <v>31</v>
      </c>
      <c r="K118">
        <v>5</v>
      </c>
      <c r="L118">
        <v>45</v>
      </c>
      <c r="M118">
        <v>225</v>
      </c>
      <c r="N118">
        <f>IF(COUNTIFS($B$2:B118,B118)=1,1,0)</f>
        <v>0</v>
      </c>
    </row>
    <row r="119" spans="1:14" x14ac:dyDescent="0.2">
      <c r="A119">
        <v>118</v>
      </c>
      <c r="B119">
        <v>1059</v>
      </c>
      <c r="C119">
        <f>1/COUNTIF(B:B,Table1[[#This Row],[order_id]])</f>
        <v>0.33333333333333331</v>
      </c>
      <c r="D119" t="str">
        <f>TEXT(Table1[[#This Row],[order_date]],"mmmm")</f>
        <v>January</v>
      </c>
      <c r="E119" s="1">
        <v>45302</v>
      </c>
      <c r="F119" s="1" t="str">
        <f>TEXT(Table1[[#This Row],[order_date]],"dddd")</f>
        <v>Thursday</v>
      </c>
      <c r="G119">
        <f>HOUR(Table1[[#This Row],[order_time]])</f>
        <v>18</v>
      </c>
      <c r="H119" s="2">
        <v>0.76142361111111112</v>
      </c>
      <c r="I119" t="s">
        <v>18</v>
      </c>
      <c r="J119" t="s">
        <v>30</v>
      </c>
      <c r="K119">
        <v>2</v>
      </c>
      <c r="L119">
        <v>60</v>
      </c>
      <c r="M119">
        <v>120</v>
      </c>
      <c r="N119">
        <f>IF(COUNTIFS($B$2:B119,B119)=1,1,0)</f>
        <v>0</v>
      </c>
    </row>
    <row r="120" spans="1:14" x14ac:dyDescent="0.2">
      <c r="A120">
        <v>119</v>
      </c>
      <c r="B120">
        <v>1060</v>
      </c>
      <c r="C120">
        <f>1/COUNTIF(B:B,Table1[[#This Row],[order_id]])</f>
        <v>1</v>
      </c>
      <c r="D120" t="str">
        <f>TEXT(Table1[[#This Row],[order_date]],"mmmm")</f>
        <v>January</v>
      </c>
      <c r="E120" s="1">
        <v>45302</v>
      </c>
      <c r="F120" s="1" t="str">
        <f>TEXT(Table1[[#This Row],[order_date]],"dddd")</f>
        <v>Thursday</v>
      </c>
      <c r="G120">
        <f>HOUR(Table1[[#This Row],[order_time]])</f>
        <v>17</v>
      </c>
      <c r="H120" s="2">
        <v>0.74425925925925929</v>
      </c>
      <c r="I120" t="s">
        <v>11</v>
      </c>
      <c r="J120" t="s">
        <v>13</v>
      </c>
      <c r="K120">
        <v>1</v>
      </c>
      <c r="L120">
        <v>680</v>
      </c>
      <c r="M120">
        <v>680</v>
      </c>
      <c r="N120">
        <f>IF(COUNTIFS($B$2:B120,B120)=1,1,0)</f>
        <v>1</v>
      </c>
    </row>
    <row r="121" spans="1:14" x14ac:dyDescent="0.2">
      <c r="A121">
        <v>120</v>
      </c>
      <c r="B121">
        <v>1061</v>
      </c>
      <c r="C121">
        <f>1/COUNTIF(B:B,Table1[[#This Row],[order_id]])</f>
        <v>0.33333333333333331</v>
      </c>
      <c r="D121" t="str">
        <f>TEXT(Table1[[#This Row],[order_date]],"mmmm")</f>
        <v>January</v>
      </c>
      <c r="E121" s="1">
        <v>45303</v>
      </c>
      <c r="F121" s="1" t="str">
        <f>TEXT(Table1[[#This Row],[order_date]],"dddd")</f>
        <v>Friday</v>
      </c>
      <c r="G121">
        <f>HOUR(Table1[[#This Row],[order_time]])</f>
        <v>16</v>
      </c>
      <c r="H121" s="2">
        <v>0.67700231481481477</v>
      </c>
      <c r="I121" t="s">
        <v>18</v>
      </c>
      <c r="J121" t="s">
        <v>30</v>
      </c>
      <c r="K121">
        <v>3</v>
      </c>
      <c r="L121">
        <v>60</v>
      </c>
      <c r="M121">
        <v>180</v>
      </c>
      <c r="N121">
        <f>IF(COUNTIFS($B$2:B121,B121)=1,1,0)</f>
        <v>1</v>
      </c>
    </row>
    <row r="122" spans="1:14" x14ac:dyDescent="0.2">
      <c r="A122">
        <v>121</v>
      </c>
      <c r="B122">
        <v>1061</v>
      </c>
      <c r="C122">
        <f>1/COUNTIF(B:B,Table1[[#This Row],[order_id]])</f>
        <v>0.33333333333333331</v>
      </c>
      <c r="D122" t="str">
        <f>TEXT(Table1[[#This Row],[order_date]],"mmmm")</f>
        <v>January</v>
      </c>
      <c r="E122" s="1">
        <v>45303</v>
      </c>
      <c r="F122" s="1" t="str">
        <f>TEXT(Table1[[#This Row],[order_date]],"dddd")</f>
        <v>Friday</v>
      </c>
      <c r="G122">
        <f>HOUR(Table1[[#This Row],[order_time]])</f>
        <v>16</v>
      </c>
      <c r="H122" s="2">
        <v>0.67174768518518524</v>
      </c>
      <c r="I122" t="s">
        <v>16</v>
      </c>
      <c r="J122" t="s">
        <v>17</v>
      </c>
      <c r="K122">
        <v>3</v>
      </c>
      <c r="L122">
        <v>20</v>
      </c>
      <c r="M122">
        <v>60</v>
      </c>
      <c r="N122">
        <f>IF(COUNTIFS($B$2:B122,B122)=1,1,0)</f>
        <v>0</v>
      </c>
    </row>
    <row r="123" spans="1:14" x14ac:dyDescent="0.2">
      <c r="A123">
        <v>122</v>
      </c>
      <c r="B123">
        <v>1061</v>
      </c>
      <c r="C123">
        <f>1/COUNTIF(B:B,Table1[[#This Row],[order_id]])</f>
        <v>0.33333333333333331</v>
      </c>
      <c r="D123" t="str">
        <f>TEXT(Table1[[#This Row],[order_date]],"mmmm")</f>
        <v>January</v>
      </c>
      <c r="E123" s="1">
        <v>45303</v>
      </c>
      <c r="F123" s="1" t="str">
        <f>TEXT(Table1[[#This Row],[order_date]],"dddd")</f>
        <v>Friday</v>
      </c>
      <c r="G123">
        <f>HOUR(Table1[[#This Row],[order_time]])</f>
        <v>13</v>
      </c>
      <c r="H123" s="2">
        <v>0.57207175925925924</v>
      </c>
      <c r="I123" t="s">
        <v>16</v>
      </c>
      <c r="J123" t="s">
        <v>28</v>
      </c>
      <c r="K123">
        <v>4</v>
      </c>
      <c r="L123">
        <v>25</v>
      </c>
      <c r="M123">
        <v>100</v>
      </c>
      <c r="N123">
        <f>IF(COUNTIFS($B$2:B123,B123)=1,1,0)</f>
        <v>0</v>
      </c>
    </row>
    <row r="124" spans="1:14" x14ac:dyDescent="0.2">
      <c r="A124">
        <v>123</v>
      </c>
      <c r="B124">
        <v>1062</v>
      </c>
      <c r="C124">
        <f>1/COUNTIF(B:B,Table1[[#This Row],[order_id]])</f>
        <v>0.5</v>
      </c>
      <c r="D124" t="str">
        <f>TEXT(Table1[[#This Row],[order_date]],"mmmm")</f>
        <v>January</v>
      </c>
      <c r="E124" s="1">
        <v>45303</v>
      </c>
      <c r="F124" s="1" t="str">
        <f>TEXT(Table1[[#This Row],[order_date]],"dddd")</f>
        <v>Friday</v>
      </c>
      <c r="G124">
        <f>HOUR(Table1[[#This Row],[order_time]])</f>
        <v>17</v>
      </c>
      <c r="H124" s="2">
        <v>0.7093518518518519</v>
      </c>
      <c r="I124" t="s">
        <v>18</v>
      </c>
      <c r="J124" t="s">
        <v>26</v>
      </c>
      <c r="K124">
        <v>5</v>
      </c>
      <c r="L124">
        <v>55</v>
      </c>
      <c r="M124">
        <v>275</v>
      </c>
      <c r="N124">
        <f>IF(COUNTIFS($B$2:B124,B124)=1,1,0)</f>
        <v>1</v>
      </c>
    </row>
    <row r="125" spans="1:14" x14ac:dyDescent="0.2">
      <c r="A125">
        <v>124</v>
      </c>
      <c r="B125">
        <v>1062</v>
      </c>
      <c r="C125">
        <f>1/COUNTIF(B:B,Table1[[#This Row],[order_id]])</f>
        <v>0.5</v>
      </c>
      <c r="D125" t="str">
        <f>TEXT(Table1[[#This Row],[order_date]],"mmmm")</f>
        <v>January</v>
      </c>
      <c r="E125" s="1">
        <v>45303</v>
      </c>
      <c r="F125" s="1" t="str">
        <f>TEXT(Table1[[#This Row],[order_date]],"dddd")</f>
        <v>Friday</v>
      </c>
      <c r="G125">
        <f>HOUR(Table1[[#This Row],[order_time]])</f>
        <v>12</v>
      </c>
      <c r="H125" s="2">
        <v>0.51907407407407402</v>
      </c>
      <c r="I125" t="s">
        <v>9</v>
      </c>
      <c r="J125" t="s">
        <v>22</v>
      </c>
      <c r="K125">
        <v>2</v>
      </c>
      <c r="L125">
        <v>15</v>
      </c>
      <c r="M125">
        <v>30</v>
      </c>
      <c r="N125">
        <f>IF(COUNTIFS($B$2:B125,B125)=1,1,0)</f>
        <v>0</v>
      </c>
    </row>
    <row r="126" spans="1:14" x14ac:dyDescent="0.2">
      <c r="A126">
        <v>125</v>
      </c>
      <c r="B126">
        <v>1063</v>
      </c>
      <c r="C126">
        <f>1/COUNTIF(B:B,Table1[[#This Row],[order_id]])</f>
        <v>0.33333333333333331</v>
      </c>
      <c r="D126" t="str">
        <f>TEXT(Table1[[#This Row],[order_date]],"mmmm")</f>
        <v>January</v>
      </c>
      <c r="E126" s="1">
        <v>45303</v>
      </c>
      <c r="F126" s="1" t="str">
        <f>TEXT(Table1[[#This Row],[order_date]],"dddd")</f>
        <v>Friday</v>
      </c>
      <c r="G126">
        <f>HOUR(Table1[[#This Row],[order_time]])</f>
        <v>14</v>
      </c>
      <c r="H126" s="2">
        <v>0.59880787037037042</v>
      </c>
      <c r="I126" t="s">
        <v>9</v>
      </c>
      <c r="J126" t="s">
        <v>22</v>
      </c>
      <c r="K126">
        <v>1</v>
      </c>
      <c r="L126">
        <v>15</v>
      </c>
      <c r="M126">
        <v>15</v>
      </c>
      <c r="N126">
        <f>IF(COUNTIFS($B$2:B126,B126)=1,1,0)</f>
        <v>1</v>
      </c>
    </row>
    <row r="127" spans="1:14" x14ac:dyDescent="0.2">
      <c r="A127">
        <v>126</v>
      </c>
      <c r="B127">
        <v>1063</v>
      </c>
      <c r="C127">
        <f>1/COUNTIF(B:B,Table1[[#This Row],[order_id]])</f>
        <v>0.33333333333333331</v>
      </c>
      <c r="D127" t="str">
        <f>TEXT(Table1[[#This Row],[order_date]],"mmmm")</f>
        <v>January</v>
      </c>
      <c r="E127" s="1">
        <v>45303</v>
      </c>
      <c r="F127" s="1" t="str">
        <f>TEXT(Table1[[#This Row],[order_date]],"dddd")</f>
        <v>Friday</v>
      </c>
      <c r="G127">
        <f>HOUR(Table1[[#This Row],[order_time]])</f>
        <v>12</v>
      </c>
      <c r="H127" s="2">
        <v>0.52619212962962958</v>
      </c>
      <c r="I127" t="s">
        <v>18</v>
      </c>
      <c r="J127" t="s">
        <v>19</v>
      </c>
      <c r="K127">
        <v>4</v>
      </c>
      <c r="L127">
        <v>50</v>
      </c>
      <c r="M127">
        <v>200</v>
      </c>
      <c r="N127">
        <f>IF(COUNTIFS($B$2:B127,B127)=1,1,0)</f>
        <v>0</v>
      </c>
    </row>
    <row r="128" spans="1:14" x14ac:dyDescent="0.2">
      <c r="A128">
        <v>127</v>
      </c>
      <c r="B128">
        <v>1063</v>
      </c>
      <c r="C128">
        <f>1/COUNTIF(B:B,Table1[[#This Row],[order_id]])</f>
        <v>0.33333333333333331</v>
      </c>
      <c r="D128" t="str">
        <f>TEXT(Table1[[#This Row],[order_date]],"mmmm")</f>
        <v>January</v>
      </c>
      <c r="E128" s="1">
        <v>45303</v>
      </c>
      <c r="F128" s="1" t="str">
        <f>TEXT(Table1[[#This Row],[order_date]],"dddd")</f>
        <v>Friday</v>
      </c>
      <c r="G128">
        <f>HOUR(Table1[[#This Row],[order_time]])</f>
        <v>13</v>
      </c>
      <c r="H128" s="2">
        <v>0.5715972222222222</v>
      </c>
      <c r="I128" t="s">
        <v>16</v>
      </c>
      <c r="J128" t="s">
        <v>24</v>
      </c>
      <c r="K128">
        <v>1</v>
      </c>
      <c r="L128">
        <v>35</v>
      </c>
      <c r="M128">
        <v>35</v>
      </c>
      <c r="N128">
        <f>IF(COUNTIFS($B$2:B128,B128)=1,1,0)</f>
        <v>0</v>
      </c>
    </row>
    <row r="129" spans="1:14" x14ac:dyDescent="0.2">
      <c r="A129">
        <v>128</v>
      </c>
      <c r="B129">
        <v>1064</v>
      </c>
      <c r="C129">
        <f>1/COUNTIF(B:B,Table1[[#This Row],[order_id]])</f>
        <v>0.5</v>
      </c>
      <c r="D129" t="str">
        <f>TEXT(Table1[[#This Row],[order_date]],"mmmm")</f>
        <v>January</v>
      </c>
      <c r="E129" s="1">
        <v>45303</v>
      </c>
      <c r="F129" s="1" t="str">
        <f>TEXT(Table1[[#This Row],[order_date]],"dddd")</f>
        <v>Friday</v>
      </c>
      <c r="G129">
        <f>HOUR(Table1[[#This Row],[order_time]])</f>
        <v>15</v>
      </c>
      <c r="H129" s="2">
        <v>0.62862268518518516</v>
      </c>
      <c r="I129" t="s">
        <v>11</v>
      </c>
      <c r="J129" t="s">
        <v>25</v>
      </c>
      <c r="K129">
        <v>5</v>
      </c>
      <c r="L129">
        <v>1000</v>
      </c>
      <c r="M129">
        <v>5000</v>
      </c>
      <c r="N129">
        <f>IF(COUNTIFS($B$2:B129,B129)=1,1,0)</f>
        <v>1</v>
      </c>
    </row>
    <row r="130" spans="1:14" x14ac:dyDescent="0.2">
      <c r="A130">
        <v>129</v>
      </c>
      <c r="B130">
        <v>1064</v>
      </c>
      <c r="C130">
        <f>1/COUNTIF(B:B,Table1[[#This Row],[order_id]])</f>
        <v>0.5</v>
      </c>
      <c r="D130" t="str">
        <f>TEXT(Table1[[#This Row],[order_date]],"mmmm")</f>
        <v>January</v>
      </c>
      <c r="E130" s="1">
        <v>45303</v>
      </c>
      <c r="F130" s="1" t="str">
        <f>TEXT(Table1[[#This Row],[order_date]],"dddd")</f>
        <v>Friday</v>
      </c>
      <c r="G130">
        <f>HOUR(Table1[[#This Row],[order_time]])</f>
        <v>11</v>
      </c>
      <c r="H130" s="2">
        <v>0.46901620370370373</v>
      </c>
      <c r="I130" t="s">
        <v>16</v>
      </c>
      <c r="J130" t="s">
        <v>17</v>
      </c>
      <c r="K130">
        <v>2</v>
      </c>
      <c r="L130">
        <v>20</v>
      </c>
      <c r="M130">
        <v>40</v>
      </c>
      <c r="N130">
        <f>IF(COUNTIFS($B$2:B130,B130)=1,1,0)</f>
        <v>0</v>
      </c>
    </row>
    <row r="131" spans="1:14" x14ac:dyDescent="0.2">
      <c r="A131">
        <v>130</v>
      </c>
      <c r="B131">
        <v>1065</v>
      </c>
      <c r="C131">
        <f>1/COUNTIF(B:B,Table1[[#This Row],[order_id]])</f>
        <v>0.33333333333333331</v>
      </c>
      <c r="D131" t="str">
        <f>TEXT(Table1[[#This Row],[order_date]],"mmmm")</f>
        <v>January</v>
      </c>
      <c r="E131" s="1">
        <v>45303</v>
      </c>
      <c r="F131" s="1" t="str">
        <f>TEXT(Table1[[#This Row],[order_date]],"dddd")</f>
        <v>Friday</v>
      </c>
      <c r="G131">
        <f>HOUR(Table1[[#This Row],[order_time]])</f>
        <v>11</v>
      </c>
      <c r="H131" s="2">
        <v>0.49759259259259259</v>
      </c>
      <c r="I131" t="s">
        <v>9</v>
      </c>
      <c r="J131" t="s">
        <v>20</v>
      </c>
      <c r="K131">
        <v>2</v>
      </c>
      <c r="L131">
        <v>25</v>
      </c>
      <c r="M131">
        <v>50</v>
      </c>
      <c r="N131">
        <f>IF(COUNTIFS($B$2:B131,B131)=1,1,0)</f>
        <v>1</v>
      </c>
    </row>
    <row r="132" spans="1:14" x14ac:dyDescent="0.2">
      <c r="A132">
        <v>131</v>
      </c>
      <c r="B132">
        <v>1065</v>
      </c>
      <c r="C132">
        <f>1/COUNTIF(B:B,Table1[[#This Row],[order_id]])</f>
        <v>0.33333333333333331</v>
      </c>
      <c r="D132" t="str">
        <f>TEXT(Table1[[#This Row],[order_date]],"mmmm")</f>
        <v>January</v>
      </c>
      <c r="E132" s="1">
        <v>45303</v>
      </c>
      <c r="F132" s="1" t="str">
        <f>TEXT(Table1[[#This Row],[order_date]],"dddd")</f>
        <v>Friday</v>
      </c>
      <c r="G132">
        <f>HOUR(Table1[[#This Row],[order_time]])</f>
        <v>14</v>
      </c>
      <c r="H132" s="2">
        <v>0.5949768518518519</v>
      </c>
      <c r="I132" t="s">
        <v>16</v>
      </c>
      <c r="J132" t="s">
        <v>24</v>
      </c>
      <c r="K132">
        <v>3</v>
      </c>
      <c r="L132">
        <v>35</v>
      </c>
      <c r="M132">
        <v>105</v>
      </c>
      <c r="N132">
        <f>IF(COUNTIFS($B$2:B132,B132)=1,1,0)</f>
        <v>0</v>
      </c>
    </row>
    <row r="133" spans="1:14" x14ac:dyDescent="0.2">
      <c r="A133">
        <v>132</v>
      </c>
      <c r="B133">
        <v>1065</v>
      </c>
      <c r="C133">
        <f>1/COUNTIF(B:B,Table1[[#This Row],[order_id]])</f>
        <v>0.33333333333333331</v>
      </c>
      <c r="D133" t="str">
        <f>TEXT(Table1[[#This Row],[order_date]],"mmmm")</f>
        <v>January</v>
      </c>
      <c r="E133" s="1">
        <v>45303</v>
      </c>
      <c r="F133" s="1" t="str">
        <f>TEXT(Table1[[#This Row],[order_date]],"dddd")</f>
        <v>Friday</v>
      </c>
      <c r="G133">
        <f>HOUR(Table1[[#This Row],[order_time]])</f>
        <v>13</v>
      </c>
      <c r="H133" s="2">
        <v>0.54796296296296299</v>
      </c>
      <c r="I133" t="s">
        <v>11</v>
      </c>
      <c r="J133" t="s">
        <v>15</v>
      </c>
      <c r="K133">
        <v>1</v>
      </c>
      <c r="L133">
        <v>600</v>
      </c>
      <c r="M133">
        <v>600</v>
      </c>
      <c r="N133">
        <f>IF(COUNTIFS($B$2:B133,B133)=1,1,0)</f>
        <v>0</v>
      </c>
    </row>
    <row r="134" spans="1:14" x14ac:dyDescent="0.2">
      <c r="A134">
        <v>133</v>
      </c>
      <c r="B134">
        <v>1066</v>
      </c>
      <c r="C134">
        <f>1/COUNTIF(B:B,Table1[[#This Row],[order_id]])</f>
        <v>1</v>
      </c>
      <c r="D134" t="str">
        <f>TEXT(Table1[[#This Row],[order_date]],"mmmm")</f>
        <v>January</v>
      </c>
      <c r="E134" s="1">
        <v>45303</v>
      </c>
      <c r="F134" s="1" t="str">
        <f>TEXT(Table1[[#This Row],[order_date]],"dddd")</f>
        <v>Friday</v>
      </c>
      <c r="G134">
        <f>HOUR(Table1[[#This Row],[order_time]])</f>
        <v>15</v>
      </c>
      <c r="H134" s="2">
        <v>0.65625</v>
      </c>
      <c r="I134" t="s">
        <v>16</v>
      </c>
      <c r="J134" t="s">
        <v>17</v>
      </c>
      <c r="K134">
        <v>4</v>
      </c>
      <c r="L134">
        <v>20</v>
      </c>
      <c r="M134">
        <v>80</v>
      </c>
      <c r="N134">
        <f>IF(COUNTIFS($B$2:B134,B134)=1,1,0)</f>
        <v>1</v>
      </c>
    </row>
    <row r="135" spans="1:14" x14ac:dyDescent="0.2">
      <c r="A135">
        <v>134</v>
      </c>
      <c r="B135">
        <v>1067</v>
      </c>
      <c r="C135">
        <f>1/COUNTIF(B:B,Table1[[#This Row],[order_id]])</f>
        <v>1</v>
      </c>
      <c r="D135" t="str">
        <f>TEXT(Table1[[#This Row],[order_date]],"mmmm")</f>
        <v>January</v>
      </c>
      <c r="E135" s="1">
        <v>45303</v>
      </c>
      <c r="F135" s="1" t="str">
        <f>TEXT(Table1[[#This Row],[order_date]],"dddd")</f>
        <v>Friday</v>
      </c>
      <c r="G135">
        <f>HOUR(Table1[[#This Row],[order_time]])</f>
        <v>19</v>
      </c>
      <c r="H135" s="2">
        <v>0.81152777777777774</v>
      </c>
      <c r="I135" t="s">
        <v>16</v>
      </c>
      <c r="J135" t="s">
        <v>24</v>
      </c>
      <c r="K135">
        <v>4</v>
      </c>
      <c r="L135">
        <v>35</v>
      </c>
      <c r="M135">
        <v>140</v>
      </c>
      <c r="N135">
        <f>IF(COUNTIFS($B$2:B135,B135)=1,1,0)</f>
        <v>1</v>
      </c>
    </row>
    <row r="136" spans="1:14" x14ac:dyDescent="0.2">
      <c r="A136">
        <v>135</v>
      </c>
      <c r="B136">
        <v>1068</v>
      </c>
      <c r="C136">
        <f>1/COUNTIF(B:B,Table1[[#This Row],[order_id]])</f>
        <v>1</v>
      </c>
      <c r="D136" t="str">
        <f>TEXT(Table1[[#This Row],[order_date]],"mmmm")</f>
        <v>January</v>
      </c>
      <c r="E136" s="1">
        <v>45303</v>
      </c>
      <c r="F136" s="1" t="str">
        <f>TEXT(Table1[[#This Row],[order_date]],"dddd")</f>
        <v>Friday</v>
      </c>
      <c r="G136">
        <f>HOUR(Table1[[#This Row],[order_time]])</f>
        <v>19</v>
      </c>
      <c r="H136" s="2">
        <v>0.83277777777777773</v>
      </c>
      <c r="I136" t="s">
        <v>18</v>
      </c>
      <c r="J136" t="s">
        <v>27</v>
      </c>
      <c r="K136">
        <v>5</v>
      </c>
      <c r="L136">
        <v>40</v>
      </c>
      <c r="M136">
        <v>200</v>
      </c>
      <c r="N136">
        <f>IF(COUNTIFS($B$2:B136,B136)=1,1,0)</f>
        <v>1</v>
      </c>
    </row>
    <row r="137" spans="1:14" x14ac:dyDescent="0.2">
      <c r="A137">
        <v>136</v>
      </c>
      <c r="B137">
        <v>1069</v>
      </c>
      <c r="C137">
        <f>1/COUNTIF(B:B,Table1[[#This Row],[order_id]])</f>
        <v>0.5</v>
      </c>
      <c r="D137" t="str">
        <f>TEXT(Table1[[#This Row],[order_date]],"mmmm")</f>
        <v>January</v>
      </c>
      <c r="E137" s="1">
        <v>45303</v>
      </c>
      <c r="F137" s="1" t="str">
        <f>TEXT(Table1[[#This Row],[order_date]],"dddd")</f>
        <v>Friday</v>
      </c>
      <c r="G137">
        <f>HOUR(Table1[[#This Row],[order_time]])</f>
        <v>17</v>
      </c>
      <c r="H137" s="2">
        <v>0.73474537037037035</v>
      </c>
      <c r="I137" t="s">
        <v>9</v>
      </c>
      <c r="J137" t="s">
        <v>20</v>
      </c>
      <c r="K137">
        <v>5</v>
      </c>
      <c r="L137">
        <v>25</v>
      </c>
      <c r="M137">
        <v>125</v>
      </c>
      <c r="N137">
        <f>IF(COUNTIFS($B$2:B137,B137)=1,1,0)</f>
        <v>1</v>
      </c>
    </row>
    <row r="138" spans="1:14" x14ac:dyDescent="0.2">
      <c r="A138">
        <v>137</v>
      </c>
      <c r="B138">
        <v>1069</v>
      </c>
      <c r="C138">
        <f>1/COUNTIF(B:B,Table1[[#This Row],[order_id]])</f>
        <v>0.5</v>
      </c>
      <c r="D138" t="str">
        <f>TEXT(Table1[[#This Row],[order_date]],"mmmm")</f>
        <v>January</v>
      </c>
      <c r="E138" s="1">
        <v>45303</v>
      </c>
      <c r="F138" s="1" t="str">
        <f>TEXT(Table1[[#This Row],[order_date]],"dddd")</f>
        <v>Friday</v>
      </c>
      <c r="G138">
        <f>HOUR(Table1[[#This Row],[order_time]])</f>
        <v>16</v>
      </c>
      <c r="H138" s="2">
        <v>0.69649305555555552</v>
      </c>
      <c r="I138" t="s">
        <v>16</v>
      </c>
      <c r="J138" t="s">
        <v>28</v>
      </c>
      <c r="K138">
        <v>1</v>
      </c>
      <c r="L138">
        <v>25</v>
      </c>
      <c r="M138">
        <v>25</v>
      </c>
      <c r="N138">
        <f>IF(COUNTIFS($B$2:B138,B138)=1,1,0)</f>
        <v>0</v>
      </c>
    </row>
    <row r="139" spans="1:14" x14ac:dyDescent="0.2">
      <c r="A139">
        <v>138</v>
      </c>
      <c r="B139">
        <v>1070</v>
      </c>
      <c r="C139">
        <f>1/COUNTIF(B:B,Table1[[#This Row],[order_id]])</f>
        <v>0.33333333333333331</v>
      </c>
      <c r="D139" t="str">
        <f>TEXT(Table1[[#This Row],[order_date]],"mmmm")</f>
        <v>January</v>
      </c>
      <c r="E139" s="1">
        <v>45304</v>
      </c>
      <c r="F139" s="1" t="str">
        <f>TEXT(Table1[[#This Row],[order_date]],"dddd")</f>
        <v>Saturday</v>
      </c>
      <c r="G139">
        <f>HOUR(Table1[[#This Row],[order_time]])</f>
        <v>9</v>
      </c>
      <c r="H139" s="2">
        <v>0.37982638888888887</v>
      </c>
      <c r="I139" t="s">
        <v>18</v>
      </c>
      <c r="J139" t="s">
        <v>31</v>
      </c>
      <c r="K139">
        <v>1</v>
      </c>
      <c r="L139">
        <v>45</v>
      </c>
      <c r="M139">
        <v>45</v>
      </c>
      <c r="N139">
        <f>IF(COUNTIFS($B$2:B139,B139)=1,1,0)</f>
        <v>1</v>
      </c>
    </row>
    <row r="140" spans="1:14" x14ac:dyDescent="0.2">
      <c r="A140">
        <v>139</v>
      </c>
      <c r="B140">
        <v>1070</v>
      </c>
      <c r="C140">
        <f>1/COUNTIF(B:B,Table1[[#This Row],[order_id]])</f>
        <v>0.33333333333333331</v>
      </c>
      <c r="D140" t="str">
        <f>TEXT(Table1[[#This Row],[order_date]],"mmmm")</f>
        <v>January</v>
      </c>
      <c r="E140" s="1">
        <v>45304</v>
      </c>
      <c r="F140" s="1" t="str">
        <f>TEXT(Table1[[#This Row],[order_date]],"dddd")</f>
        <v>Saturday</v>
      </c>
      <c r="G140">
        <f>HOUR(Table1[[#This Row],[order_time]])</f>
        <v>13</v>
      </c>
      <c r="H140" s="2">
        <v>0.54203703703703698</v>
      </c>
      <c r="I140" t="s">
        <v>18</v>
      </c>
      <c r="J140" t="s">
        <v>27</v>
      </c>
      <c r="K140">
        <v>2</v>
      </c>
      <c r="L140">
        <v>40</v>
      </c>
      <c r="M140">
        <v>80</v>
      </c>
      <c r="N140">
        <f>IF(COUNTIFS($B$2:B140,B140)=1,1,0)</f>
        <v>0</v>
      </c>
    </row>
    <row r="141" spans="1:14" x14ac:dyDescent="0.2">
      <c r="A141">
        <v>140</v>
      </c>
      <c r="B141">
        <v>1070</v>
      </c>
      <c r="C141">
        <f>1/COUNTIF(B:B,Table1[[#This Row],[order_id]])</f>
        <v>0.33333333333333331</v>
      </c>
      <c r="D141" t="str">
        <f>TEXT(Table1[[#This Row],[order_date]],"mmmm")</f>
        <v>January</v>
      </c>
      <c r="E141" s="1">
        <v>45304</v>
      </c>
      <c r="F141" s="1" t="str">
        <f>TEXT(Table1[[#This Row],[order_date]],"dddd")</f>
        <v>Saturday</v>
      </c>
      <c r="G141">
        <f>HOUR(Table1[[#This Row],[order_time]])</f>
        <v>14</v>
      </c>
      <c r="H141" s="2">
        <v>0.6185532407407407</v>
      </c>
      <c r="I141" t="s">
        <v>18</v>
      </c>
      <c r="J141" t="s">
        <v>26</v>
      </c>
      <c r="K141">
        <v>5</v>
      </c>
      <c r="L141">
        <v>55</v>
      </c>
      <c r="M141">
        <v>275</v>
      </c>
      <c r="N141">
        <f>IF(COUNTIFS($B$2:B141,B141)=1,1,0)</f>
        <v>0</v>
      </c>
    </row>
    <row r="142" spans="1:14" x14ac:dyDescent="0.2">
      <c r="A142">
        <v>141</v>
      </c>
      <c r="B142">
        <v>1071</v>
      </c>
      <c r="C142">
        <f>1/COUNTIF(B:B,Table1[[#This Row],[order_id]])</f>
        <v>1</v>
      </c>
      <c r="D142" t="str">
        <f>TEXT(Table1[[#This Row],[order_date]],"mmmm")</f>
        <v>January</v>
      </c>
      <c r="E142" s="1">
        <v>45304</v>
      </c>
      <c r="F142" s="1" t="str">
        <f>TEXT(Table1[[#This Row],[order_date]],"dddd")</f>
        <v>Saturday</v>
      </c>
      <c r="G142">
        <f>HOUR(Table1[[#This Row],[order_time]])</f>
        <v>16</v>
      </c>
      <c r="H142" s="2">
        <v>0.67980324074074072</v>
      </c>
      <c r="I142" t="s">
        <v>16</v>
      </c>
      <c r="J142" t="s">
        <v>17</v>
      </c>
      <c r="K142">
        <v>4</v>
      </c>
      <c r="L142">
        <v>20</v>
      </c>
      <c r="M142">
        <v>80</v>
      </c>
      <c r="N142">
        <f>IF(COUNTIFS($B$2:B142,B142)=1,1,0)</f>
        <v>1</v>
      </c>
    </row>
    <row r="143" spans="1:14" x14ac:dyDescent="0.2">
      <c r="A143">
        <v>142</v>
      </c>
      <c r="B143">
        <v>1072</v>
      </c>
      <c r="C143">
        <f>1/COUNTIF(B:B,Table1[[#This Row],[order_id]])</f>
        <v>0.5</v>
      </c>
      <c r="D143" t="str">
        <f>TEXT(Table1[[#This Row],[order_date]],"mmmm")</f>
        <v>January</v>
      </c>
      <c r="E143" s="1">
        <v>45304</v>
      </c>
      <c r="F143" s="1" t="str">
        <f>TEXT(Table1[[#This Row],[order_date]],"dddd")</f>
        <v>Saturday</v>
      </c>
      <c r="G143">
        <f>HOUR(Table1[[#This Row],[order_time]])</f>
        <v>20</v>
      </c>
      <c r="H143" s="2">
        <v>0.86589120370370365</v>
      </c>
      <c r="I143" t="s">
        <v>11</v>
      </c>
      <c r="J143" t="s">
        <v>13</v>
      </c>
      <c r="K143">
        <v>2</v>
      </c>
      <c r="L143">
        <v>680</v>
      </c>
      <c r="M143">
        <v>1360</v>
      </c>
      <c r="N143">
        <f>IF(COUNTIFS($B$2:B143,B143)=1,1,0)</f>
        <v>1</v>
      </c>
    </row>
    <row r="144" spans="1:14" x14ac:dyDescent="0.2">
      <c r="A144">
        <v>143</v>
      </c>
      <c r="B144">
        <v>1072</v>
      </c>
      <c r="C144">
        <f>1/COUNTIF(B:B,Table1[[#This Row],[order_id]])</f>
        <v>0.5</v>
      </c>
      <c r="D144" t="str">
        <f>TEXT(Table1[[#This Row],[order_date]],"mmmm")</f>
        <v>January</v>
      </c>
      <c r="E144" s="1">
        <v>45304</v>
      </c>
      <c r="F144" s="1" t="str">
        <f>TEXT(Table1[[#This Row],[order_date]],"dddd")</f>
        <v>Saturday</v>
      </c>
      <c r="G144">
        <f>HOUR(Table1[[#This Row],[order_time]])</f>
        <v>9</v>
      </c>
      <c r="H144" s="2">
        <v>0.39119212962962963</v>
      </c>
      <c r="I144" t="s">
        <v>18</v>
      </c>
      <c r="J144" t="s">
        <v>19</v>
      </c>
      <c r="K144">
        <v>3</v>
      </c>
      <c r="L144">
        <v>50</v>
      </c>
      <c r="M144">
        <v>150</v>
      </c>
      <c r="N144">
        <f>IF(COUNTIFS($B$2:B144,B144)=1,1,0)</f>
        <v>0</v>
      </c>
    </row>
    <row r="145" spans="1:14" x14ac:dyDescent="0.2">
      <c r="A145">
        <v>144</v>
      </c>
      <c r="B145">
        <v>1073</v>
      </c>
      <c r="C145">
        <f>1/COUNTIF(B:B,Table1[[#This Row],[order_id]])</f>
        <v>0.33333333333333331</v>
      </c>
      <c r="D145" t="str">
        <f>TEXT(Table1[[#This Row],[order_date]],"mmmm")</f>
        <v>January</v>
      </c>
      <c r="E145" s="1">
        <v>45304</v>
      </c>
      <c r="F145" s="1" t="str">
        <f>TEXT(Table1[[#This Row],[order_date]],"dddd")</f>
        <v>Saturday</v>
      </c>
      <c r="G145">
        <f>HOUR(Table1[[#This Row],[order_time]])</f>
        <v>17</v>
      </c>
      <c r="H145" s="2">
        <v>0.74562499999999998</v>
      </c>
      <c r="I145" t="s">
        <v>16</v>
      </c>
      <c r="J145" t="s">
        <v>24</v>
      </c>
      <c r="K145">
        <v>5</v>
      </c>
      <c r="L145">
        <v>35</v>
      </c>
      <c r="M145">
        <v>175</v>
      </c>
      <c r="N145">
        <f>IF(COUNTIFS($B$2:B145,B145)=1,1,0)</f>
        <v>1</v>
      </c>
    </row>
    <row r="146" spans="1:14" x14ac:dyDescent="0.2">
      <c r="A146">
        <v>145</v>
      </c>
      <c r="B146">
        <v>1073</v>
      </c>
      <c r="C146">
        <f>1/COUNTIF(B:B,Table1[[#This Row],[order_id]])</f>
        <v>0.33333333333333331</v>
      </c>
      <c r="D146" t="str">
        <f>TEXT(Table1[[#This Row],[order_date]],"mmmm")</f>
        <v>January</v>
      </c>
      <c r="E146" s="1">
        <v>45304</v>
      </c>
      <c r="F146" s="1" t="str">
        <f>TEXT(Table1[[#This Row],[order_date]],"dddd")</f>
        <v>Saturday</v>
      </c>
      <c r="G146">
        <f>HOUR(Table1[[#This Row],[order_time]])</f>
        <v>9</v>
      </c>
      <c r="H146" s="2">
        <v>0.40894675925925927</v>
      </c>
      <c r="I146" t="s">
        <v>11</v>
      </c>
      <c r="J146" t="s">
        <v>25</v>
      </c>
      <c r="K146">
        <v>5</v>
      </c>
      <c r="L146">
        <v>1000</v>
      </c>
      <c r="M146">
        <v>5000</v>
      </c>
      <c r="N146">
        <f>IF(COUNTIFS($B$2:B146,B146)=1,1,0)</f>
        <v>0</v>
      </c>
    </row>
    <row r="147" spans="1:14" x14ac:dyDescent="0.2">
      <c r="A147">
        <v>146</v>
      </c>
      <c r="B147">
        <v>1073</v>
      </c>
      <c r="C147">
        <f>1/COUNTIF(B:B,Table1[[#This Row],[order_id]])</f>
        <v>0.33333333333333331</v>
      </c>
      <c r="D147" t="str">
        <f>TEXT(Table1[[#This Row],[order_date]],"mmmm")</f>
        <v>January</v>
      </c>
      <c r="E147" s="1">
        <v>45304</v>
      </c>
      <c r="F147" s="1" t="str">
        <f>TEXT(Table1[[#This Row],[order_date]],"dddd")</f>
        <v>Saturday</v>
      </c>
      <c r="G147">
        <f>HOUR(Table1[[#This Row],[order_time]])</f>
        <v>13</v>
      </c>
      <c r="H147" s="2">
        <v>0.56270833333333337</v>
      </c>
      <c r="I147" t="s">
        <v>11</v>
      </c>
      <c r="J147" t="s">
        <v>25</v>
      </c>
      <c r="K147">
        <v>3</v>
      </c>
      <c r="L147">
        <v>1000</v>
      </c>
      <c r="M147">
        <v>3000</v>
      </c>
      <c r="N147">
        <f>IF(COUNTIFS($B$2:B147,B147)=1,1,0)</f>
        <v>0</v>
      </c>
    </row>
    <row r="148" spans="1:14" x14ac:dyDescent="0.2">
      <c r="A148">
        <v>147</v>
      </c>
      <c r="B148">
        <v>1074</v>
      </c>
      <c r="C148">
        <f>1/COUNTIF(B:B,Table1[[#This Row],[order_id]])</f>
        <v>1</v>
      </c>
      <c r="D148" t="str">
        <f>TEXT(Table1[[#This Row],[order_date]],"mmmm")</f>
        <v>January</v>
      </c>
      <c r="E148" s="1">
        <v>45304</v>
      </c>
      <c r="F148" s="1" t="str">
        <f>TEXT(Table1[[#This Row],[order_date]],"dddd")</f>
        <v>Saturday</v>
      </c>
      <c r="G148">
        <f>HOUR(Table1[[#This Row],[order_time]])</f>
        <v>17</v>
      </c>
      <c r="H148" s="2">
        <v>0.73387731481481477</v>
      </c>
      <c r="I148" t="s">
        <v>9</v>
      </c>
      <c r="J148" t="s">
        <v>29</v>
      </c>
      <c r="K148">
        <v>2</v>
      </c>
      <c r="L148">
        <v>5</v>
      </c>
      <c r="M148">
        <v>10</v>
      </c>
      <c r="N148">
        <f>IF(COUNTIFS($B$2:B148,B148)=1,1,0)</f>
        <v>1</v>
      </c>
    </row>
    <row r="149" spans="1:14" x14ac:dyDescent="0.2">
      <c r="A149">
        <v>148</v>
      </c>
      <c r="B149">
        <v>1075</v>
      </c>
      <c r="C149">
        <f>1/COUNTIF(B:B,Table1[[#This Row],[order_id]])</f>
        <v>1</v>
      </c>
      <c r="D149" t="str">
        <f>TEXT(Table1[[#This Row],[order_date]],"mmmm")</f>
        <v>January</v>
      </c>
      <c r="E149" s="1">
        <v>45304</v>
      </c>
      <c r="F149" s="1" t="str">
        <f>TEXT(Table1[[#This Row],[order_date]],"dddd")</f>
        <v>Saturday</v>
      </c>
      <c r="G149">
        <f>HOUR(Table1[[#This Row],[order_time]])</f>
        <v>19</v>
      </c>
      <c r="H149" s="2">
        <v>0.81174768518518514</v>
      </c>
      <c r="I149" t="s">
        <v>18</v>
      </c>
      <c r="J149" t="s">
        <v>30</v>
      </c>
      <c r="K149">
        <v>2</v>
      </c>
      <c r="L149">
        <v>60</v>
      </c>
      <c r="M149">
        <v>120</v>
      </c>
      <c r="N149">
        <f>IF(COUNTIFS($B$2:B149,B149)=1,1,0)</f>
        <v>1</v>
      </c>
    </row>
    <row r="150" spans="1:14" x14ac:dyDescent="0.2">
      <c r="A150">
        <v>149</v>
      </c>
      <c r="B150">
        <v>1076</v>
      </c>
      <c r="C150">
        <f>1/COUNTIF(B:B,Table1[[#This Row],[order_id]])</f>
        <v>0.5</v>
      </c>
      <c r="D150" t="str">
        <f>TEXT(Table1[[#This Row],[order_date]],"mmmm")</f>
        <v>January</v>
      </c>
      <c r="E150" s="1">
        <v>45305</v>
      </c>
      <c r="F150" s="1" t="str">
        <f>TEXT(Table1[[#This Row],[order_date]],"dddd")</f>
        <v>Sunday</v>
      </c>
      <c r="G150">
        <f>HOUR(Table1[[#This Row],[order_time]])</f>
        <v>19</v>
      </c>
      <c r="H150" s="2">
        <v>0.81437499999999996</v>
      </c>
      <c r="I150" t="s">
        <v>18</v>
      </c>
      <c r="J150" t="s">
        <v>30</v>
      </c>
      <c r="K150">
        <v>2</v>
      </c>
      <c r="L150">
        <v>60</v>
      </c>
      <c r="M150">
        <v>120</v>
      </c>
      <c r="N150">
        <f>IF(COUNTIFS($B$2:B150,B150)=1,1,0)</f>
        <v>1</v>
      </c>
    </row>
    <row r="151" spans="1:14" x14ac:dyDescent="0.2">
      <c r="A151">
        <v>150</v>
      </c>
      <c r="B151">
        <v>1076</v>
      </c>
      <c r="C151">
        <f>1/COUNTIF(B:B,Table1[[#This Row],[order_id]])</f>
        <v>0.5</v>
      </c>
      <c r="D151" t="str">
        <f>TEXT(Table1[[#This Row],[order_date]],"mmmm")</f>
        <v>January</v>
      </c>
      <c r="E151" s="1">
        <v>45305</v>
      </c>
      <c r="F151" s="1" t="str">
        <f>TEXT(Table1[[#This Row],[order_date]],"dddd")</f>
        <v>Sunday</v>
      </c>
      <c r="G151">
        <f>HOUR(Table1[[#This Row],[order_time]])</f>
        <v>20</v>
      </c>
      <c r="H151" s="2">
        <v>0.85410879629629632</v>
      </c>
      <c r="I151" t="s">
        <v>9</v>
      </c>
      <c r="J151" t="s">
        <v>29</v>
      </c>
      <c r="K151">
        <v>2</v>
      </c>
      <c r="L151">
        <v>5</v>
      </c>
      <c r="M151">
        <v>10</v>
      </c>
      <c r="N151">
        <f>IF(COUNTIFS($B$2:B151,B151)=1,1,0)</f>
        <v>0</v>
      </c>
    </row>
    <row r="152" spans="1:14" x14ac:dyDescent="0.2">
      <c r="A152">
        <v>151</v>
      </c>
      <c r="B152">
        <v>1077</v>
      </c>
      <c r="C152">
        <f>1/COUNTIF(B:B,Table1[[#This Row],[order_id]])</f>
        <v>1</v>
      </c>
      <c r="D152" t="str">
        <f>TEXT(Table1[[#This Row],[order_date]],"mmmm")</f>
        <v>January</v>
      </c>
      <c r="E152" s="1">
        <v>45305</v>
      </c>
      <c r="F152" s="1" t="str">
        <f>TEXT(Table1[[#This Row],[order_date]],"dddd")</f>
        <v>Sunday</v>
      </c>
      <c r="G152">
        <f>HOUR(Table1[[#This Row],[order_time]])</f>
        <v>17</v>
      </c>
      <c r="H152" s="2">
        <v>0.73327546296296298</v>
      </c>
      <c r="I152" t="s">
        <v>11</v>
      </c>
      <c r="J152" t="s">
        <v>25</v>
      </c>
      <c r="K152">
        <v>2</v>
      </c>
      <c r="L152">
        <v>1000</v>
      </c>
      <c r="M152">
        <v>2000</v>
      </c>
      <c r="N152">
        <f>IF(COUNTIFS($B$2:B152,B152)=1,1,0)</f>
        <v>1</v>
      </c>
    </row>
    <row r="153" spans="1:14" x14ac:dyDescent="0.2">
      <c r="A153">
        <v>152</v>
      </c>
      <c r="B153">
        <v>1078</v>
      </c>
      <c r="C153">
        <f>1/COUNTIF(B:B,Table1[[#This Row],[order_id]])</f>
        <v>0.5</v>
      </c>
      <c r="D153" t="str">
        <f>TEXT(Table1[[#This Row],[order_date]],"mmmm")</f>
        <v>January</v>
      </c>
      <c r="E153" s="1">
        <v>45305</v>
      </c>
      <c r="F153" s="1" t="str">
        <f>TEXT(Table1[[#This Row],[order_date]],"dddd")</f>
        <v>Sunday</v>
      </c>
      <c r="G153">
        <f>HOUR(Table1[[#This Row],[order_time]])</f>
        <v>18</v>
      </c>
      <c r="H153" s="2">
        <v>0.78432870370370367</v>
      </c>
      <c r="I153" t="s">
        <v>9</v>
      </c>
      <c r="J153" t="s">
        <v>21</v>
      </c>
      <c r="K153">
        <v>4</v>
      </c>
      <c r="L153">
        <v>10</v>
      </c>
      <c r="M153">
        <v>40</v>
      </c>
      <c r="N153">
        <f>IF(COUNTIFS($B$2:B153,B153)=1,1,0)</f>
        <v>1</v>
      </c>
    </row>
    <row r="154" spans="1:14" x14ac:dyDescent="0.2">
      <c r="A154">
        <v>153</v>
      </c>
      <c r="B154">
        <v>1078</v>
      </c>
      <c r="C154">
        <f>1/COUNTIF(B:B,Table1[[#This Row],[order_id]])</f>
        <v>0.5</v>
      </c>
      <c r="D154" t="str">
        <f>TEXT(Table1[[#This Row],[order_date]],"mmmm")</f>
        <v>January</v>
      </c>
      <c r="E154" s="1">
        <v>45305</v>
      </c>
      <c r="F154" s="1" t="str">
        <f>TEXT(Table1[[#This Row],[order_date]],"dddd")</f>
        <v>Sunday</v>
      </c>
      <c r="G154">
        <f>HOUR(Table1[[#This Row],[order_time]])</f>
        <v>17</v>
      </c>
      <c r="H154" s="2">
        <v>0.73884259259259255</v>
      </c>
      <c r="I154" t="s">
        <v>11</v>
      </c>
      <c r="J154" t="s">
        <v>13</v>
      </c>
      <c r="K154">
        <v>2</v>
      </c>
      <c r="L154">
        <v>680</v>
      </c>
      <c r="M154">
        <v>1360</v>
      </c>
      <c r="N154">
        <f>IF(COUNTIFS($B$2:B154,B154)=1,1,0)</f>
        <v>0</v>
      </c>
    </row>
    <row r="155" spans="1:14" x14ac:dyDescent="0.2">
      <c r="A155">
        <v>154</v>
      </c>
      <c r="B155">
        <v>1079</v>
      </c>
      <c r="C155">
        <f>1/COUNTIF(B:B,Table1[[#This Row],[order_id]])</f>
        <v>0.5</v>
      </c>
      <c r="D155" t="str">
        <f>TEXT(Table1[[#This Row],[order_date]],"mmmm")</f>
        <v>January</v>
      </c>
      <c r="E155" s="1">
        <v>45305</v>
      </c>
      <c r="F155" s="1" t="str">
        <f>TEXT(Table1[[#This Row],[order_date]],"dddd")</f>
        <v>Sunday</v>
      </c>
      <c r="G155">
        <f>HOUR(Table1[[#This Row],[order_time]])</f>
        <v>10</v>
      </c>
      <c r="H155" s="2">
        <v>0.42498842592592595</v>
      </c>
      <c r="I155" t="s">
        <v>18</v>
      </c>
      <c r="J155" t="s">
        <v>27</v>
      </c>
      <c r="K155">
        <v>3</v>
      </c>
      <c r="L155">
        <v>40</v>
      </c>
      <c r="M155">
        <v>120</v>
      </c>
      <c r="N155">
        <f>IF(COUNTIFS($B$2:B155,B155)=1,1,0)</f>
        <v>1</v>
      </c>
    </row>
    <row r="156" spans="1:14" x14ac:dyDescent="0.2">
      <c r="A156">
        <v>155</v>
      </c>
      <c r="B156">
        <v>1079</v>
      </c>
      <c r="C156">
        <f>1/COUNTIF(B:B,Table1[[#This Row],[order_id]])</f>
        <v>0.5</v>
      </c>
      <c r="D156" t="str">
        <f>TEXT(Table1[[#This Row],[order_date]],"mmmm")</f>
        <v>January</v>
      </c>
      <c r="E156" s="1">
        <v>45305</v>
      </c>
      <c r="F156" s="1" t="str">
        <f>TEXT(Table1[[#This Row],[order_date]],"dddd")</f>
        <v>Sunday</v>
      </c>
      <c r="G156">
        <f>HOUR(Table1[[#This Row],[order_time]])</f>
        <v>11</v>
      </c>
      <c r="H156" s="2">
        <v>0.46240740740740743</v>
      </c>
      <c r="I156" t="s">
        <v>18</v>
      </c>
      <c r="J156" t="s">
        <v>26</v>
      </c>
      <c r="K156">
        <v>4</v>
      </c>
      <c r="L156">
        <v>55</v>
      </c>
      <c r="M156">
        <v>220</v>
      </c>
      <c r="N156">
        <f>IF(COUNTIFS($B$2:B156,B156)=1,1,0)</f>
        <v>0</v>
      </c>
    </row>
    <row r="157" spans="1:14" x14ac:dyDescent="0.2">
      <c r="A157">
        <v>156</v>
      </c>
      <c r="B157">
        <v>1080</v>
      </c>
      <c r="C157">
        <f>1/COUNTIF(B:B,Table1[[#This Row],[order_id]])</f>
        <v>0.33333333333333331</v>
      </c>
      <c r="D157" t="str">
        <f>TEXT(Table1[[#This Row],[order_date]],"mmmm")</f>
        <v>January</v>
      </c>
      <c r="E157" s="1">
        <v>45306</v>
      </c>
      <c r="F157" s="1" t="str">
        <f>TEXT(Table1[[#This Row],[order_date]],"dddd")</f>
        <v>Monday</v>
      </c>
      <c r="G157">
        <f>HOUR(Table1[[#This Row],[order_time]])</f>
        <v>9</v>
      </c>
      <c r="H157" s="2">
        <v>0.38331018518518517</v>
      </c>
      <c r="I157" t="s">
        <v>9</v>
      </c>
      <c r="J157" t="s">
        <v>10</v>
      </c>
      <c r="K157">
        <v>4</v>
      </c>
      <c r="L157">
        <v>20</v>
      </c>
      <c r="M157">
        <v>80</v>
      </c>
      <c r="N157">
        <f>IF(COUNTIFS($B$2:B157,B157)=1,1,0)</f>
        <v>1</v>
      </c>
    </row>
    <row r="158" spans="1:14" x14ac:dyDescent="0.2">
      <c r="A158">
        <v>157</v>
      </c>
      <c r="B158">
        <v>1080</v>
      </c>
      <c r="C158">
        <f>1/COUNTIF(B:B,Table1[[#This Row],[order_id]])</f>
        <v>0.33333333333333331</v>
      </c>
      <c r="D158" t="str">
        <f>TEXT(Table1[[#This Row],[order_date]],"mmmm")</f>
        <v>January</v>
      </c>
      <c r="E158" s="1">
        <v>45306</v>
      </c>
      <c r="F158" s="1" t="str">
        <f>TEXT(Table1[[#This Row],[order_date]],"dddd")</f>
        <v>Monday</v>
      </c>
      <c r="G158">
        <f>HOUR(Table1[[#This Row],[order_time]])</f>
        <v>16</v>
      </c>
      <c r="H158" s="2">
        <v>0.69516203703703705</v>
      </c>
      <c r="I158" t="s">
        <v>18</v>
      </c>
      <c r="J158" t="s">
        <v>19</v>
      </c>
      <c r="K158">
        <v>3</v>
      </c>
      <c r="L158">
        <v>50</v>
      </c>
      <c r="M158">
        <v>150</v>
      </c>
      <c r="N158">
        <f>IF(COUNTIFS($B$2:B158,B158)=1,1,0)</f>
        <v>0</v>
      </c>
    </row>
    <row r="159" spans="1:14" x14ac:dyDescent="0.2">
      <c r="A159">
        <v>158</v>
      </c>
      <c r="B159">
        <v>1080</v>
      </c>
      <c r="C159">
        <f>1/COUNTIF(B:B,Table1[[#This Row],[order_id]])</f>
        <v>0.33333333333333331</v>
      </c>
      <c r="D159" t="str">
        <f>TEXT(Table1[[#This Row],[order_date]],"mmmm")</f>
        <v>January</v>
      </c>
      <c r="E159" s="1">
        <v>45306</v>
      </c>
      <c r="F159" s="1" t="str">
        <f>TEXT(Table1[[#This Row],[order_date]],"dddd")</f>
        <v>Monday</v>
      </c>
      <c r="G159">
        <f>HOUR(Table1[[#This Row],[order_time]])</f>
        <v>12</v>
      </c>
      <c r="H159" s="2">
        <v>0.5353472222222222</v>
      </c>
      <c r="I159" t="s">
        <v>18</v>
      </c>
      <c r="J159" t="s">
        <v>19</v>
      </c>
      <c r="K159">
        <v>1</v>
      </c>
      <c r="L159">
        <v>50</v>
      </c>
      <c r="M159">
        <v>50</v>
      </c>
      <c r="N159">
        <f>IF(COUNTIFS($B$2:B159,B159)=1,1,0)</f>
        <v>0</v>
      </c>
    </row>
    <row r="160" spans="1:14" x14ac:dyDescent="0.2">
      <c r="A160">
        <v>159</v>
      </c>
      <c r="B160">
        <v>1081</v>
      </c>
      <c r="C160">
        <f>1/COUNTIF(B:B,Table1[[#This Row],[order_id]])</f>
        <v>0.33333333333333331</v>
      </c>
      <c r="D160" t="str">
        <f>TEXT(Table1[[#This Row],[order_date]],"mmmm")</f>
        <v>January</v>
      </c>
      <c r="E160" s="1">
        <v>45306</v>
      </c>
      <c r="F160" s="1" t="str">
        <f>TEXT(Table1[[#This Row],[order_date]],"dddd")</f>
        <v>Monday</v>
      </c>
      <c r="G160">
        <f>HOUR(Table1[[#This Row],[order_time]])</f>
        <v>9</v>
      </c>
      <c r="H160" s="2">
        <v>0.37736111111111109</v>
      </c>
      <c r="I160" t="s">
        <v>18</v>
      </c>
      <c r="J160" t="s">
        <v>27</v>
      </c>
      <c r="K160">
        <v>5</v>
      </c>
      <c r="L160">
        <v>40</v>
      </c>
      <c r="M160">
        <v>200</v>
      </c>
      <c r="N160">
        <f>IF(COUNTIFS($B$2:B160,B160)=1,1,0)</f>
        <v>1</v>
      </c>
    </row>
    <row r="161" spans="1:14" x14ac:dyDescent="0.2">
      <c r="A161">
        <v>160</v>
      </c>
      <c r="B161">
        <v>1081</v>
      </c>
      <c r="C161">
        <f>1/COUNTIF(B:B,Table1[[#This Row],[order_id]])</f>
        <v>0.33333333333333331</v>
      </c>
      <c r="D161" t="str">
        <f>TEXT(Table1[[#This Row],[order_date]],"mmmm")</f>
        <v>January</v>
      </c>
      <c r="E161" s="1">
        <v>45306</v>
      </c>
      <c r="F161" s="1" t="str">
        <f>TEXT(Table1[[#This Row],[order_date]],"dddd")</f>
        <v>Monday</v>
      </c>
      <c r="G161">
        <f>HOUR(Table1[[#This Row],[order_time]])</f>
        <v>19</v>
      </c>
      <c r="H161" s="2">
        <v>0.80991898148148145</v>
      </c>
      <c r="I161" t="s">
        <v>11</v>
      </c>
      <c r="J161" t="s">
        <v>15</v>
      </c>
      <c r="K161">
        <v>5</v>
      </c>
      <c r="L161">
        <v>600</v>
      </c>
      <c r="M161">
        <v>3000</v>
      </c>
      <c r="N161">
        <f>IF(COUNTIFS($B$2:B161,B161)=1,1,0)</f>
        <v>0</v>
      </c>
    </row>
    <row r="162" spans="1:14" x14ac:dyDescent="0.2">
      <c r="A162">
        <v>161</v>
      </c>
      <c r="B162">
        <v>1081</v>
      </c>
      <c r="C162">
        <f>1/COUNTIF(B:B,Table1[[#This Row],[order_id]])</f>
        <v>0.33333333333333331</v>
      </c>
      <c r="D162" t="str">
        <f>TEXT(Table1[[#This Row],[order_date]],"mmmm")</f>
        <v>January</v>
      </c>
      <c r="E162" s="1">
        <v>45306</v>
      </c>
      <c r="F162" s="1" t="str">
        <f>TEXT(Table1[[#This Row],[order_date]],"dddd")</f>
        <v>Monday</v>
      </c>
      <c r="G162">
        <f>HOUR(Table1[[#This Row],[order_time]])</f>
        <v>17</v>
      </c>
      <c r="H162" s="2">
        <v>0.74609953703703702</v>
      </c>
      <c r="I162" t="s">
        <v>18</v>
      </c>
      <c r="J162" t="s">
        <v>31</v>
      </c>
      <c r="K162">
        <v>2</v>
      </c>
      <c r="L162">
        <v>45</v>
      </c>
      <c r="M162">
        <v>90</v>
      </c>
      <c r="N162">
        <f>IF(COUNTIFS($B$2:B162,B162)=1,1,0)</f>
        <v>0</v>
      </c>
    </row>
    <row r="163" spans="1:14" x14ac:dyDescent="0.2">
      <c r="A163">
        <v>162</v>
      </c>
      <c r="B163">
        <v>1082</v>
      </c>
      <c r="C163">
        <f>1/COUNTIF(B:B,Table1[[#This Row],[order_id]])</f>
        <v>0.5</v>
      </c>
      <c r="D163" t="str">
        <f>TEXT(Table1[[#This Row],[order_date]],"mmmm")</f>
        <v>January</v>
      </c>
      <c r="E163" s="1">
        <v>45306</v>
      </c>
      <c r="F163" s="1" t="str">
        <f>TEXT(Table1[[#This Row],[order_date]],"dddd")</f>
        <v>Monday</v>
      </c>
      <c r="G163">
        <f>HOUR(Table1[[#This Row],[order_time]])</f>
        <v>19</v>
      </c>
      <c r="H163" s="2">
        <v>0.8175</v>
      </c>
      <c r="I163" t="s">
        <v>11</v>
      </c>
      <c r="J163" t="s">
        <v>15</v>
      </c>
      <c r="K163">
        <v>4</v>
      </c>
      <c r="L163">
        <v>600</v>
      </c>
      <c r="M163">
        <v>2400</v>
      </c>
      <c r="N163">
        <f>IF(COUNTIFS($B$2:B163,B163)=1,1,0)</f>
        <v>1</v>
      </c>
    </row>
    <row r="164" spans="1:14" x14ac:dyDescent="0.2">
      <c r="A164">
        <v>163</v>
      </c>
      <c r="B164">
        <v>1082</v>
      </c>
      <c r="C164">
        <f>1/COUNTIF(B:B,Table1[[#This Row],[order_id]])</f>
        <v>0.5</v>
      </c>
      <c r="D164" t="str">
        <f>TEXT(Table1[[#This Row],[order_date]],"mmmm")</f>
        <v>January</v>
      </c>
      <c r="E164" s="1">
        <v>45306</v>
      </c>
      <c r="F164" s="1" t="str">
        <f>TEXT(Table1[[#This Row],[order_date]],"dddd")</f>
        <v>Monday</v>
      </c>
      <c r="G164">
        <f>HOUR(Table1[[#This Row],[order_time]])</f>
        <v>20</v>
      </c>
      <c r="H164" s="2">
        <v>0.86511574074074071</v>
      </c>
      <c r="I164" t="s">
        <v>18</v>
      </c>
      <c r="J164" t="s">
        <v>26</v>
      </c>
      <c r="K164">
        <v>1</v>
      </c>
      <c r="L164">
        <v>55</v>
      </c>
      <c r="M164">
        <v>55</v>
      </c>
      <c r="N164">
        <f>IF(COUNTIFS($B$2:B164,B164)=1,1,0)</f>
        <v>0</v>
      </c>
    </row>
    <row r="165" spans="1:14" x14ac:dyDescent="0.2">
      <c r="A165">
        <v>164</v>
      </c>
      <c r="B165">
        <v>1083</v>
      </c>
      <c r="C165">
        <f>1/COUNTIF(B:B,Table1[[#This Row],[order_id]])</f>
        <v>0.33333333333333331</v>
      </c>
      <c r="D165" t="str">
        <f>TEXT(Table1[[#This Row],[order_date]],"mmmm")</f>
        <v>January</v>
      </c>
      <c r="E165" s="1">
        <v>45306</v>
      </c>
      <c r="F165" s="1" t="str">
        <f>TEXT(Table1[[#This Row],[order_date]],"dddd")</f>
        <v>Monday</v>
      </c>
      <c r="G165">
        <f>HOUR(Table1[[#This Row],[order_time]])</f>
        <v>13</v>
      </c>
      <c r="H165" s="2">
        <v>0.57210648148148147</v>
      </c>
      <c r="I165" t="s">
        <v>18</v>
      </c>
      <c r="J165" t="s">
        <v>19</v>
      </c>
      <c r="K165">
        <v>3</v>
      </c>
      <c r="L165">
        <v>50</v>
      </c>
      <c r="M165">
        <v>150</v>
      </c>
      <c r="N165">
        <f>IF(COUNTIFS($B$2:B165,B165)=1,1,0)</f>
        <v>1</v>
      </c>
    </row>
    <row r="166" spans="1:14" x14ac:dyDescent="0.2">
      <c r="A166">
        <v>165</v>
      </c>
      <c r="B166">
        <v>1083</v>
      </c>
      <c r="C166">
        <f>1/COUNTIF(B:B,Table1[[#This Row],[order_id]])</f>
        <v>0.33333333333333331</v>
      </c>
      <c r="D166" t="str">
        <f>TEXT(Table1[[#This Row],[order_date]],"mmmm")</f>
        <v>January</v>
      </c>
      <c r="E166" s="1">
        <v>45306</v>
      </c>
      <c r="F166" s="1" t="str">
        <f>TEXT(Table1[[#This Row],[order_date]],"dddd")</f>
        <v>Monday</v>
      </c>
      <c r="G166">
        <f>HOUR(Table1[[#This Row],[order_time]])</f>
        <v>19</v>
      </c>
      <c r="H166" s="2">
        <v>0.8089467592592593</v>
      </c>
      <c r="I166" t="s">
        <v>9</v>
      </c>
      <c r="J166" t="s">
        <v>22</v>
      </c>
      <c r="K166">
        <v>1</v>
      </c>
      <c r="L166">
        <v>15</v>
      </c>
      <c r="M166">
        <v>15</v>
      </c>
      <c r="N166">
        <f>IF(COUNTIFS($B$2:B166,B166)=1,1,0)</f>
        <v>0</v>
      </c>
    </row>
    <row r="167" spans="1:14" x14ac:dyDescent="0.2">
      <c r="A167">
        <v>166</v>
      </c>
      <c r="B167">
        <v>1083</v>
      </c>
      <c r="C167">
        <f>1/COUNTIF(B:B,Table1[[#This Row],[order_id]])</f>
        <v>0.33333333333333331</v>
      </c>
      <c r="D167" t="str">
        <f>TEXT(Table1[[#This Row],[order_date]],"mmmm")</f>
        <v>January</v>
      </c>
      <c r="E167" s="1">
        <v>45306</v>
      </c>
      <c r="F167" s="1" t="str">
        <f>TEXT(Table1[[#This Row],[order_date]],"dddd")</f>
        <v>Monday</v>
      </c>
      <c r="G167">
        <f>HOUR(Table1[[#This Row],[order_time]])</f>
        <v>14</v>
      </c>
      <c r="H167" s="2">
        <v>0.59770833333333329</v>
      </c>
      <c r="I167" t="s">
        <v>9</v>
      </c>
      <c r="J167" t="s">
        <v>29</v>
      </c>
      <c r="K167">
        <v>5</v>
      </c>
      <c r="L167">
        <v>5</v>
      </c>
      <c r="M167">
        <v>25</v>
      </c>
      <c r="N167">
        <f>IF(COUNTIFS($B$2:B167,B167)=1,1,0)</f>
        <v>0</v>
      </c>
    </row>
    <row r="168" spans="1:14" x14ac:dyDescent="0.2">
      <c r="A168">
        <v>167</v>
      </c>
      <c r="B168">
        <v>1084</v>
      </c>
      <c r="C168">
        <f>1/COUNTIF(B:B,Table1[[#This Row],[order_id]])</f>
        <v>0.5</v>
      </c>
      <c r="D168" t="str">
        <f>TEXT(Table1[[#This Row],[order_date]],"mmmm")</f>
        <v>January</v>
      </c>
      <c r="E168" s="1">
        <v>45306</v>
      </c>
      <c r="F168" s="1" t="str">
        <f>TEXT(Table1[[#This Row],[order_date]],"dddd")</f>
        <v>Monday</v>
      </c>
      <c r="G168">
        <f>HOUR(Table1[[#This Row],[order_time]])</f>
        <v>18</v>
      </c>
      <c r="H168" s="2">
        <v>0.75863425925925931</v>
      </c>
      <c r="I168" t="s">
        <v>9</v>
      </c>
      <c r="J168" t="s">
        <v>10</v>
      </c>
      <c r="K168">
        <v>1</v>
      </c>
      <c r="L168">
        <v>20</v>
      </c>
      <c r="M168">
        <v>20</v>
      </c>
      <c r="N168">
        <f>IF(COUNTIFS($B$2:B168,B168)=1,1,0)</f>
        <v>1</v>
      </c>
    </row>
    <row r="169" spans="1:14" x14ac:dyDescent="0.2">
      <c r="A169">
        <v>168</v>
      </c>
      <c r="B169">
        <v>1084</v>
      </c>
      <c r="C169">
        <f>1/COUNTIF(B:B,Table1[[#This Row],[order_id]])</f>
        <v>0.5</v>
      </c>
      <c r="D169" t="str">
        <f>TEXT(Table1[[#This Row],[order_date]],"mmmm")</f>
        <v>January</v>
      </c>
      <c r="E169" s="1">
        <v>45306</v>
      </c>
      <c r="F169" s="1" t="str">
        <f>TEXT(Table1[[#This Row],[order_date]],"dddd")</f>
        <v>Monday</v>
      </c>
      <c r="G169">
        <f>HOUR(Table1[[#This Row],[order_time]])</f>
        <v>13</v>
      </c>
      <c r="H169" s="2">
        <v>0.54609953703703706</v>
      </c>
      <c r="I169" t="s">
        <v>11</v>
      </c>
      <c r="J169" t="s">
        <v>15</v>
      </c>
      <c r="K169">
        <v>4</v>
      </c>
      <c r="L169">
        <v>600</v>
      </c>
      <c r="M169">
        <v>2400</v>
      </c>
      <c r="N169">
        <f>IF(COUNTIFS($B$2:B169,B169)=1,1,0)</f>
        <v>0</v>
      </c>
    </row>
    <row r="170" spans="1:14" x14ac:dyDescent="0.2">
      <c r="A170">
        <v>169</v>
      </c>
      <c r="B170">
        <v>1085</v>
      </c>
      <c r="C170">
        <f>1/COUNTIF(B:B,Table1[[#This Row],[order_id]])</f>
        <v>1</v>
      </c>
      <c r="D170" t="str">
        <f>TEXT(Table1[[#This Row],[order_date]],"mmmm")</f>
        <v>January</v>
      </c>
      <c r="E170" s="1">
        <v>45306</v>
      </c>
      <c r="F170" s="1" t="str">
        <f>TEXT(Table1[[#This Row],[order_date]],"dddd")</f>
        <v>Monday</v>
      </c>
      <c r="G170">
        <f>HOUR(Table1[[#This Row],[order_time]])</f>
        <v>11</v>
      </c>
      <c r="H170" s="2">
        <v>0.4654861111111111</v>
      </c>
      <c r="I170" t="s">
        <v>9</v>
      </c>
      <c r="J170" t="s">
        <v>21</v>
      </c>
      <c r="K170">
        <v>2</v>
      </c>
      <c r="L170">
        <v>10</v>
      </c>
      <c r="M170">
        <v>20</v>
      </c>
      <c r="N170">
        <f>IF(COUNTIFS($B$2:B170,B170)=1,1,0)</f>
        <v>1</v>
      </c>
    </row>
    <row r="171" spans="1:14" x14ac:dyDescent="0.2">
      <c r="A171">
        <v>170</v>
      </c>
      <c r="B171">
        <v>1086</v>
      </c>
      <c r="C171">
        <f>1/COUNTIF(B:B,Table1[[#This Row],[order_id]])</f>
        <v>1</v>
      </c>
      <c r="D171" t="str">
        <f>TEXT(Table1[[#This Row],[order_date]],"mmmm")</f>
        <v>January</v>
      </c>
      <c r="E171" s="1">
        <v>45306</v>
      </c>
      <c r="F171" s="1" t="str">
        <f>TEXT(Table1[[#This Row],[order_date]],"dddd")</f>
        <v>Monday</v>
      </c>
      <c r="G171">
        <f>HOUR(Table1[[#This Row],[order_time]])</f>
        <v>14</v>
      </c>
      <c r="H171" s="2">
        <v>0.58546296296296296</v>
      </c>
      <c r="I171" t="s">
        <v>18</v>
      </c>
      <c r="J171" t="s">
        <v>19</v>
      </c>
      <c r="K171">
        <v>5</v>
      </c>
      <c r="L171">
        <v>50</v>
      </c>
      <c r="M171">
        <v>250</v>
      </c>
      <c r="N171">
        <f>IF(COUNTIFS($B$2:B171,B171)=1,1,0)</f>
        <v>1</v>
      </c>
    </row>
    <row r="172" spans="1:14" x14ac:dyDescent="0.2">
      <c r="A172">
        <v>171</v>
      </c>
      <c r="B172">
        <v>1087</v>
      </c>
      <c r="C172">
        <f>1/COUNTIF(B:B,Table1[[#This Row],[order_id]])</f>
        <v>1</v>
      </c>
      <c r="D172" t="str">
        <f>TEXT(Table1[[#This Row],[order_date]],"mmmm")</f>
        <v>January</v>
      </c>
      <c r="E172" s="1">
        <v>45306</v>
      </c>
      <c r="F172" s="1" t="str">
        <f>TEXT(Table1[[#This Row],[order_date]],"dddd")</f>
        <v>Monday</v>
      </c>
      <c r="G172">
        <f>HOUR(Table1[[#This Row],[order_time]])</f>
        <v>12</v>
      </c>
      <c r="H172" s="2">
        <v>0.53943287037037035</v>
      </c>
      <c r="I172" t="s">
        <v>18</v>
      </c>
      <c r="J172" t="s">
        <v>19</v>
      </c>
      <c r="K172">
        <v>2</v>
      </c>
      <c r="L172">
        <v>50</v>
      </c>
      <c r="M172">
        <v>100</v>
      </c>
      <c r="N172">
        <f>IF(COUNTIFS($B$2:B172,B172)=1,1,0)</f>
        <v>1</v>
      </c>
    </row>
    <row r="173" spans="1:14" x14ac:dyDescent="0.2">
      <c r="A173">
        <v>172</v>
      </c>
      <c r="B173">
        <v>1088</v>
      </c>
      <c r="C173">
        <f>1/COUNTIF(B:B,Table1[[#This Row],[order_id]])</f>
        <v>0.33333333333333331</v>
      </c>
      <c r="D173" t="str">
        <f>TEXT(Table1[[#This Row],[order_date]],"mmmm")</f>
        <v>January</v>
      </c>
      <c r="E173" s="1">
        <v>45307</v>
      </c>
      <c r="F173" s="1" t="str">
        <f>TEXT(Table1[[#This Row],[order_date]],"dddd")</f>
        <v>Tuesday</v>
      </c>
      <c r="G173">
        <f>HOUR(Table1[[#This Row],[order_time]])</f>
        <v>18</v>
      </c>
      <c r="H173" s="2">
        <v>0.77827546296296302</v>
      </c>
      <c r="I173" t="s">
        <v>9</v>
      </c>
      <c r="J173" t="s">
        <v>22</v>
      </c>
      <c r="K173">
        <v>5</v>
      </c>
      <c r="L173">
        <v>15</v>
      </c>
      <c r="M173">
        <v>75</v>
      </c>
      <c r="N173">
        <f>IF(COUNTIFS($B$2:B173,B173)=1,1,0)</f>
        <v>1</v>
      </c>
    </row>
    <row r="174" spans="1:14" x14ac:dyDescent="0.2">
      <c r="A174">
        <v>173</v>
      </c>
      <c r="B174">
        <v>1088</v>
      </c>
      <c r="C174">
        <f>1/COUNTIF(B:B,Table1[[#This Row],[order_id]])</f>
        <v>0.33333333333333331</v>
      </c>
      <c r="D174" t="str">
        <f>TEXT(Table1[[#This Row],[order_date]],"mmmm")</f>
        <v>January</v>
      </c>
      <c r="E174" s="1">
        <v>45307</v>
      </c>
      <c r="F174" s="1" t="str">
        <f>TEXT(Table1[[#This Row],[order_date]],"dddd")</f>
        <v>Tuesday</v>
      </c>
      <c r="G174">
        <f>HOUR(Table1[[#This Row],[order_time]])</f>
        <v>17</v>
      </c>
      <c r="H174" s="2">
        <v>0.74799768518518517</v>
      </c>
      <c r="I174" t="s">
        <v>18</v>
      </c>
      <c r="J174" t="s">
        <v>31</v>
      </c>
      <c r="K174">
        <v>3</v>
      </c>
      <c r="L174">
        <v>45</v>
      </c>
      <c r="M174">
        <v>135</v>
      </c>
      <c r="N174">
        <f>IF(COUNTIFS($B$2:B174,B174)=1,1,0)</f>
        <v>0</v>
      </c>
    </row>
    <row r="175" spans="1:14" x14ac:dyDescent="0.2">
      <c r="A175">
        <v>174</v>
      </c>
      <c r="B175">
        <v>1088</v>
      </c>
      <c r="C175">
        <f>1/COUNTIF(B:B,Table1[[#This Row],[order_id]])</f>
        <v>0.33333333333333331</v>
      </c>
      <c r="D175" t="str">
        <f>TEXT(Table1[[#This Row],[order_date]],"mmmm")</f>
        <v>January</v>
      </c>
      <c r="E175" s="1">
        <v>45307</v>
      </c>
      <c r="F175" s="1" t="str">
        <f>TEXT(Table1[[#This Row],[order_date]],"dddd")</f>
        <v>Tuesday</v>
      </c>
      <c r="G175">
        <f>HOUR(Table1[[#This Row],[order_time]])</f>
        <v>12</v>
      </c>
      <c r="H175" s="2">
        <v>0.51391203703703703</v>
      </c>
      <c r="I175" t="s">
        <v>11</v>
      </c>
      <c r="J175" t="s">
        <v>12</v>
      </c>
      <c r="K175">
        <v>4</v>
      </c>
      <c r="L175">
        <v>650</v>
      </c>
      <c r="M175">
        <v>2600</v>
      </c>
      <c r="N175">
        <f>IF(COUNTIFS($B$2:B175,B175)=1,1,0)</f>
        <v>0</v>
      </c>
    </row>
    <row r="176" spans="1:14" x14ac:dyDescent="0.2">
      <c r="A176">
        <v>175</v>
      </c>
      <c r="B176">
        <v>1089</v>
      </c>
      <c r="C176">
        <f>1/COUNTIF(B:B,Table1[[#This Row],[order_id]])</f>
        <v>1</v>
      </c>
      <c r="D176" t="str">
        <f>TEXT(Table1[[#This Row],[order_date]],"mmmm")</f>
        <v>January</v>
      </c>
      <c r="E176" s="1">
        <v>45307</v>
      </c>
      <c r="F176" s="1" t="str">
        <f>TEXT(Table1[[#This Row],[order_date]],"dddd")</f>
        <v>Tuesday</v>
      </c>
      <c r="G176">
        <f>HOUR(Table1[[#This Row],[order_time]])</f>
        <v>18</v>
      </c>
      <c r="H176" s="2">
        <v>0.75376157407407407</v>
      </c>
      <c r="I176" t="s">
        <v>18</v>
      </c>
      <c r="J176" t="s">
        <v>26</v>
      </c>
      <c r="K176">
        <v>3</v>
      </c>
      <c r="L176">
        <v>55</v>
      </c>
      <c r="M176">
        <v>165</v>
      </c>
      <c r="N176">
        <f>IF(COUNTIFS($B$2:B176,B176)=1,1,0)</f>
        <v>1</v>
      </c>
    </row>
    <row r="177" spans="1:14" x14ac:dyDescent="0.2">
      <c r="A177">
        <v>176</v>
      </c>
      <c r="B177">
        <v>1090</v>
      </c>
      <c r="C177">
        <f>1/COUNTIF(B:B,Table1[[#This Row],[order_id]])</f>
        <v>1</v>
      </c>
      <c r="D177" t="str">
        <f>TEXT(Table1[[#This Row],[order_date]],"mmmm")</f>
        <v>January</v>
      </c>
      <c r="E177" s="1">
        <v>45307</v>
      </c>
      <c r="F177" s="1" t="str">
        <f>TEXT(Table1[[#This Row],[order_date]],"dddd")</f>
        <v>Tuesday</v>
      </c>
      <c r="G177">
        <f>HOUR(Table1[[#This Row],[order_time]])</f>
        <v>18</v>
      </c>
      <c r="H177" s="2">
        <v>0.76474537037037038</v>
      </c>
      <c r="I177" t="s">
        <v>9</v>
      </c>
      <c r="J177" t="s">
        <v>29</v>
      </c>
      <c r="K177">
        <v>5</v>
      </c>
      <c r="L177">
        <v>5</v>
      </c>
      <c r="M177">
        <v>25</v>
      </c>
      <c r="N177">
        <f>IF(COUNTIFS($B$2:B177,B177)=1,1,0)</f>
        <v>1</v>
      </c>
    </row>
    <row r="178" spans="1:14" x14ac:dyDescent="0.2">
      <c r="A178">
        <v>177</v>
      </c>
      <c r="B178">
        <v>1091</v>
      </c>
      <c r="C178">
        <f>1/COUNTIF(B:B,Table1[[#This Row],[order_id]])</f>
        <v>0.33333333333333331</v>
      </c>
      <c r="D178" t="str">
        <f>TEXT(Table1[[#This Row],[order_date]],"mmmm")</f>
        <v>January</v>
      </c>
      <c r="E178" s="1">
        <v>45307</v>
      </c>
      <c r="F178" s="1" t="str">
        <f>TEXT(Table1[[#This Row],[order_date]],"dddd")</f>
        <v>Tuesday</v>
      </c>
      <c r="G178">
        <f>HOUR(Table1[[#This Row],[order_time]])</f>
        <v>14</v>
      </c>
      <c r="H178" s="2">
        <v>0.61076388888888888</v>
      </c>
      <c r="I178" t="s">
        <v>18</v>
      </c>
      <c r="J178" t="s">
        <v>26</v>
      </c>
      <c r="K178">
        <v>1</v>
      </c>
      <c r="L178">
        <v>55</v>
      </c>
      <c r="M178">
        <v>55</v>
      </c>
      <c r="N178">
        <f>IF(COUNTIFS($B$2:B178,B178)=1,1,0)</f>
        <v>1</v>
      </c>
    </row>
    <row r="179" spans="1:14" x14ac:dyDescent="0.2">
      <c r="A179">
        <v>178</v>
      </c>
      <c r="B179">
        <v>1091</v>
      </c>
      <c r="C179">
        <f>1/COUNTIF(B:B,Table1[[#This Row],[order_id]])</f>
        <v>0.33333333333333331</v>
      </c>
      <c r="D179" t="str">
        <f>TEXT(Table1[[#This Row],[order_date]],"mmmm")</f>
        <v>January</v>
      </c>
      <c r="E179" s="1">
        <v>45307</v>
      </c>
      <c r="F179" s="1" t="str">
        <f>TEXT(Table1[[#This Row],[order_date]],"dddd")</f>
        <v>Tuesday</v>
      </c>
      <c r="G179">
        <f>HOUR(Table1[[#This Row],[order_time]])</f>
        <v>10</v>
      </c>
      <c r="H179" s="2">
        <v>0.45229166666666665</v>
      </c>
      <c r="I179" t="s">
        <v>11</v>
      </c>
      <c r="J179" t="s">
        <v>12</v>
      </c>
      <c r="K179">
        <v>5</v>
      </c>
      <c r="L179">
        <v>650</v>
      </c>
      <c r="M179">
        <v>3250</v>
      </c>
      <c r="N179">
        <f>IF(COUNTIFS($B$2:B179,B179)=1,1,0)</f>
        <v>0</v>
      </c>
    </row>
    <row r="180" spans="1:14" x14ac:dyDescent="0.2">
      <c r="A180">
        <v>179</v>
      </c>
      <c r="B180">
        <v>1091</v>
      </c>
      <c r="C180">
        <f>1/COUNTIF(B:B,Table1[[#This Row],[order_id]])</f>
        <v>0.33333333333333331</v>
      </c>
      <c r="D180" t="str">
        <f>TEXT(Table1[[#This Row],[order_date]],"mmmm")</f>
        <v>January</v>
      </c>
      <c r="E180" s="1">
        <v>45307</v>
      </c>
      <c r="F180" s="1" t="str">
        <f>TEXT(Table1[[#This Row],[order_date]],"dddd")</f>
        <v>Tuesday</v>
      </c>
      <c r="G180">
        <f>HOUR(Table1[[#This Row],[order_time]])</f>
        <v>20</v>
      </c>
      <c r="H180" s="2">
        <v>0.86225694444444445</v>
      </c>
      <c r="I180" t="s">
        <v>18</v>
      </c>
      <c r="J180" t="s">
        <v>30</v>
      </c>
      <c r="K180">
        <v>1</v>
      </c>
      <c r="L180">
        <v>60</v>
      </c>
      <c r="M180">
        <v>60</v>
      </c>
      <c r="N180">
        <f>IF(COUNTIFS($B$2:B180,B180)=1,1,0)</f>
        <v>0</v>
      </c>
    </row>
    <row r="181" spans="1:14" x14ac:dyDescent="0.2">
      <c r="A181">
        <v>180</v>
      </c>
      <c r="B181">
        <v>1092</v>
      </c>
      <c r="C181">
        <f>1/COUNTIF(B:B,Table1[[#This Row],[order_id]])</f>
        <v>0.33333333333333331</v>
      </c>
      <c r="D181" t="str">
        <f>TEXT(Table1[[#This Row],[order_date]],"mmmm")</f>
        <v>January</v>
      </c>
      <c r="E181" s="1">
        <v>45307</v>
      </c>
      <c r="F181" s="1" t="str">
        <f>TEXT(Table1[[#This Row],[order_date]],"dddd")</f>
        <v>Tuesday</v>
      </c>
      <c r="G181">
        <f>HOUR(Table1[[#This Row],[order_time]])</f>
        <v>18</v>
      </c>
      <c r="H181" s="2">
        <v>0.77057870370370374</v>
      </c>
      <c r="I181" t="s">
        <v>11</v>
      </c>
      <c r="J181" t="s">
        <v>15</v>
      </c>
      <c r="K181">
        <v>5</v>
      </c>
      <c r="L181">
        <v>600</v>
      </c>
      <c r="M181">
        <v>3000</v>
      </c>
      <c r="N181">
        <f>IF(COUNTIFS($B$2:B181,B181)=1,1,0)</f>
        <v>1</v>
      </c>
    </row>
    <row r="182" spans="1:14" x14ac:dyDescent="0.2">
      <c r="A182">
        <v>181</v>
      </c>
      <c r="B182">
        <v>1092</v>
      </c>
      <c r="C182">
        <f>1/COUNTIF(B:B,Table1[[#This Row],[order_id]])</f>
        <v>0.33333333333333331</v>
      </c>
      <c r="D182" t="str">
        <f>TEXT(Table1[[#This Row],[order_date]],"mmmm")</f>
        <v>January</v>
      </c>
      <c r="E182" s="1">
        <v>45307</v>
      </c>
      <c r="F182" s="1" t="str">
        <f>TEXT(Table1[[#This Row],[order_date]],"dddd")</f>
        <v>Tuesday</v>
      </c>
      <c r="G182">
        <f>HOUR(Table1[[#This Row],[order_time]])</f>
        <v>12</v>
      </c>
      <c r="H182" s="2">
        <v>0.50118055555555552</v>
      </c>
      <c r="I182" t="s">
        <v>9</v>
      </c>
      <c r="J182" t="s">
        <v>20</v>
      </c>
      <c r="K182">
        <v>4</v>
      </c>
      <c r="L182">
        <v>25</v>
      </c>
      <c r="M182">
        <v>100</v>
      </c>
      <c r="N182">
        <f>IF(COUNTIFS($B$2:B182,B182)=1,1,0)</f>
        <v>0</v>
      </c>
    </row>
    <row r="183" spans="1:14" x14ac:dyDescent="0.2">
      <c r="A183">
        <v>182</v>
      </c>
      <c r="B183">
        <v>1092</v>
      </c>
      <c r="C183">
        <f>1/COUNTIF(B:B,Table1[[#This Row],[order_id]])</f>
        <v>0.33333333333333331</v>
      </c>
      <c r="D183" t="str">
        <f>TEXT(Table1[[#This Row],[order_date]],"mmmm")</f>
        <v>January</v>
      </c>
      <c r="E183" s="1">
        <v>45307</v>
      </c>
      <c r="F183" s="1" t="str">
        <f>TEXT(Table1[[#This Row],[order_date]],"dddd")</f>
        <v>Tuesday</v>
      </c>
      <c r="G183">
        <f>HOUR(Table1[[#This Row],[order_time]])</f>
        <v>10</v>
      </c>
      <c r="H183" s="2">
        <v>0.43214120370370368</v>
      </c>
      <c r="I183" t="s">
        <v>9</v>
      </c>
      <c r="J183" t="s">
        <v>21</v>
      </c>
      <c r="K183">
        <v>1</v>
      </c>
      <c r="L183">
        <v>10</v>
      </c>
      <c r="M183">
        <v>10</v>
      </c>
      <c r="N183">
        <f>IF(COUNTIFS($B$2:B183,B183)=1,1,0)</f>
        <v>0</v>
      </c>
    </row>
    <row r="184" spans="1:14" x14ac:dyDescent="0.2">
      <c r="A184">
        <v>183</v>
      </c>
      <c r="B184">
        <v>1093</v>
      </c>
      <c r="C184">
        <f>1/COUNTIF(B:B,Table1[[#This Row],[order_id]])</f>
        <v>0.33333333333333331</v>
      </c>
      <c r="D184" t="str">
        <f>TEXT(Table1[[#This Row],[order_date]],"mmmm")</f>
        <v>January</v>
      </c>
      <c r="E184" s="1">
        <v>45308</v>
      </c>
      <c r="F184" s="1" t="str">
        <f>TEXT(Table1[[#This Row],[order_date]],"dddd")</f>
        <v>Wednesday</v>
      </c>
      <c r="G184">
        <f>HOUR(Table1[[#This Row],[order_time]])</f>
        <v>9</v>
      </c>
      <c r="H184" s="2">
        <v>0.37895833333333334</v>
      </c>
      <c r="I184" t="s">
        <v>9</v>
      </c>
      <c r="J184" t="s">
        <v>20</v>
      </c>
      <c r="K184">
        <v>4</v>
      </c>
      <c r="L184">
        <v>25</v>
      </c>
      <c r="M184">
        <v>100</v>
      </c>
      <c r="N184">
        <f>IF(COUNTIFS($B$2:B184,B184)=1,1,0)</f>
        <v>1</v>
      </c>
    </row>
    <row r="185" spans="1:14" x14ac:dyDescent="0.2">
      <c r="A185">
        <v>184</v>
      </c>
      <c r="B185">
        <v>1093</v>
      </c>
      <c r="C185">
        <f>1/COUNTIF(B:B,Table1[[#This Row],[order_id]])</f>
        <v>0.33333333333333331</v>
      </c>
      <c r="D185" t="str">
        <f>TEXT(Table1[[#This Row],[order_date]],"mmmm")</f>
        <v>January</v>
      </c>
      <c r="E185" s="1">
        <v>45308</v>
      </c>
      <c r="F185" s="1" t="str">
        <f>TEXT(Table1[[#This Row],[order_date]],"dddd")</f>
        <v>Wednesday</v>
      </c>
      <c r="G185">
        <f>HOUR(Table1[[#This Row],[order_time]])</f>
        <v>13</v>
      </c>
      <c r="H185" s="2">
        <v>0.57218749999999996</v>
      </c>
      <c r="I185" t="s">
        <v>11</v>
      </c>
      <c r="J185" t="s">
        <v>15</v>
      </c>
      <c r="K185">
        <v>1</v>
      </c>
      <c r="L185">
        <v>600</v>
      </c>
      <c r="M185">
        <v>600</v>
      </c>
      <c r="N185">
        <f>IF(COUNTIFS($B$2:B185,B185)=1,1,0)</f>
        <v>0</v>
      </c>
    </row>
    <row r="186" spans="1:14" x14ac:dyDescent="0.2">
      <c r="A186">
        <v>185</v>
      </c>
      <c r="B186">
        <v>1093</v>
      </c>
      <c r="C186">
        <f>1/COUNTIF(B:B,Table1[[#This Row],[order_id]])</f>
        <v>0.33333333333333331</v>
      </c>
      <c r="D186" t="str">
        <f>TEXT(Table1[[#This Row],[order_date]],"mmmm")</f>
        <v>January</v>
      </c>
      <c r="E186" s="1">
        <v>45308</v>
      </c>
      <c r="F186" s="1" t="str">
        <f>TEXT(Table1[[#This Row],[order_date]],"dddd")</f>
        <v>Wednesday</v>
      </c>
      <c r="G186">
        <f>HOUR(Table1[[#This Row],[order_time]])</f>
        <v>13</v>
      </c>
      <c r="H186" s="2">
        <v>0.57108796296296294</v>
      </c>
      <c r="I186" t="s">
        <v>18</v>
      </c>
      <c r="J186" t="s">
        <v>26</v>
      </c>
      <c r="K186">
        <v>4</v>
      </c>
      <c r="L186">
        <v>55</v>
      </c>
      <c r="M186">
        <v>220</v>
      </c>
      <c r="N186">
        <f>IF(COUNTIFS($B$2:B186,B186)=1,1,0)</f>
        <v>0</v>
      </c>
    </row>
    <row r="187" spans="1:14" x14ac:dyDescent="0.2">
      <c r="A187">
        <v>186</v>
      </c>
      <c r="B187">
        <v>1094</v>
      </c>
      <c r="C187">
        <f>1/COUNTIF(B:B,Table1[[#This Row],[order_id]])</f>
        <v>0.5</v>
      </c>
      <c r="D187" t="str">
        <f>TEXT(Table1[[#This Row],[order_date]],"mmmm")</f>
        <v>January</v>
      </c>
      <c r="E187" s="1">
        <v>45308</v>
      </c>
      <c r="F187" s="1" t="str">
        <f>TEXT(Table1[[#This Row],[order_date]],"dddd")</f>
        <v>Wednesday</v>
      </c>
      <c r="G187">
        <f>HOUR(Table1[[#This Row],[order_time]])</f>
        <v>18</v>
      </c>
      <c r="H187" s="2">
        <v>0.77444444444444449</v>
      </c>
      <c r="I187" t="s">
        <v>18</v>
      </c>
      <c r="J187" t="s">
        <v>26</v>
      </c>
      <c r="K187">
        <v>1</v>
      </c>
      <c r="L187">
        <v>55</v>
      </c>
      <c r="M187">
        <v>55</v>
      </c>
      <c r="N187">
        <f>IF(COUNTIFS($B$2:B187,B187)=1,1,0)</f>
        <v>1</v>
      </c>
    </row>
    <row r="188" spans="1:14" x14ac:dyDescent="0.2">
      <c r="A188">
        <v>187</v>
      </c>
      <c r="B188">
        <v>1094</v>
      </c>
      <c r="C188">
        <f>1/COUNTIF(B:B,Table1[[#This Row],[order_id]])</f>
        <v>0.5</v>
      </c>
      <c r="D188" t="str">
        <f>TEXT(Table1[[#This Row],[order_date]],"mmmm")</f>
        <v>January</v>
      </c>
      <c r="E188" s="1">
        <v>45308</v>
      </c>
      <c r="F188" s="1" t="str">
        <f>TEXT(Table1[[#This Row],[order_date]],"dddd")</f>
        <v>Wednesday</v>
      </c>
      <c r="G188">
        <f>HOUR(Table1[[#This Row],[order_time]])</f>
        <v>15</v>
      </c>
      <c r="H188" s="2">
        <v>0.65929398148148144</v>
      </c>
      <c r="I188" t="s">
        <v>18</v>
      </c>
      <c r="J188" t="s">
        <v>27</v>
      </c>
      <c r="K188">
        <v>2</v>
      </c>
      <c r="L188">
        <v>40</v>
      </c>
      <c r="M188">
        <v>80</v>
      </c>
      <c r="N188">
        <f>IF(COUNTIFS($B$2:B188,B188)=1,1,0)</f>
        <v>0</v>
      </c>
    </row>
    <row r="189" spans="1:14" x14ac:dyDescent="0.2">
      <c r="A189">
        <v>188</v>
      </c>
      <c r="B189">
        <v>1095</v>
      </c>
      <c r="C189">
        <f>1/COUNTIF(B:B,Table1[[#This Row],[order_id]])</f>
        <v>1</v>
      </c>
      <c r="D189" t="str">
        <f>TEXT(Table1[[#This Row],[order_date]],"mmmm")</f>
        <v>January</v>
      </c>
      <c r="E189" s="1">
        <v>45308</v>
      </c>
      <c r="F189" s="1" t="str">
        <f>TEXT(Table1[[#This Row],[order_date]],"dddd")</f>
        <v>Wednesday</v>
      </c>
      <c r="G189">
        <f>HOUR(Table1[[#This Row],[order_time]])</f>
        <v>11</v>
      </c>
      <c r="H189" s="2">
        <v>0.47476851851851853</v>
      </c>
      <c r="I189" t="s">
        <v>18</v>
      </c>
      <c r="J189" t="s">
        <v>31</v>
      </c>
      <c r="K189">
        <v>4</v>
      </c>
      <c r="L189">
        <v>45</v>
      </c>
      <c r="M189">
        <v>180</v>
      </c>
      <c r="N189">
        <f>IF(COUNTIFS($B$2:B189,B189)=1,1,0)</f>
        <v>1</v>
      </c>
    </row>
    <row r="190" spans="1:14" x14ac:dyDescent="0.2">
      <c r="A190">
        <v>189</v>
      </c>
      <c r="B190">
        <v>1096</v>
      </c>
      <c r="C190">
        <f>1/COUNTIF(B:B,Table1[[#This Row],[order_id]])</f>
        <v>0.33333333333333331</v>
      </c>
      <c r="D190" t="str">
        <f>TEXT(Table1[[#This Row],[order_date]],"mmmm")</f>
        <v>January</v>
      </c>
      <c r="E190" s="1">
        <v>45308</v>
      </c>
      <c r="F190" s="1" t="str">
        <f>TEXT(Table1[[#This Row],[order_date]],"dddd")</f>
        <v>Wednesday</v>
      </c>
      <c r="G190">
        <f>HOUR(Table1[[#This Row],[order_time]])</f>
        <v>15</v>
      </c>
      <c r="H190" s="2">
        <v>0.64057870370370373</v>
      </c>
      <c r="I190" t="s">
        <v>18</v>
      </c>
      <c r="J190" t="s">
        <v>26</v>
      </c>
      <c r="K190">
        <v>3</v>
      </c>
      <c r="L190">
        <v>55</v>
      </c>
      <c r="M190">
        <v>165</v>
      </c>
      <c r="N190">
        <f>IF(COUNTIFS($B$2:B190,B190)=1,1,0)</f>
        <v>1</v>
      </c>
    </row>
    <row r="191" spans="1:14" x14ac:dyDescent="0.2">
      <c r="A191">
        <v>190</v>
      </c>
      <c r="B191">
        <v>1096</v>
      </c>
      <c r="C191">
        <f>1/COUNTIF(B:B,Table1[[#This Row],[order_id]])</f>
        <v>0.33333333333333331</v>
      </c>
      <c r="D191" t="str">
        <f>TEXT(Table1[[#This Row],[order_date]],"mmmm")</f>
        <v>January</v>
      </c>
      <c r="E191" s="1">
        <v>45308</v>
      </c>
      <c r="F191" s="1" t="str">
        <f>TEXT(Table1[[#This Row],[order_date]],"dddd")</f>
        <v>Wednesday</v>
      </c>
      <c r="G191">
        <f>HOUR(Table1[[#This Row],[order_time]])</f>
        <v>16</v>
      </c>
      <c r="H191" s="2">
        <v>0.70351851851851854</v>
      </c>
      <c r="I191" t="s">
        <v>16</v>
      </c>
      <c r="J191" t="s">
        <v>23</v>
      </c>
      <c r="K191">
        <v>4</v>
      </c>
      <c r="L191">
        <v>30</v>
      </c>
      <c r="M191">
        <v>120</v>
      </c>
      <c r="N191">
        <f>IF(COUNTIFS($B$2:B191,B191)=1,1,0)</f>
        <v>0</v>
      </c>
    </row>
    <row r="192" spans="1:14" x14ac:dyDescent="0.2">
      <c r="A192">
        <v>191</v>
      </c>
      <c r="B192">
        <v>1096</v>
      </c>
      <c r="C192">
        <f>1/COUNTIF(B:B,Table1[[#This Row],[order_id]])</f>
        <v>0.33333333333333331</v>
      </c>
      <c r="D192" t="str">
        <f>TEXT(Table1[[#This Row],[order_date]],"mmmm")</f>
        <v>January</v>
      </c>
      <c r="E192" s="1">
        <v>45308</v>
      </c>
      <c r="F192" s="1" t="str">
        <f>TEXT(Table1[[#This Row],[order_date]],"dddd")</f>
        <v>Wednesday</v>
      </c>
      <c r="G192">
        <f>HOUR(Table1[[#This Row],[order_time]])</f>
        <v>13</v>
      </c>
      <c r="H192" s="2">
        <v>0.57728009259259261</v>
      </c>
      <c r="I192" t="s">
        <v>18</v>
      </c>
      <c r="J192" t="s">
        <v>27</v>
      </c>
      <c r="K192">
        <v>5</v>
      </c>
      <c r="L192">
        <v>40</v>
      </c>
      <c r="M192">
        <v>200</v>
      </c>
      <c r="N192">
        <f>IF(COUNTIFS($B$2:B192,B192)=1,1,0)</f>
        <v>0</v>
      </c>
    </row>
    <row r="193" spans="1:14" x14ac:dyDescent="0.2">
      <c r="A193">
        <v>192</v>
      </c>
      <c r="B193">
        <v>1097</v>
      </c>
      <c r="C193">
        <f>1/COUNTIF(B:B,Table1[[#This Row],[order_id]])</f>
        <v>0.33333333333333331</v>
      </c>
      <c r="D193" t="str">
        <f>TEXT(Table1[[#This Row],[order_date]],"mmmm")</f>
        <v>January</v>
      </c>
      <c r="E193" s="1">
        <v>45308</v>
      </c>
      <c r="F193" s="1" t="str">
        <f>TEXT(Table1[[#This Row],[order_date]],"dddd")</f>
        <v>Wednesday</v>
      </c>
      <c r="G193">
        <f>HOUR(Table1[[#This Row],[order_time]])</f>
        <v>9</v>
      </c>
      <c r="H193" s="2">
        <v>0.39069444444444446</v>
      </c>
      <c r="I193" t="s">
        <v>9</v>
      </c>
      <c r="J193" t="s">
        <v>29</v>
      </c>
      <c r="K193">
        <v>2</v>
      </c>
      <c r="L193">
        <v>5</v>
      </c>
      <c r="M193">
        <v>10</v>
      </c>
      <c r="N193">
        <f>IF(COUNTIFS($B$2:B193,B193)=1,1,0)</f>
        <v>1</v>
      </c>
    </row>
    <row r="194" spans="1:14" x14ac:dyDescent="0.2">
      <c r="A194">
        <v>193</v>
      </c>
      <c r="B194">
        <v>1097</v>
      </c>
      <c r="C194">
        <f>1/COUNTIF(B:B,Table1[[#This Row],[order_id]])</f>
        <v>0.33333333333333331</v>
      </c>
      <c r="D194" t="str">
        <f>TEXT(Table1[[#This Row],[order_date]],"mmmm")</f>
        <v>January</v>
      </c>
      <c r="E194" s="1">
        <v>45308</v>
      </c>
      <c r="F194" s="1" t="str">
        <f>TEXT(Table1[[#This Row],[order_date]],"dddd")</f>
        <v>Wednesday</v>
      </c>
      <c r="G194">
        <f>HOUR(Table1[[#This Row],[order_time]])</f>
        <v>12</v>
      </c>
      <c r="H194" s="2">
        <v>0.51089120370370367</v>
      </c>
      <c r="I194" t="s">
        <v>16</v>
      </c>
      <c r="J194" t="s">
        <v>28</v>
      </c>
      <c r="K194">
        <v>3</v>
      </c>
      <c r="L194">
        <v>25</v>
      </c>
      <c r="M194">
        <v>75</v>
      </c>
      <c r="N194">
        <f>IF(COUNTIFS($B$2:B194,B194)=1,1,0)</f>
        <v>0</v>
      </c>
    </row>
    <row r="195" spans="1:14" x14ac:dyDescent="0.2">
      <c r="A195">
        <v>194</v>
      </c>
      <c r="B195">
        <v>1097</v>
      </c>
      <c r="C195">
        <f>1/COUNTIF(B:B,Table1[[#This Row],[order_id]])</f>
        <v>0.33333333333333331</v>
      </c>
      <c r="D195" t="str">
        <f>TEXT(Table1[[#This Row],[order_date]],"mmmm")</f>
        <v>January</v>
      </c>
      <c r="E195" s="1">
        <v>45308</v>
      </c>
      <c r="F195" s="1" t="str">
        <f>TEXT(Table1[[#This Row],[order_date]],"dddd")</f>
        <v>Wednesday</v>
      </c>
      <c r="G195">
        <f>HOUR(Table1[[#This Row],[order_time]])</f>
        <v>16</v>
      </c>
      <c r="H195" s="2">
        <v>0.70210648148148147</v>
      </c>
      <c r="I195" t="s">
        <v>18</v>
      </c>
      <c r="J195" t="s">
        <v>30</v>
      </c>
      <c r="K195">
        <v>5</v>
      </c>
      <c r="L195">
        <v>60</v>
      </c>
      <c r="M195">
        <v>300</v>
      </c>
      <c r="N195">
        <f>IF(COUNTIFS($B$2:B195,B195)=1,1,0)</f>
        <v>0</v>
      </c>
    </row>
    <row r="196" spans="1:14" x14ac:dyDescent="0.2">
      <c r="A196">
        <v>195</v>
      </c>
      <c r="B196">
        <v>1098</v>
      </c>
      <c r="C196">
        <f>1/COUNTIF(B:B,Table1[[#This Row],[order_id]])</f>
        <v>0.5</v>
      </c>
      <c r="D196" t="str">
        <f>TEXT(Table1[[#This Row],[order_date]],"mmmm")</f>
        <v>January</v>
      </c>
      <c r="E196" s="1">
        <v>45308</v>
      </c>
      <c r="F196" s="1" t="str">
        <f>TEXT(Table1[[#This Row],[order_date]],"dddd")</f>
        <v>Wednesday</v>
      </c>
      <c r="G196">
        <f>HOUR(Table1[[#This Row],[order_time]])</f>
        <v>17</v>
      </c>
      <c r="H196" s="2">
        <v>0.72771990740740744</v>
      </c>
      <c r="I196" t="s">
        <v>18</v>
      </c>
      <c r="J196" t="s">
        <v>26</v>
      </c>
      <c r="K196">
        <v>4</v>
      </c>
      <c r="L196">
        <v>55</v>
      </c>
      <c r="M196">
        <v>220</v>
      </c>
      <c r="N196">
        <f>IF(COUNTIFS($B$2:B196,B196)=1,1,0)</f>
        <v>1</v>
      </c>
    </row>
    <row r="197" spans="1:14" x14ac:dyDescent="0.2">
      <c r="A197">
        <v>196</v>
      </c>
      <c r="B197">
        <v>1098</v>
      </c>
      <c r="C197">
        <f>1/COUNTIF(B:B,Table1[[#This Row],[order_id]])</f>
        <v>0.5</v>
      </c>
      <c r="D197" t="str">
        <f>TEXT(Table1[[#This Row],[order_date]],"mmmm")</f>
        <v>January</v>
      </c>
      <c r="E197" s="1">
        <v>45308</v>
      </c>
      <c r="F197" s="1" t="str">
        <f>TEXT(Table1[[#This Row],[order_date]],"dddd")</f>
        <v>Wednesday</v>
      </c>
      <c r="G197">
        <f>HOUR(Table1[[#This Row],[order_time]])</f>
        <v>18</v>
      </c>
      <c r="H197" s="2">
        <v>0.75832175925925926</v>
      </c>
      <c r="I197" t="s">
        <v>16</v>
      </c>
      <c r="J197" t="s">
        <v>24</v>
      </c>
      <c r="K197">
        <v>1</v>
      </c>
      <c r="L197">
        <v>35</v>
      </c>
      <c r="M197">
        <v>35</v>
      </c>
      <c r="N197">
        <f>IF(COUNTIFS($B$2:B197,B197)=1,1,0)</f>
        <v>0</v>
      </c>
    </row>
    <row r="198" spans="1:14" x14ac:dyDescent="0.2">
      <c r="A198">
        <v>197</v>
      </c>
      <c r="B198">
        <v>1099</v>
      </c>
      <c r="C198">
        <f>1/COUNTIF(B:B,Table1[[#This Row],[order_id]])</f>
        <v>0.33333333333333331</v>
      </c>
      <c r="D198" t="str">
        <f>TEXT(Table1[[#This Row],[order_date]],"mmmm")</f>
        <v>January</v>
      </c>
      <c r="E198" s="1">
        <v>45309</v>
      </c>
      <c r="F198" s="1" t="str">
        <f>TEXT(Table1[[#This Row],[order_date]],"dddd")</f>
        <v>Thursday</v>
      </c>
      <c r="G198">
        <f>HOUR(Table1[[#This Row],[order_time]])</f>
        <v>20</v>
      </c>
      <c r="H198" s="2">
        <v>0.84881944444444446</v>
      </c>
      <c r="I198" t="s">
        <v>18</v>
      </c>
      <c r="J198" t="s">
        <v>19</v>
      </c>
      <c r="K198">
        <v>5</v>
      </c>
      <c r="L198">
        <v>50</v>
      </c>
      <c r="M198">
        <v>250</v>
      </c>
      <c r="N198">
        <f>IF(COUNTIFS($B$2:B198,B198)=1,1,0)</f>
        <v>1</v>
      </c>
    </row>
    <row r="199" spans="1:14" x14ac:dyDescent="0.2">
      <c r="A199">
        <v>198</v>
      </c>
      <c r="B199">
        <v>1099</v>
      </c>
      <c r="C199">
        <f>1/COUNTIF(B:B,Table1[[#This Row],[order_id]])</f>
        <v>0.33333333333333331</v>
      </c>
      <c r="D199" t="str">
        <f>TEXT(Table1[[#This Row],[order_date]],"mmmm")</f>
        <v>January</v>
      </c>
      <c r="E199" s="1">
        <v>45309</v>
      </c>
      <c r="F199" s="1" t="str">
        <f>TEXT(Table1[[#This Row],[order_date]],"dddd")</f>
        <v>Thursday</v>
      </c>
      <c r="G199">
        <f>HOUR(Table1[[#This Row],[order_time]])</f>
        <v>11</v>
      </c>
      <c r="H199" s="2">
        <v>0.47625000000000001</v>
      </c>
      <c r="I199" t="s">
        <v>9</v>
      </c>
      <c r="J199" t="s">
        <v>10</v>
      </c>
      <c r="K199">
        <v>1</v>
      </c>
      <c r="L199">
        <v>20</v>
      </c>
      <c r="M199">
        <v>20</v>
      </c>
      <c r="N199">
        <f>IF(COUNTIFS($B$2:B199,B199)=1,1,0)</f>
        <v>0</v>
      </c>
    </row>
    <row r="200" spans="1:14" x14ac:dyDescent="0.2">
      <c r="A200">
        <v>199</v>
      </c>
      <c r="B200">
        <v>1099</v>
      </c>
      <c r="C200">
        <f>1/COUNTIF(B:B,Table1[[#This Row],[order_id]])</f>
        <v>0.33333333333333331</v>
      </c>
      <c r="D200" t="str">
        <f>TEXT(Table1[[#This Row],[order_date]],"mmmm")</f>
        <v>January</v>
      </c>
      <c r="E200" s="1">
        <v>45309</v>
      </c>
      <c r="F200" s="1" t="str">
        <f>TEXT(Table1[[#This Row],[order_date]],"dddd")</f>
        <v>Thursday</v>
      </c>
      <c r="G200">
        <f>HOUR(Table1[[#This Row],[order_time]])</f>
        <v>17</v>
      </c>
      <c r="H200" s="2">
        <v>0.73768518518518522</v>
      </c>
      <c r="I200" t="s">
        <v>9</v>
      </c>
      <c r="J200" t="s">
        <v>20</v>
      </c>
      <c r="K200">
        <v>4</v>
      </c>
      <c r="L200">
        <v>25</v>
      </c>
      <c r="M200">
        <v>100</v>
      </c>
      <c r="N200">
        <f>IF(COUNTIFS($B$2:B200,B200)=1,1,0)</f>
        <v>0</v>
      </c>
    </row>
    <row r="201" spans="1:14" x14ac:dyDescent="0.2">
      <c r="A201">
        <v>200</v>
      </c>
      <c r="B201">
        <v>1100</v>
      </c>
      <c r="C201">
        <f>1/COUNTIF(B:B,Table1[[#This Row],[order_id]])</f>
        <v>0.5</v>
      </c>
      <c r="D201" t="str">
        <f>TEXT(Table1[[#This Row],[order_date]],"mmmm")</f>
        <v>January</v>
      </c>
      <c r="E201" s="1">
        <v>45309</v>
      </c>
      <c r="F201" s="1" t="str">
        <f>TEXT(Table1[[#This Row],[order_date]],"dddd")</f>
        <v>Thursday</v>
      </c>
      <c r="G201">
        <f>HOUR(Table1[[#This Row],[order_time]])</f>
        <v>15</v>
      </c>
      <c r="H201" s="2">
        <v>0.65811342592592592</v>
      </c>
      <c r="I201" t="s">
        <v>9</v>
      </c>
      <c r="J201" t="s">
        <v>29</v>
      </c>
      <c r="K201">
        <v>3</v>
      </c>
      <c r="L201">
        <v>5</v>
      </c>
      <c r="M201">
        <v>15</v>
      </c>
      <c r="N201">
        <f>IF(COUNTIFS($B$2:B201,B201)=1,1,0)</f>
        <v>1</v>
      </c>
    </row>
    <row r="202" spans="1:14" x14ac:dyDescent="0.2">
      <c r="A202">
        <v>201</v>
      </c>
      <c r="B202">
        <v>1100</v>
      </c>
      <c r="C202">
        <f>1/COUNTIF(B:B,Table1[[#This Row],[order_id]])</f>
        <v>0.5</v>
      </c>
      <c r="D202" t="str">
        <f>TEXT(Table1[[#This Row],[order_date]],"mmmm")</f>
        <v>January</v>
      </c>
      <c r="E202" s="1">
        <v>45309</v>
      </c>
      <c r="F202" s="1" t="str">
        <f>TEXT(Table1[[#This Row],[order_date]],"dddd")</f>
        <v>Thursday</v>
      </c>
      <c r="G202">
        <f>HOUR(Table1[[#This Row],[order_time]])</f>
        <v>17</v>
      </c>
      <c r="H202" s="2">
        <v>0.71982638888888884</v>
      </c>
      <c r="I202" t="s">
        <v>18</v>
      </c>
      <c r="J202" t="s">
        <v>19</v>
      </c>
      <c r="K202">
        <v>3</v>
      </c>
      <c r="L202">
        <v>50</v>
      </c>
      <c r="M202">
        <v>150</v>
      </c>
      <c r="N202">
        <f>IF(COUNTIFS($B$2:B202,B202)=1,1,0)</f>
        <v>0</v>
      </c>
    </row>
    <row r="203" spans="1:14" x14ac:dyDescent="0.2">
      <c r="A203">
        <v>202</v>
      </c>
      <c r="B203">
        <v>1101</v>
      </c>
      <c r="C203">
        <f>1/COUNTIF(B:B,Table1[[#This Row],[order_id]])</f>
        <v>1</v>
      </c>
      <c r="D203" t="str">
        <f>TEXT(Table1[[#This Row],[order_date]],"mmmm")</f>
        <v>January</v>
      </c>
      <c r="E203" s="1">
        <v>45309</v>
      </c>
      <c r="F203" s="1" t="str">
        <f>TEXT(Table1[[#This Row],[order_date]],"dddd")</f>
        <v>Thursday</v>
      </c>
      <c r="G203">
        <f>HOUR(Table1[[#This Row],[order_time]])</f>
        <v>13</v>
      </c>
      <c r="H203" s="2">
        <v>0.55686342592592597</v>
      </c>
      <c r="I203" t="s">
        <v>9</v>
      </c>
      <c r="J203" t="s">
        <v>20</v>
      </c>
      <c r="K203">
        <v>1</v>
      </c>
      <c r="L203">
        <v>25</v>
      </c>
      <c r="M203">
        <v>25</v>
      </c>
      <c r="N203">
        <f>IF(COUNTIFS($B$2:B203,B203)=1,1,0)</f>
        <v>1</v>
      </c>
    </row>
    <row r="204" spans="1:14" x14ac:dyDescent="0.2">
      <c r="A204">
        <v>203</v>
      </c>
      <c r="B204">
        <v>1102</v>
      </c>
      <c r="C204">
        <f>1/COUNTIF(B:B,Table1[[#This Row],[order_id]])</f>
        <v>0.33333333333333331</v>
      </c>
      <c r="D204" t="str">
        <f>TEXT(Table1[[#This Row],[order_date]],"mmmm")</f>
        <v>January</v>
      </c>
      <c r="E204" s="1">
        <v>45310</v>
      </c>
      <c r="F204" s="1" t="str">
        <f>TEXT(Table1[[#This Row],[order_date]],"dddd")</f>
        <v>Friday</v>
      </c>
      <c r="G204">
        <f>HOUR(Table1[[#This Row],[order_time]])</f>
        <v>16</v>
      </c>
      <c r="H204" s="2">
        <v>0.66829861111111111</v>
      </c>
      <c r="I204" t="s">
        <v>16</v>
      </c>
      <c r="J204" t="s">
        <v>23</v>
      </c>
      <c r="K204">
        <v>3</v>
      </c>
      <c r="L204">
        <v>30</v>
      </c>
      <c r="M204">
        <v>90</v>
      </c>
      <c r="N204">
        <f>IF(COUNTIFS($B$2:B204,B204)=1,1,0)</f>
        <v>1</v>
      </c>
    </row>
    <row r="205" spans="1:14" x14ac:dyDescent="0.2">
      <c r="A205">
        <v>204</v>
      </c>
      <c r="B205">
        <v>1102</v>
      </c>
      <c r="C205">
        <f>1/COUNTIF(B:B,Table1[[#This Row],[order_id]])</f>
        <v>0.33333333333333331</v>
      </c>
      <c r="D205" t="str">
        <f>TEXT(Table1[[#This Row],[order_date]],"mmmm")</f>
        <v>January</v>
      </c>
      <c r="E205" s="1">
        <v>45310</v>
      </c>
      <c r="F205" s="1" t="str">
        <f>TEXT(Table1[[#This Row],[order_date]],"dddd")</f>
        <v>Friday</v>
      </c>
      <c r="G205">
        <f>HOUR(Table1[[#This Row],[order_time]])</f>
        <v>16</v>
      </c>
      <c r="H205" s="2">
        <v>0.6965972222222222</v>
      </c>
      <c r="I205" t="s">
        <v>16</v>
      </c>
      <c r="J205" t="s">
        <v>17</v>
      </c>
      <c r="K205">
        <v>5</v>
      </c>
      <c r="L205">
        <v>20</v>
      </c>
      <c r="M205">
        <v>100</v>
      </c>
      <c r="N205">
        <f>IF(COUNTIFS($B$2:B205,B205)=1,1,0)</f>
        <v>0</v>
      </c>
    </row>
    <row r="206" spans="1:14" x14ac:dyDescent="0.2">
      <c r="A206">
        <v>205</v>
      </c>
      <c r="B206">
        <v>1102</v>
      </c>
      <c r="C206">
        <f>1/COUNTIF(B:B,Table1[[#This Row],[order_id]])</f>
        <v>0.33333333333333331</v>
      </c>
      <c r="D206" t="str">
        <f>TEXT(Table1[[#This Row],[order_date]],"mmmm")</f>
        <v>January</v>
      </c>
      <c r="E206" s="1">
        <v>45310</v>
      </c>
      <c r="F206" s="1" t="str">
        <f>TEXT(Table1[[#This Row],[order_date]],"dddd")</f>
        <v>Friday</v>
      </c>
      <c r="G206">
        <f>HOUR(Table1[[#This Row],[order_time]])</f>
        <v>10</v>
      </c>
      <c r="H206" s="2">
        <v>0.42390046296296297</v>
      </c>
      <c r="I206" t="s">
        <v>16</v>
      </c>
      <c r="J206" t="s">
        <v>28</v>
      </c>
      <c r="K206">
        <v>5</v>
      </c>
      <c r="L206">
        <v>25</v>
      </c>
      <c r="M206">
        <v>125</v>
      </c>
      <c r="N206">
        <f>IF(COUNTIFS($B$2:B206,B206)=1,1,0)</f>
        <v>0</v>
      </c>
    </row>
    <row r="207" spans="1:14" x14ac:dyDescent="0.2">
      <c r="A207">
        <v>206</v>
      </c>
      <c r="B207">
        <v>1103</v>
      </c>
      <c r="C207">
        <f>1/COUNTIF(B:B,Table1[[#This Row],[order_id]])</f>
        <v>0.33333333333333331</v>
      </c>
      <c r="D207" t="str">
        <f>TEXT(Table1[[#This Row],[order_date]],"mmmm")</f>
        <v>January</v>
      </c>
      <c r="E207" s="1">
        <v>45310</v>
      </c>
      <c r="F207" s="1" t="str">
        <f>TEXT(Table1[[#This Row],[order_date]],"dddd")</f>
        <v>Friday</v>
      </c>
      <c r="G207">
        <f>HOUR(Table1[[#This Row],[order_time]])</f>
        <v>12</v>
      </c>
      <c r="H207" s="2">
        <v>0.51206018518518515</v>
      </c>
      <c r="I207" t="s">
        <v>9</v>
      </c>
      <c r="J207" t="s">
        <v>10</v>
      </c>
      <c r="K207">
        <v>2</v>
      </c>
      <c r="L207">
        <v>20</v>
      </c>
      <c r="M207">
        <v>40</v>
      </c>
      <c r="N207">
        <f>IF(COUNTIFS($B$2:B207,B207)=1,1,0)</f>
        <v>1</v>
      </c>
    </row>
    <row r="208" spans="1:14" x14ac:dyDescent="0.2">
      <c r="A208">
        <v>207</v>
      </c>
      <c r="B208">
        <v>1103</v>
      </c>
      <c r="C208">
        <f>1/COUNTIF(B:B,Table1[[#This Row],[order_id]])</f>
        <v>0.33333333333333331</v>
      </c>
      <c r="D208" t="str">
        <f>TEXT(Table1[[#This Row],[order_date]],"mmmm")</f>
        <v>January</v>
      </c>
      <c r="E208" s="1">
        <v>45310</v>
      </c>
      <c r="F208" s="1" t="str">
        <f>TEXT(Table1[[#This Row],[order_date]],"dddd")</f>
        <v>Friday</v>
      </c>
      <c r="G208">
        <f>HOUR(Table1[[#This Row],[order_time]])</f>
        <v>13</v>
      </c>
      <c r="H208" s="2">
        <v>0.57792824074074078</v>
      </c>
      <c r="I208" t="s">
        <v>18</v>
      </c>
      <c r="J208" t="s">
        <v>19</v>
      </c>
      <c r="K208">
        <v>5</v>
      </c>
      <c r="L208">
        <v>50</v>
      </c>
      <c r="M208">
        <v>250</v>
      </c>
      <c r="N208">
        <f>IF(COUNTIFS($B$2:B208,B208)=1,1,0)</f>
        <v>0</v>
      </c>
    </row>
    <row r="209" spans="1:14" x14ac:dyDescent="0.2">
      <c r="A209">
        <v>208</v>
      </c>
      <c r="B209">
        <v>1103</v>
      </c>
      <c r="C209">
        <f>1/COUNTIF(B:B,Table1[[#This Row],[order_id]])</f>
        <v>0.33333333333333331</v>
      </c>
      <c r="D209" t="str">
        <f>TEXT(Table1[[#This Row],[order_date]],"mmmm")</f>
        <v>January</v>
      </c>
      <c r="E209" s="1">
        <v>45310</v>
      </c>
      <c r="F209" s="1" t="str">
        <f>TEXT(Table1[[#This Row],[order_date]],"dddd")</f>
        <v>Friday</v>
      </c>
      <c r="G209">
        <f>HOUR(Table1[[#This Row],[order_time]])</f>
        <v>15</v>
      </c>
      <c r="H209" s="2">
        <v>0.65172453703703703</v>
      </c>
      <c r="I209" t="s">
        <v>9</v>
      </c>
      <c r="J209" t="s">
        <v>21</v>
      </c>
      <c r="K209">
        <v>2</v>
      </c>
      <c r="L209">
        <v>10</v>
      </c>
      <c r="M209">
        <v>20</v>
      </c>
      <c r="N209">
        <f>IF(COUNTIFS($B$2:B209,B209)=1,1,0)</f>
        <v>0</v>
      </c>
    </row>
    <row r="210" spans="1:14" x14ac:dyDescent="0.2">
      <c r="A210">
        <v>209</v>
      </c>
      <c r="B210">
        <v>1104</v>
      </c>
      <c r="C210">
        <f>1/COUNTIF(B:B,Table1[[#This Row],[order_id]])</f>
        <v>0.33333333333333331</v>
      </c>
      <c r="D210" t="str">
        <f>TEXT(Table1[[#This Row],[order_date]],"mmmm")</f>
        <v>January</v>
      </c>
      <c r="E210" s="1">
        <v>45310</v>
      </c>
      <c r="F210" s="1" t="str">
        <f>TEXT(Table1[[#This Row],[order_date]],"dddd")</f>
        <v>Friday</v>
      </c>
      <c r="G210">
        <f>HOUR(Table1[[#This Row],[order_time]])</f>
        <v>9</v>
      </c>
      <c r="H210" s="2">
        <v>0.40637731481481482</v>
      </c>
      <c r="I210" t="s">
        <v>18</v>
      </c>
      <c r="J210" t="s">
        <v>19</v>
      </c>
      <c r="K210">
        <v>1</v>
      </c>
      <c r="L210">
        <v>50</v>
      </c>
      <c r="M210">
        <v>50</v>
      </c>
      <c r="N210">
        <f>IF(COUNTIFS($B$2:B210,B210)=1,1,0)</f>
        <v>1</v>
      </c>
    </row>
    <row r="211" spans="1:14" x14ac:dyDescent="0.2">
      <c r="A211">
        <v>210</v>
      </c>
      <c r="B211">
        <v>1104</v>
      </c>
      <c r="C211">
        <f>1/COUNTIF(B:B,Table1[[#This Row],[order_id]])</f>
        <v>0.33333333333333331</v>
      </c>
      <c r="D211" t="str">
        <f>TEXT(Table1[[#This Row],[order_date]],"mmmm")</f>
        <v>January</v>
      </c>
      <c r="E211" s="1">
        <v>45310</v>
      </c>
      <c r="F211" s="1" t="str">
        <f>TEXT(Table1[[#This Row],[order_date]],"dddd")</f>
        <v>Friday</v>
      </c>
      <c r="G211">
        <f>HOUR(Table1[[#This Row],[order_time]])</f>
        <v>20</v>
      </c>
      <c r="H211" s="2">
        <v>0.83960648148148154</v>
      </c>
      <c r="I211" t="s">
        <v>9</v>
      </c>
      <c r="J211" t="s">
        <v>21</v>
      </c>
      <c r="K211">
        <v>3</v>
      </c>
      <c r="L211">
        <v>10</v>
      </c>
      <c r="M211">
        <v>30</v>
      </c>
      <c r="N211">
        <f>IF(COUNTIFS($B$2:B211,B211)=1,1,0)</f>
        <v>0</v>
      </c>
    </row>
    <row r="212" spans="1:14" x14ac:dyDescent="0.2">
      <c r="A212">
        <v>211</v>
      </c>
      <c r="B212">
        <v>1104</v>
      </c>
      <c r="C212">
        <f>1/COUNTIF(B:B,Table1[[#This Row],[order_id]])</f>
        <v>0.33333333333333331</v>
      </c>
      <c r="D212" t="str">
        <f>TEXT(Table1[[#This Row],[order_date]],"mmmm")</f>
        <v>January</v>
      </c>
      <c r="E212" s="1">
        <v>45310</v>
      </c>
      <c r="F212" s="1" t="str">
        <f>TEXT(Table1[[#This Row],[order_date]],"dddd")</f>
        <v>Friday</v>
      </c>
      <c r="G212">
        <f>HOUR(Table1[[#This Row],[order_time]])</f>
        <v>14</v>
      </c>
      <c r="H212" s="2">
        <v>0.61079861111111111</v>
      </c>
      <c r="I212" t="s">
        <v>11</v>
      </c>
      <c r="J212" t="s">
        <v>13</v>
      </c>
      <c r="K212">
        <v>3</v>
      </c>
      <c r="L212">
        <v>680</v>
      </c>
      <c r="M212">
        <v>2040</v>
      </c>
      <c r="N212">
        <f>IF(COUNTIFS($B$2:B212,B212)=1,1,0)</f>
        <v>0</v>
      </c>
    </row>
    <row r="213" spans="1:14" x14ac:dyDescent="0.2">
      <c r="A213">
        <v>212</v>
      </c>
      <c r="B213">
        <v>1105</v>
      </c>
      <c r="C213">
        <f>1/COUNTIF(B:B,Table1[[#This Row],[order_id]])</f>
        <v>1</v>
      </c>
      <c r="D213" t="str">
        <f>TEXT(Table1[[#This Row],[order_date]],"mmmm")</f>
        <v>January</v>
      </c>
      <c r="E213" s="1">
        <v>45310</v>
      </c>
      <c r="F213" s="1" t="str">
        <f>TEXT(Table1[[#This Row],[order_date]],"dddd")</f>
        <v>Friday</v>
      </c>
      <c r="G213">
        <f>HOUR(Table1[[#This Row],[order_time]])</f>
        <v>9</v>
      </c>
      <c r="H213" s="2">
        <v>0.38997685185185182</v>
      </c>
      <c r="I213" t="s">
        <v>18</v>
      </c>
      <c r="J213" t="s">
        <v>30</v>
      </c>
      <c r="K213">
        <v>3</v>
      </c>
      <c r="L213">
        <v>60</v>
      </c>
      <c r="M213">
        <v>180</v>
      </c>
      <c r="N213">
        <f>IF(COUNTIFS($B$2:B213,B213)=1,1,0)</f>
        <v>1</v>
      </c>
    </row>
    <row r="214" spans="1:14" x14ac:dyDescent="0.2">
      <c r="A214">
        <v>213</v>
      </c>
      <c r="B214">
        <v>1106</v>
      </c>
      <c r="C214">
        <f>1/COUNTIF(B:B,Table1[[#This Row],[order_id]])</f>
        <v>0.5</v>
      </c>
      <c r="D214" t="str">
        <f>TEXT(Table1[[#This Row],[order_date]],"mmmm")</f>
        <v>January</v>
      </c>
      <c r="E214" s="1">
        <v>45310</v>
      </c>
      <c r="F214" s="1" t="str">
        <f>TEXT(Table1[[#This Row],[order_date]],"dddd")</f>
        <v>Friday</v>
      </c>
      <c r="G214">
        <f>HOUR(Table1[[#This Row],[order_time]])</f>
        <v>14</v>
      </c>
      <c r="H214" s="2">
        <v>0.58723379629629635</v>
      </c>
      <c r="I214" t="s">
        <v>16</v>
      </c>
      <c r="J214" t="s">
        <v>17</v>
      </c>
      <c r="K214">
        <v>5</v>
      </c>
      <c r="L214">
        <v>20</v>
      </c>
      <c r="M214">
        <v>100</v>
      </c>
      <c r="N214">
        <f>IF(COUNTIFS($B$2:B214,B214)=1,1,0)</f>
        <v>1</v>
      </c>
    </row>
    <row r="215" spans="1:14" x14ac:dyDescent="0.2">
      <c r="A215">
        <v>214</v>
      </c>
      <c r="B215">
        <v>1106</v>
      </c>
      <c r="C215">
        <f>1/COUNTIF(B:B,Table1[[#This Row],[order_id]])</f>
        <v>0.5</v>
      </c>
      <c r="D215" t="str">
        <f>TEXT(Table1[[#This Row],[order_date]],"mmmm")</f>
        <v>January</v>
      </c>
      <c r="E215" s="1">
        <v>45310</v>
      </c>
      <c r="F215" s="1" t="str">
        <f>TEXT(Table1[[#This Row],[order_date]],"dddd")</f>
        <v>Friday</v>
      </c>
      <c r="G215">
        <f>HOUR(Table1[[#This Row],[order_time]])</f>
        <v>18</v>
      </c>
      <c r="H215" s="2">
        <v>0.7842824074074074</v>
      </c>
      <c r="I215" t="s">
        <v>16</v>
      </c>
      <c r="J215" t="s">
        <v>17</v>
      </c>
      <c r="K215">
        <v>2</v>
      </c>
      <c r="L215">
        <v>20</v>
      </c>
      <c r="M215">
        <v>40</v>
      </c>
      <c r="N215">
        <f>IF(COUNTIFS($B$2:B215,B215)=1,1,0)</f>
        <v>0</v>
      </c>
    </row>
    <row r="216" spans="1:14" x14ac:dyDescent="0.2">
      <c r="A216">
        <v>215</v>
      </c>
      <c r="B216">
        <v>1107</v>
      </c>
      <c r="C216">
        <f>1/COUNTIF(B:B,Table1[[#This Row],[order_id]])</f>
        <v>0.5</v>
      </c>
      <c r="D216" t="str">
        <f>TEXT(Table1[[#This Row],[order_date]],"mmmm")</f>
        <v>January</v>
      </c>
      <c r="E216" s="1">
        <v>45311</v>
      </c>
      <c r="F216" s="1" t="str">
        <f>TEXT(Table1[[#This Row],[order_date]],"dddd")</f>
        <v>Saturday</v>
      </c>
      <c r="G216">
        <f>HOUR(Table1[[#This Row],[order_time]])</f>
        <v>20</v>
      </c>
      <c r="H216" s="2">
        <v>0.87280092592592595</v>
      </c>
      <c r="I216" t="s">
        <v>11</v>
      </c>
      <c r="J216" t="s">
        <v>14</v>
      </c>
      <c r="K216">
        <v>5</v>
      </c>
      <c r="L216">
        <v>700</v>
      </c>
      <c r="M216">
        <v>3500</v>
      </c>
      <c r="N216">
        <f>IF(COUNTIFS($B$2:B216,B216)=1,1,0)</f>
        <v>1</v>
      </c>
    </row>
    <row r="217" spans="1:14" x14ac:dyDescent="0.2">
      <c r="A217">
        <v>216</v>
      </c>
      <c r="B217">
        <v>1107</v>
      </c>
      <c r="C217">
        <f>1/COUNTIF(B:B,Table1[[#This Row],[order_id]])</f>
        <v>0.5</v>
      </c>
      <c r="D217" t="str">
        <f>TEXT(Table1[[#This Row],[order_date]],"mmmm")</f>
        <v>January</v>
      </c>
      <c r="E217" s="1">
        <v>45311</v>
      </c>
      <c r="F217" s="1" t="str">
        <f>TEXT(Table1[[#This Row],[order_date]],"dddd")</f>
        <v>Saturday</v>
      </c>
      <c r="G217">
        <f>HOUR(Table1[[#This Row],[order_time]])</f>
        <v>14</v>
      </c>
      <c r="H217" s="2">
        <v>0.59537037037037033</v>
      </c>
      <c r="I217" t="s">
        <v>18</v>
      </c>
      <c r="J217" t="s">
        <v>26</v>
      </c>
      <c r="K217">
        <v>5</v>
      </c>
      <c r="L217">
        <v>55</v>
      </c>
      <c r="M217">
        <v>275</v>
      </c>
      <c r="N217">
        <f>IF(COUNTIFS($B$2:B217,B217)=1,1,0)</f>
        <v>0</v>
      </c>
    </row>
    <row r="218" spans="1:14" x14ac:dyDescent="0.2">
      <c r="A218">
        <v>217</v>
      </c>
      <c r="B218">
        <v>1108</v>
      </c>
      <c r="C218">
        <f>1/COUNTIF(B:B,Table1[[#This Row],[order_id]])</f>
        <v>0.5</v>
      </c>
      <c r="D218" t="str">
        <f>TEXT(Table1[[#This Row],[order_date]],"mmmm")</f>
        <v>January</v>
      </c>
      <c r="E218" s="1">
        <v>45311</v>
      </c>
      <c r="F218" s="1" t="str">
        <f>TEXT(Table1[[#This Row],[order_date]],"dddd")</f>
        <v>Saturday</v>
      </c>
      <c r="G218">
        <f>HOUR(Table1[[#This Row],[order_time]])</f>
        <v>11</v>
      </c>
      <c r="H218" s="2">
        <v>0.49204861111111109</v>
      </c>
      <c r="I218" t="s">
        <v>11</v>
      </c>
      <c r="J218" t="s">
        <v>25</v>
      </c>
      <c r="K218">
        <v>1</v>
      </c>
      <c r="L218">
        <v>1000</v>
      </c>
      <c r="M218">
        <v>1000</v>
      </c>
      <c r="N218">
        <f>IF(COUNTIFS($B$2:B218,B218)=1,1,0)</f>
        <v>1</v>
      </c>
    </row>
    <row r="219" spans="1:14" x14ac:dyDescent="0.2">
      <c r="A219">
        <v>218</v>
      </c>
      <c r="B219">
        <v>1108</v>
      </c>
      <c r="C219">
        <f>1/COUNTIF(B:B,Table1[[#This Row],[order_id]])</f>
        <v>0.5</v>
      </c>
      <c r="D219" t="str">
        <f>TEXT(Table1[[#This Row],[order_date]],"mmmm")</f>
        <v>January</v>
      </c>
      <c r="E219" s="1">
        <v>45311</v>
      </c>
      <c r="F219" s="1" t="str">
        <f>TEXT(Table1[[#This Row],[order_date]],"dddd")</f>
        <v>Saturday</v>
      </c>
      <c r="G219">
        <f>HOUR(Table1[[#This Row],[order_time]])</f>
        <v>16</v>
      </c>
      <c r="H219" s="2">
        <v>0.70606481481481487</v>
      </c>
      <c r="I219" t="s">
        <v>18</v>
      </c>
      <c r="J219" t="s">
        <v>26</v>
      </c>
      <c r="K219">
        <v>1</v>
      </c>
      <c r="L219">
        <v>55</v>
      </c>
      <c r="M219">
        <v>55</v>
      </c>
      <c r="N219">
        <f>IF(COUNTIFS($B$2:B219,B219)=1,1,0)</f>
        <v>0</v>
      </c>
    </row>
    <row r="220" spans="1:14" x14ac:dyDescent="0.2">
      <c r="A220">
        <v>219</v>
      </c>
      <c r="B220">
        <v>1109</v>
      </c>
      <c r="C220">
        <f>1/COUNTIF(B:B,Table1[[#This Row],[order_id]])</f>
        <v>0.33333333333333331</v>
      </c>
      <c r="D220" t="str">
        <f>TEXT(Table1[[#This Row],[order_date]],"mmmm")</f>
        <v>January</v>
      </c>
      <c r="E220" s="1">
        <v>45311</v>
      </c>
      <c r="F220" s="1" t="str">
        <f>TEXT(Table1[[#This Row],[order_date]],"dddd")</f>
        <v>Saturday</v>
      </c>
      <c r="G220">
        <f>HOUR(Table1[[#This Row],[order_time]])</f>
        <v>13</v>
      </c>
      <c r="H220" s="2">
        <v>0.58203703703703702</v>
      </c>
      <c r="I220" t="s">
        <v>11</v>
      </c>
      <c r="J220" t="s">
        <v>25</v>
      </c>
      <c r="K220">
        <v>3</v>
      </c>
      <c r="L220">
        <v>1000</v>
      </c>
      <c r="M220">
        <v>3000</v>
      </c>
      <c r="N220">
        <f>IF(COUNTIFS($B$2:B220,B220)=1,1,0)</f>
        <v>1</v>
      </c>
    </row>
    <row r="221" spans="1:14" x14ac:dyDescent="0.2">
      <c r="A221">
        <v>220</v>
      </c>
      <c r="B221">
        <v>1109</v>
      </c>
      <c r="C221">
        <f>1/COUNTIF(B:B,Table1[[#This Row],[order_id]])</f>
        <v>0.33333333333333331</v>
      </c>
      <c r="D221" t="str">
        <f>TEXT(Table1[[#This Row],[order_date]],"mmmm")</f>
        <v>January</v>
      </c>
      <c r="E221" s="1">
        <v>45311</v>
      </c>
      <c r="F221" s="1" t="str">
        <f>TEXT(Table1[[#This Row],[order_date]],"dddd")</f>
        <v>Saturday</v>
      </c>
      <c r="G221">
        <f>HOUR(Table1[[#This Row],[order_time]])</f>
        <v>11</v>
      </c>
      <c r="H221" s="2">
        <v>0.48587962962962961</v>
      </c>
      <c r="I221" t="s">
        <v>18</v>
      </c>
      <c r="J221" t="s">
        <v>31</v>
      </c>
      <c r="K221">
        <v>2</v>
      </c>
      <c r="L221">
        <v>45</v>
      </c>
      <c r="M221">
        <v>90</v>
      </c>
      <c r="N221">
        <f>IF(COUNTIFS($B$2:B221,B221)=1,1,0)</f>
        <v>0</v>
      </c>
    </row>
    <row r="222" spans="1:14" x14ac:dyDescent="0.2">
      <c r="A222">
        <v>221</v>
      </c>
      <c r="B222">
        <v>1109</v>
      </c>
      <c r="C222">
        <f>1/COUNTIF(B:B,Table1[[#This Row],[order_id]])</f>
        <v>0.33333333333333331</v>
      </c>
      <c r="D222" t="str">
        <f>TEXT(Table1[[#This Row],[order_date]],"mmmm")</f>
        <v>January</v>
      </c>
      <c r="E222" s="1">
        <v>45311</v>
      </c>
      <c r="F222" s="1" t="str">
        <f>TEXT(Table1[[#This Row],[order_date]],"dddd")</f>
        <v>Saturday</v>
      </c>
      <c r="G222">
        <f>HOUR(Table1[[#This Row],[order_time]])</f>
        <v>13</v>
      </c>
      <c r="H222" s="2">
        <v>0.5482407407407407</v>
      </c>
      <c r="I222" t="s">
        <v>11</v>
      </c>
      <c r="J222" t="s">
        <v>25</v>
      </c>
      <c r="K222">
        <v>4</v>
      </c>
      <c r="L222">
        <v>1000</v>
      </c>
      <c r="M222">
        <v>4000</v>
      </c>
      <c r="N222">
        <f>IF(COUNTIFS($B$2:B222,B222)=1,1,0)</f>
        <v>0</v>
      </c>
    </row>
    <row r="223" spans="1:14" x14ac:dyDescent="0.2">
      <c r="A223">
        <v>222</v>
      </c>
      <c r="B223">
        <v>1110</v>
      </c>
      <c r="C223">
        <f>1/COUNTIF(B:B,Table1[[#This Row],[order_id]])</f>
        <v>0.33333333333333331</v>
      </c>
      <c r="D223" t="str">
        <f>TEXT(Table1[[#This Row],[order_date]],"mmmm")</f>
        <v>January</v>
      </c>
      <c r="E223" s="1">
        <v>45312</v>
      </c>
      <c r="F223" s="1" t="str">
        <f>TEXT(Table1[[#This Row],[order_date]],"dddd")</f>
        <v>Sunday</v>
      </c>
      <c r="G223">
        <f>HOUR(Table1[[#This Row],[order_time]])</f>
        <v>18</v>
      </c>
      <c r="H223" s="2">
        <v>0.78773148148148153</v>
      </c>
      <c r="I223" t="s">
        <v>18</v>
      </c>
      <c r="J223" t="s">
        <v>26</v>
      </c>
      <c r="K223">
        <v>3</v>
      </c>
      <c r="L223">
        <v>55</v>
      </c>
      <c r="M223">
        <v>165</v>
      </c>
      <c r="N223">
        <f>IF(COUNTIFS($B$2:B223,B223)=1,1,0)</f>
        <v>1</v>
      </c>
    </row>
    <row r="224" spans="1:14" x14ac:dyDescent="0.2">
      <c r="A224">
        <v>223</v>
      </c>
      <c r="B224">
        <v>1110</v>
      </c>
      <c r="C224">
        <f>1/COUNTIF(B:B,Table1[[#This Row],[order_id]])</f>
        <v>0.33333333333333331</v>
      </c>
      <c r="D224" t="str">
        <f>TEXT(Table1[[#This Row],[order_date]],"mmmm")</f>
        <v>January</v>
      </c>
      <c r="E224" s="1">
        <v>45312</v>
      </c>
      <c r="F224" s="1" t="str">
        <f>TEXT(Table1[[#This Row],[order_date]],"dddd")</f>
        <v>Sunday</v>
      </c>
      <c r="G224">
        <f>HOUR(Table1[[#This Row],[order_time]])</f>
        <v>13</v>
      </c>
      <c r="H224" s="2">
        <v>0.56150462962962966</v>
      </c>
      <c r="I224" t="s">
        <v>11</v>
      </c>
      <c r="J224" t="s">
        <v>15</v>
      </c>
      <c r="K224">
        <v>5</v>
      </c>
      <c r="L224">
        <v>600</v>
      </c>
      <c r="M224">
        <v>3000</v>
      </c>
      <c r="N224">
        <f>IF(COUNTIFS($B$2:B224,B224)=1,1,0)</f>
        <v>0</v>
      </c>
    </row>
    <row r="225" spans="1:14" x14ac:dyDescent="0.2">
      <c r="A225">
        <v>224</v>
      </c>
      <c r="B225">
        <v>1110</v>
      </c>
      <c r="C225">
        <f>1/COUNTIF(B:B,Table1[[#This Row],[order_id]])</f>
        <v>0.33333333333333331</v>
      </c>
      <c r="D225" t="str">
        <f>TEXT(Table1[[#This Row],[order_date]],"mmmm")</f>
        <v>January</v>
      </c>
      <c r="E225" s="1">
        <v>45312</v>
      </c>
      <c r="F225" s="1" t="str">
        <f>TEXT(Table1[[#This Row],[order_date]],"dddd")</f>
        <v>Sunday</v>
      </c>
      <c r="G225">
        <f>HOUR(Table1[[#This Row],[order_time]])</f>
        <v>15</v>
      </c>
      <c r="H225" s="2">
        <v>0.63372685185185185</v>
      </c>
      <c r="I225" t="s">
        <v>16</v>
      </c>
      <c r="J225" t="s">
        <v>17</v>
      </c>
      <c r="K225">
        <v>1</v>
      </c>
      <c r="L225">
        <v>20</v>
      </c>
      <c r="M225">
        <v>20</v>
      </c>
      <c r="N225">
        <f>IF(COUNTIFS($B$2:B225,B225)=1,1,0)</f>
        <v>0</v>
      </c>
    </row>
    <row r="226" spans="1:14" x14ac:dyDescent="0.2">
      <c r="A226">
        <v>225</v>
      </c>
      <c r="B226">
        <v>1111</v>
      </c>
      <c r="C226">
        <f>1/COUNTIF(B:B,Table1[[#This Row],[order_id]])</f>
        <v>0.33333333333333331</v>
      </c>
      <c r="D226" t="str">
        <f>TEXT(Table1[[#This Row],[order_date]],"mmmm")</f>
        <v>January</v>
      </c>
      <c r="E226" s="1">
        <v>45312</v>
      </c>
      <c r="F226" s="1" t="str">
        <f>TEXT(Table1[[#This Row],[order_date]],"dddd")</f>
        <v>Sunday</v>
      </c>
      <c r="G226">
        <f>HOUR(Table1[[#This Row],[order_time]])</f>
        <v>9</v>
      </c>
      <c r="H226" s="2">
        <v>0.40718749999999998</v>
      </c>
      <c r="I226" t="s">
        <v>18</v>
      </c>
      <c r="J226" t="s">
        <v>31</v>
      </c>
      <c r="K226">
        <v>1</v>
      </c>
      <c r="L226">
        <v>45</v>
      </c>
      <c r="M226">
        <v>45</v>
      </c>
      <c r="N226">
        <f>IF(COUNTIFS($B$2:B226,B226)=1,1,0)</f>
        <v>1</v>
      </c>
    </row>
    <row r="227" spans="1:14" x14ac:dyDescent="0.2">
      <c r="A227">
        <v>226</v>
      </c>
      <c r="B227">
        <v>1111</v>
      </c>
      <c r="C227">
        <f>1/COUNTIF(B:B,Table1[[#This Row],[order_id]])</f>
        <v>0.33333333333333331</v>
      </c>
      <c r="D227" t="str">
        <f>TEXT(Table1[[#This Row],[order_date]],"mmmm")</f>
        <v>January</v>
      </c>
      <c r="E227" s="1">
        <v>45312</v>
      </c>
      <c r="F227" s="1" t="str">
        <f>TEXT(Table1[[#This Row],[order_date]],"dddd")</f>
        <v>Sunday</v>
      </c>
      <c r="G227">
        <f>HOUR(Table1[[#This Row],[order_time]])</f>
        <v>11</v>
      </c>
      <c r="H227" s="2">
        <v>0.46258101851851852</v>
      </c>
      <c r="I227" t="s">
        <v>18</v>
      </c>
      <c r="J227" t="s">
        <v>30</v>
      </c>
      <c r="K227">
        <v>1</v>
      </c>
      <c r="L227">
        <v>60</v>
      </c>
      <c r="M227">
        <v>60</v>
      </c>
      <c r="N227">
        <f>IF(COUNTIFS($B$2:B227,B227)=1,1,0)</f>
        <v>0</v>
      </c>
    </row>
    <row r="228" spans="1:14" x14ac:dyDescent="0.2">
      <c r="A228">
        <v>227</v>
      </c>
      <c r="B228">
        <v>1111</v>
      </c>
      <c r="C228">
        <f>1/COUNTIF(B:B,Table1[[#This Row],[order_id]])</f>
        <v>0.33333333333333331</v>
      </c>
      <c r="D228" t="str">
        <f>TEXT(Table1[[#This Row],[order_date]],"mmmm")</f>
        <v>January</v>
      </c>
      <c r="E228" s="1">
        <v>45312</v>
      </c>
      <c r="F228" s="1" t="str">
        <f>TEXT(Table1[[#This Row],[order_date]],"dddd")</f>
        <v>Sunday</v>
      </c>
      <c r="G228">
        <f>HOUR(Table1[[#This Row],[order_time]])</f>
        <v>12</v>
      </c>
      <c r="H228" s="2">
        <v>0.50422453703703707</v>
      </c>
      <c r="I228" t="s">
        <v>11</v>
      </c>
      <c r="J228" t="s">
        <v>13</v>
      </c>
      <c r="K228">
        <v>2</v>
      </c>
      <c r="L228">
        <v>680</v>
      </c>
      <c r="M228">
        <v>1360</v>
      </c>
      <c r="N228">
        <f>IF(COUNTIFS($B$2:B228,B228)=1,1,0)</f>
        <v>0</v>
      </c>
    </row>
    <row r="229" spans="1:14" x14ac:dyDescent="0.2">
      <c r="A229">
        <v>228</v>
      </c>
      <c r="B229">
        <v>1112</v>
      </c>
      <c r="C229">
        <f>1/COUNTIF(B:B,Table1[[#This Row],[order_id]])</f>
        <v>0.5</v>
      </c>
      <c r="D229" t="str">
        <f>TEXT(Table1[[#This Row],[order_date]],"mmmm")</f>
        <v>January</v>
      </c>
      <c r="E229" s="1">
        <v>45312</v>
      </c>
      <c r="F229" s="1" t="str">
        <f>TEXT(Table1[[#This Row],[order_date]],"dddd")</f>
        <v>Sunday</v>
      </c>
      <c r="G229">
        <f>HOUR(Table1[[#This Row],[order_time]])</f>
        <v>15</v>
      </c>
      <c r="H229" s="2">
        <v>0.6353819444444444</v>
      </c>
      <c r="I229" t="s">
        <v>16</v>
      </c>
      <c r="J229" t="s">
        <v>17</v>
      </c>
      <c r="K229">
        <v>3</v>
      </c>
      <c r="L229">
        <v>20</v>
      </c>
      <c r="M229">
        <v>60</v>
      </c>
      <c r="N229">
        <f>IF(COUNTIFS($B$2:B229,B229)=1,1,0)</f>
        <v>1</v>
      </c>
    </row>
    <row r="230" spans="1:14" x14ac:dyDescent="0.2">
      <c r="A230">
        <v>229</v>
      </c>
      <c r="B230">
        <v>1112</v>
      </c>
      <c r="C230">
        <f>1/COUNTIF(B:B,Table1[[#This Row],[order_id]])</f>
        <v>0.5</v>
      </c>
      <c r="D230" t="str">
        <f>TEXT(Table1[[#This Row],[order_date]],"mmmm")</f>
        <v>January</v>
      </c>
      <c r="E230" s="1">
        <v>45312</v>
      </c>
      <c r="F230" s="1" t="str">
        <f>TEXT(Table1[[#This Row],[order_date]],"dddd")</f>
        <v>Sunday</v>
      </c>
      <c r="G230">
        <f>HOUR(Table1[[#This Row],[order_time]])</f>
        <v>9</v>
      </c>
      <c r="H230" s="2">
        <v>0.41646990740740741</v>
      </c>
      <c r="I230" t="s">
        <v>16</v>
      </c>
      <c r="J230" t="s">
        <v>28</v>
      </c>
      <c r="K230">
        <v>1</v>
      </c>
      <c r="L230">
        <v>25</v>
      </c>
      <c r="M230">
        <v>25</v>
      </c>
      <c r="N230">
        <f>IF(COUNTIFS($B$2:B230,B230)=1,1,0)</f>
        <v>0</v>
      </c>
    </row>
    <row r="231" spans="1:14" x14ac:dyDescent="0.2">
      <c r="A231">
        <v>230</v>
      </c>
      <c r="B231">
        <v>1113</v>
      </c>
      <c r="C231">
        <f>1/COUNTIF(B:B,Table1[[#This Row],[order_id]])</f>
        <v>0.5</v>
      </c>
      <c r="D231" t="str">
        <f>TEXT(Table1[[#This Row],[order_date]],"mmmm")</f>
        <v>January</v>
      </c>
      <c r="E231" s="1">
        <v>45312</v>
      </c>
      <c r="F231" s="1" t="str">
        <f>TEXT(Table1[[#This Row],[order_date]],"dddd")</f>
        <v>Sunday</v>
      </c>
      <c r="G231">
        <f>HOUR(Table1[[#This Row],[order_time]])</f>
        <v>18</v>
      </c>
      <c r="H231" s="2">
        <v>0.78813657407407411</v>
      </c>
      <c r="I231" t="s">
        <v>18</v>
      </c>
      <c r="J231" t="s">
        <v>19</v>
      </c>
      <c r="K231">
        <v>3</v>
      </c>
      <c r="L231">
        <v>50</v>
      </c>
      <c r="M231">
        <v>150</v>
      </c>
      <c r="N231">
        <f>IF(COUNTIFS($B$2:B231,B231)=1,1,0)</f>
        <v>1</v>
      </c>
    </row>
    <row r="232" spans="1:14" x14ac:dyDescent="0.2">
      <c r="A232">
        <v>231</v>
      </c>
      <c r="B232">
        <v>1113</v>
      </c>
      <c r="C232">
        <f>1/COUNTIF(B:B,Table1[[#This Row],[order_id]])</f>
        <v>0.5</v>
      </c>
      <c r="D232" t="str">
        <f>TEXT(Table1[[#This Row],[order_date]],"mmmm")</f>
        <v>January</v>
      </c>
      <c r="E232" s="1">
        <v>45312</v>
      </c>
      <c r="F232" s="1" t="str">
        <f>TEXT(Table1[[#This Row],[order_date]],"dddd")</f>
        <v>Sunday</v>
      </c>
      <c r="G232">
        <f>HOUR(Table1[[#This Row],[order_time]])</f>
        <v>15</v>
      </c>
      <c r="H232" s="2">
        <v>0.66131944444444446</v>
      </c>
      <c r="I232" t="s">
        <v>9</v>
      </c>
      <c r="J232" t="s">
        <v>29</v>
      </c>
      <c r="K232">
        <v>3</v>
      </c>
      <c r="L232">
        <v>5</v>
      </c>
      <c r="M232">
        <v>15</v>
      </c>
      <c r="N232">
        <f>IF(COUNTIFS($B$2:B232,B232)=1,1,0)</f>
        <v>0</v>
      </c>
    </row>
    <row r="233" spans="1:14" x14ac:dyDescent="0.2">
      <c r="A233">
        <v>232</v>
      </c>
      <c r="B233">
        <v>1114</v>
      </c>
      <c r="C233">
        <f>1/COUNTIF(B:B,Table1[[#This Row],[order_id]])</f>
        <v>1</v>
      </c>
      <c r="D233" t="str">
        <f>TEXT(Table1[[#This Row],[order_date]],"mmmm")</f>
        <v>January</v>
      </c>
      <c r="E233" s="1">
        <v>45312</v>
      </c>
      <c r="F233" s="1" t="str">
        <f>TEXT(Table1[[#This Row],[order_date]],"dddd")</f>
        <v>Sunday</v>
      </c>
      <c r="G233">
        <f>HOUR(Table1[[#This Row],[order_time]])</f>
        <v>20</v>
      </c>
      <c r="H233" s="2">
        <v>0.85111111111111115</v>
      </c>
      <c r="I233" t="s">
        <v>16</v>
      </c>
      <c r="J233" t="s">
        <v>17</v>
      </c>
      <c r="K233">
        <v>3</v>
      </c>
      <c r="L233">
        <v>20</v>
      </c>
      <c r="M233">
        <v>60</v>
      </c>
      <c r="N233">
        <f>IF(COUNTIFS($B$2:B233,B233)=1,1,0)</f>
        <v>1</v>
      </c>
    </row>
    <row r="234" spans="1:14" x14ac:dyDescent="0.2">
      <c r="A234">
        <v>233</v>
      </c>
      <c r="B234">
        <v>1115</v>
      </c>
      <c r="C234">
        <f>1/COUNTIF(B:B,Table1[[#This Row],[order_id]])</f>
        <v>0.5</v>
      </c>
      <c r="D234" t="str">
        <f>TEXT(Table1[[#This Row],[order_date]],"mmmm")</f>
        <v>January</v>
      </c>
      <c r="E234" s="1">
        <v>45312</v>
      </c>
      <c r="F234" s="1" t="str">
        <f>TEXT(Table1[[#This Row],[order_date]],"dddd")</f>
        <v>Sunday</v>
      </c>
      <c r="G234">
        <f>HOUR(Table1[[#This Row],[order_time]])</f>
        <v>20</v>
      </c>
      <c r="H234" s="2">
        <v>0.8739351851851852</v>
      </c>
      <c r="I234" t="s">
        <v>9</v>
      </c>
      <c r="J234" t="s">
        <v>10</v>
      </c>
      <c r="K234">
        <v>4</v>
      </c>
      <c r="L234">
        <v>20</v>
      </c>
      <c r="M234">
        <v>80</v>
      </c>
      <c r="N234">
        <f>IF(COUNTIFS($B$2:B234,B234)=1,1,0)</f>
        <v>1</v>
      </c>
    </row>
    <row r="235" spans="1:14" x14ac:dyDescent="0.2">
      <c r="A235">
        <v>234</v>
      </c>
      <c r="B235">
        <v>1115</v>
      </c>
      <c r="C235">
        <f>1/COUNTIF(B:B,Table1[[#This Row],[order_id]])</f>
        <v>0.5</v>
      </c>
      <c r="D235" t="str">
        <f>TEXT(Table1[[#This Row],[order_date]],"mmmm")</f>
        <v>January</v>
      </c>
      <c r="E235" s="1">
        <v>45312</v>
      </c>
      <c r="F235" s="1" t="str">
        <f>TEXT(Table1[[#This Row],[order_date]],"dddd")</f>
        <v>Sunday</v>
      </c>
      <c r="G235">
        <f>HOUR(Table1[[#This Row],[order_time]])</f>
        <v>11</v>
      </c>
      <c r="H235" s="2">
        <v>0.48925925925925928</v>
      </c>
      <c r="I235" t="s">
        <v>18</v>
      </c>
      <c r="J235" t="s">
        <v>30</v>
      </c>
      <c r="K235">
        <v>5</v>
      </c>
      <c r="L235">
        <v>60</v>
      </c>
      <c r="M235">
        <v>300</v>
      </c>
      <c r="N235">
        <f>IF(COUNTIFS($B$2:B235,B235)=1,1,0)</f>
        <v>0</v>
      </c>
    </row>
    <row r="236" spans="1:14" x14ac:dyDescent="0.2">
      <c r="A236">
        <v>235</v>
      </c>
      <c r="B236">
        <v>1116</v>
      </c>
      <c r="C236">
        <f>1/COUNTIF(B:B,Table1[[#This Row],[order_id]])</f>
        <v>1</v>
      </c>
      <c r="D236" t="str">
        <f>TEXT(Table1[[#This Row],[order_date]],"mmmm")</f>
        <v>January</v>
      </c>
      <c r="E236" s="1">
        <v>45312</v>
      </c>
      <c r="F236" s="1" t="str">
        <f>TEXT(Table1[[#This Row],[order_date]],"dddd")</f>
        <v>Sunday</v>
      </c>
      <c r="G236">
        <f>HOUR(Table1[[#This Row],[order_time]])</f>
        <v>16</v>
      </c>
      <c r="H236" s="2">
        <v>0.70519675925925929</v>
      </c>
      <c r="I236" t="s">
        <v>16</v>
      </c>
      <c r="J236" t="s">
        <v>28</v>
      </c>
      <c r="K236">
        <v>3</v>
      </c>
      <c r="L236">
        <v>25</v>
      </c>
      <c r="M236">
        <v>75</v>
      </c>
      <c r="N236">
        <f>IF(COUNTIFS($B$2:B236,B236)=1,1,0)</f>
        <v>1</v>
      </c>
    </row>
    <row r="237" spans="1:14" x14ac:dyDescent="0.2">
      <c r="A237">
        <v>236</v>
      </c>
      <c r="B237">
        <v>1117</v>
      </c>
      <c r="C237">
        <f>1/COUNTIF(B:B,Table1[[#This Row],[order_id]])</f>
        <v>0.5</v>
      </c>
      <c r="D237" t="str">
        <f>TEXT(Table1[[#This Row],[order_date]],"mmmm")</f>
        <v>January</v>
      </c>
      <c r="E237" s="1">
        <v>45312</v>
      </c>
      <c r="F237" s="1" t="str">
        <f>TEXT(Table1[[#This Row],[order_date]],"dddd")</f>
        <v>Sunday</v>
      </c>
      <c r="G237">
        <f>HOUR(Table1[[#This Row],[order_time]])</f>
        <v>15</v>
      </c>
      <c r="H237" s="2">
        <v>0.66587962962962965</v>
      </c>
      <c r="I237" t="s">
        <v>9</v>
      </c>
      <c r="J237" t="s">
        <v>20</v>
      </c>
      <c r="K237">
        <v>1</v>
      </c>
      <c r="L237">
        <v>25</v>
      </c>
      <c r="M237">
        <v>25</v>
      </c>
      <c r="N237">
        <f>IF(COUNTIFS($B$2:B237,B237)=1,1,0)</f>
        <v>1</v>
      </c>
    </row>
    <row r="238" spans="1:14" x14ac:dyDescent="0.2">
      <c r="A238">
        <v>237</v>
      </c>
      <c r="B238">
        <v>1117</v>
      </c>
      <c r="C238">
        <f>1/COUNTIF(B:B,Table1[[#This Row],[order_id]])</f>
        <v>0.5</v>
      </c>
      <c r="D238" t="str">
        <f>TEXT(Table1[[#This Row],[order_date]],"mmmm")</f>
        <v>January</v>
      </c>
      <c r="E238" s="1">
        <v>45312</v>
      </c>
      <c r="F238" s="1" t="str">
        <f>TEXT(Table1[[#This Row],[order_date]],"dddd")</f>
        <v>Sunday</v>
      </c>
      <c r="G238">
        <f>HOUR(Table1[[#This Row],[order_time]])</f>
        <v>14</v>
      </c>
      <c r="H238" s="2">
        <v>0.6232523148148148</v>
      </c>
      <c r="I238" t="s">
        <v>11</v>
      </c>
      <c r="J238" t="s">
        <v>13</v>
      </c>
      <c r="K238">
        <v>4</v>
      </c>
      <c r="L238">
        <v>680</v>
      </c>
      <c r="M238">
        <v>2720</v>
      </c>
      <c r="N238">
        <f>IF(COUNTIFS($B$2:B238,B238)=1,1,0)</f>
        <v>0</v>
      </c>
    </row>
    <row r="239" spans="1:14" x14ac:dyDescent="0.2">
      <c r="A239">
        <v>238</v>
      </c>
      <c r="B239">
        <v>1118</v>
      </c>
      <c r="C239">
        <f>1/COUNTIF(B:B,Table1[[#This Row],[order_id]])</f>
        <v>0.5</v>
      </c>
      <c r="D239" t="str">
        <f>TEXT(Table1[[#This Row],[order_date]],"mmmm")</f>
        <v>January</v>
      </c>
      <c r="E239" s="1">
        <v>45312</v>
      </c>
      <c r="F239" s="1" t="str">
        <f>TEXT(Table1[[#This Row],[order_date]],"dddd")</f>
        <v>Sunday</v>
      </c>
      <c r="G239">
        <f>HOUR(Table1[[#This Row],[order_time]])</f>
        <v>12</v>
      </c>
      <c r="H239" s="2">
        <v>0.51069444444444445</v>
      </c>
      <c r="I239" t="s">
        <v>11</v>
      </c>
      <c r="J239" t="s">
        <v>15</v>
      </c>
      <c r="K239">
        <v>4</v>
      </c>
      <c r="L239">
        <v>600</v>
      </c>
      <c r="M239">
        <v>2400</v>
      </c>
      <c r="N239">
        <f>IF(COUNTIFS($B$2:B239,B239)=1,1,0)</f>
        <v>1</v>
      </c>
    </row>
    <row r="240" spans="1:14" x14ac:dyDescent="0.2">
      <c r="A240">
        <v>239</v>
      </c>
      <c r="B240">
        <v>1118</v>
      </c>
      <c r="C240">
        <f>1/COUNTIF(B:B,Table1[[#This Row],[order_id]])</f>
        <v>0.5</v>
      </c>
      <c r="D240" t="str">
        <f>TEXT(Table1[[#This Row],[order_date]],"mmmm")</f>
        <v>January</v>
      </c>
      <c r="E240" s="1">
        <v>45312</v>
      </c>
      <c r="F240" s="1" t="str">
        <f>TEXT(Table1[[#This Row],[order_date]],"dddd")</f>
        <v>Sunday</v>
      </c>
      <c r="G240">
        <f>HOUR(Table1[[#This Row],[order_time]])</f>
        <v>15</v>
      </c>
      <c r="H240" s="2">
        <v>0.63018518518518518</v>
      </c>
      <c r="I240" t="s">
        <v>11</v>
      </c>
      <c r="J240" t="s">
        <v>14</v>
      </c>
      <c r="K240">
        <v>5</v>
      </c>
      <c r="L240">
        <v>700</v>
      </c>
      <c r="M240">
        <v>3500</v>
      </c>
      <c r="N240">
        <f>IF(COUNTIFS($B$2:B240,B240)=1,1,0)</f>
        <v>0</v>
      </c>
    </row>
    <row r="241" spans="1:14" x14ac:dyDescent="0.2">
      <c r="A241">
        <v>240</v>
      </c>
      <c r="B241">
        <v>1119</v>
      </c>
      <c r="C241">
        <f>1/COUNTIF(B:B,Table1[[#This Row],[order_id]])</f>
        <v>1</v>
      </c>
      <c r="D241" t="str">
        <f>TEXT(Table1[[#This Row],[order_date]],"mmmm")</f>
        <v>January</v>
      </c>
      <c r="E241" s="1">
        <v>45313</v>
      </c>
      <c r="F241" s="1" t="str">
        <f>TEXT(Table1[[#This Row],[order_date]],"dddd")</f>
        <v>Monday</v>
      </c>
      <c r="G241">
        <f>HOUR(Table1[[#This Row],[order_time]])</f>
        <v>15</v>
      </c>
      <c r="H241" s="2">
        <v>0.64555555555555555</v>
      </c>
      <c r="I241" t="s">
        <v>9</v>
      </c>
      <c r="J241" t="s">
        <v>20</v>
      </c>
      <c r="K241">
        <v>5</v>
      </c>
      <c r="L241">
        <v>25</v>
      </c>
      <c r="M241">
        <v>125</v>
      </c>
      <c r="N241">
        <f>IF(COUNTIFS($B$2:B241,B241)=1,1,0)</f>
        <v>1</v>
      </c>
    </row>
    <row r="242" spans="1:14" x14ac:dyDescent="0.2">
      <c r="A242">
        <v>241</v>
      </c>
      <c r="B242">
        <v>1120</v>
      </c>
      <c r="C242">
        <f>1/COUNTIF(B:B,Table1[[#This Row],[order_id]])</f>
        <v>0.5</v>
      </c>
      <c r="D242" t="str">
        <f>TEXT(Table1[[#This Row],[order_date]],"mmmm")</f>
        <v>January</v>
      </c>
      <c r="E242" s="1">
        <v>45313</v>
      </c>
      <c r="F242" s="1" t="str">
        <f>TEXT(Table1[[#This Row],[order_date]],"dddd")</f>
        <v>Monday</v>
      </c>
      <c r="G242">
        <f>HOUR(Table1[[#This Row],[order_time]])</f>
        <v>13</v>
      </c>
      <c r="H242" s="2">
        <v>0.5816782407407407</v>
      </c>
      <c r="I242" t="s">
        <v>18</v>
      </c>
      <c r="J242" t="s">
        <v>31</v>
      </c>
      <c r="K242">
        <v>2</v>
      </c>
      <c r="L242">
        <v>45</v>
      </c>
      <c r="M242">
        <v>90</v>
      </c>
      <c r="N242">
        <f>IF(COUNTIFS($B$2:B242,B242)=1,1,0)</f>
        <v>1</v>
      </c>
    </row>
    <row r="243" spans="1:14" x14ac:dyDescent="0.2">
      <c r="A243">
        <v>242</v>
      </c>
      <c r="B243">
        <v>1120</v>
      </c>
      <c r="C243">
        <f>1/COUNTIF(B:B,Table1[[#This Row],[order_id]])</f>
        <v>0.5</v>
      </c>
      <c r="D243" t="str">
        <f>TEXT(Table1[[#This Row],[order_date]],"mmmm")</f>
        <v>January</v>
      </c>
      <c r="E243" s="1">
        <v>45313</v>
      </c>
      <c r="F243" s="1" t="str">
        <f>TEXT(Table1[[#This Row],[order_date]],"dddd")</f>
        <v>Monday</v>
      </c>
      <c r="G243">
        <f>HOUR(Table1[[#This Row],[order_time]])</f>
        <v>13</v>
      </c>
      <c r="H243" s="2">
        <v>0.55430555555555561</v>
      </c>
      <c r="I243" t="s">
        <v>16</v>
      </c>
      <c r="J243" t="s">
        <v>28</v>
      </c>
      <c r="K243">
        <v>2</v>
      </c>
      <c r="L243">
        <v>25</v>
      </c>
      <c r="M243">
        <v>50</v>
      </c>
      <c r="N243">
        <f>IF(COUNTIFS($B$2:B243,B243)=1,1,0)</f>
        <v>0</v>
      </c>
    </row>
    <row r="244" spans="1:14" x14ac:dyDescent="0.2">
      <c r="A244">
        <v>243</v>
      </c>
      <c r="B244">
        <v>1121</v>
      </c>
      <c r="C244">
        <f>1/COUNTIF(B:B,Table1[[#This Row],[order_id]])</f>
        <v>0.5</v>
      </c>
      <c r="D244" t="str">
        <f>TEXT(Table1[[#This Row],[order_date]],"mmmm")</f>
        <v>January</v>
      </c>
      <c r="E244" s="1">
        <v>45313</v>
      </c>
      <c r="F244" s="1" t="str">
        <f>TEXT(Table1[[#This Row],[order_date]],"dddd")</f>
        <v>Monday</v>
      </c>
      <c r="G244">
        <f>HOUR(Table1[[#This Row],[order_time]])</f>
        <v>10</v>
      </c>
      <c r="H244" s="2">
        <v>0.43224537037037036</v>
      </c>
      <c r="I244" t="s">
        <v>18</v>
      </c>
      <c r="J244" t="s">
        <v>31</v>
      </c>
      <c r="K244">
        <v>3</v>
      </c>
      <c r="L244">
        <v>45</v>
      </c>
      <c r="M244">
        <v>135</v>
      </c>
      <c r="N244">
        <f>IF(COUNTIFS($B$2:B244,B244)=1,1,0)</f>
        <v>1</v>
      </c>
    </row>
    <row r="245" spans="1:14" x14ac:dyDescent="0.2">
      <c r="A245">
        <v>244</v>
      </c>
      <c r="B245">
        <v>1121</v>
      </c>
      <c r="C245">
        <f>1/COUNTIF(B:B,Table1[[#This Row],[order_id]])</f>
        <v>0.5</v>
      </c>
      <c r="D245" t="str">
        <f>TEXT(Table1[[#This Row],[order_date]],"mmmm")</f>
        <v>January</v>
      </c>
      <c r="E245" s="1">
        <v>45313</v>
      </c>
      <c r="F245" s="1" t="str">
        <f>TEXT(Table1[[#This Row],[order_date]],"dddd")</f>
        <v>Monday</v>
      </c>
      <c r="G245">
        <f>HOUR(Table1[[#This Row],[order_time]])</f>
        <v>16</v>
      </c>
      <c r="H245" s="2">
        <v>0.69362268518518522</v>
      </c>
      <c r="I245" t="s">
        <v>18</v>
      </c>
      <c r="J245" t="s">
        <v>31</v>
      </c>
      <c r="K245">
        <v>2</v>
      </c>
      <c r="L245">
        <v>45</v>
      </c>
      <c r="M245">
        <v>90</v>
      </c>
      <c r="N245">
        <f>IF(COUNTIFS($B$2:B245,B245)=1,1,0)</f>
        <v>0</v>
      </c>
    </row>
    <row r="246" spans="1:14" x14ac:dyDescent="0.2">
      <c r="A246">
        <v>245</v>
      </c>
      <c r="B246">
        <v>1122</v>
      </c>
      <c r="C246">
        <f>1/COUNTIF(B:B,Table1[[#This Row],[order_id]])</f>
        <v>0.5</v>
      </c>
      <c r="D246" t="str">
        <f>TEXT(Table1[[#This Row],[order_date]],"mmmm")</f>
        <v>January</v>
      </c>
      <c r="E246" s="1">
        <v>45313</v>
      </c>
      <c r="F246" s="1" t="str">
        <f>TEXT(Table1[[#This Row],[order_date]],"dddd")</f>
        <v>Monday</v>
      </c>
      <c r="G246">
        <f>HOUR(Table1[[#This Row],[order_time]])</f>
        <v>10</v>
      </c>
      <c r="H246" s="2">
        <v>0.43873842592592593</v>
      </c>
      <c r="I246" t="s">
        <v>16</v>
      </c>
      <c r="J246" t="s">
        <v>24</v>
      </c>
      <c r="K246">
        <v>3</v>
      </c>
      <c r="L246">
        <v>35</v>
      </c>
      <c r="M246">
        <v>105</v>
      </c>
      <c r="N246">
        <f>IF(COUNTIFS($B$2:B246,B246)=1,1,0)</f>
        <v>1</v>
      </c>
    </row>
    <row r="247" spans="1:14" x14ac:dyDescent="0.2">
      <c r="A247">
        <v>246</v>
      </c>
      <c r="B247">
        <v>1122</v>
      </c>
      <c r="C247">
        <f>1/COUNTIF(B:B,Table1[[#This Row],[order_id]])</f>
        <v>0.5</v>
      </c>
      <c r="D247" t="str">
        <f>TEXT(Table1[[#This Row],[order_date]],"mmmm")</f>
        <v>January</v>
      </c>
      <c r="E247" s="1">
        <v>45313</v>
      </c>
      <c r="F247" s="1" t="str">
        <f>TEXT(Table1[[#This Row],[order_date]],"dddd")</f>
        <v>Monday</v>
      </c>
      <c r="G247">
        <f>HOUR(Table1[[#This Row],[order_time]])</f>
        <v>15</v>
      </c>
      <c r="H247" s="2">
        <v>0.65767361111111111</v>
      </c>
      <c r="I247" t="s">
        <v>18</v>
      </c>
      <c r="J247" t="s">
        <v>19</v>
      </c>
      <c r="K247">
        <v>2</v>
      </c>
      <c r="L247">
        <v>50</v>
      </c>
      <c r="M247">
        <v>100</v>
      </c>
      <c r="N247">
        <f>IF(COUNTIFS($B$2:B247,B247)=1,1,0)</f>
        <v>0</v>
      </c>
    </row>
    <row r="248" spans="1:14" x14ac:dyDescent="0.2">
      <c r="A248">
        <v>247</v>
      </c>
      <c r="B248">
        <v>1123</v>
      </c>
      <c r="C248">
        <f>1/COUNTIF(B:B,Table1[[#This Row],[order_id]])</f>
        <v>1</v>
      </c>
      <c r="D248" t="str">
        <f>TEXT(Table1[[#This Row],[order_date]],"mmmm")</f>
        <v>January</v>
      </c>
      <c r="E248" s="1">
        <v>45314</v>
      </c>
      <c r="F248" s="1" t="str">
        <f>TEXT(Table1[[#This Row],[order_date]],"dddd")</f>
        <v>Tuesday</v>
      </c>
      <c r="G248">
        <f>HOUR(Table1[[#This Row],[order_time]])</f>
        <v>15</v>
      </c>
      <c r="H248" s="2">
        <v>0.65952546296296299</v>
      </c>
      <c r="I248" t="s">
        <v>16</v>
      </c>
      <c r="J248" t="s">
        <v>24</v>
      </c>
      <c r="K248">
        <v>4</v>
      </c>
      <c r="L248">
        <v>35</v>
      </c>
      <c r="M248">
        <v>140</v>
      </c>
      <c r="N248">
        <f>IF(COUNTIFS($B$2:B248,B248)=1,1,0)</f>
        <v>1</v>
      </c>
    </row>
    <row r="249" spans="1:14" x14ac:dyDescent="0.2">
      <c r="A249">
        <v>248</v>
      </c>
      <c r="B249">
        <v>1124</v>
      </c>
      <c r="C249">
        <f>1/COUNTIF(B:B,Table1[[#This Row],[order_id]])</f>
        <v>1</v>
      </c>
      <c r="D249" t="str">
        <f>TEXT(Table1[[#This Row],[order_date]],"mmmm")</f>
        <v>January</v>
      </c>
      <c r="E249" s="1">
        <v>45314</v>
      </c>
      <c r="F249" s="1" t="str">
        <f>TEXT(Table1[[#This Row],[order_date]],"dddd")</f>
        <v>Tuesday</v>
      </c>
      <c r="G249">
        <f>HOUR(Table1[[#This Row],[order_time]])</f>
        <v>20</v>
      </c>
      <c r="H249" s="2">
        <v>0.84793981481481484</v>
      </c>
      <c r="I249" t="s">
        <v>11</v>
      </c>
      <c r="J249" t="s">
        <v>12</v>
      </c>
      <c r="K249">
        <v>3</v>
      </c>
      <c r="L249">
        <v>650</v>
      </c>
      <c r="M249">
        <v>1950</v>
      </c>
      <c r="N249">
        <f>IF(COUNTIFS($B$2:B249,B249)=1,1,0)</f>
        <v>1</v>
      </c>
    </row>
    <row r="250" spans="1:14" x14ac:dyDescent="0.2">
      <c r="A250">
        <v>249</v>
      </c>
      <c r="B250">
        <v>1125</v>
      </c>
      <c r="C250">
        <f>1/COUNTIF(B:B,Table1[[#This Row],[order_id]])</f>
        <v>1</v>
      </c>
      <c r="D250" t="str">
        <f>TEXT(Table1[[#This Row],[order_date]],"mmmm")</f>
        <v>January</v>
      </c>
      <c r="E250" s="1">
        <v>45314</v>
      </c>
      <c r="F250" s="1" t="str">
        <f>TEXT(Table1[[#This Row],[order_date]],"dddd")</f>
        <v>Tuesday</v>
      </c>
      <c r="G250">
        <f>HOUR(Table1[[#This Row],[order_time]])</f>
        <v>15</v>
      </c>
      <c r="H250" s="2">
        <v>0.65540509259259261</v>
      </c>
      <c r="I250" t="s">
        <v>11</v>
      </c>
      <c r="J250" t="s">
        <v>25</v>
      </c>
      <c r="K250">
        <v>1</v>
      </c>
      <c r="L250">
        <v>1000</v>
      </c>
      <c r="M250">
        <v>1000</v>
      </c>
      <c r="N250">
        <f>IF(COUNTIFS($B$2:B250,B250)=1,1,0)</f>
        <v>1</v>
      </c>
    </row>
    <row r="251" spans="1:14" x14ac:dyDescent="0.2">
      <c r="A251">
        <v>250</v>
      </c>
      <c r="B251">
        <v>1126</v>
      </c>
      <c r="C251">
        <f>1/COUNTIF(B:B,Table1[[#This Row],[order_id]])</f>
        <v>0.33333333333333331</v>
      </c>
      <c r="D251" t="str">
        <f>TEXT(Table1[[#This Row],[order_date]],"mmmm")</f>
        <v>January</v>
      </c>
      <c r="E251" s="1">
        <v>45314</v>
      </c>
      <c r="F251" s="1" t="str">
        <f>TEXT(Table1[[#This Row],[order_date]],"dddd")</f>
        <v>Tuesday</v>
      </c>
      <c r="G251">
        <f>HOUR(Table1[[#This Row],[order_time]])</f>
        <v>20</v>
      </c>
      <c r="H251" s="2">
        <v>0.87261574074074078</v>
      </c>
      <c r="I251" t="s">
        <v>11</v>
      </c>
      <c r="J251" t="s">
        <v>14</v>
      </c>
      <c r="K251">
        <v>5</v>
      </c>
      <c r="L251">
        <v>700</v>
      </c>
      <c r="M251">
        <v>3500</v>
      </c>
      <c r="N251">
        <f>IF(COUNTIFS($B$2:B251,B251)=1,1,0)</f>
        <v>1</v>
      </c>
    </row>
    <row r="252" spans="1:14" x14ac:dyDescent="0.2">
      <c r="A252">
        <v>251</v>
      </c>
      <c r="B252">
        <v>1126</v>
      </c>
      <c r="C252">
        <f>1/COUNTIF(B:B,Table1[[#This Row],[order_id]])</f>
        <v>0.33333333333333331</v>
      </c>
      <c r="D252" t="str">
        <f>TEXT(Table1[[#This Row],[order_date]],"mmmm")</f>
        <v>January</v>
      </c>
      <c r="E252" s="1">
        <v>45314</v>
      </c>
      <c r="F252" s="1" t="str">
        <f>TEXT(Table1[[#This Row],[order_date]],"dddd")</f>
        <v>Tuesday</v>
      </c>
      <c r="G252">
        <f>HOUR(Table1[[#This Row],[order_time]])</f>
        <v>17</v>
      </c>
      <c r="H252" s="2">
        <v>0.74605324074074075</v>
      </c>
      <c r="I252" t="s">
        <v>9</v>
      </c>
      <c r="J252" t="s">
        <v>20</v>
      </c>
      <c r="K252">
        <v>1</v>
      </c>
      <c r="L252">
        <v>25</v>
      </c>
      <c r="M252">
        <v>25</v>
      </c>
      <c r="N252">
        <f>IF(COUNTIFS($B$2:B252,B252)=1,1,0)</f>
        <v>0</v>
      </c>
    </row>
    <row r="253" spans="1:14" x14ac:dyDescent="0.2">
      <c r="A253">
        <v>252</v>
      </c>
      <c r="B253">
        <v>1126</v>
      </c>
      <c r="C253">
        <f>1/COUNTIF(B:B,Table1[[#This Row],[order_id]])</f>
        <v>0.33333333333333331</v>
      </c>
      <c r="D253" t="str">
        <f>TEXT(Table1[[#This Row],[order_date]],"mmmm")</f>
        <v>January</v>
      </c>
      <c r="E253" s="1">
        <v>45314</v>
      </c>
      <c r="F253" s="1" t="str">
        <f>TEXT(Table1[[#This Row],[order_date]],"dddd")</f>
        <v>Tuesday</v>
      </c>
      <c r="G253">
        <f>HOUR(Table1[[#This Row],[order_time]])</f>
        <v>16</v>
      </c>
      <c r="H253" s="2">
        <v>0.68333333333333335</v>
      </c>
      <c r="I253" t="s">
        <v>16</v>
      </c>
      <c r="J253" t="s">
        <v>17</v>
      </c>
      <c r="K253">
        <v>5</v>
      </c>
      <c r="L253">
        <v>20</v>
      </c>
      <c r="M253">
        <v>100</v>
      </c>
      <c r="N253">
        <f>IF(COUNTIFS($B$2:B253,B253)=1,1,0)</f>
        <v>0</v>
      </c>
    </row>
    <row r="254" spans="1:14" x14ac:dyDescent="0.2">
      <c r="A254">
        <v>253</v>
      </c>
      <c r="B254">
        <v>1127</v>
      </c>
      <c r="C254">
        <f>1/COUNTIF(B:B,Table1[[#This Row],[order_id]])</f>
        <v>0.5</v>
      </c>
      <c r="D254" t="str">
        <f>TEXT(Table1[[#This Row],[order_date]],"mmmm")</f>
        <v>January</v>
      </c>
      <c r="E254" s="1">
        <v>45315</v>
      </c>
      <c r="F254" s="1" t="str">
        <f>TEXT(Table1[[#This Row],[order_date]],"dddd")</f>
        <v>Wednesday</v>
      </c>
      <c r="G254">
        <f>HOUR(Table1[[#This Row],[order_time]])</f>
        <v>9</v>
      </c>
      <c r="H254" s="2">
        <v>0.38465277777777779</v>
      </c>
      <c r="I254" t="s">
        <v>16</v>
      </c>
      <c r="J254" t="s">
        <v>17</v>
      </c>
      <c r="K254">
        <v>4</v>
      </c>
      <c r="L254">
        <v>20</v>
      </c>
      <c r="M254">
        <v>80</v>
      </c>
      <c r="N254">
        <f>IF(COUNTIFS($B$2:B254,B254)=1,1,0)</f>
        <v>1</v>
      </c>
    </row>
    <row r="255" spans="1:14" x14ac:dyDescent="0.2">
      <c r="A255">
        <v>254</v>
      </c>
      <c r="B255">
        <v>1127</v>
      </c>
      <c r="C255">
        <f>1/COUNTIF(B:B,Table1[[#This Row],[order_id]])</f>
        <v>0.5</v>
      </c>
      <c r="D255" t="str">
        <f>TEXT(Table1[[#This Row],[order_date]],"mmmm")</f>
        <v>January</v>
      </c>
      <c r="E255" s="1">
        <v>45315</v>
      </c>
      <c r="F255" s="1" t="str">
        <f>TEXT(Table1[[#This Row],[order_date]],"dddd")</f>
        <v>Wednesday</v>
      </c>
      <c r="G255">
        <f>HOUR(Table1[[#This Row],[order_time]])</f>
        <v>13</v>
      </c>
      <c r="H255" s="2">
        <v>0.54761574074074071</v>
      </c>
      <c r="I255" t="s">
        <v>16</v>
      </c>
      <c r="J255" t="s">
        <v>28</v>
      </c>
      <c r="K255">
        <v>2</v>
      </c>
      <c r="L255">
        <v>25</v>
      </c>
      <c r="M255">
        <v>50</v>
      </c>
      <c r="N255">
        <f>IF(COUNTIFS($B$2:B255,B255)=1,1,0)</f>
        <v>0</v>
      </c>
    </row>
    <row r="256" spans="1:14" x14ac:dyDescent="0.2">
      <c r="A256">
        <v>255</v>
      </c>
      <c r="B256">
        <v>1128</v>
      </c>
      <c r="C256">
        <f>1/COUNTIF(B:B,Table1[[#This Row],[order_id]])</f>
        <v>0.5</v>
      </c>
      <c r="D256" t="str">
        <f>TEXT(Table1[[#This Row],[order_date]],"mmmm")</f>
        <v>January</v>
      </c>
      <c r="E256" s="1">
        <v>45315</v>
      </c>
      <c r="F256" s="1" t="str">
        <f>TEXT(Table1[[#This Row],[order_date]],"dddd")</f>
        <v>Wednesday</v>
      </c>
      <c r="G256">
        <f>HOUR(Table1[[#This Row],[order_time]])</f>
        <v>16</v>
      </c>
      <c r="H256" s="2">
        <v>0.67150462962962965</v>
      </c>
      <c r="I256" t="s">
        <v>16</v>
      </c>
      <c r="J256" t="s">
        <v>28</v>
      </c>
      <c r="K256">
        <v>2</v>
      </c>
      <c r="L256">
        <v>25</v>
      </c>
      <c r="M256">
        <v>50</v>
      </c>
      <c r="N256">
        <f>IF(COUNTIFS($B$2:B256,B256)=1,1,0)</f>
        <v>1</v>
      </c>
    </row>
    <row r="257" spans="1:14" x14ac:dyDescent="0.2">
      <c r="A257">
        <v>256</v>
      </c>
      <c r="B257">
        <v>1128</v>
      </c>
      <c r="C257">
        <f>1/COUNTIF(B:B,Table1[[#This Row],[order_id]])</f>
        <v>0.5</v>
      </c>
      <c r="D257" t="str">
        <f>TEXT(Table1[[#This Row],[order_date]],"mmmm")</f>
        <v>January</v>
      </c>
      <c r="E257" s="1">
        <v>45315</v>
      </c>
      <c r="F257" s="1" t="str">
        <f>TEXT(Table1[[#This Row],[order_date]],"dddd")</f>
        <v>Wednesday</v>
      </c>
      <c r="G257">
        <f>HOUR(Table1[[#This Row],[order_time]])</f>
        <v>12</v>
      </c>
      <c r="H257" s="2">
        <v>0.51833333333333331</v>
      </c>
      <c r="I257" t="s">
        <v>18</v>
      </c>
      <c r="J257" t="s">
        <v>26</v>
      </c>
      <c r="K257">
        <v>4</v>
      </c>
      <c r="L257">
        <v>55</v>
      </c>
      <c r="M257">
        <v>220</v>
      </c>
      <c r="N257">
        <f>IF(COUNTIFS($B$2:B257,B257)=1,1,0)</f>
        <v>0</v>
      </c>
    </row>
    <row r="258" spans="1:14" x14ac:dyDescent="0.2">
      <c r="A258">
        <v>257</v>
      </c>
      <c r="B258">
        <v>1129</v>
      </c>
      <c r="C258">
        <f>1/COUNTIF(B:B,Table1[[#This Row],[order_id]])</f>
        <v>0.33333333333333331</v>
      </c>
      <c r="D258" t="str">
        <f>TEXT(Table1[[#This Row],[order_date]],"mmmm")</f>
        <v>January</v>
      </c>
      <c r="E258" s="1">
        <v>45315</v>
      </c>
      <c r="F258" s="1" t="str">
        <f>TEXT(Table1[[#This Row],[order_date]],"dddd")</f>
        <v>Wednesday</v>
      </c>
      <c r="G258">
        <f>HOUR(Table1[[#This Row],[order_time]])</f>
        <v>16</v>
      </c>
      <c r="H258" s="2">
        <v>0.67682870370370374</v>
      </c>
      <c r="I258" t="s">
        <v>11</v>
      </c>
      <c r="J258" t="s">
        <v>13</v>
      </c>
      <c r="K258">
        <v>4</v>
      </c>
      <c r="L258">
        <v>680</v>
      </c>
      <c r="M258">
        <v>2720</v>
      </c>
      <c r="N258">
        <f>IF(COUNTIFS($B$2:B258,B258)=1,1,0)</f>
        <v>1</v>
      </c>
    </row>
    <row r="259" spans="1:14" x14ac:dyDescent="0.2">
      <c r="A259">
        <v>258</v>
      </c>
      <c r="B259">
        <v>1129</v>
      </c>
      <c r="C259">
        <f>1/COUNTIF(B:B,Table1[[#This Row],[order_id]])</f>
        <v>0.33333333333333331</v>
      </c>
      <c r="D259" t="str">
        <f>TEXT(Table1[[#This Row],[order_date]],"mmmm")</f>
        <v>January</v>
      </c>
      <c r="E259" s="1">
        <v>45315</v>
      </c>
      <c r="F259" s="1" t="str">
        <f>TEXT(Table1[[#This Row],[order_date]],"dddd")</f>
        <v>Wednesday</v>
      </c>
      <c r="G259">
        <f>HOUR(Table1[[#This Row],[order_time]])</f>
        <v>16</v>
      </c>
      <c r="H259" s="2">
        <v>0.70636574074074077</v>
      </c>
      <c r="I259" t="s">
        <v>9</v>
      </c>
      <c r="J259" t="s">
        <v>20</v>
      </c>
      <c r="K259">
        <v>1</v>
      </c>
      <c r="L259">
        <v>25</v>
      </c>
      <c r="M259">
        <v>25</v>
      </c>
      <c r="N259">
        <f>IF(COUNTIFS($B$2:B259,B259)=1,1,0)</f>
        <v>0</v>
      </c>
    </row>
    <row r="260" spans="1:14" x14ac:dyDescent="0.2">
      <c r="A260">
        <v>259</v>
      </c>
      <c r="B260">
        <v>1129</v>
      </c>
      <c r="C260">
        <f>1/COUNTIF(B:B,Table1[[#This Row],[order_id]])</f>
        <v>0.33333333333333331</v>
      </c>
      <c r="D260" t="str">
        <f>TEXT(Table1[[#This Row],[order_date]],"mmmm")</f>
        <v>January</v>
      </c>
      <c r="E260" s="1">
        <v>45315</v>
      </c>
      <c r="F260" s="1" t="str">
        <f>TEXT(Table1[[#This Row],[order_date]],"dddd")</f>
        <v>Wednesday</v>
      </c>
      <c r="G260">
        <f>HOUR(Table1[[#This Row],[order_time]])</f>
        <v>19</v>
      </c>
      <c r="H260" s="2">
        <v>0.80030092592592594</v>
      </c>
      <c r="I260" t="s">
        <v>16</v>
      </c>
      <c r="J260" t="s">
        <v>24</v>
      </c>
      <c r="K260">
        <v>2</v>
      </c>
      <c r="L260">
        <v>35</v>
      </c>
      <c r="M260">
        <v>70</v>
      </c>
      <c r="N260">
        <f>IF(COUNTIFS($B$2:B260,B260)=1,1,0)</f>
        <v>0</v>
      </c>
    </row>
    <row r="261" spans="1:14" x14ac:dyDescent="0.2">
      <c r="A261">
        <v>260</v>
      </c>
      <c r="B261">
        <v>1130</v>
      </c>
      <c r="C261">
        <f>1/COUNTIF(B:B,Table1[[#This Row],[order_id]])</f>
        <v>0.5</v>
      </c>
      <c r="D261" t="str">
        <f>TEXT(Table1[[#This Row],[order_date]],"mmmm")</f>
        <v>January</v>
      </c>
      <c r="E261" s="1">
        <v>45315</v>
      </c>
      <c r="F261" s="1" t="str">
        <f>TEXT(Table1[[#This Row],[order_date]],"dddd")</f>
        <v>Wednesday</v>
      </c>
      <c r="G261">
        <f>HOUR(Table1[[#This Row],[order_time]])</f>
        <v>13</v>
      </c>
      <c r="H261" s="2">
        <v>0.56231481481481482</v>
      </c>
      <c r="I261" t="s">
        <v>16</v>
      </c>
      <c r="J261" t="s">
        <v>24</v>
      </c>
      <c r="K261">
        <v>1</v>
      </c>
      <c r="L261">
        <v>35</v>
      </c>
      <c r="M261">
        <v>35</v>
      </c>
      <c r="N261">
        <f>IF(COUNTIFS($B$2:B261,B261)=1,1,0)</f>
        <v>1</v>
      </c>
    </row>
    <row r="262" spans="1:14" x14ac:dyDescent="0.2">
      <c r="A262">
        <v>261</v>
      </c>
      <c r="B262">
        <v>1130</v>
      </c>
      <c r="C262">
        <f>1/COUNTIF(B:B,Table1[[#This Row],[order_id]])</f>
        <v>0.5</v>
      </c>
      <c r="D262" t="str">
        <f>TEXT(Table1[[#This Row],[order_date]],"mmmm")</f>
        <v>January</v>
      </c>
      <c r="E262" s="1">
        <v>45315</v>
      </c>
      <c r="F262" s="1" t="str">
        <f>TEXT(Table1[[#This Row],[order_date]],"dddd")</f>
        <v>Wednesday</v>
      </c>
      <c r="G262">
        <f>HOUR(Table1[[#This Row],[order_time]])</f>
        <v>20</v>
      </c>
      <c r="H262" s="2">
        <v>0.86929398148148151</v>
      </c>
      <c r="I262" t="s">
        <v>16</v>
      </c>
      <c r="J262" t="s">
        <v>24</v>
      </c>
      <c r="K262">
        <v>3</v>
      </c>
      <c r="L262">
        <v>35</v>
      </c>
      <c r="M262">
        <v>105</v>
      </c>
      <c r="N262">
        <f>IF(COUNTIFS($B$2:B262,B262)=1,1,0)</f>
        <v>0</v>
      </c>
    </row>
    <row r="263" spans="1:14" x14ac:dyDescent="0.2">
      <c r="A263">
        <v>262</v>
      </c>
      <c r="B263">
        <v>1131</v>
      </c>
      <c r="C263">
        <f>1/COUNTIF(B:B,Table1[[#This Row],[order_id]])</f>
        <v>0.5</v>
      </c>
      <c r="D263" t="str">
        <f>TEXT(Table1[[#This Row],[order_date]],"mmmm")</f>
        <v>January</v>
      </c>
      <c r="E263" s="1">
        <v>45315</v>
      </c>
      <c r="F263" s="1" t="str">
        <f>TEXT(Table1[[#This Row],[order_date]],"dddd")</f>
        <v>Wednesday</v>
      </c>
      <c r="G263">
        <f>HOUR(Table1[[#This Row],[order_time]])</f>
        <v>9</v>
      </c>
      <c r="H263" s="2">
        <v>0.41469907407407408</v>
      </c>
      <c r="I263" t="s">
        <v>9</v>
      </c>
      <c r="J263" t="s">
        <v>20</v>
      </c>
      <c r="K263">
        <v>3</v>
      </c>
      <c r="L263">
        <v>25</v>
      </c>
      <c r="M263">
        <v>75</v>
      </c>
      <c r="N263">
        <f>IF(COUNTIFS($B$2:B263,B263)=1,1,0)</f>
        <v>1</v>
      </c>
    </row>
    <row r="264" spans="1:14" x14ac:dyDescent="0.2">
      <c r="A264">
        <v>263</v>
      </c>
      <c r="B264">
        <v>1131</v>
      </c>
      <c r="C264">
        <f>1/COUNTIF(B:B,Table1[[#This Row],[order_id]])</f>
        <v>0.5</v>
      </c>
      <c r="D264" t="str">
        <f>TEXT(Table1[[#This Row],[order_date]],"mmmm")</f>
        <v>January</v>
      </c>
      <c r="E264" s="1">
        <v>45315</v>
      </c>
      <c r="F264" s="1" t="str">
        <f>TEXT(Table1[[#This Row],[order_date]],"dddd")</f>
        <v>Wednesday</v>
      </c>
      <c r="G264">
        <f>HOUR(Table1[[#This Row],[order_time]])</f>
        <v>20</v>
      </c>
      <c r="H264" s="2">
        <v>0.86304398148148154</v>
      </c>
      <c r="I264" t="s">
        <v>18</v>
      </c>
      <c r="J264" t="s">
        <v>27</v>
      </c>
      <c r="K264">
        <v>1</v>
      </c>
      <c r="L264">
        <v>40</v>
      </c>
      <c r="M264">
        <v>40</v>
      </c>
      <c r="N264">
        <f>IF(COUNTIFS($B$2:B264,B264)=1,1,0)</f>
        <v>0</v>
      </c>
    </row>
    <row r="265" spans="1:14" x14ac:dyDescent="0.2">
      <c r="A265">
        <v>264</v>
      </c>
      <c r="B265">
        <v>1132</v>
      </c>
      <c r="C265">
        <f>1/COUNTIF(B:B,Table1[[#This Row],[order_id]])</f>
        <v>1</v>
      </c>
      <c r="D265" t="str">
        <f>TEXT(Table1[[#This Row],[order_date]],"mmmm")</f>
        <v>January</v>
      </c>
      <c r="E265" s="1">
        <v>45315</v>
      </c>
      <c r="F265" s="1" t="str">
        <f>TEXT(Table1[[#This Row],[order_date]],"dddd")</f>
        <v>Wednesday</v>
      </c>
      <c r="G265">
        <f>HOUR(Table1[[#This Row],[order_time]])</f>
        <v>20</v>
      </c>
      <c r="H265" s="2">
        <v>0.84504629629629635</v>
      </c>
      <c r="I265" t="s">
        <v>18</v>
      </c>
      <c r="J265" t="s">
        <v>30</v>
      </c>
      <c r="K265">
        <v>5</v>
      </c>
      <c r="L265">
        <v>60</v>
      </c>
      <c r="M265">
        <v>300</v>
      </c>
      <c r="N265">
        <f>IF(COUNTIFS($B$2:B265,B265)=1,1,0)</f>
        <v>1</v>
      </c>
    </row>
    <row r="266" spans="1:14" x14ac:dyDescent="0.2">
      <c r="A266">
        <v>265</v>
      </c>
      <c r="B266">
        <v>1133</v>
      </c>
      <c r="C266">
        <f>1/COUNTIF(B:B,Table1[[#This Row],[order_id]])</f>
        <v>0.5</v>
      </c>
      <c r="D266" t="str">
        <f>TEXT(Table1[[#This Row],[order_date]],"mmmm")</f>
        <v>January</v>
      </c>
      <c r="E266" s="1">
        <v>45315</v>
      </c>
      <c r="F266" s="1" t="str">
        <f>TEXT(Table1[[#This Row],[order_date]],"dddd")</f>
        <v>Wednesday</v>
      </c>
      <c r="G266">
        <f>HOUR(Table1[[#This Row],[order_time]])</f>
        <v>20</v>
      </c>
      <c r="H266" s="2">
        <v>0.84488425925925925</v>
      </c>
      <c r="I266" t="s">
        <v>16</v>
      </c>
      <c r="J266" t="s">
        <v>28</v>
      </c>
      <c r="K266">
        <v>3</v>
      </c>
      <c r="L266">
        <v>25</v>
      </c>
      <c r="M266">
        <v>75</v>
      </c>
      <c r="N266">
        <f>IF(COUNTIFS($B$2:B266,B266)=1,1,0)</f>
        <v>1</v>
      </c>
    </row>
    <row r="267" spans="1:14" x14ac:dyDescent="0.2">
      <c r="A267">
        <v>266</v>
      </c>
      <c r="B267">
        <v>1133</v>
      </c>
      <c r="C267">
        <f>1/COUNTIF(B:B,Table1[[#This Row],[order_id]])</f>
        <v>0.5</v>
      </c>
      <c r="D267" t="str">
        <f>TEXT(Table1[[#This Row],[order_date]],"mmmm")</f>
        <v>January</v>
      </c>
      <c r="E267" s="1">
        <v>45315</v>
      </c>
      <c r="F267" s="1" t="str">
        <f>TEXT(Table1[[#This Row],[order_date]],"dddd")</f>
        <v>Wednesday</v>
      </c>
      <c r="G267">
        <f>HOUR(Table1[[#This Row],[order_time]])</f>
        <v>13</v>
      </c>
      <c r="H267" s="2">
        <v>0.56579861111111107</v>
      </c>
      <c r="I267" t="s">
        <v>9</v>
      </c>
      <c r="J267" t="s">
        <v>20</v>
      </c>
      <c r="K267">
        <v>4</v>
      </c>
      <c r="L267">
        <v>25</v>
      </c>
      <c r="M267">
        <v>100</v>
      </c>
      <c r="N267">
        <f>IF(COUNTIFS($B$2:B267,B267)=1,1,0)</f>
        <v>0</v>
      </c>
    </row>
    <row r="268" spans="1:14" x14ac:dyDescent="0.2">
      <c r="A268">
        <v>267</v>
      </c>
      <c r="B268">
        <v>1134</v>
      </c>
      <c r="C268">
        <f>1/COUNTIF(B:B,Table1[[#This Row],[order_id]])</f>
        <v>1</v>
      </c>
      <c r="D268" t="str">
        <f>TEXT(Table1[[#This Row],[order_date]],"mmmm")</f>
        <v>January</v>
      </c>
      <c r="E268" s="1">
        <v>45315</v>
      </c>
      <c r="F268" s="1" t="str">
        <f>TEXT(Table1[[#This Row],[order_date]],"dddd")</f>
        <v>Wednesday</v>
      </c>
      <c r="G268">
        <f>HOUR(Table1[[#This Row],[order_time]])</f>
        <v>17</v>
      </c>
      <c r="H268" s="2">
        <v>0.73615740740740743</v>
      </c>
      <c r="I268" t="s">
        <v>16</v>
      </c>
      <c r="J268" t="s">
        <v>23</v>
      </c>
      <c r="K268">
        <v>3</v>
      </c>
      <c r="L268">
        <v>30</v>
      </c>
      <c r="M268">
        <v>90</v>
      </c>
      <c r="N268">
        <f>IF(COUNTIFS($B$2:B268,B268)=1,1,0)</f>
        <v>1</v>
      </c>
    </row>
    <row r="269" spans="1:14" x14ac:dyDescent="0.2">
      <c r="A269">
        <v>268</v>
      </c>
      <c r="B269">
        <v>1135</v>
      </c>
      <c r="C269">
        <f>1/COUNTIF(B:B,Table1[[#This Row],[order_id]])</f>
        <v>0.33333333333333331</v>
      </c>
      <c r="D269" t="str">
        <f>TEXT(Table1[[#This Row],[order_date]],"mmmm")</f>
        <v>January</v>
      </c>
      <c r="E269" s="1">
        <v>45316</v>
      </c>
      <c r="F269" s="1" t="str">
        <f>TEXT(Table1[[#This Row],[order_date]],"dddd")</f>
        <v>Thursday</v>
      </c>
      <c r="G269">
        <f>HOUR(Table1[[#This Row],[order_time]])</f>
        <v>10</v>
      </c>
      <c r="H269" s="2">
        <v>0.44114583333333335</v>
      </c>
      <c r="I269" t="s">
        <v>11</v>
      </c>
      <c r="J269" t="s">
        <v>13</v>
      </c>
      <c r="K269">
        <v>5</v>
      </c>
      <c r="L269">
        <v>680</v>
      </c>
      <c r="M269">
        <v>3400</v>
      </c>
      <c r="N269">
        <f>IF(COUNTIFS($B$2:B269,B269)=1,1,0)</f>
        <v>1</v>
      </c>
    </row>
    <row r="270" spans="1:14" x14ac:dyDescent="0.2">
      <c r="A270">
        <v>269</v>
      </c>
      <c r="B270">
        <v>1135</v>
      </c>
      <c r="C270">
        <f>1/COUNTIF(B:B,Table1[[#This Row],[order_id]])</f>
        <v>0.33333333333333331</v>
      </c>
      <c r="D270" t="str">
        <f>TEXT(Table1[[#This Row],[order_date]],"mmmm")</f>
        <v>January</v>
      </c>
      <c r="E270" s="1">
        <v>45316</v>
      </c>
      <c r="F270" s="1" t="str">
        <f>TEXT(Table1[[#This Row],[order_date]],"dddd")</f>
        <v>Thursday</v>
      </c>
      <c r="G270">
        <f>HOUR(Table1[[#This Row],[order_time]])</f>
        <v>16</v>
      </c>
      <c r="H270" s="2">
        <v>0.66682870370370373</v>
      </c>
      <c r="I270" t="s">
        <v>18</v>
      </c>
      <c r="J270" t="s">
        <v>31</v>
      </c>
      <c r="K270">
        <v>1</v>
      </c>
      <c r="L270">
        <v>45</v>
      </c>
      <c r="M270">
        <v>45</v>
      </c>
      <c r="N270">
        <f>IF(COUNTIFS($B$2:B270,B270)=1,1,0)</f>
        <v>0</v>
      </c>
    </row>
    <row r="271" spans="1:14" x14ac:dyDescent="0.2">
      <c r="A271">
        <v>270</v>
      </c>
      <c r="B271">
        <v>1135</v>
      </c>
      <c r="C271">
        <f>1/COUNTIF(B:B,Table1[[#This Row],[order_id]])</f>
        <v>0.33333333333333331</v>
      </c>
      <c r="D271" t="str">
        <f>TEXT(Table1[[#This Row],[order_date]],"mmmm")</f>
        <v>January</v>
      </c>
      <c r="E271" s="1">
        <v>45316</v>
      </c>
      <c r="F271" s="1" t="str">
        <f>TEXT(Table1[[#This Row],[order_date]],"dddd")</f>
        <v>Thursday</v>
      </c>
      <c r="G271">
        <f>HOUR(Table1[[#This Row],[order_time]])</f>
        <v>15</v>
      </c>
      <c r="H271" s="2">
        <v>0.65863425925925922</v>
      </c>
      <c r="I271" t="s">
        <v>18</v>
      </c>
      <c r="J271" t="s">
        <v>26</v>
      </c>
      <c r="K271">
        <v>3</v>
      </c>
      <c r="L271">
        <v>55</v>
      </c>
      <c r="M271">
        <v>165</v>
      </c>
      <c r="N271">
        <f>IF(COUNTIFS($B$2:B271,B271)=1,1,0)</f>
        <v>0</v>
      </c>
    </row>
    <row r="272" spans="1:14" x14ac:dyDescent="0.2">
      <c r="A272">
        <v>271</v>
      </c>
      <c r="B272">
        <v>1136</v>
      </c>
      <c r="C272">
        <f>1/COUNTIF(B:B,Table1[[#This Row],[order_id]])</f>
        <v>0.5</v>
      </c>
      <c r="D272" t="str">
        <f>TEXT(Table1[[#This Row],[order_date]],"mmmm")</f>
        <v>January</v>
      </c>
      <c r="E272" s="1">
        <v>45316</v>
      </c>
      <c r="F272" s="1" t="str">
        <f>TEXT(Table1[[#This Row],[order_date]],"dddd")</f>
        <v>Thursday</v>
      </c>
      <c r="G272">
        <f>HOUR(Table1[[#This Row],[order_time]])</f>
        <v>12</v>
      </c>
      <c r="H272" s="2">
        <v>0.52908564814814818</v>
      </c>
      <c r="I272" t="s">
        <v>9</v>
      </c>
      <c r="J272" t="s">
        <v>10</v>
      </c>
      <c r="K272">
        <v>2</v>
      </c>
      <c r="L272">
        <v>20</v>
      </c>
      <c r="M272">
        <v>40</v>
      </c>
      <c r="N272">
        <f>IF(COUNTIFS($B$2:B272,B272)=1,1,0)</f>
        <v>1</v>
      </c>
    </row>
    <row r="273" spans="1:14" x14ac:dyDescent="0.2">
      <c r="A273">
        <v>272</v>
      </c>
      <c r="B273">
        <v>1136</v>
      </c>
      <c r="C273">
        <f>1/COUNTIF(B:B,Table1[[#This Row],[order_id]])</f>
        <v>0.5</v>
      </c>
      <c r="D273" t="str">
        <f>TEXT(Table1[[#This Row],[order_date]],"mmmm")</f>
        <v>January</v>
      </c>
      <c r="E273" s="1">
        <v>45316</v>
      </c>
      <c r="F273" s="1" t="str">
        <f>TEXT(Table1[[#This Row],[order_date]],"dddd")</f>
        <v>Thursday</v>
      </c>
      <c r="G273">
        <f>HOUR(Table1[[#This Row],[order_time]])</f>
        <v>10</v>
      </c>
      <c r="H273" s="2">
        <v>0.44344907407407408</v>
      </c>
      <c r="I273" t="s">
        <v>9</v>
      </c>
      <c r="J273" t="s">
        <v>21</v>
      </c>
      <c r="K273">
        <v>3</v>
      </c>
      <c r="L273">
        <v>10</v>
      </c>
      <c r="M273">
        <v>30</v>
      </c>
      <c r="N273">
        <f>IF(COUNTIFS($B$2:B273,B273)=1,1,0)</f>
        <v>0</v>
      </c>
    </row>
    <row r="274" spans="1:14" x14ac:dyDescent="0.2">
      <c r="A274">
        <v>273</v>
      </c>
      <c r="B274">
        <v>1137</v>
      </c>
      <c r="C274">
        <f>1/COUNTIF(B:B,Table1[[#This Row],[order_id]])</f>
        <v>1</v>
      </c>
      <c r="D274" t="str">
        <f>TEXT(Table1[[#This Row],[order_date]],"mmmm")</f>
        <v>January</v>
      </c>
      <c r="E274" s="1">
        <v>45316</v>
      </c>
      <c r="F274" s="1" t="str">
        <f>TEXT(Table1[[#This Row],[order_date]],"dddd")</f>
        <v>Thursday</v>
      </c>
      <c r="G274">
        <f>HOUR(Table1[[#This Row],[order_time]])</f>
        <v>18</v>
      </c>
      <c r="H274" s="2">
        <v>0.76787037037037043</v>
      </c>
      <c r="I274" t="s">
        <v>16</v>
      </c>
      <c r="J274" t="s">
        <v>23</v>
      </c>
      <c r="K274">
        <v>4</v>
      </c>
      <c r="L274">
        <v>30</v>
      </c>
      <c r="M274">
        <v>120</v>
      </c>
      <c r="N274">
        <f>IF(COUNTIFS($B$2:B274,B274)=1,1,0)</f>
        <v>1</v>
      </c>
    </row>
    <row r="275" spans="1:14" x14ac:dyDescent="0.2">
      <c r="A275">
        <v>274</v>
      </c>
      <c r="B275">
        <v>1138</v>
      </c>
      <c r="C275">
        <f>1/COUNTIF(B:B,Table1[[#This Row],[order_id]])</f>
        <v>0.5</v>
      </c>
      <c r="D275" t="str">
        <f>TEXT(Table1[[#This Row],[order_date]],"mmmm")</f>
        <v>January</v>
      </c>
      <c r="E275" s="1">
        <v>45317</v>
      </c>
      <c r="F275" s="1" t="str">
        <f>TEXT(Table1[[#This Row],[order_date]],"dddd")</f>
        <v>Friday</v>
      </c>
      <c r="G275">
        <f>HOUR(Table1[[#This Row],[order_time]])</f>
        <v>10</v>
      </c>
      <c r="H275" s="2">
        <v>0.41946759259259259</v>
      </c>
      <c r="I275" t="s">
        <v>11</v>
      </c>
      <c r="J275" t="s">
        <v>13</v>
      </c>
      <c r="K275">
        <v>5</v>
      </c>
      <c r="L275">
        <v>680</v>
      </c>
      <c r="M275">
        <v>3400</v>
      </c>
      <c r="N275">
        <f>IF(COUNTIFS($B$2:B275,B275)=1,1,0)</f>
        <v>1</v>
      </c>
    </row>
    <row r="276" spans="1:14" x14ac:dyDescent="0.2">
      <c r="A276">
        <v>275</v>
      </c>
      <c r="B276">
        <v>1138</v>
      </c>
      <c r="C276">
        <f>1/COUNTIF(B:B,Table1[[#This Row],[order_id]])</f>
        <v>0.5</v>
      </c>
      <c r="D276" t="str">
        <f>TEXT(Table1[[#This Row],[order_date]],"mmmm")</f>
        <v>January</v>
      </c>
      <c r="E276" s="1">
        <v>45317</v>
      </c>
      <c r="F276" s="1" t="str">
        <f>TEXT(Table1[[#This Row],[order_date]],"dddd")</f>
        <v>Friday</v>
      </c>
      <c r="G276">
        <f>HOUR(Table1[[#This Row],[order_time]])</f>
        <v>18</v>
      </c>
      <c r="H276" s="2">
        <v>0.77008101851851851</v>
      </c>
      <c r="I276" t="s">
        <v>18</v>
      </c>
      <c r="J276" t="s">
        <v>26</v>
      </c>
      <c r="K276">
        <v>5</v>
      </c>
      <c r="L276">
        <v>55</v>
      </c>
      <c r="M276">
        <v>275</v>
      </c>
      <c r="N276">
        <f>IF(COUNTIFS($B$2:B276,B276)=1,1,0)</f>
        <v>0</v>
      </c>
    </row>
    <row r="277" spans="1:14" x14ac:dyDescent="0.2">
      <c r="A277">
        <v>276</v>
      </c>
      <c r="B277">
        <v>1139</v>
      </c>
      <c r="C277">
        <f>1/COUNTIF(B:B,Table1[[#This Row],[order_id]])</f>
        <v>0.5</v>
      </c>
      <c r="D277" t="str">
        <f>TEXT(Table1[[#This Row],[order_date]],"mmmm")</f>
        <v>January</v>
      </c>
      <c r="E277" s="1">
        <v>45317</v>
      </c>
      <c r="F277" s="1" t="str">
        <f>TEXT(Table1[[#This Row],[order_date]],"dddd")</f>
        <v>Friday</v>
      </c>
      <c r="G277">
        <f>HOUR(Table1[[#This Row],[order_time]])</f>
        <v>20</v>
      </c>
      <c r="H277" s="2">
        <v>0.86236111111111113</v>
      </c>
      <c r="I277" t="s">
        <v>16</v>
      </c>
      <c r="J277" t="s">
        <v>28</v>
      </c>
      <c r="K277">
        <v>5</v>
      </c>
      <c r="L277">
        <v>25</v>
      </c>
      <c r="M277">
        <v>125</v>
      </c>
      <c r="N277">
        <f>IF(COUNTIFS($B$2:B277,B277)=1,1,0)</f>
        <v>1</v>
      </c>
    </row>
    <row r="278" spans="1:14" x14ac:dyDescent="0.2">
      <c r="A278">
        <v>277</v>
      </c>
      <c r="B278">
        <v>1139</v>
      </c>
      <c r="C278">
        <f>1/COUNTIF(B:B,Table1[[#This Row],[order_id]])</f>
        <v>0.5</v>
      </c>
      <c r="D278" t="str">
        <f>TEXT(Table1[[#This Row],[order_date]],"mmmm")</f>
        <v>January</v>
      </c>
      <c r="E278" s="1">
        <v>45317</v>
      </c>
      <c r="F278" s="1" t="str">
        <f>TEXT(Table1[[#This Row],[order_date]],"dddd")</f>
        <v>Friday</v>
      </c>
      <c r="G278">
        <f>HOUR(Table1[[#This Row],[order_time]])</f>
        <v>13</v>
      </c>
      <c r="H278" s="2">
        <v>0.57589120370370372</v>
      </c>
      <c r="I278" t="s">
        <v>9</v>
      </c>
      <c r="J278" t="s">
        <v>10</v>
      </c>
      <c r="K278">
        <v>1</v>
      </c>
      <c r="L278">
        <v>20</v>
      </c>
      <c r="M278">
        <v>20</v>
      </c>
      <c r="N278">
        <f>IF(COUNTIFS($B$2:B278,B278)=1,1,0)</f>
        <v>0</v>
      </c>
    </row>
    <row r="279" spans="1:14" x14ac:dyDescent="0.2">
      <c r="A279">
        <v>278</v>
      </c>
      <c r="B279">
        <v>1140</v>
      </c>
      <c r="C279">
        <f>1/COUNTIF(B:B,Table1[[#This Row],[order_id]])</f>
        <v>1</v>
      </c>
      <c r="D279" t="str">
        <f>TEXT(Table1[[#This Row],[order_date]],"mmmm")</f>
        <v>January</v>
      </c>
      <c r="E279" s="1">
        <v>45317</v>
      </c>
      <c r="F279" s="1" t="str">
        <f>TEXT(Table1[[#This Row],[order_date]],"dddd")</f>
        <v>Friday</v>
      </c>
      <c r="G279">
        <f>HOUR(Table1[[#This Row],[order_time]])</f>
        <v>15</v>
      </c>
      <c r="H279" s="2">
        <v>0.65325231481481483</v>
      </c>
      <c r="I279" t="s">
        <v>16</v>
      </c>
      <c r="J279" t="s">
        <v>23</v>
      </c>
      <c r="K279">
        <v>4</v>
      </c>
      <c r="L279">
        <v>30</v>
      </c>
      <c r="M279">
        <v>120</v>
      </c>
      <c r="N279">
        <f>IF(COUNTIFS($B$2:B279,B279)=1,1,0)</f>
        <v>1</v>
      </c>
    </row>
    <row r="280" spans="1:14" x14ac:dyDescent="0.2">
      <c r="A280">
        <v>279</v>
      </c>
      <c r="B280">
        <v>1141</v>
      </c>
      <c r="C280">
        <f>1/COUNTIF(B:B,Table1[[#This Row],[order_id]])</f>
        <v>0.33333333333333331</v>
      </c>
      <c r="D280" t="str">
        <f>TEXT(Table1[[#This Row],[order_date]],"mmmm")</f>
        <v>January</v>
      </c>
      <c r="E280" s="1">
        <v>45317</v>
      </c>
      <c r="F280" s="1" t="str">
        <f>TEXT(Table1[[#This Row],[order_date]],"dddd")</f>
        <v>Friday</v>
      </c>
      <c r="G280">
        <f>HOUR(Table1[[#This Row],[order_time]])</f>
        <v>15</v>
      </c>
      <c r="H280" s="2">
        <v>0.63356481481481486</v>
      </c>
      <c r="I280" t="s">
        <v>9</v>
      </c>
      <c r="J280" t="s">
        <v>22</v>
      </c>
      <c r="K280">
        <v>1</v>
      </c>
      <c r="L280">
        <v>15</v>
      </c>
      <c r="M280">
        <v>15</v>
      </c>
      <c r="N280">
        <f>IF(COUNTIFS($B$2:B280,B280)=1,1,0)</f>
        <v>1</v>
      </c>
    </row>
    <row r="281" spans="1:14" x14ac:dyDescent="0.2">
      <c r="A281">
        <v>280</v>
      </c>
      <c r="B281">
        <v>1141</v>
      </c>
      <c r="C281">
        <f>1/COUNTIF(B:B,Table1[[#This Row],[order_id]])</f>
        <v>0.33333333333333331</v>
      </c>
      <c r="D281" t="str">
        <f>TEXT(Table1[[#This Row],[order_date]],"mmmm")</f>
        <v>January</v>
      </c>
      <c r="E281" s="1">
        <v>45317</v>
      </c>
      <c r="F281" s="1" t="str">
        <f>TEXT(Table1[[#This Row],[order_date]],"dddd")</f>
        <v>Friday</v>
      </c>
      <c r="G281">
        <f>HOUR(Table1[[#This Row],[order_time]])</f>
        <v>12</v>
      </c>
      <c r="H281" s="2">
        <v>0.52568287037037043</v>
      </c>
      <c r="I281" t="s">
        <v>11</v>
      </c>
      <c r="J281" t="s">
        <v>25</v>
      </c>
      <c r="K281">
        <v>3</v>
      </c>
      <c r="L281">
        <v>1000</v>
      </c>
      <c r="M281">
        <v>3000</v>
      </c>
      <c r="N281">
        <f>IF(COUNTIFS($B$2:B281,B281)=1,1,0)</f>
        <v>0</v>
      </c>
    </row>
    <row r="282" spans="1:14" x14ac:dyDescent="0.2">
      <c r="A282">
        <v>281</v>
      </c>
      <c r="B282">
        <v>1141</v>
      </c>
      <c r="C282">
        <f>1/COUNTIF(B:B,Table1[[#This Row],[order_id]])</f>
        <v>0.33333333333333331</v>
      </c>
      <c r="D282" t="str">
        <f>TEXT(Table1[[#This Row],[order_date]],"mmmm")</f>
        <v>January</v>
      </c>
      <c r="E282" s="1">
        <v>45317</v>
      </c>
      <c r="F282" s="1" t="str">
        <f>TEXT(Table1[[#This Row],[order_date]],"dddd")</f>
        <v>Friday</v>
      </c>
      <c r="G282">
        <f>HOUR(Table1[[#This Row],[order_time]])</f>
        <v>13</v>
      </c>
      <c r="H282" s="2">
        <v>0.5767592592592593</v>
      </c>
      <c r="I282" t="s">
        <v>16</v>
      </c>
      <c r="J282" t="s">
        <v>23</v>
      </c>
      <c r="K282">
        <v>1</v>
      </c>
      <c r="L282">
        <v>30</v>
      </c>
      <c r="M282">
        <v>30</v>
      </c>
      <c r="N282">
        <f>IF(COUNTIFS($B$2:B282,B282)=1,1,0)</f>
        <v>0</v>
      </c>
    </row>
    <row r="283" spans="1:14" x14ac:dyDescent="0.2">
      <c r="A283">
        <v>282</v>
      </c>
      <c r="B283">
        <v>1142</v>
      </c>
      <c r="C283">
        <f>1/COUNTIF(B:B,Table1[[#This Row],[order_id]])</f>
        <v>1</v>
      </c>
      <c r="D283" t="str">
        <f>TEXT(Table1[[#This Row],[order_date]],"mmmm")</f>
        <v>January</v>
      </c>
      <c r="E283" s="1">
        <v>45317</v>
      </c>
      <c r="F283" s="1" t="str">
        <f>TEXT(Table1[[#This Row],[order_date]],"dddd")</f>
        <v>Friday</v>
      </c>
      <c r="G283">
        <f>HOUR(Table1[[#This Row],[order_time]])</f>
        <v>13</v>
      </c>
      <c r="H283" s="2">
        <v>0.58035879629629628</v>
      </c>
      <c r="I283" t="s">
        <v>9</v>
      </c>
      <c r="J283" t="s">
        <v>10</v>
      </c>
      <c r="K283">
        <v>4</v>
      </c>
      <c r="L283">
        <v>20</v>
      </c>
      <c r="M283">
        <v>80</v>
      </c>
      <c r="N283">
        <f>IF(COUNTIFS($B$2:B283,B283)=1,1,0)</f>
        <v>1</v>
      </c>
    </row>
    <row r="284" spans="1:14" x14ac:dyDescent="0.2">
      <c r="A284">
        <v>283</v>
      </c>
      <c r="B284">
        <v>1143</v>
      </c>
      <c r="C284">
        <f>1/COUNTIF(B:B,Table1[[#This Row],[order_id]])</f>
        <v>0.5</v>
      </c>
      <c r="D284" t="str">
        <f>TEXT(Table1[[#This Row],[order_date]],"mmmm")</f>
        <v>January</v>
      </c>
      <c r="E284" s="1">
        <v>45318</v>
      </c>
      <c r="F284" s="1" t="str">
        <f>TEXT(Table1[[#This Row],[order_date]],"dddd")</f>
        <v>Saturday</v>
      </c>
      <c r="G284">
        <f>HOUR(Table1[[#This Row],[order_time]])</f>
        <v>13</v>
      </c>
      <c r="H284" s="2">
        <v>0.57542824074074073</v>
      </c>
      <c r="I284" t="s">
        <v>11</v>
      </c>
      <c r="J284" t="s">
        <v>15</v>
      </c>
      <c r="K284">
        <v>2</v>
      </c>
      <c r="L284">
        <v>600</v>
      </c>
      <c r="M284">
        <v>1200</v>
      </c>
      <c r="N284">
        <f>IF(COUNTIFS($B$2:B284,B284)=1,1,0)</f>
        <v>1</v>
      </c>
    </row>
    <row r="285" spans="1:14" x14ac:dyDescent="0.2">
      <c r="A285">
        <v>284</v>
      </c>
      <c r="B285">
        <v>1143</v>
      </c>
      <c r="C285">
        <f>1/COUNTIF(B:B,Table1[[#This Row],[order_id]])</f>
        <v>0.5</v>
      </c>
      <c r="D285" t="str">
        <f>TEXT(Table1[[#This Row],[order_date]],"mmmm")</f>
        <v>January</v>
      </c>
      <c r="E285" s="1">
        <v>45318</v>
      </c>
      <c r="F285" s="1" t="str">
        <f>TEXT(Table1[[#This Row],[order_date]],"dddd")</f>
        <v>Saturday</v>
      </c>
      <c r="G285">
        <f>HOUR(Table1[[#This Row],[order_time]])</f>
        <v>10</v>
      </c>
      <c r="H285" s="2">
        <v>0.45292824074074073</v>
      </c>
      <c r="I285" t="s">
        <v>18</v>
      </c>
      <c r="J285" t="s">
        <v>31</v>
      </c>
      <c r="K285">
        <v>4</v>
      </c>
      <c r="L285">
        <v>45</v>
      </c>
      <c r="M285">
        <v>180</v>
      </c>
      <c r="N285">
        <f>IF(COUNTIFS($B$2:B285,B285)=1,1,0)</f>
        <v>0</v>
      </c>
    </row>
    <row r="286" spans="1:14" x14ac:dyDescent="0.2">
      <c r="A286">
        <v>285</v>
      </c>
      <c r="B286">
        <v>1144</v>
      </c>
      <c r="C286">
        <f>1/COUNTIF(B:B,Table1[[#This Row],[order_id]])</f>
        <v>0.33333333333333331</v>
      </c>
      <c r="D286" t="str">
        <f>TEXT(Table1[[#This Row],[order_date]],"mmmm")</f>
        <v>January</v>
      </c>
      <c r="E286" s="1">
        <v>45318</v>
      </c>
      <c r="F286" s="1" t="str">
        <f>TEXT(Table1[[#This Row],[order_date]],"dddd")</f>
        <v>Saturday</v>
      </c>
      <c r="G286">
        <f>HOUR(Table1[[#This Row],[order_time]])</f>
        <v>20</v>
      </c>
      <c r="H286" s="2">
        <v>0.84329861111111115</v>
      </c>
      <c r="I286" t="s">
        <v>18</v>
      </c>
      <c r="J286" t="s">
        <v>27</v>
      </c>
      <c r="K286">
        <v>5</v>
      </c>
      <c r="L286">
        <v>40</v>
      </c>
      <c r="M286">
        <v>200</v>
      </c>
      <c r="N286">
        <f>IF(COUNTIFS($B$2:B286,B286)=1,1,0)</f>
        <v>1</v>
      </c>
    </row>
    <row r="287" spans="1:14" x14ac:dyDescent="0.2">
      <c r="A287">
        <v>286</v>
      </c>
      <c r="B287">
        <v>1144</v>
      </c>
      <c r="C287">
        <f>1/COUNTIF(B:B,Table1[[#This Row],[order_id]])</f>
        <v>0.33333333333333331</v>
      </c>
      <c r="D287" t="str">
        <f>TEXT(Table1[[#This Row],[order_date]],"mmmm")</f>
        <v>January</v>
      </c>
      <c r="E287" s="1">
        <v>45318</v>
      </c>
      <c r="F287" s="1" t="str">
        <f>TEXT(Table1[[#This Row],[order_date]],"dddd")</f>
        <v>Saturday</v>
      </c>
      <c r="G287">
        <f>HOUR(Table1[[#This Row],[order_time]])</f>
        <v>14</v>
      </c>
      <c r="H287" s="2">
        <v>0.61872685185185183</v>
      </c>
      <c r="I287" t="s">
        <v>11</v>
      </c>
      <c r="J287" t="s">
        <v>14</v>
      </c>
      <c r="K287">
        <v>3</v>
      </c>
      <c r="L287">
        <v>700</v>
      </c>
      <c r="M287">
        <v>2100</v>
      </c>
      <c r="N287">
        <f>IF(COUNTIFS($B$2:B287,B287)=1,1,0)</f>
        <v>0</v>
      </c>
    </row>
    <row r="288" spans="1:14" x14ac:dyDescent="0.2">
      <c r="A288">
        <v>287</v>
      </c>
      <c r="B288">
        <v>1144</v>
      </c>
      <c r="C288">
        <f>1/COUNTIF(B:B,Table1[[#This Row],[order_id]])</f>
        <v>0.33333333333333331</v>
      </c>
      <c r="D288" t="str">
        <f>TEXT(Table1[[#This Row],[order_date]],"mmmm")</f>
        <v>January</v>
      </c>
      <c r="E288" s="1">
        <v>45318</v>
      </c>
      <c r="F288" s="1" t="str">
        <f>TEXT(Table1[[#This Row],[order_date]],"dddd")</f>
        <v>Saturday</v>
      </c>
      <c r="G288">
        <f>HOUR(Table1[[#This Row],[order_time]])</f>
        <v>12</v>
      </c>
      <c r="H288" s="2">
        <v>0.52850694444444446</v>
      </c>
      <c r="I288" t="s">
        <v>9</v>
      </c>
      <c r="J288" t="s">
        <v>10</v>
      </c>
      <c r="K288">
        <v>4</v>
      </c>
      <c r="L288">
        <v>20</v>
      </c>
      <c r="M288">
        <v>80</v>
      </c>
      <c r="N288">
        <f>IF(COUNTIFS($B$2:B288,B288)=1,1,0)</f>
        <v>0</v>
      </c>
    </row>
    <row r="289" spans="1:14" x14ac:dyDescent="0.2">
      <c r="A289">
        <v>288</v>
      </c>
      <c r="B289">
        <v>1145</v>
      </c>
      <c r="C289">
        <f>1/COUNTIF(B:B,Table1[[#This Row],[order_id]])</f>
        <v>1</v>
      </c>
      <c r="D289" t="str">
        <f>TEXT(Table1[[#This Row],[order_date]],"mmmm")</f>
        <v>January</v>
      </c>
      <c r="E289" s="1">
        <v>45318</v>
      </c>
      <c r="F289" s="1" t="str">
        <f>TEXT(Table1[[#This Row],[order_date]],"dddd")</f>
        <v>Saturday</v>
      </c>
      <c r="G289">
        <f>HOUR(Table1[[#This Row],[order_time]])</f>
        <v>10</v>
      </c>
      <c r="H289" s="2">
        <v>0.45089120370370372</v>
      </c>
      <c r="I289" t="s">
        <v>11</v>
      </c>
      <c r="J289" t="s">
        <v>12</v>
      </c>
      <c r="K289">
        <v>4</v>
      </c>
      <c r="L289">
        <v>650</v>
      </c>
      <c r="M289">
        <v>2600</v>
      </c>
      <c r="N289">
        <f>IF(COUNTIFS($B$2:B289,B289)=1,1,0)</f>
        <v>1</v>
      </c>
    </row>
    <row r="290" spans="1:14" x14ac:dyDescent="0.2">
      <c r="A290">
        <v>289</v>
      </c>
      <c r="B290">
        <v>1146</v>
      </c>
      <c r="C290">
        <f>1/COUNTIF(B:B,Table1[[#This Row],[order_id]])</f>
        <v>0.33333333333333331</v>
      </c>
      <c r="D290" t="str">
        <f>TEXT(Table1[[#This Row],[order_date]],"mmmm")</f>
        <v>January</v>
      </c>
      <c r="E290" s="1">
        <v>45318</v>
      </c>
      <c r="F290" s="1" t="str">
        <f>TEXT(Table1[[#This Row],[order_date]],"dddd")</f>
        <v>Saturday</v>
      </c>
      <c r="G290">
        <f>HOUR(Table1[[#This Row],[order_time]])</f>
        <v>11</v>
      </c>
      <c r="H290" s="2">
        <v>0.49534722222222222</v>
      </c>
      <c r="I290" t="s">
        <v>11</v>
      </c>
      <c r="J290" t="s">
        <v>13</v>
      </c>
      <c r="K290">
        <v>5</v>
      </c>
      <c r="L290">
        <v>680</v>
      </c>
      <c r="M290">
        <v>3400</v>
      </c>
      <c r="N290">
        <f>IF(COUNTIFS($B$2:B290,B290)=1,1,0)</f>
        <v>1</v>
      </c>
    </row>
    <row r="291" spans="1:14" x14ac:dyDescent="0.2">
      <c r="A291">
        <v>290</v>
      </c>
      <c r="B291">
        <v>1146</v>
      </c>
      <c r="C291">
        <f>1/COUNTIF(B:B,Table1[[#This Row],[order_id]])</f>
        <v>0.33333333333333331</v>
      </c>
      <c r="D291" t="str">
        <f>TEXT(Table1[[#This Row],[order_date]],"mmmm")</f>
        <v>January</v>
      </c>
      <c r="E291" s="1">
        <v>45318</v>
      </c>
      <c r="F291" s="1" t="str">
        <f>TEXT(Table1[[#This Row],[order_date]],"dddd")</f>
        <v>Saturday</v>
      </c>
      <c r="G291">
        <f>HOUR(Table1[[#This Row],[order_time]])</f>
        <v>12</v>
      </c>
      <c r="H291" s="2">
        <v>0.51890046296296299</v>
      </c>
      <c r="I291" t="s">
        <v>11</v>
      </c>
      <c r="J291" t="s">
        <v>13</v>
      </c>
      <c r="K291">
        <v>4</v>
      </c>
      <c r="L291">
        <v>680</v>
      </c>
      <c r="M291">
        <v>2720</v>
      </c>
      <c r="N291">
        <f>IF(COUNTIFS($B$2:B291,B291)=1,1,0)</f>
        <v>0</v>
      </c>
    </row>
    <row r="292" spans="1:14" x14ac:dyDescent="0.2">
      <c r="A292">
        <v>291</v>
      </c>
      <c r="B292">
        <v>1146</v>
      </c>
      <c r="C292">
        <f>1/COUNTIF(B:B,Table1[[#This Row],[order_id]])</f>
        <v>0.33333333333333331</v>
      </c>
      <c r="D292" t="str">
        <f>TEXT(Table1[[#This Row],[order_date]],"mmmm")</f>
        <v>January</v>
      </c>
      <c r="E292" s="1">
        <v>45318</v>
      </c>
      <c r="F292" s="1" t="str">
        <f>TEXT(Table1[[#This Row],[order_date]],"dddd")</f>
        <v>Saturday</v>
      </c>
      <c r="G292">
        <f>HOUR(Table1[[#This Row],[order_time]])</f>
        <v>11</v>
      </c>
      <c r="H292" s="2">
        <v>0.48192129629629632</v>
      </c>
      <c r="I292" t="s">
        <v>9</v>
      </c>
      <c r="J292" t="s">
        <v>10</v>
      </c>
      <c r="K292">
        <v>1</v>
      </c>
      <c r="L292">
        <v>20</v>
      </c>
      <c r="M292">
        <v>20</v>
      </c>
      <c r="N292">
        <f>IF(COUNTIFS($B$2:B292,B292)=1,1,0)</f>
        <v>0</v>
      </c>
    </row>
    <row r="293" spans="1:14" x14ac:dyDescent="0.2">
      <c r="A293">
        <v>292</v>
      </c>
      <c r="B293">
        <v>1147</v>
      </c>
      <c r="C293">
        <f>1/COUNTIF(B:B,Table1[[#This Row],[order_id]])</f>
        <v>1</v>
      </c>
      <c r="D293" t="str">
        <f>TEXT(Table1[[#This Row],[order_date]],"mmmm")</f>
        <v>January</v>
      </c>
      <c r="E293" s="1">
        <v>45318</v>
      </c>
      <c r="F293" s="1" t="str">
        <f>TEXT(Table1[[#This Row],[order_date]],"dddd")</f>
        <v>Saturday</v>
      </c>
      <c r="G293">
        <f>HOUR(Table1[[#This Row],[order_time]])</f>
        <v>18</v>
      </c>
      <c r="H293" s="2">
        <v>0.7760069444444444</v>
      </c>
      <c r="I293" t="s">
        <v>16</v>
      </c>
      <c r="J293" t="s">
        <v>28</v>
      </c>
      <c r="K293">
        <v>4</v>
      </c>
      <c r="L293">
        <v>25</v>
      </c>
      <c r="M293">
        <v>100</v>
      </c>
      <c r="N293">
        <f>IF(COUNTIFS($B$2:B293,B293)=1,1,0)</f>
        <v>1</v>
      </c>
    </row>
    <row r="294" spans="1:14" x14ac:dyDescent="0.2">
      <c r="A294">
        <v>293</v>
      </c>
      <c r="B294">
        <v>1148</v>
      </c>
      <c r="C294">
        <f>1/COUNTIF(B:B,Table1[[#This Row],[order_id]])</f>
        <v>1</v>
      </c>
      <c r="D294" t="str">
        <f>TEXT(Table1[[#This Row],[order_date]],"mmmm")</f>
        <v>January</v>
      </c>
      <c r="E294" s="1">
        <v>45318</v>
      </c>
      <c r="F294" s="1" t="str">
        <f>TEXT(Table1[[#This Row],[order_date]],"dddd")</f>
        <v>Saturday</v>
      </c>
      <c r="G294">
        <f>HOUR(Table1[[#This Row],[order_time]])</f>
        <v>12</v>
      </c>
      <c r="H294" s="2">
        <v>0.53401620370370373</v>
      </c>
      <c r="I294" t="s">
        <v>9</v>
      </c>
      <c r="J294" t="s">
        <v>20</v>
      </c>
      <c r="K294">
        <v>2</v>
      </c>
      <c r="L294">
        <v>25</v>
      </c>
      <c r="M294">
        <v>50</v>
      </c>
      <c r="N294">
        <f>IF(COUNTIFS($B$2:B294,B294)=1,1,0)</f>
        <v>1</v>
      </c>
    </row>
    <row r="295" spans="1:14" x14ac:dyDescent="0.2">
      <c r="A295">
        <v>294</v>
      </c>
      <c r="B295">
        <v>1149</v>
      </c>
      <c r="C295">
        <f>1/COUNTIF(B:B,Table1[[#This Row],[order_id]])</f>
        <v>1</v>
      </c>
      <c r="D295" t="str">
        <f>TEXT(Table1[[#This Row],[order_date]],"mmmm")</f>
        <v>January</v>
      </c>
      <c r="E295" s="1">
        <v>45318</v>
      </c>
      <c r="F295" s="1" t="str">
        <f>TEXT(Table1[[#This Row],[order_date]],"dddd")</f>
        <v>Saturday</v>
      </c>
      <c r="G295">
        <f>HOUR(Table1[[#This Row],[order_time]])</f>
        <v>19</v>
      </c>
      <c r="H295" s="2">
        <v>0.80237268518518523</v>
      </c>
      <c r="I295" t="s">
        <v>11</v>
      </c>
      <c r="J295" t="s">
        <v>13</v>
      </c>
      <c r="K295">
        <v>5</v>
      </c>
      <c r="L295">
        <v>680</v>
      </c>
      <c r="M295">
        <v>3400</v>
      </c>
      <c r="N295">
        <f>IF(COUNTIFS($B$2:B295,B295)=1,1,0)</f>
        <v>1</v>
      </c>
    </row>
    <row r="296" spans="1:14" x14ac:dyDescent="0.2">
      <c r="A296">
        <v>295</v>
      </c>
      <c r="B296">
        <v>1150</v>
      </c>
      <c r="C296">
        <f>1/COUNTIF(B:B,Table1[[#This Row],[order_id]])</f>
        <v>0.33333333333333331</v>
      </c>
      <c r="D296" t="str">
        <f>TEXT(Table1[[#This Row],[order_date]],"mmmm")</f>
        <v>January</v>
      </c>
      <c r="E296" s="1">
        <v>45318</v>
      </c>
      <c r="F296" s="1" t="str">
        <f>TEXT(Table1[[#This Row],[order_date]],"dddd")</f>
        <v>Saturday</v>
      </c>
      <c r="G296">
        <f>HOUR(Table1[[#This Row],[order_time]])</f>
        <v>20</v>
      </c>
      <c r="H296" s="2">
        <v>0.8657407407407407</v>
      </c>
      <c r="I296" t="s">
        <v>11</v>
      </c>
      <c r="J296" t="s">
        <v>13</v>
      </c>
      <c r="K296">
        <v>1</v>
      </c>
      <c r="L296">
        <v>680</v>
      </c>
      <c r="M296">
        <v>680</v>
      </c>
      <c r="N296">
        <f>IF(COUNTIFS($B$2:B296,B296)=1,1,0)</f>
        <v>1</v>
      </c>
    </row>
    <row r="297" spans="1:14" x14ac:dyDescent="0.2">
      <c r="A297">
        <v>296</v>
      </c>
      <c r="B297">
        <v>1150</v>
      </c>
      <c r="C297">
        <f>1/COUNTIF(B:B,Table1[[#This Row],[order_id]])</f>
        <v>0.33333333333333331</v>
      </c>
      <c r="D297" t="str">
        <f>TEXT(Table1[[#This Row],[order_date]],"mmmm")</f>
        <v>January</v>
      </c>
      <c r="E297" s="1">
        <v>45318</v>
      </c>
      <c r="F297" s="1" t="str">
        <f>TEXT(Table1[[#This Row],[order_date]],"dddd")</f>
        <v>Saturday</v>
      </c>
      <c r="G297">
        <f>HOUR(Table1[[#This Row],[order_time]])</f>
        <v>19</v>
      </c>
      <c r="H297" s="2">
        <v>0.79366898148148146</v>
      </c>
      <c r="I297" t="s">
        <v>9</v>
      </c>
      <c r="J297" t="s">
        <v>29</v>
      </c>
      <c r="K297">
        <v>3</v>
      </c>
      <c r="L297">
        <v>5</v>
      </c>
      <c r="M297">
        <v>15</v>
      </c>
      <c r="N297">
        <f>IF(COUNTIFS($B$2:B297,B297)=1,1,0)</f>
        <v>0</v>
      </c>
    </row>
    <row r="298" spans="1:14" x14ac:dyDescent="0.2">
      <c r="A298">
        <v>297</v>
      </c>
      <c r="B298">
        <v>1150</v>
      </c>
      <c r="C298">
        <f>1/COUNTIF(B:B,Table1[[#This Row],[order_id]])</f>
        <v>0.33333333333333331</v>
      </c>
      <c r="D298" t="str">
        <f>TEXT(Table1[[#This Row],[order_date]],"mmmm")</f>
        <v>January</v>
      </c>
      <c r="E298" s="1">
        <v>45318</v>
      </c>
      <c r="F298" s="1" t="str">
        <f>TEXT(Table1[[#This Row],[order_date]],"dddd")</f>
        <v>Saturday</v>
      </c>
      <c r="G298">
        <f>HOUR(Table1[[#This Row],[order_time]])</f>
        <v>10</v>
      </c>
      <c r="H298" s="2">
        <v>0.45447916666666666</v>
      </c>
      <c r="I298" t="s">
        <v>18</v>
      </c>
      <c r="J298" t="s">
        <v>30</v>
      </c>
      <c r="K298">
        <v>2</v>
      </c>
      <c r="L298">
        <v>60</v>
      </c>
      <c r="M298">
        <v>120</v>
      </c>
      <c r="N298">
        <f>IF(COUNTIFS($B$2:B298,B298)=1,1,0)</f>
        <v>0</v>
      </c>
    </row>
    <row r="299" spans="1:14" x14ac:dyDescent="0.2">
      <c r="A299">
        <v>298</v>
      </c>
      <c r="B299">
        <v>1151</v>
      </c>
      <c r="C299">
        <f>1/COUNTIF(B:B,Table1[[#This Row],[order_id]])</f>
        <v>1</v>
      </c>
      <c r="D299" t="str">
        <f>TEXT(Table1[[#This Row],[order_date]],"mmmm")</f>
        <v>January</v>
      </c>
      <c r="E299" s="1">
        <v>45318</v>
      </c>
      <c r="F299" s="1" t="str">
        <f>TEXT(Table1[[#This Row],[order_date]],"dddd")</f>
        <v>Saturday</v>
      </c>
      <c r="G299">
        <f>HOUR(Table1[[#This Row],[order_time]])</f>
        <v>15</v>
      </c>
      <c r="H299" s="2">
        <v>0.63271990740740736</v>
      </c>
      <c r="I299" t="s">
        <v>18</v>
      </c>
      <c r="J299" t="s">
        <v>19</v>
      </c>
      <c r="K299">
        <v>3</v>
      </c>
      <c r="L299">
        <v>50</v>
      </c>
      <c r="M299">
        <v>150</v>
      </c>
      <c r="N299">
        <f>IF(COUNTIFS($B$2:B299,B299)=1,1,0)</f>
        <v>1</v>
      </c>
    </row>
    <row r="300" spans="1:14" x14ac:dyDescent="0.2">
      <c r="A300">
        <v>299</v>
      </c>
      <c r="B300">
        <v>1152</v>
      </c>
      <c r="C300">
        <f>1/COUNTIF(B:B,Table1[[#This Row],[order_id]])</f>
        <v>1</v>
      </c>
      <c r="D300" t="str">
        <f>TEXT(Table1[[#This Row],[order_date]],"mmmm")</f>
        <v>January</v>
      </c>
      <c r="E300" s="1">
        <v>45318</v>
      </c>
      <c r="F300" s="1" t="str">
        <f>TEXT(Table1[[#This Row],[order_date]],"dddd")</f>
        <v>Saturday</v>
      </c>
      <c r="G300">
        <f>HOUR(Table1[[#This Row],[order_time]])</f>
        <v>14</v>
      </c>
      <c r="H300" s="2">
        <v>0.60283564814814816</v>
      </c>
      <c r="I300" t="s">
        <v>11</v>
      </c>
      <c r="J300" t="s">
        <v>12</v>
      </c>
      <c r="K300">
        <v>2</v>
      </c>
      <c r="L300">
        <v>650</v>
      </c>
      <c r="M300">
        <v>1300</v>
      </c>
      <c r="N300">
        <f>IF(COUNTIFS($B$2:B300,B300)=1,1,0)</f>
        <v>1</v>
      </c>
    </row>
    <row r="301" spans="1:14" x14ac:dyDescent="0.2">
      <c r="A301">
        <v>300</v>
      </c>
      <c r="B301">
        <v>1153</v>
      </c>
      <c r="C301">
        <f>1/COUNTIF(B:B,Table1[[#This Row],[order_id]])</f>
        <v>1</v>
      </c>
      <c r="D301" t="str">
        <f>TEXT(Table1[[#This Row],[order_date]],"mmmm")</f>
        <v>January</v>
      </c>
      <c r="E301" s="1">
        <v>45319</v>
      </c>
      <c r="F301" s="1" t="str">
        <f>TEXT(Table1[[#This Row],[order_date]],"dddd")</f>
        <v>Sunday</v>
      </c>
      <c r="G301">
        <f>HOUR(Table1[[#This Row],[order_time]])</f>
        <v>18</v>
      </c>
      <c r="H301" s="2">
        <v>0.75615740740740744</v>
      </c>
      <c r="I301" t="s">
        <v>11</v>
      </c>
      <c r="J301" t="s">
        <v>13</v>
      </c>
      <c r="K301">
        <v>3</v>
      </c>
      <c r="L301">
        <v>680</v>
      </c>
      <c r="M301">
        <v>2040</v>
      </c>
      <c r="N301">
        <f>IF(COUNTIFS($B$2:B301,B301)=1,1,0)</f>
        <v>1</v>
      </c>
    </row>
    <row r="302" spans="1:14" x14ac:dyDescent="0.2">
      <c r="A302">
        <v>301</v>
      </c>
      <c r="B302">
        <v>1154</v>
      </c>
      <c r="C302">
        <f>1/COUNTIF(B:B,Table1[[#This Row],[order_id]])</f>
        <v>1</v>
      </c>
      <c r="D302" t="str">
        <f>TEXT(Table1[[#This Row],[order_date]],"mmmm")</f>
        <v>January</v>
      </c>
      <c r="E302" s="1">
        <v>45319</v>
      </c>
      <c r="F302" s="1" t="str">
        <f>TEXT(Table1[[#This Row],[order_date]],"dddd")</f>
        <v>Sunday</v>
      </c>
      <c r="G302">
        <f>HOUR(Table1[[#This Row],[order_time]])</f>
        <v>9</v>
      </c>
      <c r="H302" s="2">
        <v>0.39203703703703702</v>
      </c>
      <c r="I302" t="s">
        <v>18</v>
      </c>
      <c r="J302" t="s">
        <v>31</v>
      </c>
      <c r="K302">
        <v>4</v>
      </c>
      <c r="L302">
        <v>45</v>
      </c>
      <c r="M302">
        <v>180</v>
      </c>
      <c r="N302">
        <f>IF(COUNTIFS($B$2:B302,B302)=1,1,0)</f>
        <v>1</v>
      </c>
    </row>
    <row r="303" spans="1:14" x14ac:dyDescent="0.2">
      <c r="A303">
        <v>302</v>
      </c>
      <c r="B303">
        <v>1155</v>
      </c>
      <c r="C303">
        <f>1/COUNTIF(B:B,Table1[[#This Row],[order_id]])</f>
        <v>1</v>
      </c>
      <c r="D303" t="str">
        <f>TEXT(Table1[[#This Row],[order_date]],"mmmm")</f>
        <v>January</v>
      </c>
      <c r="E303" s="1">
        <v>45319</v>
      </c>
      <c r="F303" s="1" t="str">
        <f>TEXT(Table1[[#This Row],[order_date]],"dddd")</f>
        <v>Sunday</v>
      </c>
      <c r="G303">
        <f>HOUR(Table1[[#This Row],[order_time]])</f>
        <v>16</v>
      </c>
      <c r="H303" s="2">
        <v>0.6681597222222222</v>
      </c>
      <c r="I303" t="s">
        <v>16</v>
      </c>
      <c r="J303" t="s">
        <v>28</v>
      </c>
      <c r="K303">
        <v>5</v>
      </c>
      <c r="L303">
        <v>25</v>
      </c>
      <c r="M303">
        <v>125</v>
      </c>
      <c r="N303">
        <f>IF(COUNTIFS($B$2:B303,B303)=1,1,0)</f>
        <v>1</v>
      </c>
    </row>
    <row r="304" spans="1:14" x14ac:dyDescent="0.2">
      <c r="A304">
        <v>303</v>
      </c>
      <c r="B304">
        <v>1156</v>
      </c>
      <c r="C304">
        <f>1/COUNTIF(B:B,Table1[[#This Row],[order_id]])</f>
        <v>0.5</v>
      </c>
      <c r="D304" t="str">
        <f>TEXT(Table1[[#This Row],[order_date]],"mmmm")</f>
        <v>January</v>
      </c>
      <c r="E304" s="1">
        <v>45319</v>
      </c>
      <c r="F304" s="1" t="str">
        <f>TEXT(Table1[[#This Row],[order_date]],"dddd")</f>
        <v>Sunday</v>
      </c>
      <c r="G304">
        <f>HOUR(Table1[[#This Row],[order_time]])</f>
        <v>20</v>
      </c>
      <c r="H304" s="2">
        <v>0.84787037037037039</v>
      </c>
      <c r="I304" t="s">
        <v>11</v>
      </c>
      <c r="J304" t="s">
        <v>13</v>
      </c>
      <c r="K304">
        <v>3</v>
      </c>
      <c r="L304">
        <v>680</v>
      </c>
      <c r="M304">
        <v>2040</v>
      </c>
      <c r="N304">
        <f>IF(COUNTIFS($B$2:B304,B304)=1,1,0)</f>
        <v>1</v>
      </c>
    </row>
    <row r="305" spans="1:14" x14ac:dyDescent="0.2">
      <c r="A305">
        <v>304</v>
      </c>
      <c r="B305">
        <v>1156</v>
      </c>
      <c r="C305">
        <f>1/COUNTIF(B:B,Table1[[#This Row],[order_id]])</f>
        <v>0.5</v>
      </c>
      <c r="D305" t="str">
        <f>TEXT(Table1[[#This Row],[order_date]],"mmmm")</f>
        <v>January</v>
      </c>
      <c r="E305" s="1">
        <v>45319</v>
      </c>
      <c r="F305" s="1" t="str">
        <f>TEXT(Table1[[#This Row],[order_date]],"dddd")</f>
        <v>Sunday</v>
      </c>
      <c r="G305">
        <f>HOUR(Table1[[#This Row],[order_time]])</f>
        <v>16</v>
      </c>
      <c r="H305" s="2">
        <v>0.68449074074074079</v>
      </c>
      <c r="I305" t="s">
        <v>18</v>
      </c>
      <c r="J305" t="s">
        <v>26</v>
      </c>
      <c r="K305">
        <v>1</v>
      </c>
      <c r="L305">
        <v>55</v>
      </c>
      <c r="M305">
        <v>55</v>
      </c>
      <c r="N305">
        <f>IF(COUNTIFS($B$2:B305,B305)=1,1,0)</f>
        <v>0</v>
      </c>
    </row>
    <row r="306" spans="1:14" x14ac:dyDescent="0.2">
      <c r="A306">
        <v>305</v>
      </c>
      <c r="B306">
        <v>1157</v>
      </c>
      <c r="C306">
        <f>1/COUNTIF(B:B,Table1[[#This Row],[order_id]])</f>
        <v>0.33333333333333331</v>
      </c>
      <c r="D306" t="str">
        <f>TEXT(Table1[[#This Row],[order_date]],"mmmm")</f>
        <v>January</v>
      </c>
      <c r="E306" s="1">
        <v>45319</v>
      </c>
      <c r="F306" s="1" t="str">
        <f>TEXT(Table1[[#This Row],[order_date]],"dddd")</f>
        <v>Sunday</v>
      </c>
      <c r="G306">
        <f>HOUR(Table1[[#This Row],[order_time]])</f>
        <v>9</v>
      </c>
      <c r="H306" s="2">
        <v>0.40952546296296294</v>
      </c>
      <c r="I306" t="s">
        <v>9</v>
      </c>
      <c r="J306" t="s">
        <v>20</v>
      </c>
      <c r="K306">
        <v>1</v>
      </c>
      <c r="L306">
        <v>25</v>
      </c>
      <c r="M306">
        <v>25</v>
      </c>
      <c r="N306">
        <f>IF(COUNTIFS($B$2:B306,B306)=1,1,0)</f>
        <v>1</v>
      </c>
    </row>
    <row r="307" spans="1:14" x14ac:dyDescent="0.2">
      <c r="A307">
        <v>306</v>
      </c>
      <c r="B307">
        <v>1157</v>
      </c>
      <c r="C307">
        <f>1/COUNTIF(B:B,Table1[[#This Row],[order_id]])</f>
        <v>0.33333333333333331</v>
      </c>
      <c r="D307" t="str">
        <f>TEXT(Table1[[#This Row],[order_date]],"mmmm")</f>
        <v>January</v>
      </c>
      <c r="E307" s="1">
        <v>45319</v>
      </c>
      <c r="F307" s="1" t="str">
        <f>TEXT(Table1[[#This Row],[order_date]],"dddd")</f>
        <v>Sunday</v>
      </c>
      <c r="G307">
        <f>HOUR(Table1[[#This Row],[order_time]])</f>
        <v>18</v>
      </c>
      <c r="H307" s="2">
        <v>0.76908564814814817</v>
      </c>
      <c r="I307" t="s">
        <v>16</v>
      </c>
      <c r="J307" t="s">
        <v>23</v>
      </c>
      <c r="K307">
        <v>5</v>
      </c>
      <c r="L307">
        <v>30</v>
      </c>
      <c r="M307">
        <v>150</v>
      </c>
      <c r="N307">
        <f>IF(COUNTIFS($B$2:B307,B307)=1,1,0)</f>
        <v>0</v>
      </c>
    </row>
    <row r="308" spans="1:14" x14ac:dyDescent="0.2">
      <c r="A308">
        <v>307</v>
      </c>
      <c r="B308">
        <v>1157</v>
      </c>
      <c r="C308">
        <f>1/COUNTIF(B:B,Table1[[#This Row],[order_id]])</f>
        <v>0.33333333333333331</v>
      </c>
      <c r="D308" t="str">
        <f>TEXT(Table1[[#This Row],[order_date]],"mmmm")</f>
        <v>January</v>
      </c>
      <c r="E308" s="1">
        <v>45319</v>
      </c>
      <c r="F308" s="1" t="str">
        <f>TEXT(Table1[[#This Row],[order_date]],"dddd")</f>
        <v>Sunday</v>
      </c>
      <c r="G308">
        <f>HOUR(Table1[[#This Row],[order_time]])</f>
        <v>19</v>
      </c>
      <c r="H308" s="2">
        <v>0.83217592592592593</v>
      </c>
      <c r="I308" t="s">
        <v>11</v>
      </c>
      <c r="J308" t="s">
        <v>14</v>
      </c>
      <c r="K308">
        <v>2</v>
      </c>
      <c r="L308">
        <v>700</v>
      </c>
      <c r="M308">
        <v>1400</v>
      </c>
      <c r="N308">
        <f>IF(COUNTIFS($B$2:B308,B308)=1,1,0)</f>
        <v>0</v>
      </c>
    </row>
    <row r="309" spans="1:14" x14ac:dyDescent="0.2">
      <c r="A309">
        <v>308</v>
      </c>
      <c r="B309">
        <v>1158</v>
      </c>
      <c r="C309">
        <f>1/COUNTIF(B:B,Table1[[#This Row],[order_id]])</f>
        <v>0.5</v>
      </c>
      <c r="D309" t="str">
        <f>TEXT(Table1[[#This Row],[order_date]],"mmmm")</f>
        <v>January</v>
      </c>
      <c r="E309" s="1">
        <v>45320</v>
      </c>
      <c r="F309" s="1" t="str">
        <f>TEXT(Table1[[#This Row],[order_date]],"dddd")</f>
        <v>Monday</v>
      </c>
      <c r="G309">
        <f>HOUR(Table1[[#This Row],[order_time]])</f>
        <v>15</v>
      </c>
      <c r="H309" s="2">
        <v>0.65605324074074078</v>
      </c>
      <c r="I309" t="s">
        <v>11</v>
      </c>
      <c r="J309" t="s">
        <v>13</v>
      </c>
      <c r="K309">
        <v>1</v>
      </c>
      <c r="L309">
        <v>680</v>
      </c>
      <c r="M309">
        <v>680</v>
      </c>
      <c r="N309">
        <f>IF(COUNTIFS($B$2:B309,B309)=1,1,0)</f>
        <v>1</v>
      </c>
    </row>
    <row r="310" spans="1:14" x14ac:dyDescent="0.2">
      <c r="A310">
        <v>309</v>
      </c>
      <c r="B310">
        <v>1158</v>
      </c>
      <c r="C310">
        <f>1/COUNTIF(B:B,Table1[[#This Row],[order_id]])</f>
        <v>0.5</v>
      </c>
      <c r="D310" t="str">
        <f>TEXT(Table1[[#This Row],[order_date]],"mmmm")</f>
        <v>January</v>
      </c>
      <c r="E310" s="1">
        <v>45320</v>
      </c>
      <c r="F310" s="1" t="str">
        <f>TEXT(Table1[[#This Row],[order_date]],"dddd")</f>
        <v>Monday</v>
      </c>
      <c r="G310">
        <f>HOUR(Table1[[#This Row],[order_time]])</f>
        <v>12</v>
      </c>
      <c r="H310" s="2">
        <v>0.51069444444444445</v>
      </c>
      <c r="I310" t="s">
        <v>9</v>
      </c>
      <c r="J310" t="s">
        <v>10</v>
      </c>
      <c r="K310">
        <v>4</v>
      </c>
      <c r="L310">
        <v>20</v>
      </c>
      <c r="M310">
        <v>80</v>
      </c>
      <c r="N310">
        <f>IF(COUNTIFS($B$2:B310,B310)=1,1,0)</f>
        <v>0</v>
      </c>
    </row>
    <row r="311" spans="1:14" x14ac:dyDescent="0.2">
      <c r="A311">
        <v>310</v>
      </c>
      <c r="B311">
        <v>1159</v>
      </c>
      <c r="C311">
        <f>1/COUNTIF(B:B,Table1[[#This Row],[order_id]])</f>
        <v>1</v>
      </c>
      <c r="D311" t="str">
        <f>TEXT(Table1[[#This Row],[order_date]],"mmmm")</f>
        <v>January</v>
      </c>
      <c r="E311" s="1">
        <v>45320</v>
      </c>
      <c r="F311" s="1" t="str">
        <f>TEXT(Table1[[#This Row],[order_date]],"dddd")</f>
        <v>Monday</v>
      </c>
      <c r="G311">
        <f>HOUR(Table1[[#This Row],[order_time]])</f>
        <v>20</v>
      </c>
      <c r="H311" s="2">
        <v>0.86325231481481479</v>
      </c>
      <c r="I311" t="s">
        <v>16</v>
      </c>
      <c r="J311" t="s">
        <v>23</v>
      </c>
      <c r="K311">
        <v>1</v>
      </c>
      <c r="L311">
        <v>30</v>
      </c>
      <c r="M311">
        <v>30</v>
      </c>
      <c r="N311">
        <f>IF(COUNTIFS($B$2:B311,B311)=1,1,0)</f>
        <v>1</v>
      </c>
    </row>
    <row r="312" spans="1:14" x14ac:dyDescent="0.2">
      <c r="A312">
        <v>311</v>
      </c>
      <c r="B312">
        <v>1160</v>
      </c>
      <c r="C312">
        <f>1/COUNTIF(B:B,Table1[[#This Row],[order_id]])</f>
        <v>1</v>
      </c>
      <c r="D312" t="str">
        <f>TEXT(Table1[[#This Row],[order_date]],"mmmm")</f>
        <v>January</v>
      </c>
      <c r="E312" s="1">
        <v>45320</v>
      </c>
      <c r="F312" s="1" t="str">
        <f>TEXT(Table1[[#This Row],[order_date]],"dddd")</f>
        <v>Monday</v>
      </c>
      <c r="G312">
        <f>HOUR(Table1[[#This Row],[order_time]])</f>
        <v>11</v>
      </c>
      <c r="H312" s="2">
        <v>0.46667824074074077</v>
      </c>
      <c r="I312" t="s">
        <v>18</v>
      </c>
      <c r="J312" t="s">
        <v>19</v>
      </c>
      <c r="K312">
        <v>1</v>
      </c>
      <c r="L312">
        <v>50</v>
      </c>
      <c r="M312">
        <v>50</v>
      </c>
      <c r="N312">
        <f>IF(COUNTIFS($B$2:B312,B312)=1,1,0)</f>
        <v>1</v>
      </c>
    </row>
    <row r="313" spans="1:14" x14ac:dyDescent="0.2">
      <c r="A313">
        <v>312</v>
      </c>
      <c r="B313">
        <v>1161</v>
      </c>
      <c r="C313">
        <f>1/COUNTIF(B:B,Table1[[#This Row],[order_id]])</f>
        <v>1</v>
      </c>
      <c r="D313" t="str">
        <f>TEXT(Table1[[#This Row],[order_date]],"mmmm")</f>
        <v>January</v>
      </c>
      <c r="E313" s="1">
        <v>45320</v>
      </c>
      <c r="F313" s="1" t="str">
        <f>TEXT(Table1[[#This Row],[order_date]],"dddd")</f>
        <v>Monday</v>
      </c>
      <c r="G313">
        <f>HOUR(Table1[[#This Row],[order_time]])</f>
        <v>15</v>
      </c>
      <c r="H313" s="2">
        <v>0.64743055555555551</v>
      </c>
      <c r="I313" t="s">
        <v>16</v>
      </c>
      <c r="J313" t="s">
        <v>24</v>
      </c>
      <c r="K313">
        <v>2</v>
      </c>
      <c r="L313">
        <v>35</v>
      </c>
      <c r="M313">
        <v>70</v>
      </c>
      <c r="N313">
        <f>IF(COUNTIFS($B$2:B313,B313)=1,1,0)</f>
        <v>1</v>
      </c>
    </row>
    <row r="314" spans="1:14" x14ac:dyDescent="0.2">
      <c r="A314">
        <v>313</v>
      </c>
      <c r="B314">
        <v>1162</v>
      </c>
      <c r="C314">
        <f>1/COUNTIF(B:B,Table1[[#This Row],[order_id]])</f>
        <v>0.5</v>
      </c>
      <c r="D314" t="str">
        <f>TEXT(Table1[[#This Row],[order_date]],"mmmm")</f>
        <v>January</v>
      </c>
      <c r="E314" s="1">
        <v>45320</v>
      </c>
      <c r="F314" s="1" t="str">
        <f>TEXT(Table1[[#This Row],[order_date]],"dddd")</f>
        <v>Monday</v>
      </c>
      <c r="G314">
        <f>HOUR(Table1[[#This Row],[order_time]])</f>
        <v>10</v>
      </c>
      <c r="H314" s="2">
        <v>0.43516203703703704</v>
      </c>
      <c r="I314" t="s">
        <v>18</v>
      </c>
      <c r="J314" t="s">
        <v>26</v>
      </c>
      <c r="K314">
        <v>5</v>
      </c>
      <c r="L314">
        <v>55</v>
      </c>
      <c r="M314">
        <v>275</v>
      </c>
      <c r="N314">
        <f>IF(COUNTIFS($B$2:B314,B314)=1,1,0)</f>
        <v>1</v>
      </c>
    </row>
    <row r="315" spans="1:14" x14ac:dyDescent="0.2">
      <c r="A315">
        <v>314</v>
      </c>
      <c r="B315">
        <v>1162</v>
      </c>
      <c r="C315">
        <f>1/COUNTIF(B:B,Table1[[#This Row],[order_id]])</f>
        <v>0.5</v>
      </c>
      <c r="D315" t="str">
        <f>TEXT(Table1[[#This Row],[order_date]],"mmmm")</f>
        <v>January</v>
      </c>
      <c r="E315" s="1">
        <v>45320</v>
      </c>
      <c r="F315" s="1" t="str">
        <f>TEXT(Table1[[#This Row],[order_date]],"dddd")</f>
        <v>Monday</v>
      </c>
      <c r="G315">
        <f>HOUR(Table1[[#This Row],[order_time]])</f>
        <v>9</v>
      </c>
      <c r="H315" s="2">
        <v>0.3845601851851852</v>
      </c>
      <c r="I315" t="s">
        <v>9</v>
      </c>
      <c r="J315" t="s">
        <v>22</v>
      </c>
      <c r="K315">
        <v>3</v>
      </c>
      <c r="L315">
        <v>15</v>
      </c>
      <c r="M315">
        <v>45</v>
      </c>
      <c r="N315">
        <f>IF(COUNTIFS($B$2:B315,B315)=1,1,0)</f>
        <v>0</v>
      </c>
    </row>
    <row r="316" spans="1:14" x14ac:dyDescent="0.2">
      <c r="A316">
        <v>315</v>
      </c>
      <c r="B316">
        <v>1163</v>
      </c>
      <c r="C316">
        <f>1/COUNTIF(B:B,Table1[[#This Row],[order_id]])</f>
        <v>0.33333333333333331</v>
      </c>
      <c r="D316" t="str">
        <f>TEXT(Table1[[#This Row],[order_date]],"mmmm")</f>
        <v>January</v>
      </c>
      <c r="E316" s="1">
        <v>45320</v>
      </c>
      <c r="F316" s="1" t="str">
        <f>TEXT(Table1[[#This Row],[order_date]],"dddd")</f>
        <v>Monday</v>
      </c>
      <c r="G316">
        <f>HOUR(Table1[[#This Row],[order_time]])</f>
        <v>15</v>
      </c>
      <c r="H316" s="2">
        <v>0.63162037037037033</v>
      </c>
      <c r="I316" t="s">
        <v>11</v>
      </c>
      <c r="J316" t="s">
        <v>12</v>
      </c>
      <c r="K316">
        <v>1</v>
      </c>
      <c r="L316">
        <v>650</v>
      </c>
      <c r="M316">
        <v>650</v>
      </c>
      <c r="N316">
        <f>IF(COUNTIFS($B$2:B316,B316)=1,1,0)</f>
        <v>1</v>
      </c>
    </row>
    <row r="317" spans="1:14" x14ac:dyDescent="0.2">
      <c r="A317">
        <v>316</v>
      </c>
      <c r="B317">
        <v>1163</v>
      </c>
      <c r="C317">
        <f>1/COUNTIF(B:B,Table1[[#This Row],[order_id]])</f>
        <v>0.33333333333333331</v>
      </c>
      <c r="D317" t="str">
        <f>TEXT(Table1[[#This Row],[order_date]],"mmmm")</f>
        <v>January</v>
      </c>
      <c r="E317" s="1">
        <v>45320</v>
      </c>
      <c r="F317" s="1" t="str">
        <f>TEXT(Table1[[#This Row],[order_date]],"dddd")</f>
        <v>Monday</v>
      </c>
      <c r="G317">
        <f>HOUR(Table1[[#This Row],[order_time]])</f>
        <v>13</v>
      </c>
      <c r="H317" s="2">
        <v>0.54743055555555553</v>
      </c>
      <c r="I317" t="s">
        <v>11</v>
      </c>
      <c r="J317" t="s">
        <v>25</v>
      </c>
      <c r="K317">
        <v>1</v>
      </c>
      <c r="L317">
        <v>1000</v>
      </c>
      <c r="M317">
        <v>1000</v>
      </c>
      <c r="N317">
        <f>IF(COUNTIFS($B$2:B317,B317)=1,1,0)</f>
        <v>0</v>
      </c>
    </row>
    <row r="318" spans="1:14" x14ac:dyDescent="0.2">
      <c r="A318">
        <v>317</v>
      </c>
      <c r="B318">
        <v>1163</v>
      </c>
      <c r="C318">
        <f>1/COUNTIF(B:B,Table1[[#This Row],[order_id]])</f>
        <v>0.33333333333333331</v>
      </c>
      <c r="D318" t="str">
        <f>TEXT(Table1[[#This Row],[order_date]],"mmmm")</f>
        <v>January</v>
      </c>
      <c r="E318" s="1">
        <v>45320</v>
      </c>
      <c r="F318" s="1" t="str">
        <f>TEXT(Table1[[#This Row],[order_date]],"dddd")</f>
        <v>Monday</v>
      </c>
      <c r="G318">
        <f>HOUR(Table1[[#This Row],[order_time]])</f>
        <v>19</v>
      </c>
      <c r="H318" s="2">
        <v>0.81079861111111107</v>
      </c>
      <c r="I318" t="s">
        <v>11</v>
      </c>
      <c r="J318" t="s">
        <v>15</v>
      </c>
      <c r="K318">
        <v>1</v>
      </c>
      <c r="L318">
        <v>600</v>
      </c>
      <c r="M318">
        <v>600</v>
      </c>
      <c r="N318">
        <f>IF(COUNTIFS($B$2:B318,B318)=1,1,0)</f>
        <v>0</v>
      </c>
    </row>
    <row r="319" spans="1:14" x14ac:dyDescent="0.2">
      <c r="A319">
        <v>318</v>
      </c>
      <c r="B319">
        <v>1164</v>
      </c>
      <c r="C319">
        <f>1/COUNTIF(B:B,Table1[[#This Row],[order_id]])</f>
        <v>0.33333333333333331</v>
      </c>
      <c r="D319" t="str">
        <f>TEXT(Table1[[#This Row],[order_date]],"mmmm")</f>
        <v>January</v>
      </c>
      <c r="E319" s="1">
        <v>45321</v>
      </c>
      <c r="F319" s="1" t="str">
        <f>TEXT(Table1[[#This Row],[order_date]],"dddd")</f>
        <v>Tuesday</v>
      </c>
      <c r="G319">
        <f>HOUR(Table1[[#This Row],[order_time]])</f>
        <v>13</v>
      </c>
      <c r="H319" s="2">
        <v>0.57656249999999998</v>
      </c>
      <c r="I319" t="s">
        <v>18</v>
      </c>
      <c r="J319" t="s">
        <v>26</v>
      </c>
      <c r="K319">
        <v>1</v>
      </c>
      <c r="L319">
        <v>55</v>
      </c>
      <c r="M319">
        <v>55</v>
      </c>
      <c r="N319">
        <f>IF(COUNTIFS($B$2:B319,B319)=1,1,0)</f>
        <v>1</v>
      </c>
    </row>
    <row r="320" spans="1:14" x14ac:dyDescent="0.2">
      <c r="A320">
        <v>319</v>
      </c>
      <c r="B320">
        <v>1164</v>
      </c>
      <c r="C320">
        <f>1/COUNTIF(B:B,Table1[[#This Row],[order_id]])</f>
        <v>0.33333333333333331</v>
      </c>
      <c r="D320" t="str">
        <f>TEXT(Table1[[#This Row],[order_date]],"mmmm")</f>
        <v>January</v>
      </c>
      <c r="E320" s="1">
        <v>45321</v>
      </c>
      <c r="F320" s="1" t="str">
        <f>TEXT(Table1[[#This Row],[order_date]],"dddd")</f>
        <v>Tuesday</v>
      </c>
      <c r="G320">
        <f>HOUR(Table1[[#This Row],[order_time]])</f>
        <v>14</v>
      </c>
      <c r="H320" s="2">
        <v>0.60657407407407404</v>
      </c>
      <c r="I320" t="s">
        <v>16</v>
      </c>
      <c r="J320" t="s">
        <v>24</v>
      </c>
      <c r="K320">
        <v>5</v>
      </c>
      <c r="L320">
        <v>35</v>
      </c>
      <c r="M320">
        <v>175</v>
      </c>
      <c r="N320">
        <f>IF(COUNTIFS($B$2:B320,B320)=1,1,0)</f>
        <v>0</v>
      </c>
    </row>
    <row r="321" spans="1:14" x14ac:dyDescent="0.2">
      <c r="A321">
        <v>320</v>
      </c>
      <c r="B321">
        <v>1164</v>
      </c>
      <c r="C321">
        <f>1/COUNTIF(B:B,Table1[[#This Row],[order_id]])</f>
        <v>0.33333333333333331</v>
      </c>
      <c r="D321" t="str">
        <f>TEXT(Table1[[#This Row],[order_date]],"mmmm")</f>
        <v>January</v>
      </c>
      <c r="E321" s="1">
        <v>45321</v>
      </c>
      <c r="F321" s="1" t="str">
        <f>TEXT(Table1[[#This Row],[order_date]],"dddd")</f>
        <v>Tuesday</v>
      </c>
      <c r="G321">
        <f>HOUR(Table1[[#This Row],[order_time]])</f>
        <v>15</v>
      </c>
      <c r="H321" s="2">
        <v>0.64234953703703701</v>
      </c>
      <c r="I321" t="s">
        <v>18</v>
      </c>
      <c r="J321" t="s">
        <v>19</v>
      </c>
      <c r="K321">
        <v>3</v>
      </c>
      <c r="L321">
        <v>50</v>
      </c>
      <c r="M321">
        <v>150</v>
      </c>
      <c r="N321">
        <f>IF(COUNTIFS($B$2:B321,B321)=1,1,0)</f>
        <v>0</v>
      </c>
    </row>
    <row r="322" spans="1:14" x14ac:dyDescent="0.2">
      <c r="A322">
        <v>321</v>
      </c>
      <c r="B322">
        <v>1165</v>
      </c>
      <c r="C322">
        <f>1/COUNTIF(B:B,Table1[[#This Row],[order_id]])</f>
        <v>0.5</v>
      </c>
      <c r="D322" t="str">
        <f>TEXT(Table1[[#This Row],[order_date]],"mmmm")</f>
        <v>January</v>
      </c>
      <c r="E322" s="1">
        <v>45321</v>
      </c>
      <c r="F322" s="1" t="str">
        <f>TEXT(Table1[[#This Row],[order_date]],"dddd")</f>
        <v>Tuesday</v>
      </c>
      <c r="G322">
        <f>HOUR(Table1[[#This Row],[order_time]])</f>
        <v>11</v>
      </c>
      <c r="H322" s="2">
        <v>0.48556712962962961</v>
      </c>
      <c r="I322" t="s">
        <v>16</v>
      </c>
      <c r="J322" t="s">
        <v>24</v>
      </c>
      <c r="K322">
        <v>5</v>
      </c>
      <c r="L322">
        <v>35</v>
      </c>
      <c r="M322">
        <v>175</v>
      </c>
      <c r="N322">
        <f>IF(COUNTIFS($B$2:B322,B322)=1,1,0)</f>
        <v>1</v>
      </c>
    </row>
    <row r="323" spans="1:14" x14ac:dyDescent="0.2">
      <c r="A323">
        <v>322</v>
      </c>
      <c r="B323">
        <v>1165</v>
      </c>
      <c r="C323">
        <f>1/COUNTIF(B:B,Table1[[#This Row],[order_id]])</f>
        <v>0.5</v>
      </c>
      <c r="D323" t="str">
        <f>TEXT(Table1[[#This Row],[order_date]],"mmmm")</f>
        <v>January</v>
      </c>
      <c r="E323" s="1">
        <v>45321</v>
      </c>
      <c r="F323" s="1" t="str">
        <f>TEXT(Table1[[#This Row],[order_date]],"dddd")</f>
        <v>Tuesday</v>
      </c>
      <c r="G323">
        <f>HOUR(Table1[[#This Row],[order_time]])</f>
        <v>12</v>
      </c>
      <c r="H323" s="2">
        <v>0.52083333333333337</v>
      </c>
      <c r="I323" t="s">
        <v>9</v>
      </c>
      <c r="J323" t="s">
        <v>29</v>
      </c>
      <c r="K323">
        <v>4</v>
      </c>
      <c r="L323">
        <v>5</v>
      </c>
      <c r="M323">
        <v>20</v>
      </c>
      <c r="N323">
        <f>IF(COUNTIFS($B$2:B323,B323)=1,1,0)</f>
        <v>0</v>
      </c>
    </row>
    <row r="324" spans="1:14" x14ac:dyDescent="0.2">
      <c r="A324">
        <v>323</v>
      </c>
      <c r="B324">
        <v>1166</v>
      </c>
      <c r="C324">
        <f>1/COUNTIF(B:B,Table1[[#This Row],[order_id]])</f>
        <v>1</v>
      </c>
      <c r="D324" t="str">
        <f>TEXT(Table1[[#This Row],[order_date]],"mmmm")</f>
        <v>January</v>
      </c>
      <c r="E324" s="1">
        <v>45321</v>
      </c>
      <c r="F324" s="1" t="str">
        <f>TEXT(Table1[[#This Row],[order_date]],"dddd")</f>
        <v>Tuesday</v>
      </c>
      <c r="G324">
        <f>HOUR(Table1[[#This Row],[order_time]])</f>
        <v>15</v>
      </c>
      <c r="H324" s="2">
        <v>0.6626967592592593</v>
      </c>
      <c r="I324" t="s">
        <v>16</v>
      </c>
      <c r="J324" t="s">
        <v>24</v>
      </c>
      <c r="K324">
        <v>3</v>
      </c>
      <c r="L324">
        <v>35</v>
      </c>
      <c r="M324">
        <v>105</v>
      </c>
      <c r="N324">
        <f>IF(COUNTIFS($B$2:B324,B324)=1,1,0)</f>
        <v>1</v>
      </c>
    </row>
    <row r="325" spans="1:14" x14ac:dyDescent="0.2">
      <c r="A325">
        <v>324</v>
      </c>
      <c r="B325">
        <v>1167</v>
      </c>
      <c r="C325">
        <f>1/COUNTIF(B:B,Table1[[#This Row],[order_id]])</f>
        <v>1</v>
      </c>
      <c r="D325" t="str">
        <f>TEXT(Table1[[#This Row],[order_date]],"mmmm")</f>
        <v>January</v>
      </c>
      <c r="E325" s="1">
        <v>45321</v>
      </c>
      <c r="F325" s="1" t="str">
        <f>TEXT(Table1[[#This Row],[order_date]],"dddd")</f>
        <v>Tuesday</v>
      </c>
      <c r="G325">
        <f>HOUR(Table1[[#This Row],[order_time]])</f>
        <v>17</v>
      </c>
      <c r="H325" s="2">
        <v>0.74594907407407407</v>
      </c>
      <c r="I325" t="s">
        <v>11</v>
      </c>
      <c r="J325" t="s">
        <v>15</v>
      </c>
      <c r="K325">
        <v>5</v>
      </c>
      <c r="L325">
        <v>600</v>
      </c>
      <c r="M325">
        <v>3000</v>
      </c>
      <c r="N325">
        <f>IF(COUNTIFS($B$2:B325,B325)=1,1,0)</f>
        <v>1</v>
      </c>
    </row>
    <row r="326" spans="1:14" x14ac:dyDescent="0.2">
      <c r="A326">
        <v>325</v>
      </c>
      <c r="B326">
        <v>1168</v>
      </c>
      <c r="C326">
        <f>1/COUNTIF(B:B,Table1[[#This Row],[order_id]])</f>
        <v>0.5</v>
      </c>
      <c r="D326" t="str">
        <f>TEXT(Table1[[#This Row],[order_date]],"mmmm")</f>
        <v>January</v>
      </c>
      <c r="E326" s="1">
        <v>45321</v>
      </c>
      <c r="F326" s="1" t="str">
        <f>TEXT(Table1[[#This Row],[order_date]],"dddd")</f>
        <v>Tuesday</v>
      </c>
      <c r="G326">
        <f>HOUR(Table1[[#This Row],[order_time]])</f>
        <v>13</v>
      </c>
      <c r="H326" s="2">
        <v>0.58179398148148154</v>
      </c>
      <c r="I326" t="s">
        <v>16</v>
      </c>
      <c r="J326" t="s">
        <v>23</v>
      </c>
      <c r="K326">
        <v>3</v>
      </c>
      <c r="L326">
        <v>30</v>
      </c>
      <c r="M326">
        <v>90</v>
      </c>
      <c r="N326">
        <f>IF(COUNTIFS($B$2:B326,B326)=1,1,0)</f>
        <v>1</v>
      </c>
    </row>
    <row r="327" spans="1:14" x14ac:dyDescent="0.2">
      <c r="A327">
        <v>326</v>
      </c>
      <c r="B327">
        <v>1168</v>
      </c>
      <c r="C327">
        <f>1/COUNTIF(B:B,Table1[[#This Row],[order_id]])</f>
        <v>0.5</v>
      </c>
      <c r="D327" t="str">
        <f>TEXT(Table1[[#This Row],[order_date]],"mmmm")</f>
        <v>January</v>
      </c>
      <c r="E327" s="1">
        <v>45321</v>
      </c>
      <c r="F327" s="1" t="str">
        <f>TEXT(Table1[[#This Row],[order_date]],"dddd")</f>
        <v>Tuesday</v>
      </c>
      <c r="G327">
        <f>HOUR(Table1[[#This Row],[order_time]])</f>
        <v>11</v>
      </c>
      <c r="H327" s="2">
        <v>0.48281249999999998</v>
      </c>
      <c r="I327" t="s">
        <v>11</v>
      </c>
      <c r="J327" t="s">
        <v>14</v>
      </c>
      <c r="K327">
        <v>3</v>
      </c>
      <c r="L327">
        <v>700</v>
      </c>
      <c r="M327">
        <v>2100</v>
      </c>
      <c r="N327">
        <f>IF(COUNTIFS($B$2:B327,B327)=1,1,0)</f>
        <v>0</v>
      </c>
    </row>
    <row r="328" spans="1:14" x14ac:dyDescent="0.2">
      <c r="A328">
        <v>327</v>
      </c>
      <c r="B328">
        <v>1169</v>
      </c>
      <c r="C328">
        <f>1/COUNTIF(B:B,Table1[[#This Row],[order_id]])</f>
        <v>0.5</v>
      </c>
      <c r="D328" t="str">
        <f>TEXT(Table1[[#This Row],[order_date]],"mmmm")</f>
        <v>January</v>
      </c>
      <c r="E328" s="1">
        <v>45321</v>
      </c>
      <c r="F328" s="1" t="str">
        <f>TEXT(Table1[[#This Row],[order_date]],"dddd")</f>
        <v>Tuesday</v>
      </c>
      <c r="G328">
        <f>HOUR(Table1[[#This Row],[order_time]])</f>
        <v>10</v>
      </c>
      <c r="H328" s="2">
        <v>0.41917824074074073</v>
      </c>
      <c r="I328" t="s">
        <v>16</v>
      </c>
      <c r="J328" t="s">
        <v>17</v>
      </c>
      <c r="K328">
        <v>2</v>
      </c>
      <c r="L328">
        <v>20</v>
      </c>
      <c r="M328">
        <v>40</v>
      </c>
      <c r="N328">
        <f>IF(COUNTIFS($B$2:B328,B328)=1,1,0)</f>
        <v>1</v>
      </c>
    </row>
    <row r="329" spans="1:14" x14ac:dyDescent="0.2">
      <c r="A329">
        <v>328</v>
      </c>
      <c r="B329">
        <v>1169</v>
      </c>
      <c r="C329">
        <f>1/COUNTIF(B:B,Table1[[#This Row],[order_id]])</f>
        <v>0.5</v>
      </c>
      <c r="D329" t="str">
        <f>TEXT(Table1[[#This Row],[order_date]],"mmmm")</f>
        <v>January</v>
      </c>
      <c r="E329" s="1">
        <v>45321</v>
      </c>
      <c r="F329" s="1" t="str">
        <f>TEXT(Table1[[#This Row],[order_date]],"dddd")</f>
        <v>Tuesday</v>
      </c>
      <c r="G329">
        <f>HOUR(Table1[[#This Row],[order_time]])</f>
        <v>9</v>
      </c>
      <c r="H329" s="2">
        <v>0.3908449074074074</v>
      </c>
      <c r="I329" t="s">
        <v>11</v>
      </c>
      <c r="J329" t="s">
        <v>12</v>
      </c>
      <c r="K329">
        <v>5</v>
      </c>
      <c r="L329">
        <v>650</v>
      </c>
      <c r="M329">
        <v>3250</v>
      </c>
      <c r="N329">
        <f>IF(COUNTIFS($B$2:B329,B329)=1,1,0)</f>
        <v>0</v>
      </c>
    </row>
    <row r="330" spans="1:14" x14ac:dyDescent="0.2">
      <c r="A330">
        <v>329</v>
      </c>
      <c r="B330">
        <v>1170</v>
      </c>
      <c r="C330">
        <f>1/COUNTIF(B:B,Table1[[#This Row],[order_id]])</f>
        <v>0.33333333333333331</v>
      </c>
      <c r="D330" t="str">
        <f>TEXT(Table1[[#This Row],[order_date]],"mmmm")</f>
        <v>January</v>
      </c>
      <c r="E330" s="1">
        <v>45322</v>
      </c>
      <c r="F330" s="1" t="str">
        <f>TEXT(Table1[[#This Row],[order_date]],"dddd")</f>
        <v>Wednesday</v>
      </c>
      <c r="G330">
        <f>HOUR(Table1[[#This Row],[order_time]])</f>
        <v>18</v>
      </c>
      <c r="H330" s="2">
        <v>0.77238425925925924</v>
      </c>
      <c r="I330" t="s">
        <v>16</v>
      </c>
      <c r="J330" t="s">
        <v>17</v>
      </c>
      <c r="K330">
        <v>5</v>
      </c>
      <c r="L330">
        <v>20</v>
      </c>
      <c r="M330">
        <v>100</v>
      </c>
      <c r="N330">
        <f>IF(COUNTIFS($B$2:B330,B330)=1,1,0)</f>
        <v>1</v>
      </c>
    </row>
    <row r="331" spans="1:14" x14ac:dyDescent="0.2">
      <c r="A331">
        <v>330</v>
      </c>
      <c r="B331">
        <v>1170</v>
      </c>
      <c r="C331">
        <f>1/COUNTIF(B:B,Table1[[#This Row],[order_id]])</f>
        <v>0.33333333333333331</v>
      </c>
      <c r="D331" t="str">
        <f>TEXT(Table1[[#This Row],[order_date]],"mmmm")</f>
        <v>January</v>
      </c>
      <c r="E331" s="1">
        <v>45322</v>
      </c>
      <c r="F331" s="1" t="str">
        <f>TEXT(Table1[[#This Row],[order_date]],"dddd")</f>
        <v>Wednesday</v>
      </c>
      <c r="G331">
        <f>HOUR(Table1[[#This Row],[order_time]])</f>
        <v>15</v>
      </c>
      <c r="H331" s="2">
        <v>0.66114583333333332</v>
      </c>
      <c r="I331" t="s">
        <v>9</v>
      </c>
      <c r="J331" t="s">
        <v>29</v>
      </c>
      <c r="K331">
        <v>5</v>
      </c>
      <c r="L331">
        <v>5</v>
      </c>
      <c r="M331">
        <v>25</v>
      </c>
      <c r="N331">
        <f>IF(COUNTIFS($B$2:B331,B331)=1,1,0)</f>
        <v>0</v>
      </c>
    </row>
    <row r="332" spans="1:14" x14ac:dyDescent="0.2">
      <c r="A332">
        <v>331</v>
      </c>
      <c r="B332">
        <v>1170</v>
      </c>
      <c r="C332">
        <f>1/COUNTIF(B:B,Table1[[#This Row],[order_id]])</f>
        <v>0.33333333333333331</v>
      </c>
      <c r="D332" t="str">
        <f>TEXT(Table1[[#This Row],[order_date]],"mmmm")</f>
        <v>January</v>
      </c>
      <c r="E332" s="1">
        <v>45322</v>
      </c>
      <c r="F332" s="1" t="str">
        <f>TEXT(Table1[[#This Row],[order_date]],"dddd")</f>
        <v>Wednesday</v>
      </c>
      <c r="G332">
        <f>HOUR(Table1[[#This Row],[order_time]])</f>
        <v>20</v>
      </c>
      <c r="H332" s="2">
        <v>0.84347222222222218</v>
      </c>
      <c r="I332" t="s">
        <v>9</v>
      </c>
      <c r="J332" t="s">
        <v>20</v>
      </c>
      <c r="K332">
        <v>3</v>
      </c>
      <c r="L332">
        <v>25</v>
      </c>
      <c r="M332">
        <v>75</v>
      </c>
      <c r="N332">
        <f>IF(COUNTIFS($B$2:B332,B332)=1,1,0)</f>
        <v>0</v>
      </c>
    </row>
    <row r="333" spans="1:14" x14ac:dyDescent="0.2">
      <c r="A333">
        <v>332</v>
      </c>
      <c r="B333">
        <v>1171</v>
      </c>
      <c r="C333">
        <f>1/COUNTIF(B:B,Table1[[#This Row],[order_id]])</f>
        <v>1</v>
      </c>
      <c r="D333" t="str">
        <f>TEXT(Table1[[#This Row],[order_date]],"mmmm")</f>
        <v>January</v>
      </c>
      <c r="E333" s="1">
        <v>45322</v>
      </c>
      <c r="F333" s="1" t="str">
        <f>TEXT(Table1[[#This Row],[order_date]],"dddd")</f>
        <v>Wednesday</v>
      </c>
      <c r="G333">
        <f>HOUR(Table1[[#This Row],[order_time]])</f>
        <v>15</v>
      </c>
      <c r="H333" s="2">
        <v>0.65972222222222221</v>
      </c>
      <c r="I333" t="s">
        <v>11</v>
      </c>
      <c r="J333" t="s">
        <v>13</v>
      </c>
      <c r="K333">
        <v>4</v>
      </c>
      <c r="L333">
        <v>680</v>
      </c>
      <c r="M333">
        <v>2720</v>
      </c>
      <c r="N333">
        <f>IF(COUNTIFS($B$2:B333,B333)=1,1,0)</f>
        <v>1</v>
      </c>
    </row>
    <row r="334" spans="1:14" x14ac:dyDescent="0.2">
      <c r="A334">
        <v>333</v>
      </c>
      <c r="B334">
        <v>1172</v>
      </c>
      <c r="C334">
        <f>1/COUNTIF(B:B,Table1[[#This Row],[order_id]])</f>
        <v>1</v>
      </c>
      <c r="D334" t="str">
        <f>TEXT(Table1[[#This Row],[order_date]],"mmmm")</f>
        <v>January</v>
      </c>
      <c r="E334" s="1">
        <v>45322</v>
      </c>
      <c r="F334" s="1" t="str">
        <f>TEXT(Table1[[#This Row],[order_date]],"dddd")</f>
        <v>Wednesday</v>
      </c>
      <c r="G334">
        <f>HOUR(Table1[[#This Row],[order_time]])</f>
        <v>9</v>
      </c>
      <c r="H334" s="2">
        <v>0.40106481481481482</v>
      </c>
      <c r="I334" t="s">
        <v>11</v>
      </c>
      <c r="J334" t="s">
        <v>12</v>
      </c>
      <c r="K334">
        <v>4</v>
      </c>
      <c r="L334">
        <v>650</v>
      </c>
      <c r="M334">
        <v>2600</v>
      </c>
      <c r="N334">
        <f>IF(COUNTIFS($B$2:B334,B334)=1,1,0)</f>
        <v>1</v>
      </c>
    </row>
    <row r="335" spans="1:14" x14ac:dyDescent="0.2">
      <c r="A335">
        <v>334</v>
      </c>
      <c r="B335">
        <v>1173</v>
      </c>
      <c r="C335">
        <f>1/COUNTIF(B:B,Table1[[#This Row],[order_id]])</f>
        <v>1</v>
      </c>
      <c r="D335" t="str">
        <f>TEXT(Table1[[#This Row],[order_date]],"mmmm")</f>
        <v>January</v>
      </c>
      <c r="E335" s="1">
        <v>45322</v>
      </c>
      <c r="F335" s="1" t="str">
        <f>TEXT(Table1[[#This Row],[order_date]],"dddd")</f>
        <v>Wednesday</v>
      </c>
      <c r="G335">
        <f>HOUR(Table1[[#This Row],[order_time]])</f>
        <v>20</v>
      </c>
      <c r="H335" s="2">
        <v>0.87006944444444445</v>
      </c>
      <c r="I335" t="s">
        <v>16</v>
      </c>
      <c r="J335" t="s">
        <v>17</v>
      </c>
      <c r="K335">
        <v>3</v>
      </c>
      <c r="L335">
        <v>20</v>
      </c>
      <c r="M335">
        <v>60</v>
      </c>
      <c r="N335">
        <f>IF(COUNTIFS($B$2:B335,B335)=1,1,0)</f>
        <v>1</v>
      </c>
    </row>
    <row r="336" spans="1:14" x14ac:dyDescent="0.2">
      <c r="A336">
        <v>335</v>
      </c>
      <c r="B336">
        <v>1174</v>
      </c>
      <c r="C336">
        <f>1/COUNTIF(B:B,Table1[[#This Row],[order_id]])</f>
        <v>0.33333333333333331</v>
      </c>
      <c r="D336" t="str">
        <f>TEXT(Table1[[#This Row],[order_date]],"mmmm")</f>
        <v>January</v>
      </c>
      <c r="E336" s="1">
        <v>45322</v>
      </c>
      <c r="F336" s="1" t="str">
        <f>TEXT(Table1[[#This Row],[order_date]],"dddd")</f>
        <v>Wednesday</v>
      </c>
      <c r="G336">
        <f>HOUR(Table1[[#This Row],[order_time]])</f>
        <v>17</v>
      </c>
      <c r="H336" s="2">
        <v>0.7368055555555556</v>
      </c>
      <c r="I336" t="s">
        <v>11</v>
      </c>
      <c r="J336" t="s">
        <v>12</v>
      </c>
      <c r="K336">
        <v>2</v>
      </c>
      <c r="L336">
        <v>650</v>
      </c>
      <c r="M336">
        <v>1300</v>
      </c>
      <c r="N336">
        <f>IF(COUNTIFS($B$2:B336,B336)=1,1,0)</f>
        <v>1</v>
      </c>
    </row>
    <row r="337" spans="1:14" x14ac:dyDescent="0.2">
      <c r="A337">
        <v>336</v>
      </c>
      <c r="B337">
        <v>1174</v>
      </c>
      <c r="C337">
        <f>1/COUNTIF(B:B,Table1[[#This Row],[order_id]])</f>
        <v>0.33333333333333331</v>
      </c>
      <c r="D337" t="str">
        <f>TEXT(Table1[[#This Row],[order_date]],"mmmm")</f>
        <v>January</v>
      </c>
      <c r="E337" s="1">
        <v>45322</v>
      </c>
      <c r="F337" s="1" t="str">
        <f>TEXT(Table1[[#This Row],[order_date]],"dddd")</f>
        <v>Wednesday</v>
      </c>
      <c r="G337">
        <f>HOUR(Table1[[#This Row],[order_time]])</f>
        <v>12</v>
      </c>
      <c r="H337" s="2">
        <v>0.51143518518518516</v>
      </c>
      <c r="I337" t="s">
        <v>11</v>
      </c>
      <c r="J337" t="s">
        <v>12</v>
      </c>
      <c r="K337">
        <v>4</v>
      </c>
      <c r="L337">
        <v>650</v>
      </c>
      <c r="M337">
        <v>2600</v>
      </c>
      <c r="N337">
        <f>IF(COUNTIFS($B$2:B337,B337)=1,1,0)</f>
        <v>0</v>
      </c>
    </row>
    <row r="338" spans="1:14" x14ac:dyDescent="0.2">
      <c r="A338">
        <v>337</v>
      </c>
      <c r="B338">
        <v>1174</v>
      </c>
      <c r="C338">
        <f>1/COUNTIF(B:B,Table1[[#This Row],[order_id]])</f>
        <v>0.33333333333333331</v>
      </c>
      <c r="D338" t="str">
        <f>TEXT(Table1[[#This Row],[order_date]],"mmmm")</f>
        <v>January</v>
      </c>
      <c r="E338" s="1">
        <v>45322</v>
      </c>
      <c r="F338" s="1" t="str">
        <f>TEXT(Table1[[#This Row],[order_date]],"dddd")</f>
        <v>Wednesday</v>
      </c>
      <c r="G338">
        <f>HOUR(Table1[[#This Row],[order_time]])</f>
        <v>17</v>
      </c>
      <c r="H338" s="2">
        <v>0.70990740740740743</v>
      </c>
      <c r="I338" t="s">
        <v>9</v>
      </c>
      <c r="J338" t="s">
        <v>20</v>
      </c>
      <c r="K338">
        <v>4</v>
      </c>
      <c r="L338">
        <v>25</v>
      </c>
      <c r="M338">
        <v>100</v>
      </c>
      <c r="N338">
        <f>IF(COUNTIFS($B$2:B338,B338)=1,1,0)</f>
        <v>0</v>
      </c>
    </row>
    <row r="339" spans="1:14" x14ac:dyDescent="0.2">
      <c r="A339">
        <v>338</v>
      </c>
      <c r="B339">
        <v>1175</v>
      </c>
      <c r="C339">
        <f>1/COUNTIF(B:B,Table1[[#This Row],[order_id]])</f>
        <v>0.5</v>
      </c>
      <c r="D339" t="str">
        <f>TEXT(Table1[[#This Row],[order_date]],"mmmm")</f>
        <v>January</v>
      </c>
      <c r="E339" s="1">
        <v>45322</v>
      </c>
      <c r="F339" s="1" t="str">
        <f>TEXT(Table1[[#This Row],[order_date]],"dddd")</f>
        <v>Wednesday</v>
      </c>
      <c r="G339">
        <f>HOUR(Table1[[#This Row],[order_time]])</f>
        <v>13</v>
      </c>
      <c r="H339" s="2">
        <v>0.55752314814814818</v>
      </c>
      <c r="I339" t="s">
        <v>9</v>
      </c>
      <c r="J339" t="s">
        <v>10</v>
      </c>
      <c r="K339">
        <v>3</v>
      </c>
      <c r="L339">
        <v>20</v>
      </c>
      <c r="M339">
        <v>60</v>
      </c>
      <c r="N339">
        <f>IF(COUNTIFS($B$2:B339,B339)=1,1,0)</f>
        <v>1</v>
      </c>
    </row>
    <row r="340" spans="1:14" x14ac:dyDescent="0.2">
      <c r="A340">
        <v>339</v>
      </c>
      <c r="B340">
        <v>1175</v>
      </c>
      <c r="C340">
        <f>1/COUNTIF(B:B,Table1[[#This Row],[order_id]])</f>
        <v>0.5</v>
      </c>
      <c r="D340" t="str">
        <f>TEXT(Table1[[#This Row],[order_date]],"mmmm")</f>
        <v>January</v>
      </c>
      <c r="E340" s="1">
        <v>45322</v>
      </c>
      <c r="F340" s="1" t="str">
        <f>TEXT(Table1[[#This Row],[order_date]],"dddd")</f>
        <v>Wednesday</v>
      </c>
      <c r="G340">
        <f>HOUR(Table1[[#This Row],[order_time]])</f>
        <v>14</v>
      </c>
      <c r="H340" s="2">
        <v>0.60568287037037039</v>
      </c>
      <c r="I340" t="s">
        <v>18</v>
      </c>
      <c r="J340" t="s">
        <v>31</v>
      </c>
      <c r="K340">
        <v>2</v>
      </c>
      <c r="L340">
        <v>45</v>
      </c>
      <c r="M340">
        <v>90</v>
      </c>
      <c r="N340">
        <f>IF(COUNTIFS($B$2:B340,B340)=1,1,0)</f>
        <v>0</v>
      </c>
    </row>
    <row r="341" spans="1:14" x14ac:dyDescent="0.2">
      <c r="A341">
        <v>340</v>
      </c>
      <c r="B341">
        <v>1176</v>
      </c>
      <c r="C341">
        <f>1/COUNTIF(B:B,Table1[[#This Row],[order_id]])</f>
        <v>0.5</v>
      </c>
      <c r="D341" t="str">
        <f>TEXT(Table1[[#This Row],[order_date]],"mmmm")</f>
        <v>January</v>
      </c>
      <c r="E341" s="1">
        <v>45322</v>
      </c>
      <c r="F341" s="1" t="str">
        <f>TEXT(Table1[[#This Row],[order_date]],"dddd")</f>
        <v>Wednesday</v>
      </c>
      <c r="G341">
        <f>HOUR(Table1[[#This Row],[order_time]])</f>
        <v>9</v>
      </c>
      <c r="H341" s="2">
        <v>0.39962962962962961</v>
      </c>
      <c r="I341" t="s">
        <v>9</v>
      </c>
      <c r="J341" t="s">
        <v>10</v>
      </c>
      <c r="K341">
        <v>5</v>
      </c>
      <c r="L341">
        <v>20</v>
      </c>
      <c r="M341">
        <v>100</v>
      </c>
      <c r="N341">
        <f>IF(COUNTIFS($B$2:B341,B341)=1,1,0)</f>
        <v>1</v>
      </c>
    </row>
    <row r="342" spans="1:14" x14ac:dyDescent="0.2">
      <c r="A342">
        <v>341</v>
      </c>
      <c r="B342">
        <v>1176</v>
      </c>
      <c r="C342">
        <f>1/COUNTIF(B:B,Table1[[#This Row],[order_id]])</f>
        <v>0.5</v>
      </c>
      <c r="D342" t="str">
        <f>TEXT(Table1[[#This Row],[order_date]],"mmmm")</f>
        <v>January</v>
      </c>
      <c r="E342" s="1">
        <v>45322</v>
      </c>
      <c r="F342" s="1" t="str">
        <f>TEXT(Table1[[#This Row],[order_date]],"dddd")</f>
        <v>Wednesday</v>
      </c>
      <c r="G342">
        <f>HOUR(Table1[[#This Row],[order_time]])</f>
        <v>11</v>
      </c>
      <c r="H342" s="2">
        <v>0.46297453703703706</v>
      </c>
      <c r="I342" t="s">
        <v>11</v>
      </c>
      <c r="J342" t="s">
        <v>14</v>
      </c>
      <c r="K342">
        <v>5</v>
      </c>
      <c r="L342">
        <v>700</v>
      </c>
      <c r="M342">
        <v>3500</v>
      </c>
      <c r="N342">
        <f>IF(COUNTIFS($B$2:B342,B342)=1,1,0)</f>
        <v>0</v>
      </c>
    </row>
    <row r="343" spans="1:14" x14ac:dyDescent="0.2">
      <c r="A343">
        <v>342</v>
      </c>
      <c r="B343">
        <v>1177</v>
      </c>
      <c r="C343">
        <f>1/COUNTIF(B:B,Table1[[#This Row],[order_id]])</f>
        <v>1</v>
      </c>
      <c r="D343" t="str">
        <f>TEXT(Table1[[#This Row],[order_date]],"mmmm")</f>
        <v>February</v>
      </c>
      <c r="E343" s="1">
        <v>45323</v>
      </c>
      <c r="F343" s="1" t="str">
        <f>TEXT(Table1[[#This Row],[order_date]],"dddd")</f>
        <v>Thursday</v>
      </c>
      <c r="G343">
        <f>HOUR(Table1[[#This Row],[order_time]])</f>
        <v>16</v>
      </c>
      <c r="H343" s="2">
        <v>0.68390046296296292</v>
      </c>
      <c r="I343" t="s">
        <v>9</v>
      </c>
      <c r="J343" t="s">
        <v>10</v>
      </c>
      <c r="K343">
        <v>5</v>
      </c>
      <c r="L343">
        <v>20</v>
      </c>
      <c r="M343">
        <v>100</v>
      </c>
      <c r="N343">
        <f>IF(COUNTIFS($B$2:B343,B343)=1,1,0)</f>
        <v>1</v>
      </c>
    </row>
    <row r="344" spans="1:14" x14ac:dyDescent="0.2">
      <c r="A344">
        <v>343</v>
      </c>
      <c r="B344">
        <v>1178</v>
      </c>
      <c r="C344">
        <f>1/COUNTIF(B:B,Table1[[#This Row],[order_id]])</f>
        <v>0.33333333333333331</v>
      </c>
      <c r="D344" t="str">
        <f>TEXT(Table1[[#This Row],[order_date]],"mmmm")</f>
        <v>February</v>
      </c>
      <c r="E344" s="1">
        <v>45323</v>
      </c>
      <c r="F344" s="1" t="str">
        <f>TEXT(Table1[[#This Row],[order_date]],"dddd")</f>
        <v>Thursday</v>
      </c>
      <c r="G344">
        <f>HOUR(Table1[[#This Row],[order_time]])</f>
        <v>10</v>
      </c>
      <c r="H344" s="2">
        <v>0.44165509259259261</v>
      </c>
      <c r="I344" t="s">
        <v>16</v>
      </c>
      <c r="J344" t="s">
        <v>17</v>
      </c>
      <c r="K344">
        <v>4</v>
      </c>
      <c r="L344">
        <v>20</v>
      </c>
      <c r="M344">
        <v>80</v>
      </c>
      <c r="N344">
        <f>IF(COUNTIFS($B$2:B344,B344)=1,1,0)</f>
        <v>1</v>
      </c>
    </row>
    <row r="345" spans="1:14" x14ac:dyDescent="0.2">
      <c r="A345">
        <v>344</v>
      </c>
      <c r="B345">
        <v>1178</v>
      </c>
      <c r="C345">
        <f>1/COUNTIF(B:B,Table1[[#This Row],[order_id]])</f>
        <v>0.33333333333333331</v>
      </c>
      <c r="D345" t="str">
        <f>TEXT(Table1[[#This Row],[order_date]],"mmmm")</f>
        <v>February</v>
      </c>
      <c r="E345" s="1">
        <v>45323</v>
      </c>
      <c r="F345" s="1" t="str">
        <f>TEXT(Table1[[#This Row],[order_date]],"dddd")</f>
        <v>Thursday</v>
      </c>
      <c r="G345">
        <f>HOUR(Table1[[#This Row],[order_time]])</f>
        <v>14</v>
      </c>
      <c r="H345" s="2">
        <v>0.61563657407407413</v>
      </c>
      <c r="I345" t="s">
        <v>11</v>
      </c>
      <c r="J345" t="s">
        <v>15</v>
      </c>
      <c r="K345">
        <v>4</v>
      </c>
      <c r="L345">
        <v>600</v>
      </c>
      <c r="M345">
        <v>2400</v>
      </c>
      <c r="N345">
        <f>IF(COUNTIFS($B$2:B345,B345)=1,1,0)</f>
        <v>0</v>
      </c>
    </row>
    <row r="346" spans="1:14" x14ac:dyDescent="0.2">
      <c r="A346">
        <v>345</v>
      </c>
      <c r="B346">
        <v>1178</v>
      </c>
      <c r="C346">
        <f>1/COUNTIF(B:B,Table1[[#This Row],[order_id]])</f>
        <v>0.33333333333333331</v>
      </c>
      <c r="D346" t="str">
        <f>TEXT(Table1[[#This Row],[order_date]],"mmmm")</f>
        <v>February</v>
      </c>
      <c r="E346" s="1">
        <v>45323</v>
      </c>
      <c r="F346" s="1" t="str">
        <f>TEXT(Table1[[#This Row],[order_date]],"dddd")</f>
        <v>Thursday</v>
      </c>
      <c r="G346">
        <f>HOUR(Table1[[#This Row],[order_time]])</f>
        <v>19</v>
      </c>
      <c r="H346" s="2">
        <v>0.81385416666666666</v>
      </c>
      <c r="I346" t="s">
        <v>9</v>
      </c>
      <c r="J346" t="s">
        <v>10</v>
      </c>
      <c r="K346">
        <v>1</v>
      </c>
      <c r="L346">
        <v>20</v>
      </c>
      <c r="M346">
        <v>20</v>
      </c>
      <c r="N346">
        <f>IF(COUNTIFS($B$2:B346,B346)=1,1,0)</f>
        <v>0</v>
      </c>
    </row>
    <row r="347" spans="1:14" x14ac:dyDescent="0.2">
      <c r="A347">
        <v>346</v>
      </c>
      <c r="B347">
        <v>1179</v>
      </c>
      <c r="C347">
        <f>1/COUNTIF(B:B,Table1[[#This Row],[order_id]])</f>
        <v>0.33333333333333331</v>
      </c>
      <c r="D347" t="str">
        <f>TEXT(Table1[[#This Row],[order_date]],"mmmm")</f>
        <v>February</v>
      </c>
      <c r="E347" s="1">
        <v>45323</v>
      </c>
      <c r="F347" s="1" t="str">
        <f>TEXT(Table1[[#This Row],[order_date]],"dddd")</f>
        <v>Thursday</v>
      </c>
      <c r="G347">
        <f>HOUR(Table1[[#This Row],[order_time]])</f>
        <v>9</v>
      </c>
      <c r="H347" s="2">
        <v>0.38917824074074076</v>
      </c>
      <c r="I347" t="s">
        <v>16</v>
      </c>
      <c r="J347" t="s">
        <v>17</v>
      </c>
      <c r="K347">
        <v>1</v>
      </c>
      <c r="L347">
        <v>20</v>
      </c>
      <c r="M347">
        <v>20</v>
      </c>
      <c r="N347">
        <f>IF(COUNTIFS($B$2:B347,B347)=1,1,0)</f>
        <v>1</v>
      </c>
    </row>
    <row r="348" spans="1:14" x14ac:dyDescent="0.2">
      <c r="A348">
        <v>347</v>
      </c>
      <c r="B348">
        <v>1179</v>
      </c>
      <c r="C348">
        <f>1/COUNTIF(B:B,Table1[[#This Row],[order_id]])</f>
        <v>0.33333333333333331</v>
      </c>
      <c r="D348" t="str">
        <f>TEXT(Table1[[#This Row],[order_date]],"mmmm")</f>
        <v>February</v>
      </c>
      <c r="E348" s="1">
        <v>45323</v>
      </c>
      <c r="F348" s="1" t="str">
        <f>TEXT(Table1[[#This Row],[order_date]],"dddd")</f>
        <v>Thursday</v>
      </c>
      <c r="G348">
        <f>HOUR(Table1[[#This Row],[order_time]])</f>
        <v>15</v>
      </c>
      <c r="H348" s="2">
        <v>0.66471064814814818</v>
      </c>
      <c r="I348" t="s">
        <v>16</v>
      </c>
      <c r="J348" t="s">
        <v>28</v>
      </c>
      <c r="K348">
        <v>2</v>
      </c>
      <c r="L348">
        <v>25</v>
      </c>
      <c r="M348">
        <v>50</v>
      </c>
      <c r="N348">
        <f>IF(COUNTIFS($B$2:B348,B348)=1,1,0)</f>
        <v>0</v>
      </c>
    </row>
    <row r="349" spans="1:14" x14ac:dyDescent="0.2">
      <c r="A349">
        <v>348</v>
      </c>
      <c r="B349">
        <v>1179</v>
      </c>
      <c r="C349">
        <f>1/COUNTIF(B:B,Table1[[#This Row],[order_id]])</f>
        <v>0.33333333333333331</v>
      </c>
      <c r="D349" t="str">
        <f>TEXT(Table1[[#This Row],[order_date]],"mmmm")</f>
        <v>February</v>
      </c>
      <c r="E349" s="1">
        <v>45323</v>
      </c>
      <c r="F349" s="1" t="str">
        <f>TEXT(Table1[[#This Row],[order_date]],"dddd")</f>
        <v>Thursday</v>
      </c>
      <c r="G349">
        <f>HOUR(Table1[[#This Row],[order_time]])</f>
        <v>9</v>
      </c>
      <c r="H349" s="2">
        <v>0.38320601851851854</v>
      </c>
      <c r="I349" t="s">
        <v>11</v>
      </c>
      <c r="J349" t="s">
        <v>13</v>
      </c>
      <c r="K349">
        <v>2</v>
      </c>
      <c r="L349">
        <v>680</v>
      </c>
      <c r="M349">
        <v>1360</v>
      </c>
      <c r="N349">
        <f>IF(COUNTIFS($B$2:B349,B349)=1,1,0)</f>
        <v>0</v>
      </c>
    </row>
    <row r="350" spans="1:14" x14ac:dyDescent="0.2">
      <c r="A350">
        <v>349</v>
      </c>
      <c r="B350">
        <v>1180</v>
      </c>
      <c r="C350">
        <f>1/COUNTIF(B:B,Table1[[#This Row],[order_id]])</f>
        <v>0.5</v>
      </c>
      <c r="D350" t="str">
        <f>TEXT(Table1[[#This Row],[order_date]],"mmmm")</f>
        <v>February</v>
      </c>
      <c r="E350" s="1">
        <v>45323</v>
      </c>
      <c r="F350" s="1" t="str">
        <f>TEXT(Table1[[#This Row],[order_date]],"dddd")</f>
        <v>Thursday</v>
      </c>
      <c r="G350">
        <f>HOUR(Table1[[#This Row],[order_time]])</f>
        <v>12</v>
      </c>
      <c r="H350" s="2">
        <v>0.51493055555555556</v>
      </c>
      <c r="I350" t="s">
        <v>16</v>
      </c>
      <c r="J350" t="s">
        <v>24</v>
      </c>
      <c r="K350">
        <v>3</v>
      </c>
      <c r="L350">
        <v>35</v>
      </c>
      <c r="M350">
        <v>105</v>
      </c>
      <c r="N350">
        <f>IF(COUNTIFS($B$2:B350,B350)=1,1,0)</f>
        <v>1</v>
      </c>
    </row>
    <row r="351" spans="1:14" x14ac:dyDescent="0.2">
      <c r="A351">
        <v>350</v>
      </c>
      <c r="B351">
        <v>1180</v>
      </c>
      <c r="C351">
        <f>1/COUNTIF(B:B,Table1[[#This Row],[order_id]])</f>
        <v>0.5</v>
      </c>
      <c r="D351" t="str">
        <f>TEXT(Table1[[#This Row],[order_date]],"mmmm")</f>
        <v>February</v>
      </c>
      <c r="E351" s="1">
        <v>45323</v>
      </c>
      <c r="F351" s="1" t="str">
        <f>TEXT(Table1[[#This Row],[order_date]],"dddd")</f>
        <v>Thursday</v>
      </c>
      <c r="G351">
        <f>HOUR(Table1[[#This Row],[order_time]])</f>
        <v>16</v>
      </c>
      <c r="H351" s="2">
        <v>0.70640046296296299</v>
      </c>
      <c r="I351" t="s">
        <v>16</v>
      </c>
      <c r="J351" t="s">
        <v>24</v>
      </c>
      <c r="K351">
        <v>4</v>
      </c>
      <c r="L351">
        <v>35</v>
      </c>
      <c r="M351">
        <v>140</v>
      </c>
      <c r="N351">
        <f>IF(COUNTIFS($B$2:B351,B351)=1,1,0)</f>
        <v>0</v>
      </c>
    </row>
    <row r="352" spans="1:14" x14ac:dyDescent="0.2">
      <c r="A352">
        <v>351</v>
      </c>
      <c r="B352">
        <v>1181</v>
      </c>
      <c r="C352">
        <f>1/COUNTIF(B:B,Table1[[#This Row],[order_id]])</f>
        <v>0.5</v>
      </c>
      <c r="D352" t="str">
        <f>TEXT(Table1[[#This Row],[order_date]],"mmmm")</f>
        <v>February</v>
      </c>
      <c r="E352" s="1">
        <v>45323</v>
      </c>
      <c r="F352" s="1" t="str">
        <f>TEXT(Table1[[#This Row],[order_date]],"dddd")</f>
        <v>Thursday</v>
      </c>
      <c r="G352">
        <f>HOUR(Table1[[#This Row],[order_time]])</f>
        <v>10</v>
      </c>
      <c r="H352" s="2">
        <v>0.42199074074074072</v>
      </c>
      <c r="I352" t="s">
        <v>9</v>
      </c>
      <c r="J352" t="s">
        <v>22</v>
      </c>
      <c r="K352">
        <v>2</v>
      </c>
      <c r="L352">
        <v>15</v>
      </c>
      <c r="M352">
        <v>30</v>
      </c>
      <c r="N352">
        <f>IF(COUNTIFS($B$2:B352,B352)=1,1,0)</f>
        <v>1</v>
      </c>
    </row>
    <row r="353" spans="1:14" x14ac:dyDescent="0.2">
      <c r="A353">
        <v>352</v>
      </c>
      <c r="B353">
        <v>1181</v>
      </c>
      <c r="C353">
        <f>1/COUNTIF(B:B,Table1[[#This Row],[order_id]])</f>
        <v>0.5</v>
      </c>
      <c r="D353" t="str">
        <f>TEXT(Table1[[#This Row],[order_date]],"mmmm")</f>
        <v>February</v>
      </c>
      <c r="E353" s="1">
        <v>45323</v>
      </c>
      <c r="F353" s="1" t="str">
        <f>TEXT(Table1[[#This Row],[order_date]],"dddd")</f>
        <v>Thursday</v>
      </c>
      <c r="G353">
        <f>HOUR(Table1[[#This Row],[order_time]])</f>
        <v>17</v>
      </c>
      <c r="H353" s="2">
        <v>0.72714120370370372</v>
      </c>
      <c r="I353" t="s">
        <v>18</v>
      </c>
      <c r="J353" t="s">
        <v>30</v>
      </c>
      <c r="K353">
        <v>3</v>
      </c>
      <c r="L353">
        <v>60</v>
      </c>
      <c r="M353">
        <v>180</v>
      </c>
      <c r="N353">
        <f>IF(COUNTIFS($B$2:B353,B353)=1,1,0)</f>
        <v>0</v>
      </c>
    </row>
    <row r="354" spans="1:14" x14ac:dyDescent="0.2">
      <c r="A354">
        <v>353</v>
      </c>
      <c r="B354">
        <v>1182</v>
      </c>
      <c r="C354">
        <f>1/COUNTIF(B:B,Table1[[#This Row],[order_id]])</f>
        <v>0.5</v>
      </c>
      <c r="D354" t="str">
        <f>TEXT(Table1[[#This Row],[order_date]],"mmmm")</f>
        <v>February</v>
      </c>
      <c r="E354" s="1">
        <v>45323</v>
      </c>
      <c r="F354" s="1" t="str">
        <f>TEXT(Table1[[#This Row],[order_date]],"dddd")</f>
        <v>Thursday</v>
      </c>
      <c r="G354">
        <f>HOUR(Table1[[#This Row],[order_time]])</f>
        <v>18</v>
      </c>
      <c r="H354" s="2">
        <v>0.77284722222222224</v>
      </c>
      <c r="I354" t="s">
        <v>11</v>
      </c>
      <c r="J354" t="s">
        <v>13</v>
      </c>
      <c r="K354">
        <v>5</v>
      </c>
      <c r="L354">
        <v>680</v>
      </c>
      <c r="M354">
        <v>3400</v>
      </c>
      <c r="N354">
        <f>IF(COUNTIFS($B$2:B354,B354)=1,1,0)</f>
        <v>1</v>
      </c>
    </row>
    <row r="355" spans="1:14" x14ac:dyDescent="0.2">
      <c r="A355">
        <v>354</v>
      </c>
      <c r="B355">
        <v>1182</v>
      </c>
      <c r="C355">
        <f>1/COUNTIF(B:B,Table1[[#This Row],[order_id]])</f>
        <v>0.5</v>
      </c>
      <c r="D355" t="str">
        <f>TEXT(Table1[[#This Row],[order_date]],"mmmm")</f>
        <v>February</v>
      </c>
      <c r="E355" s="1">
        <v>45323</v>
      </c>
      <c r="F355" s="1" t="str">
        <f>TEXT(Table1[[#This Row],[order_date]],"dddd")</f>
        <v>Thursday</v>
      </c>
      <c r="G355">
        <f>HOUR(Table1[[#This Row],[order_time]])</f>
        <v>17</v>
      </c>
      <c r="H355" s="2">
        <v>0.73844907407407412</v>
      </c>
      <c r="I355" t="s">
        <v>11</v>
      </c>
      <c r="J355" t="s">
        <v>14</v>
      </c>
      <c r="K355">
        <v>1</v>
      </c>
      <c r="L355">
        <v>700</v>
      </c>
      <c r="M355">
        <v>700</v>
      </c>
      <c r="N355">
        <f>IF(COUNTIFS($B$2:B355,B355)=1,1,0)</f>
        <v>0</v>
      </c>
    </row>
    <row r="356" spans="1:14" x14ac:dyDescent="0.2">
      <c r="A356">
        <v>355</v>
      </c>
      <c r="B356">
        <v>1183</v>
      </c>
      <c r="C356">
        <f>1/COUNTIF(B:B,Table1[[#This Row],[order_id]])</f>
        <v>0.33333333333333331</v>
      </c>
      <c r="D356" t="str">
        <f>TEXT(Table1[[#This Row],[order_date]],"mmmm")</f>
        <v>February</v>
      </c>
      <c r="E356" s="1">
        <v>45324</v>
      </c>
      <c r="F356" s="1" t="str">
        <f>TEXT(Table1[[#This Row],[order_date]],"dddd")</f>
        <v>Friday</v>
      </c>
      <c r="G356">
        <f>HOUR(Table1[[#This Row],[order_time]])</f>
        <v>16</v>
      </c>
      <c r="H356" s="2">
        <v>0.69960648148148152</v>
      </c>
      <c r="I356" t="s">
        <v>16</v>
      </c>
      <c r="J356" t="s">
        <v>28</v>
      </c>
      <c r="K356">
        <v>2</v>
      </c>
      <c r="L356">
        <v>25</v>
      </c>
      <c r="M356">
        <v>50</v>
      </c>
      <c r="N356">
        <f>IF(COUNTIFS($B$2:B356,B356)=1,1,0)</f>
        <v>1</v>
      </c>
    </row>
    <row r="357" spans="1:14" x14ac:dyDescent="0.2">
      <c r="A357">
        <v>356</v>
      </c>
      <c r="B357">
        <v>1183</v>
      </c>
      <c r="C357">
        <f>1/COUNTIF(B:B,Table1[[#This Row],[order_id]])</f>
        <v>0.33333333333333331</v>
      </c>
      <c r="D357" t="str">
        <f>TEXT(Table1[[#This Row],[order_date]],"mmmm")</f>
        <v>February</v>
      </c>
      <c r="E357" s="1">
        <v>45324</v>
      </c>
      <c r="F357" s="1" t="str">
        <f>TEXT(Table1[[#This Row],[order_date]],"dddd")</f>
        <v>Friday</v>
      </c>
      <c r="G357">
        <f>HOUR(Table1[[#This Row],[order_time]])</f>
        <v>19</v>
      </c>
      <c r="H357" s="2">
        <v>0.79412037037037042</v>
      </c>
      <c r="I357" t="s">
        <v>18</v>
      </c>
      <c r="J357" t="s">
        <v>31</v>
      </c>
      <c r="K357">
        <v>5</v>
      </c>
      <c r="L357">
        <v>45</v>
      </c>
      <c r="M357">
        <v>225</v>
      </c>
      <c r="N357">
        <f>IF(COUNTIFS($B$2:B357,B357)=1,1,0)</f>
        <v>0</v>
      </c>
    </row>
    <row r="358" spans="1:14" x14ac:dyDescent="0.2">
      <c r="A358">
        <v>357</v>
      </c>
      <c r="B358">
        <v>1183</v>
      </c>
      <c r="C358">
        <f>1/COUNTIF(B:B,Table1[[#This Row],[order_id]])</f>
        <v>0.33333333333333331</v>
      </c>
      <c r="D358" t="str">
        <f>TEXT(Table1[[#This Row],[order_date]],"mmmm")</f>
        <v>February</v>
      </c>
      <c r="E358" s="1">
        <v>45324</v>
      </c>
      <c r="F358" s="1" t="str">
        <f>TEXT(Table1[[#This Row],[order_date]],"dddd")</f>
        <v>Friday</v>
      </c>
      <c r="G358">
        <f>HOUR(Table1[[#This Row],[order_time]])</f>
        <v>10</v>
      </c>
      <c r="H358" s="2">
        <v>0.4176273148148148</v>
      </c>
      <c r="I358" t="s">
        <v>18</v>
      </c>
      <c r="J358" t="s">
        <v>19</v>
      </c>
      <c r="K358">
        <v>4</v>
      </c>
      <c r="L358">
        <v>50</v>
      </c>
      <c r="M358">
        <v>200</v>
      </c>
      <c r="N358">
        <f>IF(COUNTIFS($B$2:B358,B358)=1,1,0)</f>
        <v>0</v>
      </c>
    </row>
    <row r="359" spans="1:14" x14ac:dyDescent="0.2">
      <c r="A359">
        <v>358</v>
      </c>
      <c r="B359">
        <v>1184</v>
      </c>
      <c r="C359">
        <f>1/COUNTIF(B:B,Table1[[#This Row],[order_id]])</f>
        <v>0.33333333333333331</v>
      </c>
      <c r="D359" t="str">
        <f>TEXT(Table1[[#This Row],[order_date]],"mmmm")</f>
        <v>February</v>
      </c>
      <c r="E359" s="1">
        <v>45324</v>
      </c>
      <c r="F359" s="1" t="str">
        <f>TEXT(Table1[[#This Row],[order_date]],"dddd")</f>
        <v>Friday</v>
      </c>
      <c r="G359">
        <f>HOUR(Table1[[#This Row],[order_time]])</f>
        <v>12</v>
      </c>
      <c r="H359" s="2">
        <v>0.51023148148148145</v>
      </c>
      <c r="I359" t="s">
        <v>16</v>
      </c>
      <c r="J359" t="s">
        <v>23</v>
      </c>
      <c r="K359">
        <v>2</v>
      </c>
      <c r="L359">
        <v>30</v>
      </c>
      <c r="M359">
        <v>60</v>
      </c>
      <c r="N359">
        <f>IF(COUNTIFS($B$2:B359,B359)=1,1,0)</f>
        <v>1</v>
      </c>
    </row>
    <row r="360" spans="1:14" x14ac:dyDescent="0.2">
      <c r="A360">
        <v>359</v>
      </c>
      <c r="B360">
        <v>1184</v>
      </c>
      <c r="C360">
        <f>1/COUNTIF(B:B,Table1[[#This Row],[order_id]])</f>
        <v>0.33333333333333331</v>
      </c>
      <c r="D360" t="str">
        <f>TEXT(Table1[[#This Row],[order_date]],"mmmm")</f>
        <v>February</v>
      </c>
      <c r="E360" s="1">
        <v>45324</v>
      </c>
      <c r="F360" s="1" t="str">
        <f>TEXT(Table1[[#This Row],[order_date]],"dddd")</f>
        <v>Friday</v>
      </c>
      <c r="G360">
        <f>HOUR(Table1[[#This Row],[order_time]])</f>
        <v>20</v>
      </c>
      <c r="H360" s="2">
        <v>0.84385416666666668</v>
      </c>
      <c r="I360" t="s">
        <v>9</v>
      </c>
      <c r="J360" t="s">
        <v>10</v>
      </c>
      <c r="K360">
        <v>4</v>
      </c>
      <c r="L360">
        <v>20</v>
      </c>
      <c r="M360">
        <v>80</v>
      </c>
      <c r="N360">
        <f>IF(COUNTIFS($B$2:B360,B360)=1,1,0)</f>
        <v>0</v>
      </c>
    </row>
    <row r="361" spans="1:14" x14ac:dyDescent="0.2">
      <c r="A361">
        <v>360</v>
      </c>
      <c r="B361">
        <v>1184</v>
      </c>
      <c r="C361">
        <f>1/COUNTIF(B:B,Table1[[#This Row],[order_id]])</f>
        <v>0.33333333333333331</v>
      </c>
      <c r="D361" t="str">
        <f>TEXT(Table1[[#This Row],[order_date]],"mmmm")</f>
        <v>February</v>
      </c>
      <c r="E361" s="1">
        <v>45324</v>
      </c>
      <c r="F361" s="1" t="str">
        <f>TEXT(Table1[[#This Row],[order_date]],"dddd")</f>
        <v>Friday</v>
      </c>
      <c r="G361">
        <f>HOUR(Table1[[#This Row],[order_time]])</f>
        <v>13</v>
      </c>
      <c r="H361" s="2">
        <v>0.55050925925925931</v>
      </c>
      <c r="I361" t="s">
        <v>16</v>
      </c>
      <c r="J361" t="s">
        <v>28</v>
      </c>
      <c r="K361">
        <v>2</v>
      </c>
      <c r="L361">
        <v>25</v>
      </c>
      <c r="M361">
        <v>50</v>
      </c>
      <c r="N361">
        <f>IF(COUNTIFS($B$2:B361,B361)=1,1,0)</f>
        <v>0</v>
      </c>
    </row>
    <row r="362" spans="1:14" x14ac:dyDescent="0.2">
      <c r="A362">
        <v>361</v>
      </c>
      <c r="B362">
        <v>1185</v>
      </c>
      <c r="C362">
        <f>1/COUNTIF(B:B,Table1[[#This Row],[order_id]])</f>
        <v>0.5</v>
      </c>
      <c r="D362" t="str">
        <f>TEXT(Table1[[#This Row],[order_date]],"mmmm")</f>
        <v>February</v>
      </c>
      <c r="E362" s="1">
        <v>45324</v>
      </c>
      <c r="F362" s="1" t="str">
        <f>TEXT(Table1[[#This Row],[order_date]],"dddd")</f>
        <v>Friday</v>
      </c>
      <c r="G362">
        <f>HOUR(Table1[[#This Row],[order_time]])</f>
        <v>10</v>
      </c>
      <c r="H362" s="2">
        <v>0.43550925925925926</v>
      </c>
      <c r="I362" t="s">
        <v>11</v>
      </c>
      <c r="J362" t="s">
        <v>25</v>
      </c>
      <c r="K362">
        <v>1</v>
      </c>
      <c r="L362">
        <v>1000</v>
      </c>
      <c r="M362">
        <v>1000</v>
      </c>
      <c r="N362">
        <f>IF(COUNTIFS($B$2:B362,B362)=1,1,0)</f>
        <v>1</v>
      </c>
    </row>
    <row r="363" spans="1:14" x14ac:dyDescent="0.2">
      <c r="A363">
        <v>362</v>
      </c>
      <c r="B363">
        <v>1185</v>
      </c>
      <c r="C363">
        <f>1/COUNTIF(B:B,Table1[[#This Row],[order_id]])</f>
        <v>0.5</v>
      </c>
      <c r="D363" t="str">
        <f>TEXT(Table1[[#This Row],[order_date]],"mmmm")</f>
        <v>February</v>
      </c>
      <c r="E363" s="1">
        <v>45324</v>
      </c>
      <c r="F363" s="1" t="str">
        <f>TEXT(Table1[[#This Row],[order_date]],"dddd")</f>
        <v>Friday</v>
      </c>
      <c r="G363">
        <f>HOUR(Table1[[#This Row],[order_time]])</f>
        <v>20</v>
      </c>
      <c r="H363" s="2">
        <v>0.86103009259259256</v>
      </c>
      <c r="I363" t="s">
        <v>11</v>
      </c>
      <c r="J363" t="s">
        <v>25</v>
      </c>
      <c r="K363">
        <v>4</v>
      </c>
      <c r="L363">
        <v>1000</v>
      </c>
      <c r="M363">
        <v>4000</v>
      </c>
      <c r="N363">
        <f>IF(COUNTIFS($B$2:B363,B363)=1,1,0)</f>
        <v>0</v>
      </c>
    </row>
    <row r="364" spans="1:14" x14ac:dyDescent="0.2">
      <c r="A364">
        <v>363</v>
      </c>
      <c r="B364">
        <v>1186</v>
      </c>
      <c r="C364">
        <f>1/COUNTIF(B:B,Table1[[#This Row],[order_id]])</f>
        <v>0.33333333333333331</v>
      </c>
      <c r="D364" t="str">
        <f>TEXT(Table1[[#This Row],[order_date]],"mmmm")</f>
        <v>February</v>
      </c>
      <c r="E364" s="1">
        <v>45324</v>
      </c>
      <c r="F364" s="1" t="str">
        <f>TEXT(Table1[[#This Row],[order_date]],"dddd")</f>
        <v>Friday</v>
      </c>
      <c r="G364">
        <f>HOUR(Table1[[#This Row],[order_time]])</f>
        <v>14</v>
      </c>
      <c r="H364" s="2">
        <v>0.58619212962962963</v>
      </c>
      <c r="I364" t="s">
        <v>16</v>
      </c>
      <c r="J364" t="s">
        <v>23</v>
      </c>
      <c r="K364">
        <v>5</v>
      </c>
      <c r="L364">
        <v>30</v>
      </c>
      <c r="M364">
        <v>150</v>
      </c>
      <c r="N364">
        <f>IF(COUNTIFS($B$2:B364,B364)=1,1,0)</f>
        <v>1</v>
      </c>
    </row>
    <row r="365" spans="1:14" x14ac:dyDescent="0.2">
      <c r="A365">
        <v>364</v>
      </c>
      <c r="B365">
        <v>1186</v>
      </c>
      <c r="C365">
        <f>1/COUNTIF(B:B,Table1[[#This Row],[order_id]])</f>
        <v>0.33333333333333331</v>
      </c>
      <c r="D365" t="str">
        <f>TEXT(Table1[[#This Row],[order_date]],"mmmm")</f>
        <v>February</v>
      </c>
      <c r="E365" s="1">
        <v>45324</v>
      </c>
      <c r="F365" s="1" t="str">
        <f>TEXT(Table1[[#This Row],[order_date]],"dddd")</f>
        <v>Friday</v>
      </c>
      <c r="G365">
        <f>HOUR(Table1[[#This Row],[order_time]])</f>
        <v>16</v>
      </c>
      <c r="H365" s="2">
        <v>0.70355324074074077</v>
      </c>
      <c r="I365" t="s">
        <v>11</v>
      </c>
      <c r="J365" t="s">
        <v>13</v>
      </c>
      <c r="K365">
        <v>4</v>
      </c>
      <c r="L365">
        <v>680</v>
      </c>
      <c r="M365">
        <v>2720</v>
      </c>
      <c r="N365">
        <f>IF(COUNTIFS($B$2:B365,B365)=1,1,0)</f>
        <v>0</v>
      </c>
    </row>
    <row r="366" spans="1:14" x14ac:dyDescent="0.2">
      <c r="A366">
        <v>365</v>
      </c>
      <c r="B366">
        <v>1186</v>
      </c>
      <c r="C366">
        <f>1/COUNTIF(B:B,Table1[[#This Row],[order_id]])</f>
        <v>0.33333333333333331</v>
      </c>
      <c r="D366" t="str">
        <f>TEXT(Table1[[#This Row],[order_date]],"mmmm")</f>
        <v>February</v>
      </c>
      <c r="E366" s="1">
        <v>45324</v>
      </c>
      <c r="F366" s="1" t="str">
        <f>TEXT(Table1[[#This Row],[order_date]],"dddd")</f>
        <v>Friday</v>
      </c>
      <c r="G366">
        <f>HOUR(Table1[[#This Row],[order_time]])</f>
        <v>20</v>
      </c>
      <c r="H366" s="2">
        <v>0.84767361111111106</v>
      </c>
      <c r="I366" t="s">
        <v>16</v>
      </c>
      <c r="J366" t="s">
        <v>28</v>
      </c>
      <c r="K366">
        <v>1</v>
      </c>
      <c r="L366">
        <v>25</v>
      </c>
      <c r="M366">
        <v>25</v>
      </c>
      <c r="N366">
        <f>IF(COUNTIFS($B$2:B366,B366)=1,1,0)</f>
        <v>0</v>
      </c>
    </row>
    <row r="367" spans="1:14" x14ac:dyDescent="0.2">
      <c r="A367">
        <v>366</v>
      </c>
      <c r="B367">
        <v>1187</v>
      </c>
      <c r="C367">
        <f>1/COUNTIF(B:B,Table1[[#This Row],[order_id]])</f>
        <v>0.33333333333333331</v>
      </c>
      <c r="D367" t="str">
        <f>TEXT(Table1[[#This Row],[order_date]],"mmmm")</f>
        <v>February</v>
      </c>
      <c r="E367" s="1">
        <v>45325</v>
      </c>
      <c r="F367" s="1" t="str">
        <f>TEXT(Table1[[#This Row],[order_date]],"dddd")</f>
        <v>Saturday</v>
      </c>
      <c r="G367">
        <f>HOUR(Table1[[#This Row],[order_time]])</f>
        <v>11</v>
      </c>
      <c r="H367" s="2">
        <v>0.48734953703703704</v>
      </c>
      <c r="I367" t="s">
        <v>9</v>
      </c>
      <c r="J367" t="s">
        <v>21</v>
      </c>
      <c r="K367">
        <v>4</v>
      </c>
      <c r="L367">
        <v>10</v>
      </c>
      <c r="M367">
        <v>40</v>
      </c>
      <c r="N367">
        <f>IF(COUNTIFS($B$2:B367,B367)=1,1,0)</f>
        <v>1</v>
      </c>
    </row>
    <row r="368" spans="1:14" x14ac:dyDescent="0.2">
      <c r="A368">
        <v>367</v>
      </c>
      <c r="B368">
        <v>1187</v>
      </c>
      <c r="C368">
        <f>1/COUNTIF(B:B,Table1[[#This Row],[order_id]])</f>
        <v>0.33333333333333331</v>
      </c>
      <c r="D368" t="str">
        <f>TEXT(Table1[[#This Row],[order_date]],"mmmm")</f>
        <v>February</v>
      </c>
      <c r="E368" s="1">
        <v>45325</v>
      </c>
      <c r="F368" s="1" t="str">
        <f>TEXT(Table1[[#This Row],[order_date]],"dddd")</f>
        <v>Saturday</v>
      </c>
      <c r="G368">
        <f>HOUR(Table1[[#This Row],[order_time]])</f>
        <v>10</v>
      </c>
      <c r="H368" s="2">
        <v>0.44012731481481482</v>
      </c>
      <c r="I368" t="s">
        <v>16</v>
      </c>
      <c r="J368" t="s">
        <v>24</v>
      </c>
      <c r="K368">
        <v>1</v>
      </c>
      <c r="L368">
        <v>35</v>
      </c>
      <c r="M368">
        <v>35</v>
      </c>
      <c r="N368">
        <f>IF(COUNTIFS($B$2:B368,B368)=1,1,0)</f>
        <v>0</v>
      </c>
    </row>
    <row r="369" spans="1:14" x14ac:dyDescent="0.2">
      <c r="A369">
        <v>368</v>
      </c>
      <c r="B369">
        <v>1187</v>
      </c>
      <c r="C369">
        <f>1/COUNTIF(B:B,Table1[[#This Row],[order_id]])</f>
        <v>0.33333333333333331</v>
      </c>
      <c r="D369" t="str">
        <f>TEXT(Table1[[#This Row],[order_date]],"mmmm")</f>
        <v>February</v>
      </c>
      <c r="E369" s="1">
        <v>45325</v>
      </c>
      <c r="F369" s="1" t="str">
        <f>TEXT(Table1[[#This Row],[order_date]],"dddd")</f>
        <v>Saturday</v>
      </c>
      <c r="G369">
        <f>HOUR(Table1[[#This Row],[order_time]])</f>
        <v>17</v>
      </c>
      <c r="H369" s="2">
        <v>0.71855324074074078</v>
      </c>
      <c r="I369" t="s">
        <v>9</v>
      </c>
      <c r="J369" t="s">
        <v>21</v>
      </c>
      <c r="K369">
        <v>2</v>
      </c>
      <c r="L369">
        <v>10</v>
      </c>
      <c r="M369">
        <v>20</v>
      </c>
      <c r="N369">
        <f>IF(COUNTIFS($B$2:B369,B369)=1,1,0)</f>
        <v>0</v>
      </c>
    </row>
    <row r="370" spans="1:14" x14ac:dyDescent="0.2">
      <c r="A370">
        <v>369</v>
      </c>
      <c r="B370">
        <v>1188</v>
      </c>
      <c r="C370">
        <f>1/COUNTIF(B:B,Table1[[#This Row],[order_id]])</f>
        <v>0.33333333333333331</v>
      </c>
      <c r="D370" t="str">
        <f>TEXT(Table1[[#This Row],[order_date]],"mmmm")</f>
        <v>February</v>
      </c>
      <c r="E370" s="1">
        <v>45325</v>
      </c>
      <c r="F370" s="1" t="str">
        <f>TEXT(Table1[[#This Row],[order_date]],"dddd")</f>
        <v>Saturday</v>
      </c>
      <c r="G370">
        <f>HOUR(Table1[[#This Row],[order_time]])</f>
        <v>11</v>
      </c>
      <c r="H370" s="2">
        <v>0.4775578703703704</v>
      </c>
      <c r="I370" t="s">
        <v>11</v>
      </c>
      <c r="J370" t="s">
        <v>14</v>
      </c>
      <c r="K370">
        <v>1</v>
      </c>
      <c r="L370">
        <v>700</v>
      </c>
      <c r="M370">
        <v>700</v>
      </c>
      <c r="N370">
        <f>IF(COUNTIFS($B$2:B370,B370)=1,1,0)</f>
        <v>1</v>
      </c>
    </row>
    <row r="371" spans="1:14" x14ac:dyDescent="0.2">
      <c r="A371">
        <v>370</v>
      </c>
      <c r="B371">
        <v>1188</v>
      </c>
      <c r="C371">
        <f>1/COUNTIF(B:B,Table1[[#This Row],[order_id]])</f>
        <v>0.33333333333333331</v>
      </c>
      <c r="D371" t="str">
        <f>TEXT(Table1[[#This Row],[order_date]],"mmmm")</f>
        <v>February</v>
      </c>
      <c r="E371" s="1">
        <v>45325</v>
      </c>
      <c r="F371" s="1" t="str">
        <f>TEXT(Table1[[#This Row],[order_date]],"dddd")</f>
        <v>Saturday</v>
      </c>
      <c r="G371">
        <f>HOUR(Table1[[#This Row],[order_time]])</f>
        <v>14</v>
      </c>
      <c r="H371" s="2">
        <v>0.61290509259259263</v>
      </c>
      <c r="I371" t="s">
        <v>9</v>
      </c>
      <c r="J371" t="s">
        <v>21</v>
      </c>
      <c r="K371">
        <v>2</v>
      </c>
      <c r="L371">
        <v>10</v>
      </c>
      <c r="M371">
        <v>20</v>
      </c>
      <c r="N371">
        <f>IF(COUNTIFS($B$2:B371,B371)=1,1,0)</f>
        <v>0</v>
      </c>
    </row>
    <row r="372" spans="1:14" x14ac:dyDescent="0.2">
      <c r="A372">
        <v>371</v>
      </c>
      <c r="B372">
        <v>1188</v>
      </c>
      <c r="C372">
        <f>1/COUNTIF(B:B,Table1[[#This Row],[order_id]])</f>
        <v>0.33333333333333331</v>
      </c>
      <c r="D372" t="str">
        <f>TEXT(Table1[[#This Row],[order_date]],"mmmm")</f>
        <v>February</v>
      </c>
      <c r="E372" s="1">
        <v>45325</v>
      </c>
      <c r="F372" s="1" t="str">
        <f>TEXT(Table1[[#This Row],[order_date]],"dddd")</f>
        <v>Saturday</v>
      </c>
      <c r="G372">
        <f>HOUR(Table1[[#This Row],[order_time]])</f>
        <v>14</v>
      </c>
      <c r="H372" s="2">
        <v>0.61202546296296301</v>
      </c>
      <c r="I372" t="s">
        <v>16</v>
      </c>
      <c r="J372" t="s">
        <v>17</v>
      </c>
      <c r="K372">
        <v>2</v>
      </c>
      <c r="L372">
        <v>20</v>
      </c>
      <c r="M372">
        <v>40</v>
      </c>
      <c r="N372">
        <f>IF(COUNTIFS($B$2:B372,B372)=1,1,0)</f>
        <v>0</v>
      </c>
    </row>
    <row r="373" spans="1:14" x14ac:dyDescent="0.2">
      <c r="A373">
        <v>372</v>
      </c>
      <c r="B373">
        <v>1189</v>
      </c>
      <c r="C373">
        <f>1/COUNTIF(B:B,Table1[[#This Row],[order_id]])</f>
        <v>1</v>
      </c>
      <c r="D373" t="str">
        <f>TEXT(Table1[[#This Row],[order_date]],"mmmm")</f>
        <v>February</v>
      </c>
      <c r="E373" s="1">
        <v>45325</v>
      </c>
      <c r="F373" s="1" t="str">
        <f>TEXT(Table1[[#This Row],[order_date]],"dddd")</f>
        <v>Saturday</v>
      </c>
      <c r="G373">
        <f>HOUR(Table1[[#This Row],[order_time]])</f>
        <v>11</v>
      </c>
      <c r="H373" s="2">
        <v>0.49583333333333335</v>
      </c>
      <c r="I373" t="s">
        <v>11</v>
      </c>
      <c r="J373" t="s">
        <v>25</v>
      </c>
      <c r="K373">
        <v>3</v>
      </c>
      <c r="L373">
        <v>1000</v>
      </c>
      <c r="M373">
        <v>3000</v>
      </c>
      <c r="N373">
        <f>IF(COUNTIFS($B$2:B373,B373)=1,1,0)</f>
        <v>1</v>
      </c>
    </row>
    <row r="374" spans="1:14" x14ac:dyDescent="0.2">
      <c r="A374">
        <v>373</v>
      </c>
      <c r="B374">
        <v>1190</v>
      </c>
      <c r="C374">
        <f>1/COUNTIF(B:B,Table1[[#This Row],[order_id]])</f>
        <v>0.5</v>
      </c>
      <c r="D374" t="str">
        <f>TEXT(Table1[[#This Row],[order_date]],"mmmm")</f>
        <v>February</v>
      </c>
      <c r="E374" s="1">
        <v>45325</v>
      </c>
      <c r="F374" s="1" t="str">
        <f>TEXT(Table1[[#This Row],[order_date]],"dddd")</f>
        <v>Saturday</v>
      </c>
      <c r="G374">
        <f>HOUR(Table1[[#This Row],[order_time]])</f>
        <v>11</v>
      </c>
      <c r="H374" s="2">
        <v>0.48091435185185183</v>
      </c>
      <c r="I374" t="s">
        <v>11</v>
      </c>
      <c r="J374" t="s">
        <v>14</v>
      </c>
      <c r="K374">
        <v>5</v>
      </c>
      <c r="L374">
        <v>700</v>
      </c>
      <c r="M374">
        <v>3500</v>
      </c>
      <c r="N374">
        <f>IF(COUNTIFS($B$2:B374,B374)=1,1,0)</f>
        <v>1</v>
      </c>
    </row>
    <row r="375" spans="1:14" x14ac:dyDescent="0.2">
      <c r="A375">
        <v>374</v>
      </c>
      <c r="B375">
        <v>1190</v>
      </c>
      <c r="C375">
        <f>1/COUNTIF(B:B,Table1[[#This Row],[order_id]])</f>
        <v>0.5</v>
      </c>
      <c r="D375" t="str">
        <f>TEXT(Table1[[#This Row],[order_date]],"mmmm")</f>
        <v>February</v>
      </c>
      <c r="E375" s="1">
        <v>45325</v>
      </c>
      <c r="F375" s="1" t="str">
        <f>TEXT(Table1[[#This Row],[order_date]],"dddd")</f>
        <v>Saturday</v>
      </c>
      <c r="G375">
        <f>HOUR(Table1[[#This Row],[order_time]])</f>
        <v>15</v>
      </c>
      <c r="H375" s="2">
        <v>0.64467592592592593</v>
      </c>
      <c r="I375" t="s">
        <v>16</v>
      </c>
      <c r="J375" t="s">
        <v>24</v>
      </c>
      <c r="K375">
        <v>3</v>
      </c>
      <c r="L375">
        <v>35</v>
      </c>
      <c r="M375">
        <v>105</v>
      </c>
      <c r="N375">
        <f>IF(COUNTIFS($B$2:B375,B375)=1,1,0)</f>
        <v>0</v>
      </c>
    </row>
    <row r="376" spans="1:14" x14ac:dyDescent="0.2">
      <c r="A376">
        <v>375</v>
      </c>
      <c r="B376">
        <v>1191</v>
      </c>
      <c r="C376">
        <f>1/COUNTIF(B:B,Table1[[#This Row],[order_id]])</f>
        <v>1</v>
      </c>
      <c r="D376" t="str">
        <f>TEXT(Table1[[#This Row],[order_date]],"mmmm")</f>
        <v>February</v>
      </c>
      <c r="E376" s="1">
        <v>45325</v>
      </c>
      <c r="F376" s="1" t="str">
        <f>TEXT(Table1[[#This Row],[order_date]],"dddd")</f>
        <v>Saturday</v>
      </c>
      <c r="G376">
        <f>HOUR(Table1[[#This Row],[order_time]])</f>
        <v>17</v>
      </c>
      <c r="H376" s="2">
        <v>0.71133101851851854</v>
      </c>
      <c r="I376" t="s">
        <v>16</v>
      </c>
      <c r="J376" t="s">
        <v>24</v>
      </c>
      <c r="K376">
        <v>5</v>
      </c>
      <c r="L376">
        <v>35</v>
      </c>
      <c r="M376">
        <v>175</v>
      </c>
      <c r="N376">
        <f>IF(COUNTIFS($B$2:B376,B376)=1,1,0)</f>
        <v>1</v>
      </c>
    </row>
    <row r="377" spans="1:14" x14ac:dyDescent="0.2">
      <c r="A377">
        <v>376</v>
      </c>
      <c r="B377">
        <v>1192</v>
      </c>
      <c r="C377">
        <f>1/COUNTIF(B:B,Table1[[#This Row],[order_id]])</f>
        <v>0.5</v>
      </c>
      <c r="D377" t="str">
        <f>TEXT(Table1[[#This Row],[order_date]],"mmmm")</f>
        <v>February</v>
      </c>
      <c r="E377" s="1">
        <v>45325</v>
      </c>
      <c r="F377" s="1" t="str">
        <f>TEXT(Table1[[#This Row],[order_date]],"dddd")</f>
        <v>Saturday</v>
      </c>
      <c r="G377">
        <f>HOUR(Table1[[#This Row],[order_time]])</f>
        <v>19</v>
      </c>
      <c r="H377" s="2">
        <v>0.80546296296296294</v>
      </c>
      <c r="I377" t="s">
        <v>18</v>
      </c>
      <c r="J377" t="s">
        <v>31</v>
      </c>
      <c r="K377">
        <v>2</v>
      </c>
      <c r="L377">
        <v>45</v>
      </c>
      <c r="M377">
        <v>90</v>
      </c>
      <c r="N377">
        <f>IF(COUNTIFS($B$2:B377,B377)=1,1,0)</f>
        <v>1</v>
      </c>
    </row>
    <row r="378" spans="1:14" x14ac:dyDescent="0.2">
      <c r="A378">
        <v>377</v>
      </c>
      <c r="B378">
        <v>1192</v>
      </c>
      <c r="C378">
        <f>1/COUNTIF(B:B,Table1[[#This Row],[order_id]])</f>
        <v>0.5</v>
      </c>
      <c r="D378" t="str">
        <f>TEXT(Table1[[#This Row],[order_date]],"mmmm")</f>
        <v>February</v>
      </c>
      <c r="E378" s="1">
        <v>45325</v>
      </c>
      <c r="F378" s="1" t="str">
        <f>TEXT(Table1[[#This Row],[order_date]],"dddd")</f>
        <v>Saturday</v>
      </c>
      <c r="G378">
        <f>HOUR(Table1[[#This Row],[order_time]])</f>
        <v>16</v>
      </c>
      <c r="H378" s="2">
        <v>0.67583333333333329</v>
      </c>
      <c r="I378" t="s">
        <v>9</v>
      </c>
      <c r="J378" t="s">
        <v>22</v>
      </c>
      <c r="K378">
        <v>2</v>
      </c>
      <c r="L378">
        <v>15</v>
      </c>
      <c r="M378">
        <v>30</v>
      </c>
      <c r="N378">
        <f>IF(COUNTIFS($B$2:B378,B378)=1,1,0)</f>
        <v>0</v>
      </c>
    </row>
    <row r="379" spans="1:14" x14ac:dyDescent="0.2">
      <c r="A379">
        <v>378</v>
      </c>
      <c r="B379">
        <v>1193</v>
      </c>
      <c r="C379">
        <f>1/COUNTIF(B:B,Table1[[#This Row],[order_id]])</f>
        <v>0.5</v>
      </c>
      <c r="D379" t="str">
        <f>TEXT(Table1[[#This Row],[order_date]],"mmmm")</f>
        <v>February</v>
      </c>
      <c r="E379" s="1">
        <v>45326</v>
      </c>
      <c r="F379" s="1" t="str">
        <f>TEXT(Table1[[#This Row],[order_date]],"dddd")</f>
        <v>Sunday</v>
      </c>
      <c r="G379">
        <f>HOUR(Table1[[#This Row],[order_time]])</f>
        <v>10</v>
      </c>
      <c r="H379" s="2">
        <v>0.44351851851851853</v>
      </c>
      <c r="I379" t="s">
        <v>11</v>
      </c>
      <c r="J379" t="s">
        <v>15</v>
      </c>
      <c r="K379">
        <v>5</v>
      </c>
      <c r="L379">
        <v>600</v>
      </c>
      <c r="M379">
        <v>3000</v>
      </c>
      <c r="N379">
        <f>IF(COUNTIFS($B$2:B379,B379)=1,1,0)</f>
        <v>1</v>
      </c>
    </row>
    <row r="380" spans="1:14" x14ac:dyDescent="0.2">
      <c r="A380">
        <v>379</v>
      </c>
      <c r="B380">
        <v>1193</v>
      </c>
      <c r="C380">
        <f>1/COUNTIF(B:B,Table1[[#This Row],[order_id]])</f>
        <v>0.5</v>
      </c>
      <c r="D380" t="str">
        <f>TEXT(Table1[[#This Row],[order_date]],"mmmm")</f>
        <v>February</v>
      </c>
      <c r="E380" s="1">
        <v>45326</v>
      </c>
      <c r="F380" s="1" t="str">
        <f>TEXT(Table1[[#This Row],[order_date]],"dddd")</f>
        <v>Sunday</v>
      </c>
      <c r="G380">
        <f>HOUR(Table1[[#This Row],[order_time]])</f>
        <v>17</v>
      </c>
      <c r="H380" s="2">
        <v>0.73336805555555551</v>
      </c>
      <c r="I380" t="s">
        <v>11</v>
      </c>
      <c r="J380" t="s">
        <v>14</v>
      </c>
      <c r="K380">
        <v>3</v>
      </c>
      <c r="L380">
        <v>700</v>
      </c>
      <c r="M380">
        <v>2100</v>
      </c>
      <c r="N380">
        <f>IF(COUNTIFS($B$2:B380,B380)=1,1,0)</f>
        <v>0</v>
      </c>
    </row>
    <row r="381" spans="1:14" x14ac:dyDescent="0.2">
      <c r="A381">
        <v>380</v>
      </c>
      <c r="B381">
        <v>1194</v>
      </c>
      <c r="C381">
        <f>1/COUNTIF(B:B,Table1[[#This Row],[order_id]])</f>
        <v>1</v>
      </c>
      <c r="D381" t="str">
        <f>TEXT(Table1[[#This Row],[order_date]],"mmmm")</f>
        <v>February</v>
      </c>
      <c r="E381" s="1">
        <v>45326</v>
      </c>
      <c r="F381" s="1" t="str">
        <f>TEXT(Table1[[#This Row],[order_date]],"dddd")</f>
        <v>Sunday</v>
      </c>
      <c r="G381">
        <f>HOUR(Table1[[#This Row],[order_time]])</f>
        <v>11</v>
      </c>
      <c r="H381" s="2">
        <v>0.49339120370370371</v>
      </c>
      <c r="I381" t="s">
        <v>9</v>
      </c>
      <c r="J381" t="s">
        <v>21</v>
      </c>
      <c r="K381">
        <v>3</v>
      </c>
      <c r="L381">
        <v>10</v>
      </c>
      <c r="M381">
        <v>30</v>
      </c>
      <c r="N381">
        <f>IF(COUNTIFS($B$2:B381,B381)=1,1,0)</f>
        <v>1</v>
      </c>
    </row>
    <row r="382" spans="1:14" x14ac:dyDescent="0.2">
      <c r="A382">
        <v>381</v>
      </c>
      <c r="B382">
        <v>1195</v>
      </c>
      <c r="C382">
        <f>1/COUNTIF(B:B,Table1[[#This Row],[order_id]])</f>
        <v>1</v>
      </c>
      <c r="D382" t="str">
        <f>TEXT(Table1[[#This Row],[order_date]],"mmmm")</f>
        <v>February</v>
      </c>
      <c r="E382" s="1">
        <v>45326</v>
      </c>
      <c r="F382" s="1" t="str">
        <f>TEXT(Table1[[#This Row],[order_date]],"dddd")</f>
        <v>Sunday</v>
      </c>
      <c r="G382">
        <f>HOUR(Table1[[#This Row],[order_time]])</f>
        <v>10</v>
      </c>
      <c r="H382" s="2">
        <v>0.44175925925925924</v>
      </c>
      <c r="I382" t="s">
        <v>11</v>
      </c>
      <c r="J382" t="s">
        <v>25</v>
      </c>
      <c r="K382">
        <v>5</v>
      </c>
      <c r="L382">
        <v>1000</v>
      </c>
      <c r="M382">
        <v>5000</v>
      </c>
      <c r="N382">
        <f>IF(COUNTIFS($B$2:B382,B382)=1,1,0)</f>
        <v>1</v>
      </c>
    </row>
    <row r="383" spans="1:14" x14ac:dyDescent="0.2">
      <c r="A383">
        <v>382</v>
      </c>
      <c r="B383">
        <v>1196</v>
      </c>
      <c r="C383">
        <f>1/COUNTIF(B:B,Table1[[#This Row],[order_id]])</f>
        <v>1</v>
      </c>
      <c r="D383" t="str">
        <f>TEXT(Table1[[#This Row],[order_date]],"mmmm")</f>
        <v>February</v>
      </c>
      <c r="E383" s="1">
        <v>45326</v>
      </c>
      <c r="F383" s="1" t="str">
        <f>TEXT(Table1[[#This Row],[order_date]],"dddd")</f>
        <v>Sunday</v>
      </c>
      <c r="G383">
        <f>HOUR(Table1[[#This Row],[order_time]])</f>
        <v>15</v>
      </c>
      <c r="H383" s="2">
        <v>0.6617939814814815</v>
      </c>
      <c r="I383" t="s">
        <v>11</v>
      </c>
      <c r="J383" t="s">
        <v>13</v>
      </c>
      <c r="K383">
        <v>5</v>
      </c>
      <c r="L383">
        <v>680</v>
      </c>
      <c r="M383">
        <v>3400</v>
      </c>
      <c r="N383">
        <f>IF(COUNTIFS($B$2:B383,B383)=1,1,0)</f>
        <v>1</v>
      </c>
    </row>
    <row r="384" spans="1:14" x14ac:dyDescent="0.2">
      <c r="A384">
        <v>383</v>
      </c>
      <c r="B384">
        <v>1197</v>
      </c>
      <c r="C384">
        <f>1/COUNTIF(B:B,Table1[[#This Row],[order_id]])</f>
        <v>0.5</v>
      </c>
      <c r="D384" t="str">
        <f>TEXT(Table1[[#This Row],[order_date]],"mmmm")</f>
        <v>February</v>
      </c>
      <c r="E384" s="1">
        <v>45326</v>
      </c>
      <c r="F384" s="1" t="str">
        <f>TEXT(Table1[[#This Row],[order_date]],"dddd")</f>
        <v>Sunday</v>
      </c>
      <c r="G384">
        <f>HOUR(Table1[[#This Row],[order_time]])</f>
        <v>18</v>
      </c>
      <c r="H384" s="2">
        <v>0.76880787037037035</v>
      </c>
      <c r="I384" t="s">
        <v>11</v>
      </c>
      <c r="J384" t="s">
        <v>25</v>
      </c>
      <c r="K384">
        <v>2</v>
      </c>
      <c r="L384">
        <v>1000</v>
      </c>
      <c r="M384">
        <v>2000</v>
      </c>
      <c r="N384">
        <f>IF(COUNTIFS($B$2:B384,B384)=1,1,0)</f>
        <v>1</v>
      </c>
    </row>
    <row r="385" spans="1:14" x14ac:dyDescent="0.2">
      <c r="A385">
        <v>384</v>
      </c>
      <c r="B385">
        <v>1197</v>
      </c>
      <c r="C385">
        <f>1/COUNTIF(B:B,Table1[[#This Row],[order_id]])</f>
        <v>0.5</v>
      </c>
      <c r="D385" t="str">
        <f>TEXT(Table1[[#This Row],[order_date]],"mmmm")</f>
        <v>February</v>
      </c>
      <c r="E385" s="1">
        <v>45326</v>
      </c>
      <c r="F385" s="1" t="str">
        <f>TEXT(Table1[[#This Row],[order_date]],"dddd")</f>
        <v>Sunday</v>
      </c>
      <c r="G385">
        <f>HOUR(Table1[[#This Row],[order_time]])</f>
        <v>11</v>
      </c>
      <c r="H385" s="2">
        <v>0.48884259259259261</v>
      </c>
      <c r="I385" t="s">
        <v>18</v>
      </c>
      <c r="J385" t="s">
        <v>26</v>
      </c>
      <c r="K385">
        <v>3</v>
      </c>
      <c r="L385">
        <v>55</v>
      </c>
      <c r="M385">
        <v>165</v>
      </c>
      <c r="N385">
        <f>IF(COUNTIFS($B$2:B385,B385)=1,1,0)</f>
        <v>0</v>
      </c>
    </row>
    <row r="386" spans="1:14" x14ac:dyDescent="0.2">
      <c r="A386">
        <v>385</v>
      </c>
      <c r="B386">
        <v>1198</v>
      </c>
      <c r="C386">
        <f>1/COUNTIF(B:B,Table1[[#This Row],[order_id]])</f>
        <v>1</v>
      </c>
      <c r="D386" t="str">
        <f>TEXT(Table1[[#This Row],[order_date]],"mmmm")</f>
        <v>February</v>
      </c>
      <c r="E386" s="1">
        <v>45327</v>
      </c>
      <c r="F386" s="1" t="str">
        <f>TEXT(Table1[[#This Row],[order_date]],"dddd")</f>
        <v>Monday</v>
      </c>
      <c r="G386">
        <f>HOUR(Table1[[#This Row],[order_time]])</f>
        <v>9</v>
      </c>
      <c r="H386" s="2">
        <v>0.39178240740740738</v>
      </c>
      <c r="I386" t="s">
        <v>9</v>
      </c>
      <c r="J386" t="s">
        <v>29</v>
      </c>
      <c r="K386">
        <v>5</v>
      </c>
      <c r="L386">
        <v>5</v>
      </c>
      <c r="M386">
        <v>25</v>
      </c>
      <c r="N386">
        <f>IF(COUNTIFS($B$2:B386,B386)=1,1,0)</f>
        <v>1</v>
      </c>
    </row>
    <row r="387" spans="1:14" x14ac:dyDescent="0.2">
      <c r="A387">
        <v>386</v>
      </c>
      <c r="B387">
        <v>1199</v>
      </c>
      <c r="C387">
        <f>1/COUNTIF(B:B,Table1[[#This Row],[order_id]])</f>
        <v>0.5</v>
      </c>
      <c r="D387" t="str">
        <f>TEXT(Table1[[#This Row],[order_date]],"mmmm")</f>
        <v>February</v>
      </c>
      <c r="E387" s="1">
        <v>45327</v>
      </c>
      <c r="F387" s="1" t="str">
        <f>TEXT(Table1[[#This Row],[order_date]],"dddd")</f>
        <v>Monday</v>
      </c>
      <c r="G387">
        <f>HOUR(Table1[[#This Row],[order_time]])</f>
        <v>10</v>
      </c>
      <c r="H387" s="2">
        <v>0.44493055555555555</v>
      </c>
      <c r="I387" t="s">
        <v>16</v>
      </c>
      <c r="J387" t="s">
        <v>17</v>
      </c>
      <c r="K387">
        <v>2</v>
      </c>
      <c r="L387">
        <v>20</v>
      </c>
      <c r="M387">
        <v>40</v>
      </c>
      <c r="N387">
        <f>IF(COUNTIFS($B$2:B387,B387)=1,1,0)</f>
        <v>1</v>
      </c>
    </row>
    <row r="388" spans="1:14" x14ac:dyDescent="0.2">
      <c r="A388">
        <v>387</v>
      </c>
      <c r="B388">
        <v>1199</v>
      </c>
      <c r="C388">
        <f>1/COUNTIF(B:B,Table1[[#This Row],[order_id]])</f>
        <v>0.5</v>
      </c>
      <c r="D388" t="str">
        <f>TEXT(Table1[[#This Row],[order_date]],"mmmm")</f>
        <v>February</v>
      </c>
      <c r="E388" s="1">
        <v>45327</v>
      </c>
      <c r="F388" s="1" t="str">
        <f>TEXT(Table1[[#This Row],[order_date]],"dddd")</f>
        <v>Monday</v>
      </c>
      <c r="G388">
        <f>HOUR(Table1[[#This Row],[order_time]])</f>
        <v>15</v>
      </c>
      <c r="H388" s="2">
        <v>0.63143518518518515</v>
      </c>
      <c r="I388" t="s">
        <v>18</v>
      </c>
      <c r="J388" t="s">
        <v>19</v>
      </c>
      <c r="K388">
        <v>3</v>
      </c>
      <c r="L388">
        <v>50</v>
      </c>
      <c r="M388">
        <v>150</v>
      </c>
      <c r="N388">
        <f>IF(COUNTIFS($B$2:B388,B388)=1,1,0)</f>
        <v>0</v>
      </c>
    </row>
    <row r="389" spans="1:14" x14ac:dyDescent="0.2">
      <c r="A389">
        <v>388</v>
      </c>
      <c r="B389">
        <v>1200</v>
      </c>
      <c r="C389">
        <f>1/COUNTIF(B:B,Table1[[#This Row],[order_id]])</f>
        <v>0.5</v>
      </c>
      <c r="D389" t="str">
        <f>TEXT(Table1[[#This Row],[order_date]],"mmmm")</f>
        <v>February</v>
      </c>
      <c r="E389" s="1">
        <v>45327</v>
      </c>
      <c r="F389" s="1" t="str">
        <f>TEXT(Table1[[#This Row],[order_date]],"dddd")</f>
        <v>Monday</v>
      </c>
      <c r="G389">
        <f>HOUR(Table1[[#This Row],[order_time]])</f>
        <v>11</v>
      </c>
      <c r="H389" s="2">
        <v>0.49559027777777775</v>
      </c>
      <c r="I389" t="s">
        <v>18</v>
      </c>
      <c r="J389" t="s">
        <v>27</v>
      </c>
      <c r="K389">
        <v>4</v>
      </c>
      <c r="L389">
        <v>40</v>
      </c>
      <c r="M389">
        <v>160</v>
      </c>
      <c r="N389">
        <f>IF(COUNTIFS($B$2:B389,B389)=1,1,0)</f>
        <v>1</v>
      </c>
    </row>
    <row r="390" spans="1:14" x14ac:dyDescent="0.2">
      <c r="A390">
        <v>389</v>
      </c>
      <c r="B390">
        <v>1200</v>
      </c>
      <c r="C390">
        <f>1/COUNTIF(B:B,Table1[[#This Row],[order_id]])</f>
        <v>0.5</v>
      </c>
      <c r="D390" t="str">
        <f>TEXT(Table1[[#This Row],[order_date]],"mmmm")</f>
        <v>February</v>
      </c>
      <c r="E390" s="1">
        <v>45327</v>
      </c>
      <c r="F390" s="1" t="str">
        <f>TEXT(Table1[[#This Row],[order_date]],"dddd")</f>
        <v>Monday</v>
      </c>
      <c r="G390">
        <f>HOUR(Table1[[#This Row],[order_time]])</f>
        <v>15</v>
      </c>
      <c r="H390" s="2">
        <v>0.66622685185185182</v>
      </c>
      <c r="I390" t="s">
        <v>18</v>
      </c>
      <c r="J390" t="s">
        <v>26</v>
      </c>
      <c r="K390">
        <v>4</v>
      </c>
      <c r="L390">
        <v>55</v>
      </c>
      <c r="M390">
        <v>220</v>
      </c>
      <c r="N390">
        <f>IF(COUNTIFS($B$2:B390,B390)=1,1,0)</f>
        <v>0</v>
      </c>
    </row>
    <row r="391" spans="1:14" x14ac:dyDescent="0.2">
      <c r="A391">
        <v>390</v>
      </c>
      <c r="B391">
        <v>1201</v>
      </c>
      <c r="C391">
        <f>1/COUNTIF(B:B,Table1[[#This Row],[order_id]])</f>
        <v>0.5</v>
      </c>
      <c r="D391" t="str">
        <f>TEXT(Table1[[#This Row],[order_date]],"mmmm")</f>
        <v>February</v>
      </c>
      <c r="E391" s="1">
        <v>45327</v>
      </c>
      <c r="F391" s="1" t="str">
        <f>TEXT(Table1[[#This Row],[order_date]],"dddd")</f>
        <v>Monday</v>
      </c>
      <c r="G391">
        <f>HOUR(Table1[[#This Row],[order_time]])</f>
        <v>16</v>
      </c>
      <c r="H391" s="2">
        <v>0.66943287037037036</v>
      </c>
      <c r="I391" t="s">
        <v>11</v>
      </c>
      <c r="J391" t="s">
        <v>13</v>
      </c>
      <c r="K391">
        <v>4</v>
      </c>
      <c r="L391">
        <v>680</v>
      </c>
      <c r="M391">
        <v>2720</v>
      </c>
      <c r="N391">
        <f>IF(COUNTIFS($B$2:B391,B391)=1,1,0)</f>
        <v>1</v>
      </c>
    </row>
    <row r="392" spans="1:14" x14ac:dyDescent="0.2">
      <c r="A392">
        <v>391</v>
      </c>
      <c r="B392">
        <v>1201</v>
      </c>
      <c r="C392">
        <f>1/COUNTIF(B:B,Table1[[#This Row],[order_id]])</f>
        <v>0.5</v>
      </c>
      <c r="D392" t="str">
        <f>TEXT(Table1[[#This Row],[order_date]],"mmmm")</f>
        <v>February</v>
      </c>
      <c r="E392" s="1">
        <v>45327</v>
      </c>
      <c r="F392" s="1" t="str">
        <f>TEXT(Table1[[#This Row],[order_date]],"dddd")</f>
        <v>Monday</v>
      </c>
      <c r="G392">
        <f>HOUR(Table1[[#This Row],[order_time]])</f>
        <v>16</v>
      </c>
      <c r="H392" s="2">
        <v>0.66879629629629633</v>
      </c>
      <c r="I392" t="s">
        <v>18</v>
      </c>
      <c r="J392" t="s">
        <v>27</v>
      </c>
      <c r="K392">
        <v>1</v>
      </c>
      <c r="L392">
        <v>40</v>
      </c>
      <c r="M392">
        <v>40</v>
      </c>
      <c r="N392">
        <f>IF(COUNTIFS($B$2:B392,B392)=1,1,0)</f>
        <v>0</v>
      </c>
    </row>
    <row r="393" spans="1:14" x14ac:dyDescent="0.2">
      <c r="A393">
        <v>392</v>
      </c>
      <c r="B393">
        <v>1202</v>
      </c>
      <c r="C393">
        <f>1/COUNTIF(B:B,Table1[[#This Row],[order_id]])</f>
        <v>1</v>
      </c>
      <c r="D393" t="str">
        <f>TEXT(Table1[[#This Row],[order_date]],"mmmm")</f>
        <v>February</v>
      </c>
      <c r="E393" s="1">
        <v>45327</v>
      </c>
      <c r="F393" s="1" t="str">
        <f>TEXT(Table1[[#This Row],[order_date]],"dddd")</f>
        <v>Monday</v>
      </c>
      <c r="G393">
        <f>HOUR(Table1[[#This Row],[order_time]])</f>
        <v>14</v>
      </c>
      <c r="H393" s="2">
        <v>0.59372685185185181</v>
      </c>
      <c r="I393" t="s">
        <v>11</v>
      </c>
      <c r="J393" t="s">
        <v>14</v>
      </c>
      <c r="K393">
        <v>4</v>
      </c>
      <c r="L393">
        <v>700</v>
      </c>
      <c r="M393">
        <v>2800</v>
      </c>
      <c r="N393">
        <f>IF(COUNTIFS($B$2:B393,B393)=1,1,0)</f>
        <v>1</v>
      </c>
    </row>
    <row r="394" spans="1:14" x14ac:dyDescent="0.2">
      <c r="A394">
        <v>393</v>
      </c>
      <c r="B394">
        <v>1203</v>
      </c>
      <c r="C394">
        <f>1/COUNTIF(B:B,Table1[[#This Row],[order_id]])</f>
        <v>0.33333333333333331</v>
      </c>
      <c r="D394" t="str">
        <f>TEXT(Table1[[#This Row],[order_date]],"mmmm")</f>
        <v>February</v>
      </c>
      <c r="E394" s="1">
        <v>45327</v>
      </c>
      <c r="F394" s="1" t="str">
        <f>TEXT(Table1[[#This Row],[order_date]],"dddd")</f>
        <v>Monday</v>
      </c>
      <c r="G394">
        <f>HOUR(Table1[[#This Row],[order_time]])</f>
        <v>17</v>
      </c>
      <c r="H394" s="2">
        <v>0.71995370370370371</v>
      </c>
      <c r="I394" t="s">
        <v>18</v>
      </c>
      <c r="J394" t="s">
        <v>30</v>
      </c>
      <c r="K394">
        <v>4</v>
      </c>
      <c r="L394">
        <v>60</v>
      </c>
      <c r="M394">
        <v>240</v>
      </c>
      <c r="N394">
        <f>IF(COUNTIFS($B$2:B394,B394)=1,1,0)</f>
        <v>1</v>
      </c>
    </row>
    <row r="395" spans="1:14" x14ac:dyDescent="0.2">
      <c r="A395">
        <v>394</v>
      </c>
      <c r="B395">
        <v>1203</v>
      </c>
      <c r="C395">
        <f>1/COUNTIF(B:B,Table1[[#This Row],[order_id]])</f>
        <v>0.33333333333333331</v>
      </c>
      <c r="D395" t="str">
        <f>TEXT(Table1[[#This Row],[order_date]],"mmmm")</f>
        <v>February</v>
      </c>
      <c r="E395" s="1">
        <v>45327</v>
      </c>
      <c r="F395" s="1" t="str">
        <f>TEXT(Table1[[#This Row],[order_date]],"dddd")</f>
        <v>Monday</v>
      </c>
      <c r="G395">
        <f>HOUR(Table1[[#This Row],[order_time]])</f>
        <v>10</v>
      </c>
      <c r="H395" s="2">
        <v>0.43797453703703704</v>
      </c>
      <c r="I395" t="s">
        <v>18</v>
      </c>
      <c r="J395" t="s">
        <v>27</v>
      </c>
      <c r="K395">
        <v>1</v>
      </c>
      <c r="L395">
        <v>40</v>
      </c>
      <c r="M395">
        <v>40</v>
      </c>
      <c r="N395">
        <f>IF(COUNTIFS($B$2:B395,B395)=1,1,0)</f>
        <v>0</v>
      </c>
    </row>
    <row r="396" spans="1:14" x14ac:dyDescent="0.2">
      <c r="A396">
        <v>395</v>
      </c>
      <c r="B396">
        <v>1203</v>
      </c>
      <c r="C396">
        <f>1/COUNTIF(B:B,Table1[[#This Row],[order_id]])</f>
        <v>0.33333333333333331</v>
      </c>
      <c r="D396" t="str">
        <f>TEXT(Table1[[#This Row],[order_date]],"mmmm")</f>
        <v>February</v>
      </c>
      <c r="E396" s="1">
        <v>45327</v>
      </c>
      <c r="F396" s="1" t="str">
        <f>TEXT(Table1[[#This Row],[order_date]],"dddd")</f>
        <v>Monday</v>
      </c>
      <c r="G396">
        <f>HOUR(Table1[[#This Row],[order_time]])</f>
        <v>20</v>
      </c>
      <c r="H396" s="2">
        <v>0.86209490740740746</v>
      </c>
      <c r="I396" t="s">
        <v>9</v>
      </c>
      <c r="J396" t="s">
        <v>21</v>
      </c>
      <c r="K396">
        <v>3</v>
      </c>
      <c r="L396">
        <v>10</v>
      </c>
      <c r="M396">
        <v>30</v>
      </c>
      <c r="N396">
        <f>IF(COUNTIFS($B$2:B396,B396)=1,1,0)</f>
        <v>0</v>
      </c>
    </row>
    <row r="397" spans="1:14" x14ac:dyDescent="0.2">
      <c r="A397">
        <v>396</v>
      </c>
      <c r="B397">
        <v>1204</v>
      </c>
      <c r="C397">
        <f>1/COUNTIF(B:B,Table1[[#This Row],[order_id]])</f>
        <v>0.33333333333333331</v>
      </c>
      <c r="D397" t="str">
        <f>TEXT(Table1[[#This Row],[order_date]],"mmmm")</f>
        <v>February</v>
      </c>
      <c r="E397" s="1">
        <v>45327</v>
      </c>
      <c r="F397" s="1" t="str">
        <f>TEXT(Table1[[#This Row],[order_date]],"dddd")</f>
        <v>Monday</v>
      </c>
      <c r="G397">
        <f>HOUR(Table1[[#This Row],[order_time]])</f>
        <v>17</v>
      </c>
      <c r="H397" s="2">
        <v>0.71217592592592593</v>
      </c>
      <c r="I397" t="s">
        <v>9</v>
      </c>
      <c r="J397" t="s">
        <v>29</v>
      </c>
      <c r="K397">
        <v>4</v>
      </c>
      <c r="L397">
        <v>5</v>
      </c>
      <c r="M397">
        <v>20</v>
      </c>
      <c r="N397">
        <f>IF(COUNTIFS($B$2:B397,B397)=1,1,0)</f>
        <v>1</v>
      </c>
    </row>
    <row r="398" spans="1:14" x14ac:dyDescent="0.2">
      <c r="A398">
        <v>397</v>
      </c>
      <c r="B398">
        <v>1204</v>
      </c>
      <c r="C398">
        <f>1/COUNTIF(B:B,Table1[[#This Row],[order_id]])</f>
        <v>0.33333333333333331</v>
      </c>
      <c r="D398" t="str">
        <f>TEXT(Table1[[#This Row],[order_date]],"mmmm")</f>
        <v>February</v>
      </c>
      <c r="E398" s="1">
        <v>45327</v>
      </c>
      <c r="F398" s="1" t="str">
        <f>TEXT(Table1[[#This Row],[order_date]],"dddd")</f>
        <v>Monday</v>
      </c>
      <c r="G398">
        <f>HOUR(Table1[[#This Row],[order_time]])</f>
        <v>10</v>
      </c>
      <c r="H398" s="2">
        <v>0.43304398148148149</v>
      </c>
      <c r="I398" t="s">
        <v>16</v>
      </c>
      <c r="J398" t="s">
        <v>17</v>
      </c>
      <c r="K398">
        <v>5</v>
      </c>
      <c r="L398">
        <v>20</v>
      </c>
      <c r="M398">
        <v>100</v>
      </c>
      <c r="N398">
        <f>IF(COUNTIFS($B$2:B398,B398)=1,1,0)</f>
        <v>0</v>
      </c>
    </row>
    <row r="399" spans="1:14" x14ac:dyDescent="0.2">
      <c r="A399">
        <v>398</v>
      </c>
      <c r="B399">
        <v>1204</v>
      </c>
      <c r="C399">
        <f>1/COUNTIF(B:B,Table1[[#This Row],[order_id]])</f>
        <v>0.33333333333333331</v>
      </c>
      <c r="D399" t="str">
        <f>TEXT(Table1[[#This Row],[order_date]],"mmmm")</f>
        <v>February</v>
      </c>
      <c r="E399" s="1">
        <v>45327</v>
      </c>
      <c r="F399" s="1" t="str">
        <f>TEXT(Table1[[#This Row],[order_date]],"dddd")</f>
        <v>Monday</v>
      </c>
      <c r="G399">
        <f>HOUR(Table1[[#This Row],[order_time]])</f>
        <v>11</v>
      </c>
      <c r="H399" s="2">
        <v>0.46918981481481481</v>
      </c>
      <c r="I399" t="s">
        <v>9</v>
      </c>
      <c r="J399" t="s">
        <v>21</v>
      </c>
      <c r="K399">
        <v>4</v>
      </c>
      <c r="L399">
        <v>10</v>
      </c>
      <c r="M399">
        <v>40</v>
      </c>
      <c r="N399">
        <f>IF(COUNTIFS($B$2:B399,B399)=1,1,0)</f>
        <v>0</v>
      </c>
    </row>
    <row r="400" spans="1:14" x14ac:dyDescent="0.2">
      <c r="A400">
        <v>399</v>
      </c>
      <c r="B400">
        <v>1205</v>
      </c>
      <c r="C400">
        <f>1/COUNTIF(B:B,Table1[[#This Row],[order_id]])</f>
        <v>1</v>
      </c>
      <c r="D400" t="str">
        <f>TEXT(Table1[[#This Row],[order_date]],"mmmm")</f>
        <v>February</v>
      </c>
      <c r="E400" s="1">
        <v>45327</v>
      </c>
      <c r="F400" s="1" t="str">
        <f>TEXT(Table1[[#This Row],[order_date]],"dddd")</f>
        <v>Monday</v>
      </c>
      <c r="G400">
        <f>HOUR(Table1[[#This Row],[order_time]])</f>
        <v>17</v>
      </c>
      <c r="H400" s="2">
        <v>0.73714120370370373</v>
      </c>
      <c r="I400" t="s">
        <v>16</v>
      </c>
      <c r="J400" t="s">
        <v>17</v>
      </c>
      <c r="K400">
        <v>1</v>
      </c>
      <c r="L400">
        <v>20</v>
      </c>
      <c r="M400">
        <v>20</v>
      </c>
      <c r="N400">
        <f>IF(COUNTIFS($B$2:B400,B400)=1,1,0)</f>
        <v>1</v>
      </c>
    </row>
    <row r="401" spans="1:14" x14ac:dyDescent="0.2">
      <c r="A401">
        <v>400</v>
      </c>
      <c r="B401">
        <v>1206</v>
      </c>
      <c r="C401">
        <f>1/COUNTIF(B:B,Table1[[#This Row],[order_id]])</f>
        <v>1</v>
      </c>
      <c r="D401" t="str">
        <f>TEXT(Table1[[#This Row],[order_date]],"mmmm")</f>
        <v>February</v>
      </c>
      <c r="E401" s="1">
        <v>45327</v>
      </c>
      <c r="F401" s="1" t="str">
        <f>TEXT(Table1[[#This Row],[order_date]],"dddd")</f>
        <v>Monday</v>
      </c>
      <c r="G401">
        <f>HOUR(Table1[[#This Row],[order_time]])</f>
        <v>14</v>
      </c>
      <c r="H401" s="2">
        <v>0.62112268518518521</v>
      </c>
      <c r="I401" t="s">
        <v>11</v>
      </c>
      <c r="J401" t="s">
        <v>13</v>
      </c>
      <c r="K401">
        <v>1</v>
      </c>
      <c r="L401">
        <v>680</v>
      </c>
      <c r="M401">
        <v>680</v>
      </c>
      <c r="N401">
        <f>IF(COUNTIFS($B$2:B401,B401)=1,1,0)</f>
        <v>1</v>
      </c>
    </row>
    <row r="402" spans="1:14" x14ac:dyDescent="0.2">
      <c r="A402">
        <v>401</v>
      </c>
      <c r="B402">
        <v>1207</v>
      </c>
      <c r="C402">
        <f>1/COUNTIF(B:B,Table1[[#This Row],[order_id]])</f>
        <v>1</v>
      </c>
      <c r="D402" t="str">
        <f>TEXT(Table1[[#This Row],[order_date]],"mmmm")</f>
        <v>February</v>
      </c>
      <c r="E402" s="1">
        <v>45327</v>
      </c>
      <c r="F402" s="1" t="str">
        <f>TEXT(Table1[[#This Row],[order_date]],"dddd")</f>
        <v>Monday</v>
      </c>
      <c r="G402">
        <f>HOUR(Table1[[#This Row],[order_time]])</f>
        <v>9</v>
      </c>
      <c r="H402" s="2">
        <v>0.38677083333333334</v>
      </c>
      <c r="I402" t="s">
        <v>9</v>
      </c>
      <c r="J402" t="s">
        <v>29</v>
      </c>
      <c r="K402">
        <v>1</v>
      </c>
      <c r="L402">
        <v>5</v>
      </c>
      <c r="M402">
        <v>5</v>
      </c>
      <c r="N402">
        <f>IF(COUNTIFS($B$2:B402,B402)=1,1,0)</f>
        <v>1</v>
      </c>
    </row>
    <row r="403" spans="1:14" x14ac:dyDescent="0.2">
      <c r="A403">
        <v>402</v>
      </c>
      <c r="B403">
        <v>1208</v>
      </c>
      <c r="C403">
        <f>1/COUNTIF(B:B,Table1[[#This Row],[order_id]])</f>
        <v>0.33333333333333331</v>
      </c>
      <c r="D403" t="str">
        <f>TEXT(Table1[[#This Row],[order_date]],"mmmm")</f>
        <v>February</v>
      </c>
      <c r="E403" s="1">
        <v>45328</v>
      </c>
      <c r="F403" s="1" t="str">
        <f>TEXT(Table1[[#This Row],[order_date]],"dddd")</f>
        <v>Tuesday</v>
      </c>
      <c r="G403">
        <f>HOUR(Table1[[#This Row],[order_time]])</f>
        <v>9</v>
      </c>
      <c r="H403" s="2">
        <v>0.39422453703703703</v>
      </c>
      <c r="I403" t="s">
        <v>9</v>
      </c>
      <c r="J403" t="s">
        <v>21</v>
      </c>
      <c r="K403">
        <v>3</v>
      </c>
      <c r="L403">
        <v>10</v>
      </c>
      <c r="M403">
        <v>30</v>
      </c>
      <c r="N403">
        <f>IF(COUNTIFS($B$2:B403,B403)=1,1,0)</f>
        <v>1</v>
      </c>
    </row>
    <row r="404" spans="1:14" x14ac:dyDescent="0.2">
      <c r="A404">
        <v>403</v>
      </c>
      <c r="B404">
        <v>1208</v>
      </c>
      <c r="C404">
        <f>1/COUNTIF(B:B,Table1[[#This Row],[order_id]])</f>
        <v>0.33333333333333331</v>
      </c>
      <c r="D404" t="str">
        <f>TEXT(Table1[[#This Row],[order_date]],"mmmm")</f>
        <v>February</v>
      </c>
      <c r="E404" s="1">
        <v>45328</v>
      </c>
      <c r="F404" s="1" t="str">
        <f>TEXT(Table1[[#This Row],[order_date]],"dddd")</f>
        <v>Tuesday</v>
      </c>
      <c r="G404">
        <f>HOUR(Table1[[#This Row],[order_time]])</f>
        <v>14</v>
      </c>
      <c r="H404" s="2">
        <v>0.61917824074074079</v>
      </c>
      <c r="I404" t="s">
        <v>11</v>
      </c>
      <c r="J404" t="s">
        <v>13</v>
      </c>
      <c r="K404">
        <v>5</v>
      </c>
      <c r="L404">
        <v>680</v>
      </c>
      <c r="M404">
        <v>3400</v>
      </c>
      <c r="N404">
        <f>IF(COUNTIFS($B$2:B404,B404)=1,1,0)</f>
        <v>0</v>
      </c>
    </row>
    <row r="405" spans="1:14" x14ac:dyDescent="0.2">
      <c r="A405">
        <v>404</v>
      </c>
      <c r="B405">
        <v>1208</v>
      </c>
      <c r="C405">
        <f>1/COUNTIF(B:B,Table1[[#This Row],[order_id]])</f>
        <v>0.33333333333333331</v>
      </c>
      <c r="D405" t="str">
        <f>TEXT(Table1[[#This Row],[order_date]],"mmmm")</f>
        <v>February</v>
      </c>
      <c r="E405" s="1">
        <v>45328</v>
      </c>
      <c r="F405" s="1" t="str">
        <f>TEXT(Table1[[#This Row],[order_date]],"dddd")</f>
        <v>Tuesday</v>
      </c>
      <c r="G405">
        <f>HOUR(Table1[[#This Row],[order_time]])</f>
        <v>16</v>
      </c>
      <c r="H405" s="2">
        <v>0.70694444444444449</v>
      </c>
      <c r="I405" t="s">
        <v>9</v>
      </c>
      <c r="J405" t="s">
        <v>29</v>
      </c>
      <c r="K405">
        <v>2</v>
      </c>
      <c r="L405">
        <v>5</v>
      </c>
      <c r="M405">
        <v>10</v>
      </c>
      <c r="N405">
        <f>IF(COUNTIFS($B$2:B405,B405)=1,1,0)</f>
        <v>0</v>
      </c>
    </row>
    <row r="406" spans="1:14" x14ac:dyDescent="0.2">
      <c r="A406">
        <v>405</v>
      </c>
      <c r="B406">
        <v>1209</v>
      </c>
      <c r="C406">
        <f>1/COUNTIF(B:B,Table1[[#This Row],[order_id]])</f>
        <v>0.33333333333333331</v>
      </c>
      <c r="D406" t="str">
        <f>TEXT(Table1[[#This Row],[order_date]],"mmmm")</f>
        <v>February</v>
      </c>
      <c r="E406" s="1">
        <v>45328</v>
      </c>
      <c r="F406" s="1" t="str">
        <f>TEXT(Table1[[#This Row],[order_date]],"dddd")</f>
        <v>Tuesday</v>
      </c>
      <c r="G406">
        <f>HOUR(Table1[[#This Row],[order_time]])</f>
        <v>15</v>
      </c>
      <c r="H406" s="2">
        <v>0.66265046296296293</v>
      </c>
      <c r="I406" t="s">
        <v>16</v>
      </c>
      <c r="J406" t="s">
        <v>23</v>
      </c>
      <c r="K406">
        <v>3</v>
      </c>
      <c r="L406">
        <v>30</v>
      </c>
      <c r="M406">
        <v>90</v>
      </c>
      <c r="N406">
        <f>IF(COUNTIFS($B$2:B406,B406)=1,1,0)</f>
        <v>1</v>
      </c>
    </row>
    <row r="407" spans="1:14" x14ac:dyDescent="0.2">
      <c r="A407">
        <v>406</v>
      </c>
      <c r="B407">
        <v>1209</v>
      </c>
      <c r="C407">
        <f>1/COUNTIF(B:B,Table1[[#This Row],[order_id]])</f>
        <v>0.33333333333333331</v>
      </c>
      <c r="D407" t="str">
        <f>TEXT(Table1[[#This Row],[order_date]],"mmmm")</f>
        <v>February</v>
      </c>
      <c r="E407" s="1">
        <v>45328</v>
      </c>
      <c r="F407" s="1" t="str">
        <f>TEXT(Table1[[#This Row],[order_date]],"dddd")</f>
        <v>Tuesday</v>
      </c>
      <c r="G407">
        <f>HOUR(Table1[[#This Row],[order_time]])</f>
        <v>16</v>
      </c>
      <c r="H407" s="2">
        <v>0.69465277777777779</v>
      </c>
      <c r="I407" t="s">
        <v>9</v>
      </c>
      <c r="J407" t="s">
        <v>29</v>
      </c>
      <c r="K407">
        <v>2</v>
      </c>
      <c r="L407">
        <v>5</v>
      </c>
      <c r="M407">
        <v>10</v>
      </c>
      <c r="N407">
        <f>IF(COUNTIFS($B$2:B407,B407)=1,1,0)</f>
        <v>0</v>
      </c>
    </row>
    <row r="408" spans="1:14" x14ac:dyDescent="0.2">
      <c r="A408">
        <v>407</v>
      </c>
      <c r="B408">
        <v>1209</v>
      </c>
      <c r="C408">
        <f>1/COUNTIF(B:B,Table1[[#This Row],[order_id]])</f>
        <v>0.33333333333333331</v>
      </c>
      <c r="D408" t="str">
        <f>TEXT(Table1[[#This Row],[order_date]],"mmmm")</f>
        <v>February</v>
      </c>
      <c r="E408" s="1">
        <v>45328</v>
      </c>
      <c r="F408" s="1" t="str">
        <f>TEXT(Table1[[#This Row],[order_date]],"dddd")</f>
        <v>Tuesday</v>
      </c>
      <c r="G408">
        <f>HOUR(Table1[[#This Row],[order_time]])</f>
        <v>17</v>
      </c>
      <c r="H408" s="2">
        <v>0.71699074074074076</v>
      </c>
      <c r="I408" t="s">
        <v>18</v>
      </c>
      <c r="J408" t="s">
        <v>19</v>
      </c>
      <c r="K408">
        <v>4</v>
      </c>
      <c r="L408">
        <v>50</v>
      </c>
      <c r="M408">
        <v>200</v>
      </c>
      <c r="N408">
        <f>IF(COUNTIFS($B$2:B408,B408)=1,1,0)</f>
        <v>0</v>
      </c>
    </row>
    <row r="409" spans="1:14" x14ac:dyDescent="0.2">
      <c r="A409">
        <v>408</v>
      </c>
      <c r="B409">
        <v>1210</v>
      </c>
      <c r="C409">
        <f>1/COUNTIF(B:B,Table1[[#This Row],[order_id]])</f>
        <v>0.33333333333333331</v>
      </c>
      <c r="D409" t="str">
        <f>TEXT(Table1[[#This Row],[order_date]],"mmmm")</f>
        <v>February</v>
      </c>
      <c r="E409" s="1">
        <v>45328</v>
      </c>
      <c r="F409" s="1" t="str">
        <f>TEXT(Table1[[#This Row],[order_date]],"dddd")</f>
        <v>Tuesday</v>
      </c>
      <c r="G409">
        <f>HOUR(Table1[[#This Row],[order_time]])</f>
        <v>10</v>
      </c>
      <c r="H409" s="2">
        <v>0.44924768518518521</v>
      </c>
      <c r="I409" t="s">
        <v>16</v>
      </c>
      <c r="J409" t="s">
        <v>28</v>
      </c>
      <c r="K409">
        <v>2</v>
      </c>
      <c r="L409">
        <v>25</v>
      </c>
      <c r="M409">
        <v>50</v>
      </c>
      <c r="N409">
        <f>IF(COUNTIFS($B$2:B409,B409)=1,1,0)</f>
        <v>1</v>
      </c>
    </row>
    <row r="410" spans="1:14" x14ac:dyDescent="0.2">
      <c r="A410">
        <v>409</v>
      </c>
      <c r="B410">
        <v>1210</v>
      </c>
      <c r="C410">
        <f>1/COUNTIF(B:B,Table1[[#This Row],[order_id]])</f>
        <v>0.33333333333333331</v>
      </c>
      <c r="D410" t="str">
        <f>TEXT(Table1[[#This Row],[order_date]],"mmmm")</f>
        <v>February</v>
      </c>
      <c r="E410" s="1">
        <v>45328</v>
      </c>
      <c r="F410" s="1" t="str">
        <f>TEXT(Table1[[#This Row],[order_date]],"dddd")</f>
        <v>Tuesday</v>
      </c>
      <c r="G410">
        <f>HOUR(Table1[[#This Row],[order_time]])</f>
        <v>10</v>
      </c>
      <c r="H410" s="2">
        <v>0.42320601851851852</v>
      </c>
      <c r="I410" t="s">
        <v>11</v>
      </c>
      <c r="J410" t="s">
        <v>13</v>
      </c>
      <c r="K410">
        <v>1</v>
      </c>
      <c r="L410">
        <v>680</v>
      </c>
      <c r="M410">
        <v>680</v>
      </c>
      <c r="N410">
        <f>IF(COUNTIFS($B$2:B410,B410)=1,1,0)</f>
        <v>0</v>
      </c>
    </row>
    <row r="411" spans="1:14" x14ac:dyDescent="0.2">
      <c r="A411">
        <v>410</v>
      </c>
      <c r="B411">
        <v>1210</v>
      </c>
      <c r="C411">
        <f>1/COUNTIF(B:B,Table1[[#This Row],[order_id]])</f>
        <v>0.33333333333333331</v>
      </c>
      <c r="D411" t="str">
        <f>TEXT(Table1[[#This Row],[order_date]],"mmmm")</f>
        <v>February</v>
      </c>
      <c r="E411" s="1">
        <v>45328</v>
      </c>
      <c r="F411" s="1" t="str">
        <f>TEXT(Table1[[#This Row],[order_date]],"dddd")</f>
        <v>Tuesday</v>
      </c>
      <c r="G411">
        <f>HOUR(Table1[[#This Row],[order_time]])</f>
        <v>20</v>
      </c>
      <c r="H411" s="2">
        <v>0.86456018518518518</v>
      </c>
      <c r="I411" t="s">
        <v>9</v>
      </c>
      <c r="J411" t="s">
        <v>10</v>
      </c>
      <c r="K411">
        <v>4</v>
      </c>
      <c r="L411">
        <v>20</v>
      </c>
      <c r="M411">
        <v>80</v>
      </c>
      <c r="N411">
        <f>IF(COUNTIFS($B$2:B411,B411)=1,1,0)</f>
        <v>0</v>
      </c>
    </row>
    <row r="412" spans="1:14" x14ac:dyDescent="0.2">
      <c r="A412">
        <v>411</v>
      </c>
      <c r="B412">
        <v>1211</v>
      </c>
      <c r="C412">
        <f>1/COUNTIF(B:B,Table1[[#This Row],[order_id]])</f>
        <v>1</v>
      </c>
      <c r="D412" t="str">
        <f>TEXT(Table1[[#This Row],[order_date]],"mmmm")</f>
        <v>February</v>
      </c>
      <c r="E412" s="1">
        <v>45328</v>
      </c>
      <c r="F412" s="1" t="str">
        <f>TEXT(Table1[[#This Row],[order_date]],"dddd")</f>
        <v>Tuesday</v>
      </c>
      <c r="G412">
        <f>HOUR(Table1[[#This Row],[order_time]])</f>
        <v>18</v>
      </c>
      <c r="H412" s="2">
        <v>0.75760416666666663</v>
      </c>
      <c r="I412" t="s">
        <v>18</v>
      </c>
      <c r="J412" t="s">
        <v>27</v>
      </c>
      <c r="K412">
        <v>4</v>
      </c>
      <c r="L412">
        <v>40</v>
      </c>
      <c r="M412">
        <v>160</v>
      </c>
      <c r="N412">
        <f>IF(COUNTIFS($B$2:B412,B412)=1,1,0)</f>
        <v>1</v>
      </c>
    </row>
    <row r="413" spans="1:14" x14ac:dyDescent="0.2">
      <c r="A413">
        <v>412</v>
      </c>
      <c r="B413">
        <v>1212</v>
      </c>
      <c r="C413">
        <f>1/COUNTIF(B:B,Table1[[#This Row],[order_id]])</f>
        <v>1</v>
      </c>
      <c r="D413" t="str">
        <f>TEXT(Table1[[#This Row],[order_date]],"mmmm")</f>
        <v>February</v>
      </c>
      <c r="E413" s="1">
        <v>45328</v>
      </c>
      <c r="F413" s="1" t="str">
        <f>TEXT(Table1[[#This Row],[order_date]],"dddd")</f>
        <v>Tuesday</v>
      </c>
      <c r="G413">
        <f>HOUR(Table1[[#This Row],[order_time]])</f>
        <v>10</v>
      </c>
      <c r="H413" s="2">
        <v>0.42659722222222224</v>
      </c>
      <c r="I413" t="s">
        <v>16</v>
      </c>
      <c r="J413" t="s">
        <v>28</v>
      </c>
      <c r="K413">
        <v>1</v>
      </c>
      <c r="L413">
        <v>25</v>
      </c>
      <c r="M413">
        <v>25</v>
      </c>
      <c r="N413">
        <f>IF(COUNTIFS($B$2:B413,B413)=1,1,0)</f>
        <v>1</v>
      </c>
    </row>
    <row r="414" spans="1:14" x14ac:dyDescent="0.2">
      <c r="A414">
        <v>413</v>
      </c>
      <c r="B414">
        <v>1213</v>
      </c>
      <c r="C414">
        <f>1/COUNTIF(B:B,Table1[[#This Row],[order_id]])</f>
        <v>1</v>
      </c>
      <c r="D414" t="str">
        <f>TEXT(Table1[[#This Row],[order_date]],"mmmm")</f>
        <v>February</v>
      </c>
      <c r="E414" s="1">
        <v>45328</v>
      </c>
      <c r="F414" s="1" t="str">
        <f>TEXT(Table1[[#This Row],[order_date]],"dddd")</f>
        <v>Tuesday</v>
      </c>
      <c r="G414">
        <f>HOUR(Table1[[#This Row],[order_time]])</f>
        <v>16</v>
      </c>
      <c r="H414" s="2">
        <v>0.68557870370370366</v>
      </c>
      <c r="I414" t="s">
        <v>9</v>
      </c>
      <c r="J414" t="s">
        <v>10</v>
      </c>
      <c r="K414">
        <v>5</v>
      </c>
      <c r="L414">
        <v>20</v>
      </c>
      <c r="M414">
        <v>100</v>
      </c>
      <c r="N414">
        <f>IF(COUNTIFS($B$2:B414,B414)=1,1,0)</f>
        <v>1</v>
      </c>
    </row>
    <row r="415" spans="1:14" x14ac:dyDescent="0.2">
      <c r="A415">
        <v>414</v>
      </c>
      <c r="B415">
        <v>1214</v>
      </c>
      <c r="C415">
        <f>1/COUNTIF(B:B,Table1[[#This Row],[order_id]])</f>
        <v>1</v>
      </c>
      <c r="D415" t="str">
        <f>TEXT(Table1[[#This Row],[order_date]],"mmmm")</f>
        <v>February</v>
      </c>
      <c r="E415" s="1">
        <v>45328</v>
      </c>
      <c r="F415" s="1" t="str">
        <f>TEXT(Table1[[#This Row],[order_date]],"dddd")</f>
        <v>Tuesday</v>
      </c>
      <c r="G415">
        <f>HOUR(Table1[[#This Row],[order_time]])</f>
        <v>15</v>
      </c>
      <c r="H415" s="2">
        <v>0.63092592592592589</v>
      </c>
      <c r="I415" t="s">
        <v>18</v>
      </c>
      <c r="J415" t="s">
        <v>31</v>
      </c>
      <c r="K415">
        <v>5</v>
      </c>
      <c r="L415">
        <v>45</v>
      </c>
      <c r="M415">
        <v>225</v>
      </c>
      <c r="N415">
        <f>IF(COUNTIFS($B$2:B415,B415)=1,1,0)</f>
        <v>1</v>
      </c>
    </row>
    <row r="416" spans="1:14" x14ac:dyDescent="0.2">
      <c r="A416">
        <v>415</v>
      </c>
      <c r="B416">
        <v>1215</v>
      </c>
      <c r="C416">
        <f>1/COUNTIF(B:B,Table1[[#This Row],[order_id]])</f>
        <v>1</v>
      </c>
      <c r="D416" t="str">
        <f>TEXT(Table1[[#This Row],[order_date]],"mmmm")</f>
        <v>February</v>
      </c>
      <c r="E416" s="1">
        <v>45328</v>
      </c>
      <c r="F416" s="1" t="str">
        <f>TEXT(Table1[[#This Row],[order_date]],"dddd")</f>
        <v>Tuesday</v>
      </c>
      <c r="G416">
        <f>HOUR(Table1[[#This Row],[order_time]])</f>
        <v>12</v>
      </c>
      <c r="H416" s="2">
        <v>0.50528935185185186</v>
      </c>
      <c r="I416" t="s">
        <v>9</v>
      </c>
      <c r="J416" t="s">
        <v>21</v>
      </c>
      <c r="K416">
        <v>1</v>
      </c>
      <c r="L416">
        <v>10</v>
      </c>
      <c r="M416">
        <v>10</v>
      </c>
      <c r="N416">
        <f>IF(COUNTIFS($B$2:B416,B416)=1,1,0)</f>
        <v>1</v>
      </c>
    </row>
    <row r="417" spans="1:14" x14ac:dyDescent="0.2">
      <c r="A417">
        <v>416</v>
      </c>
      <c r="B417">
        <v>1216</v>
      </c>
      <c r="C417">
        <f>1/COUNTIF(B:B,Table1[[#This Row],[order_id]])</f>
        <v>0.5</v>
      </c>
      <c r="D417" t="str">
        <f>TEXT(Table1[[#This Row],[order_date]],"mmmm")</f>
        <v>February</v>
      </c>
      <c r="E417" s="1">
        <v>45328</v>
      </c>
      <c r="F417" s="1" t="str">
        <f>TEXT(Table1[[#This Row],[order_date]],"dddd")</f>
        <v>Tuesday</v>
      </c>
      <c r="G417">
        <f>HOUR(Table1[[#This Row],[order_time]])</f>
        <v>18</v>
      </c>
      <c r="H417" s="2">
        <v>0.75291666666666668</v>
      </c>
      <c r="I417" t="s">
        <v>11</v>
      </c>
      <c r="J417" t="s">
        <v>12</v>
      </c>
      <c r="K417">
        <v>3</v>
      </c>
      <c r="L417">
        <v>650</v>
      </c>
      <c r="M417">
        <v>1950</v>
      </c>
      <c r="N417">
        <f>IF(COUNTIFS($B$2:B417,B417)=1,1,0)</f>
        <v>1</v>
      </c>
    </row>
    <row r="418" spans="1:14" x14ac:dyDescent="0.2">
      <c r="A418">
        <v>417</v>
      </c>
      <c r="B418">
        <v>1216</v>
      </c>
      <c r="C418">
        <f>1/COUNTIF(B:B,Table1[[#This Row],[order_id]])</f>
        <v>0.5</v>
      </c>
      <c r="D418" t="str">
        <f>TEXT(Table1[[#This Row],[order_date]],"mmmm")</f>
        <v>February</v>
      </c>
      <c r="E418" s="1">
        <v>45328</v>
      </c>
      <c r="F418" s="1" t="str">
        <f>TEXT(Table1[[#This Row],[order_date]],"dddd")</f>
        <v>Tuesday</v>
      </c>
      <c r="G418">
        <f>HOUR(Table1[[#This Row],[order_time]])</f>
        <v>19</v>
      </c>
      <c r="H418" s="2">
        <v>0.81059027777777781</v>
      </c>
      <c r="I418" t="s">
        <v>11</v>
      </c>
      <c r="J418" t="s">
        <v>25</v>
      </c>
      <c r="K418">
        <v>2</v>
      </c>
      <c r="L418">
        <v>1000</v>
      </c>
      <c r="M418">
        <v>2000</v>
      </c>
      <c r="N418">
        <f>IF(COUNTIFS($B$2:B418,B418)=1,1,0)</f>
        <v>0</v>
      </c>
    </row>
    <row r="419" spans="1:14" x14ac:dyDescent="0.2">
      <c r="A419">
        <v>418</v>
      </c>
      <c r="B419">
        <v>1217</v>
      </c>
      <c r="C419">
        <f>1/COUNTIF(B:B,Table1[[#This Row],[order_id]])</f>
        <v>0.5</v>
      </c>
      <c r="D419" t="str">
        <f>TEXT(Table1[[#This Row],[order_date]],"mmmm")</f>
        <v>February</v>
      </c>
      <c r="E419" s="1">
        <v>45328</v>
      </c>
      <c r="F419" s="1" t="str">
        <f>TEXT(Table1[[#This Row],[order_date]],"dddd")</f>
        <v>Tuesday</v>
      </c>
      <c r="G419">
        <f>HOUR(Table1[[#This Row],[order_time]])</f>
        <v>17</v>
      </c>
      <c r="H419" s="2">
        <v>0.74703703703703705</v>
      </c>
      <c r="I419" t="s">
        <v>11</v>
      </c>
      <c r="J419" t="s">
        <v>13</v>
      </c>
      <c r="K419">
        <v>5</v>
      </c>
      <c r="L419">
        <v>680</v>
      </c>
      <c r="M419">
        <v>3400</v>
      </c>
      <c r="N419">
        <f>IF(COUNTIFS($B$2:B419,B419)=1,1,0)</f>
        <v>1</v>
      </c>
    </row>
    <row r="420" spans="1:14" x14ac:dyDescent="0.2">
      <c r="A420">
        <v>419</v>
      </c>
      <c r="B420">
        <v>1217</v>
      </c>
      <c r="C420">
        <f>1/COUNTIF(B:B,Table1[[#This Row],[order_id]])</f>
        <v>0.5</v>
      </c>
      <c r="D420" t="str">
        <f>TEXT(Table1[[#This Row],[order_date]],"mmmm")</f>
        <v>February</v>
      </c>
      <c r="E420" s="1">
        <v>45328</v>
      </c>
      <c r="F420" s="1" t="str">
        <f>TEXT(Table1[[#This Row],[order_date]],"dddd")</f>
        <v>Tuesday</v>
      </c>
      <c r="G420">
        <f>HOUR(Table1[[#This Row],[order_time]])</f>
        <v>19</v>
      </c>
      <c r="H420" s="2">
        <v>0.81940972222222219</v>
      </c>
      <c r="I420" t="s">
        <v>18</v>
      </c>
      <c r="J420" t="s">
        <v>30</v>
      </c>
      <c r="K420">
        <v>3</v>
      </c>
      <c r="L420">
        <v>60</v>
      </c>
      <c r="M420">
        <v>180</v>
      </c>
      <c r="N420">
        <f>IF(COUNTIFS($B$2:B420,B420)=1,1,0)</f>
        <v>0</v>
      </c>
    </row>
    <row r="421" spans="1:14" x14ac:dyDescent="0.2">
      <c r="A421">
        <v>420</v>
      </c>
      <c r="B421">
        <v>1218</v>
      </c>
      <c r="C421">
        <f>1/COUNTIF(B:B,Table1[[#This Row],[order_id]])</f>
        <v>0.33333333333333331</v>
      </c>
      <c r="D421" t="str">
        <f>TEXT(Table1[[#This Row],[order_date]],"mmmm")</f>
        <v>February</v>
      </c>
      <c r="E421" s="1">
        <v>45329</v>
      </c>
      <c r="F421" s="1" t="str">
        <f>TEXT(Table1[[#This Row],[order_date]],"dddd")</f>
        <v>Wednesday</v>
      </c>
      <c r="G421">
        <f>HOUR(Table1[[#This Row],[order_time]])</f>
        <v>12</v>
      </c>
      <c r="H421" s="2">
        <v>0.52508101851851852</v>
      </c>
      <c r="I421" t="s">
        <v>16</v>
      </c>
      <c r="J421" t="s">
        <v>23</v>
      </c>
      <c r="K421">
        <v>2</v>
      </c>
      <c r="L421">
        <v>30</v>
      </c>
      <c r="M421">
        <v>60</v>
      </c>
      <c r="N421">
        <f>IF(COUNTIFS($B$2:B421,B421)=1,1,0)</f>
        <v>1</v>
      </c>
    </row>
    <row r="422" spans="1:14" x14ac:dyDescent="0.2">
      <c r="A422">
        <v>421</v>
      </c>
      <c r="B422">
        <v>1218</v>
      </c>
      <c r="C422">
        <f>1/COUNTIF(B:B,Table1[[#This Row],[order_id]])</f>
        <v>0.33333333333333331</v>
      </c>
      <c r="D422" t="str">
        <f>TEXT(Table1[[#This Row],[order_date]],"mmmm")</f>
        <v>February</v>
      </c>
      <c r="E422" s="1">
        <v>45329</v>
      </c>
      <c r="F422" s="1" t="str">
        <f>TEXT(Table1[[#This Row],[order_date]],"dddd")</f>
        <v>Wednesday</v>
      </c>
      <c r="G422">
        <f>HOUR(Table1[[#This Row],[order_time]])</f>
        <v>11</v>
      </c>
      <c r="H422" s="2">
        <v>0.48302083333333334</v>
      </c>
      <c r="I422" t="s">
        <v>16</v>
      </c>
      <c r="J422" t="s">
        <v>28</v>
      </c>
      <c r="K422">
        <v>2</v>
      </c>
      <c r="L422">
        <v>25</v>
      </c>
      <c r="M422">
        <v>50</v>
      </c>
      <c r="N422">
        <f>IF(COUNTIFS($B$2:B422,B422)=1,1,0)</f>
        <v>0</v>
      </c>
    </row>
    <row r="423" spans="1:14" x14ac:dyDescent="0.2">
      <c r="A423">
        <v>422</v>
      </c>
      <c r="B423">
        <v>1218</v>
      </c>
      <c r="C423">
        <f>1/COUNTIF(B:B,Table1[[#This Row],[order_id]])</f>
        <v>0.33333333333333331</v>
      </c>
      <c r="D423" t="str">
        <f>TEXT(Table1[[#This Row],[order_date]],"mmmm")</f>
        <v>February</v>
      </c>
      <c r="E423" s="1">
        <v>45329</v>
      </c>
      <c r="F423" s="1" t="str">
        <f>TEXT(Table1[[#This Row],[order_date]],"dddd")</f>
        <v>Wednesday</v>
      </c>
      <c r="G423">
        <f>HOUR(Table1[[#This Row],[order_time]])</f>
        <v>11</v>
      </c>
      <c r="H423" s="2">
        <v>0.49009259259259258</v>
      </c>
      <c r="I423" t="s">
        <v>18</v>
      </c>
      <c r="J423" t="s">
        <v>19</v>
      </c>
      <c r="K423">
        <v>5</v>
      </c>
      <c r="L423">
        <v>50</v>
      </c>
      <c r="M423">
        <v>250</v>
      </c>
      <c r="N423">
        <f>IF(COUNTIFS($B$2:B423,B423)=1,1,0)</f>
        <v>0</v>
      </c>
    </row>
    <row r="424" spans="1:14" x14ac:dyDescent="0.2">
      <c r="A424">
        <v>423</v>
      </c>
      <c r="B424">
        <v>1219</v>
      </c>
      <c r="C424">
        <f>1/COUNTIF(B:B,Table1[[#This Row],[order_id]])</f>
        <v>0.5</v>
      </c>
      <c r="D424" t="str">
        <f>TEXT(Table1[[#This Row],[order_date]],"mmmm")</f>
        <v>February</v>
      </c>
      <c r="E424" s="1">
        <v>45329</v>
      </c>
      <c r="F424" s="1" t="str">
        <f>TEXT(Table1[[#This Row],[order_date]],"dddd")</f>
        <v>Wednesday</v>
      </c>
      <c r="G424">
        <f>HOUR(Table1[[#This Row],[order_time]])</f>
        <v>12</v>
      </c>
      <c r="H424" s="2">
        <v>0.53927083333333337</v>
      </c>
      <c r="I424" t="s">
        <v>11</v>
      </c>
      <c r="J424" t="s">
        <v>14</v>
      </c>
      <c r="K424">
        <v>1</v>
      </c>
      <c r="L424">
        <v>700</v>
      </c>
      <c r="M424">
        <v>700</v>
      </c>
      <c r="N424">
        <f>IF(COUNTIFS($B$2:B424,B424)=1,1,0)</f>
        <v>1</v>
      </c>
    </row>
    <row r="425" spans="1:14" x14ac:dyDescent="0.2">
      <c r="A425">
        <v>424</v>
      </c>
      <c r="B425">
        <v>1219</v>
      </c>
      <c r="C425">
        <f>1/COUNTIF(B:B,Table1[[#This Row],[order_id]])</f>
        <v>0.5</v>
      </c>
      <c r="D425" t="str">
        <f>TEXT(Table1[[#This Row],[order_date]],"mmmm")</f>
        <v>February</v>
      </c>
      <c r="E425" s="1">
        <v>45329</v>
      </c>
      <c r="F425" s="1" t="str">
        <f>TEXT(Table1[[#This Row],[order_date]],"dddd")</f>
        <v>Wednesday</v>
      </c>
      <c r="G425">
        <f>HOUR(Table1[[#This Row],[order_time]])</f>
        <v>14</v>
      </c>
      <c r="H425" s="2">
        <v>0.59642361111111108</v>
      </c>
      <c r="I425" t="s">
        <v>16</v>
      </c>
      <c r="J425" t="s">
        <v>23</v>
      </c>
      <c r="K425">
        <v>3</v>
      </c>
      <c r="L425">
        <v>30</v>
      </c>
      <c r="M425">
        <v>90</v>
      </c>
      <c r="N425">
        <f>IF(COUNTIFS($B$2:B425,B425)=1,1,0)</f>
        <v>0</v>
      </c>
    </row>
    <row r="426" spans="1:14" x14ac:dyDescent="0.2">
      <c r="A426">
        <v>425</v>
      </c>
      <c r="B426">
        <v>1220</v>
      </c>
      <c r="C426">
        <f>1/COUNTIF(B:B,Table1[[#This Row],[order_id]])</f>
        <v>0.5</v>
      </c>
      <c r="D426" t="str">
        <f>TEXT(Table1[[#This Row],[order_date]],"mmmm")</f>
        <v>February</v>
      </c>
      <c r="E426" s="1">
        <v>45329</v>
      </c>
      <c r="F426" s="1" t="str">
        <f>TEXT(Table1[[#This Row],[order_date]],"dddd")</f>
        <v>Wednesday</v>
      </c>
      <c r="G426">
        <f>HOUR(Table1[[#This Row],[order_time]])</f>
        <v>16</v>
      </c>
      <c r="H426" s="2">
        <v>0.68081018518518521</v>
      </c>
      <c r="I426" t="s">
        <v>9</v>
      </c>
      <c r="J426" t="s">
        <v>10</v>
      </c>
      <c r="K426">
        <v>3</v>
      </c>
      <c r="L426">
        <v>20</v>
      </c>
      <c r="M426">
        <v>60</v>
      </c>
      <c r="N426">
        <f>IF(COUNTIFS($B$2:B426,B426)=1,1,0)</f>
        <v>1</v>
      </c>
    </row>
    <row r="427" spans="1:14" x14ac:dyDescent="0.2">
      <c r="A427">
        <v>426</v>
      </c>
      <c r="B427">
        <v>1220</v>
      </c>
      <c r="C427">
        <f>1/COUNTIF(B:B,Table1[[#This Row],[order_id]])</f>
        <v>0.5</v>
      </c>
      <c r="D427" t="str">
        <f>TEXT(Table1[[#This Row],[order_date]],"mmmm")</f>
        <v>February</v>
      </c>
      <c r="E427" s="1">
        <v>45329</v>
      </c>
      <c r="F427" s="1" t="str">
        <f>TEXT(Table1[[#This Row],[order_date]],"dddd")</f>
        <v>Wednesday</v>
      </c>
      <c r="G427">
        <f>HOUR(Table1[[#This Row],[order_time]])</f>
        <v>10</v>
      </c>
      <c r="H427" s="2">
        <v>0.45708333333333334</v>
      </c>
      <c r="I427" t="s">
        <v>18</v>
      </c>
      <c r="J427" t="s">
        <v>19</v>
      </c>
      <c r="K427">
        <v>3</v>
      </c>
      <c r="L427">
        <v>50</v>
      </c>
      <c r="M427">
        <v>150</v>
      </c>
      <c r="N427">
        <f>IF(COUNTIFS($B$2:B427,B427)=1,1,0)</f>
        <v>0</v>
      </c>
    </row>
    <row r="428" spans="1:14" x14ac:dyDescent="0.2">
      <c r="A428">
        <v>427</v>
      </c>
      <c r="B428">
        <v>1221</v>
      </c>
      <c r="C428">
        <f>1/COUNTIF(B:B,Table1[[#This Row],[order_id]])</f>
        <v>0.5</v>
      </c>
      <c r="D428" t="str">
        <f>TEXT(Table1[[#This Row],[order_date]],"mmmm")</f>
        <v>February</v>
      </c>
      <c r="E428" s="1">
        <v>45329</v>
      </c>
      <c r="F428" s="1" t="str">
        <f>TEXT(Table1[[#This Row],[order_date]],"dddd")</f>
        <v>Wednesday</v>
      </c>
      <c r="G428">
        <f>HOUR(Table1[[#This Row],[order_time]])</f>
        <v>11</v>
      </c>
      <c r="H428" s="2">
        <v>0.49075231481481479</v>
      </c>
      <c r="I428" t="s">
        <v>9</v>
      </c>
      <c r="J428" t="s">
        <v>20</v>
      </c>
      <c r="K428">
        <v>1</v>
      </c>
      <c r="L428">
        <v>25</v>
      </c>
      <c r="M428">
        <v>25</v>
      </c>
      <c r="N428">
        <f>IF(COUNTIFS($B$2:B428,B428)=1,1,0)</f>
        <v>1</v>
      </c>
    </row>
    <row r="429" spans="1:14" x14ac:dyDescent="0.2">
      <c r="A429">
        <v>428</v>
      </c>
      <c r="B429">
        <v>1221</v>
      </c>
      <c r="C429">
        <f>1/COUNTIF(B:B,Table1[[#This Row],[order_id]])</f>
        <v>0.5</v>
      </c>
      <c r="D429" t="str">
        <f>TEXT(Table1[[#This Row],[order_date]],"mmmm")</f>
        <v>February</v>
      </c>
      <c r="E429" s="1">
        <v>45329</v>
      </c>
      <c r="F429" s="1" t="str">
        <f>TEXT(Table1[[#This Row],[order_date]],"dddd")</f>
        <v>Wednesday</v>
      </c>
      <c r="G429">
        <f>HOUR(Table1[[#This Row],[order_time]])</f>
        <v>10</v>
      </c>
      <c r="H429" s="2">
        <v>0.42896990740740742</v>
      </c>
      <c r="I429" t="s">
        <v>11</v>
      </c>
      <c r="J429" t="s">
        <v>25</v>
      </c>
      <c r="K429">
        <v>5</v>
      </c>
      <c r="L429">
        <v>1000</v>
      </c>
      <c r="M429">
        <v>5000</v>
      </c>
      <c r="N429">
        <f>IF(COUNTIFS($B$2:B429,B429)=1,1,0)</f>
        <v>0</v>
      </c>
    </row>
    <row r="430" spans="1:14" x14ac:dyDescent="0.2">
      <c r="A430">
        <v>429</v>
      </c>
      <c r="B430">
        <v>1222</v>
      </c>
      <c r="C430">
        <f>1/COUNTIF(B:B,Table1[[#This Row],[order_id]])</f>
        <v>1</v>
      </c>
      <c r="D430" t="str">
        <f>TEXT(Table1[[#This Row],[order_date]],"mmmm")</f>
        <v>February</v>
      </c>
      <c r="E430" s="1">
        <v>45330</v>
      </c>
      <c r="F430" s="1" t="str">
        <f>TEXT(Table1[[#This Row],[order_date]],"dddd")</f>
        <v>Thursday</v>
      </c>
      <c r="G430">
        <f>HOUR(Table1[[#This Row],[order_time]])</f>
        <v>17</v>
      </c>
      <c r="H430" s="2">
        <v>0.72884259259259254</v>
      </c>
      <c r="I430" t="s">
        <v>16</v>
      </c>
      <c r="J430" t="s">
        <v>23</v>
      </c>
      <c r="K430">
        <v>4</v>
      </c>
      <c r="L430">
        <v>30</v>
      </c>
      <c r="M430">
        <v>120</v>
      </c>
      <c r="N430">
        <f>IF(COUNTIFS($B$2:B430,B430)=1,1,0)</f>
        <v>1</v>
      </c>
    </row>
    <row r="431" spans="1:14" x14ac:dyDescent="0.2">
      <c r="A431">
        <v>430</v>
      </c>
      <c r="B431">
        <v>1223</v>
      </c>
      <c r="C431">
        <f>1/COUNTIF(B:B,Table1[[#This Row],[order_id]])</f>
        <v>0.33333333333333331</v>
      </c>
      <c r="D431" t="str">
        <f>TEXT(Table1[[#This Row],[order_date]],"mmmm")</f>
        <v>February</v>
      </c>
      <c r="E431" s="1">
        <v>45330</v>
      </c>
      <c r="F431" s="1" t="str">
        <f>TEXT(Table1[[#This Row],[order_date]],"dddd")</f>
        <v>Thursday</v>
      </c>
      <c r="G431">
        <f>HOUR(Table1[[#This Row],[order_time]])</f>
        <v>20</v>
      </c>
      <c r="H431" s="2">
        <v>0.84287037037037038</v>
      </c>
      <c r="I431" t="s">
        <v>16</v>
      </c>
      <c r="J431" t="s">
        <v>24</v>
      </c>
      <c r="K431">
        <v>3</v>
      </c>
      <c r="L431">
        <v>35</v>
      </c>
      <c r="M431">
        <v>105</v>
      </c>
      <c r="N431">
        <f>IF(COUNTIFS($B$2:B431,B431)=1,1,0)</f>
        <v>1</v>
      </c>
    </row>
    <row r="432" spans="1:14" x14ac:dyDescent="0.2">
      <c r="A432">
        <v>431</v>
      </c>
      <c r="B432">
        <v>1223</v>
      </c>
      <c r="C432">
        <f>1/COUNTIF(B:B,Table1[[#This Row],[order_id]])</f>
        <v>0.33333333333333331</v>
      </c>
      <c r="D432" t="str">
        <f>TEXT(Table1[[#This Row],[order_date]],"mmmm")</f>
        <v>February</v>
      </c>
      <c r="E432" s="1">
        <v>45330</v>
      </c>
      <c r="F432" s="1" t="str">
        <f>TEXT(Table1[[#This Row],[order_date]],"dddd")</f>
        <v>Thursday</v>
      </c>
      <c r="G432">
        <f>HOUR(Table1[[#This Row],[order_time]])</f>
        <v>13</v>
      </c>
      <c r="H432" s="2">
        <v>0.57903935185185185</v>
      </c>
      <c r="I432" t="s">
        <v>16</v>
      </c>
      <c r="J432" t="s">
        <v>23</v>
      </c>
      <c r="K432">
        <v>1</v>
      </c>
      <c r="L432">
        <v>30</v>
      </c>
      <c r="M432">
        <v>30</v>
      </c>
      <c r="N432">
        <f>IF(COUNTIFS($B$2:B432,B432)=1,1,0)</f>
        <v>0</v>
      </c>
    </row>
    <row r="433" spans="1:14" x14ac:dyDescent="0.2">
      <c r="A433">
        <v>432</v>
      </c>
      <c r="B433">
        <v>1223</v>
      </c>
      <c r="C433">
        <f>1/COUNTIF(B:B,Table1[[#This Row],[order_id]])</f>
        <v>0.33333333333333331</v>
      </c>
      <c r="D433" t="str">
        <f>TEXT(Table1[[#This Row],[order_date]],"mmmm")</f>
        <v>February</v>
      </c>
      <c r="E433" s="1">
        <v>45330</v>
      </c>
      <c r="F433" s="1" t="str">
        <f>TEXT(Table1[[#This Row],[order_date]],"dddd")</f>
        <v>Thursday</v>
      </c>
      <c r="G433">
        <f>HOUR(Table1[[#This Row],[order_time]])</f>
        <v>16</v>
      </c>
      <c r="H433" s="2">
        <v>0.6932638888888889</v>
      </c>
      <c r="I433" t="s">
        <v>11</v>
      </c>
      <c r="J433" t="s">
        <v>14</v>
      </c>
      <c r="K433">
        <v>3</v>
      </c>
      <c r="L433">
        <v>700</v>
      </c>
      <c r="M433">
        <v>2100</v>
      </c>
      <c r="N433">
        <f>IF(COUNTIFS($B$2:B433,B433)=1,1,0)</f>
        <v>0</v>
      </c>
    </row>
    <row r="434" spans="1:14" x14ac:dyDescent="0.2">
      <c r="A434">
        <v>433</v>
      </c>
      <c r="B434">
        <v>1224</v>
      </c>
      <c r="C434">
        <f>1/COUNTIF(B:B,Table1[[#This Row],[order_id]])</f>
        <v>1</v>
      </c>
      <c r="D434" t="str">
        <f>TEXT(Table1[[#This Row],[order_date]],"mmmm")</f>
        <v>February</v>
      </c>
      <c r="E434" s="1">
        <v>45330</v>
      </c>
      <c r="F434" s="1" t="str">
        <f>TEXT(Table1[[#This Row],[order_date]],"dddd")</f>
        <v>Thursday</v>
      </c>
      <c r="G434">
        <f>HOUR(Table1[[#This Row],[order_time]])</f>
        <v>16</v>
      </c>
      <c r="H434" s="2">
        <v>0.67603009259259261</v>
      </c>
      <c r="I434" t="s">
        <v>16</v>
      </c>
      <c r="J434" t="s">
        <v>17</v>
      </c>
      <c r="K434">
        <v>2</v>
      </c>
      <c r="L434">
        <v>20</v>
      </c>
      <c r="M434">
        <v>40</v>
      </c>
      <c r="N434">
        <f>IF(COUNTIFS($B$2:B434,B434)=1,1,0)</f>
        <v>1</v>
      </c>
    </row>
    <row r="435" spans="1:14" x14ac:dyDescent="0.2">
      <c r="A435">
        <v>434</v>
      </c>
      <c r="B435">
        <v>1225</v>
      </c>
      <c r="C435">
        <f>1/COUNTIF(B:B,Table1[[#This Row],[order_id]])</f>
        <v>1</v>
      </c>
      <c r="D435" t="str">
        <f>TEXT(Table1[[#This Row],[order_date]],"mmmm")</f>
        <v>February</v>
      </c>
      <c r="E435" s="1">
        <v>45330</v>
      </c>
      <c r="F435" s="1" t="str">
        <f>TEXT(Table1[[#This Row],[order_date]],"dddd")</f>
        <v>Thursday</v>
      </c>
      <c r="G435">
        <f>HOUR(Table1[[#This Row],[order_time]])</f>
        <v>14</v>
      </c>
      <c r="H435" s="2">
        <v>0.59199074074074076</v>
      </c>
      <c r="I435" t="s">
        <v>18</v>
      </c>
      <c r="J435" t="s">
        <v>27</v>
      </c>
      <c r="K435">
        <v>5</v>
      </c>
      <c r="L435">
        <v>40</v>
      </c>
      <c r="M435">
        <v>200</v>
      </c>
      <c r="N435">
        <f>IF(COUNTIFS($B$2:B435,B435)=1,1,0)</f>
        <v>1</v>
      </c>
    </row>
    <row r="436" spans="1:14" x14ac:dyDescent="0.2">
      <c r="A436">
        <v>435</v>
      </c>
      <c r="B436">
        <v>1226</v>
      </c>
      <c r="C436">
        <f>1/COUNTIF(B:B,Table1[[#This Row],[order_id]])</f>
        <v>0.5</v>
      </c>
      <c r="D436" t="str">
        <f>TEXT(Table1[[#This Row],[order_date]],"mmmm")</f>
        <v>February</v>
      </c>
      <c r="E436" s="1">
        <v>45331</v>
      </c>
      <c r="F436" s="1" t="str">
        <f>TEXT(Table1[[#This Row],[order_date]],"dddd")</f>
        <v>Friday</v>
      </c>
      <c r="G436">
        <f>HOUR(Table1[[#This Row],[order_time]])</f>
        <v>16</v>
      </c>
      <c r="H436" s="2">
        <v>0.69869212962962968</v>
      </c>
      <c r="I436" t="s">
        <v>11</v>
      </c>
      <c r="J436" t="s">
        <v>14</v>
      </c>
      <c r="K436">
        <v>5</v>
      </c>
      <c r="L436">
        <v>700</v>
      </c>
      <c r="M436">
        <v>3500</v>
      </c>
      <c r="N436">
        <f>IF(COUNTIFS($B$2:B436,B436)=1,1,0)</f>
        <v>1</v>
      </c>
    </row>
    <row r="437" spans="1:14" x14ac:dyDescent="0.2">
      <c r="A437">
        <v>436</v>
      </c>
      <c r="B437">
        <v>1226</v>
      </c>
      <c r="C437">
        <f>1/COUNTIF(B:B,Table1[[#This Row],[order_id]])</f>
        <v>0.5</v>
      </c>
      <c r="D437" t="str">
        <f>TEXT(Table1[[#This Row],[order_date]],"mmmm")</f>
        <v>February</v>
      </c>
      <c r="E437" s="1">
        <v>45331</v>
      </c>
      <c r="F437" s="1" t="str">
        <f>TEXT(Table1[[#This Row],[order_date]],"dddd")</f>
        <v>Friday</v>
      </c>
      <c r="G437">
        <f>HOUR(Table1[[#This Row],[order_time]])</f>
        <v>18</v>
      </c>
      <c r="H437" s="2">
        <v>0.76457175925925924</v>
      </c>
      <c r="I437" t="s">
        <v>18</v>
      </c>
      <c r="J437" t="s">
        <v>19</v>
      </c>
      <c r="K437">
        <v>4</v>
      </c>
      <c r="L437">
        <v>50</v>
      </c>
      <c r="M437">
        <v>200</v>
      </c>
      <c r="N437">
        <f>IF(COUNTIFS($B$2:B437,B437)=1,1,0)</f>
        <v>0</v>
      </c>
    </row>
    <row r="438" spans="1:14" x14ac:dyDescent="0.2">
      <c r="A438">
        <v>437</v>
      </c>
      <c r="B438">
        <v>1227</v>
      </c>
      <c r="C438">
        <f>1/COUNTIF(B:B,Table1[[#This Row],[order_id]])</f>
        <v>1</v>
      </c>
      <c r="D438" t="str">
        <f>TEXT(Table1[[#This Row],[order_date]],"mmmm")</f>
        <v>February</v>
      </c>
      <c r="E438" s="1">
        <v>45331</v>
      </c>
      <c r="F438" s="1" t="str">
        <f>TEXT(Table1[[#This Row],[order_date]],"dddd")</f>
        <v>Friday</v>
      </c>
      <c r="G438">
        <f>HOUR(Table1[[#This Row],[order_time]])</f>
        <v>18</v>
      </c>
      <c r="H438" s="2">
        <v>0.75762731481481482</v>
      </c>
      <c r="I438" t="s">
        <v>11</v>
      </c>
      <c r="J438" t="s">
        <v>12</v>
      </c>
      <c r="K438">
        <v>4</v>
      </c>
      <c r="L438">
        <v>650</v>
      </c>
      <c r="M438">
        <v>2600</v>
      </c>
      <c r="N438">
        <f>IF(COUNTIFS($B$2:B438,B438)=1,1,0)</f>
        <v>1</v>
      </c>
    </row>
    <row r="439" spans="1:14" x14ac:dyDescent="0.2">
      <c r="A439">
        <v>438</v>
      </c>
      <c r="B439">
        <v>1228</v>
      </c>
      <c r="C439">
        <f>1/COUNTIF(B:B,Table1[[#This Row],[order_id]])</f>
        <v>1</v>
      </c>
      <c r="D439" t="str">
        <f>TEXT(Table1[[#This Row],[order_date]],"mmmm")</f>
        <v>February</v>
      </c>
      <c r="E439" s="1">
        <v>45331</v>
      </c>
      <c r="F439" s="1" t="str">
        <f>TEXT(Table1[[#This Row],[order_date]],"dddd")</f>
        <v>Friday</v>
      </c>
      <c r="G439">
        <f>HOUR(Table1[[#This Row],[order_time]])</f>
        <v>11</v>
      </c>
      <c r="H439" s="2">
        <v>0.47413194444444445</v>
      </c>
      <c r="I439" t="s">
        <v>9</v>
      </c>
      <c r="J439" t="s">
        <v>21</v>
      </c>
      <c r="K439">
        <v>1</v>
      </c>
      <c r="L439">
        <v>10</v>
      </c>
      <c r="M439">
        <v>10</v>
      </c>
      <c r="N439">
        <f>IF(COUNTIFS($B$2:B439,B439)=1,1,0)</f>
        <v>1</v>
      </c>
    </row>
    <row r="440" spans="1:14" x14ac:dyDescent="0.2">
      <c r="A440">
        <v>439</v>
      </c>
      <c r="B440">
        <v>1229</v>
      </c>
      <c r="C440">
        <f>1/COUNTIF(B:B,Table1[[#This Row],[order_id]])</f>
        <v>0.33333333333333331</v>
      </c>
      <c r="D440" t="str">
        <f>TEXT(Table1[[#This Row],[order_date]],"mmmm")</f>
        <v>February</v>
      </c>
      <c r="E440" s="1">
        <v>45331</v>
      </c>
      <c r="F440" s="1" t="str">
        <f>TEXT(Table1[[#This Row],[order_date]],"dddd")</f>
        <v>Friday</v>
      </c>
      <c r="G440">
        <f>HOUR(Table1[[#This Row],[order_time]])</f>
        <v>20</v>
      </c>
      <c r="H440" s="2">
        <v>0.87434027777777779</v>
      </c>
      <c r="I440" t="s">
        <v>11</v>
      </c>
      <c r="J440" t="s">
        <v>12</v>
      </c>
      <c r="K440">
        <v>3</v>
      </c>
      <c r="L440">
        <v>650</v>
      </c>
      <c r="M440">
        <v>1950</v>
      </c>
      <c r="N440">
        <f>IF(COUNTIFS($B$2:B440,B440)=1,1,0)</f>
        <v>1</v>
      </c>
    </row>
    <row r="441" spans="1:14" x14ac:dyDescent="0.2">
      <c r="A441">
        <v>440</v>
      </c>
      <c r="B441">
        <v>1229</v>
      </c>
      <c r="C441">
        <f>1/COUNTIF(B:B,Table1[[#This Row],[order_id]])</f>
        <v>0.33333333333333331</v>
      </c>
      <c r="D441" t="str">
        <f>TEXT(Table1[[#This Row],[order_date]],"mmmm")</f>
        <v>February</v>
      </c>
      <c r="E441" s="1">
        <v>45331</v>
      </c>
      <c r="F441" s="1" t="str">
        <f>TEXT(Table1[[#This Row],[order_date]],"dddd")</f>
        <v>Friday</v>
      </c>
      <c r="G441">
        <f>HOUR(Table1[[#This Row],[order_time]])</f>
        <v>9</v>
      </c>
      <c r="H441" s="2">
        <v>0.3979050925925926</v>
      </c>
      <c r="I441" t="s">
        <v>18</v>
      </c>
      <c r="J441" t="s">
        <v>31</v>
      </c>
      <c r="K441">
        <v>4</v>
      </c>
      <c r="L441">
        <v>45</v>
      </c>
      <c r="M441">
        <v>180</v>
      </c>
      <c r="N441">
        <f>IF(COUNTIFS($B$2:B441,B441)=1,1,0)</f>
        <v>0</v>
      </c>
    </row>
    <row r="442" spans="1:14" x14ac:dyDescent="0.2">
      <c r="A442">
        <v>441</v>
      </c>
      <c r="B442">
        <v>1229</v>
      </c>
      <c r="C442">
        <f>1/COUNTIF(B:B,Table1[[#This Row],[order_id]])</f>
        <v>0.33333333333333331</v>
      </c>
      <c r="D442" t="str">
        <f>TEXT(Table1[[#This Row],[order_date]],"mmmm")</f>
        <v>February</v>
      </c>
      <c r="E442" s="1">
        <v>45331</v>
      </c>
      <c r="F442" s="1" t="str">
        <f>TEXT(Table1[[#This Row],[order_date]],"dddd")</f>
        <v>Friday</v>
      </c>
      <c r="G442">
        <f>HOUR(Table1[[#This Row],[order_time]])</f>
        <v>20</v>
      </c>
      <c r="H442" s="2">
        <v>0.86006944444444444</v>
      </c>
      <c r="I442" t="s">
        <v>11</v>
      </c>
      <c r="J442" t="s">
        <v>12</v>
      </c>
      <c r="K442">
        <v>5</v>
      </c>
      <c r="L442">
        <v>650</v>
      </c>
      <c r="M442">
        <v>3250</v>
      </c>
      <c r="N442">
        <f>IF(COUNTIFS($B$2:B442,B442)=1,1,0)</f>
        <v>0</v>
      </c>
    </row>
    <row r="443" spans="1:14" x14ac:dyDescent="0.2">
      <c r="A443">
        <v>442</v>
      </c>
      <c r="B443">
        <v>1230</v>
      </c>
      <c r="C443">
        <f>1/COUNTIF(B:B,Table1[[#This Row],[order_id]])</f>
        <v>1</v>
      </c>
      <c r="D443" t="str">
        <f>TEXT(Table1[[#This Row],[order_date]],"mmmm")</f>
        <v>February</v>
      </c>
      <c r="E443" s="1">
        <v>45331</v>
      </c>
      <c r="F443" s="1" t="str">
        <f>TEXT(Table1[[#This Row],[order_date]],"dddd")</f>
        <v>Friday</v>
      </c>
      <c r="G443">
        <f>HOUR(Table1[[#This Row],[order_time]])</f>
        <v>10</v>
      </c>
      <c r="H443" s="2">
        <v>0.42633101851851851</v>
      </c>
      <c r="I443" t="s">
        <v>16</v>
      </c>
      <c r="J443" t="s">
        <v>17</v>
      </c>
      <c r="K443">
        <v>1</v>
      </c>
      <c r="L443">
        <v>20</v>
      </c>
      <c r="M443">
        <v>20</v>
      </c>
      <c r="N443">
        <f>IF(COUNTIFS($B$2:B443,B443)=1,1,0)</f>
        <v>1</v>
      </c>
    </row>
    <row r="444" spans="1:14" x14ac:dyDescent="0.2">
      <c r="A444">
        <v>443</v>
      </c>
      <c r="B444">
        <v>1231</v>
      </c>
      <c r="C444">
        <f>1/COUNTIF(B:B,Table1[[#This Row],[order_id]])</f>
        <v>0.5</v>
      </c>
      <c r="D444" t="str">
        <f>TEXT(Table1[[#This Row],[order_date]],"mmmm")</f>
        <v>February</v>
      </c>
      <c r="E444" s="1">
        <v>45332</v>
      </c>
      <c r="F444" s="1" t="str">
        <f>TEXT(Table1[[#This Row],[order_date]],"dddd")</f>
        <v>Saturday</v>
      </c>
      <c r="G444">
        <f>HOUR(Table1[[#This Row],[order_time]])</f>
        <v>11</v>
      </c>
      <c r="H444" s="2">
        <v>0.47769675925925925</v>
      </c>
      <c r="I444" t="s">
        <v>16</v>
      </c>
      <c r="J444" t="s">
        <v>24</v>
      </c>
      <c r="K444">
        <v>5</v>
      </c>
      <c r="L444">
        <v>35</v>
      </c>
      <c r="M444">
        <v>175</v>
      </c>
      <c r="N444">
        <f>IF(COUNTIFS($B$2:B444,B444)=1,1,0)</f>
        <v>1</v>
      </c>
    </row>
    <row r="445" spans="1:14" x14ac:dyDescent="0.2">
      <c r="A445">
        <v>444</v>
      </c>
      <c r="B445">
        <v>1231</v>
      </c>
      <c r="C445">
        <f>1/COUNTIF(B:B,Table1[[#This Row],[order_id]])</f>
        <v>0.5</v>
      </c>
      <c r="D445" t="str">
        <f>TEXT(Table1[[#This Row],[order_date]],"mmmm")</f>
        <v>February</v>
      </c>
      <c r="E445" s="1">
        <v>45332</v>
      </c>
      <c r="F445" s="1" t="str">
        <f>TEXT(Table1[[#This Row],[order_date]],"dddd")</f>
        <v>Saturday</v>
      </c>
      <c r="G445">
        <f>HOUR(Table1[[#This Row],[order_time]])</f>
        <v>18</v>
      </c>
      <c r="H445" s="2">
        <v>0.75574074074074071</v>
      </c>
      <c r="I445" t="s">
        <v>18</v>
      </c>
      <c r="J445" t="s">
        <v>27</v>
      </c>
      <c r="K445">
        <v>4</v>
      </c>
      <c r="L445">
        <v>40</v>
      </c>
      <c r="M445">
        <v>160</v>
      </c>
      <c r="N445">
        <f>IF(COUNTIFS($B$2:B445,B445)=1,1,0)</f>
        <v>0</v>
      </c>
    </row>
    <row r="446" spans="1:14" x14ac:dyDescent="0.2">
      <c r="A446">
        <v>445</v>
      </c>
      <c r="B446">
        <v>1232</v>
      </c>
      <c r="C446">
        <f>1/COUNTIF(B:B,Table1[[#This Row],[order_id]])</f>
        <v>0.5</v>
      </c>
      <c r="D446" t="str">
        <f>TEXT(Table1[[#This Row],[order_date]],"mmmm")</f>
        <v>February</v>
      </c>
      <c r="E446" s="1">
        <v>45332</v>
      </c>
      <c r="F446" s="1" t="str">
        <f>TEXT(Table1[[#This Row],[order_date]],"dddd")</f>
        <v>Saturday</v>
      </c>
      <c r="G446">
        <f>HOUR(Table1[[#This Row],[order_time]])</f>
        <v>20</v>
      </c>
      <c r="H446" s="2">
        <v>0.87402777777777774</v>
      </c>
      <c r="I446" t="s">
        <v>9</v>
      </c>
      <c r="J446" t="s">
        <v>29</v>
      </c>
      <c r="K446">
        <v>3</v>
      </c>
      <c r="L446">
        <v>5</v>
      </c>
      <c r="M446">
        <v>15</v>
      </c>
      <c r="N446">
        <f>IF(COUNTIFS($B$2:B446,B446)=1,1,0)</f>
        <v>1</v>
      </c>
    </row>
    <row r="447" spans="1:14" x14ac:dyDescent="0.2">
      <c r="A447">
        <v>446</v>
      </c>
      <c r="B447">
        <v>1232</v>
      </c>
      <c r="C447">
        <f>1/COUNTIF(B:B,Table1[[#This Row],[order_id]])</f>
        <v>0.5</v>
      </c>
      <c r="D447" t="str">
        <f>TEXT(Table1[[#This Row],[order_date]],"mmmm")</f>
        <v>February</v>
      </c>
      <c r="E447" s="1">
        <v>45332</v>
      </c>
      <c r="F447" s="1" t="str">
        <f>TEXT(Table1[[#This Row],[order_date]],"dddd")</f>
        <v>Saturday</v>
      </c>
      <c r="G447">
        <f>HOUR(Table1[[#This Row],[order_time]])</f>
        <v>9</v>
      </c>
      <c r="H447" s="2">
        <v>0.38798611111111109</v>
      </c>
      <c r="I447" t="s">
        <v>18</v>
      </c>
      <c r="J447" t="s">
        <v>26</v>
      </c>
      <c r="K447">
        <v>5</v>
      </c>
      <c r="L447">
        <v>55</v>
      </c>
      <c r="M447">
        <v>275</v>
      </c>
      <c r="N447">
        <f>IF(COUNTIFS($B$2:B447,B447)=1,1,0)</f>
        <v>0</v>
      </c>
    </row>
    <row r="448" spans="1:14" x14ac:dyDescent="0.2">
      <c r="A448">
        <v>447</v>
      </c>
      <c r="B448">
        <v>1233</v>
      </c>
      <c r="C448">
        <f>1/COUNTIF(B:B,Table1[[#This Row],[order_id]])</f>
        <v>0.5</v>
      </c>
      <c r="D448" t="str">
        <f>TEXT(Table1[[#This Row],[order_date]],"mmmm")</f>
        <v>February</v>
      </c>
      <c r="E448" s="1">
        <v>45332</v>
      </c>
      <c r="F448" s="1" t="str">
        <f>TEXT(Table1[[#This Row],[order_date]],"dddd")</f>
        <v>Saturday</v>
      </c>
      <c r="G448">
        <f>HOUR(Table1[[#This Row],[order_time]])</f>
        <v>14</v>
      </c>
      <c r="H448" s="2">
        <v>0.58531250000000001</v>
      </c>
      <c r="I448" t="s">
        <v>16</v>
      </c>
      <c r="J448" t="s">
        <v>17</v>
      </c>
      <c r="K448">
        <v>1</v>
      </c>
      <c r="L448">
        <v>20</v>
      </c>
      <c r="M448">
        <v>20</v>
      </c>
      <c r="N448">
        <f>IF(COUNTIFS($B$2:B448,B448)=1,1,0)</f>
        <v>1</v>
      </c>
    </row>
    <row r="449" spans="1:14" x14ac:dyDescent="0.2">
      <c r="A449">
        <v>448</v>
      </c>
      <c r="B449">
        <v>1233</v>
      </c>
      <c r="C449">
        <f>1/COUNTIF(B:B,Table1[[#This Row],[order_id]])</f>
        <v>0.5</v>
      </c>
      <c r="D449" t="str">
        <f>TEXT(Table1[[#This Row],[order_date]],"mmmm")</f>
        <v>February</v>
      </c>
      <c r="E449" s="1">
        <v>45332</v>
      </c>
      <c r="F449" s="1" t="str">
        <f>TEXT(Table1[[#This Row],[order_date]],"dddd")</f>
        <v>Saturday</v>
      </c>
      <c r="G449">
        <f>HOUR(Table1[[#This Row],[order_time]])</f>
        <v>18</v>
      </c>
      <c r="H449" s="2">
        <v>0.76224537037037032</v>
      </c>
      <c r="I449" t="s">
        <v>11</v>
      </c>
      <c r="J449" t="s">
        <v>15</v>
      </c>
      <c r="K449">
        <v>3</v>
      </c>
      <c r="L449">
        <v>600</v>
      </c>
      <c r="M449">
        <v>1800</v>
      </c>
      <c r="N449">
        <f>IF(COUNTIFS($B$2:B449,B449)=1,1,0)</f>
        <v>0</v>
      </c>
    </row>
    <row r="450" spans="1:14" x14ac:dyDescent="0.2">
      <c r="A450">
        <v>449</v>
      </c>
      <c r="B450">
        <v>1234</v>
      </c>
      <c r="C450">
        <f>1/COUNTIF(B:B,Table1[[#This Row],[order_id]])</f>
        <v>1</v>
      </c>
      <c r="D450" t="str">
        <f>TEXT(Table1[[#This Row],[order_date]],"mmmm")</f>
        <v>February</v>
      </c>
      <c r="E450" s="1">
        <v>45332</v>
      </c>
      <c r="F450" s="1" t="str">
        <f>TEXT(Table1[[#This Row],[order_date]],"dddd")</f>
        <v>Saturday</v>
      </c>
      <c r="G450">
        <f>HOUR(Table1[[#This Row],[order_time]])</f>
        <v>14</v>
      </c>
      <c r="H450" s="2">
        <v>0.60185185185185186</v>
      </c>
      <c r="I450" t="s">
        <v>16</v>
      </c>
      <c r="J450" t="s">
        <v>23</v>
      </c>
      <c r="K450">
        <v>2</v>
      </c>
      <c r="L450">
        <v>30</v>
      </c>
      <c r="M450">
        <v>60</v>
      </c>
      <c r="N450">
        <f>IF(COUNTIFS($B$2:B450,B450)=1,1,0)</f>
        <v>1</v>
      </c>
    </row>
    <row r="451" spans="1:14" x14ac:dyDescent="0.2">
      <c r="A451">
        <v>450</v>
      </c>
      <c r="B451">
        <v>1235</v>
      </c>
      <c r="C451">
        <f>1/COUNTIF(B:B,Table1[[#This Row],[order_id]])</f>
        <v>1</v>
      </c>
      <c r="D451" t="str">
        <f>TEXT(Table1[[#This Row],[order_date]],"mmmm")</f>
        <v>February</v>
      </c>
      <c r="E451" s="1">
        <v>45332</v>
      </c>
      <c r="F451" s="1" t="str">
        <f>TEXT(Table1[[#This Row],[order_date]],"dddd")</f>
        <v>Saturday</v>
      </c>
      <c r="G451">
        <f>HOUR(Table1[[#This Row],[order_time]])</f>
        <v>10</v>
      </c>
      <c r="H451" s="2">
        <v>0.4178472222222222</v>
      </c>
      <c r="I451" t="s">
        <v>16</v>
      </c>
      <c r="J451" t="s">
        <v>23</v>
      </c>
      <c r="K451">
        <v>4</v>
      </c>
      <c r="L451">
        <v>30</v>
      </c>
      <c r="M451">
        <v>120</v>
      </c>
      <c r="N451">
        <f>IF(COUNTIFS($B$2:B451,B451)=1,1,0)</f>
        <v>1</v>
      </c>
    </row>
    <row r="452" spans="1:14" x14ac:dyDescent="0.2">
      <c r="A452">
        <v>451</v>
      </c>
      <c r="B452">
        <v>1236</v>
      </c>
      <c r="C452">
        <f>1/COUNTIF(B:B,Table1[[#This Row],[order_id]])</f>
        <v>0.5</v>
      </c>
      <c r="D452" t="str">
        <f>TEXT(Table1[[#This Row],[order_date]],"mmmm")</f>
        <v>February</v>
      </c>
      <c r="E452" s="1">
        <v>45332</v>
      </c>
      <c r="F452" s="1" t="str">
        <f>TEXT(Table1[[#This Row],[order_date]],"dddd")</f>
        <v>Saturday</v>
      </c>
      <c r="G452">
        <f>HOUR(Table1[[#This Row],[order_time]])</f>
        <v>10</v>
      </c>
      <c r="H452" s="2">
        <v>0.4387847222222222</v>
      </c>
      <c r="I452" t="s">
        <v>9</v>
      </c>
      <c r="J452" t="s">
        <v>29</v>
      </c>
      <c r="K452">
        <v>5</v>
      </c>
      <c r="L452">
        <v>5</v>
      </c>
      <c r="M452">
        <v>25</v>
      </c>
      <c r="N452">
        <f>IF(COUNTIFS($B$2:B452,B452)=1,1,0)</f>
        <v>1</v>
      </c>
    </row>
    <row r="453" spans="1:14" x14ac:dyDescent="0.2">
      <c r="A453">
        <v>452</v>
      </c>
      <c r="B453">
        <v>1236</v>
      </c>
      <c r="C453">
        <f>1/COUNTIF(B:B,Table1[[#This Row],[order_id]])</f>
        <v>0.5</v>
      </c>
      <c r="D453" t="str">
        <f>TEXT(Table1[[#This Row],[order_date]],"mmmm")</f>
        <v>February</v>
      </c>
      <c r="E453" s="1">
        <v>45332</v>
      </c>
      <c r="F453" s="1" t="str">
        <f>TEXT(Table1[[#This Row],[order_date]],"dddd")</f>
        <v>Saturday</v>
      </c>
      <c r="G453">
        <f>HOUR(Table1[[#This Row],[order_time]])</f>
        <v>12</v>
      </c>
      <c r="H453" s="2">
        <v>0.51954861111111106</v>
      </c>
      <c r="I453" t="s">
        <v>9</v>
      </c>
      <c r="J453" t="s">
        <v>21</v>
      </c>
      <c r="K453">
        <v>3</v>
      </c>
      <c r="L453">
        <v>10</v>
      </c>
      <c r="M453">
        <v>30</v>
      </c>
      <c r="N453">
        <f>IF(COUNTIFS($B$2:B453,B453)=1,1,0)</f>
        <v>0</v>
      </c>
    </row>
    <row r="454" spans="1:14" x14ac:dyDescent="0.2">
      <c r="A454">
        <v>453</v>
      </c>
      <c r="B454">
        <v>1237</v>
      </c>
      <c r="C454">
        <f>1/COUNTIF(B:B,Table1[[#This Row],[order_id]])</f>
        <v>0.33333333333333331</v>
      </c>
      <c r="D454" t="str">
        <f>TEXT(Table1[[#This Row],[order_date]],"mmmm")</f>
        <v>February</v>
      </c>
      <c r="E454" s="1">
        <v>45332</v>
      </c>
      <c r="F454" s="1" t="str">
        <f>TEXT(Table1[[#This Row],[order_date]],"dddd")</f>
        <v>Saturday</v>
      </c>
      <c r="G454">
        <f>HOUR(Table1[[#This Row],[order_time]])</f>
        <v>20</v>
      </c>
      <c r="H454" s="2">
        <v>0.84444444444444444</v>
      </c>
      <c r="I454" t="s">
        <v>9</v>
      </c>
      <c r="J454" t="s">
        <v>20</v>
      </c>
      <c r="K454">
        <v>4</v>
      </c>
      <c r="L454">
        <v>25</v>
      </c>
      <c r="M454">
        <v>100</v>
      </c>
      <c r="N454">
        <f>IF(COUNTIFS($B$2:B454,B454)=1,1,0)</f>
        <v>1</v>
      </c>
    </row>
    <row r="455" spans="1:14" x14ac:dyDescent="0.2">
      <c r="A455">
        <v>454</v>
      </c>
      <c r="B455">
        <v>1237</v>
      </c>
      <c r="C455">
        <f>1/COUNTIF(B:B,Table1[[#This Row],[order_id]])</f>
        <v>0.33333333333333331</v>
      </c>
      <c r="D455" t="str">
        <f>TEXT(Table1[[#This Row],[order_date]],"mmmm")</f>
        <v>February</v>
      </c>
      <c r="E455" s="1">
        <v>45332</v>
      </c>
      <c r="F455" s="1" t="str">
        <f>TEXT(Table1[[#This Row],[order_date]],"dddd")</f>
        <v>Saturday</v>
      </c>
      <c r="G455">
        <f>HOUR(Table1[[#This Row],[order_time]])</f>
        <v>16</v>
      </c>
      <c r="H455" s="2">
        <v>0.68312499999999998</v>
      </c>
      <c r="I455" t="s">
        <v>11</v>
      </c>
      <c r="J455" t="s">
        <v>13</v>
      </c>
      <c r="K455">
        <v>5</v>
      </c>
      <c r="L455">
        <v>680</v>
      </c>
      <c r="M455">
        <v>3400</v>
      </c>
      <c r="N455">
        <f>IF(COUNTIFS($B$2:B455,B455)=1,1,0)</f>
        <v>0</v>
      </c>
    </row>
    <row r="456" spans="1:14" x14ac:dyDescent="0.2">
      <c r="A456">
        <v>455</v>
      </c>
      <c r="B456">
        <v>1237</v>
      </c>
      <c r="C456">
        <f>1/COUNTIF(B:B,Table1[[#This Row],[order_id]])</f>
        <v>0.33333333333333331</v>
      </c>
      <c r="D456" t="str">
        <f>TEXT(Table1[[#This Row],[order_date]],"mmmm")</f>
        <v>February</v>
      </c>
      <c r="E456" s="1">
        <v>45332</v>
      </c>
      <c r="F456" s="1" t="str">
        <f>TEXT(Table1[[#This Row],[order_date]],"dddd")</f>
        <v>Saturday</v>
      </c>
      <c r="G456">
        <f>HOUR(Table1[[#This Row],[order_time]])</f>
        <v>14</v>
      </c>
      <c r="H456" s="2">
        <v>0.61659722222222224</v>
      </c>
      <c r="I456" t="s">
        <v>18</v>
      </c>
      <c r="J456" t="s">
        <v>26</v>
      </c>
      <c r="K456">
        <v>1</v>
      </c>
      <c r="L456">
        <v>55</v>
      </c>
      <c r="M456">
        <v>55</v>
      </c>
      <c r="N456">
        <f>IF(COUNTIFS($B$2:B456,B456)=1,1,0)</f>
        <v>0</v>
      </c>
    </row>
    <row r="457" spans="1:14" x14ac:dyDescent="0.2">
      <c r="A457">
        <v>456</v>
      </c>
      <c r="B457">
        <v>1238</v>
      </c>
      <c r="C457">
        <f>1/COUNTIF(B:B,Table1[[#This Row],[order_id]])</f>
        <v>0.5</v>
      </c>
      <c r="D457" t="str">
        <f>TEXT(Table1[[#This Row],[order_date]],"mmmm")</f>
        <v>February</v>
      </c>
      <c r="E457" s="1">
        <v>45332</v>
      </c>
      <c r="F457" s="1" t="str">
        <f>TEXT(Table1[[#This Row],[order_date]],"dddd")</f>
        <v>Saturday</v>
      </c>
      <c r="G457">
        <f>HOUR(Table1[[#This Row],[order_time]])</f>
        <v>13</v>
      </c>
      <c r="H457" s="2">
        <v>0.55123842592592598</v>
      </c>
      <c r="I457" t="s">
        <v>11</v>
      </c>
      <c r="J457" t="s">
        <v>15</v>
      </c>
      <c r="K457">
        <v>4</v>
      </c>
      <c r="L457">
        <v>600</v>
      </c>
      <c r="M457">
        <v>2400</v>
      </c>
      <c r="N457">
        <f>IF(COUNTIFS($B$2:B457,B457)=1,1,0)</f>
        <v>1</v>
      </c>
    </row>
    <row r="458" spans="1:14" x14ac:dyDescent="0.2">
      <c r="A458">
        <v>457</v>
      </c>
      <c r="B458">
        <v>1238</v>
      </c>
      <c r="C458">
        <f>1/COUNTIF(B:B,Table1[[#This Row],[order_id]])</f>
        <v>0.5</v>
      </c>
      <c r="D458" t="str">
        <f>TEXT(Table1[[#This Row],[order_date]],"mmmm")</f>
        <v>February</v>
      </c>
      <c r="E458" s="1">
        <v>45332</v>
      </c>
      <c r="F458" s="1" t="str">
        <f>TEXT(Table1[[#This Row],[order_date]],"dddd")</f>
        <v>Saturday</v>
      </c>
      <c r="G458">
        <f>HOUR(Table1[[#This Row],[order_time]])</f>
        <v>11</v>
      </c>
      <c r="H458" s="2">
        <v>0.4816435185185185</v>
      </c>
      <c r="I458" t="s">
        <v>18</v>
      </c>
      <c r="J458" t="s">
        <v>31</v>
      </c>
      <c r="K458">
        <v>5</v>
      </c>
      <c r="L458">
        <v>45</v>
      </c>
      <c r="M458">
        <v>225</v>
      </c>
      <c r="N458">
        <f>IF(COUNTIFS($B$2:B458,B458)=1,1,0)</f>
        <v>0</v>
      </c>
    </row>
    <row r="459" spans="1:14" x14ac:dyDescent="0.2">
      <c r="A459">
        <v>458</v>
      </c>
      <c r="B459">
        <v>1239</v>
      </c>
      <c r="C459">
        <f>1/COUNTIF(B:B,Table1[[#This Row],[order_id]])</f>
        <v>1</v>
      </c>
      <c r="D459" t="str">
        <f>TEXT(Table1[[#This Row],[order_date]],"mmmm")</f>
        <v>February</v>
      </c>
      <c r="E459" s="1">
        <v>45332</v>
      </c>
      <c r="F459" s="1" t="str">
        <f>TEXT(Table1[[#This Row],[order_date]],"dddd")</f>
        <v>Saturday</v>
      </c>
      <c r="G459">
        <f>HOUR(Table1[[#This Row],[order_time]])</f>
        <v>9</v>
      </c>
      <c r="H459" s="2">
        <v>0.40103009259259259</v>
      </c>
      <c r="I459" t="s">
        <v>16</v>
      </c>
      <c r="J459" t="s">
        <v>24</v>
      </c>
      <c r="K459">
        <v>1</v>
      </c>
      <c r="L459">
        <v>35</v>
      </c>
      <c r="M459">
        <v>35</v>
      </c>
      <c r="N459">
        <f>IF(COUNTIFS($B$2:B459,B459)=1,1,0)</f>
        <v>1</v>
      </c>
    </row>
    <row r="460" spans="1:14" x14ac:dyDescent="0.2">
      <c r="A460">
        <v>459</v>
      </c>
      <c r="B460">
        <v>1240</v>
      </c>
      <c r="C460">
        <f>1/COUNTIF(B:B,Table1[[#This Row],[order_id]])</f>
        <v>0.5</v>
      </c>
      <c r="D460" t="str">
        <f>TEXT(Table1[[#This Row],[order_date]],"mmmm")</f>
        <v>February</v>
      </c>
      <c r="E460" s="1">
        <v>45332</v>
      </c>
      <c r="F460" s="1" t="str">
        <f>TEXT(Table1[[#This Row],[order_date]],"dddd")</f>
        <v>Saturday</v>
      </c>
      <c r="G460">
        <f>HOUR(Table1[[#This Row],[order_time]])</f>
        <v>15</v>
      </c>
      <c r="H460" s="2">
        <v>0.6498842592592593</v>
      </c>
      <c r="I460" t="s">
        <v>9</v>
      </c>
      <c r="J460" t="s">
        <v>21</v>
      </c>
      <c r="K460">
        <v>5</v>
      </c>
      <c r="L460">
        <v>10</v>
      </c>
      <c r="M460">
        <v>50</v>
      </c>
      <c r="N460">
        <f>IF(COUNTIFS($B$2:B460,B460)=1,1,0)</f>
        <v>1</v>
      </c>
    </row>
    <row r="461" spans="1:14" x14ac:dyDescent="0.2">
      <c r="A461">
        <v>460</v>
      </c>
      <c r="B461">
        <v>1240</v>
      </c>
      <c r="C461">
        <f>1/COUNTIF(B:B,Table1[[#This Row],[order_id]])</f>
        <v>0.5</v>
      </c>
      <c r="D461" t="str">
        <f>TEXT(Table1[[#This Row],[order_date]],"mmmm")</f>
        <v>February</v>
      </c>
      <c r="E461" s="1">
        <v>45332</v>
      </c>
      <c r="F461" s="1" t="str">
        <f>TEXT(Table1[[#This Row],[order_date]],"dddd")</f>
        <v>Saturday</v>
      </c>
      <c r="G461">
        <f>HOUR(Table1[[#This Row],[order_time]])</f>
        <v>20</v>
      </c>
      <c r="H461" s="2">
        <v>0.84896990740740741</v>
      </c>
      <c r="I461" t="s">
        <v>18</v>
      </c>
      <c r="J461" t="s">
        <v>31</v>
      </c>
      <c r="K461">
        <v>4</v>
      </c>
      <c r="L461">
        <v>45</v>
      </c>
      <c r="M461">
        <v>180</v>
      </c>
      <c r="N461">
        <f>IF(COUNTIFS($B$2:B461,B461)=1,1,0)</f>
        <v>0</v>
      </c>
    </row>
    <row r="462" spans="1:14" x14ac:dyDescent="0.2">
      <c r="A462">
        <v>461</v>
      </c>
      <c r="B462">
        <v>1241</v>
      </c>
      <c r="C462">
        <f>1/COUNTIF(B:B,Table1[[#This Row],[order_id]])</f>
        <v>0.33333333333333331</v>
      </c>
      <c r="D462" t="str">
        <f>TEXT(Table1[[#This Row],[order_date]],"mmmm")</f>
        <v>February</v>
      </c>
      <c r="E462" s="1">
        <v>45333</v>
      </c>
      <c r="F462" s="1" t="str">
        <f>TEXT(Table1[[#This Row],[order_date]],"dddd")</f>
        <v>Sunday</v>
      </c>
      <c r="G462">
        <f>HOUR(Table1[[#This Row],[order_time]])</f>
        <v>9</v>
      </c>
      <c r="H462" s="2">
        <v>0.4051851851851852</v>
      </c>
      <c r="I462" t="s">
        <v>16</v>
      </c>
      <c r="J462" t="s">
        <v>28</v>
      </c>
      <c r="K462">
        <v>2</v>
      </c>
      <c r="L462">
        <v>25</v>
      </c>
      <c r="M462">
        <v>50</v>
      </c>
      <c r="N462">
        <f>IF(COUNTIFS($B$2:B462,B462)=1,1,0)</f>
        <v>1</v>
      </c>
    </row>
    <row r="463" spans="1:14" x14ac:dyDescent="0.2">
      <c r="A463">
        <v>462</v>
      </c>
      <c r="B463">
        <v>1241</v>
      </c>
      <c r="C463">
        <f>1/COUNTIF(B:B,Table1[[#This Row],[order_id]])</f>
        <v>0.33333333333333331</v>
      </c>
      <c r="D463" t="str">
        <f>TEXT(Table1[[#This Row],[order_date]],"mmmm")</f>
        <v>February</v>
      </c>
      <c r="E463" s="1">
        <v>45333</v>
      </c>
      <c r="F463" s="1" t="str">
        <f>TEXT(Table1[[#This Row],[order_date]],"dddd")</f>
        <v>Sunday</v>
      </c>
      <c r="G463">
        <f>HOUR(Table1[[#This Row],[order_time]])</f>
        <v>17</v>
      </c>
      <c r="H463" s="2">
        <v>0.72699074074074077</v>
      </c>
      <c r="I463" t="s">
        <v>11</v>
      </c>
      <c r="J463" t="s">
        <v>14</v>
      </c>
      <c r="K463">
        <v>4</v>
      </c>
      <c r="L463">
        <v>700</v>
      </c>
      <c r="M463">
        <v>2800</v>
      </c>
      <c r="N463">
        <f>IF(COUNTIFS($B$2:B463,B463)=1,1,0)</f>
        <v>0</v>
      </c>
    </row>
    <row r="464" spans="1:14" x14ac:dyDescent="0.2">
      <c r="A464">
        <v>463</v>
      </c>
      <c r="B464">
        <v>1241</v>
      </c>
      <c r="C464">
        <f>1/COUNTIF(B:B,Table1[[#This Row],[order_id]])</f>
        <v>0.33333333333333331</v>
      </c>
      <c r="D464" t="str">
        <f>TEXT(Table1[[#This Row],[order_date]],"mmmm")</f>
        <v>February</v>
      </c>
      <c r="E464" s="1">
        <v>45333</v>
      </c>
      <c r="F464" s="1" t="str">
        <f>TEXT(Table1[[#This Row],[order_date]],"dddd")</f>
        <v>Sunday</v>
      </c>
      <c r="G464">
        <f>HOUR(Table1[[#This Row],[order_time]])</f>
        <v>17</v>
      </c>
      <c r="H464" s="2">
        <v>0.7195138888888889</v>
      </c>
      <c r="I464" t="s">
        <v>9</v>
      </c>
      <c r="J464" t="s">
        <v>20</v>
      </c>
      <c r="K464">
        <v>3</v>
      </c>
      <c r="L464">
        <v>25</v>
      </c>
      <c r="M464">
        <v>75</v>
      </c>
      <c r="N464">
        <f>IF(COUNTIFS($B$2:B464,B464)=1,1,0)</f>
        <v>0</v>
      </c>
    </row>
    <row r="465" spans="1:14" x14ac:dyDescent="0.2">
      <c r="A465">
        <v>464</v>
      </c>
      <c r="B465">
        <v>1242</v>
      </c>
      <c r="C465">
        <f>1/COUNTIF(B:B,Table1[[#This Row],[order_id]])</f>
        <v>0.33333333333333331</v>
      </c>
      <c r="D465" t="str">
        <f>TEXT(Table1[[#This Row],[order_date]],"mmmm")</f>
        <v>February</v>
      </c>
      <c r="E465" s="1">
        <v>45333</v>
      </c>
      <c r="F465" s="1" t="str">
        <f>TEXT(Table1[[#This Row],[order_date]],"dddd")</f>
        <v>Sunday</v>
      </c>
      <c r="G465">
        <f>HOUR(Table1[[#This Row],[order_time]])</f>
        <v>20</v>
      </c>
      <c r="H465" s="2">
        <v>0.8712847222222222</v>
      </c>
      <c r="I465" t="s">
        <v>18</v>
      </c>
      <c r="J465" t="s">
        <v>26</v>
      </c>
      <c r="K465">
        <v>1</v>
      </c>
      <c r="L465">
        <v>55</v>
      </c>
      <c r="M465">
        <v>55</v>
      </c>
      <c r="N465">
        <f>IF(COUNTIFS($B$2:B465,B465)=1,1,0)</f>
        <v>1</v>
      </c>
    </row>
    <row r="466" spans="1:14" x14ac:dyDescent="0.2">
      <c r="A466">
        <v>465</v>
      </c>
      <c r="B466">
        <v>1242</v>
      </c>
      <c r="C466">
        <f>1/COUNTIF(B:B,Table1[[#This Row],[order_id]])</f>
        <v>0.33333333333333331</v>
      </c>
      <c r="D466" t="str">
        <f>TEXT(Table1[[#This Row],[order_date]],"mmmm")</f>
        <v>February</v>
      </c>
      <c r="E466" s="1">
        <v>45333</v>
      </c>
      <c r="F466" s="1" t="str">
        <f>TEXT(Table1[[#This Row],[order_date]],"dddd")</f>
        <v>Sunday</v>
      </c>
      <c r="G466">
        <f>HOUR(Table1[[#This Row],[order_time]])</f>
        <v>9</v>
      </c>
      <c r="H466" s="2">
        <v>0.39326388888888891</v>
      </c>
      <c r="I466" t="s">
        <v>18</v>
      </c>
      <c r="J466" t="s">
        <v>19</v>
      </c>
      <c r="K466">
        <v>2</v>
      </c>
      <c r="L466">
        <v>50</v>
      </c>
      <c r="M466">
        <v>100</v>
      </c>
      <c r="N466">
        <f>IF(COUNTIFS($B$2:B466,B466)=1,1,0)</f>
        <v>0</v>
      </c>
    </row>
    <row r="467" spans="1:14" x14ac:dyDescent="0.2">
      <c r="A467">
        <v>466</v>
      </c>
      <c r="B467">
        <v>1242</v>
      </c>
      <c r="C467">
        <f>1/COUNTIF(B:B,Table1[[#This Row],[order_id]])</f>
        <v>0.33333333333333331</v>
      </c>
      <c r="D467" t="str">
        <f>TEXT(Table1[[#This Row],[order_date]],"mmmm")</f>
        <v>February</v>
      </c>
      <c r="E467" s="1">
        <v>45333</v>
      </c>
      <c r="F467" s="1" t="str">
        <f>TEXT(Table1[[#This Row],[order_date]],"dddd")</f>
        <v>Sunday</v>
      </c>
      <c r="G467">
        <f>HOUR(Table1[[#This Row],[order_time]])</f>
        <v>15</v>
      </c>
      <c r="H467" s="2">
        <v>0.65378472222222217</v>
      </c>
      <c r="I467" t="s">
        <v>16</v>
      </c>
      <c r="J467" t="s">
        <v>28</v>
      </c>
      <c r="K467">
        <v>1</v>
      </c>
      <c r="L467">
        <v>25</v>
      </c>
      <c r="M467">
        <v>25</v>
      </c>
      <c r="N467">
        <f>IF(COUNTIFS($B$2:B467,B467)=1,1,0)</f>
        <v>0</v>
      </c>
    </row>
    <row r="468" spans="1:14" x14ac:dyDescent="0.2">
      <c r="A468">
        <v>467</v>
      </c>
      <c r="B468">
        <v>1243</v>
      </c>
      <c r="C468">
        <f>1/COUNTIF(B:B,Table1[[#This Row],[order_id]])</f>
        <v>0.5</v>
      </c>
      <c r="D468" t="str">
        <f>TEXT(Table1[[#This Row],[order_date]],"mmmm")</f>
        <v>February</v>
      </c>
      <c r="E468" s="1">
        <v>45333</v>
      </c>
      <c r="F468" s="1" t="str">
        <f>TEXT(Table1[[#This Row],[order_date]],"dddd")</f>
        <v>Sunday</v>
      </c>
      <c r="G468">
        <f>HOUR(Table1[[#This Row],[order_time]])</f>
        <v>12</v>
      </c>
      <c r="H468" s="2">
        <v>0.51862268518518517</v>
      </c>
      <c r="I468" t="s">
        <v>18</v>
      </c>
      <c r="J468" t="s">
        <v>31</v>
      </c>
      <c r="K468">
        <v>5</v>
      </c>
      <c r="L468">
        <v>45</v>
      </c>
      <c r="M468">
        <v>225</v>
      </c>
      <c r="N468">
        <f>IF(COUNTIFS($B$2:B468,B468)=1,1,0)</f>
        <v>1</v>
      </c>
    </row>
    <row r="469" spans="1:14" x14ac:dyDescent="0.2">
      <c r="A469">
        <v>468</v>
      </c>
      <c r="B469">
        <v>1243</v>
      </c>
      <c r="C469">
        <f>1/COUNTIF(B:B,Table1[[#This Row],[order_id]])</f>
        <v>0.5</v>
      </c>
      <c r="D469" t="str">
        <f>TEXT(Table1[[#This Row],[order_date]],"mmmm")</f>
        <v>February</v>
      </c>
      <c r="E469" s="1">
        <v>45333</v>
      </c>
      <c r="F469" s="1" t="str">
        <f>TEXT(Table1[[#This Row],[order_date]],"dddd")</f>
        <v>Sunday</v>
      </c>
      <c r="G469">
        <f>HOUR(Table1[[#This Row],[order_time]])</f>
        <v>20</v>
      </c>
      <c r="H469" s="2">
        <v>0.83733796296296292</v>
      </c>
      <c r="I469" t="s">
        <v>9</v>
      </c>
      <c r="J469" t="s">
        <v>21</v>
      </c>
      <c r="K469">
        <v>3</v>
      </c>
      <c r="L469">
        <v>10</v>
      </c>
      <c r="M469">
        <v>30</v>
      </c>
      <c r="N469">
        <f>IF(COUNTIFS($B$2:B469,B469)=1,1,0)</f>
        <v>0</v>
      </c>
    </row>
    <row r="470" spans="1:14" x14ac:dyDescent="0.2">
      <c r="A470">
        <v>469</v>
      </c>
      <c r="B470">
        <v>1244</v>
      </c>
      <c r="C470">
        <f>1/COUNTIF(B:B,Table1[[#This Row],[order_id]])</f>
        <v>1</v>
      </c>
      <c r="D470" t="str">
        <f>TEXT(Table1[[#This Row],[order_date]],"mmmm")</f>
        <v>February</v>
      </c>
      <c r="E470" s="1">
        <v>45333</v>
      </c>
      <c r="F470" s="1" t="str">
        <f>TEXT(Table1[[#This Row],[order_date]],"dddd")</f>
        <v>Sunday</v>
      </c>
      <c r="G470">
        <f>HOUR(Table1[[#This Row],[order_time]])</f>
        <v>18</v>
      </c>
      <c r="H470" s="2">
        <v>0.76749999999999996</v>
      </c>
      <c r="I470" t="s">
        <v>18</v>
      </c>
      <c r="J470" t="s">
        <v>31</v>
      </c>
      <c r="K470">
        <v>2</v>
      </c>
      <c r="L470">
        <v>45</v>
      </c>
      <c r="M470">
        <v>90</v>
      </c>
      <c r="N470">
        <f>IF(COUNTIFS($B$2:B470,B470)=1,1,0)</f>
        <v>1</v>
      </c>
    </row>
    <row r="471" spans="1:14" x14ac:dyDescent="0.2">
      <c r="A471">
        <v>470</v>
      </c>
      <c r="B471">
        <v>1245</v>
      </c>
      <c r="C471">
        <f>1/COUNTIF(B:B,Table1[[#This Row],[order_id]])</f>
        <v>1</v>
      </c>
      <c r="D471" t="str">
        <f>TEXT(Table1[[#This Row],[order_date]],"mmmm")</f>
        <v>February</v>
      </c>
      <c r="E471" s="1">
        <v>45334</v>
      </c>
      <c r="F471" s="1" t="str">
        <f>TEXT(Table1[[#This Row],[order_date]],"dddd")</f>
        <v>Monday</v>
      </c>
      <c r="G471">
        <f>HOUR(Table1[[#This Row],[order_time]])</f>
        <v>19</v>
      </c>
      <c r="H471" s="2">
        <v>0.8244097222222222</v>
      </c>
      <c r="I471" t="s">
        <v>16</v>
      </c>
      <c r="J471" t="s">
        <v>17</v>
      </c>
      <c r="K471">
        <v>5</v>
      </c>
      <c r="L471">
        <v>20</v>
      </c>
      <c r="M471">
        <v>100</v>
      </c>
      <c r="N471">
        <f>IF(COUNTIFS($B$2:B471,B471)=1,1,0)</f>
        <v>1</v>
      </c>
    </row>
    <row r="472" spans="1:14" x14ac:dyDescent="0.2">
      <c r="A472">
        <v>471</v>
      </c>
      <c r="B472">
        <v>1246</v>
      </c>
      <c r="C472">
        <f>1/COUNTIF(B:B,Table1[[#This Row],[order_id]])</f>
        <v>0.33333333333333331</v>
      </c>
      <c r="D472" t="str">
        <f>TEXT(Table1[[#This Row],[order_date]],"mmmm")</f>
        <v>February</v>
      </c>
      <c r="E472" s="1">
        <v>45334</v>
      </c>
      <c r="F472" s="1" t="str">
        <f>TEXT(Table1[[#This Row],[order_date]],"dddd")</f>
        <v>Monday</v>
      </c>
      <c r="G472">
        <f>HOUR(Table1[[#This Row],[order_time]])</f>
        <v>14</v>
      </c>
      <c r="H472" s="2">
        <v>0.58796296296296291</v>
      </c>
      <c r="I472" t="s">
        <v>9</v>
      </c>
      <c r="J472" t="s">
        <v>22</v>
      </c>
      <c r="K472">
        <v>1</v>
      </c>
      <c r="L472">
        <v>15</v>
      </c>
      <c r="M472">
        <v>15</v>
      </c>
      <c r="N472">
        <f>IF(COUNTIFS($B$2:B472,B472)=1,1,0)</f>
        <v>1</v>
      </c>
    </row>
    <row r="473" spans="1:14" x14ac:dyDescent="0.2">
      <c r="A473">
        <v>472</v>
      </c>
      <c r="B473">
        <v>1246</v>
      </c>
      <c r="C473">
        <f>1/COUNTIF(B:B,Table1[[#This Row],[order_id]])</f>
        <v>0.33333333333333331</v>
      </c>
      <c r="D473" t="str">
        <f>TEXT(Table1[[#This Row],[order_date]],"mmmm")</f>
        <v>February</v>
      </c>
      <c r="E473" s="1">
        <v>45334</v>
      </c>
      <c r="F473" s="1" t="str">
        <f>TEXT(Table1[[#This Row],[order_date]],"dddd")</f>
        <v>Monday</v>
      </c>
      <c r="G473">
        <f>HOUR(Table1[[#This Row],[order_time]])</f>
        <v>14</v>
      </c>
      <c r="H473" s="2">
        <v>0.61238425925925921</v>
      </c>
      <c r="I473" t="s">
        <v>18</v>
      </c>
      <c r="J473" t="s">
        <v>19</v>
      </c>
      <c r="K473">
        <v>4</v>
      </c>
      <c r="L473">
        <v>50</v>
      </c>
      <c r="M473">
        <v>200</v>
      </c>
      <c r="N473">
        <f>IF(COUNTIFS($B$2:B473,B473)=1,1,0)</f>
        <v>0</v>
      </c>
    </row>
    <row r="474" spans="1:14" x14ac:dyDescent="0.2">
      <c r="A474">
        <v>473</v>
      </c>
      <c r="B474">
        <v>1246</v>
      </c>
      <c r="C474">
        <f>1/COUNTIF(B:B,Table1[[#This Row],[order_id]])</f>
        <v>0.33333333333333331</v>
      </c>
      <c r="D474" t="str">
        <f>TEXT(Table1[[#This Row],[order_date]],"mmmm")</f>
        <v>February</v>
      </c>
      <c r="E474" s="1">
        <v>45334</v>
      </c>
      <c r="F474" s="1" t="str">
        <f>TEXT(Table1[[#This Row],[order_date]],"dddd")</f>
        <v>Monday</v>
      </c>
      <c r="G474">
        <f>HOUR(Table1[[#This Row],[order_time]])</f>
        <v>11</v>
      </c>
      <c r="H474" s="2">
        <v>0.48450231481481482</v>
      </c>
      <c r="I474" t="s">
        <v>9</v>
      </c>
      <c r="J474" t="s">
        <v>20</v>
      </c>
      <c r="K474">
        <v>4</v>
      </c>
      <c r="L474">
        <v>25</v>
      </c>
      <c r="M474">
        <v>100</v>
      </c>
      <c r="N474">
        <f>IF(COUNTIFS($B$2:B474,B474)=1,1,0)</f>
        <v>0</v>
      </c>
    </row>
    <row r="475" spans="1:14" x14ac:dyDescent="0.2">
      <c r="A475">
        <v>474</v>
      </c>
      <c r="B475">
        <v>1247</v>
      </c>
      <c r="C475">
        <f>1/COUNTIF(B:B,Table1[[#This Row],[order_id]])</f>
        <v>0.33333333333333331</v>
      </c>
      <c r="D475" t="str">
        <f>TEXT(Table1[[#This Row],[order_date]],"mmmm")</f>
        <v>February</v>
      </c>
      <c r="E475" s="1">
        <v>45334</v>
      </c>
      <c r="F475" s="1" t="str">
        <f>TEXT(Table1[[#This Row],[order_date]],"dddd")</f>
        <v>Monday</v>
      </c>
      <c r="G475">
        <f>HOUR(Table1[[#This Row],[order_time]])</f>
        <v>17</v>
      </c>
      <c r="H475" s="2">
        <v>0.71697916666666661</v>
      </c>
      <c r="I475" t="s">
        <v>18</v>
      </c>
      <c r="J475" t="s">
        <v>30</v>
      </c>
      <c r="K475">
        <v>4</v>
      </c>
      <c r="L475">
        <v>60</v>
      </c>
      <c r="M475">
        <v>240</v>
      </c>
      <c r="N475">
        <f>IF(COUNTIFS($B$2:B475,B475)=1,1,0)</f>
        <v>1</v>
      </c>
    </row>
    <row r="476" spans="1:14" x14ac:dyDescent="0.2">
      <c r="A476">
        <v>475</v>
      </c>
      <c r="B476">
        <v>1247</v>
      </c>
      <c r="C476">
        <f>1/COUNTIF(B:B,Table1[[#This Row],[order_id]])</f>
        <v>0.33333333333333331</v>
      </c>
      <c r="D476" t="str">
        <f>TEXT(Table1[[#This Row],[order_date]],"mmmm")</f>
        <v>February</v>
      </c>
      <c r="E476" s="1">
        <v>45334</v>
      </c>
      <c r="F476" s="1" t="str">
        <f>TEXT(Table1[[#This Row],[order_date]],"dddd")</f>
        <v>Monday</v>
      </c>
      <c r="G476">
        <f>HOUR(Table1[[#This Row],[order_time]])</f>
        <v>10</v>
      </c>
      <c r="H476" s="2">
        <v>0.42238425925925926</v>
      </c>
      <c r="I476" t="s">
        <v>18</v>
      </c>
      <c r="J476" t="s">
        <v>27</v>
      </c>
      <c r="K476">
        <v>5</v>
      </c>
      <c r="L476">
        <v>40</v>
      </c>
      <c r="M476">
        <v>200</v>
      </c>
      <c r="N476">
        <f>IF(COUNTIFS($B$2:B476,B476)=1,1,0)</f>
        <v>0</v>
      </c>
    </row>
    <row r="477" spans="1:14" x14ac:dyDescent="0.2">
      <c r="A477">
        <v>476</v>
      </c>
      <c r="B477">
        <v>1247</v>
      </c>
      <c r="C477">
        <f>1/COUNTIF(B:B,Table1[[#This Row],[order_id]])</f>
        <v>0.33333333333333331</v>
      </c>
      <c r="D477" t="str">
        <f>TEXT(Table1[[#This Row],[order_date]],"mmmm")</f>
        <v>February</v>
      </c>
      <c r="E477" s="1">
        <v>45334</v>
      </c>
      <c r="F477" s="1" t="str">
        <f>TEXT(Table1[[#This Row],[order_date]],"dddd")</f>
        <v>Monday</v>
      </c>
      <c r="G477">
        <f>HOUR(Table1[[#This Row],[order_time]])</f>
        <v>11</v>
      </c>
      <c r="H477" s="2">
        <v>0.49537037037037035</v>
      </c>
      <c r="I477" t="s">
        <v>9</v>
      </c>
      <c r="J477" t="s">
        <v>10</v>
      </c>
      <c r="K477">
        <v>2</v>
      </c>
      <c r="L477">
        <v>20</v>
      </c>
      <c r="M477">
        <v>40</v>
      </c>
      <c r="N477">
        <f>IF(COUNTIFS($B$2:B477,B477)=1,1,0)</f>
        <v>0</v>
      </c>
    </row>
    <row r="478" spans="1:14" x14ac:dyDescent="0.2">
      <c r="A478">
        <v>477</v>
      </c>
      <c r="B478">
        <v>1248</v>
      </c>
      <c r="C478">
        <f>1/COUNTIF(B:B,Table1[[#This Row],[order_id]])</f>
        <v>0.5</v>
      </c>
      <c r="D478" t="str">
        <f>TEXT(Table1[[#This Row],[order_date]],"mmmm")</f>
        <v>February</v>
      </c>
      <c r="E478" s="1">
        <v>45335</v>
      </c>
      <c r="F478" s="1" t="str">
        <f>TEXT(Table1[[#This Row],[order_date]],"dddd")</f>
        <v>Tuesday</v>
      </c>
      <c r="G478">
        <f>HOUR(Table1[[#This Row],[order_time]])</f>
        <v>19</v>
      </c>
      <c r="H478" s="2">
        <v>0.79553240740740738</v>
      </c>
      <c r="I478" t="s">
        <v>9</v>
      </c>
      <c r="J478" t="s">
        <v>29</v>
      </c>
      <c r="K478">
        <v>1</v>
      </c>
      <c r="L478">
        <v>5</v>
      </c>
      <c r="M478">
        <v>5</v>
      </c>
      <c r="N478">
        <f>IF(COUNTIFS($B$2:B478,B478)=1,1,0)</f>
        <v>1</v>
      </c>
    </row>
    <row r="479" spans="1:14" x14ac:dyDescent="0.2">
      <c r="A479">
        <v>478</v>
      </c>
      <c r="B479">
        <v>1248</v>
      </c>
      <c r="C479">
        <f>1/COUNTIF(B:B,Table1[[#This Row],[order_id]])</f>
        <v>0.5</v>
      </c>
      <c r="D479" t="str">
        <f>TEXT(Table1[[#This Row],[order_date]],"mmmm")</f>
        <v>February</v>
      </c>
      <c r="E479" s="1">
        <v>45335</v>
      </c>
      <c r="F479" s="1" t="str">
        <f>TEXT(Table1[[#This Row],[order_date]],"dddd")</f>
        <v>Tuesday</v>
      </c>
      <c r="G479">
        <f>HOUR(Table1[[#This Row],[order_time]])</f>
        <v>9</v>
      </c>
      <c r="H479" s="2">
        <v>0.39598379629629632</v>
      </c>
      <c r="I479" t="s">
        <v>9</v>
      </c>
      <c r="J479" t="s">
        <v>22</v>
      </c>
      <c r="K479">
        <v>2</v>
      </c>
      <c r="L479">
        <v>15</v>
      </c>
      <c r="M479">
        <v>30</v>
      </c>
      <c r="N479">
        <f>IF(COUNTIFS($B$2:B479,B479)=1,1,0)</f>
        <v>0</v>
      </c>
    </row>
    <row r="480" spans="1:14" x14ac:dyDescent="0.2">
      <c r="A480">
        <v>479</v>
      </c>
      <c r="B480">
        <v>1249</v>
      </c>
      <c r="C480">
        <f>1/COUNTIF(B:B,Table1[[#This Row],[order_id]])</f>
        <v>0.33333333333333331</v>
      </c>
      <c r="D480" t="str">
        <f>TEXT(Table1[[#This Row],[order_date]],"mmmm")</f>
        <v>February</v>
      </c>
      <c r="E480" s="1">
        <v>45335</v>
      </c>
      <c r="F480" s="1" t="str">
        <f>TEXT(Table1[[#This Row],[order_date]],"dddd")</f>
        <v>Tuesday</v>
      </c>
      <c r="G480">
        <f>HOUR(Table1[[#This Row],[order_time]])</f>
        <v>11</v>
      </c>
      <c r="H480" s="2">
        <v>0.46189814814814817</v>
      </c>
      <c r="I480" t="s">
        <v>9</v>
      </c>
      <c r="J480" t="s">
        <v>29</v>
      </c>
      <c r="K480">
        <v>2</v>
      </c>
      <c r="L480">
        <v>5</v>
      </c>
      <c r="M480">
        <v>10</v>
      </c>
      <c r="N480">
        <f>IF(COUNTIFS($B$2:B480,B480)=1,1,0)</f>
        <v>1</v>
      </c>
    </row>
    <row r="481" spans="1:14" x14ac:dyDescent="0.2">
      <c r="A481">
        <v>480</v>
      </c>
      <c r="B481">
        <v>1249</v>
      </c>
      <c r="C481">
        <f>1/COUNTIF(B:B,Table1[[#This Row],[order_id]])</f>
        <v>0.33333333333333331</v>
      </c>
      <c r="D481" t="str">
        <f>TEXT(Table1[[#This Row],[order_date]],"mmmm")</f>
        <v>February</v>
      </c>
      <c r="E481" s="1">
        <v>45335</v>
      </c>
      <c r="F481" s="1" t="str">
        <f>TEXT(Table1[[#This Row],[order_date]],"dddd")</f>
        <v>Tuesday</v>
      </c>
      <c r="G481">
        <f>HOUR(Table1[[#This Row],[order_time]])</f>
        <v>14</v>
      </c>
      <c r="H481" s="2">
        <v>0.5894907407407407</v>
      </c>
      <c r="I481" t="s">
        <v>11</v>
      </c>
      <c r="J481" t="s">
        <v>12</v>
      </c>
      <c r="K481">
        <v>4</v>
      </c>
      <c r="L481">
        <v>650</v>
      </c>
      <c r="M481">
        <v>2600</v>
      </c>
      <c r="N481">
        <f>IF(COUNTIFS($B$2:B481,B481)=1,1,0)</f>
        <v>0</v>
      </c>
    </row>
    <row r="482" spans="1:14" x14ac:dyDescent="0.2">
      <c r="A482">
        <v>481</v>
      </c>
      <c r="B482">
        <v>1249</v>
      </c>
      <c r="C482">
        <f>1/COUNTIF(B:B,Table1[[#This Row],[order_id]])</f>
        <v>0.33333333333333331</v>
      </c>
      <c r="D482" t="str">
        <f>TEXT(Table1[[#This Row],[order_date]],"mmmm")</f>
        <v>February</v>
      </c>
      <c r="E482" s="1">
        <v>45335</v>
      </c>
      <c r="F482" s="1" t="str">
        <f>TEXT(Table1[[#This Row],[order_date]],"dddd")</f>
        <v>Tuesday</v>
      </c>
      <c r="G482">
        <f>HOUR(Table1[[#This Row],[order_time]])</f>
        <v>9</v>
      </c>
      <c r="H482" s="2">
        <v>0.39503472222222225</v>
      </c>
      <c r="I482" t="s">
        <v>9</v>
      </c>
      <c r="J482" t="s">
        <v>29</v>
      </c>
      <c r="K482">
        <v>1</v>
      </c>
      <c r="L482">
        <v>5</v>
      </c>
      <c r="M482">
        <v>5</v>
      </c>
      <c r="N482">
        <f>IF(COUNTIFS($B$2:B482,B482)=1,1,0)</f>
        <v>0</v>
      </c>
    </row>
    <row r="483" spans="1:14" x14ac:dyDescent="0.2">
      <c r="A483">
        <v>482</v>
      </c>
      <c r="B483">
        <v>1250</v>
      </c>
      <c r="C483">
        <f>1/COUNTIF(B:B,Table1[[#This Row],[order_id]])</f>
        <v>0.33333333333333331</v>
      </c>
      <c r="D483" t="str">
        <f>TEXT(Table1[[#This Row],[order_date]],"mmmm")</f>
        <v>February</v>
      </c>
      <c r="E483" s="1">
        <v>45335</v>
      </c>
      <c r="F483" s="1" t="str">
        <f>TEXT(Table1[[#This Row],[order_date]],"dddd")</f>
        <v>Tuesday</v>
      </c>
      <c r="G483">
        <f>HOUR(Table1[[#This Row],[order_time]])</f>
        <v>9</v>
      </c>
      <c r="H483" s="2">
        <v>0.40719907407407407</v>
      </c>
      <c r="I483" t="s">
        <v>11</v>
      </c>
      <c r="J483" t="s">
        <v>14</v>
      </c>
      <c r="K483">
        <v>2</v>
      </c>
      <c r="L483">
        <v>700</v>
      </c>
      <c r="M483">
        <v>1400</v>
      </c>
      <c r="N483">
        <f>IF(COUNTIFS($B$2:B483,B483)=1,1,0)</f>
        <v>1</v>
      </c>
    </row>
    <row r="484" spans="1:14" x14ac:dyDescent="0.2">
      <c r="A484">
        <v>483</v>
      </c>
      <c r="B484">
        <v>1250</v>
      </c>
      <c r="C484">
        <f>1/COUNTIF(B:B,Table1[[#This Row],[order_id]])</f>
        <v>0.33333333333333331</v>
      </c>
      <c r="D484" t="str">
        <f>TEXT(Table1[[#This Row],[order_date]],"mmmm")</f>
        <v>February</v>
      </c>
      <c r="E484" s="1">
        <v>45335</v>
      </c>
      <c r="F484" s="1" t="str">
        <f>TEXT(Table1[[#This Row],[order_date]],"dddd")</f>
        <v>Tuesday</v>
      </c>
      <c r="G484">
        <f>HOUR(Table1[[#This Row],[order_time]])</f>
        <v>18</v>
      </c>
      <c r="H484" s="2">
        <v>0.75351851851851848</v>
      </c>
      <c r="I484" t="s">
        <v>9</v>
      </c>
      <c r="J484" t="s">
        <v>29</v>
      </c>
      <c r="K484">
        <v>5</v>
      </c>
      <c r="L484">
        <v>5</v>
      </c>
      <c r="M484">
        <v>25</v>
      </c>
      <c r="N484">
        <f>IF(COUNTIFS($B$2:B484,B484)=1,1,0)</f>
        <v>0</v>
      </c>
    </row>
    <row r="485" spans="1:14" x14ac:dyDescent="0.2">
      <c r="A485">
        <v>484</v>
      </c>
      <c r="B485">
        <v>1250</v>
      </c>
      <c r="C485">
        <f>1/COUNTIF(B:B,Table1[[#This Row],[order_id]])</f>
        <v>0.33333333333333331</v>
      </c>
      <c r="D485" t="str">
        <f>TEXT(Table1[[#This Row],[order_date]],"mmmm")</f>
        <v>February</v>
      </c>
      <c r="E485" s="1">
        <v>45335</v>
      </c>
      <c r="F485" s="1" t="str">
        <f>TEXT(Table1[[#This Row],[order_date]],"dddd")</f>
        <v>Tuesday</v>
      </c>
      <c r="G485">
        <f>HOUR(Table1[[#This Row],[order_time]])</f>
        <v>17</v>
      </c>
      <c r="H485" s="2">
        <v>0.70939814814814817</v>
      </c>
      <c r="I485" t="s">
        <v>16</v>
      </c>
      <c r="J485" t="s">
        <v>23</v>
      </c>
      <c r="K485">
        <v>3</v>
      </c>
      <c r="L485">
        <v>30</v>
      </c>
      <c r="M485">
        <v>90</v>
      </c>
      <c r="N485">
        <f>IF(COUNTIFS($B$2:B485,B485)=1,1,0)</f>
        <v>0</v>
      </c>
    </row>
    <row r="486" spans="1:14" x14ac:dyDescent="0.2">
      <c r="A486">
        <v>485</v>
      </c>
      <c r="B486">
        <v>1251</v>
      </c>
      <c r="C486">
        <f>1/COUNTIF(B:B,Table1[[#This Row],[order_id]])</f>
        <v>0.5</v>
      </c>
      <c r="D486" t="str">
        <f>TEXT(Table1[[#This Row],[order_date]],"mmmm")</f>
        <v>February</v>
      </c>
      <c r="E486" s="1">
        <v>45335</v>
      </c>
      <c r="F486" s="1" t="str">
        <f>TEXT(Table1[[#This Row],[order_date]],"dddd")</f>
        <v>Tuesday</v>
      </c>
      <c r="G486">
        <f>HOUR(Table1[[#This Row],[order_time]])</f>
        <v>14</v>
      </c>
      <c r="H486" s="2">
        <v>0.58451388888888889</v>
      </c>
      <c r="I486" t="s">
        <v>9</v>
      </c>
      <c r="J486" t="s">
        <v>29</v>
      </c>
      <c r="K486">
        <v>1</v>
      </c>
      <c r="L486">
        <v>5</v>
      </c>
      <c r="M486">
        <v>5</v>
      </c>
      <c r="N486">
        <f>IF(COUNTIFS($B$2:B486,B486)=1,1,0)</f>
        <v>1</v>
      </c>
    </row>
    <row r="487" spans="1:14" x14ac:dyDescent="0.2">
      <c r="A487">
        <v>486</v>
      </c>
      <c r="B487">
        <v>1251</v>
      </c>
      <c r="C487">
        <f>1/COUNTIF(B:B,Table1[[#This Row],[order_id]])</f>
        <v>0.5</v>
      </c>
      <c r="D487" t="str">
        <f>TEXT(Table1[[#This Row],[order_date]],"mmmm")</f>
        <v>February</v>
      </c>
      <c r="E487" s="1">
        <v>45335</v>
      </c>
      <c r="F487" s="1" t="str">
        <f>TEXT(Table1[[#This Row],[order_date]],"dddd")</f>
        <v>Tuesday</v>
      </c>
      <c r="G487">
        <f>HOUR(Table1[[#This Row],[order_time]])</f>
        <v>11</v>
      </c>
      <c r="H487" s="2">
        <v>0.4909027777777778</v>
      </c>
      <c r="I487" t="s">
        <v>11</v>
      </c>
      <c r="J487" t="s">
        <v>15</v>
      </c>
      <c r="K487">
        <v>2</v>
      </c>
      <c r="L487">
        <v>600</v>
      </c>
      <c r="M487">
        <v>1200</v>
      </c>
      <c r="N487">
        <f>IF(COUNTIFS($B$2:B487,B487)=1,1,0)</f>
        <v>0</v>
      </c>
    </row>
    <row r="488" spans="1:14" x14ac:dyDescent="0.2">
      <c r="A488">
        <v>487</v>
      </c>
      <c r="B488">
        <v>1252</v>
      </c>
      <c r="C488">
        <f>1/COUNTIF(B:B,Table1[[#This Row],[order_id]])</f>
        <v>0.5</v>
      </c>
      <c r="D488" t="str">
        <f>TEXT(Table1[[#This Row],[order_date]],"mmmm")</f>
        <v>February</v>
      </c>
      <c r="E488" s="1">
        <v>45335</v>
      </c>
      <c r="F488" s="1" t="str">
        <f>TEXT(Table1[[#This Row],[order_date]],"dddd")</f>
        <v>Tuesday</v>
      </c>
      <c r="G488">
        <f>HOUR(Table1[[#This Row],[order_time]])</f>
        <v>11</v>
      </c>
      <c r="H488" s="2">
        <v>0.49828703703703703</v>
      </c>
      <c r="I488" t="s">
        <v>9</v>
      </c>
      <c r="J488" t="s">
        <v>29</v>
      </c>
      <c r="K488">
        <v>1</v>
      </c>
      <c r="L488">
        <v>5</v>
      </c>
      <c r="M488">
        <v>5</v>
      </c>
      <c r="N488">
        <f>IF(COUNTIFS($B$2:B488,B488)=1,1,0)</f>
        <v>1</v>
      </c>
    </row>
    <row r="489" spans="1:14" x14ac:dyDescent="0.2">
      <c r="A489">
        <v>488</v>
      </c>
      <c r="B489">
        <v>1252</v>
      </c>
      <c r="C489">
        <f>1/COUNTIF(B:B,Table1[[#This Row],[order_id]])</f>
        <v>0.5</v>
      </c>
      <c r="D489" t="str">
        <f>TEXT(Table1[[#This Row],[order_date]],"mmmm")</f>
        <v>February</v>
      </c>
      <c r="E489" s="1">
        <v>45335</v>
      </c>
      <c r="F489" s="1" t="str">
        <f>TEXT(Table1[[#This Row],[order_date]],"dddd")</f>
        <v>Tuesday</v>
      </c>
      <c r="G489">
        <f>HOUR(Table1[[#This Row],[order_time]])</f>
        <v>17</v>
      </c>
      <c r="H489" s="2">
        <v>0.71626157407407409</v>
      </c>
      <c r="I489" t="s">
        <v>16</v>
      </c>
      <c r="J489" t="s">
        <v>17</v>
      </c>
      <c r="K489">
        <v>1</v>
      </c>
      <c r="L489">
        <v>20</v>
      </c>
      <c r="M489">
        <v>20</v>
      </c>
      <c r="N489">
        <f>IF(COUNTIFS($B$2:B489,B489)=1,1,0)</f>
        <v>0</v>
      </c>
    </row>
    <row r="490" spans="1:14" x14ac:dyDescent="0.2">
      <c r="A490">
        <v>489</v>
      </c>
      <c r="B490">
        <v>1253</v>
      </c>
      <c r="C490">
        <f>1/COUNTIF(B:B,Table1[[#This Row],[order_id]])</f>
        <v>1</v>
      </c>
      <c r="D490" t="str">
        <f>TEXT(Table1[[#This Row],[order_date]],"mmmm")</f>
        <v>February</v>
      </c>
      <c r="E490" s="1">
        <v>45336</v>
      </c>
      <c r="F490" s="1" t="str">
        <f>TEXT(Table1[[#This Row],[order_date]],"dddd")</f>
        <v>Wednesday</v>
      </c>
      <c r="G490">
        <f>HOUR(Table1[[#This Row],[order_time]])</f>
        <v>18</v>
      </c>
      <c r="H490" s="2">
        <v>0.77170138888888884</v>
      </c>
      <c r="I490" t="s">
        <v>18</v>
      </c>
      <c r="J490" t="s">
        <v>31</v>
      </c>
      <c r="K490">
        <v>1</v>
      </c>
      <c r="L490">
        <v>45</v>
      </c>
      <c r="M490">
        <v>45</v>
      </c>
      <c r="N490">
        <f>IF(COUNTIFS($B$2:B490,B490)=1,1,0)</f>
        <v>1</v>
      </c>
    </row>
    <row r="491" spans="1:14" x14ac:dyDescent="0.2">
      <c r="A491">
        <v>490</v>
      </c>
      <c r="B491">
        <v>1254</v>
      </c>
      <c r="C491">
        <f>1/COUNTIF(B:B,Table1[[#This Row],[order_id]])</f>
        <v>0.33333333333333331</v>
      </c>
      <c r="D491" t="str">
        <f>TEXT(Table1[[#This Row],[order_date]],"mmmm")</f>
        <v>February</v>
      </c>
      <c r="E491" s="1">
        <v>45336</v>
      </c>
      <c r="F491" s="1" t="str">
        <f>TEXT(Table1[[#This Row],[order_date]],"dddd")</f>
        <v>Wednesday</v>
      </c>
      <c r="G491">
        <f>HOUR(Table1[[#This Row],[order_time]])</f>
        <v>18</v>
      </c>
      <c r="H491" s="2">
        <v>0.75437500000000002</v>
      </c>
      <c r="I491" t="s">
        <v>9</v>
      </c>
      <c r="J491" t="s">
        <v>20</v>
      </c>
      <c r="K491">
        <v>5</v>
      </c>
      <c r="L491">
        <v>25</v>
      </c>
      <c r="M491">
        <v>125</v>
      </c>
      <c r="N491">
        <f>IF(COUNTIFS($B$2:B491,B491)=1,1,0)</f>
        <v>1</v>
      </c>
    </row>
    <row r="492" spans="1:14" x14ac:dyDescent="0.2">
      <c r="A492">
        <v>491</v>
      </c>
      <c r="B492">
        <v>1254</v>
      </c>
      <c r="C492">
        <f>1/COUNTIF(B:B,Table1[[#This Row],[order_id]])</f>
        <v>0.33333333333333331</v>
      </c>
      <c r="D492" t="str">
        <f>TEXT(Table1[[#This Row],[order_date]],"mmmm")</f>
        <v>February</v>
      </c>
      <c r="E492" s="1">
        <v>45336</v>
      </c>
      <c r="F492" s="1" t="str">
        <f>TEXT(Table1[[#This Row],[order_date]],"dddd")</f>
        <v>Wednesday</v>
      </c>
      <c r="G492">
        <f>HOUR(Table1[[#This Row],[order_time]])</f>
        <v>18</v>
      </c>
      <c r="H492" s="2">
        <v>0.7534953703703704</v>
      </c>
      <c r="I492" t="s">
        <v>18</v>
      </c>
      <c r="J492" t="s">
        <v>27</v>
      </c>
      <c r="K492">
        <v>1</v>
      </c>
      <c r="L492">
        <v>40</v>
      </c>
      <c r="M492">
        <v>40</v>
      </c>
      <c r="N492">
        <f>IF(COUNTIFS($B$2:B492,B492)=1,1,0)</f>
        <v>0</v>
      </c>
    </row>
    <row r="493" spans="1:14" x14ac:dyDescent="0.2">
      <c r="A493">
        <v>492</v>
      </c>
      <c r="B493">
        <v>1254</v>
      </c>
      <c r="C493">
        <f>1/COUNTIF(B:B,Table1[[#This Row],[order_id]])</f>
        <v>0.33333333333333331</v>
      </c>
      <c r="D493" t="str">
        <f>TEXT(Table1[[#This Row],[order_date]],"mmmm")</f>
        <v>February</v>
      </c>
      <c r="E493" s="1">
        <v>45336</v>
      </c>
      <c r="F493" s="1" t="str">
        <f>TEXT(Table1[[#This Row],[order_date]],"dddd")</f>
        <v>Wednesday</v>
      </c>
      <c r="G493">
        <f>HOUR(Table1[[#This Row],[order_time]])</f>
        <v>13</v>
      </c>
      <c r="H493" s="2">
        <v>0.54671296296296301</v>
      </c>
      <c r="I493" t="s">
        <v>11</v>
      </c>
      <c r="J493" t="s">
        <v>14</v>
      </c>
      <c r="K493">
        <v>1</v>
      </c>
      <c r="L493">
        <v>700</v>
      </c>
      <c r="M493">
        <v>700</v>
      </c>
      <c r="N493">
        <f>IF(COUNTIFS($B$2:B493,B493)=1,1,0)</f>
        <v>0</v>
      </c>
    </row>
    <row r="494" spans="1:14" x14ac:dyDescent="0.2">
      <c r="A494">
        <v>493</v>
      </c>
      <c r="B494">
        <v>1255</v>
      </c>
      <c r="C494">
        <f>1/COUNTIF(B:B,Table1[[#This Row],[order_id]])</f>
        <v>0.5</v>
      </c>
      <c r="D494" t="str">
        <f>TEXT(Table1[[#This Row],[order_date]],"mmmm")</f>
        <v>February</v>
      </c>
      <c r="E494" s="1">
        <v>45336</v>
      </c>
      <c r="F494" s="1" t="str">
        <f>TEXT(Table1[[#This Row],[order_date]],"dddd")</f>
        <v>Wednesday</v>
      </c>
      <c r="G494">
        <f>HOUR(Table1[[#This Row],[order_time]])</f>
        <v>15</v>
      </c>
      <c r="H494" s="2">
        <v>0.62780092592592596</v>
      </c>
      <c r="I494" t="s">
        <v>9</v>
      </c>
      <c r="J494" t="s">
        <v>20</v>
      </c>
      <c r="K494">
        <v>3</v>
      </c>
      <c r="L494">
        <v>25</v>
      </c>
      <c r="M494">
        <v>75</v>
      </c>
      <c r="N494">
        <f>IF(COUNTIFS($B$2:B494,B494)=1,1,0)</f>
        <v>1</v>
      </c>
    </row>
    <row r="495" spans="1:14" x14ac:dyDescent="0.2">
      <c r="A495">
        <v>494</v>
      </c>
      <c r="B495">
        <v>1255</v>
      </c>
      <c r="C495">
        <f>1/COUNTIF(B:B,Table1[[#This Row],[order_id]])</f>
        <v>0.5</v>
      </c>
      <c r="D495" t="str">
        <f>TEXT(Table1[[#This Row],[order_date]],"mmmm")</f>
        <v>February</v>
      </c>
      <c r="E495" s="1">
        <v>45336</v>
      </c>
      <c r="F495" s="1" t="str">
        <f>TEXT(Table1[[#This Row],[order_date]],"dddd")</f>
        <v>Wednesday</v>
      </c>
      <c r="G495">
        <f>HOUR(Table1[[#This Row],[order_time]])</f>
        <v>13</v>
      </c>
      <c r="H495" s="2">
        <v>0.56581018518518522</v>
      </c>
      <c r="I495" t="s">
        <v>11</v>
      </c>
      <c r="J495" t="s">
        <v>25</v>
      </c>
      <c r="K495">
        <v>2</v>
      </c>
      <c r="L495">
        <v>1000</v>
      </c>
      <c r="M495">
        <v>2000</v>
      </c>
      <c r="N495">
        <f>IF(COUNTIFS($B$2:B495,B495)=1,1,0)</f>
        <v>0</v>
      </c>
    </row>
    <row r="496" spans="1:14" x14ac:dyDescent="0.2">
      <c r="A496">
        <v>495</v>
      </c>
      <c r="B496">
        <v>1256</v>
      </c>
      <c r="C496">
        <f>1/COUNTIF(B:B,Table1[[#This Row],[order_id]])</f>
        <v>1</v>
      </c>
      <c r="D496" t="str">
        <f>TEXT(Table1[[#This Row],[order_date]],"mmmm")</f>
        <v>February</v>
      </c>
      <c r="E496" s="1">
        <v>45336</v>
      </c>
      <c r="F496" s="1" t="str">
        <f>TEXT(Table1[[#This Row],[order_date]],"dddd")</f>
        <v>Wednesday</v>
      </c>
      <c r="G496">
        <f>HOUR(Table1[[#This Row],[order_time]])</f>
        <v>11</v>
      </c>
      <c r="H496" s="2">
        <v>0.47871527777777778</v>
      </c>
      <c r="I496" t="s">
        <v>11</v>
      </c>
      <c r="J496" t="s">
        <v>25</v>
      </c>
      <c r="K496">
        <v>1</v>
      </c>
      <c r="L496">
        <v>1000</v>
      </c>
      <c r="M496">
        <v>1000</v>
      </c>
      <c r="N496">
        <f>IF(COUNTIFS($B$2:B496,B496)=1,1,0)</f>
        <v>1</v>
      </c>
    </row>
    <row r="497" spans="1:14" x14ac:dyDescent="0.2">
      <c r="A497">
        <v>496</v>
      </c>
      <c r="B497">
        <v>1257</v>
      </c>
      <c r="C497">
        <f>1/COUNTIF(B:B,Table1[[#This Row],[order_id]])</f>
        <v>1</v>
      </c>
      <c r="D497" t="str">
        <f>TEXT(Table1[[#This Row],[order_date]],"mmmm")</f>
        <v>February</v>
      </c>
      <c r="E497" s="1">
        <v>45336</v>
      </c>
      <c r="F497" s="1" t="str">
        <f>TEXT(Table1[[#This Row],[order_date]],"dddd")</f>
        <v>Wednesday</v>
      </c>
      <c r="G497">
        <f>HOUR(Table1[[#This Row],[order_time]])</f>
        <v>16</v>
      </c>
      <c r="H497" s="2">
        <v>0.69420138888888894</v>
      </c>
      <c r="I497" t="s">
        <v>16</v>
      </c>
      <c r="J497" t="s">
        <v>28</v>
      </c>
      <c r="K497">
        <v>3</v>
      </c>
      <c r="L497">
        <v>25</v>
      </c>
      <c r="M497">
        <v>75</v>
      </c>
      <c r="N497">
        <f>IF(COUNTIFS($B$2:B497,B497)=1,1,0)</f>
        <v>1</v>
      </c>
    </row>
    <row r="498" spans="1:14" x14ac:dyDescent="0.2">
      <c r="A498">
        <v>497</v>
      </c>
      <c r="B498">
        <v>1258</v>
      </c>
      <c r="C498">
        <f>1/COUNTIF(B:B,Table1[[#This Row],[order_id]])</f>
        <v>0.33333333333333331</v>
      </c>
      <c r="D498" t="str">
        <f>TEXT(Table1[[#This Row],[order_date]],"mmmm")</f>
        <v>February</v>
      </c>
      <c r="E498" s="1">
        <v>45336</v>
      </c>
      <c r="F498" s="1" t="str">
        <f>TEXT(Table1[[#This Row],[order_date]],"dddd")</f>
        <v>Wednesday</v>
      </c>
      <c r="G498">
        <f>HOUR(Table1[[#This Row],[order_time]])</f>
        <v>12</v>
      </c>
      <c r="H498" s="2">
        <v>0.53</v>
      </c>
      <c r="I498" t="s">
        <v>9</v>
      </c>
      <c r="J498" t="s">
        <v>10</v>
      </c>
      <c r="K498">
        <v>2</v>
      </c>
      <c r="L498">
        <v>20</v>
      </c>
      <c r="M498">
        <v>40</v>
      </c>
      <c r="N498">
        <f>IF(COUNTIFS($B$2:B498,B498)=1,1,0)</f>
        <v>1</v>
      </c>
    </row>
    <row r="499" spans="1:14" x14ac:dyDescent="0.2">
      <c r="A499">
        <v>498</v>
      </c>
      <c r="B499">
        <v>1258</v>
      </c>
      <c r="C499">
        <f>1/COUNTIF(B:B,Table1[[#This Row],[order_id]])</f>
        <v>0.33333333333333331</v>
      </c>
      <c r="D499" t="str">
        <f>TEXT(Table1[[#This Row],[order_date]],"mmmm")</f>
        <v>February</v>
      </c>
      <c r="E499" s="1">
        <v>45336</v>
      </c>
      <c r="F499" s="1" t="str">
        <f>TEXT(Table1[[#This Row],[order_date]],"dddd")</f>
        <v>Wednesday</v>
      </c>
      <c r="G499">
        <f>HOUR(Table1[[#This Row],[order_time]])</f>
        <v>9</v>
      </c>
      <c r="H499" s="2">
        <v>0.41098379629629628</v>
      </c>
      <c r="I499" t="s">
        <v>11</v>
      </c>
      <c r="J499" t="s">
        <v>13</v>
      </c>
      <c r="K499">
        <v>3</v>
      </c>
      <c r="L499">
        <v>680</v>
      </c>
      <c r="M499">
        <v>2040</v>
      </c>
      <c r="N499">
        <f>IF(COUNTIFS($B$2:B499,B499)=1,1,0)</f>
        <v>0</v>
      </c>
    </row>
    <row r="500" spans="1:14" x14ac:dyDescent="0.2">
      <c r="A500">
        <v>499</v>
      </c>
      <c r="B500">
        <v>1258</v>
      </c>
      <c r="C500">
        <f>1/COUNTIF(B:B,Table1[[#This Row],[order_id]])</f>
        <v>0.33333333333333331</v>
      </c>
      <c r="D500" t="str">
        <f>TEXT(Table1[[#This Row],[order_date]],"mmmm")</f>
        <v>February</v>
      </c>
      <c r="E500" s="1">
        <v>45336</v>
      </c>
      <c r="F500" s="1" t="str">
        <f>TEXT(Table1[[#This Row],[order_date]],"dddd")</f>
        <v>Wednesday</v>
      </c>
      <c r="G500">
        <f>HOUR(Table1[[#This Row],[order_time]])</f>
        <v>12</v>
      </c>
      <c r="H500" s="2">
        <v>0.51581018518518518</v>
      </c>
      <c r="I500" t="s">
        <v>9</v>
      </c>
      <c r="J500" t="s">
        <v>20</v>
      </c>
      <c r="K500">
        <v>5</v>
      </c>
      <c r="L500">
        <v>25</v>
      </c>
      <c r="M500">
        <v>125</v>
      </c>
      <c r="N500">
        <f>IF(COUNTIFS($B$2:B500,B500)=1,1,0)</f>
        <v>0</v>
      </c>
    </row>
    <row r="501" spans="1:14" x14ac:dyDescent="0.2">
      <c r="A501">
        <v>500</v>
      </c>
      <c r="B501">
        <v>1259</v>
      </c>
      <c r="C501">
        <f>1/COUNTIF(B:B,Table1[[#This Row],[order_id]])</f>
        <v>0.5</v>
      </c>
      <c r="D501" t="str">
        <f>TEXT(Table1[[#This Row],[order_date]],"mmmm")</f>
        <v>February</v>
      </c>
      <c r="E501" s="1">
        <v>45336</v>
      </c>
      <c r="F501" s="1" t="str">
        <f>TEXT(Table1[[#This Row],[order_date]],"dddd")</f>
        <v>Wednesday</v>
      </c>
      <c r="G501">
        <f>HOUR(Table1[[#This Row],[order_time]])</f>
        <v>9</v>
      </c>
      <c r="H501" s="2">
        <v>0.40346064814814814</v>
      </c>
      <c r="I501" t="s">
        <v>18</v>
      </c>
      <c r="J501" t="s">
        <v>27</v>
      </c>
      <c r="K501">
        <v>3</v>
      </c>
      <c r="L501">
        <v>40</v>
      </c>
      <c r="M501">
        <v>120</v>
      </c>
      <c r="N501">
        <f>IF(COUNTIFS($B$2:B501,B501)=1,1,0)</f>
        <v>1</v>
      </c>
    </row>
    <row r="502" spans="1:14" x14ac:dyDescent="0.2">
      <c r="A502">
        <v>501</v>
      </c>
      <c r="B502">
        <v>1259</v>
      </c>
      <c r="C502">
        <f>1/COUNTIF(B:B,Table1[[#This Row],[order_id]])</f>
        <v>0.5</v>
      </c>
      <c r="D502" t="str">
        <f>TEXT(Table1[[#This Row],[order_date]],"mmmm")</f>
        <v>February</v>
      </c>
      <c r="E502" s="1">
        <v>45336</v>
      </c>
      <c r="F502" s="1" t="str">
        <f>TEXT(Table1[[#This Row],[order_date]],"dddd")</f>
        <v>Wednesday</v>
      </c>
      <c r="G502">
        <f>HOUR(Table1[[#This Row],[order_time]])</f>
        <v>17</v>
      </c>
      <c r="H502" s="2">
        <v>0.73268518518518522</v>
      </c>
      <c r="I502" t="s">
        <v>11</v>
      </c>
      <c r="J502" t="s">
        <v>25</v>
      </c>
      <c r="K502">
        <v>3</v>
      </c>
      <c r="L502">
        <v>1000</v>
      </c>
      <c r="M502">
        <v>3000</v>
      </c>
      <c r="N502">
        <f>IF(COUNTIFS($B$2:B502,B502)=1,1,0)</f>
        <v>0</v>
      </c>
    </row>
    <row r="503" spans="1:14" x14ac:dyDescent="0.2">
      <c r="A503">
        <v>502</v>
      </c>
      <c r="B503">
        <v>1260</v>
      </c>
      <c r="C503">
        <f>1/COUNTIF(B:B,Table1[[#This Row],[order_id]])</f>
        <v>1</v>
      </c>
      <c r="D503" t="str">
        <f>TEXT(Table1[[#This Row],[order_date]],"mmmm")</f>
        <v>February</v>
      </c>
      <c r="E503" s="1">
        <v>45336</v>
      </c>
      <c r="F503" s="1" t="str">
        <f>TEXT(Table1[[#This Row],[order_date]],"dddd")</f>
        <v>Wednesday</v>
      </c>
      <c r="G503">
        <f>HOUR(Table1[[#This Row],[order_time]])</f>
        <v>16</v>
      </c>
      <c r="H503" s="2">
        <v>0.67048611111111112</v>
      </c>
      <c r="I503" t="s">
        <v>11</v>
      </c>
      <c r="J503" t="s">
        <v>14</v>
      </c>
      <c r="K503">
        <v>4</v>
      </c>
      <c r="L503">
        <v>700</v>
      </c>
      <c r="M503">
        <v>2800</v>
      </c>
      <c r="N503">
        <f>IF(COUNTIFS($B$2:B503,B503)=1,1,0)</f>
        <v>1</v>
      </c>
    </row>
    <row r="504" spans="1:14" x14ac:dyDescent="0.2">
      <c r="A504">
        <v>503</v>
      </c>
      <c r="B504">
        <v>1261</v>
      </c>
      <c r="C504">
        <f>1/COUNTIF(B:B,Table1[[#This Row],[order_id]])</f>
        <v>1</v>
      </c>
      <c r="D504" t="str">
        <f>TEXT(Table1[[#This Row],[order_date]],"mmmm")</f>
        <v>February</v>
      </c>
      <c r="E504" s="1">
        <v>45336</v>
      </c>
      <c r="F504" s="1" t="str">
        <f>TEXT(Table1[[#This Row],[order_date]],"dddd")</f>
        <v>Wednesday</v>
      </c>
      <c r="G504">
        <f>HOUR(Table1[[#This Row],[order_time]])</f>
        <v>16</v>
      </c>
      <c r="H504" s="2">
        <v>0.68607638888888889</v>
      </c>
      <c r="I504" t="s">
        <v>16</v>
      </c>
      <c r="J504" t="s">
        <v>24</v>
      </c>
      <c r="K504">
        <v>3</v>
      </c>
      <c r="L504">
        <v>35</v>
      </c>
      <c r="M504">
        <v>105</v>
      </c>
      <c r="N504">
        <f>IF(COUNTIFS($B$2:B504,B504)=1,1,0)</f>
        <v>1</v>
      </c>
    </row>
    <row r="505" spans="1:14" x14ac:dyDescent="0.2">
      <c r="A505">
        <v>504</v>
      </c>
      <c r="B505">
        <v>1262</v>
      </c>
      <c r="C505">
        <f>1/COUNTIF(B:B,Table1[[#This Row],[order_id]])</f>
        <v>0.5</v>
      </c>
      <c r="D505" t="str">
        <f>TEXT(Table1[[#This Row],[order_date]],"mmmm")</f>
        <v>February</v>
      </c>
      <c r="E505" s="1">
        <v>45336</v>
      </c>
      <c r="F505" s="1" t="str">
        <f>TEXT(Table1[[#This Row],[order_date]],"dddd")</f>
        <v>Wednesday</v>
      </c>
      <c r="G505">
        <f>HOUR(Table1[[#This Row],[order_time]])</f>
        <v>9</v>
      </c>
      <c r="H505" s="2">
        <v>0.41309027777777779</v>
      </c>
      <c r="I505" t="s">
        <v>18</v>
      </c>
      <c r="J505" t="s">
        <v>27</v>
      </c>
      <c r="K505">
        <v>1</v>
      </c>
      <c r="L505">
        <v>40</v>
      </c>
      <c r="M505">
        <v>40</v>
      </c>
      <c r="N505">
        <f>IF(COUNTIFS($B$2:B505,B505)=1,1,0)</f>
        <v>1</v>
      </c>
    </row>
    <row r="506" spans="1:14" x14ac:dyDescent="0.2">
      <c r="A506">
        <v>505</v>
      </c>
      <c r="B506">
        <v>1262</v>
      </c>
      <c r="C506">
        <f>1/COUNTIF(B:B,Table1[[#This Row],[order_id]])</f>
        <v>0.5</v>
      </c>
      <c r="D506" t="str">
        <f>TEXT(Table1[[#This Row],[order_date]],"mmmm")</f>
        <v>February</v>
      </c>
      <c r="E506" s="1">
        <v>45336</v>
      </c>
      <c r="F506" s="1" t="str">
        <f>TEXT(Table1[[#This Row],[order_date]],"dddd")</f>
        <v>Wednesday</v>
      </c>
      <c r="G506">
        <f>HOUR(Table1[[#This Row],[order_time]])</f>
        <v>13</v>
      </c>
      <c r="H506" s="2">
        <v>0.54987268518518517</v>
      </c>
      <c r="I506" t="s">
        <v>16</v>
      </c>
      <c r="J506" t="s">
        <v>23</v>
      </c>
      <c r="K506">
        <v>1</v>
      </c>
      <c r="L506">
        <v>30</v>
      </c>
      <c r="M506">
        <v>30</v>
      </c>
      <c r="N506">
        <f>IF(COUNTIFS($B$2:B506,B506)=1,1,0)</f>
        <v>0</v>
      </c>
    </row>
    <row r="507" spans="1:14" x14ac:dyDescent="0.2">
      <c r="A507">
        <v>506</v>
      </c>
      <c r="B507">
        <v>1263</v>
      </c>
      <c r="C507">
        <f>1/COUNTIF(B:B,Table1[[#This Row],[order_id]])</f>
        <v>1</v>
      </c>
      <c r="D507" t="str">
        <f>TEXT(Table1[[#This Row],[order_date]],"mmmm")</f>
        <v>February</v>
      </c>
      <c r="E507" s="1">
        <v>45337</v>
      </c>
      <c r="F507" s="1" t="str">
        <f>TEXT(Table1[[#This Row],[order_date]],"dddd")</f>
        <v>Thursday</v>
      </c>
      <c r="G507">
        <f>HOUR(Table1[[#This Row],[order_time]])</f>
        <v>20</v>
      </c>
      <c r="H507" s="2">
        <v>0.86553240740740744</v>
      </c>
      <c r="I507" t="s">
        <v>9</v>
      </c>
      <c r="J507" t="s">
        <v>20</v>
      </c>
      <c r="K507">
        <v>2</v>
      </c>
      <c r="L507">
        <v>25</v>
      </c>
      <c r="M507">
        <v>50</v>
      </c>
      <c r="N507">
        <f>IF(COUNTIFS($B$2:B507,B507)=1,1,0)</f>
        <v>1</v>
      </c>
    </row>
    <row r="508" spans="1:14" x14ac:dyDescent="0.2">
      <c r="A508">
        <v>507</v>
      </c>
      <c r="B508">
        <v>1264</v>
      </c>
      <c r="C508">
        <f>1/COUNTIF(B:B,Table1[[#This Row],[order_id]])</f>
        <v>1</v>
      </c>
      <c r="D508" t="str">
        <f>TEXT(Table1[[#This Row],[order_date]],"mmmm")</f>
        <v>February</v>
      </c>
      <c r="E508" s="1">
        <v>45337</v>
      </c>
      <c r="F508" s="1" t="str">
        <f>TEXT(Table1[[#This Row],[order_date]],"dddd")</f>
        <v>Thursday</v>
      </c>
      <c r="G508">
        <f>HOUR(Table1[[#This Row],[order_time]])</f>
        <v>10</v>
      </c>
      <c r="H508" s="2">
        <v>0.43100694444444443</v>
      </c>
      <c r="I508" t="s">
        <v>16</v>
      </c>
      <c r="J508" t="s">
        <v>28</v>
      </c>
      <c r="K508">
        <v>5</v>
      </c>
      <c r="L508">
        <v>25</v>
      </c>
      <c r="M508">
        <v>125</v>
      </c>
      <c r="N508">
        <f>IF(COUNTIFS($B$2:B508,B508)=1,1,0)</f>
        <v>1</v>
      </c>
    </row>
    <row r="509" spans="1:14" x14ac:dyDescent="0.2">
      <c r="A509">
        <v>508</v>
      </c>
      <c r="B509">
        <v>1265</v>
      </c>
      <c r="C509">
        <f>1/COUNTIF(B:B,Table1[[#This Row],[order_id]])</f>
        <v>0.5</v>
      </c>
      <c r="D509" t="str">
        <f>TEXT(Table1[[#This Row],[order_date]],"mmmm")</f>
        <v>February</v>
      </c>
      <c r="E509" s="1">
        <v>45337</v>
      </c>
      <c r="F509" s="1" t="str">
        <f>TEXT(Table1[[#This Row],[order_date]],"dddd")</f>
        <v>Thursday</v>
      </c>
      <c r="G509">
        <f>HOUR(Table1[[#This Row],[order_time]])</f>
        <v>19</v>
      </c>
      <c r="H509" s="2">
        <v>0.8295717592592593</v>
      </c>
      <c r="I509" t="s">
        <v>9</v>
      </c>
      <c r="J509" t="s">
        <v>29</v>
      </c>
      <c r="K509">
        <v>4</v>
      </c>
      <c r="L509">
        <v>5</v>
      </c>
      <c r="M509">
        <v>20</v>
      </c>
      <c r="N509">
        <f>IF(COUNTIFS($B$2:B509,B509)=1,1,0)</f>
        <v>1</v>
      </c>
    </row>
    <row r="510" spans="1:14" x14ac:dyDescent="0.2">
      <c r="A510">
        <v>509</v>
      </c>
      <c r="B510">
        <v>1265</v>
      </c>
      <c r="C510">
        <f>1/COUNTIF(B:B,Table1[[#This Row],[order_id]])</f>
        <v>0.5</v>
      </c>
      <c r="D510" t="str">
        <f>TEXT(Table1[[#This Row],[order_date]],"mmmm")</f>
        <v>February</v>
      </c>
      <c r="E510" s="1">
        <v>45337</v>
      </c>
      <c r="F510" s="1" t="str">
        <f>TEXT(Table1[[#This Row],[order_date]],"dddd")</f>
        <v>Thursday</v>
      </c>
      <c r="G510">
        <f>HOUR(Table1[[#This Row],[order_time]])</f>
        <v>18</v>
      </c>
      <c r="H510" s="2">
        <v>0.75003472222222223</v>
      </c>
      <c r="I510" t="s">
        <v>16</v>
      </c>
      <c r="J510" t="s">
        <v>23</v>
      </c>
      <c r="K510">
        <v>4</v>
      </c>
      <c r="L510">
        <v>30</v>
      </c>
      <c r="M510">
        <v>120</v>
      </c>
      <c r="N510">
        <f>IF(COUNTIFS($B$2:B510,B510)=1,1,0)</f>
        <v>0</v>
      </c>
    </row>
    <row r="511" spans="1:14" x14ac:dyDescent="0.2">
      <c r="A511">
        <v>510</v>
      </c>
      <c r="B511">
        <v>1266</v>
      </c>
      <c r="C511">
        <f>1/COUNTIF(B:B,Table1[[#This Row],[order_id]])</f>
        <v>1</v>
      </c>
      <c r="D511" t="str">
        <f>TEXT(Table1[[#This Row],[order_date]],"mmmm")</f>
        <v>February</v>
      </c>
      <c r="E511" s="1">
        <v>45338</v>
      </c>
      <c r="F511" s="1" t="str">
        <f>TEXT(Table1[[#This Row],[order_date]],"dddd")</f>
        <v>Friday</v>
      </c>
      <c r="G511">
        <f>HOUR(Table1[[#This Row],[order_time]])</f>
        <v>14</v>
      </c>
      <c r="H511" s="2">
        <v>0.58596064814814819</v>
      </c>
      <c r="I511" t="s">
        <v>11</v>
      </c>
      <c r="J511" t="s">
        <v>13</v>
      </c>
      <c r="K511">
        <v>3</v>
      </c>
      <c r="L511">
        <v>680</v>
      </c>
      <c r="M511">
        <v>2040</v>
      </c>
      <c r="N511">
        <f>IF(COUNTIFS($B$2:B511,B511)=1,1,0)</f>
        <v>1</v>
      </c>
    </row>
    <row r="512" spans="1:14" x14ac:dyDescent="0.2">
      <c r="A512">
        <v>511</v>
      </c>
      <c r="B512">
        <v>1267</v>
      </c>
      <c r="C512">
        <f>1/COUNTIF(B:B,Table1[[#This Row],[order_id]])</f>
        <v>0.5</v>
      </c>
      <c r="D512" t="str">
        <f>TEXT(Table1[[#This Row],[order_date]],"mmmm")</f>
        <v>February</v>
      </c>
      <c r="E512" s="1">
        <v>45338</v>
      </c>
      <c r="F512" s="1" t="str">
        <f>TEXT(Table1[[#This Row],[order_date]],"dddd")</f>
        <v>Friday</v>
      </c>
      <c r="G512">
        <f>HOUR(Table1[[#This Row],[order_time]])</f>
        <v>13</v>
      </c>
      <c r="H512" s="2">
        <v>0.55554398148148143</v>
      </c>
      <c r="I512" t="s">
        <v>11</v>
      </c>
      <c r="J512" t="s">
        <v>25</v>
      </c>
      <c r="K512">
        <v>1</v>
      </c>
      <c r="L512">
        <v>1000</v>
      </c>
      <c r="M512">
        <v>1000</v>
      </c>
      <c r="N512">
        <f>IF(COUNTIFS($B$2:B512,B512)=1,1,0)</f>
        <v>1</v>
      </c>
    </row>
    <row r="513" spans="1:14" x14ac:dyDescent="0.2">
      <c r="A513">
        <v>512</v>
      </c>
      <c r="B513">
        <v>1267</v>
      </c>
      <c r="C513">
        <f>1/COUNTIF(B:B,Table1[[#This Row],[order_id]])</f>
        <v>0.5</v>
      </c>
      <c r="D513" t="str">
        <f>TEXT(Table1[[#This Row],[order_date]],"mmmm")</f>
        <v>February</v>
      </c>
      <c r="E513" s="1">
        <v>45338</v>
      </c>
      <c r="F513" s="1" t="str">
        <f>TEXT(Table1[[#This Row],[order_date]],"dddd")</f>
        <v>Friday</v>
      </c>
      <c r="G513">
        <f>HOUR(Table1[[#This Row],[order_time]])</f>
        <v>13</v>
      </c>
      <c r="H513" s="2">
        <v>0.55377314814814815</v>
      </c>
      <c r="I513" t="s">
        <v>11</v>
      </c>
      <c r="J513" t="s">
        <v>12</v>
      </c>
      <c r="K513">
        <v>5</v>
      </c>
      <c r="L513">
        <v>650</v>
      </c>
      <c r="M513">
        <v>3250</v>
      </c>
      <c r="N513">
        <f>IF(COUNTIFS($B$2:B513,B513)=1,1,0)</f>
        <v>0</v>
      </c>
    </row>
    <row r="514" spans="1:14" x14ac:dyDescent="0.2">
      <c r="A514">
        <v>513</v>
      </c>
      <c r="B514">
        <v>1268</v>
      </c>
      <c r="C514">
        <f>1/COUNTIF(B:B,Table1[[#This Row],[order_id]])</f>
        <v>0.33333333333333331</v>
      </c>
      <c r="D514" t="str">
        <f>TEXT(Table1[[#This Row],[order_date]],"mmmm")</f>
        <v>February</v>
      </c>
      <c r="E514" s="1">
        <v>45338</v>
      </c>
      <c r="F514" s="1" t="str">
        <f>TEXT(Table1[[#This Row],[order_date]],"dddd")</f>
        <v>Friday</v>
      </c>
      <c r="G514">
        <f>HOUR(Table1[[#This Row],[order_time]])</f>
        <v>11</v>
      </c>
      <c r="H514" s="2">
        <v>0.47695601851851854</v>
      </c>
      <c r="I514" t="s">
        <v>18</v>
      </c>
      <c r="J514" t="s">
        <v>27</v>
      </c>
      <c r="K514">
        <v>4</v>
      </c>
      <c r="L514">
        <v>40</v>
      </c>
      <c r="M514">
        <v>160</v>
      </c>
      <c r="N514">
        <f>IF(COUNTIFS($B$2:B514,B514)=1,1,0)</f>
        <v>1</v>
      </c>
    </row>
    <row r="515" spans="1:14" x14ac:dyDescent="0.2">
      <c r="A515">
        <v>514</v>
      </c>
      <c r="B515">
        <v>1268</v>
      </c>
      <c r="C515">
        <f>1/COUNTIF(B:B,Table1[[#This Row],[order_id]])</f>
        <v>0.33333333333333331</v>
      </c>
      <c r="D515" t="str">
        <f>TEXT(Table1[[#This Row],[order_date]],"mmmm")</f>
        <v>February</v>
      </c>
      <c r="E515" s="1">
        <v>45338</v>
      </c>
      <c r="F515" s="1" t="str">
        <f>TEXT(Table1[[#This Row],[order_date]],"dddd")</f>
        <v>Friday</v>
      </c>
      <c r="G515">
        <f>HOUR(Table1[[#This Row],[order_time]])</f>
        <v>10</v>
      </c>
      <c r="H515" s="2">
        <v>0.44287037037037036</v>
      </c>
      <c r="I515" t="s">
        <v>18</v>
      </c>
      <c r="J515" t="s">
        <v>31</v>
      </c>
      <c r="K515">
        <v>3</v>
      </c>
      <c r="L515">
        <v>45</v>
      </c>
      <c r="M515">
        <v>135</v>
      </c>
      <c r="N515">
        <f>IF(COUNTIFS($B$2:B515,B515)=1,1,0)</f>
        <v>0</v>
      </c>
    </row>
    <row r="516" spans="1:14" x14ac:dyDescent="0.2">
      <c r="A516">
        <v>515</v>
      </c>
      <c r="B516">
        <v>1268</v>
      </c>
      <c r="C516">
        <f>1/COUNTIF(B:B,Table1[[#This Row],[order_id]])</f>
        <v>0.33333333333333331</v>
      </c>
      <c r="D516" t="str">
        <f>TEXT(Table1[[#This Row],[order_date]],"mmmm")</f>
        <v>February</v>
      </c>
      <c r="E516" s="1">
        <v>45338</v>
      </c>
      <c r="F516" s="1" t="str">
        <f>TEXT(Table1[[#This Row],[order_date]],"dddd")</f>
        <v>Friday</v>
      </c>
      <c r="G516">
        <f>HOUR(Table1[[#This Row],[order_time]])</f>
        <v>12</v>
      </c>
      <c r="H516" s="2">
        <v>0.50853009259259263</v>
      </c>
      <c r="I516" t="s">
        <v>9</v>
      </c>
      <c r="J516" t="s">
        <v>22</v>
      </c>
      <c r="K516">
        <v>5</v>
      </c>
      <c r="L516">
        <v>15</v>
      </c>
      <c r="M516">
        <v>75</v>
      </c>
      <c r="N516">
        <f>IF(COUNTIFS($B$2:B516,B516)=1,1,0)</f>
        <v>0</v>
      </c>
    </row>
    <row r="517" spans="1:14" x14ac:dyDescent="0.2">
      <c r="A517">
        <v>516</v>
      </c>
      <c r="B517">
        <v>1269</v>
      </c>
      <c r="C517">
        <f>1/COUNTIF(B:B,Table1[[#This Row],[order_id]])</f>
        <v>0.33333333333333331</v>
      </c>
      <c r="D517" t="str">
        <f>TEXT(Table1[[#This Row],[order_date]],"mmmm")</f>
        <v>February</v>
      </c>
      <c r="E517" s="1">
        <v>45338</v>
      </c>
      <c r="F517" s="1" t="str">
        <f>TEXT(Table1[[#This Row],[order_date]],"dddd")</f>
        <v>Friday</v>
      </c>
      <c r="G517">
        <f>HOUR(Table1[[#This Row],[order_time]])</f>
        <v>14</v>
      </c>
      <c r="H517" s="2">
        <v>0.62304398148148143</v>
      </c>
      <c r="I517" t="s">
        <v>11</v>
      </c>
      <c r="J517" t="s">
        <v>15</v>
      </c>
      <c r="K517">
        <v>3</v>
      </c>
      <c r="L517">
        <v>600</v>
      </c>
      <c r="M517">
        <v>1800</v>
      </c>
      <c r="N517">
        <f>IF(COUNTIFS($B$2:B517,B517)=1,1,0)</f>
        <v>1</v>
      </c>
    </row>
    <row r="518" spans="1:14" x14ac:dyDescent="0.2">
      <c r="A518">
        <v>517</v>
      </c>
      <c r="B518">
        <v>1269</v>
      </c>
      <c r="C518">
        <f>1/COUNTIF(B:B,Table1[[#This Row],[order_id]])</f>
        <v>0.33333333333333331</v>
      </c>
      <c r="D518" t="str">
        <f>TEXT(Table1[[#This Row],[order_date]],"mmmm")</f>
        <v>February</v>
      </c>
      <c r="E518" s="1">
        <v>45338</v>
      </c>
      <c r="F518" s="1" t="str">
        <f>TEXT(Table1[[#This Row],[order_date]],"dddd")</f>
        <v>Friday</v>
      </c>
      <c r="G518">
        <f>HOUR(Table1[[#This Row],[order_time]])</f>
        <v>16</v>
      </c>
      <c r="H518" s="2">
        <v>0.69686342592592587</v>
      </c>
      <c r="I518" t="s">
        <v>18</v>
      </c>
      <c r="J518" t="s">
        <v>27</v>
      </c>
      <c r="K518">
        <v>4</v>
      </c>
      <c r="L518">
        <v>40</v>
      </c>
      <c r="M518">
        <v>160</v>
      </c>
      <c r="N518">
        <f>IF(COUNTIFS($B$2:B518,B518)=1,1,0)</f>
        <v>0</v>
      </c>
    </row>
    <row r="519" spans="1:14" x14ac:dyDescent="0.2">
      <c r="A519">
        <v>518</v>
      </c>
      <c r="B519">
        <v>1269</v>
      </c>
      <c r="C519">
        <f>1/COUNTIF(B:B,Table1[[#This Row],[order_id]])</f>
        <v>0.33333333333333331</v>
      </c>
      <c r="D519" t="str">
        <f>TEXT(Table1[[#This Row],[order_date]],"mmmm")</f>
        <v>February</v>
      </c>
      <c r="E519" s="1">
        <v>45338</v>
      </c>
      <c r="F519" s="1" t="str">
        <f>TEXT(Table1[[#This Row],[order_date]],"dddd")</f>
        <v>Friday</v>
      </c>
      <c r="G519">
        <f>HOUR(Table1[[#This Row],[order_time]])</f>
        <v>17</v>
      </c>
      <c r="H519" s="2">
        <v>0.73585648148148153</v>
      </c>
      <c r="I519" t="s">
        <v>9</v>
      </c>
      <c r="J519" t="s">
        <v>22</v>
      </c>
      <c r="K519">
        <v>3</v>
      </c>
      <c r="L519">
        <v>15</v>
      </c>
      <c r="M519">
        <v>45</v>
      </c>
      <c r="N519">
        <f>IF(COUNTIFS($B$2:B519,B519)=1,1,0)</f>
        <v>0</v>
      </c>
    </row>
    <row r="520" spans="1:14" x14ac:dyDescent="0.2">
      <c r="A520">
        <v>519</v>
      </c>
      <c r="B520">
        <v>1270</v>
      </c>
      <c r="C520">
        <f>1/COUNTIF(B:B,Table1[[#This Row],[order_id]])</f>
        <v>0.33333333333333331</v>
      </c>
      <c r="D520" t="str">
        <f>TEXT(Table1[[#This Row],[order_date]],"mmmm")</f>
        <v>February</v>
      </c>
      <c r="E520" s="1">
        <v>45338</v>
      </c>
      <c r="F520" s="1" t="str">
        <f>TEXT(Table1[[#This Row],[order_date]],"dddd")</f>
        <v>Friday</v>
      </c>
      <c r="G520">
        <f>HOUR(Table1[[#This Row],[order_time]])</f>
        <v>9</v>
      </c>
      <c r="H520" s="2">
        <v>0.37714120370370369</v>
      </c>
      <c r="I520" t="s">
        <v>16</v>
      </c>
      <c r="J520" t="s">
        <v>23</v>
      </c>
      <c r="K520">
        <v>4</v>
      </c>
      <c r="L520">
        <v>30</v>
      </c>
      <c r="M520">
        <v>120</v>
      </c>
      <c r="N520">
        <f>IF(COUNTIFS($B$2:B520,B520)=1,1,0)</f>
        <v>1</v>
      </c>
    </row>
    <row r="521" spans="1:14" x14ac:dyDescent="0.2">
      <c r="A521">
        <v>520</v>
      </c>
      <c r="B521">
        <v>1270</v>
      </c>
      <c r="C521">
        <f>1/COUNTIF(B:B,Table1[[#This Row],[order_id]])</f>
        <v>0.33333333333333331</v>
      </c>
      <c r="D521" t="str">
        <f>TEXT(Table1[[#This Row],[order_date]],"mmmm")</f>
        <v>February</v>
      </c>
      <c r="E521" s="1">
        <v>45338</v>
      </c>
      <c r="F521" s="1" t="str">
        <f>TEXT(Table1[[#This Row],[order_date]],"dddd")</f>
        <v>Friday</v>
      </c>
      <c r="G521">
        <f>HOUR(Table1[[#This Row],[order_time]])</f>
        <v>12</v>
      </c>
      <c r="H521" s="2">
        <v>0.53678240740740746</v>
      </c>
      <c r="I521" t="s">
        <v>18</v>
      </c>
      <c r="J521" t="s">
        <v>26</v>
      </c>
      <c r="K521">
        <v>1</v>
      </c>
      <c r="L521">
        <v>55</v>
      </c>
      <c r="M521">
        <v>55</v>
      </c>
      <c r="N521">
        <f>IF(COUNTIFS($B$2:B521,B521)=1,1,0)</f>
        <v>0</v>
      </c>
    </row>
    <row r="522" spans="1:14" x14ac:dyDescent="0.2">
      <c r="A522">
        <v>521</v>
      </c>
      <c r="B522">
        <v>1270</v>
      </c>
      <c r="C522">
        <f>1/COUNTIF(B:B,Table1[[#This Row],[order_id]])</f>
        <v>0.33333333333333331</v>
      </c>
      <c r="D522" t="str">
        <f>TEXT(Table1[[#This Row],[order_date]],"mmmm")</f>
        <v>February</v>
      </c>
      <c r="E522" s="1">
        <v>45338</v>
      </c>
      <c r="F522" s="1" t="str">
        <f>TEXT(Table1[[#This Row],[order_date]],"dddd")</f>
        <v>Friday</v>
      </c>
      <c r="G522">
        <f>HOUR(Table1[[#This Row],[order_time]])</f>
        <v>17</v>
      </c>
      <c r="H522" s="2">
        <v>0.72965277777777782</v>
      </c>
      <c r="I522" t="s">
        <v>16</v>
      </c>
      <c r="J522" t="s">
        <v>24</v>
      </c>
      <c r="K522">
        <v>1</v>
      </c>
      <c r="L522">
        <v>35</v>
      </c>
      <c r="M522">
        <v>35</v>
      </c>
      <c r="N522">
        <f>IF(COUNTIFS($B$2:B522,B522)=1,1,0)</f>
        <v>0</v>
      </c>
    </row>
    <row r="523" spans="1:14" x14ac:dyDescent="0.2">
      <c r="A523">
        <v>522</v>
      </c>
      <c r="B523">
        <v>1271</v>
      </c>
      <c r="C523">
        <f>1/COUNTIF(B:B,Table1[[#This Row],[order_id]])</f>
        <v>0.33333333333333331</v>
      </c>
      <c r="D523" t="str">
        <f>TEXT(Table1[[#This Row],[order_date]],"mmmm")</f>
        <v>February</v>
      </c>
      <c r="E523" s="1">
        <v>45338</v>
      </c>
      <c r="F523" s="1" t="str">
        <f>TEXT(Table1[[#This Row],[order_date]],"dddd")</f>
        <v>Friday</v>
      </c>
      <c r="G523">
        <f>HOUR(Table1[[#This Row],[order_time]])</f>
        <v>12</v>
      </c>
      <c r="H523" s="2">
        <v>0.50249999999999995</v>
      </c>
      <c r="I523" t="s">
        <v>16</v>
      </c>
      <c r="J523" t="s">
        <v>28</v>
      </c>
      <c r="K523">
        <v>5</v>
      </c>
      <c r="L523">
        <v>25</v>
      </c>
      <c r="M523">
        <v>125</v>
      </c>
      <c r="N523">
        <f>IF(COUNTIFS($B$2:B523,B523)=1,1,0)</f>
        <v>1</v>
      </c>
    </row>
    <row r="524" spans="1:14" x14ac:dyDescent="0.2">
      <c r="A524">
        <v>523</v>
      </c>
      <c r="B524">
        <v>1271</v>
      </c>
      <c r="C524">
        <f>1/COUNTIF(B:B,Table1[[#This Row],[order_id]])</f>
        <v>0.33333333333333331</v>
      </c>
      <c r="D524" t="str">
        <f>TEXT(Table1[[#This Row],[order_date]],"mmmm")</f>
        <v>February</v>
      </c>
      <c r="E524" s="1">
        <v>45338</v>
      </c>
      <c r="F524" s="1" t="str">
        <f>TEXT(Table1[[#This Row],[order_date]],"dddd")</f>
        <v>Friday</v>
      </c>
      <c r="G524">
        <f>HOUR(Table1[[#This Row],[order_time]])</f>
        <v>11</v>
      </c>
      <c r="H524" s="2">
        <v>0.49467592592592591</v>
      </c>
      <c r="I524" t="s">
        <v>9</v>
      </c>
      <c r="J524" t="s">
        <v>20</v>
      </c>
      <c r="K524">
        <v>4</v>
      </c>
      <c r="L524">
        <v>25</v>
      </c>
      <c r="M524">
        <v>100</v>
      </c>
      <c r="N524">
        <f>IF(COUNTIFS($B$2:B524,B524)=1,1,0)</f>
        <v>0</v>
      </c>
    </row>
    <row r="525" spans="1:14" x14ac:dyDescent="0.2">
      <c r="A525">
        <v>524</v>
      </c>
      <c r="B525">
        <v>1271</v>
      </c>
      <c r="C525">
        <f>1/COUNTIF(B:B,Table1[[#This Row],[order_id]])</f>
        <v>0.33333333333333331</v>
      </c>
      <c r="D525" t="str">
        <f>TEXT(Table1[[#This Row],[order_date]],"mmmm")</f>
        <v>February</v>
      </c>
      <c r="E525" s="1">
        <v>45338</v>
      </c>
      <c r="F525" s="1" t="str">
        <f>TEXT(Table1[[#This Row],[order_date]],"dddd")</f>
        <v>Friday</v>
      </c>
      <c r="G525">
        <f>HOUR(Table1[[#This Row],[order_time]])</f>
        <v>18</v>
      </c>
      <c r="H525" s="2">
        <v>0.77847222222222223</v>
      </c>
      <c r="I525" t="s">
        <v>11</v>
      </c>
      <c r="J525" t="s">
        <v>15</v>
      </c>
      <c r="K525">
        <v>1</v>
      </c>
      <c r="L525">
        <v>600</v>
      </c>
      <c r="M525">
        <v>600</v>
      </c>
      <c r="N525">
        <f>IF(COUNTIFS($B$2:B525,B525)=1,1,0)</f>
        <v>0</v>
      </c>
    </row>
    <row r="526" spans="1:14" x14ac:dyDescent="0.2">
      <c r="A526">
        <v>525</v>
      </c>
      <c r="B526">
        <v>1272</v>
      </c>
      <c r="C526">
        <f>1/COUNTIF(B:B,Table1[[#This Row],[order_id]])</f>
        <v>0.5</v>
      </c>
      <c r="D526" t="str">
        <f>TEXT(Table1[[#This Row],[order_date]],"mmmm")</f>
        <v>February</v>
      </c>
      <c r="E526" s="1">
        <v>45338</v>
      </c>
      <c r="F526" s="1" t="str">
        <f>TEXT(Table1[[#This Row],[order_date]],"dddd")</f>
        <v>Friday</v>
      </c>
      <c r="G526">
        <f>HOUR(Table1[[#This Row],[order_time]])</f>
        <v>18</v>
      </c>
      <c r="H526" s="2">
        <v>0.78422453703703698</v>
      </c>
      <c r="I526" t="s">
        <v>18</v>
      </c>
      <c r="J526" t="s">
        <v>30</v>
      </c>
      <c r="K526">
        <v>1</v>
      </c>
      <c r="L526">
        <v>60</v>
      </c>
      <c r="M526">
        <v>60</v>
      </c>
      <c r="N526">
        <f>IF(COUNTIFS($B$2:B526,B526)=1,1,0)</f>
        <v>1</v>
      </c>
    </row>
    <row r="527" spans="1:14" x14ac:dyDescent="0.2">
      <c r="A527">
        <v>526</v>
      </c>
      <c r="B527">
        <v>1272</v>
      </c>
      <c r="C527">
        <f>1/COUNTIF(B:B,Table1[[#This Row],[order_id]])</f>
        <v>0.5</v>
      </c>
      <c r="D527" t="str">
        <f>TEXT(Table1[[#This Row],[order_date]],"mmmm")</f>
        <v>February</v>
      </c>
      <c r="E527" s="1">
        <v>45338</v>
      </c>
      <c r="F527" s="1" t="str">
        <f>TEXT(Table1[[#This Row],[order_date]],"dddd")</f>
        <v>Friday</v>
      </c>
      <c r="G527">
        <f>HOUR(Table1[[#This Row],[order_time]])</f>
        <v>9</v>
      </c>
      <c r="H527" s="2">
        <v>0.39023148148148146</v>
      </c>
      <c r="I527" t="s">
        <v>16</v>
      </c>
      <c r="J527" t="s">
        <v>24</v>
      </c>
      <c r="K527">
        <v>4</v>
      </c>
      <c r="L527">
        <v>35</v>
      </c>
      <c r="M527">
        <v>140</v>
      </c>
      <c r="N527">
        <f>IF(COUNTIFS($B$2:B527,B527)=1,1,0)</f>
        <v>0</v>
      </c>
    </row>
    <row r="528" spans="1:14" x14ac:dyDescent="0.2">
      <c r="A528">
        <v>527</v>
      </c>
      <c r="B528">
        <v>1273</v>
      </c>
      <c r="C528">
        <f>1/COUNTIF(B:B,Table1[[#This Row],[order_id]])</f>
        <v>1</v>
      </c>
      <c r="D528" t="str">
        <f>TEXT(Table1[[#This Row],[order_date]],"mmmm")</f>
        <v>February</v>
      </c>
      <c r="E528" s="1">
        <v>45338</v>
      </c>
      <c r="F528" s="1" t="str">
        <f>TEXT(Table1[[#This Row],[order_date]],"dddd")</f>
        <v>Friday</v>
      </c>
      <c r="G528">
        <f>HOUR(Table1[[#This Row],[order_time]])</f>
        <v>14</v>
      </c>
      <c r="H528" s="2">
        <v>0.61623842592592593</v>
      </c>
      <c r="I528" t="s">
        <v>16</v>
      </c>
      <c r="J528" t="s">
        <v>23</v>
      </c>
      <c r="K528">
        <v>2</v>
      </c>
      <c r="L528">
        <v>30</v>
      </c>
      <c r="M528">
        <v>60</v>
      </c>
      <c r="N528">
        <f>IF(COUNTIFS($B$2:B528,B528)=1,1,0)</f>
        <v>1</v>
      </c>
    </row>
    <row r="529" spans="1:14" x14ac:dyDescent="0.2">
      <c r="A529">
        <v>528</v>
      </c>
      <c r="B529">
        <v>1274</v>
      </c>
      <c r="C529">
        <f>1/COUNTIF(B:B,Table1[[#This Row],[order_id]])</f>
        <v>0.33333333333333331</v>
      </c>
      <c r="D529" t="str">
        <f>TEXT(Table1[[#This Row],[order_date]],"mmmm")</f>
        <v>February</v>
      </c>
      <c r="E529" s="1">
        <v>45339</v>
      </c>
      <c r="F529" s="1" t="str">
        <f>TEXT(Table1[[#This Row],[order_date]],"dddd")</f>
        <v>Saturday</v>
      </c>
      <c r="G529">
        <f>HOUR(Table1[[#This Row],[order_time]])</f>
        <v>19</v>
      </c>
      <c r="H529" s="2">
        <v>0.81615740740740739</v>
      </c>
      <c r="I529" t="s">
        <v>16</v>
      </c>
      <c r="J529" t="s">
        <v>28</v>
      </c>
      <c r="K529">
        <v>4</v>
      </c>
      <c r="L529">
        <v>25</v>
      </c>
      <c r="M529">
        <v>100</v>
      </c>
      <c r="N529">
        <f>IF(COUNTIFS($B$2:B529,B529)=1,1,0)</f>
        <v>1</v>
      </c>
    </row>
    <row r="530" spans="1:14" x14ac:dyDescent="0.2">
      <c r="A530">
        <v>529</v>
      </c>
      <c r="B530">
        <v>1274</v>
      </c>
      <c r="C530">
        <f>1/COUNTIF(B:B,Table1[[#This Row],[order_id]])</f>
        <v>0.33333333333333331</v>
      </c>
      <c r="D530" t="str">
        <f>TEXT(Table1[[#This Row],[order_date]],"mmmm")</f>
        <v>February</v>
      </c>
      <c r="E530" s="1">
        <v>45339</v>
      </c>
      <c r="F530" s="1" t="str">
        <f>TEXT(Table1[[#This Row],[order_date]],"dddd")</f>
        <v>Saturday</v>
      </c>
      <c r="G530">
        <f>HOUR(Table1[[#This Row],[order_time]])</f>
        <v>13</v>
      </c>
      <c r="H530" s="2">
        <v>0.5806365740740741</v>
      </c>
      <c r="I530" t="s">
        <v>9</v>
      </c>
      <c r="J530" t="s">
        <v>20</v>
      </c>
      <c r="K530">
        <v>1</v>
      </c>
      <c r="L530">
        <v>25</v>
      </c>
      <c r="M530">
        <v>25</v>
      </c>
      <c r="N530">
        <f>IF(COUNTIFS($B$2:B530,B530)=1,1,0)</f>
        <v>0</v>
      </c>
    </row>
    <row r="531" spans="1:14" x14ac:dyDescent="0.2">
      <c r="A531">
        <v>530</v>
      </c>
      <c r="B531">
        <v>1274</v>
      </c>
      <c r="C531">
        <f>1/COUNTIF(B:B,Table1[[#This Row],[order_id]])</f>
        <v>0.33333333333333331</v>
      </c>
      <c r="D531" t="str">
        <f>TEXT(Table1[[#This Row],[order_date]],"mmmm")</f>
        <v>February</v>
      </c>
      <c r="E531" s="1">
        <v>45339</v>
      </c>
      <c r="F531" s="1" t="str">
        <f>TEXT(Table1[[#This Row],[order_date]],"dddd")</f>
        <v>Saturday</v>
      </c>
      <c r="G531">
        <f>HOUR(Table1[[#This Row],[order_time]])</f>
        <v>10</v>
      </c>
      <c r="H531" s="2">
        <v>0.4352199074074074</v>
      </c>
      <c r="I531" t="s">
        <v>9</v>
      </c>
      <c r="J531" t="s">
        <v>22</v>
      </c>
      <c r="K531">
        <v>3</v>
      </c>
      <c r="L531">
        <v>15</v>
      </c>
      <c r="M531">
        <v>45</v>
      </c>
      <c r="N531">
        <f>IF(COUNTIFS($B$2:B531,B531)=1,1,0)</f>
        <v>0</v>
      </c>
    </row>
    <row r="532" spans="1:14" x14ac:dyDescent="0.2">
      <c r="A532">
        <v>531</v>
      </c>
      <c r="B532">
        <v>1275</v>
      </c>
      <c r="C532">
        <f>1/COUNTIF(B:B,Table1[[#This Row],[order_id]])</f>
        <v>1</v>
      </c>
      <c r="D532" t="str">
        <f>TEXT(Table1[[#This Row],[order_date]],"mmmm")</f>
        <v>February</v>
      </c>
      <c r="E532" s="1">
        <v>45339</v>
      </c>
      <c r="F532" s="1" t="str">
        <f>TEXT(Table1[[#This Row],[order_date]],"dddd")</f>
        <v>Saturday</v>
      </c>
      <c r="G532">
        <f>HOUR(Table1[[#This Row],[order_time]])</f>
        <v>12</v>
      </c>
      <c r="H532" s="2">
        <v>0.52194444444444443</v>
      </c>
      <c r="I532" t="s">
        <v>16</v>
      </c>
      <c r="J532" t="s">
        <v>24</v>
      </c>
      <c r="K532">
        <v>2</v>
      </c>
      <c r="L532">
        <v>35</v>
      </c>
      <c r="M532">
        <v>70</v>
      </c>
      <c r="N532">
        <f>IF(COUNTIFS($B$2:B532,B532)=1,1,0)</f>
        <v>1</v>
      </c>
    </row>
    <row r="533" spans="1:14" x14ac:dyDescent="0.2">
      <c r="A533">
        <v>532</v>
      </c>
      <c r="B533">
        <v>1276</v>
      </c>
      <c r="C533">
        <f>1/COUNTIF(B:B,Table1[[#This Row],[order_id]])</f>
        <v>0.33333333333333331</v>
      </c>
      <c r="D533" t="str">
        <f>TEXT(Table1[[#This Row],[order_date]],"mmmm")</f>
        <v>February</v>
      </c>
      <c r="E533" s="1">
        <v>45339</v>
      </c>
      <c r="F533" s="1" t="str">
        <f>TEXT(Table1[[#This Row],[order_date]],"dddd")</f>
        <v>Saturday</v>
      </c>
      <c r="G533">
        <f>HOUR(Table1[[#This Row],[order_time]])</f>
        <v>18</v>
      </c>
      <c r="H533" s="2">
        <v>0.78749999999999998</v>
      </c>
      <c r="I533" t="s">
        <v>16</v>
      </c>
      <c r="J533" t="s">
        <v>28</v>
      </c>
      <c r="K533">
        <v>1</v>
      </c>
      <c r="L533">
        <v>25</v>
      </c>
      <c r="M533">
        <v>25</v>
      </c>
      <c r="N533">
        <f>IF(COUNTIFS($B$2:B533,B533)=1,1,0)</f>
        <v>1</v>
      </c>
    </row>
    <row r="534" spans="1:14" x14ac:dyDescent="0.2">
      <c r="A534">
        <v>533</v>
      </c>
      <c r="B534">
        <v>1276</v>
      </c>
      <c r="C534">
        <f>1/COUNTIF(B:B,Table1[[#This Row],[order_id]])</f>
        <v>0.33333333333333331</v>
      </c>
      <c r="D534" t="str">
        <f>TEXT(Table1[[#This Row],[order_date]],"mmmm")</f>
        <v>February</v>
      </c>
      <c r="E534" s="1">
        <v>45339</v>
      </c>
      <c r="F534" s="1" t="str">
        <f>TEXT(Table1[[#This Row],[order_date]],"dddd")</f>
        <v>Saturday</v>
      </c>
      <c r="G534">
        <f>HOUR(Table1[[#This Row],[order_time]])</f>
        <v>9</v>
      </c>
      <c r="H534" s="2">
        <v>0.38035879629629632</v>
      </c>
      <c r="I534" t="s">
        <v>11</v>
      </c>
      <c r="J534" t="s">
        <v>12</v>
      </c>
      <c r="K534">
        <v>2</v>
      </c>
      <c r="L534">
        <v>650</v>
      </c>
      <c r="M534">
        <v>1300</v>
      </c>
      <c r="N534">
        <f>IF(COUNTIFS($B$2:B534,B534)=1,1,0)</f>
        <v>0</v>
      </c>
    </row>
    <row r="535" spans="1:14" x14ac:dyDescent="0.2">
      <c r="A535">
        <v>534</v>
      </c>
      <c r="B535">
        <v>1276</v>
      </c>
      <c r="C535">
        <f>1/COUNTIF(B:B,Table1[[#This Row],[order_id]])</f>
        <v>0.33333333333333331</v>
      </c>
      <c r="D535" t="str">
        <f>TEXT(Table1[[#This Row],[order_date]],"mmmm")</f>
        <v>February</v>
      </c>
      <c r="E535" s="1">
        <v>45339</v>
      </c>
      <c r="F535" s="1" t="str">
        <f>TEXT(Table1[[#This Row],[order_date]],"dddd")</f>
        <v>Saturday</v>
      </c>
      <c r="G535">
        <f>HOUR(Table1[[#This Row],[order_time]])</f>
        <v>17</v>
      </c>
      <c r="H535" s="2">
        <v>0.72729166666666667</v>
      </c>
      <c r="I535" t="s">
        <v>18</v>
      </c>
      <c r="J535" t="s">
        <v>30</v>
      </c>
      <c r="K535">
        <v>1</v>
      </c>
      <c r="L535">
        <v>60</v>
      </c>
      <c r="M535">
        <v>60</v>
      </c>
      <c r="N535">
        <f>IF(COUNTIFS($B$2:B535,B535)=1,1,0)</f>
        <v>0</v>
      </c>
    </row>
    <row r="536" spans="1:14" x14ac:dyDescent="0.2">
      <c r="A536">
        <v>535</v>
      </c>
      <c r="B536">
        <v>1277</v>
      </c>
      <c r="C536">
        <f>1/COUNTIF(B:B,Table1[[#This Row],[order_id]])</f>
        <v>0.5</v>
      </c>
      <c r="D536" t="str">
        <f>TEXT(Table1[[#This Row],[order_date]],"mmmm")</f>
        <v>February</v>
      </c>
      <c r="E536" s="1">
        <v>45339</v>
      </c>
      <c r="F536" s="1" t="str">
        <f>TEXT(Table1[[#This Row],[order_date]],"dddd")</f>
        <v>Saturday</v>
      </c>
      <c r="G536">
        <f>HOUR(Table1[[#This Row],[order_time]])</f>
        <v>14</v>
      </c>
      <c r="H536" s="2">
        <v>0.61653935185185182</v>
      </c>
      <c r="I536" t="s">
        <v>9</v>
      </c>
      <c r="J536" t="s">
        <v>10</v>
      </c>
      <c r="K536">
        <v>5</v>
      </c>
      <c r="L536">
        <v>20</v>
      </c>
      <c r="M536">
        <v>100</v>
      </c>
      <c r="N536">
        <f>IF(COUNTIFS($B$2:B536,B536)=1,1,0)</f>
        <v>1</v>
      </c>
    </row>
    <row r="537" spans="1:14" x14ac:dyDescent="0.2">
      <c r="A537">
        <v>536</v>
      </c>
      <c r="B537">
        <v>1277</v>
      </c>
      <c r="C537">
        <f>1/COUNTIF(B:B,Table1[[#This Row],[order_id]])</f>
        <v>0.5</v>
      </c>
      <c r="D537" t="str">
        <f>TEXT(Table1[[#This Row],[order_date]],"mmmm")</f>
        <v>February</v>
      </c>
      <c r="E537" s="1">
        <v>45339</v>
      </c>
      <c r="F537" s="1" t="str">
        <f>TEXT(Table1[[#This Row],[order_date]],"dddd")</f>
        <v>Saturday</v>
      </c>
      <c r="G537">
        <f>HOUR(Table1[[#This Row],[order_time]])</f>
        <v>12</v>
      </c>
      <c r="H537" s="2">
        <v>0.50364583333333335</v>
      </c>
      <c r="I537" t="s">
        <v>11</v>
      </c>
      <c r="J537" t="s">
        <v>15</v>
      </c>
      <c r="K537">
        <v>2</v>
      </c>
      <c r="L537">
        <v>600</v>
      </c>
      <c r="M537">
        <v>1200</v>
      </c>
      <c r="N537">
        <f>IF(COUNTIFS($B$2:B537,B537)=1,1,0)</f>
        <v>0</v>
      </c>
    </row>
    <row r="538" spans="1:14" x14ac:dyDescent="0.2">
      <c r="A538">
        <v>537</v>
      </c>
      <c r="B538">
        <v>1278</v>
      </c>
      <c r="C538">
        <f>1/COUNTIF(B:B,Table1[[#This Row],[order_id]])</f>
        <v>0.5</v>
      </c>
      <c r="D538" t="str">
        <f>TEXT(Table1[[#This Row],[order_date]],"mmmm")</f>
        <v>February</v>
      </c>
      <c r="E538" s="1">
        <v>45339</v>
      </c>
      <c r="F538" s="1" t="str">
        <f>TEXT(Table1[[#This Row],[order_date]],"dddd")</f>
        <v>Saturday</v>
      </c>
      <c r="G538">
        <f>HOUR(Table1[[#This Row],[order_time]])</f>
        <v>10</v>
      </c>
      <c r="H538" s="2">
        <v>0.4544212962962963</v>
      </c>
      <c r="I538" t="s">
        <v>11</v>
      </c>
      <c r="J538" t="s">
        <v>14</v>
      </c>
      <c r="K538">
        <v>4</v>
      </c>
      <c r="L538">
        <v>700</v>
      </c>
      <c r="M538">
        <v>2800</v>
      </c>
      <c r="N538">
        <f>IF(COUNTIFS($B$2:B538,B538)=1,1,0)</f>
        <v>1</v>
      </c>
    </row>
    <row r="539" spans="1:14" x14ac:dyDescent="0.2">
      <c r="A539">
        <v>538</v>
      </c>
      <c r="B539">
        <v>1278</v>
      </c>
      <c r="C539">
        <f>1/COUNTIF(B:B,Table1[[#This Row],[order_id]])</f>
        <v>0.5</v>
      </c>
      <c r="D539" t="str">
        <f>TEXT(Table1[[#This Row],[order_date]],"mmmm")</f>
        <v>February</v>
      </c>
      <c r="E539" s="1">
        <v>45339</v>
      </c>
      <c r="F539" s="1" t="str">
        <f>TEXT(Table1[[#This Row],[order_date]],"dddd")</f>
        <v>Saturday</v>
      </c>
      <c r="G539">
        <f>HOUR(Table1[[#This Row],[order_time]])</f>
        <v>12</v>
      </c>
      <c r="H539" s="2">
        <v>0.53645833333333337</v>
      </c>
      <c r="I539" t="s">
        <v>16</v>
      </c>
      <c r="J539" t="s">
        <v>17</v>
      </c>
      <c r="K539">
        <v>1</v>
      </c>
      <c r="L539">
        <v>20</v>
      </c>
      <c r="M539">
        <v>20</v>
      </c>
      <c r="N539">
        <f>IF(COUNTIFS($B$2:B539,B539)=1,1,0)</f>
        <v>0</v>
      </c>
    </row>
    <row r="540" spans="1:14" x14ac:dyDescent="0.2">
      <c r="A540">
        <v>539</v>
      </c>
      <c r="B540">
        <v>1279</v>
      </c>
      <c r="C540">
        <f>1/COUNTIF(B:B,Table1[[#This Row],[order_id]])</f>
        <v>0.5</v>
      </c>
      <c r="D540" t="str">
        <f>TEXT(Table1[[#This Row],[order_date]],"mmmm")</f>
        <v>February</v>
      </c>
      <c r="E540" s="1">
        <v>45340</v>
      </c>
      <c r="F540" s="1" t="str">
        <f>TEXT(Table1[[#This Row],[order_date]],"dddd")</f>
        <v>Sunday</v>
      </c>
      <c r="G540">
        <f>HOUR(Table1[[#This Row],[order_time]])</f>
        <v>13</v>
      </c>
      <c r="H540" s="2">
        <v>0.56634259259259256</v>
      </c>
      <c r="I540" t="s">
        <v>9</v>
      </c>
      <c r="J540" t="s">
        <v>29</v>
      </c>
      <c r="K540">
        <v>4</v>
      </c>
      <c r="L540">
        <v>5</v>
      </c>
      <c r="M540">
        <v>20</v>
      </c>
      <c r="N540">
        <f>IF(COUNTIFS($B$2:B540,B540)=1,1,0)</f>
        <v>1</v>
      </c>
    </row>
    <row r="541" spans="1:14" x14ac:dyDescent="0.2">
      <c r="A541">
        <v>540</v>
      </c>
      <c r="B541">
        <v>1279</v>
      </c>
      <c r="C541">
        <f>1/COUNTIF(B:B,Table1[[#This Row],[order_id]])</f>
        <v>0.5</v>
      </c>
      <c r="D541" t="str">
        <f>TEXT(Table1[[#This Row],[order_date]],"mmmm")</f>
        <v>February</v>
      </c>
      <c r="E541" s="1">
        <v>45340</v>
      </c>
      <c r="F541" s="1" t="str">
        <f>TEXT(Table1[[#This Row],[order_date]],"dddd")</f>
        <v>Sunday</v>
      </c>
      <c r="G541">
        <f>HOUR(Table1[[#This Row],[order_time]])</f>
        <v>15</v>
      </c>
      <c r="H541" s="2">
        <v>0.64871527777777782</v>
      </c>
      <c r="I541" t="s">
        <v>18</v>
      </c>
      <c r="J541" t="s">
        <v>31</v>
      </c>
      <c r="K541">
        <v>2</v>
      </c>
      <c r="L541">
        <v>45</v>
      </c>
      <c r="M541">
        <v>90</v>
      </c>
      <c r="N541">
        <f>IF(COUNTIFS($B$2:B541,B541)=1,1,0)</f>
        <v>0</v>
      </c>
    </row>
    <row r="542" spans="1:14" x14ac:dyDescent="0.2">
      <c r="A542">
        <v>541</v>
      </c>
      <c r="B542">
        <v>1280</v>
      </c>
      <c r="C542">
        <f>1/COUNTIF(B:B,Table1[[#This Row],[order_id]])</f>
        <v>1</v>
      </c>
      <c r="D542" t="str">
        <f>TEXT(Table1[[#This Row],[order_date]],"mmmm")</f>
        <v>February</v>
      </c>
      <c r="E542" s="1">
        <v>45340</v>
      </c>
      <c r="F542" s="1" t="str">
        <f>TEXT(Table1[[#This Row],[order_date]],"dddd")</f>
        <v>Sunday</v>
      </c>
      <c r="G542">
        <f>HOUR(Table1[[#This Row],[order_time]])</f>
        <v>11</v>
      </c>
      <c r="H542" s="2">
        <v>0.49016203703703703</v>
      </c>
      <c r="I542" t="s">
        <v>9</v>
      </c>
      <c r="J542" t="s">
        <v>22</v>
      </c>
      <c r="K542">
        <v>1</v>
      </c>
      <c r="L542">
        <v>15</v>
      </c>
      <c r="M542">
        <v>15</v>
      </c>
      <c r="N542">
        <f>IF(COUNTIFS($B$2:B542,B542)=1,1,0)</f>
        <v>1</v>
      </c>
    </row>
    <row r="543" spans="1:14" x14ac:dyDescent="0.2">
      <c r="A543">
        <v>542</v>
      </c>
      <c r="B543">
        <v>1281</v>
      </c>
      <c r="C543">
        <f>1/COUNTIF(B:B,Table1[[#This Row],[order_id]])</f>
        <v>1</v>
      </c>
      <c r="D543" t="str">
        <f>TEXT(Table1[[#This Row],[order_date]],"mmmm")</f>
        <v>February</v>
      </c>
      <c r="E543" s="1">
        <v>45340</v>
      </c>
      <c r="F543" s="1" t="str">
        <f>TEXT(Table1[[#This Row],[order_date]],"dddd")</f>
        <v>Sunday</v>
      </c>
      <c r="G543">
        <f>HOUR(Table1[[#This Row],[order_time]])</f>
        <v>11</v>
      </c>
      <c r="H543" s="2">
        <v>0.46076388888888886</v>
      </c>
      <c r="I543" t="s">
        <v>11</v>
      </c>
      <c r="J543" t="s">
        <v>12</v>
      </c>
      <c r="K543">
        <v>4</v>
      </c>
      <c r="L543">
        <v>650</v>
      </c>
      <c r="M543">
        <v>2600</v>
      </c>
      <c r="N543">
        <f>IF(COUNTIFS($B$2:B543,B543)=1,1,0)</f>
        <v>1</v>
      </c>
    </row>
    <row r="544" spans="1:14" x14ac:dyDescent="0.2">
      <c r="A544">
        <v>543</v>
      </c>
      <c r="B544">
        <v>1282</v>
      </c>
      <c r="C544">
        <f>1/COUNTIF(B:B,Table1[[#This Row],[order_id]])</f>
        <v>0.33333333333333331</v>
      </c>
      <c r="D544" t="str">
        <f>TEXT(Table1[[#This Row],[order_date]],"mmmm")</f>
        <v>February</v>
      </c>
      <c r="E544" s="1">
        <v>45340</v>
      </c>
      <c r="F544" s="1" t="str">
        <f>TEXT(Table1[[#This Row],[order_date]],"dddd")</f>
        <v>Sunday</v>
      </c>
      <c r="G544">
        <f>HOUR(Table1[[#This Row],[order_time]])</f>
        <v>14</v>
      </c>
      <c r="H544" s="2">
        <v>0.61517361111111113</v>
      </c>
      <c r="I544" t="s">
        <v>16</v>
      </c>
      <c r="J544" t="s">
        <v>24</v>
      </c>
      <c r="K544">
        <v>5</v>
      </c>
      <c r="L544">
        <v>35</v>
      </c>
      <c r="M544">
        <v>175</v>
      </c>
      <c r="N544">
        <f>IF(COUNTIFS($B$2:B544,B544)=1,1,0)</f>
        <v>1</v>
      </c>
    </row>
    <row r="545" spans="1:14" x14ac:dyDescent="0.2">
      <c r="A545">
        <v>544</v>
      </c>
      <c r="B545">
        <v>1282</v>
      </c>
      <c r="C545">
        <f>1/COUNTIF(B:B,Table1[[#This Row],[order_id]])</f>
        <v>0.33333333333333331</v>
      </c>
      <c r="D545" t="str">
        <f>TEXT(Table1[[#This Row],[order_date]],"mmmm")</f>
        <v>February</v>
      </c>
      <c r="E545" s="1">
        <v>45340</v>
      </c>
      <c r="F545" s="1" t="str">
        <f>TEXT(Table1[[#This Row],[order_date]],"dddd")</f>
        <v>Sunday</v>
      </c>
      <c r="G545">
        <f>HOUR(Table1[[#This Row],[order_time]])</f>
        <v>10</v>
      </c>
      <c r="H545" s="2">
        <v>0.44916666666666666</v>
      </c>
      <c r="I545" t="s">
        <v>16</v>
      </c>
      <c r="J545" t="s">
        <v>17</v>
      </c>
      <c r="K545">
        <v>4</v>
      </c>
      <c r="L545">
        <v>20</v>
      </c>
      <c r="M545">
        <v>80</v>
      </c>
      <c r="N545">
        <f>IF(COUNTIFS($B$2:B545,B545)=1,1,0)</f>
        <v>0</v>
      </c>
    </row>
    <row r="546" spans="1:14" x14ac:dyDescent="0.2">
      <c r="A546">
        <v>545</v>
      </c>
      <c r="B546">
        <v>1282</v>
      </c>
      <c r="C546">
        <f>1/COUNTIF(B:B,Table1[[#This Row],[order_id]])</f>
        <v>0.33333333333333331</v>
      </c>
      <c r="D546" t="str">
        <f>TEXT(Table1[[#This Row],[order_date]],"mmmm")</f>
        <v>February</v>
      </c>
      <c r="E546" s="1">
        <v>45340</v>
      </c>
      <c r="F546" s="1" t="str">
        <f>TEXT(Table1[[#This Row],[order_date]],"dddd")</f>
        <v>Sunday</v>
      </c>
      <c r="G546">
        <f>HOUR(Table1[[#This Row],[order_time]])</f>
        <v>14</v>
      </c>
      <c r="H546" s="2">
        <v>0.58461805555555557</v>
      </c>
      <c r="I546" t="s">
        <v>16</v>
      </c>
      <c r="J546" t="s">
        <v>24</v>
      </c>
      <c r="K546">
        <v>2</v>
      </c>
      <c r="L546">
        <v>35</v>
      </c>
      <c r="M546">
        <v>70</v>
      </c>
      <c r="N546">
        <f>IF(COUNTIFS($B$2:B546,B546)=1,1,0)</f>
        <v>0</v>
      </c>
    </row>
    <row r="547" spans="1:14" x14ac:dyDescent="0.2">
      <c r="A547">
        <v>546</v>
      </c>
      <c r="B547">
        <v>1283</v>
      </c>
      <c r="C547">
        <f>1/COUNTIF(B:B,Table1[[#This Row],[order_id]])</f>
        <v>0.5</v>
      </c>
      <c r="D547" t="str">
        <f>TEXT(Table1[[#This Row],[order_date]],"mmmm")</f>
        <v>February</v>
      </c>
      <c r="E547" s="1">
        <v>45341</v>
      </c>
      <c r="F547" s="1" t="str">
        <f>TEXT(Table1[[#This Row],[order_date]],"dddd")</f>
        <v>Monday</v>
      </c>
      <c r="G547">
        <f>HOUR(Table1[[#This Row],[order_time]])</f>
        <v>14</v>
      </c>
      <c r="H547" s="2">
        <v>0.61842592592592593</v>
      </c>
      <c r="I547" t="s">
        <v>16</v>
      </c>
      <c r="J547" t="s">
        <v>28</v>
      </c>
      <c r="K547">
        <v>4</v>
      </c>
      <c r="L547">
        <v>25</v>
      </c>
      <c r="M547">
        <v>100</v>
      </c>
      <c r="N547">
        <f>IF(COUNTIFS($B$2:B547,B547)=1,1,0)</f>
        <v>1</v>
      </c>
    </row>
    <row r="548" spans="1:14" x14ac:dyDescent="0.2">
      <c r="A548">
        <v>547</v>
      </c>
      <c r="B548">
        <v>1283</v>
      </c>
      <c r="C548">
        <f>1/COUNTIF(B:B,Table1[[#This Row],[order_id]])</f>
        <v>0.5</v>
      </c>
      <c r="D548" t="str">
        <f>TEXT(Table1[[#This Row],[order_date]],"mmmm")</f>
        <v>February</v>
      </c>
      <c r="E548" s="1">
        <v>45341</v>
      </c>
      <c r="F548" s="1" t="str">
        <f>TEXT(Table1[[#This Row],[order_date]],"dddd")</f>
        <v>Monday</v>
      </c>
      <c r="G548">
        <f>HOUR(Table1[[#This Row],[order_time]])</f>
        <v>20</v>
      </c>
      <c r="H548" s="2">
        <v>0.84020833333333333</v>
      </c>
      <c r="I548" t="s">
        <v>16</v>
      </c>
      <c r="J548" t="s">
        <v>17</v>
      </c>
      <c r="K548">
        <v>5</v>
      </c>
      <c r="L548">
        <v>20</v>
      </c>
      <c r="M548">
        <v>100</v>
      </c>
      <c r="N548">
        <f>IF(COUNTIFS($B$2:B548,B548)=1,1,0)</f>
        <v>0</v>
      </c>
    </row>
    <row r="549" spans="1:14" x14ac:dyDescent="0.2">
      <c r="A549">
        <v>548</v>
      </c>
      <c r="B549">
        <v>1284</v>
      </c>
      <c r="C549">
        <f>1/COUNTIF(B:B,Table1[[#This Row],[order_id]])</f>
        <v>0.33333333333333331</v>
      </c>
      <c r="D549" t="str">
        <f>TEXT(Table1[[#This Row],[order_date]],"mmmm")</f>
        <v>February</v>
      </c>
      <c r="E549" s="1">
        <v>45341</v>
      </c>
      <c r="F549" s="1" t="str">
        <f>TEXT(Table1[[#This Row],[order_date]],"dddd")</f>
        <v>Monday</v>
      </c>
      <c r="G549">
        <f>HOUR(Table1[[#This Row],[order_time]])</f>
        <v>10</v>
      </c>
      <c r="H549" s="2">
        <v>0.42152777777777778</v>
      </c>
      <c r="I549" t="s">
        <v>18</v>
      </c>
      <c r="J549" t="s">
        <v>26</v>
      </c>
      <c r="K549">
        <v>3</v>
      </c>
      <c r="L549">
        <v>55</v>
      </c>
      <c r="M549">
        <v>165</v>
      </c>
      <c r="N549">
        <f>IF(COUNTIFS($B$2:B549,B549)=1,1,0)</f>
        <v>1</v>
      </c>
    </row>
    <row r="550" spans="1:14" x14ac:dyDescent="0.2">
      <c r="A550">
        <v>549</v>
      </c>
      <c r="B550">
        <v>1284</v>
      </c>
      <c r="C550">
        <f>1/COUNTIF(B:B,Table1[[#This Row],[order_id]])</f>
        <v>0.33333333333333331</v>
      </c>
      <c r="D550" t="str">
        <f>TEXT(Table1[[#This Row],[order_date]],"mmmm")</f>
        <v>February</v>
      </c>
      <c r="E550" s="1">
        <v>45341</v>
      </c>
      <c r="F550" s="1" t="str">
        <f>TEXT(Table1[[#This Row],[order_date]],"dddd")</f>
        <v>Monday</v>
      </c>
      <c r="G550">
        <f>HOUR(Table1[[#This Row],[order_time]])</f>
        <v>12</v>
      </c>
      <c r="H550" s="2">
        <v>0.50363425925925931</v>
      </c>
      <c r="I550" t="s">
        <v>9</v>
      </c>
      <c r="J550" t="s">
        <v>20</v>
      </c>
      <c r="K550">
        <v>5</v>
      </c>
      <c r="L550">
        <v>25</v>
      </c>
      <c r="M550">
        <v>125</v>
      </c>
      <c r="N550">
        <f>IF(COUNTIFS($B$2:B550,B550)=1,1,0)</f>
        <v>0</v>
      </c>
    </row>
    <row r="551" spans="1:14" x14ac:dyDescent="0.2">
      <c r="A551">
        <v>550</v>
      </c>
      <c r="B551">
        <v>1284</v>
      </c>
      <c r="C551">
        <f>1/COUNTIF(B:B,Table1[[#This Row],[order_id]])</f>
        <v>0.33333333333333331</v>
      </c>
      <c r="D551" t="str">
        <f>TEXT(Table1[[#This Row],[order_date]],"mmmm")</f>
        <v>February</v>
      </c>
      <c r="E551" s="1">
        <v>45341</v>
      </c>
      <c r="F551" s="1" t="str">
        <f>TEXT(Table1[[#This Row],[order_date]],"dddd")</f>
        <v>Monday</v>
      </c>
      <c r="G551">
        <f>HOUR(Table1[[#This Row],[order_time]])</f>
        <v>18</v>
      </c>
      <c r="H551" s="2">
        <v>0.7525115740740741</v>
      </c>
      <c r="I551" t="s">
        <v>11</v>
      </c>
      <c r="J551" t="s">
        <v>13</v>
      </c>
      <c r="K551">
        <v>1</v>
      </c>
      <c r="L551">
        <v>680</v>
      </c>
      <c r="M551">
        <v>680</v>
      </c>
      <c r="N551">
        <f>IF(COUNTIFS($B$2:B551,B551)=1,1,0)</f>
        <v>0</v>
      </c>
    </row>
    <row r="552" spans="1:14" x14ac:dyDescent="0.2">
      <c r="A552">
        <v>551</v>
      </c>
      <c r="B552">
        <v>1285</v>
      </c>
      <c r="C552">
        <f>1/COUNTIF(B:B,Table1[[#This Row],[order_id]])</f>
        <v>0.33333333333333331</v>
      </c>
      <c r="D552" t="str">
        <f>TEXT(Table1[[#This Row],[order_date]],"mmmm")</f>
        <v>February</v>
      </c>
      <c r="E552" s="1">
        <v>45341</v>
      </c>
      <c r="F552" s="1" t="str">
        <f>TEXT(Table1[[#This Row],[order_date]],"dddd")</f>
        <v>Monday</v>
      </c>
      <c r="G552">
        <f>HOUR(Table1[[#This Row],[order_time]])</f>
        <v>20</v>
      </c>
      <c r="H552" s="2">
        <v>0.83854166666666663</v>
      </c>
      <c r="I552" t="s">
        <v>18</v>
      </c>
      <c r="J552" t="s">
        <v>27</v>
      </c>
      <c r="K552">
        <v>4</v>
      </c>
      <c r="L552">
        <v>40</v>
      </c>
      <c r="M552">
        <v>160</v>
      </c>
      <c r="N552">
        <f>IF(COUNTIFS($B$2:B552,B552)=1,1,0)</f>
        <v>1</v>
      </c>
    </row>
    <row r="553" spans="1:14" x14ac:dyDescent="0.2">
      <c r="A553">
        <v>552</v>
      </c>
      <c r="B553">
        <v>1285</v>
      </c>
      <c r="C553">
        <f>1/COUNTIF(B:B,Table1[[#This Row],[order_id]])</f>
        <v>0.33333333333333331</v>
      </c>
      <c r="D553" t="str">
        <f>TEXT(Table1[[#This Row],[order_date]],"mmmm")</f>
        <v>February</v>
      </c>
      <c r="E553" s="1">
        <v>45341</v>
      </c>
      <c r="F553" s="1" t="str">
        <f>TEXT(Table1[[#This Row],[order_date]],"dddd")</f>
        <v>Monday</v>
      </c>
      <c r="G553">
        <f>HOUR(Table1[[#This Row],[order_time]])</f>
        <v>17</v>
      </c>
      <c r="H553" s="2">
        <v>0.71218749999999997</v>
      </c>
      <c r="I553" t="s">
        <v>16</v>
      </c>
      <c r="J553" t="s">
        <v>17</v>
      </c>
      <c r="K553">
        <v>5</v>
      </c>
      <c r="L553">
        <v>20</v>
      </c>
      <c r="M553">
        <v>100</v>
      </c>
      <c r="N553">
        <f>IF(COUNTIFS($B$2:B553,B553)=1,1,0)</f>
        <v>0</v>
      </c>
    </row>
    <row r="554" spans="1:14" x14ac:dyDescent="0.2">
      <c r="A554">
        <v>553</v>
      </c>
      <c r="B554">
        <v>1285</v>
      </c>
      <c r="C554">
        <f>1/COUNTIF(B:B,Table1[[#This Row],[order_id]])</f>
        <v>0.33333333333333331</v>
      </c>
      <c r="D554" t="str">
        <f>TEXT(Table1[[#This Row],[order_date]],"mmmm")</f>
        <v>February</v>
      </c>
      <c r="E554" s="1">
        <v>45341</v>
      </c>
      <c r="F554" s="1" t="str">
        <f>TEXT(Table1[[#This Row],[order_date]],"dddd")</f>
        <v>Monday</v>
      </c>
      <c r="G554">
        <f>HOUR(Table1[[#This Row],[order_time]])</f>
        <v>9</v>
      </c>
      <c r="H554" s="2">
        <v>0.39310185185185187</v>
      </c>
      <c r="I554" t="s">
        <v>18</v>
      </c>
      <c r="J554" t="s">
        <v>27</v>
      </c>
      <c r="K554">
        <v>4</v>
      </c>
      <c r="L554">
        <v>40</v>
      </c>
      <c r="M554">
        <v>160</v>
      </c>
      <c r="N554">
        <f>IF(COUNTIFS($B$2:B554,B554)=1,1,0)</f>
        <v>0</v>
      </c>
    </row>
    <row r="555" spans="1:14" x14ac:dyDescent="0.2">
      <c r="A555">
        <v>554</v>
      </c>
      <c r="B555">
        <v>1286</v>
      </c>
      <c r="C555">
        <f>1/COUNTIF(B:B,Table1[[#This Row],[order_id]])</f>
        <v>1</v>
      </c>
      <c r="D555" t="str">
        <f>TEXT(Table1[[#This Row],[order_date]],"mmmm")</f>
        <v>February</v>
      </c>
      <c r="E555" s="1">
        <v>45342</v>
      </c>
      <c r="F555" s="1" t="str">
        <f>TEXT(Table1[[#This Row],[order_date]],"dddd")</f>
        <v>Tuesday</v>
      </c>
      <c r="G555">
        <f>HOUR(Table1[[#This Row],[order_time]])</f>
        <v>20</v>
      </c>
      <c r="H555" s="2">
        <v>0.83607638888888891</v>
      </c>
      <c r="I555" t="s">
        <v>18</v>
      </c>
      <c r="J555" t="s">
        <v>30</v>
      </c>
      <c r="K555">
        <v>3</v>
      </c>
      <c r="L555">
        <v>60</v>
      </c>
      <c r="M555">
        <v>180</v>
      </c>
      <c r="N555">
        <f>IF(COUNTIFS($B$2:B555,B555)=1,1,0)</f>
        <v>1</v>
      </c>
    </row>
    <row r="556" spans="1:14" x14ac:dyDescent="0.2">
      <c r="A556">
        <v>555</v>
      </c>
      <c r="B556">
        <v>1287</v>
      </c>
      <c r="C556">
        <f>1/COUNTIF(B:B,Table1[[#This Row],[order_id]])</f>
        <v>0.5</v>
      </c>
      <c r="D556" t="str">
        <f>TEXT(Table1[[#This Row],[order_date]],"mmmm")</f>
        <v>February</v>
      </c>
      <c r="E556" s="1">
        <v>45342</v>
      </c>
      <c r="F556" s="1" t="str">
        <f>TEXT(Table1[[#This Row],[order_date]],"dddd")</f>
        <v>Tuesday</v>
      </c>
      <c r="G556">
        <f>HOUR(Table1[[#This Row],[order_time]])</f>
        <v>18</v>
      </c>
      <c r="H556" s="2">
        <v>0.75878472222222226</v>
      </c>
      <c r="I556" t="s">
        <v>11</v>
      </c>
      <c r="J556" t="s">
        <v>25</v>
      </c>
      <c r="K556">
        <v>3</v>
      </c>
      <c r="L556">
        <v>1000</v>
      </c>
      <c r="M556">
        <v>3000</v>
      </c>
      <c r="N556">
        <f>IF(COUNTIFS($B$2:B556,B556)=1,1,0)</f>
        <v>1</v>
      </c>
    </row>
    <row r="557" spans="1:14" x14ac:dyDescent="0.2">
      <c r="A557">
        <v>556</v>
      </c>
      <c r="B557">
        <v>1287</v>
      </c>
      <c r="C557">
        <f>1/COUNTIF(B:B,Table1[[#This Row],[order_id]])</f>
        <v>0.5</v>
      </c>
      <c r="D557" t="str">
        <f>TEXT(Table1[[#This Row],[order_date]],"mmmm")</f>
        <v>February</v>
      </c>
      <c r="E557" s="1">
        <v>45342</v>
      </c>
      <c r="F557" s="1" t="str">
        <f>TEXT(Table1[[#This Row],[order_date]],"dddd")</f>
        <v>Tuesday</v>
      </c>
      <c r="G557">
        <f>HOUR(Table1[[#This Row],[order_time]])</f>
        <v>11</v>
      </c>
      <c r="H557" s="2">
        <v>0.4957523148148148</v>
      </c>
      <c r="I557" t="s">
        <v>9</v>
      </c>
      <c r="J557" t="s">
        <v>20</v>
      </c>
      <c r="K557">
        <v>5</v>
      </c>
      <c r="L557">
        <v>25</v>
      </c>
      <c r="M557">
        <v>125</v>
      </c>
      <c r="N557">
        <f>IF(COUNTIFS($B$2:B557,B557)=1,1,0)</f>
        <v>0</v>
      </c>
    </row>
    <row r="558" spans="1:14" x14ac:dyDescent="0.2">
      <c r="A558">
        <v>557</v>
      </c>
      <c r="B558">
        <v>1288</v>
      </c>
      <c r="C558">
        <f>1/COUNTIF(B:B,Table1[[#This Row],[order_id]])</f>
        <v>0.5</v>
      </c>
      <c r="D558" t="str">
        <f>TEXT(Table1[[#This Row],[order_date]],"mmmm")</f>
        <v>February</v>
      </c>
      <c r="E558" s="1">
        <v>45342</v>
      </c>
      <c r="F558" s="1" t="str">
        <f>TEXT(Table1[[#This Row],[order_date]],"dddd")</f>
        <v>Tuesday</v>
      </c>
      <c r="G558">
        <f>HOUR(Table1[[#This Row],[order_time]])</f>
        <v>12</v>
      </c>
      <c r="H558" s="2">
        <v>0.51248842592592592</v>
      </c>
      <c r="I558" t="s">
        <v>11</v>
      </c>
      <c r="J558" t="s">
        <v>15</v>
      </c>
      <c r="K558">
        <v>5</v>
      </c>
      <c r="L558">
        <v>600</v>
      </c>
      <c r="M558">
        <v>3000</v>
      </c>
      <c r="N558">
        <f>IF(COUNTIFS($B$2:B558,B558)=1,1,0)</f>
        <v>1</v>
      </c>
    </row>
    <row r="559" spans="1:14" x14ac:dyDescent="0.2">
      <c r="A559">
        <v>558</v>
      </c>
      <c r="B559">
        <v>1288</v>
      </c>
      <c r="C559">
        <f>1/COUNTIF(B:B,Table1[[#This Row],[order_id]])</f>
        <v>0.5</v>
      </c>
      <c r="D559" t="str">
        <f>TEXT(Table1[[#This Row],[order_date]],"mmmm")</f>
        <v>February</v>
      </c>
      <c r="E559" s="1">
        <v>45342</v>
      </c>
      <c r="F559" s="1" t="str">
        <f>TEXT(Table1[[#This Row],[order_date]],"dddd")</f>
        <v>Tuesday</v>
      </c>
      <c r="G559">
        <f>HOUR(Table1[[#This Row],[order_time]])</f>
        <v>13</v>
      </c>
      <c r="H559" s="2">
        <v>0.54387731481481483</v>
      </c>
      <c r="I559" t="s">
        <v>11</v>
      </c>
      <c r="J559" t="s">
        <v>14</v>
      </c>
      <c r="K559">
        <v>2</v>
      </c>
      <c r="L559">
        <v>700</v>
      </c>
      <c r="M559">
        <v>1400</v>
      </c>
      <c r="N559">
        <f>IF(COUNTIFS($B$2:B559,B559)=1,1,0)</f>
        <v>0</v>
      </c>
    </row>
    <row r="560" spans="1:14" x14ac:dyDescent="0.2">
      <c r="A560">
        <v>559</v>
      </c>
      <c r="B560">
        <v>1289</v>
      </c>
      <c r="C560">
        <f>1/COUNTIF(B:B,Table1[[#This Row],[order_id]])</f>
        <v>0.33333333333333331</v>
      </c>
      <c r="D560" t="str">
        <f>TEXT(Table1[[#This Row],[order_date]],"mmmm")</f>
        <v>February</v>
      </c>
      <c r="E560" s="1">
        <v>45342</v>
      </c>
      <c r="F560" s="1" t="str">
        <f>TEXT(Table1[[#This Row],[order_date]],"dddd")</f>
        <v>Tuesday</v>
      </c>
      <c r="G560">
        <f>HOUR(Table1[[#This Row],[order_time]])</f>
        <v>18</v>
      </c>
      <c r="H560" s="2">
        <v>0.75350694444444444</v>
      </c>
      <c r="I560" t="s">
        <v>11</v>
      </c>
      <c r="J560" t="s">
        <v>14</v>
      </c>
      <c r="K560">
        <v>5</v>
      </c>
      <c r="L560">
        <v>700</v>
      </c>
      <c r="M560">
        <v>3500</v>
      </c>
      <c r="N560">
        <f>IF(COUNTIFS($B$2:B560,B560)=1,1,0)</f>
        <v>1</v>
      </c>
    </row>
    <row r="561" spans="1:14" x14ac:dyDescent="0.2">
      <c r="A561">
        <v>560</v>
      </c>
      <c r="B561">
        <v>1289</v>
      </c>
      <c r="C561">
        <f>1/COUNTIF(B:B,Table1[[#This Row],[order_id]])</f>
        <v>0.33333333333333331</v>
      </c>
      <c r="D561" t="str">
        <f>TEXT(Table1[[#This Row],[order_date]],"mmmm")</f>
        <v>February</v>
      </c>
      <c r="E561" s="1">
        <v>45342</v>
      </c>
      <c r="F561" s="1" t="str">
        <f>TEXT(Table1[[#This Row],[order_date]],"dddd")</f>
        <v>Tuesday</v>
      </c>
      <c r="G561">
        <f>HOUR(Table1[[#This Row],[order_time]])</f>
        <v>16</v>
      </c>
      <c r="H561" s="2">
        <v>0.68116898148148153</v>
      </c>
      <c r="I561" t="s">
        <v>16</v>
      </c>
      <c r="J561" t="s">
        <v>24</v>
      </c>
      <c r="K561">
        <v>1</v>
      </c>
      <c r="L561">
        <v>35</v>
      </c>
      <c r="M561">
        <v>35</v>
      </c>
      <c r="N561">
        <f>IF(COUNTIFS($B$2:B561,B561)=1,1,0)</f>
        <v>0</v>
      </c>
    </row>
    <row r="562" spans="1:14" x14ac:dyDescent="0.2">
      <c r="A562">
        <v>561</v>
      </c>
      <c r="B562">
        <v>1289</v>
      </c>
      <c r="C562">
        <f>1/COUNTIF(B:B,Table1[[#This Row],[order_id]])</f>
        <v>0.33333333333333331</v>
      </c>
      <c r="D562" t="str">
        <f>TEXT(Table1[[#This Row],[order_date]],"mmmm")</f>
        <v>February</v>
      </c>
      <c r="E562" s="1">
        <v>45342</v>
      </c>
      <c r="F562" s="1" t="str">
        <f>TEXT(Table1[[#This Row],[order_date]],"dddd")</f>
        <v>Tuesday</v>
      </c>
      <c r="G562">
        <f>HOUR(Table1[[#This Row],[order_time]])</f>
        <v>14</v>
      </c>
      <c r="H562" s="2">
        <v>0.60528935185185184</v>
      </c>
      <c r="I562" t="s">
        <v>16</v>
      </c>
      <c r="J562" t="s">
        <v>24</v>
      </c>
      <c r="K562">
        <v>2</v>
      </c>
      <c r="L562">
        <v>35</v>
      </c>
      <c r="M562">
        <v>70</v>
      </c>
      <c r="N562">
        <f>IF(COUNTIFS($B$2:B562,B562)=1,1,0)</f>
        <v>0</v>
      </c>
    </row>
    <row r="563" spans="1:14" x14ac:dyDescent="0.2">
      <c r="A563">
        <v>562</v>
      </c>
      <c r="B563">
        <v>1290</v>
      </c>
      <c r="C563">
        <f>1/COUNTIF(B:B,Table1[[#This Row],[order_id]])</f>
        <v>1</v>
      </c>
      <c r="D563" t="str">
        <f>TEXT(Table1[[#This Row],[order_date]],"mmmm")</f>
        <v>February</v>
      </c>
      <c r="E563" s="1">
        <v>45342</v>
      </c>
      <c r="F563" s="1" t="str">
        <f>TEXT(Table1[[#This Row],[order_date]],"dddd")</f>
        <v>Tuesday</v>
      </c>
      <c r="G563">
        <f>HOUR(Table1[[#This Row],[order_time]])</f>
        <v>17</v>
      </c>
      <c r="H563" s="2">
        <v>0.72763888888888884</v>
      </c>
      <c r="I563" t="s">
        <v>18</v>
      </c>
      <c r="J563" t="s">
        <v>31</v>
      </c>
      <c r="K563">
        <v>1</v>
      </c>
      <c r="L563">
        <v>45</v>
      </c>
      <c r="M563">
        <v>45</v>
      </c>
      <c r="N563">
        <f>IF(COUNTIFS($B$2:B563,B563)=1,1,0)</f>
        <v>1</v>
      </c>
    </row>
    <row r="564" spans="1:14" x14ac:dyDescent="0.2">
      <c r="A564">
        <v>563</v>
      </c>
      <c r="B564">
        <v>1291</v>
      </c>
      <c r="C564">
        <f>1/COUNTIF(B:B,Table1[[#This Row],[order_id]])</f>
        <v>0.33333333333333331</v>
      </c>
      <c r="D564" t="str">
        <f>TEXT(Table1[[#This Row],[order_date]],"mmmm")</f>
        <v>February</v>
      </c>
      <c r="E564" s="1">
        <v>45342</v>
      </c>
      <c r="F564" s="1" t="str">
        <f>TEXT(Table1[[#This Row],[order_date]],"dddd")</f>
        <v>Tuesday</v>
      </c>
      <c r="G564">
        <f>HOUR(Table1[[#This Row],[order_time]])</f>
        <v>9</v>
      </c>
      <c r="H564" s="2">
        <v>0.39567129629629627</v>
      </c>
      <c r="I564" t="s">
        <v>18</v>
      </c>
      <c r="J564" t="s">
        <v>19</v>
      </c>
      <c r="K564">
        <v>1</v>
      </c>
      <c r="L564">
        <v>50</v>
      </c>
      <c r="M564">
        <v>50</v>
      </c>
      <c r="N564">
        <f>IF(COUNTIFS($B$2:B564,B564)=1,1,0)</f>
        <v>1</v>
      </c>
    </row>
    <row r="565" spans="1:14" x14ac:dyDescent="0.2">
      <c r="A565">
        <v>564</v>
      </c>
      <c r="B565">
        <v>1291</v>
      </c>
      <c r="C565">
        <f>1/COUNTIF(B:B,Table1[[#This Row],[order_id]])</f>
        <v>0.33333333333333331</v>
      </c>
      <c r="D565" t="str">
        <f>TEXT(Table1[[#This Row],[order_date]],"mmmm")</f>
        <v>February</v>
      </c>
      <c r="E565" s="1">
        <v>45342</v>
      </c>
      <c r="F565" s="1" t="str">
        <f>TEXT(Table1[[#This Row],[order_date]],"dddd")</f>
        <v>Tuesday</v>
      </c>
      <c r="G565">
        <f>HOUR(Table1[[#This Row],[order_time]])</f>
        <v>14</v>
      </c>
      <c r="H565" s="2">
        <v>0.6224305555555556</v>
      </c>
      <c r="I565" t="s">
        <v>18</v>
      </c>
      <c r="J565" t="s">
        <v>31</v>
      </c>
      <c r="K565">
        <v>4</v>
      </c>
      <c r="L565">
        <v>45</v>
      </c>
      <c r="M565">
        <v>180</v>
      </c>
      <c r="N565">
        <f>IF(COUNTIFS($B$2:B565,B565)=1,1,0)</f>
        <v>0</v>
      </c>
    </row>
    <row r="566" spans="1:14" x14ac:dyDescent="0.2">
      <c r="A566">
        <v>565</v>
      </c>
      <c r="B566">
        <v>1291</v>
      </c>
      <c r="C566">
        <f>1/COUNTIF(B:B,Table1[[#This Row],[order_id]])</f>
        <v>0.33333333333333331</v>
      </c>
      <c r="D566" t="str">
        <f>TEXT(Table1[[#This Row],[order_date]],"mmmm")</f>
        <v>February</v>
      </c>
      <c r="E566" s="1">
        <v>45342</v>
      </c>
      <c r="F566" s="1" t="str">
        <f>TEXT(Table1[[#This Row],[order_date]],"dddd")</f>
        <v>Tuesday</v>
      </c>
      <c r="G566">
        <f>HOUR(Table1[[#This Row],[order_time]])</f>
        <v>10</v>
      </c>
      <c r="H566" s="2">
        <v>0.42162037037037037</v>
      </c>
      <c r="I566" t="s">
        <v>18</v>
      </c>
      <c r="J566" t="s">
        <v>27</v>
      </c>
      <c r="K566">
        <v>1</v>
      </c>
      <c r="L566">
        <v>40</v>
      </c>
      <c r="M566">
        <v>40</v>
      </c>
      <c r="N566">
        <f>IF(COUNTIFS($B$2:B566,B566)=1,1,0)</f>
        <v>0</v>
      </c>
    </row>
    <row r="567" spans="1:14" x14ac:dyDescent="0.2">
      <c r="A567">
        <v>566</v>
      </c>
      <c r="B567">
        <v>1292</v>
      </c>
      <c r="C567">
        <f>1/COUNTIF(B:B,Table1[[#This Row],[order_id]])</f>
        <v>0.5</v>
      </c>
      <c r="D567" t="str">
        <f>TEXT(Table1[[#This Row],[order_date]],"mmmm")</f>
        <v>February</v>
      </c>
      <c r="E567" s="1">
        <v>45342</v>
      </c>
      <c r="F567" s="1" t="str">
        <f>TEXT(Table1[[#This Row],[order_date]],"dddd")</f>
        <v>Tuesday</v>
      </c>
      <c r="G567">
        <f>HOUR(Table1[[#This Row],[order_time]])</f>
        <v>16</v>
      </c>
      <c r="H567" s="2">
        <v>0.69523148148148151</v>
      </c>
      <c r="I567" t="s">
        <v>18</v>
      </c>
      <c r="J567" t="s">
        <v>31</v>
      </c>
      <c r="K567">
        <v>5</v>
      </c>
      <c r="L567">
        <v>45</v>
      </c>
      <c r="M567">
        <v>225</v>
      </c>
      <c r="N567">
        <f>IF(COUNTIFS($B$2:B567,B567)=1,1,0)</f>
        <v>1</v>
      </c>
    </row>
    <row r="568" spans="1:14" x14ac:dyDescent="0.2">
      <c r="A568">
        <v>567</v>
      </c>
      <c r="B568">
        <v>1292</v>
      </c>
      <c r="C568">
        <f>1/COUNTIF(B:B,Table1[[#This Row],[order_id]])</f>
        <v>0.5</v>
      </c>
      <c r="D568" t="str">
        <f>TEXT(Table1[[#This Row],[order_date]],"mmmm")</f>
        <v>February</v>
      </c>
      <c r="E568" s="1">
        <v>45342</v>
      </c>
      <c r="F568" s="1" t="str">
        <f>TEXT(Table1[[#This Row],[order_date]],"dddd")</f>
        <v>Tuesday</v>
      </c>
      <c r="G568">
        <f>HOUR(Table1[[#This Row],[order_time]])</f>
        <v>16</v>
      </c>
      <c r="H568" s="2">
        <v>0.68478009259259254</v>
      </c>
      <c r="I568" t="s">
        <v>18</v>
      </c>
      <c r="J568" t="s">
        <v>30</v>
      </c>
      <c r="K568">
        <v>5</v>
      </c>
      <c r="L568">
        <v>60</v>
      </c>
      <c r="M568">
        <v>300</v>
      </c>
      <c r="N568">
        <f>IF(COUNTIFS($B$2:B568,B568)=1,1,0)</f>
        <v>0</v>
      </c>
    </row>
    <row r="569" spans="1:14" x14ac:dyDescent="0.2">
      <c r="A569">
        <v>568</v>
      </c>
      <c r="B569">
        <v>1293</v>
      </c>
      <c r="C569">
        <f>1/COUNTIF(B:B,Table1[[#This Row],[order_id]])</f>
        <v>0.33333333333333331</v>
      </c>
      <c r="D569" t="str">
        <f>TEXT(Table1[[#This Row],[order_date]],"mmmm")</f>
        <v>February</v>
      </c>
      <c r="E569" s="1">
        <v>45342</v>
      </c>
      <c r="F569" s="1" t="str">
        <f>TEXT(Table1[[#This Row],[order_date]],"dddd")</f>
        <v>Tuesday</v>
      </c>
      <c r="G569">
        <f>HOUR(Table1[[#This Row],[order_time]])</f>
        <v>16</v>
      </c>
      <c r="H569" s="2">
        <v>0.68797453703703704</v>
      </c>
      <c r="I569" t="s">
        <v>18</v>
      </c>
      <c r="J569" t="s">
        <v>30</v>
      </c>
      <c r="K569">
        <v>5</v>
      </c>
      <c r="L569">
        <v>60</v>
      </c>
      <c r="M569">
        <v>300</v>
      </c>
      <c r="N569">
        <f>IF(COUNTIFS($B$2:B569,B569)=1,1,0)</f>
        <v>1</v>
      </c>
    </row>
    <row r="570" spans="1:14" x14ac:dyDescent="0.2">
      <c r="A570">
        <v>569</v>
      </c>
      <c r="B570">
        <v>1293</v>
      </c>
      <c r="C570">
        <f>1/COUNTIF(B:B,Table1[[#This Row],[order_id]])</f>
        <v>0.33333333333333331</v>
      </c>
      <c r="D570" t="str">
        <f>TEXT(Table1[[#This Row],[order_date]],"mmmm")</f>
        <v>February</v>
      </c>
      <c r="E570" s="1">
        <v>45342</v>
      </c>
      <c r="F570" s="1" t="str">
        <f>TEXT(Table1[[#This Row],[order_date]],"dddd")</f>
        <v>Tuesday</v>
      </c>
      <c r="G570">
        <f>HOUR(Table1[[#This Row],[order_time]])</f>
        <v>12</v>
      </c>
      <c r="H570" s="2">
        <v>0.50417824074074069</v>
      </c>
      <c r="I570" t="s">
        <v>16</v>
      </c>
      <c r="J570" t="s">
        <v>23</v>
      </c>
      <c r="K570">
        <v>1</v>
      </c>
      <c r="L570">
        <v>30</v>
      </c>
      <c r="M570">
        <v>30</v>
      </c>
      <c r="N570">
        <f>IF(COUNTIFS($B$2:B570,B570)=1,1,0)</f>
        <v>0</v>
      </c>
    </row>
    <row r="571" spans="1:14" x14ac:dyDescent="0.2">
      <c r="A571">
        <v>570</v>
      </c>
      <c r="B571">
        <v>1293</v>
      </c>
      <c r="C571">
        <f>1/COUNTIF(B:B,Table1[[#This Row],[order_id]])</f>
        <v>0.33333333333333331</v>
      </c>
      <c r="D571" t="str">
        <f>TEXT(Table1[[#This Row],[order_date]],"mmmm")</f>
        <v>February</v>
      </c>
      <c r="E571" s="1">
        <v>45342</v>
      </c>
      <c r="F571" s="1" t="str">
        <f>TEXT(Table1[[#This Row],[order_date]],"dddd")</f>
        <v>Tuesday</v>
      </c>
      <c r="G571">
        <f>HOUR(Table1[[#This Row],[order_time]])</f>
        <v>14</v>
      </c>
      <c r="H571" s="2">
        <v>0.59172453703703709</v>
      </c>
      <c r="I571" t="s">
        <v>16</v>
      </c>
      <c r="J571" t="s">
        <v>28</v>
      </c>
      <c r="K571">
        <v>3</v>
      </c>
      <c r="L571">
        <v>25</v>
      </c>
      <c r="M571">
        <v>75</v>
      </c>
      <c r="N571">
        <f>IF(COUNTIFS($B$2:B571,B571)=1,1,0)</f>
        <v>0</v>
      </c>
    </row>
    <row r="572" spans="1:14" x14ac:dyDescent="0.2">
      <c r="A572">
        <v>571</v>
      </c>
      <c r="B572">
        <v>1294</v>
      </c>
      <c r="C572">
        <f>1/COUNTIF(B:B,Table1[[#This Row],[order_id]])</f>
        <v>1</v>
      </c>
      <c r="D572" t="str">
        <f>TEXT(Table1[[#This Row],[order_date]],"mmmm")</f>
        <v>February</v>
      </c>
      <c r="E572" s="1">
        <v>45342</v>
      </c>
      <c r="F572" s="1" t="str">
        <f>TEXT(Table1[[#This Row],[order_date]],"dddd")</f>
        <v>Tuesday</v>
      </c>
      <c r="G572">
        <f>HOUR(Table1[[#This Row],[order_time]])</f>
        <v>17</v>
      </c>
      <c r="H572" s="2">
        <v>0.71445601851851848</v>
      </c>
      <c r="I572" t="s">
        <v>11</v>
      </c>
      <c r="J572" t="s">
        <v>13</v>
      </c>
      <c r="K572">
        <v>1</v>
      </c>
      <c r="L572">
        <v>680</v>
      </c>
      <c r="M572">
        <v>680</v>
      </c>
      <c r="N572">
        <f>IF(COUNTIFS($B$2:B572,B572)=1,1,0)</f>
        <v>1</v>
      </c>
    </row>
    <row r="573" spans="1:14" x14ac:dyDescent="0.2">
      <c r="A573">
        <v>572</v>
      </c>
      <c r="B573">
        <v>1295</v>
      </c>
      <c r="C573">
        <f>1/COUNTIF(B:B,Table1[[#This Row],[order_id]])</f>
        <v>0.5</v>
      </c>
      <c r="D573" t="str">
        <f>TEXT(Table1[[#This Row],[order_date]],"mmmm")</f>
        <v>February</v>
      </c>
      <c r="E573" s="1">
        <v>45342</v>
      </c>
      <c r="F573" s="1" t="str">
        <f>TEXT(Table1[[#This Row],[order_date]],"dddd")</f>
        <v>Tuesday</v>
      </c>
      <c r="G573">
        <f>HOUR(Table1[[#This Row],[order_time]])</f>
        <v>16</v>
      </c>
      <c r="H573" s="2">
        <v>0.67203703703703699</v>
      </c>
      <c r="I573" t="s">
        <v>11</v>
      </c>
      <c r="J573" t="s">
        <v>12</v>
      </c>
      <c r="K573">
        <v>2</v>
      </c>
      <c r="L573">
        <v>650</v>
      </c>
      <c r="M573">
        <v>1300</v>
      </c>
      <c r="N573">
        <f>IF(COUNTIFS($B$2:B573,B573)=1,1,0)</f>
        <v>1</v>
      </c>
    </row>
    <row r="574" spans="1:14" x14ac:dyDescent="0.2">
      <c r="A574">
        <v>573</v>
      </c>
      <c r="B574">
        <v>1295</v>
      </c>
      <c r="C574">
        <f>1/COUNTIF(B:B,Table1[[#This Row],[order_id]])</f>
        <v>0.5</v>
      </c>
      <c r="D574" t="str">
        <f>TEXT(Table1[[#This Row],[order_date]],"mmmm")</f>
        <v>February</v>
      </c>
      <c r="E574" s="1">
        <v>45342</v>
      </c>
      <c r="F574" s="1" t="str">
        <f>TEXT(Table1[[#This Row],[order_date]],"dddd")</f>
        <v>Tuesday</v>
      </c>
      <c r="G574">
        <f>HOUR(Table1[[#This Row],[order_time]])</f>
        <v>13</v>
      </c>
      <c r="H574" s="2">
        <v>0.56003472222222217</v>
      </c>
      <c r="I574" t="s">
        <v>9</v>
      </c>
      <c r="J574" t="s">
        <v>20</v>
      </c>
      <c r="K574">
        <v>5</v>
      </c>
      <c r="L574">
        <v>25</v>
      </c>
      <c r="M574">
        <v>125</v>
      </c>
      <c r="N574">
        <f>IF(COUNTIFS($B$2:B574,B574)=1,1,0)</f>
        <v>0</v>
      </c>
    </row>
    <row r="575" spans="1:14" x14ac:dyDescent="0.2">
      <c r="A575">
        <v>574</v>
      </c>
      <c r="B575">
        <v>1296</v>
      </c>
      <c r="C575">
        <f>1/COUNTIF(B:B,Table1[[#This Row],[order_id]])</f>
        <v>0.5</v>
      </c>
      <c r="D575" t="str">
        <f>TEXT(Table1[[#This Row],[order_date]],"mmmm")</f>
        <v>February</v>
      </c>
      <c r="E575" s="1">
        <v>45343</v>
      </c>
      <c r="F575" s="1" t="str">
        <f>TEXT(Table1[[#This Row],[order_date]],"dddd")</f>
        <v>Wednesday</v>
      </c>
      <c r="G575">
        <f>HOUR(Table1[[#This Row],[order_time]])</f>
        <v>13</v>
      </c>
      <c r="H575" s="2">
        <v>0.54326388888888888</v>
      </c>
      <c r="I575" t="s">
        <v>16</v>
      </c>
      <c r="J575" t="s">
        <v>17</v>
      </c>
      <c r="K575">
        <v>5</v>
      </c>
      <c r="L575">
        <v>20</v>
      </c>
      <c r="M575">
        <v>100</v>
      </c>
      <c r="N575">
        <f>IF(COUNTIFS($B$2:B575,B575)=1,1,0)</f>
        <v>1</v>
      </c>
    </row>
    <row r="576" spans="1:14" x14ac:dyDescent="0.2">
      <c r="A576">
        <v>575</v>
      </c>
      <c r="B576">
        <v>1296</v>
      </c>
      <c r="C576">
        <f>1/COUNTIF(B:B,Table1[[#This Row],[order_id]])</f>
        <v>0.5</v>
      </c>
      <c r="D576" t="str">
        <f>TEXT(Table1[[#This Row],[order_date]],"mmmm")</f>
        <v>February</v>
      </c>
      <c r="E576" s="1">
        <v>45343</v>
      </c>
      <c r="F576" s="1" t="str">
        <f>TEXT(Table1[[#This Row],[order_date]],"dddd")</f>
        <v>Wednesday</v>
      </c>
      <c r="G576">
        <f>HOUR(Table1[[#This Row],[order_time]])</f>
        <v>19</v>
      </c>
      <c r="H576" s="2">
        <v>0.79390046296296302</v>
      </c>
      <c r="I576" t="s">
        <v>18</v>
      </c>
      <c r="J576" t="s">
        <v>31</v>
      </c>
      <c r="K576">
        <v>1</v>
      </c>
      <c r="L576">
        <v>45</v>
      </c>
      <c r="M576">
        <v>45</v>
      </c>
      <c r="N576">
        <f>IF(COUNTIFS($B$2:B576,B576)=1,1,0)</f>
        <v>0</v>
      </c>
    </row>
    <row r="577" spans="1:14" x14ac:dyDescent="0.2">
      <c r="A577">
        <v>576</v>
      </c>
      <c r="B577">
        <v>1297</v>
      </c>
      <c r="C577">
        <f>1/COUNTIF(B:B,Table1[[#This Row],[order_id]])</f>
        <v>0.5</v>
      </c>
      <c r="D577" t="str">
        <f>TEXT(Table1[[#This Row],[order_date]],"mmmm")</f>
        <v>February</v>
      </c>
      <c r="E577" s="1">
        <v>45343</v>
      </c>
      <c r="F577" s="1" t="str">
        <f>TEXT(Table1[[#This Row],[order_date]],"dddd")</f>
        <v>Wednesday</v>
      </c>
      <c r="G577">
        <f>HOUR(Table1[[#This Row],[order_time]])</f>
        <v>12</v>
      </c>
      <c r="H577" s="2">
        <v>0.51896990740740745</v>
      </c>
      <c r="I577" t="s">
        <v>11</v>
      </c>
      <c r="J577" t="s">
        <v>25</v>
      </c>
      <c r="K577">
        <v>4</v>
      </c>
      <c r="L577">
        <v>1000</v>
      </c>
      <c r="M577">
        <v>4000</v>
      </c>
      <c r="N577">
        <f>IF(COUNTIFS($B$2:B577,B577)=1,1,0)</f>
        <v>1</v>
      </c>
    </row>
    <row r="578" spans="1:14" x14ac:dyDescent="0.2">
      <c r="A578">
        <v>577</v>
      </c>
      <c r="B578">
        <v>1297</v>
      </c>
      <c r="C578">
        <f>1/COUNTIF(B:B,Table1[[#This Row],[order_id]])</f>
        <v>0.5</v>
      </c>
      <c r="D578" t="str">
        <f>TEXT(Table1[[#This Row],[order_date]],"mmmm")</f>
        <v>February</v>
      </c>
      <c r="E578" s="1">
        <v>45343</v>
      </c>
      <c r="F578" s="1" t="str">
        <f>TEXT(Table1[[#This Row],[order_date]],"dddd")</f>
        <v>Wednesday</v>
      </c>
      <c r="G578">
        <f>HOUR(Table1[[#This Row],[order_time]])</f>
        <v>10</v>
      </c>
      <c r="H578" s="2">
        <v>0.42421296296296296</v>
      </c>
      <c r="I578" t="s">
        <v>11</v>
      </c>
      <c r="J578" t="s">
        <v>13</v>
      </c>
      <c r="K578">
        <v>4</v>
      </c>
      <c r="L578">
        <v>680</v>
      </c>
      <c r="M578">
        <v>2720</v>
      </c>
      <c r="N578">
        <f>IF(COUNTIFS($B$2:B578,B578)=1,1,0)</f>
        <v>0</v>
      </c>
    </row>
    <row r="579" spans="1:14" x14ac:dyDescent="0.2">
      <c r="A579">
        <v>578</v>
      </c>
      <c r="B579">
        <v>1298</v>
      </c>
      <c r="C579">
        <f>1/COUNTIF(B:B,Table1[[#This Row],[order_id]])</f>
        <v>1</v>
      </c>
      <c r="D579" t="str">
        <f>TEXT(Table1[[#This Row],[order_date]],"mmmm")</f>
        <v>February</v>
      </c>
      <c r="E579" s="1">
        <v>45343</v>
      </c>
      <c r="F579" s="1" t="str">
        <f>TEXT(Table1[[#This Row],[order_date]],"dddd")</f>
        <v>Wednesday</v>
      </c>
      <c r="G579">
        <f>HOUR(Table1[[#This Row],[order_time]])</f>
        <v>17</v>
      </c>
      <c r="H579" s="2">
        <v>0.7409027777777778</v>
      </c>
      <c r="I579" t="s">
        <v>18</v>
      </c>
      <c r="J579" t="s">
        <v>30</v>
      </c>
      <c r="K579">
        <v>5</v>
      </c>
      <c r="L579">
        <v>60</v>
      </c>
      <c r="M579">
        <v>300</v>
      </c>
      <c r="N579">
        <f>IF(COUNTIFS($B$2:B579,B579)=1,1,0)</f>
        <v>1</v>
      </c>
    </row>
    <row r="580" spans="1:14" x14ac:dyDescent="0.2">
      <c r="A580">
        <v>579</v>
      </c>
      <c r="B580">
        <v>1299</v>
      </c>
      <c r="C580">
        <f>1/COUNTIF(B:B,Table1[[#This Row],[order_id]])</f>
        <v>0.5</v>
      </c>
      <c r="D580" t="str">
        <f>TEXT(Table1[[#This Row],[order_date]],"mmmm")</f>
        <v>February</v>
      </c>
      <c r="E580" s="1">
        <v>45343</v>
      </c>
      <c r="F580" s="1" t="str">
        <f>TEXT(Table1[[#This Row],[order_date]],"dddd")</f>
        <v>Wednesday</v>
      </c>
      <c r="G580">
        <f>HOUR(Table1[[#This Row],[order_time]])</f>
        <v>14</v>
      </c>
      <c r="H580" s="2">
        <v>0.59895833333333337</v>
      </c>
      <c r="I580" t="s">
        <v>16</v>
      </c>
      <c r="J580" t="s">
        <v>17</v>
      </c>
      <c r="K580">
        <v>1</v>
      </c>
      <c r="L580">
        <v>20</v>
      </c>
      <c r="M580">
        <v>20</v>
      </c>
      <c r="N580">
        <f>IF(COUNTIFS($B$2:B580,B580)=1,1,0)</f>
        <v>1</v>
      </c>
    </row>
    <row r="581" spans="1:14" x14ac:dyDescent="0.2">
      <c r="A581">
        <v>580</v>
      </c>
      <c r="B581">
        <v>1299</v>
      </c>
      <c r="C581">
        <f>1/COUNTIF(B:B,Table1[[#This Row],[order_id]])</f>
        <v>0.5</v>
      </c>
      <c r="D581" t="str">
        <f>TEXT(Table1[[#This Row],[order_date]],"mmmm")</f>
        <v>February</v>
      </c>
      <c r="E581" s="1">
        <v>45343</v>
      </c>
      <c r="F581" s="1" t="str">
        <f>TEXT(Table1[[#This Row],[order_date]],"dddd")</f>
        <v>Wednesday</v>
      </c>
      <c r="G581">
        <f>HOUR(Table1[[#This Row],[order_time]])</f>
        <v>10</v>
      </c>
      <c r="H581" s="2">
        <v>0.44767361111111109</v>
      </c>
      <c r="I581" t="s">
        <v>18</v>
      </c>
      <c r="J581" t="s">
        <v>26</v>
      </c>
      <c r="K581">
        <v>2</v>
      </c>
      <c r="L581">
        <v>55</v>
      </c>
      <c r="M581">
        <v>110</v>
      </c>
      <c r="N581">
        <f>IF(COUNTIFS($B$2:B581,B581)=1,1,0)</f>
        <v>0</v>
      </c>
    </row>
    <row r="582" spans="1:14" x14ac:dyDescent="0.2">
      <c r="A582">
        <v>581</v>
      </c>
      <c r="B582">
        <v>1300</v>
      </c>
      <c r="C582">
        <f>1/COUNTIF(B:B,Table1[[#This Row],[order_id]])</f>
        <v>1</v>
      </c>
      <c r="D582" t="str">
        <f>TEXT(Table1[[#This Row],[order_date]],"mmmm")</f>
        <v>February</v>
      </c>
      <c r="E582" s="1">
        <v>45343</v>
      </c>
      <c r="F582" s="1" t="str">
        <f>TEXT(Table1[[#This Row],[order_date]],"dddd")</f>
        <v>Wednesday</v>
      </c>
      <c r="G582">
        <f>HOUR(Table1[[#This Row],[order_time]])</f>
        <v>17</v>
      </c>
      <c r="H582" s="2">
        <v>0.74878472222222225</v>
      </c>
      <c r="I582" t="s">
        <v>18</v>
      </c>
      <c r="J582" t="s">
        <v>31</v>
      </c>
      <c r="K582">
        <v>4</v>
      </c>
      <c r="L582">
        <v>45</v>
      </c>
      <c r="M582">
        <v>180</v>
      </c>
      <c r="N582">
        <f>IF(COUNTIFS($B$2:B582,B582)=1,1,0)</f>
        <v>1</v>
      </c>
    </row>
    <row r="583" spans="1:14" x14ac:dyDescent="0.2">
      <c r="A583">
        <v>582</v>
      </c>
      <c r="B583">
        <v>1301</v>
      </c>
      <c r="C583">
        <f>1/COUNTIF(B:B,Table1[[#This Row],[order_id]])</f>
        <v>0.33333333333333331</v>
      </c>
      <c r="D583" t="str">
        <f>TEXT(Table1[[#This Row],[order_date]],"mmmm")</f>
        <v>February</v>
      </c>
      <c r="E583" s="1">
        <v>45343</v>
      </c>
      <c r="F583" s="1" t="str">
        <f>TEXT(Table1[[#This Row],[order_date]],"dddd")</f>
        <v>Wednesday</v>
      </c>
      <c r="G583">
        <f>HOUR(Table1[[#This Row],[order_time]])</f>
        <v>11</v>
      </c>
      <c r="H583" s="2">
        <v>0.48365740740740742</v>
      </c>
      <c r="I583" t="s">
        <v>9</v>
      </c>
      <c r="J583" t="s">
        <v>22</v>
      </c>
      <c r="K583">
        <v>5</v>
      </c>
      <c r="L583">
        <v>15</v>
      </c>
      <c r="M583">
        <v>75</v>
      </c>
      <c r="N583">
        <f>IF(COUNTIFS($B$2:B583,B583)=1,1,0)</f>
        <v>1</v>
      </c>
    </row>
    <row r="584" spans="1:14" x14ac:dyDescent="0.2">
      <c r="A584">
        <v>583</v>
      </c>
      <c r="B584">
        <v>1301</v>
      </c>
      <c r="C584">
        <f>1/COUNTIF(B:B,Table1[[#This Row],[order_id]])</f>
        <v>0.33333333333333331</v>
      </c>
      <c r="D584" t="str">
        <f>TEXT(Table1[[#This Row],[order_date]],"mmmm")</f>
        <v>February</v>
      </c>
      <c r="E584" s="1">
        <v>45343</v>
      </c>
      <c r="F584" s="1" t="str">
        <f>TEXT(Table1[[#This Row],[order_date]],"dddd")</f>
        <v>Wednesday</v>
      </c>
      <c r="G584">
        <f>HOUR(Table1[[#This Row],[order_time]])</f>
        <v>11</v>
      </c>
      <c r="H584" s="2">
        <v>0.49237268518518518</v>
      </c>
      <c r="I584" t="s">
        <v>16</v>
      </c>
      <c r="J584" t="s">
        <v>24</v>
      </c>
      <c r="K584">
        <v>2</v>
      </c>
      <c r="L584">
        <v>35</v>
      </c>
      <c r="M584">
        <v>70</v>
      </c>
      <c r="N584">
        <f>IF(COUNTIFS($B$2:B584,B584)=1,1,0)</f>
        <v>0</v>
      </c>
    </row>
    <row r="585" spans="1:14" x14ac:dyDescent="0.2">
      <c r="A585">
        <v>584</v>
      </c>
      <c r="B585">
        <v>1301</v>
      </c>
      <c r="C585">
        <f>1/COUNTIF(B:B,Table1[[#This Row],[order_id]])</f>
        <v>0.33333333333333331</v>
      </c>
      <c r="D585" t="str">
        <f>TEXT(Table1[[#This Row],[order_date]],"mmmm")</f>
        <v>February</v>
      </c>
      <c r="E585" s="1">
        <v>45343</v>
      </c>
      <c r="F585" s="1" t="str">
        <f>TEXT(Table1[[#This Row],[order_date]],"dddd")</f>
        <v>Wednesday</v>
      </c>
      <c r="G585">
        <f>HOUR(Table1[[#This Row],[order_time]])</f>
        <v>12</v>
      </c>
      <c r="H585" s="2">
        <v>0.51598379629629632</v>
      </c>
      <c r="I585" t="s">
        <v>16</v>
      </c>
      <c r="J585" t="s">
        <v>23</v>
      </c>
      <c r="K585">
        <v>1</v>
      </c>
      <c r="L585">
        <v>30</v>
      </c>
      <c r="M585">
        <v>30</v>
      </c>
      <c r="N585">
        <f>IF(COUNTIFS($B$2:B585,B585)=1,1,0)</f>
        <v>0</v>
      </c>
    </row>
    <row r="586" spans="1:14" x14ac:dyDescent="0.2">
      <c r="A586">
        <v>585</v>
      </c>
      <c r="B586">
        <v>1302</v>
      </c>
      <c r="C586">
        <f>1/COUNTIF(B:B,Table1[[#This Row],[order_id]])</f>
        <v>0.33333333333333331</v>
      </c>
      <c r="D586" t="str">
        <f>TEXT(Table1[[#This Row],[order_date]],"mmmm")</f>
        <v>February</v>
      </c>
      <c r="E586" s="1">
        <v>45343</v>
      </c>
      <c r="F586" s="1" t="str">
        <f>TEXT(Table1[[#This Row],[order_date]],"dddd")</f>
        <v>Wednesday</v>
      </c>
      <c r="G586">
        <f>HOUR(Table1[[#This Row],[order_time]])</f>
        <v>15</v>
      </c>
      <c r="H586" s="2">
        <v>0.64847222222222223</v>
      </c>
      <c r="I586" t="s">
        <v>18</v>
      </c>
      <c r="J586" t="s">
        <v>19</v>
      </c>
      <c r="K586">
        <v>4</v>
      </c>
      <c r="L586">
        <v>50</v>
      </c>
      <c r="M586">
        <v>200</v>
      </c>
      <c r="N586">
        <f>IF(COUNTIFS($B$2:B586,B586)=1,1,0)</f>
        <v>1</v>
      </c>
    </row>
    <row r="587" spans="1:14" x14ac:dyDescent="0.2">
      <c r="A587">
        <v>586</v>
      </c>
      <c r="B587">
        <v>1302</v>
      </c>
      <c r="C587">
        <f>1/COUNTIF(B:B,Table1[[#This Row],[order_id]])</f>
        <v>0.33333333333333331</v>
      </c>
      <c r="D587" t="str">
        <f>TEXT(Table1[[#This Row],[order_date]],"mmmm")</f>
        <v>February</v>
      </c>
      <c r="E587" s="1">
        <v>45343</v>
      </c>
      <c r="F587" s="1" t="str">
        <f>TEXT(Table1[[#This Row],[order_date]],"dddd")</f>
        <v>Wednesday</v>
      </c>
      <c r="G587">
        <f>HOUR(Table1[[#This Row],[order_time]])</f>
        <v>18</v>
      </c>
      <c r="H587" s="2">
        <v>0.75660879629629629</v>
      </c>
      <c r="I587" t="s">
        <v>11</v>
      </c>
      <c r="J587" t="s">
        <v>25</v>
      </c>
      <c r="K587">
        <v>3</v>
      </c>
      <c r="L587">
        <v>1000</v>
      </c>
      <c r="M587">
        <v>3000</v>
      </c>
      <c r="N587">
        <f>IF(COUNTIFS($B$2:B587,B587)=1,1,0)</f>
        <v>0</v>
      </c>
    </row>
    <row r="588" spans="1:14" x14ac:dyDescent="0.2">
      <c r="A588">
        <v>587</v>
      </c>
      <c r="B588">
        <v>1302</v>
      </c>
      <c r="C588">
        <f>1/COUNTIF(B:B,Table1[[#This Row],[order_id]])</f>
        <v>0.33333333333333331</v>
      </c>
      <c r="D588" t="str">
        <f>TEXT(Table1[[#This Row],[order_date]],"mmmm")</f>
        <v>February</v>
      </c>
      <c r="E588" s="1">
        <v>45343</v>
      </c>
      <c r="F588" s="1" t="str">
        <f>TEXT(Table1[[#This Row],[order_date]],"dddd")</f>
        <v>Wednesday</v>
      </c>
      <c r="G588">
        <f>HOUR(Table1[[#This Row],[order_time]])</f>
        <v>16</v>
      </c>
      <c r="H588" s="2">
        <v>0.67868055555555551</v>
      </c>
      <c r="I588" t="s">
        <v>18</v>
      </c>
      <c r="J588" t="s">
        <v>27</v>
      </c>
      <c r="K588">
        <v>4</v>
      </c>
      <c r="L588">
        <v>40</v>
      </c>
      <c r="M588">
        <v>160</v>
      </c>
      <c r="N588">
        <f>IF(COUNTIFS($B$2:B588,B588)=1,1,0)</f>
        <v>0</v>
      </c>
    </row>
    <row r="589" spans="1:14" x14ac:dyDescent="0.2">
      <c r="A589">
        <v>588</v>
      </c>
      <c r="B589">
        <v>1303</v>
      </c>
      <c r="C589">
        <f>1/COUNTIF(B:B,Table1[[#This Row],[order_id]])</f>
        <v>0.5</v>
      </c>
      <c r="D589" t="str">
        <f>TEXT(Table1[[#This Row],[order_date]],"mmmm")</f>
        <v>February</v>
      </c>
      <c r="E589" s="1">
        <v>45343</v>
      </c>
      <c r="F589" s="1" t="str">
        <f>TEXT(Table1[[#This Row],[order_date]],"dddd")</f>
        <v>Wednesday</v>
      </c>
      <c r="G589">
        <f>HOUR(Table1[[#This Row],[order_time]])</f>
        <v>14</v>
      </c>
      <c r="H589" s="2">
        <v>0.60285879629629635</v>
      </c>
      <c r="I589" t="s">
        <v>18</v>
      </c>
      <c r="J589" t="s">
        <v>19</v>
      </c>
      <c r="K589">
        <v>3</v>
      </c>
      <c r="L589">
        <v>50</v>
      </c>
      <c r="M589">
        <v>150</v>
      </c>
      <c r="N589">
        <f>IF(COUNTIFS($B$2:B589,B589)=1,1,0)</f>
        <v>1</v>
      </c>
    </row>
    <row r="590" spans="1:14" x14ac:dyDescent="0.2">
      <c r="A590">
        <v>589</v>
      </c>
      <c r="B590">
        <v>1303</v>
      </c>
      <c r="C590">
        <f>1/COUNTIF(B:B,Table1[[#This Row],[order_id]])</f>
        <v>0.5</v>
      </c>
      <c r="D590" t="str">
        <f>TEXT(Table1[[#This Row],[order_date]],"mmmm")</f>
        <v>February</v>
      </c>
      <c r="E590" s="1">
        <v>45343</v>
      </c>
      <c r="F590" s="1" t="str">
        <f>TEXT(Table1[[#This Row],[order_date]],"dddd")</f>
        <v>Wednesday</v>
      </c>
      <c r="G590">
        <f>HOUR(Table1[[#This Row],[order_time]])</f>
        <v>18</v>
      </c>
      <c r="H590" s="2">
        <v>0.78364583333333337</v>
      </c>
      <c r="I590" t="s">
        <v>11</v>
      </c>
      <c r="J590" t="s">
        <v>14</v>
      </c>
      <c r="K590">
        <v>3</v>
      </c>
      <c r="L590">
        <v>700</v>
      </c>
      <c r="M590">
        <v>2100</v>
      </c>
      <c r="N590">
        <f>IF(COUNTIFS($B$2:B590,B590)=1,1,0)</f>
        <v>0</v>
      </c>
    </row>
    <row r="591" spans="1:14" x14ac:dyDescent="0.2">
      <c r="A591">
        <v>590</v>
      </c>
      <c r="B591">
        <v>1304</v>
      </c>
      <c r="C591">
        <f>1/COUNTIF(B:B,Table1[[#This Row],[order_id]])</f>
        <v>0.33333333333333331</v>
      </c>
      <c r="D591" t="str">
        <f>TEXT(Table1[[#This Row],[order_date]],"mmmm")</f>
        <v>February</v>
      </c>
      <c r="E591" s="1">
        <v>45343</v>
      </c>
      <c r="F591" s="1" t="str">
        <f>TEXT(Table1[[#This Row],[order_date]],"dddd")</f>
        <v>Wednesday</v>
      </c>
      <c r="G591">
        <f>HOUR(Table1[[#This Row],[order_time]])</f>
        <v>16</v>
      </c>
      <c r="H591" s="2">
        <v>0.69681712962962961</v>
      </c>
      <c r="I591" t="s">
        <v>11</v>
      </c>
      <c r="J591" t="s">
        <v>13</v>
      </c>
      <c r="K591">
        <v>2</v>
      </c>
      <c r="L591">
        <v>680</v>
      </c>
      <c r="M591">
        <v>1360</v>
      </c>
      <c r="N591">
        <f>IF(COUNTIFS($B$2:B591,B591)=1,1,0)</f>
        <v>1</v>
      </c>
    </row>
    <row r="592" spans="1:14" x14ac:dyDescent="0.2">
      <c r="A592">
        <v>591</v>
      </c>
      <c r="B592">
        <v>1304</v>
      </c>
      <c r="C592">
        <f>1/COUNTIF(B:B,Table1[[#This Row],[order_id]])</f>
        <v>0.33333333333333331</v>
      </c>
      <c r="D592" t="str">
        <f>TEXT(Table1[[#This Row],[order_date]],"mmmm")</f>
        <v>February</v>
      </c>
      <c r="E592" s="1">
        <v>45343</v>
      </c>
      <c r="F592" s="1" t="str">
        <f>TEXT(Table1[[#This Row],[order_date]],"dddd")</f>
        <v>Wednesday</v>
      </c>
      <c r="G592">
        <f>HOUR(Table1[[#This Row],[order_time]])</f>
        <v>20</v>
      </c>
      <c r="H592" s="2">
        <v>0.84163194444444445</v>
      </c>
      <c r="I592" t="s">
        <v>9</v>
      </c>
      <c r="J592" t="s">
        <v>10</v>
      </c>
      <c r="K592">
        <v>1</v>
      </c>
      <c r="L592">
        <v>20</v>
      </c>
      <c r="M592">
        <v>20</v>
      </c>
      <c r="N592">
        <f>IF(COUNTIFS($B$2:B592,B592)=1,1,0)</f>
        <v>0</v>
      </c>
    </row>
    <row r="593" spans="1:14" x14ac:dyDescent="0.2">
      <c r="A593">
        <v>592</v>
      </c>
      <c r="B593">
        <v>1304</v>
      </c>
      <c r="C593">
        <f>1/COUNTIF(B:B,Table1[[#This Row],[order_id]])</f>
        <v>0.33333333333333331</v>
      </c>
      <c r="D593" t="str">
        <f>TEXT(Table1[[#This Row],[order_date]],"mmmm")</f>
        <v>February</v>
      </c>
      <c r="E593" s="1">
        <v>45343</v>
      </c>
      <c r="F593" s="1" t="str">
        <f>TEXT(Table1[[#This Row],[order_date]],"dddd")</f>
        <v>Wednesday</v>
      </c>
      <c r="G593">
        <f>HOUR(Table1[[#This Row],[order_time]])</f>
        <v>10</v>
      </c>
      <c r="H593" s="2">
        <v>0.4382523148148148</v>
      </c>
      <c r="I593" t="s">
        <v>9</v>
      </c>
      <c r="J593" t="s">
        <v>20</v>
      </c>
      <c r="K593">
        <v>4</v>
      </c>
      <c r="L593">
        <v>25</v>
      </c>
      <c r="M593">
        <v>100</v>
      </c>
      <c r="N593">
        <f>IF(COUNTIFS($B$2:B593,B593)=1,1,0)</f>
        <v>0</v>
      </c>
    </row>
    <row r="594" spans="1:14" x14ac:dyDescent="0.2">
      <c r="A594">
        <v>593</v>
      </c>
      <c r="B594">
        <v>1305</v>
      </c>
      <c r="C594">
        <f>1/COUNTIF(B:B,Table1[[#This Row],[order_id]])</f>
        <v>0.33333333333333331</v>
      </c>
      <c r="D594" t="str">
        <f>TEXT(Table1[[#This Row],[order_date]],"mmmm")</f>
        <v>February</v>
      </c>
      <c r="E594" s="1">
        <v>45344</v>
      </c>
      <c r="F594" s="1" t="str">
        <f>TEXT(Table1[[#This Row],[order_date]],"dddd")</f>
        <v>Thursday</v>
      </c>
      <c r="G594">
        <f>HOUR(Table1[[#This Row],[order_time]])</f>
        <v>11</v>
      </c>
      <c r="H594" s="2">
        <v>0.48721064814814813</v>
      </c>
      <c r="I594" t="s">
        <v>11</v>
      </c>
      <c r="J594" t="s">
        <v>14</v>
      </c>
      <c r="K594">
        <v>3</v>
      </c>
      <c r="L594">
        <v>700</v>
      </c>
      <c r="M594">
        <v>2100</v>
      </c>
      <c r="N594">
        <f>IF(COUNTIFS($B$2:B594,B594)=1,1,0)</f>
        <v>1</v>
      </c>
    </row>
    <row r="595" spans="1:14" x14ac:dyDescent="0.2">
      <c r="A595">
        <v>594</v>
      </c>
      <c r="B595">
        <v>1305</v>
      </c>
      <c r="C595">
        <f>1/COUNTIF(B:B,Table1[[#This Row],[order_id]])</f>
        <v>0.33333333333333331</v>
      </c>
      <c r="D595" t="str">
        <f>TEXT(Table1[[#This Row],[order_date]],"mmmm")</f>
        <v>February</v>
      </c>
      <c r="E595" s="1">
        <v>45344</v>
      </c>
      <c r="F595" s="1" t="str">
        <f>TEXT(Table1[[#This Row],[order_date]],"dddd")</f>
        <v>Thursday</v>
      </c>
      <c r="G595">
        <f>HOUR(Table1[[#This Row],[order_time]])</f>
        <v>12</v>
      </c>
      <c r="H595" s="2">
        <v>0.53693287037037041</v>
      </c>
      <c r="I595" t="s">
        <v>18</v>
      </c>
      <c r="J595" t="s">
        <v>31</v>
      </c>
      <c r="K595">
        <v>4</v>
      </c>
      <c r="L595">
        <v>45</v>
      </c>
      <c r="M595">
        <v>180</v>
      </c>
      <c r="N595">
        <f>IF(COUNTIFS($B$2:B595,B595)=1,1,0)</f>
        <v>0</v>
      </c>
    </row>
    <row r="596" spans="1:14" x14ac:dyDescent="0.2">
      <c r="A596">
        <v>595</v>
      </c>
      <c r="B596">
        <v>1305</v>
      </c>
      <c r="C596">
        <f>1/COUNTIF(B:B,Table1[[#This Row],[order_id]])</f>
        <v>0.33333333333333331</v>
      </c>
      <c r="D596" t="str">
        <f>TEXT(Table1[[#This Row],[order_date]],"mmmm")</f>
        <v>February</v>
      </c>
      <c r="E596" s="1">
        <v>45344</v>
      </c>
      <c r="F596" s="1" t="str">
        <f>TEXT(Table1[[#This Row],[order_date]],"dddd")</f>
        <v>Thursday</v>
      </c>
      <c r="G596">
        <f>HOUR(Table1[[#This Row],[order_time]])</f>
        <v>9</v>
      </c>
      <c r="H596" s="2">
        <v>0.38831018518518517</v>
      </c>
      <c r="I596" t="s">
        <v>11</v>
      </c>
      <c r="J596" t="s">
        <v>13</v>
      </c>
      <c r="K596">
        <v>1</v>
      </c>
      <c r="L596">
        <v>680</v>
      </c>
      <c r="M596">
        <v>680</v>
      </c>
      <c r="N596">
        <f>IF(COUNTIFS($B$2:B596,B596)=1,1,0)</f>
        <v>0</v>
      </c>
    </row>
    <row r="597" spans="1:14" x14ac:dyDescent="0.2">
      <c r="A597">
        <v>596</v>
      </c>
      <c r="B597">
        <v>1306</v>
      </c>
      <c r="C597">
        <f>1/COUNTIF(B:B,Table1[[#This Row],[order_id]])</f>
        <v>0.33333333333333331</v>
      </c>
      <c r="D597" t="str">
        <f>TEXT(Table1[[#This Row],[order_date]],"mmmm")</f>
        <v>February</v>
      </c>
      <c r="E597" s="1">
        <v>45344</v>
      </c>
      <c r="F597" s="1" t="str">
        <f>TEXT(Table1[[#This Row],[order_date]],"dddd")</f>
        <v>Thursday</v>
      </c>
      <c r="G597">
        <f>HOUR(Table1[[#This Row],[order_time]])</f>
        <v>16</v>
      </c>
      <c r="H597" s="2">
        <v>0.67164351851851856</v>
      </c>
      <c r="I597" t="s">
        <v>11</v>
      </c>
      <c r="J597" t="s">
        <v>14</v>
      </c>
      <c r="K597">
        <v>3</v>
      </c>
      <c r="L597">
        <v>700</v>
      </c>
      <c r="M597">
        <v>2100</v>
      </c>
      <c r="N597">
        <f>IF(COUNTIFS($B$2:B597,B597)=1,1,0)</f>
        <v>1</v>
      </c>
    </row>
    <row r="598" spans="1:14" x14ac:dyDescent="0.2">
      <c r="A598">
        <v>597</v>
      </c>
      <c r="B598">
        <v>1306</v>
      </c>
      <c r="C598">
        <f>1/COUNTIF(B:B,Table1[[#This Row],[order_id]])</f>
        <v>0.33333333333333331</v>
      </c>
      <c r="D598" t="str">
        <f>TEXT(Table1[[#This Row],[order_date]],"mmmm")</f>
        <v>February</v>
      </c>
      <c r="E598" s="1">
        <v>45344</v>
      </c>
      <c r="F598" s="1" t="str">
        <f>TEXT(Table1[[#This Row],[order_date]],"dddd")</f>
        <v>Thursday</v>
      </c>
      <c r="G598">
        <f>HOUR(Table1[[#This Row],[order_time]])</f>
        <v>12</v>
      </c>
      <c r="H598" s="2">
        <v>0.50375000000000003</v>
      </c>
      <c r="I598" t="s">
        <v>9</v>
      </c>
      <c r="J598" t="s">
        <v>29</v>
      </c>
      <c r="K598">
        <v>4</v>
      </c>
      <c r="L598">
        <v>5</v>
      </c>
      <c r="M598">
        <v>20</v>
      </c>
      <c r="N598">
        <f>IF(COUNTIFS($B$2:B598,B598)=1,1,0)</f>
        <v>0</v>
      </c>
    </row>
    <row r="599" spans="1:14" x14ac:dyDescent="0.2">
      <c r="A599">
        <v>598</v>
      </c>
      <c r="B599">
        <v>1306</v>
      </c>
      <c r="C599">
        <f>1/COUNTIF(B:B,Table1[[#This Row],[order_id]])</f>
        <v>0.33333333333333331</v>
      </c>
      <c r="D599" t="str">
        <f>TEXT(Table1[[#This Row],[order_date]],"mmmm")</f>
        <v>February</v>
      </c>
      <c r="E599" s="1">
        <v>45344</v>
      </c>
      <c r="F599" s="1" t="str">
        <f>TEXT(Table1[[#This Row],[order_date]],"dddd")</f>
        <v>Thursday</v>
      </c>
      <c r="G599">
        <f>HOUR(Table1[[#This Row],[order_time]])</f>
        <v>15</v>
      </c>
      <c r="H599" s="2">
        <v>0.66012731481481479</v>
      </c>
      <c r="I599" t="s">
        <v>9</v>
      </c>
      <c r="J599" t="s">
        <v>21</v>
      </c>
      <c r="K599">
        <v>1</v>
      </c>
      <c r="L599">
        <v>10</v>
      </c>
      <c r="M599">
        <v>10</v>
      </c>
      <c r="N599">
        <f>IF(COUNTIFS($B$2:B599,B599)=1,1,0)</f>
        <v>0</v>
      </c>
    </row>
    <row r="600" spans="1:14" x14ac:dyDescent="0.2">
      <c r="A600">
        <v>599</v>
      </c>
      <c r="B600">
        <v>1307</v>
      </c>
      <c r="C600">
        <f>1/COUNTIF(B:B,Table1[[#This Row],[order_id]])</f>
        <v>1</v>
      </c>
      <c r="D600" t="str">
        <f>TEXT(Table1[[#This Row],[order_date]],"mmmm")</f>
        <v>February</v>
      </c>
      <c r="E600" s="1">
        <v>45344</v>
      </c>
      <c r="F600" s="1" t="str">
        <f>TEXT(Table1[[#This Row],[order_date]],"dddd")</f>
        <v>Thursday</v>
      </c>
      <c r="G600">
        <f>HOUR(Table1[[#This Row],[order_time]])</f>
        <v>18</v>
      </c>
      <c r="H600" s="2">
        <v>0.7782175925925926</v>
      </c>
      <c r="I600" t="s">
        <v>11</v>
      </c>
      <c r="J600" t="s">
        <v>12</v>
      </c>
      <c r="K600">
        <v>2</v>
      </c>
      <c r="L600">
        <v>650</v>
      </c>
      <c r="M600">
        <v>1300</v>
      </c>
      <c r="N600">
        <f>IF(COUNTIFS($B$2:B600,B600)=1,1,0)</f>
        <v>1</v>
      </c>
    </row>
    <row r="601" spans="1:14" x14ac:dyDescent="0.2">
      <c r="A601">
        <v>600</v>
      </c>
      <c r="B601">
        <v>1308</v>
      </c>
      <c r="C601">
        <f>1/COUNTIF(B:B,Table1[[#This Row],[order_id]])</f>
        <v>0.5</v>
      </c>
      <c r="D601" t="str">
        <f>TEXT(Table1[[#This Row],[order_date]],"mmmm")</f>
        <v>February</v>
      </c>
      <c r="E601" s="1">
        <v>45344</v>
      </c>
      <c r="F601" s="1" t="str">
        <f>TEXT(Table1[[#This Row],[order_date]],"dddd")</f>
        <v>Thursday</v>
      </c>
      <c r="G601">
        <f>HOUR(Table1[[#This Row],[order_time]])</f>
        <v>14</v>
      </c>
      <c r="H601" s="2">
        <v>0.59175925925925921</v>
      </c>
      <c r="I601" t="s">
        <v>16</v>
      </c>
      <c r="J601" t="s">
        <v>24</v>
      </c>
      <c r="K601">
        <v>4</v>
      </c>
      <c r="L601">
        <v>35</v>
      </c>
      <c r="M601">
        <v>140</v>
      </c>
      <c r="N601">
        <f>IF(COUNTIFS($B$2:B601,B601)=1,1,0)</f>
        <v>1</v>
      </c>
    </row>
    <row r="602" spans="1:14" x14ac:dyDescent="0.2">
      <c r="A602">
        <v>601</v>
      </c>
      <c r="B602">
        <v>1308</v>
      </c>
      <c r="C602">
        <f>1/COUNTIF(B:B,Table1[[#This Row],[order_id]])</f>
        <v>0.5</v>
      </c>
      <c r="D602" t="str">
        <f>TEXT(Table1[[#This Row],[order_date]],"mmmm")</f>
        <v>February</v>
      </c>
      <c r="E602" s="1">
        <v>45344</v>
      </c>
      <c r="F602" s="1" t="str">
        <f>TEXT(Table1[[#This Row],[order_date]],"dddd")</f>
        <v>Thursday</v>
      </c>
      <c r="G602">
        <f>HOUR(Table1[[#This Row],[order_time]])</f>
        <v>17</v>
      </c>
      <c r="H602" s="2">
        <v>0.72967592592592589</v>
      </c>
      <c r="I602" t="s">
        <v>18</v>
      </c>
      <c r="J602" t="s">
        <v>31</v>
      </c>
      <c r="K602">
        <v>1</v>
      </c>
      <c r="L602">
        <v>45</v>
      </c>
      <c r="M602">
        <v>45</v>
      </c>
      <c r="N602">
        <f>IF(COUNTIFS($B$2:B602,B602)=1,1,0)</f>
        <v>0</v>
      </c>
    </row>
    <row r="603" spans="1:14" x14ac:dyDescent="0.2">
      <c r="A603">
        <v>602</v>
      </c>
      <c r="B603">
        <v>1309</v>
      </c>
      <c r="C603">
        <f>1/COUNTIF(B:B,Table1[[#This Row],[order_id]])</f>
        <v>0.5</v>
      </c>
      <c r="D603" t="str">
        <f>TEXT(Table1[[#This Row],[order_date]],"mmmm")</f>
        <v>February</v>
      </c>
      <c r="E603" s="1">
        <v>45344</v>
      </c>
      <c r="F603" s="1" t="str">
        <f>TEXT(Table1[[#This Row],[order_date]],"dddd")</f>
        <v>Thursday</v>
      </c>
      <c r="G603">
        <f>HOUR(Table1[[#This Row],[order_time]])</f>
        <v>17</v>
      </c>
      <c r="H603" s="2">
        <v>0.72160879629629626</v>
      </c>
      <c r="I603" t="s">
        <v>9</v>
      </c>
      <c r="J603" t="s">
        <v>10</v>
      </c>
      <c r="K603">
        <v>5</v>
      </c>
      <c r="L603">
        <v>20</v>
      </c>
      <c r="M603">
        <v>100</v>
      </c>
      <c r="N603">
        <f>IF(COUNTIFS($B$2:B603,B603)=1,1,0)</f>
        <v>1</v>
      </c>
    </row>
    <row r="604" spans="1:14" x14ac:dyDescent="0.2">
      <c r="A604">
        <v>603</v>
      </c>
      <c r="B604">
        <v>1309</v>
      </c>
      <c r="C604">
        <f>1/COUNTIF(B:B,Table1[[#This Row],[order_id]])</f>
        <v>0.5</v>
      </c>
      <c r="D604" t="str">
        <f>TEXT(Table1[[#This Row],[order_date]],"mmmm")</f>
        <v>February</v>
      </c>
      <c r="E604" s="1">
        <v>45344</v>
      </c>
      <c r="F604" s="1" t="str">
        <f>TEXT(Table1[[#This Row],[order_date]],"dddd")</f>
        <v>Thursday</v>
      </c>
      <c r="G604">
        <f>HOUR(Table1[[#This Row],[order_time]])</f>
        <v>13</v>
      </c>
      <c r="H604" s="2">
        <v>0.56032407407407403</v>
      </c>
      <c r="I604" t="s">
        <v>11</v>
      </c>
      <c r="J604" t="s">
        <v>25</v>
      </c>
      <c r="K604">
        <v>2</v>
      </c>
      <c r="L604">
        <v>1000</v>
      </c>
      <c r="M604">
        <v>2000</v>
      </c>
      <c r="N604">
        <f>IF(COUNTIFS($B$2:B604,B604)=1,1,0)</f>
        <v>0</v>
      </c>
    </row>
    <row r="605" spans="1:14" x14ac:dyDescent="0.2">
      <c r="A605">
        <v>604</v>
      </c>
      <c r="B605">
        <v>1310</v>
      </c>
      <c r="C605">
        <f>1/COUNTIF(B:B,Table1[[#This Row],[order_id]])</f>
        <v>0.5</v>
      </c>
      <c r="D605" t="str">
        <f>TEXT(Table1[[#This Row],[order_date]],"mmmm")</f>
        <v>February</v>
      </c>
      <c r="E605" s="1">
        <v>45344</v>
      </c>
      <c r="F605" s="1" t="str">
        <f>TEXT(Table1[[#This Row],[order_date]],"dddd")</f>
        <v>Thursday</v>
      </c>
      <c r="G605">
        <f>HOUR(Table1[[#This Row],[order_time]])</f>
        <v>17</v>
      </c>
      <c r="H605" s="2">
        <v>0.70894675925925921</v>
      </c>
      <c r="I605" t="s">
        <v>9</v>
      </c>
      <c r="J605" t="s">
        <v>29</v>
      </c>
      <c r="K605">
        <v>5</v>
      </c>
      <c r="L605">
        <v>5</v>
      </c>
      <c r="M605">
        <v>25</v>
      </c>
      <c r="N605">
        <f>IF(COUNTIFS($B$2:B605,B605)=1,1,0)</f>
        <v>1</v>
      </c>
    </row>
    <row r="606" spans="1:14" x14ac:dyDescent="0.2">
      <c r="A606">
        <v>605</v>
      </c>
      <c r="B606">
        <v>1310</v>
      </c>
      <c r="C606">
        <f>1/COUNTIF(B:B,Table1[[#This Row],[order_id]])</f>
        <v>0.5</v>
      </c>
      <c r="D606" t="str">
        <f>TEXT(Table1[[#This Row],[order_date]],"mmmm")</f>
        <v>February</v>
      </c>
      <c r="E606" s="1">
        <v>45344</v>
      </c>
      <c r="F606" s="1" t="str">
        <f>TEXT(Table1[[#This Row],[order_date]],"dddd")</f>
        <v>Thursday</v>
      </c>
      <c r="G606">
        <f>HOUR(Table1[[#This Row],[order_time]])</f>
        <v>16</v>
      </c>
      <c r="H606" s="2">
        <v>0.66856481481481478</v>
      </c>
      <c r="I606" t="s">
        <v>18</v>
      </c>
      <c r="J606" t="s">
        <v>30</v>
      </c>
      <c r="K606">
        <v>4</v>
      </c>
      <c r="L606">
        <v>60</v>
      </c>
      <c r="M606">
        <v>240</v>
      </c>
      <c r="N606">
        <f>IF(COUNTIFS($B$2:B606,B606)=1,1,0)</f>
        <v>0</v>
      </c>
    </row>
    <row r="607" spans="1:14" x14ac:dyDescent="0.2">
      <c r="A607">
        <v>606</v>
      </c>
      <c r="B607">
        <v>1311</v>
      </c>
      <c r="C607">
        <f>1/COUNTIF(B:B,Table1[[#This Row],[order_id]])</f>
        <v>1</v>
      </c>
      <c r="D607" t="str">
        <f>TEXT(Table1[[#This Row],[order_date]],"mmmm")</f>
        <v>February</v>
      </c>
      <c r="E607" s="1">
        <v>45344</v>
      </c>
      <c r="F607" s="1" t="str">
        <f>TEXT(Table1[[#This Row],[order_date]],"dddd")</f>
        <v>Thursday</v>
      </c>
      <c r="G607">
        <f>HOUR(Table1[[#This Row],[order_time]])</f>
        <v>18</v>
      </c>
      <c r="H607" s="2">
        <v>0.75942129629629629</v>
      </c>
      <c r="I607" t="s">
        <v>16</v>
      </c>
      <c r="J607" t="s">
        <v>23</v>
      </c>
      <c r="K607">
        <v>4</v>
      </c>
      <c r="L607">
        <v>30</v>
      </c>
      <c r="M607">
        <v>120</v>
      </c>
      <c r="N607">
        <f>IF(COUNTIFS($B$2:B607,B607)=1,1,0)</f>
        <v>1</v>
      </c>
    </row>
    <row r="608" spans="1:14" x14ac:dyDescent="0.2">
      <c r="A608">
        <v>607</v>
      </c>
      <c r="B608">
        <v>1312</v>
      </c>
      <c r="C608">
        <f>1/COUNTIF(B:B,Table1[[#This Row],[order_id]])</f>
        <v>0.5</v>
      </c>
      <c r="D608" t="str">
        <f>TEXT(Table1[[#This Row],[order_date]],"mmmm")</f>
        <v>February</v>
      </c>
      <c r="E608" s="1">
        <v>45344</v>
      </c>
      <c r="F608" s="1" t="str">
        <f>TEXT(Table1[[#This Row],[order_date]],"dddd")</f>
        <v>Thursday</v>
      </c>
      <c r="G608">
        <f>HOUR(Table1[[#This Row],[order_time]])</f>
        <v>10</v>
      </c>
      <c r="H608" s="2">
        <v>0.41791666666666666</v>
      </c>
      <c r="I608" t="s">
        <v>16</v>
      </c>
      <c r="J608" t="s">
        <v>28</v>
      </c>
      <c r="K608">
        <v>5</v>
      </c>
      <c r="L608">
        <v>25</v>
      </c>
      <c r="M608">
        <v>125</v>
      </c>
      <c r="N608">
        <f>IF(COUNTIFS($B$2:B608,B608)=1,1,0)</f>
        <v>1</v>
      </c>
    </row>
    <row r="609" spans="1:14" x14ac:dyDescent="0.2">
      <c r="A609">
        <v>608</v>
      </c>
      <c r="B609">
        <v>1312</v>
      </c>
      <c r="C609">
        <f>1/COUNTIF(B:B,Table1[[#This Row],[order_id]])</f>
        <v>0.5</v>
      </c>
      <c r="D609" t="str">
        <f>TEXT(Table1[[#This Row],[order_date]],"mmmm")</f>
        <v>February</v>
      </c>
      <c r="E609" s="1">
        <v>45344</v>
      </c>
      <c r="F609" s="1" t="str">
        <f>TEXT(Table1[[#This Row],[order_date]],"dddd")</f>
        <v>Thursday</v>
      </c>
      <c r="G609">
        <f>HOUR(Table1[[#This Row],[order_time]])</f>
        <v>9</v>
      </c>
      <c r="H609" s="2">
        <v>0.41646990740740741</v>
      </c>
      <c r="I609" t="s">
        <v>16</v>
      </c>
      <c r="J609" t="s">
        <v>28</v>
      </c>
      <c r="K609">
        <v>4</v>
      </c>
      <c r="L609">
        <v>25</v>
      </c>
      <c r="M609">
        <v>100</v>
      </c>
      <c r="N609">
        <f>IF(COUNTIFS($B$2:B609,B609)=1,1,0)</f>
        <v>0</v>
      </c>
    </row>
    <row r="610" spans="1:14" x14ac:dyDescent="0.2">
      <c r="A610">
        <v>609</v>
      </c>
      <c r="B610">
        <v>1313</v>
      </c>
      <c r="C610">
        <f>1/COUNTIF(B:B,Table1[[#This Row],[order_id]])</f>
        <v>0.5</v>
      </c>
      <c r="D610" t="str">
        <f>TEXT(Table1[[#This Row],[order_date]],"mmmm")</f>
        <v>February</v>
      </c>
      <c r="E610" s="1">
        <v>45344</v>
      </c>
      <c r="F610" s="1" t="str">
        <f>TEXT(Table1[[#This Row],[order_date]],"dddd")</f>
        <v>Thursday</v>
      </c>
      <c r="G610">
        <f>HOUR(Table1[[#This Row],[order_time]])</f>
        <v>14</v>
      </c>
      <c r="H610" s="2">
        <v>0.58512731481481484</v>
      </c>
      <c r="I610" t="s">
        <v>18</v>
      </c>
      <c r="J610" t="s">
        <v>26</v>
      </c>
      <c r="K610">
        <v>5</v>
      </c>
      <c r="L610">
        <v>55</v>
      </c>
      <c r="M610">
        <v>275</v>
      </c>
      <c r="N610">
        <f>IF(COUNTIFS($B$2:B610,B610)=1,1,0)</f>
        <v>1</v>
      </c>
    </row>
    <row r="611" spans="1:14" x14ac:dyDescent="0.2">
      <c r="A611">
        <v>610</v>
      </c>
      <c r="B611">
        <v>1313</v>
      </c>
      <c r="C611">
        <f>1/COUNTIF(B:B,Table1[[#This Row],[order_id]])</f>
        <v>0.5</v>
      </c>
      <c r="D611" t="str">
        <f>TEXT(Table1[[#This Row],[order_date]],"mmmm")</f>
        <v>February</v>
      </c>
      <c r="E611" s="1">
        <v>45344</v>
      </c>
      <c r="F611" s="1" t="str">
        <f>TEXT(Table1[[#This Row],[order_date]],"dddd")</f>
        <v>Thursday</v>
      </c>
      <c r="G611">
        <f>HOUR(Table1[[#This Row],[order_time]])</f>
        <v>10</v>
      </c>
      <c r="H611" s="2">
        <v>0.43420138888888887</v>
      </c>
      <c r="I611" t="s">
        <v>18</v>
      </c>
      <c r="J611" t="s">
        <v>19</v>
      </c>
      <c r="K611">
        <v>4</v>
      </c>
      <c r="L611">
        <v>50</v>
      </c>
      <c r="M611">
        <v>200</v>
      </c>
      <c r="N611">
        <f>IF(COUNTIFS($B$2:B611,B611)=1,1,0)</f>
        <v>0</v>
      </c>
    </row>
    <row r="612" spans="1:14" x14ac:dyDescent="0.2">
      <c r="A612">
        <v>611</v>
      </c>
      <c r="B612">
        <v>1314</v>
      </c>
      <c r="C612">
        <f>1/COUNTIF(B:B,Table1[[#This Row],[order_id]])</f>
        <v>1</v>
      </c>
      <c r="D612" t="str">
        <f>TEXT(Table1[[#This Row],[order_date]],"mmmm")</f>
        <v>February</v>
      </c>
      <c r="E612" s="1">
        <v>45345</v>
      </c>
      <c r="F612" s="1" t="str">
        <f>TEXT(Table1[[#This Row],[order_date]],"dddd")</f>
        <v>Friday</v>
      </c>
      <c r="G612">
        <f>HOUR(Table1[[#This Row],[order_time]])</f>
        <v>13</v>
      </c>
      <c r="H612" s="2">
        <v>0.56912037037037033</v>
      </c>
      <c r="I612" t="s">
        <v>11</v>
      </c>
      <c r="J612" t="s">
        <v>14</v>
      </c>
      <c r="K612">
        <v>4</v>
      </c>
      <c r="L612">
        <v>700</v>
      </c>
      <c r="M612">
        <v>2800</v>
      </c>
      <c r="N612">
        <f>IF(COUNTIFS($B$2:B612,B612)=1,1,0)</f>
        <v>1</v>
      </c>
    </row>
    <row r="613" spans="1:14" x14ac:dyDescent="0.2">
      <c r="A613">
        <v>612</v>
      </c>
      <c r="B613">
        <v>1315</v>
      </c>
      <c r="C613">
        <f>1/COUNTIF(B:B,Table1[[#This Row],[order_id]])</f>
        <v>0.5</v>
      </c>
      <c r="D613" t="str">
        <f>TEXT(Table1[[#This Row],[order_date]],"mmmm")</f>
        <v>February</v>
      </c>
      <c r="E613" s="1">
        <v>45345</v>
      </c>
      <c r="F613" s="1" t="str">
        <f>TEXT(Table1[[#This Row],[order_date]],"dddd")</f>
        <v>Friday</v>
      </c>
      <c r="G613">
        <f>HOUR(Table1[[#This Row],[order_time]])</f>
        <v>14</v>
      </c>
      <c r="H613" s="2">
        <v>0.59087962962962959</v>
      </c>
      <c r="I613" t="s">
        <v>9</v>
      </c>
      <c r="J613" t="s">
        <v>29</v>
      </c>
      <c r="K613">
        <v>4</v>
      </c>
      <c r="L613">
        <v>5</v>
      </c>
      <c r="M613">
        <v>20</v>
      </c>
      <c r="N613">
        <f>IF(COUNTIFS($B$2:B613,B613)=1,1,0)</f>
        <v>1</v>
      </c>
    </row>
    <row r="614" spans="1:14" x14ac:dyDescent="0.2">
      <c r="A614">
        <v>613</v>
      </c>
      <c r="B614">
        <v>1315</v>
      </c>
      <c r="C614">
        <f>1/COUNTIF(B:B,Table1[[#This Row],[order_id]])</f>
        <v>0.5</v>
      </c>
      <c r="D614" t="str">
        <f>TEXT(Table1[[#This Row],[order_date]],"mmmm")</f>
        <v>February</v>
      </c>
      <c r="E614" s="1">
        <v>45345</v>
      </c>
      <c r="F614" s="1" t="str">
        <f>TEXT(Table1[[#This Row],[order_date]],"dddd")</f>
        <v>Friday</v>
      </c>
      <c r="G614">
        <f>HOUR(Table1[[#This Row],[order_time]])</f>
        <v>10</v>
      </c>
      <c r="H614" s="2">
        <v>0.43707175925925928</v>
      </c>
      <c r="I614" t="s">
        <v>11</v>
      </c>
      <c r="J614" t="s">
        <v>15</v>
      </c>
      <c r="K614">
        <v>1</v>
      </c>
      <c r="L614">
        <v>600</v>
      </c>
      <c r="M614">
        <v>600</v>
      </c>
      <c r="N614">
        <f>IF(COUNTIFS($B$2:B614,B614)=1,1,0)</f>
        <v>0</v>
      </c>
    </row>
    <row r="615" spans="1:14" x14ac:dyDescent="0.2">
      <c r="A615">
        <v>614</v>
      </c>
      <c r="B615">
        <v>1316</v>
      </c>
      <c r="C615">
        <f>1/COUNTIF(B:B,Table1[[#This Row],[order_id]])</f>
        <v>0.5</v>
      </c>
      <c r="D615" t="str">
        <f>TEXT(Table1[[#This Row],[order_date]],"mmmm")</f>
        <v>February</v>
      </c>
      <c r="E615" s="1">
        <v>45345</v>
      </c>
      <c r="F615" s="1" t="str">
        <f>TEXT(Table1[[#This Row],[order_date]],"dddd")</f>
        <v>Friday</v>
      </c>
      <c r="G615">
        <f>HOUR(Table1[[#This Row],[order_time]])</f>
        <v>19</v>
      </c>
      <c r="H615" s="2">
        <v>0.80231481481481481</v>
      </c>
      <c r="I615" t="s">
        <v>9</v>
      </c>
      <c r="J615" t="s">
        <v>10</v>
      </c>
      <c r="K615">
        <v>5</v>
      </c>
      <c r="L615">
        <v>20</v>
      </c>
      <c r="M615">
        <v>100</v>
      </c>
      <c r="N615">
        <f>IF(COUNTIFS($B$2:B615,B615)=1,1,0)</f>
        <v>1</v>
      </c>
    </row>
    <row r="616" spans="1:14" x14ac:dyDescent="0.2">
      <c r="A616">
        <v>615</v>
      </c>
      <c r="B616">
        <v>1316</v>
      </c>
      <c r="C616">
        <f>1/COUNTIF(B:B,Table1[[#This Row],[order_id]])</f>
        <v>0.5</v>
      </c>
      <c r="D616" t="str">
        <f>TEXT(Table1[[#This Row],[order_date]],"mmmm")</f>
        <v>February</v>
      </c>
      <c r="E616" s="1">
        <v>45345</v>
      </c>
      <c r="F616" s="1" t="str">
        <f>TEXT(Table1[[#This Row],[order_date]],"dddd")</f>
        <v>Friday</v>
      </c>
      <c r="G616">
        <f>HOUR(Table1[[#This Row],[order_time]])</f>
        <v>10</v>
      </c>
      <c r="H616" s="2">
        <v>0.42326388888888888</v>
      </c>
      <c r="I616" t="s">
        <v>16</v>
      </c>
      <c r="J616" t="s">
        <v>23</v>
      </c>
      <c r="K616">
        <v>3</v>
      </c>
      <c r="L616">
        <v>30</v>
      </c>
      <c r="M616">
        <v>90</v>
      </c>
      <c r="N616">
        <f>IF(COUNTIFS($B$2:B616,B616)=1,1,0)</f>
        <v>0</v>
      </c>
    </row>
    <row r="617" spans="1:14" x14ac:dyDescent="0.2">
      <c r="A617">
        <v>616</v>
      </c>
      <c r="B617">
        <v>1317</v>
      </c>
      <c r="C617">
        <f>1/COUNTIF(B:B,Table1[[#This Row],[order_id]])</f>
        <v>0.5</v>
      </c>
      <c r="D617" t="str">
        <f>TEXT(Table1[[#This Row],[order_date]],"mmmm")</f>
        <v>February</v>
      </c>
      <c r="E617" s="1">
        <v>45345</v>
      </c>
      <c r="F617" s="1" t="str">
        <f>TEXT(Table1[[#This Row],[order_date]],"dddd")</f>
        <v>Friday</v>
      </c>
      <c r="G617">
        <f>HOUR(Table1[[#This Row],[order_time]])</f>
        <v>12</v>
      </c>
      <c r="H617" s="2">
        <v>0.50898148148148148</v>
      </c>
      <c r="I617" t="s">
        <v>9</v>
      </c>
      <c r="J617" t="s">
        <v>29</v>
      </c>
      <c r="K617">
        <v>3</v>
      </c>
      <c r="L617">
        <v>5</v>
      </c>
      <c r="M617">
        <v>15</v>
      </c>
      <c r="N617">
        <f>IF(COUNTIFS($B$2:B617,B617)=1,1,0)</f>
        <v>1</v>
      </c>
    </row>
    <row r="618" spans="1:14" x14ac:dyDescent="0.2">
      <c r="A618">
        <v>617</v>
      </c>
      <c r="B618">
        <v>1317</v>
      </c>
      <c r="C618">
        <f>1/COUNTIF(B:B,Table1[[#This Row],[order_id]])</f>
        <v>0.5</v>
      </c>
      <c r="D618" t="str">
        <f>TEXT(Table1[[#This Row],[order_date]],"mmmm")</f>
        <v>February</v>
      </c>
      <c r="E618" s="1">
        <v>45345</v>
      </c>
      <c r="F618" s="1" t="str">
        <f>TEXT(Table1[[#This Row],[order_date]],"dddd")</f>
        <v>Friday</v>
      </c>
      <c r="G618">
        <f>HOUR(Table1[[#This Row],[order_time]])</f>
        <v>12</v>
      </c>
      <c r="H618" s="2">
        <v>0.53723379629629631</v>
      </c>
      <c r="I618" t="s">
        <v>16</v>
      </c>
      <c r="J618" t="s">
        <v>28</v>
      </c>
      <c r="K618">
        <v>5</v>
      </c>
      <c r="L618">
        <v>25</v>
      </c>
      <c r="M618">
        <v>125</v>
      </c>
      <c r="N618">
        <f>IF(COUNTIFS($B$2:B618,B618)=1,1,0)</f>
        <v>0</v>
      </c>
    </row>
    <row r="619" spans="1:14" x14ac:dyDescent="0.2">
      <c r="A619">
        <v>618</v>
      </c>
      <c r="B619">
        <v>1318</v>
      </c>
      <c r="C619">
        <f>1/COUNTIF(B:B,Table1[[#This Row],[order_id]])</f>
        <v>1</v>
      </c>
      <c r="D619" t="str">
        <f>TEXT(Table1[[#This Row],[order_date]],"mmmm")</f>
        <v>February</v>
      </c>
      <c r="E619" s="1">
        <v>45345</v>
      </c>
      <c r="F619" s="1" t="str">
        <f>TEXT(Table1[[#This Row],[order_date]],"dddd")</f>
        <v>Friday</v>
      </c>
      <c r="G619">
        <f>HOUR(Table1[[#This Row],[order_time]])</f>
        <v>17</v>
      </c>
      <c r="H619" s="2">
        <v>0.73827546296296298</v>
      </c>
      <c r="I619" t="s">
        <v>9</v>
      </c>
      <c r="J619" t="s">
        <v>22</v>
      </c>
      <c r="K619">
        <v>2</v>
      </c>
      <c r="L619">
        <v>15</v>
      </c>
      <c r="M619">
        <v>30</v>
      </c>
      <c r="N619">
        <f>IF(COUNTIFS($B$2:B619,B619)=1,1,0)</f>
        <v>1</v>
      </c>
    </row>
    <row r="620" spans="1:14" x14ac:dyDescent="0.2">
      <c r="A620">
        <v>619</v>
      </c>
      <c r="B620">
        <v>1319</v>
      </c>
      <c r="C620">
        <f>1/COUNTIF(B:B,Table1[[#This Row],[order_id]])</f>
        <v>0.33333333333333331</v>
      </c>
      <c r="D620" t="str">
        <f>TEXT(Table1[[#This Row],[order_date]],"mmmm")</f>
        <v>February</v>
      </c>
      <c r="E620" s="1">
        <v>45345</v>
      </c>
      <c r="F620" s="1" t="str">
        <f>TEXT(Table1[[#This Row],[order_date]],"dddd")</f>
        <v>Friday</v>
      </c>
      <c r="G620">
        <f>HOUR(Table1[[#This Row],[order_time]])</f>
        <v>13</v>
      </c>
      <c r="H620" s="2">
        <v>0.58172453703703708</v>
      </c>
      <c r="I620" t="s">
        <v>9</v>
      </c>
      <c r="J620" t="s">
        <v>21</v>
      </c>
      <c r="K620">
        <v>4</v>
      </c>
      <c r="L620">
        <v>10</v>
      </c>
      <c r="M620">
        <v>40</v>
      </c>
      <c r="N620">
        <f>IF(COUNTIFS($B$2:B620,B620)=1,1,0)</f>
        <v>1</v>
      </c>
    </row>
    <row r="621" spans="1:14" x14ac:dyDescent="0.2">
      <c r="A621">
        <v>620</v>
      </c>
      <c r="B621">
        <v>1319</v>
      </c>
      <c r="C621">
        <f>1/COUNTIF(B:B,Table1[[#This Row],[order_id]])</f>
        <v>0.33333333333333331</v>
      </c>
      <c r="D621" t="str">
        <f>TEXT(Table1[[#This Row],[order_date]],"mmmm")</f>
        <v>February</v>
      </c>
      <c r="E621" s="1">
        <v>45345</v>
      </c>
      <c r="F621" s="1" t="str">
        <f>TEXT(Table1[[#This Row],[order_date]],"dddd")</f>
        <v>Friday</v>
      </c>
      <c r="G621">
        <f>HOUR(Table1[[#This Row],[order_time]])</f>
        <v>13</v>
      </c>
      <c r="H621" s="2">
        <v>0.55194444444444446</v>
      </c>
      <c r="I621" t="s">
        <v>9</v>
      </c>
      <c r="J621" t="s">
        <v>29</v>
      </c>
      <c r="K621">
        <v>4</v>
      </c>
      <c r="L621">
        <v>5</v>
      </c>
      <c r="M621">
        <v>20</v>
      </c>
      <c r="N621">
        <f>IF(COUNTIFS($B$2:B621,B621)=1,1,0)</f>
        <v>0</v>
      </c>
    </row>
    <row r="622" spans="1:14" x14ac:dyDescent="0.2">
      <c r="A622">
        <v>621</v>
      </c>
      <c r="B622">
        <v>1319</v>
      </c>
      <c r="C622">
        <f>1/COUNTIF(B:B,Table1[[#This Row],[order_id]])</f>
        <v>0.33333333333333331</v>
      </c>
      <c r="D622" t="str">
        <f>TEXT(Table1[[#This Row],[order_date]],"mmmm")</f>
        <v>February</v>
      </c>
      <c r="E622" s="1">
        <v>45345</v>
      </c>
      <c r="F622" s="1" t="str">
        <f>TEXT(Table1[[#This Row],[order_date]],"dddd")</f>
        <v>Friday</v>
      </c>
      <c r="G622">
        <f>HOUR(Table1[[#This Row],[order_time]])</f>
        <v>17</v>
      </c>
      <c r="H622" s="2">
        <v>0.74844907407407413</v>
      </c>
      <c r="I622" t="s">
        <v>18</v>
      </c>
      <c r="J622" t="s">
        <v>27</v>
      </c>
      <c r="K622">
        <v>2</v>
      </c>
      <c r="L622">
        <v>40</v>
      </c>
      <c r="M622">
        <v>80</v>
      </c>
      <c r="N622">
        <f>IF(COUNTIFS($B$2:B622,B622)=1,1,0)</f>
        <v>0</v>
      </c>
    </row>
    <row r="623" spans="1:14" x14ac:dyDescent="0.2">
      <c r="A623">
        <v>622</v>
      </c>
      <c r="B623">
        <v>1320</v>
      </c>
      <c r="C623">
        <f>1/COUNTIF(B:B,Table1[[#This Row],[order_id]])</f>
        <v>0.33333333333333331</v>
      </c>
      <c r="D623" t="str">
        <f>TEXT(Table1[[#This Row],[order_date]],"mmmm")</f>
        <v>February</v>
      </c>
      <c r="E623" s="1">
        <v>45345</v>
      </c>
      <c r="F623" s="1" t="str">
        <f>TEXT(Table1[[#This Row],[order_date]],"dddd")</f>
        <v>Friday</v>
      </c>
      <c r="G623">
        <f>HOUR(Table1[[#This Row],[order_time]])</f>
        <v>12</v>
      </c>
      <c r="H623" s="2">
        <v>0.52952546296296299</v>
      </c>
      <c r="I623" t="s">
        <v>11</v>
      </c>
      <c r="J623" t="s">
        <v>12</v>
      </c>
      <c r="K623">
        <v>2</v>
      </c>
      <c r="L623">
        <v>650</v>
      </c>
      <c r="M623">
        <v>1300</v>
      </c>
      <c r="N623">
        <f>IF(COUNTIFS($B$2:B623,B623)=1,1,0)</f>
        <v>1</v>
      </c>
    </row>
    <row r="624" spans="1:14" x14ac:dyDescent="0.2">
      <c r="A624">
        <v>623</v>
      </c>
      <c r="B624">
        <v>1320</v>
      </c>
      <c r="C624">
        <f>1/COUNTIF(B:B,Table1[[#This Row],[order_id]])</f>
        <v>0.33333333333333331</v>
      </c>
      <c r="D624" t="str">
        <f>TEXT(Table1[[#This Row],[order_date]],"mmmm")</f>
        <v>February</v>
      </c>
      <c r="E624" s="1">
        <v>45345</v>
      </c>
      <c r="F624" s="1" t="str">
        <f>TEXT(Table1[[#This Row],[order_date]],"dddd")</f>
        <v>Friday</v>
      </c>
      <c r="G624">
        <f>HOUR(Table1[[#This Row],[order_time]])</f>
        <v>14</v>
      </c>
      <c r="H624" s="2">
        <v>0.60034722222222225</v>
      </c>
      <c r="I624" t="s">
        <v>16</v>
      </c>
      <c r="J624" t="s">
        <v>23</v>
      </c>
      <c r="K624">
        <v>2</v>
      </c>
      <c r="L624">
        <v>30</v>
      </c>
      <c r="M624">
        <v>60</v>
      </c>
      <c r="N624">
        <f>IF(COUNTIFS($B$2:B624,B624)=1,1,0)</f>
        <v>0</v>
      </c>
    </row>
    <row r="625" spans="1:14" x14ac:dyDescent="0.2">
      <c r="A625">
        <v>624</v>
      </c>
      <c r="B625">
        <v>1320</v>
      </c>
      <c r="C625">
        <f>1/COUNTIF(B:B,Table1[[#This Row],[order_id]])</f>
        <v>0.33333333333333331</v>
      </c>
      <c r="D625" t="str">
        <f>TEXT(Table1[[#This Row],[order_date]],"mmmm")</f>
        <v>February</v>
      </c>
      <c r="E625" s="1">
        <v>45345</v>
      </c>
      <c r="F625" s="1" t="str">
        <f>TEXT(Table1[[#This Row],[order_date]],"dddd")</f>
        <v>Friday</v>
      </c>
      <c r="G625">
        <f>HOUR(Table1[[#This Row],[order_time]])</f>
        <v>13</v>
      </c>
      <c r="H625" s="2">
        <v>0.58135416666666662</v>
      </c>
      <c r="I625" t="s">
        <v>18</v>
      </c>
      <c r="J625" t="s">
        <v>31</v>
      </c>
      <c r="K625">
        <v>3</v>
      </c>
      <c r="L625">
        <v>45</v>
      </c>
      <c r="M625">
        <v>135</v>
      </c>
      <c r="N625">
        <f>IF(COUNTIFS($B$2:B625,B625)=1,1,0)</f>
        <v>0</v>
      </c>
    </row>
    <row r="626" spans="1:14" x14ac:dyDescent="0.2">
      <c r="A626">
        <v>625</v>
      </c>
      <c r="B626">
        <v>1321</v>
      </c>
      <c r="C626">
        <f>1/COUNTIF(B:B,Table1[[#This Row],[order_id]])</f>
        <v>0.5</v>
      </c>
      <c r="D626" t="str">
        <f>TEXT(Table1[[#This Row],[order_date]],"mmmm")</f>
        <v>February</v>
      </c>
      <c r="E626" s="1">
        <v>45346</v>
      </c>
      <c r="F626" s="1" t="str">
        <f>TEXT(Table1[[#This Row],[order_date]],"dddd")</f>
        <v>Saturday</v>
      </c>
      <c r="G626">
        <f>HOUR(Table1[[#This Row],[order_time]])</f>
        <v>15</v>
      </c>
      <c r="H626" s="2">
        <v>0.63818287037037036</v>
      </c>
      <c r="I626" t="s">
        <v>18</v>
      </c>
      <c r="J626" t="s">
        <v>19</v>
      </c>
      <c r="K626">
        <v>2</v>
      </c>
      <c r="L626">
        <v>50</v>
      </c>
      <c r="M626">
        <v>100</v>
      </c>
      <c r="N626">
        <f>IF(COUNTIFS($B$2:B626,B626)=1,1,0)</f>
        <v>1</v>
      </c>
    </row>
    <row r="627" spans="1:14" x14ac:dyDescent="0.2">
      <c r="A627">
        <v>626</v>
      </c>
      <c r="B627">
        <v>1321</v>
      </c>
      <c r="C627">
        <f>1/COUNTIF(B:B,Table1[[#This Row],[order_id]])</f>
        <v>0.5</v>
      </c>
      <c r="D627" t="str">
        <f>TEXT(Table1[[#This Row],[order_date]],"mmmm")</f>
        <v>February</v>
      </c>
      <c r="E627" s="1">
        <v>45346</v>
      </c>
      <c r="F627" s="1" t="str">
        <f>TEXT(Table1[[#This Row],[order_date]],"dddd")</f>
        <v>Saturday</v>
      </c>
      <c r="G627">
        <f>HOUR(Table1[[#This Row],[order_time]])</f>
        <v>12</v>
      </c>
      <c r="H627" s="2">
        <v>0.52864583333333337</v>
      </c>
      <c r="I627" t="s">
        <v>16</v>
      </c>
      <c r="J627" t="s">
        <v>28</v>
      </c>
      <c r="K627">
        <v>5</v>
      </c>
      <c r="L627">
        <v>25</v>
      </c>
      <c r="M627">
        <v>125</v>
      </c>
      <c r="N627">
        <f>IF(COUNTIFS($B$2:B627,B627)=1,1,0)</f>
        <v>0</v>
      </c>
    </row>
    <row r="628" spans="1:14" x14ac:dyDescent="0.2">
      <c r="A628">
        <v>627</v>
      </c>
      <c r="B628">
        <v>1322</v>
      </c>
      <c r="C628">
        <f>1/COUNTIF(B:B,Table1[[#This Row],[order_id]])</f>
        <v>1</v>
      </c>
      <c r="D628" t="str">
        <f>TEXT(Table1[[#This Row],[order_date]],"mmmm")</f>
        <v>February</v>
      </c>
      <c r="E628" s="1">
        <v>45346</v>
      </c>
      <c r="F628" s="1" t="str">
        <f>TEXT(Table1[[#This Row],[order_date]],"dddd")</f>
        <v>Saturday</v>
      </c>
      <c r="G628">
        <f>HOUR(Table1[[#This Row],[order_time]])</f>
        <v>19</v>
      </c>
      <c r="H628" s="2">
        <v>0.80835648148148154</v>
      </c>
      <c r="I628" t="s">
        <v>11</v>
      </c>
      <c r="J628" t="s">
        <v>12</v>
      </c>
      <c r="K628">
        <v>2</v>
      </c>
      <c r="L628">
        <v>650</v>
      </c>
      <c r="M628">
        <v>1300</v>
      </c>
      <c r="N628">
        <f>IF(COUNTIFS($B$2:B628,B628)=1,1,0)</f>
        <v>1</v>
      </c>
    </row>
    <row r="629" spans="1:14" x14ac:dyDescent="0.2">
      <c r="A629">
        <v>628</v>
      </c>
      <c r="B629">
        <v>1323</v>
      </c>
      <c r="C629">
        <f>1/COUNTIF(B:B,Table1[[#This Row],[order_id]])</f>
        <v>0.33333333333333331</v>
      </c>
      <c r="D629" t="str">
        <f>TEXT(Table1[[#This Row],[order_date]],"mmmm")</f>
        <v>February</v>
      </c>
      <c r="E629" s="1">
        <v>45346</v>
      </c>
      <c r="F629" s="1" t="str">
        <f>TEXT(Table1[[#This Row],[order_date]],"dddd")</f>
        <v>Saturday</v>
      </c>
      <c r="G629">
        <f>HOUR(Table1[[#This Row],[order_time]])</f>
        <v>11</v>
      </c>
      <c r="H629" s="2">
        <v>0.48782407407407408</v>
      </c>
      <c r="I629" t="s">
        <v>18</v>
      </c>
      <c r="J629" t="s">
        <v>19</v>
      </c>
      <c r="K629">
        <v>2</v>
      </c>
      <c r="L629">
        <v>50</v>
      </c>
      <c r="M629">
        <v>100</v>
      </c>
      <c r="N629">
        <f>IF(COUNTIFS($B$2:B629,B629)=1,1,0)</f>
        <v>1</v>
      </c>
    </row>
    <row r="630" spans="1:14" x14ac:dyDescent="0.2">
      <c r="A630">
        <v>629</v>
      </c>
      <c r="B630">
        <v>1323</v>
      </c>
      <c r="C630">
        <f>1/COUNTIF(B:B,Table1[[#This Row],[order_id]])</f>
        <v>0.33333333333333331</v>
      </c>
      <c r="D630" t="str">
        <f>TEXT(Table1[[#This Row],[order_date]],"mmmm")</f>
        <v>February</v>
      </c>
      <c r="E630" s="1">
        <v>45346</v>
      </c>
      <c r="F630" s="1" t="str">
        <f>TEXT(Table1[[#This Row],[order_date]],"dddd")</f>
        <v>Saturday</v>
      </c>
      <c r="G630">
        <f>HOUR(Table1[[#This Row],[order_time]])</f>
        <v>16</v>
      </c>
      <c r="H630" s="2">
        <v>0.69578703703703704</v>
      </c>
      <c r="I630" t="s">
        <v>11</v>
      </c>
      <c r="J630" t="s">
        <v>13</v>
      </c>
      <c r="K630">
        <v>1</v>
      </c>
      <c r="L630">
        <v>680</v>
      </c>
      <c r="M630">
        <v>680</v>
      </c>
      <c r="N630">
        <f>IF(COUNTIFS($B$2:B630,B630)=1,1,0)</f>
        <v>0</v>
      </c>
    </row>
    <row r="631" spans="1:14" x14ac:dyDescent="0.2">
      <c r="A631">
        <v>630</v>
      </c>
      <c r="B631">
        <v>1323</v>
      </c>
      <c r="C631">
        <f>1/COUNTIF(B:B,Table1[[#This Row],[order_id]])</f>
        <v>0.33333333333333331</v>
      </c>
      <c r="D631" t="str">
        <f>TEXT(Table1[[#This Row],[order_date]],"mmmm")</f>
        <v>February</v>
      </c>
      <c r="E631" s="1">
        <v>45346</v>
      </c>
      <c r="F631" s="1" t="str">
        <f>TEXT(Table1[[#This Row],[order_date]],"dddd")</f>
        <v>Saturday</v>
      </c>
      <c r="G631">
        <f>HOUR(Table1[[#This Row],[order_time]])</f>
        <v>13</v>
      </c>
      <c r="H631" s="2">
        <v>0.57172453703703707</v>
      </c>
      <c r="I631" t="s">
        <v>11</v>
      </c>
      <c r="J631" t="s">
        <v>25</v>
      </c>
      <c r="K631">
        <v>2</v>
      </c>
      <c r="L631">
        <v>1000</v>
      </c>
      <c r="M631">
        <v>2000</v>
      </c>
      <c r="N631">
        <f>IF(COUNTIFS($B$2:B631,B631)=1,1,0)</f>
        <v>0</v>
      </c>
    </row>
    <row r="632" spans="1:14" x14ac:dyDescent="0.2">
      <c r="A632">
        <v>631</v>
      </c>
      <c r="B632">
        <v>1324</v>
      </c>
      <c r="C632">
        <f>1/COUNTIF(B:B,Table1[[#This Row],[order_id]])</f>
        <v>0.33333333333333331</v>
      </c>
      <c r="D632" t="str">
        <f>TEXT(Table1[[#This Row],[order_date]],"mmmm")</f>
        <v>February</v>
      </c>
      <c r="E632" s="1">
        <v>45346</v>
      </c>
      <c r="F632" s="1" t="str">
        <f>TEXT(Table1[[#This Row],[order_date]],"dddd")</f>
        <v>Saturday</v>
      </c>
      <c r="G632">
        <f>HOUR(Table1[[#This Row],[order_time]])</f>
        <v>9</v>
      </c>
      <c r="H632" s="2">
        <v>0.4026851851851852</v>
      </c>
      <c r="I632" t="s">
        <v>9</v>
      </c>
      <c r="J632" t="s">
        <v>20</v>
      </c>
      <c r="K632">
        <v>2</v>
      </c>
      <c r="L632">
        <v>25</v>
      </c>
      <c r="M632">
        <v>50</v>
      </c>
      <c r="N632">
        <f>IF(COUNTIFS($B$2:B632,B632)=1,1,0)</f>
        <v>1</v>
      </c>
    </row>
    <row r="633" spans="1:14" x14ac:dyDescent="0.2">
      <c r="A633">
        <v>632</v>
      </c>
      <c r="B633">
        <v>1324</v>
      </c>
      <c r="C633">
        <f>1/COUNTIF(B:B,Table1[[#This Row],[order_id]])</f>
        <v>0.33333333333333331</v>
      </c>
      <c r="D633" t="str">
        <f>TEXT(Table1[[#This Row],[order_date]],"mmmm")</f>
        <v>February</v>
      </c>
      <c r="E633" s="1">
        <v>45346</v>
      </c>
      <c r="F633" s="1" t="str">
        <f>TEXT(Table1[[#This Row],[order_date]],"dddd")</f>
        <v>Saturday</v>
      </c>
      <c r="G633">
        <f>HOUR(Table1[[#This Row],[order_time]])</f>
        <v>20</v>
      </c>
      <c r="H633" s="2">
        <v>0.86638888888888888</v>
      </c>
      <c r="I633" t="s">
        <v>9</v>
      </c>
      <c r="J633" t="s">
        <v>21</v>
      </c>
      <c r="K633">
        <v>1</v>
      </c>
      <c r="L633">
        <v>10</v>
      </c>
      <c r="M633">
        <v>10</v>
      </c>
      <c r="N633">
        <f>IF(COUNTIFS($B$2:B633,B633)=1,1,0)</f>
        <v>0</v>
      </c>
    </row>
    <row r="634" spans="1:14" x14ac:dyDescent="0.2">
      <c r="A634">
        <v>633</v>
      </c>
      <c r="B634">
        <v>1324</v>
      </c>
      <c r="C634">
        <f>1/COUNTIF(B:B,Table1[[#This Row],[order_id]])</f>
        <v>0.33333333333333331</v>
      </c>
      <c r="D634" t="str">
        <f>TEXT(Table1[[#This Row],[order_date]],"mmmm")</f>
        <v>February</v>
      </c>
      <c r="E634" s="1">
        <v>45346</v>
      </c>
      <c r="F634" s="1" t="str">
        <f>TEXT(Table1[[#This Row],[order_date]],"dddd")</f>
        <v>Saturday</v>
      </c>
      <c r="G634">
        <f>HOUR(Table1[[#This Row],[order_time]])</f>
        <v>13</v>
      </c>
      <c r="H634" s="2">
        <v>0.54711805555555559</v>
      </c>
      <c r="I634" t="s">
        <v>18</v>
      </c>
      <c r="J634" t="s">
        <v>30</v>
      </c>
      <c r="K634">
        <v>2</v>
      </c>
      <c r="L634">
        <v>60</v>
      </c>
      <c r="M634">
        <v>120</v>
      </c>
      <c r="N634">
        <f>IF(COUNTIFS($B$2:B634,B634)=1,1,0)</f>
        <v>0</v>
      </c>
    </row>
    <row r="635" spans="1:14" x14ac:dyDescent="0.2">
      <c r="A635">
        <v>634</v>
      </c>
      <c r="B635">
        <v>1325</v>
      </c>
      <c r="C635">
        <f>1/COUNTIF(B:B,Table1[[#This Row],[order_id]])</f>
        <v>1</v>
      </c>
      <c r="D635" t="str">
        <f>TEXT(Table1[[#This Row],[order_date]],"mmmm")</f>
        <v>February</v>
      </c>
      <c r="E635" s="1">
        <v>45346</v>
      </c>
      <c r="F635" s="1" t="str">
        <f>TEXT(Table1[[#This Row],[order_date]],"dddd")</f>
        <v>Saturday</v>
      </c>
      <c r="G635">
        <f>HOUR(Table1[[#This Row],[order_time]])</f>
        <v>18</v>
      </c>
      <c r="H635" s="2">
        <v>0.77179398148148148</v>
      </c>
      <c r="I635" t="s">
        <v>16</v>
      </c>
      <c r="J635" t="s">
        <v>28</v>
      </c>
      <c r="K635">
        <v>3</v>
      </c>
      <c r="L635">
        <v>25</v>
      </c>
      <c r="M635">
        <v>75</v>
      </c>
      <c r="N635">
        <f>IF(COUNTIFS($B$2:B635,B635)=1,1,0)</f>
        <v>1</v>
      </c>
    </row>
    <row r="636" spans="1:14" x14ac:dyDescent="0.2">
      <c r="A636">
        <v>635</v>
      </c>
      <c r="B636">
        <v>1326</v>
      </c>
      <c r="C636">
        <f>1/COUNTIF(B:B,Table1[[#This Row],[order_id]])</f>
        <v>1</v>
      </c>
      <c r="D636" t="str">
        <f>TEXT(Table1[[#This Row],[order_date]],"mmmm")</f>
        <v>February</v>
      </c>
      <c r="E636" s="1">
        <v>45346</v>
      </c>
      <c r="F636" s="1" t="str">
        <f>TEXT(Table1[[#This Row],[order_date]],"dddd")</f>
        <v>Saturday</v>
      </c>
      <c r="G636">
        <f>HOUR(Table1[[#This Row],[order_time]])</f>
        <v>12</v>
      </c>
      <c r="H636" s="2">
        <v>0.50626157407407413</v>
      </c>
      <c r="I636" t="s">
        <v>18</v>
      </c>
      <c r="J636" t="s">
        <v>31</v>
      </c>
      <c r="K636">
        <v>5</v>
      </c>
      <c r="L636">
        <v>45</v>
      </c>
      <c r="M636">
        <v>225</v>
      </c>
      <c r="N636">
        <f>IF(COUNTIFS($B$2:B636,B636)=1,1,0)</f>
        <v>1</v>
      </c>
    </row>
    <row r="637" spans="1:14" x14ac:dyDescent="0.2">
      <c r="A637">
        <v>636</v>
      </c>
      <c r="B637">
        <v>1327</v>
      </c>
      <c r="C637">
        <f>1/COUNTIF(B:B,Table1[[#This Row],[order_id]])</f>
        <v>0.33333333333333331</v>
      </c>
      <c r="D637" t="str">
        <f>TEXT(Table1[[#This Row],[order_date]],"mmmm")</f>
        <v>February</v>
      </c>
      <c r="E637" s="1">
        <v>45346</v>
      </c>
      <c r="F637" s="1" t="str">
        <f>TEXT(Table1[[#This Row],[order_date]],"dddd")</f>
        <v>Saturday</v>
      </c>
      <c r="G637">
        <f>HOUR(Table1[[#This Row],[order_time]])</f>
        <v>13</v>
      </c>
      <c r="H637" s="2">
        <v>0.56915509259259256</v>
      </c>
      <c r="I637" t="s">
        <v>18</v>
      </c>
      <c r="J637" t="s">
        <v>31</v>
      </c>
      <c r="K637">
        <v>4</v>
      </c>
      <c r="L637">
        <v>45</v>
      </c>
      <c r="M637">
        <v>180</v>
      </c>
      <c r="N637">
        <f>IF(COUNTIFS($B$2:B637,B637)=1,1,0)</f>
        <v>1</v>
      </c>
    </row>
    <row r="638" spans="1:14" x14ac:dyDescent="0.2">
      <c r="A638">
        <v>637</v>
      </c>
      <c r="B638">
        <v>1327</v>
      </c>
      <c r="C638">
        <f>1/COUNTIF(B:B,Table1[[#This Row],[order_id]])</f>
        <v>0.33333333333333331</v>
      </c>
      <c r="D638" t="str">
        <f>TEXT(Table1[[#This Row],[order_date]],"mmmm")</f>
        <v>February</v>
      </c>
      <c r="E638" s="1">
        <v>45346</v>
      </c>
      <c r="F638" s="1" t="str">
        <f>TEXT(Table1[[#This Row],[order_date]],"dddd")</f>
        <v>Saturday</v>
      </c>
      <c r="G638">
        <f>HOUR(Table1[[#This Row],[order_time]])</f>
        <v>11</v>
      </c>
      <c r="H638" s="2">
        <v>0.48557870370370371</v>
      </c>
      <c r="I638" t="s">
        <v>9</v>
      </c>
      <c r="J638" t="s">
        <v>29</v>
      </c>
      <c r="K638">
        <v>5</v>
      </c>
      <c r="L638">
        <v>5</v>
      </c>
      <c r="M638">
        <v>25</v>
      </c>
      <c r="N638">
        <f>IF(COUNTIFS($B$2:B638,B638)=1,1,0)</f>
        <v>0</v>
      </c>
    </row>
    <row r="639" spans="1:14" x14ac:dyDescent="0.2">
      <c r="A639">
        <v>638</v>
      </c>
      <c r="B639">
        <v>1327</v>
      </c>
      <c r="C639">
        <f>1/COUNTIF(B:B,Table1[[#This Row],[order_id]])</f>
        <v>0.33333333333333331</v>
      </c>
      <c r="D639" t="str">
        <f>TEXT(Table1[[#This Row],[order_date]],"mmmm")</f>
        <v>February</v>
      </c>
      <c r="E639" s="1">
        <v>45346</v>
      </c>
      <c r="F639" s="1" t="str">
        <f>TEXT(Table1[[#This Row],[order_date]],"dddd")</f>
        <v>Saturday</v>
      </c>
      <c r="G639">
        <f>HOUR(Table1[[#This Row],[order_time]])</f>
        <v>17</v>
      </c>
      <c r="H639" s="2">
        <v>0.72491898148148148</v>
      </c>
      <c r="I639" t="s">
        <v>16</v>
      </c>
      <c r="J639" t="s">
        <v>24</v>
      </c>
      <c r="K639">
        <v>4</v>
      </c>
      <c r="L639">
        <v>35</v>
      </c>
      <c r="M639">
        <v>140</v>
      </c>
      <c r="N639">
        <f>IF(COUNTIFS($B$2:B639,B639)=1,1,0)</f>
        <v>0</v>
      </c>
    </row>
    <row r="640" spans="1:14" x14ac:dyDescent="0.2">
      <c r="A640">
        <v>639</v>
      </c>
      <c r="B640">
        <v>1328</v>
      </c>
      <c r="C640">
        <f>1/COUNTIF(B:B,Table1[[#This Row],[order_id]])</f>
        <v>0.5</v>
      </c>
      <c r="D640" t="str">
        <f>TEXT(Table1[[#This Row],[order_date]],"mmmm")</f>
        <v>February</v>
      </c>
      <c r="E640" s="1">
        <v>45347</v>
      </c>
      <c r="F640" s="1" t="str">
        <f>TEXT(Table1[[#This Row],[order_date]],"dddd")</f>
        <v>Sunday</v>
      </c>
      <c r="G640">
        <f>HOUR(Table1[[#This Row],[order_time]])</f>
        <v>20</v>
      </c>
      <c r="H640" s="2">
        <v>0.85994212962962968</v>
      </c>
      <c r="I640" t="s">
        <v>11</v>
      </c>
      <c r="J640" t="s">
        <v>14</v>
      </c>
      <c r="K640">
        <v>3</v>
      </c>
      <c r="L640">
        <v>700</v>
      </c>
      <c r="M640">
        <v>2100</v>
      </c>
      <c r="N640">
        <f>IF(COUNTIFS($B$2:B640,B640)=1,1,0)</f>
        <v>1</v>
      </c>
    </row>
    <row r="641" spans="1:14" x14ac:dyDescent="0.2">
      <c r="A641">
        <v>640</v>
      </c>
      <c r="B641">
        <v>1328</v>
      </c>
      <c r="C641">
        <f>1/COUNTIF(B:B,Table1[[#This Row],[order_id]])</f>
        <v>0.5</v>
      </c>
      <c r="D641" t="str">
        <f>TEXT(Table1[[#This Row],[order_date]],"mmmm")</f>
        <v>February</v>
      </c>
      <c r="E641" s="1">
        <v>45347</v>
      </c>
      <c r="F641" s="1" t="str">
        <f>TEXT(Table1[[#This Row],[order_date]],"dddd")</f>
        <v>Sunday</v>
      </c>
      <c r="G641">
        <f>HOUR(Table1[[#This Row],[order_time]])</f>
        <v>11</v>
      </c>
      <c r="H641" s="2">
        <v>0.49349537037037039</v>
      </c>
      <c r="I641" t="s">
        <v>11</v>
      </c>
      <c r="J641" t="s">
        <v>14</v>
      </c>
      <c r="K641">
        <v>3</v>
      </c>
      <c r="L641">
        <v>700</v>
      </c>
      <c r="M641">
        <v>2100</v>
      </c>
      <c r="N641">
        <f>IF(COUNTIFS($B$2:B641,B641)=1,1,0)</f>
        <v>0</v>
      </c>
    </row>
    <row r="642" spans="1:14" x14ac:dyDescent="0.2">
      <c r="A642">
        <v>641</v>
      </c>
      <c r="B642">
        <v>1329</v>
      </c>
      <c r="C642">
        <f>1/COUNTIF(B:B,Table1[[#This Row],[order_id]])</f>
        <v>0.33333333333333331</v>
      </c>
      <c r="D642" t="str">
        <f>TEXT(Table1[[#This Row],[order_date]],"mmmm")</f>
        <v>February</v>
      </c>
      <c r="E642" s="1">
        <v>45347</v>
      </c>
      <c r="F642" s="1" t="str">
        <f>TEXT(Table1[[#This Row],[order_date]],"dddd")</f>
        <v>Sunday</v>
      </c>
      <c r="G642">
        <f>HOUR(Table1[[#This Row],[order_time]])</f>
        <v>11</v>
      </c>
      <c r="H642" s="2">
        <v>0.47748842592592594</v>
      </c>
      <c r="I642" t="s">
        <v>16</v>
      </c>
      <c r="J642" t="s">
        <v>28</v>
      </c>
      <c r="K642">
        <v>4</v>
      </c>
      <c r="L642">
        <v>25</v>
      </c>
      <c r="M642">
        <v>100</v>
      </c>
      <c r="N642">
        <f>IF(COUNTIFS($B$2:B642,B642)=1,1,0)</f>
        <v>1</v>
      </c>
    </row>
    <row r="643" spans="1:14" x14ac:dyDescent="0.2">
      <c r="A643">
        <v>642</v>
      </c>
      <c r="B643">
        <v>1329</v>
      </c>
      <c r="C643">
        <f>1/COUNTIF(B:B,Table1[[#This Row],[order_id]])</f>
        <v>0.33333333333333331</v>
      </c>
      <c r="D643" t="str">
        <f>TEXT(Table1[[#This Row],[order_date]],"mmmm")</f>
        <v>February</v>
      </c>
      <c r="E643" s="1">
        <v>45347</v>
      </c>
      <c r="F643" s="1" t="str">
        <f>TEXT(Table1[[#This Row],[order_date]],"dddd")</f>
        <v>Sunday</v>
      </c>
      <c r="G643">
        <f>HOUR(Table1[[#This Row],[order_time]])</f>
        <v>12</v>
      </c>
      <c r="H643" s="2">
        <v>0.53560185185185183</v>
      </c>
      <c r="I643" t="s">
        <v>18</v>
      </c>
      <c r="J643" t="s">
        <v>19</v>
      </c>
      <c r="K643">
        <v>2</v>
      </c>
      <c r="L643">
        <v>50</v>
      </c>
      <c r="M643">
        <v>100</v>
      </c>
      <c r="N643">
        <f>IF(COUNTIFS($B$2:B643,B643)=1,1,0)</f>
        <v>0</v>
      </c>
    </row>
    <row r="644" spans="1:14" x14ac:dyDescent="0.2">
      <c r="A644">
        <v>643</v>
      </c>
      <c r="B644">
        <v>1329</v>
      </c>
      <c r="C644">
        <f>1/COUNTIF(B:B,Table1[[#This Row],[order_id]])</f>
        <v>0.33333333333333331</v>
      </c>
      <c r="D644" t="str">
        <f>TEXT(Table1[[#This Row],[order_date]],"mmmm")</f>
        <v>February</v>
      </c>
      <c r="E644" s="1">
        <v>45347</v>
      </c>
      <c r="F644" s="1" t="str">
        <f>TEXT(Table1[[#This Row],[order_date]],"dddd")</f>
        <v>Sunday</v>
      </c>
      <c r="G644">
        <f>HOUR(Table1[[#This Row],[order_time]])</f>
        <v>19</v>
      </c>
      <c r="H644" s="2">
        <v>0.80721064814814814</v>
      </c>
      <c r="I644" t="s">
        <v>18</v>
      </c>
      <c r="J644" t="s">
        <v>19</v>
      </c>
      <c r="K644">
        <v>4</v>
      </c>
      <c r="L644">
        <v>50</v>
      </c>
      <c r="M644">
        <v>200</v>
      </c>
      <c r="N644">
        <f>IF(COUNTIFS($B$2:B644,B644)=1,1,0)</f>
        <v>0</v>
      </c>
    </row>
    <row r="645" spans="1:14" x14ac:dyDescent="0.2">
      <c r="A645">
        <v>644</v>
      </c>
      <c r="B645">
        <v>1330</v>
      </c>
      <c r="C645">
        <f>1/COUNTIF(B:B,Table1[[#This Row],[order_id]])</f>
        <v>0.33333333333333331</v>
      </c>
      <c r="D645" t="str">
        <f>TEXT(Table1[[#This Row],[order_date]],"mmmm")</f>
        <v>February</v>
      </c>
      <c r="E645" s="1">
        <v>45347</v>
      </c>
      <c r="F645" s="1" t="str">
        <f>TEXT(Table1[[#This Row],[order_date]],"dddd")</f>
        <v>Sunday</v>
      </c>
      <c r="G645">
        <f>HOUR(Table1[[#This Row],[order_time]])</f>
        <v>17</v>
      </c>
      <c r="H645" s="2">
        <v>0.72297453703703707</v>
      </c>
      <c r="I645" t="s">
        <v>16</v>
      </c>
      <c r="J645" t="s">
        <v>28</v>
      </c>
      <c r="K645">
        <v>4</v>
      </c>
      <c r="L645">
        <v>25</v>
      </c>
      <c r="M645">
        <v>100</v>
      </c>
      <c r="N645">
        <f>IF(COUNTIFS($B$2:B645,B645)=1,1,0)</f>
        <v>1</v>
      </c>
    </row>
    <row r="646" spans="1:14" x14ac:dyDescent="0.2">
      <c r="A646">
        <v>645</v>
      </c>
      <c r="B646">
        <v>1330</v>
      </c>
      <c r="C646">
        <f>1/COUNTIF(B:B,Table1[[#This Row],[order_id]])</f>
        <v>0.33333333333333331</v>
      </c>
      <c r="D646" t="str">
        <f>TEXT(Table1[[#This Row],[order_date]],"mmmm")</f>
        <v>February</v>
      </c>
      <c r="E646" s="1">
        <v>45347</v>
      </c>
      <c r="F646" s="1" t="str">
        <f>TEXT(Table1[[#This Row],[order_date]],"dddd")</f>
        <v>Sunday</v>
      </c>
      <c r="G646">
        <f>HOUR(Table1[[#This Row],[order_time]])</f>
        <v>10</v>
      </c>
      <c r="H646" s="2">
        <v>0.42146990740740742</v>
      </c>
      <c r="I646" t="s">
        <v>18</v>
      </c>
      <c r="J646" t="s">
        <v>31</v>
      </c>
      <c r="K646">
        <v>2</v>
      </c>
      <c r="L646">
        <v>45</v>
      </c>
      <c r="M646">
        <v>90</v>
      </c>
      <c r="N646">
        <f>IF(COUNTIFS($B$2:B646,B646)=1,1,0)</f>
        <v>0</v>
      </c>
    </row>
    <row r="647" spans="1:14" x14ac:dyDescent="0.2">
      <c r="A647">
        <v>646</v>
      </c>
      <c r="B647">
        <v>1330</v>
      </c>
      <c r="C647">
        <f>1/COUNTIF(B:B,Table1[[#This Row],[order_id]])</f>
        <v>0.33333333333333331</v>
      </c>
      <c r="D647" t="str">
        <f>TEXT(Table1[[#This Row],[order_date]],"mmmm")</f>
        <v>February</v>
      </c>
      <c r="E647" s="1">
        <v>45347</v>
      </c>
      <c r="F647" s="1" t="str">
        <f>TEXT(Table1[[#This Row],[order_date]],"dddd")</f>
        <v>Sunday</v>
      </c>
      <c r="G647">
        <f>HOUR(Table1[[#This Row],[order_time]])</f>
        <v>10</v>
      </c>
      <c r="H647" s="2">
        <v>0.42355324074074074</v>
      </c>
      <c r="I647" t="s">
        <v>16</v>
      </c>
      <c r="J647" t="s">
        <v>17</v>
      </c>
      <c r="K647">
        <v>2</v>
      </c>
      <c r="L647">
        <v>20</v>
      </c>
      <c r="M647">
        <v>40</v>
      </c>
      <c r="N647">
        <f>IF(COUNTIFS($B$2:B647,B647)=1,1,0)</f>
        <v>0</v>
      </c>
    </row>
    <row r="648" spans="1:14" x14ac:dyDescent="0.2">
      <c r="A648">
        <v>647</v>
      </c>
      <c r="B648">
        <v>1331</v>
      </c>
      <c r="C648">
        <f>1/COUNTIF(B:B,Table1[[#This Row],[order_id]])</f>
        <v>0.5</v>
      </c>
      <c r="D648" t="str">
        <f>TEXT(Table1[[#This Row],[order_date]],"mmmm")</f>
        <v>February</v>
      </c>
      <c r="E648" s="1">
        <v>45347</v>
      </c>
      <c r="F648" s="1" t="str">
        <f>TEXT(Table1[[#This Row],[order_date]],"dddd")</f>
        <v>Sunday</v>
      </c>
      <c r="G648">
        <f>HOUR(Table1[[#This Row],[order_time]])</f>
        <v>20</v>
      </c>
      <c r="H648" s="2">
        <v>0.8664236111111111</v>
      </c>
      <c r="I648" t="s">
        <v>11</v>
      </c>
      <c r="J648" t="s">
        <v>14</v>
      </c>
      <c r="K648">
        <v>4</v>
      </c>
      <c r="L648">
        <v>700</v>
      </c>
      <c r="M648">
        <v>2800</v>
      </c>
      <c r="N648">
        <f>IF(COUNTIFS($B$2:B648,B648)=1,1,0)</f>
        <v>1</v>
      </c>
    </row>
    <row r="649" spans="1:14" x14ac:dyDescent="0.2">
      <c r="A649">
        <v>648</v>
      </c>
      <c r="B649">
        <v>1331</v>
      </c>
      <c r="C649">
        <f>1/COUNTIF(B:B,Table1[[#This Row],[order_id]])</f>
        <v>0.5</v>
      </c>
      <c r="D649" t="str">
        <f>TEXT(Table1[[#This Row],[order_date]],"mmmm")</f>
        <v>February</v>
      </c>
      <c r="E649" s="1">
        <v>45347</v>
      </c>
      <c r="F649" s="1" t="str">
        <f>TEXT(Table1[[#This Row],[order_date]],"dddd")</f>
        <v>Sunday</v>
      </c>
      <c r="G649">
        <f>HOUR(Table1[[#This Row],[order_time]])</f>
        <v>16</v>
      </c>
      <c r="H649" s="2">
        <v>0.66831018518518515</v>
      </c>
      <c r="I649" t="s">
        <v>16</v>
      </c>
      <c r="J649" t="s">
        <v>24</v>
      </c>
      <c r="K649">
        <v>3</v>
      </c>
      <c r="L649">
        <v>35</v>
      </c>
      <c r="M649">
        <v>105</v>
      </c>
      <c r="N649">
        <f>IF(COUNTIFS($B$2:B649,B649)=1,1,0)</f>
        <v>0</v>
      </c>
    </row>
    <row r="650" spans="1:14" x14ac:dyDescent="0.2">
      <c r="A650">
        <v>649</v>
      </c>
      <c r="B650">
        <v>1332</v>
      </c>
      <c r="C650">
        <f>1/COUNTIF(B:B,Table1[[#This Row],[order_id]])</f>
        <v>1</v>
      </c>
      <c r="D650" t="str">
        <f>TEXT(Table1[[#This Row],[order_date]],"mmmm")</f>
        <v>February</v>
      </c>
      <c r="E650" s="1">
        <v>45348</v>
      </c>
      <c r="F650" s="1" t="str">
        <f>TEXT(Table1[[#This Row],[order_date]],"dddd")</f>
        <v>Monday</v>
      </c>
      <c r="G650">
        <f>HOUR(Table1[[#This Row],[order_time]])</f>
        <v>18</v>
      </c>
      <c r="H650" s="2">
        <v>0.77853009259259254</v>
      </c>
      <c r="I650" t="s">
        <v>16</v>
      </c>
      <c r="J650" t="s">
        <v>23</v>
      </c>
      <c r="K650">
        <v>3</v>
      </c>
      <c r="L650">
        <v>30</v>
      </c>
      <c r="M650">
        <v>90</v>
      </c>
      <c r="N650">
        <f>IF(COUNTIFS($B$2:B650,B650)=1,1,0)</f>
        <v>1</v>
      </c>
    </row>
    <row r="651" spans="1:14" x14ac:dyDescent="0.2">
      <c r="A651">
        <v>650</v>
      </c>
      <c r="B651">
        <v>1333</v>
      </c>
      <c r="C651">
        <f>1/COUNTIF(B:B,Table1[[#This Row],[order_id]])</f>
        <v>0.33333333333333331</v>
      </c>
      <c r="D651" t="str">
        <f>TEXT(Table1[[#This Row],[order_date]],"mmmm")</f>
        <v>February</v>
      </c>
      <c r="E651" s="1">
        <v>45348</v>
      </c>
      <c r="F651" s="1" t="str">
        <f>TEXT(Table1[[#This Row],[order_date]],"dddd")</f>
        <v>Monday</v>
      </c>
      <c r="G651">
        <f>HOUR(Table1[[#This Row],[order_time]])</f>
        <v>12</v>
      </c>
      <c r="H651" s="2">
        <v>0.51626157407407403</v>
      </c>
      <c r="I651" t="s">
        <v>18</v>
      </c>
      <c r="J651" t="s">
        <v>19</v>
      </c>
      <c r="K651">
        <v>2</v>
      </c>
      <c r="L651">
        <v>50</v>
      </c>
      <c r="M651">
        <v>100</v>
      </c>
      <c r="N651">
        <f>IF(COUNTIFS($B$2:B651,B651)=1,1,0)</f>
        <v>1</v>
      </c>
    </row>
    <row r="652" spans="1:14" x14ac:dyDescent="0.2">
      <c r="A652">
        <v>651</v>
      </c>
      <c r="B652">
        <v>1333</v>
      </c>
      <c r="C652">
        <f>1/COUNTIF(B:B,Table1[[#This Row],[order_id]])</f>
        <v>0.33333333333333331</v>
      </c>
      <c r="D652" t="str">
        <f>TEXT(Table1[[#This Row],[order_date]],"mmmm")</f>
        <v>February</v>
      </c>
      <c r="E652" s="1">
        <v>45348</v>
      </c>
      <c r="F652" s="1" t="str">
        <f>TEXT(Table1[[#This Row],[order_date]],"dddd")</f>
        <v>Monday</v>
      </c>
      <c r="G652">
        <f>HOUR(Table1[[#This Row],[order_time]])</f>
        <v>9</v>
      </c>
      <c r="H652" s="2">
        <v>0.3800115740740741</v>
      </c>
      <c r="I652" t="s">
        <v>18</v>
      </c>
      <c r="J652" t="s">
        <v>30</v>
      </c>
      <c r="K652">
        <v>3</v>
      </c>
      <c r="L652">
        <v>60</v>
      </c>
      <c r="M652">
        <v>180</v>
      </c>
      <c r="N652">
        <f>IF(COUNTIFS($B$2:B652,B652)=1,1,0)</f>
        <v>0</v>
      </c>
    </row>
    <row r="653" spans="1:14" x14ac:dyDescent="0.2">
      <c r="A653">
        <v>652</v>
      </c>
      <c r="B653">
        <v>1333</v>
      </c>
      <c r="C653">
        <f>1/COUNTIF(B:B,Table1[[#This Row],[order_id]])</f>
        <v>0.33333333333333331</v>
      </c>
      <c r="D653" t="str">
        <f>TEXT(Table1[[#This Row],[order_date]],"mmmm")</f>
        <v>February</v>
      </c>
      <c r="E653" s="1">
        <v>45348</v>
      </c>
      <c r="F653" s="1" t="str">
        <f>TEXT(Table1[[#This Row],[order_date]],"dddd")</f>
        <v>Monday</v>
      </c>
      <c r="G653">
        <f>HOUR(Table1[[#This Row],[order_time]])</f>
        <v>10</v>
      </c>
      <c r="H653" s="2">
        <v>0.45056712962962964</v>
      </c>
      <c r="I653" t="s">
        <v>11</v>
      </c>
      <c r="J653" t="s">
        <v>25</v>
      </c>
      <c r="K653">
        <v>3</v>
      </c>
      <c r="L653">
        <v>1000</v>
      </c>
      <c r="M653">
        <v>3000</v>
      </c>
      <c r="N653">
        <f>IF(COUNTIFS($B$2:B653,B653)=1,1,0)</f>
        <v>0</v>
      </c>
    </row>
    <row r="654" spans="1:14" x14ac:dyDescent="0.2">
      <c r="A654">
        <v>653</v>
      </c>
      <c r="B654">
        <v>1334</v>
      </c>
      <c r="C654">
        <f>1/COUNTIF(B:B,Table1[[#This Row],[order_id]])</f>
        <v>1</v>
      </c>
      <c r="D654" t="str">
        <f>TEXT(Table1[[#This Row],[order_date]],"mmmm")</f>
        <v>February</v>
      </c>
      <c r="E654" s="1">
        <v>45348</v>
      </c>
      <c r="F654" s="1" t="str">
        <f>TEXT(Table1[[#This Row],[order_date]],"dddd")</f>
        <v>Monday</v>
      </c>
      <c r="G654">
        <f>HOUR(Table1[[#This Row],[order_time]])</f>
        <v>10</v>
      </c>
      <c r="H654" s="2">
        <v>0.45641203703703703</v>
      </c>
      <c r="I654" t="s">
        <v>18</v>
      </c>
      <c r="J654" t="s">
        <v>30</v>
      </c>
      <c r="K654">
        <v>1</v>
      </c>
      <c r="L654">
        <v>60</v>
      </c>
      <c r="M654">
        <v>60</v>
      </c>
      <c r="N654">
        <f>IF(COUNTIFS($B$2:B654,B654)=1,1,0)</f>
        <v>1</v>
      </c>
    </row>
    <row r="655" spans="1:14" x14ac:dyDescent="0.2">
      <c r="A655">
        <v>654</v>
      </c>
      <c r="B655">
        <v>1335</v>
      </c>
      <c r="C655">
        <f>1/COUNTIF(B:B,Table1[[#This Row],[order_id]])</f>
        <v>0.5</v>
      </c>
      <c r="D655" t="str">
        <f>TEXT(Table1[[#This Row],[order_date]],"mmmm")</f>
        <v>February</v>
      </c>
      <c r="E655" s="1">
        <v>45348</v>
      </c>
      <c r="F655" s="1" t="str">
        <f>TEXT(Table1[[#This Row],[order_date]],"dddd")</f>
        <v>Monday</v>
      </c>
      <c r="G655">
        <f>HOUR(Table1[[#This Row],[order_time]])</f>
        <v>19</v>
      </c>
      <c r="H655" s="2">
        <v>0.81991898148148146</v>
      </c>
      <c r="I655" t="s">
        <v>18</v>
      </c>
      <c r="J655" t="s">
        <v>19</v>
      </c>
      <c r="K655">
        <v>1</v>
      </c>
      <c r="L655">
        <v>50</v>
      </c>
      <c r="M655">
        <v>50</v>
      </c>
      <c r="N655">
        <f>IF(COUNTIFS($B$2:B655,B655)=1,1,0)</f>
        <v>1</v>
      </c>
    </row>
    <row r="656" spans="1:14" x14ac:dyDescent="0.2">
      <c r="A656">
        <v>655</v>
      </c>
      <c r="B656">
        <v>1335</v>
      </c>
      <c r="C656">
        <f>1/COUNTIF(B:B,Table1[[#This Row],[order_id]])</f>
        <v>0.5</v>
      </c>
      <c r="D656" t="str">
        <f>TEXT(Table1[[#This Row],[order_date]],"mmmm")</f>
        <v>February</v>
      </c>
      <c r="E656" s="1">
        <v>45348</v>
      </c>
      <c r="F656" s="1" t="str">
        <f>TEXT(Table1[[#This Row],[order_date]],"dddd")</f>
        <v>Monday</v>
      </c>
      <c r="G656">
        <f>HOUR(Table1[[#This Row],[order_time]])</f>
        <v>10</v>
      </c>
      <c r="H656" s="2">
        <v>0.4369675925925926</v>
      </c>
      <c r="I656" t="s">
        <v>18</v>
      </c>
      <c r="J656" t="s">
        <v>19</v>
      </c>
      <c r="K656">
        <v>1</v>
      </c>
      <c r="L656">
        <v>50</v>
      </c>
      <c r="M656">
        <v>50</v>
      </c>
      <c r="N656">
        <f>IF(COUNTIFS($B$2:B656,B656)=1,1,0)</f>
        <v>0</v>
      </c>
    </row>
    <row r="657" spans="1:14" x14ac:dyDescent="0.2">
      <c r="A657">
        <v>656</v>
      </c>
      <c r="B657">
        <v>1336</v>
      </c>
      <c r="C657">
        <f>1/COUNTIF(B:B,Table1[[#This Row],[order_id]])</f>
        <v>0.33333333333333331</v>
      </c>
      <c r="D657" t="str">
        <f>TEXT(Table1[[#This Row],[order_date]],"mmmm")</f>
        <v>February</v>
      </c>
      <c r="E657" s="1">
        <v>45348</v>
      </c>
      <c r="F657" s="1" t="str">
        <f>TEXT(Table1[[#This Row],[order_date]],"dddd")</f>
        <v>Monday</v>
      </c>
      <c r="G657">
        <f>HOUR(Table1[[#This Row],[order_time]])</f>
        <v>9</v>
      </c>
      <c r="H657" s="2">
        <v>0.41070601851851851</v>
      </c>
      <c r="I657" t="s">
        <v>18</v>
      </c>
      <c r="J657" t="s">
        <v>19</v>
      </c>
      <c r="K657">
        <v>4</v>
      </c>
      <c r="L657">
        <v>50</v>
      </c>
      <c r="M657">
        <v>200</v>
      </c>
      <c r="N657">
        <f>IF(COUNTIFS($B$2:B657,B657)=1,1,0)</f>
        <v>1</v>
      </c>
    </row>
    <row r="658" spans="1:14" x14ac:dyDescent="0.2">
      <c r="A658">
        <v>657</v>
      </c>
      <c r="B658">
        <v>1336</v>
      </c>
      <c r="C658">
        <f>1/COUNTIF(B:B,Table1[[#This Row],[order_id]])</f>
        <v>0.33333333333333331</v>
      </c>
      <c r="D658" t="str">
        <f>TEXT(Table1[[#This Row],[order_date]],"mmmm")</f>
        <v>February</v>
      </c>
      <c r="E658" s="1">
        <v>45348</v>
      </c>
      <c r="F658" s="1" t="str">
        <f>TEXT(Table1[[#This Row],[order_date]],"dddd")</f>
        <v>Monday</v>
      </c>
      <c r="G658">
        <f>HOUR(Table1[[#This Row],[order_time]])</f>
        <v>12</v>
      </c>
      <c r="H658" s="2">
        <v>0.50055555555555553</v>
      </c>
      <c r="I658" t="s">
        <v>16</v>
      </c>
      <c r="J658" t="s">
        <v>24</v>
      </c>
      <c r="K658">
        <v>4</v>
      </c>
      <c r="L658">
        <v>35</v>
      </c>
      <c r="M658">
        <v>140</v>
      </c>
      <c r="N658">
        <f>IF(COUNTIFS($B$2:B658,B658)=1,1,0)</f>
        <v>0</v>
      </c>
    </row>
    <row r="659" spans="1:14" x14ac:dyDescent="0.2">
      <c r="A659">
        <v>658</v>
      </c>
      <c r="B659">
        <v>1336</v>
      </c>
      <c r="C659">
        <f>1/COUNTIF(B:B,Table1[[#This Row],[order_id]])</f>
        <v>0.33333333333333331</v>
      </c>
      <c r="D659" t="str">
        <f>TEXT(Table1[[#This Row],[order_date]],"mmmm")</f>
        <v>February</v>
      </c>
      <c r="E659" s="1">
        <v>45348</v>
      </c>
      <c r="F659" s="1" t="str">
        <f>TEXT(Table1[[#This Row],[order_date]],"dddd")</f>
        <v>Monday</v>
      </c>
      <c r="G659">
        <f>HOUR(Table1[[#This Row],[order_time]])</f>
        <v>18</v>
      </c>
      <c r="H659" s="2">
        <v>0.76864583333333336</v>
      </c>
      <c r="I659" t="s">
        <v>16</v>
      </c>
      <c r="J659" t="s">
        <v>23</v>
      </c>
      <c r="K659">
        <v>5</v>
      </c>
      <c r="L659">
        <v>30</v>
      </c>
      <c r="M659">
        <v>150</v>
      </c>
      <c r="N659">
        <f>IF(COUNTIFS($B$2:B659,B659)=1,1,0)</f>
        <v>0</v>
      </c>
    </row>
    <row r="660" spans="1:14" x14ac:dyDescent="0.2">
      <c r="A660">
        <v>659</v>
      </c>
      <c r="B660">
        <v>1337</v>
      </c>
      <c r="C660">
        <f>1/COUNTIF(B:B,Table1[[#This Row],[order_id]])</f>
        <v>0.5</v>
      </c>
      <c r="D660" t="str">
        <f>TEXT(Table1[[#This Row],[order_date]],"mmmm")</f>
        <v>February</v>
      </c>
      <c r="E660" s="1">
        <v>45348</v>
      </c>
      <c r="F660" s="1" t="str">
        <f>TEXT(Table1[[#This Row],[order_date]],"dddd")</f>
        <v>Monday</v>
      </c>
      <c r="G660">
        <f>HOUR(Table1[[#This Row],[order_time]])</f>
        <v>20</v>
      </c>
      <c r="H660" s="2">
        <v>0.86078703703703707</v>
      </c>
      <c r="I660" t="s">
        <v>16</v>
      </c>
      <c r="J660" t="s">
        <v>28</v>
      </c>
      <c r="K660">
        <v>5</v>
      </c>
      <c r="L660">
        <v>25</v>
      </c>
      <c r="M660">
        <v>125</v>
      </c>
      <c r="N660">
        <f>IF(COUNTIFS($B$2:B660,B660)=1,1,0)</f>
        <v>1</v>
      </c>
    </row>
    <row r="661" spans="1:14" x14ac:dyDescent="0.2">
      <c r="A661">
        <v>660</v>
      </c>
      <c r="B661">
        <v>1337</v>
      </c>
      <c r="C661">
        <f>1/COUNTIF(B:B,Table1[[#This Row],[order_id]])</f>
        <v>0.5</v>
      </c>
      <c r="D661" t="str">
        <f>TEXT(Table1[[#This Row],[order_date]],"mmmm")</f>
        <v>February</v>
      </c>
      <c r="E661" s="1">
        <v>45348</v>
      </c>
      <c r="F661" s="1" t="str">
        <f>TEXT(Table1[[#This Row],[order_date]],"dddd")</f>
        <v>Monday</v>
      </c>
      <c r="G661">
        <f>HOUR(Table1[[#This Row],[order_time]])</f>
        <v>17</v>
      </c>
      <c r="H661" s="2">
        <v>0.71291666666666664</v>
      </c>
      <c r="I661" t="s">
        <v>16</v>
      </c>
      <c r="J661" t="s">
        <v>17</v>
      </c>
      <c r="K661">
        <v>4</v>
      </c>
      <c r="L661">
        <v>20</v>
      </c>
      <c r="M661">
        <v>80</v>
      </c>
      <c r="N661">
        <f>IF(COUNTIFS($B$2:B661,B661)=1,1,0)</f>
        <v>0</v>
      </c>
    </row>
    <row r="662" spans="1:14" x14ac:dyDescent="0.2">
      <c r="A662">
        <v>661</v>
      </c>
      <c r="B662">
        <v>1338</v>
      </c>
      <c r="C662">
        <f>1/COUNTIF(B:B,Table1[[#This Row],[order_id]])</f>
        <v>1</v>
      </c>
      <c r="D662" t="str">
        <f>TEXT(Table1[[#This Row],[order_date]],"mmmm")</f>
        <v>February</v>
      </c>
      <c r="E662" s="1">
        <v>45348</v>
      </c>
      <c r="F662" s="1" t="str">
        <f>TEXT(Table1[[#This Row],[order_date]],"dddd")</f>
        <v>Monday</v>
      </c>
      <c r="G662">
        <f>HOUR(Table1[[#This Row],[order_time]])</f>
        <v>10</v>
      </c>
      <c r="H662" s="2">
        <v>0.41745370370370372</v>
      </c>
      <c r="I662" t="s">
        <v>11</v>
      </c>
      <c r="J662" t="s">
        <v>25</v>
      </c>
      <c r="K662">
        <v>1</v>
      </c>
      <c r="L662">
        <v>1000</v>
      </c>
      <c r="M662">
        <v>1000</v>
      </c>
      <c r="N662">
        <f>IF(COUNTIFS($B$2:B662,B662)=1,1,0)</f>
        <v>1</v>
      </c>
    </row>
    <row r="663" spans="1:14" x14ac:dyDescent="0.2">
      <c r="A663">
        <v>662</v>
      </c>
      <c r="B663">
        <v>1339</v>
      </c>
      <c r="C663">
        <f>1/COUNTIF(B:B,Table1[[#This Row],[order_id]])</f>
        <v>0.33333333333333331</v>
      </c>
      <c r="D663" t="str">
        <f>TEXT(Table1[[#This Row],[order_date]],"mmmm")</f>
        <v>February</v>
      </c>
      <c r="E663" s="1">
        <v>45348</v>
      </c>
      <c r="F663" s="1" t="str">
        <f>TEXT(Table1[[#This Row],[order_date]],"dddd")</f>
        <v>Monday</v>
      </c>
      <c r="G663">
        <f>HOUR(Table1[[#This Row],[order_time]])</f>
        <v>17</v>
      </c>
      <c r="H663" s="2">
        <v>0.7466666666666667</v>
      </c>
      <c r="I663" t="s">
        <v>11</v>
      </c>
      <c r="J663" t="s">
        <v>25</v>
      </c>
      <c r="K663">
        <v>2</v>
      </c>
      <c r="L663">
        <v>1000</v>
      </c>
      <c r="M663">
        <v>2000</v>
      </c>
      <c r="N663">
        <f>IF(COUNTIFS($B$2:B663,B663)=1,1,0)</f>
        <v>1</v>
      </c>
    </row>
    <row r="664" spans="1:14" x14ac:dyDescent="0.2">
      <c r="A664">
        <v>663</v>
      </c>
      <c r="B664">
        <v>1339</v>
      </c>
      <c r="C664">
        <f>1/COUNTIF(B:B,Table1[[#This Row],[order_id]])</f>
        <v>0.33333333333333331</v>
      </c>
      <c r="D664" t="str">
        <f>TEXT(Table1[[#This Row],[order_date]],"mmmm")</f>
        <v>February</v>
      </c>
      <c r="E664" s="1">
        <v>45348</v>
      </c>
      <c r="F664" s="1" t="str">
        <f>TEXT(Table1[[#This Row],[order_date]],"dddd")</f>
        <v>Monday</v>
      </c>
      <c r="G664">
        <f>HOUR(Table1[[#This Row],[order_time]])</f>
        <v>12</v>
      </c>
      <c r="H664" s="2">
        <v>0.50693287037037038</v>
      </c>
      <c r="I664" t="s">
        <v>11</v>
      </c>
      <c r="J664" t="s">
        <v>15</v>
      </c>
      <c r="K664">
        <v>5</v>
      </c>
      <c r="L664">
        <v>600</v>
      </c>
      <c r="M664">
        <v>3000</v>
      </c>
      <c r="N664">
        <f>IF(COUNTIFS($B$2:B664,B664)=1,1,0)</f>
        <v>0</v>
      </c>
    </row>
    <row r="665" spans="1:14" x14ac:dyDescent="0.2">
      <c r="A665">
        <v>664</v>
      </c>
      <c r="B665">
        <v>1339</v>
      </c>
      <c r="C665">
        <f>1/COUNTIF(B:B,Table1[[#This Row],[order_id]])</f>
        <v>0.33333333333333331</v>
      </c>
      <c r="D665" t="str">
        <f>TEXT(Table1[[#This Row],[order_date]],"mmmm")</f>
        <v>February</v>
      </c>
      <c r="E665" s="1">
        <v>45348</v>
      </c>
      <c r="F665" s="1" t="str">
        <f>TEXT(Table1[[#This Row],[order_date]],"dddd")</f>
        <v>Monday</v>
      </c>
      <c r="G665">
        <f>HOUR(Table1[[#This Row],[order_time]])</f>
        <v>11</v>
      </c>
      <c r="H665" s="2">
        <v>0.48594907407407406</v>
      </c>
      <c r="I665" t="s">
        <v>16</v>
      </c>
      <c r="J665" t="s">
        <v>17</v>
      </c>
      <c r="K665">
        <v>2</v>
      </c>
      <c r="L665">
        <v>20</v>
      </c>
      <c r="M665">
        <v>40</v>
      </c>
      <c r="N665">
        <f>IF(COUNTIFS($B$2:B665,B665)=1,1,0)</f>
        <v>0</v>
      </c>
    </row>
    <row r="666" spans="1:14" x14ac:dyDescent="0.2">
      <c r="A666">
        <v>665</v>
      </c>
      <c r="B666">
        <v>1340</v>
      </c>
      <c r="C666">
        <f>1/COUNTIF(B:B,Table1[[#This Row],[order_id]])</f>
        <v>0.5</v>
      </c>
      <c r="D666" t="str">
        <f>TEXT(Table1[[#This Row],[order_date]],"mmmm")</f>
        <v>February</v>
      </c>
      <c r="E666" s="1">
        <v>45348</v>
      </c>
      <c r="F666" s="1" t="str">
        <f>TEXT(Table1[[#This Row],[order_date]],"dddd")</f>
        <v>Monday</v>
      </c>
      <c r="G666">
        <f>HOUR(Table1[[#This Row],[order_time]])</f>
        <v>12</v>
      </c>
      <c r="H666" s="2">
        <v>0.53869212962962965</v>
      </c>
      <c r="I666" t="s">
        <v>11</v>
      </c>
      <c r="J666" t="s">
        <v>25</v>
      </c>
      <c r="K666">
        <v>4</v>
      </c>
      <c r="L666">
        <v>1000</v>
      </c>
      <c r="M666">
        <v>4000</v>
      </c>
      <c r="N666">
        <f>IF(COUNTIFS($B$2:B666,B666)=1,1,0)</f>
        <v>1</v>
      </c>
    </row>
    <row r="667" spans="1:14" x14ac:dyDescent="0.2">
      <c r="A667">
        <v>666</v>
      </c>
      <c r="B667">
        <v>1340</v>
      </c>
      <c r="C667">
        <f>1/COUNTIF(B:B,Table1[[#This Row],[order_id]])</f>
        <v>0.5</v>
      </c>
      <c r="D667" t="str">
        <f>TEXT(Table1[[#This Row],[order_date]],"mmmm")</f>
        <v>February</v>
      </c>
      <c r="E667" s="1">
        <v>45348</v>
      </c>
      <c r="F667" s="1" t="str">
        <f>TEXT(Table1[[#This Row],[order_date]],"dddd")</f>
        <v>Monday</v>
      </c>
      <c r="G667">
        <f>HOUR(Table1[[#This Row],[order_time]])</f>
        <v>12</v>
      </c>
      <c r="H667" s="2">
        <v>0.53249999999999997</v>
      </c>
      <c r="I667" t="s">
        <v>18</v>
      </c>
      <c r="J667" t="s">
        <v>26</v>
      </c>
      <c r="K667">
        <v>1</v>
      </c>
      <c r="L667">
        <v>55</v>
      </c>
      <c r="M667">
        <v>55</v>
      </c>
      <c r="N667">
        <f>IF(COUNTIFS($B$2:B667,B667)=1,1,0)</f>
        <v>0</v>
      </c>
    </row>
    <row r="668" spans="1:14" x14ac:dyDescent="0.2">
      <c r="A668">
        <v>667</v>
      </c>
      <c r="B668">
        <v>1341</v>
      </c>
      <c r="C668">
        <f>1/COUNTIF(B:B,Table1[[#This Row],[order_id]])</f>
        <v>1</v>
      </c>
      <c r="D668" t="str">
        <f>TEXT(Table1[[#This Row],[order_date]],"mmmm")</f>
        <v>February</v>
      </c>
      <c r="E668" s="1">
        <v>45348</v>
      </c>
      <c r="F668" s="1" t="str">
        <f>TEXT(Table1[[#This Row],[order_date]],"dddd")</f>
        <v>Monday</v>
      </c>
      <c r="G668">
        <f>HOUR(Table1[[#This Row],[order_time]])</f>
        <v>12</v>
      </c>
      <c r="H668" s="2">
        <v>0.50711805555555556</v>
      </c>
      <c r="I668" t="s">
        <v>16</v>
      </c>
      <c r="J668" t="s">
        <v>17</v>
      </c>
      <c r="K668">
        <v>2</v>
      </c>
      <c r="L668">
        <v>20</v>
      </c>
      <c r="M668">
        <v>40</v>
      </c>
      <c r="N668">
        <f>IF(COUNTIFS($B$2:B668,B668)=1,1,0)</f>
        <v>1</v>
      </c>
    </row>
    <row r="669" spans="1:14" x14ac:dyDescent="0.2">
      <c r="A669">
        <v>668</v>
      </c>
      <c r="B669">
        <v>1342</v>
      </c>
      <c r="C669">
        <f>1/COUNTIF(B:B,Table1[[#This Row],[order_id]])</f>
        <v>0.33333333333333331</v>
      </c>
      <c r="D669" t="str">
        <f>TEXT(Table1[[#This Row],[order_date]],"mmmm")</f>
        <v>February</v>
      </c>
      <c r="E669" s="1">
        <v>45349</v>
      </c>
      <c r="F669" s="1" t="str">
        <f>TEXT(Table1[[#This Row],[order_date]],"dddd")</f>
        <v>Tuesday</v>
      </c>
      <c r="G669">
        <f>HOUR(Table1[[#This Row],[order_time]])</f>
        <v>15</v>
      </c>
      <c r="H669" s="2">
        <v>0.64188657407407412</v>
      </c>
      <c r="I669" t="s">
        <v>9</v>
      </c>
      <c r="J669" t="s">
        <v>29</v>
      </c>
      <c r="K669">
        <v>5</v>
      </c>
      <c r="L669">
        <v>5</v>
      </c>
      <c r="M669">
        <v>25</v>
      </c>
      <c r="N669">
        <f>IF(COUNTIFS($B$2:B669,B669)=1,1,0)</f>
        <v>1</v>
      </c>
    </row>
    <row r="670" spans="1:14" x14ac:dyDescent="0.2">
      <c r="A670">
        <v>669</v>
      </c>
      <c r="B670">
        <v>1342</v>
      </c>
      <c r="C670">
        <f>1/COUNTIF(B:B,Table1[[#This Row],[order_id]])</f>
        <v>0.33333333333333331</v>
      </c>
      <c r="D670" t="str">
        <f>TEXT(Table1[[#This Row],[order_date]],"mmmm")</f>
        <v>February</v>
      </c>
      <c r="E670" s="1">
        <v>45349</v>
      </c>
      <c r="F670" s="1" t="str">
        <f>TEXT(Table1[[#This Row],[order_date]],"dddd")</f>
        <v>Tuesday</v>
      </c>
      <c r="G670">
        <f>HOUR(Table1[[#This Row],[order_time]])</f>
        <v>10</v>
      </c>
      <c r="H670" s="2">
        <v>0.44958333333333333</v>
      </c>
      <c r="I670" t="s">
        <v>9</v>
      </c>
      <c r="J670" t="s">
        <v>29</v>
      </c>
      <c r="K670">
        <v>3</v>
      </c>
      <c r="L670">
        <v>5</v>
      </c>
      <c r="M670">
        <v>15</v>
      </c>
      <c r="N670">
        <f>IF(COUNTIFS($B$2:B670,B670)=1,1,0)</f>
        <v>0</v>
      </c>
    </row>
    <row r="671" spans="1:14" x14ac:dyDescent="0.2">
      <c r="A671">
        <v>670</v>
      </c>
      <c r="B671">
        <v>1342</v>
      </c>
      <c r="C671">
        <f>1/COUNTIF(B:B,Table1[[#This Row],[order_id]])</f>
        <v>0.33333333333333331</v>
      </c>
      <c r="D671" t="str">
        <f>TEXT(Table1[[#This Row],[order_date]],"mmmm")</f>
        <v>February</v>
      </c>
      <c r="E671" s="1">
        <v>45349</v>
      </c>
      <c r="F671" s="1" t="str">
        <f>TEXT(Table1[[#This Row],[order_date]],"dddd")</f>
        <v>Tuesday</v>
      </c>
      <c r="G671">
        <f>HOUR(Table1[[#This Row],[order_time]])</f>
        <v>14</v>
      </c>
      <c r="H671" s="2">
        <v>0.6103587962962963</v>
      </c>
      <c r="I671" t="s">
        <v>11</v>
      </c>
      <c r="J671" t="s">
        <v>14</v>
      </c>
      <c r="K671">
        <v>4</v>
      </c>
      <c r="L671">
        <v>700</v>
      </c>
      <c r="M671">
        <v>2800</v>
      </c>
      <c r="N671">
        <f>IF(COUNTIFS($B$2:B671,B671)=1,1,0)</f>
        <v>0</v>
      </c>
    </row>
    <row r="672" spans="1:14" x14ac:dyDescent="0.2">
      <c r="A672">
        <v>671</v>
      </c>
      <c r="B672">
        <v>1343</v>
      </c>
      <c r="C672">
        <f>1/COUNTIF(B:B,Table1[[#This Row],[order_id]])</f>
        <v>1</v>
      </c>
      <c r="D672" t="str">
        <f>TEXT(Table1[[#This Row],[order_date]],"mmmm")</f>
        <v>February</v>
      </c>
      <c r="E672" s="1">
        <v>45349</v>
      </c>
      <c r="F672" s="1" t="str">
        <f>TEXT(Table1[[#This Row],[order_date]],"dddd")</f>
        <v>Tuesday</v>
      </c>
      <c r="G672">
        <f>HOUR(Table1[[#This Row],[order_time]])</f>
        <v>14</v>
      </c>
      <c r="H672" s="2">
        <v>0.62498842592592596</v>
      </c>
      <c r="I672" t="s">
        <v>18</v>
      </c>
      <c r="J672" t="s">
        <v>31</v>
      </c>
      <c r="K672">
        <v>4</v>
      </c>
      <c r="L672">
        <v>45</v>
      </c>
      <c r="M672">
        <v>180</v>
      </c>
      <c r="N672">
        <f>IF(COUNTIFS($B$2:B672,B672)=1,1,0)</f>
        <v>1</v>
      </c>
    </row>
    <row r="673" spans="1:14" x14ac:dyDescent="0.2">
      <c r="A673">
        <v>672</v>
      </c>
      <c r="B673">
        <v>1344</v>
      </c>
      <c r="C673">
        <f>1/COUNTIF(B:B,Table1[[#This Row],[order_id]])</f>
        <v>0.33333333333333331</v>
      </c>
      <c r="D673" t="str">
        <f>TEXT(Table1[[#This Row],[order_date]],"mmmm")</f>
        <v>February</v>
      </c>
      <c r="E673" s="1">
        <v>45349</v>
      </c>
      <c r="F673" s="1" t="str">
        <f>TEXT(Table1[[#This Row],[order_date]],"dddd")</f>
        <v>Tuesday</v>
      </c>
      <c r="G673">
        <f>HOUR(Table1[[#This Row],[order_time]])</f>
        <v>18</v>
      </c>
      <c r="H673" s="2">
        <v>0.75072916666666667</v>
      </c>
      <c r="I673" t="s">
        <v>16</v>
      </c>
      <c r="J673" t="s">
        <v>28</v>
      </c>
      <c r="K673">
        <v>4</v>
      </c>
      <c r="L673">
        <v>25</v>
      </c>
      <c r="M673">
        <v>100</v>
      </c>
      <c r="N673">
        <f>IF(COUNTIFS($B$2:B673,B673)=1,1,0)</f>
        <v>1</v>
      </c>
    </row>
    <row r="674" spans="1:14" x14ac:dyDescent="0.2">
      <c r="A674">
        <v>673</v>
      </c>
      <c r="B674">
        <v>1344</v>
      </c>
      <c r="C674">
        <f>1/COUNTIF(B:B,Table1[[#This Row],[order_id]])</f>
        <v>0.33333333333333331</v>
      </c>
      <c r="D674" t="str">
        <f>TEXT(Table1[[#This Row],[order_date]],"mmmm")</f>
        <v>February</v>
      </c>
      <c r="E674" s="1">
        <v>45349</v>
      </c>
      <c r="F674" s="1" t="str">
        <f>TEXT(Table1[[#This Row],[order_date]],"dddd")</f>
        <v>Tuesday</v>
      </c>
      <c r="G674">
        <f>HOUR(Table1[[#This Row],[order_time]])</f>
        <v>16</v>
      </c>
      <c r="H674" s="2">
        <v>0.66680555555555554</v>
      </c>
      <c r="I674" t="s">
        <v>9</v>
      </c>
      <c r="J674" t="s">
        <v>29</v>
      </c>
      <c r="K674">
        <v>3</v>
      </c>
      <c r="L674">
        <v>5</v>
      </c>
      <c r="M674">
        <v>15</v>
      </c>
      <c r="N674">
        <f>IF(COUNTIFS($B$2:B674,B674)=1,1,0)</f>
        <v>0</v>
      </c>
    </row>
    <row r="675" spans="1:14" x14ac:dyDescent="0.2">
      <c r="A675">
        <v>674</v>
      </c>
      <c r="B675">
        <v>1344</v>
      </c>
      <c r="C675">
        <f>1/COUNTIF(B:B,Table1[[#This Row],[order_id]])</f>
        <v>0.33333333333333331</v>
      </c>
      <c r="D675" t="str">
        <f>TEXT(Table1[[#This Row],[order_date]],"mmmm")</f>
        <v>February</v>
      </c>
      <c r="E675" s="1">
        <v>45349</v>
      </c>
      <c r="F675" s="1" t="str">
        <f>TEXT(Table1[[#This Row],[order_date]],"dddd")</f>
        <v>Tuesday</v>
      </c>
      <c r="G675">
        <f>HOUR(Table1[[#This Row],[order_time]])</f>
        <v>9</v>
      </c>
      <c r="H675" s="2">
        <v>0.40763888888888888</v>
      </c>
      <c r="I675" t="s">
        <v>18</v>
      </c>
      <c r="J675" t="s">
        <v>19</v>
      </c>
      <c r="K675">
        <v>4</v>
      </c>
      <c r="L675">
        <v>50</v>
      </c>
      <c r="M675">
        <v>200</v>
      </c>
      <c r="N675">
        <f>IF(COUNTIFS($B$2:B675,B675)=1,1,0)</f>
        <v>0</v>
      </c>
    </row>
    <row r="676" spans="1:14" x14ac:dyDescent="0.2">
      <c r="A676">
        <v>675</v>
      </c>
      <c r="B676">
        <v>1345</v>
      </c>
      <c r="C676">
        <f>1/COUNTIF(B:B,Table1[[#This Row],[order_id]])</f>
        <v>0.33333333333333331</v>
      </c>
      <c r="D676" t="str">
        <f>TEXT(Table1[[#This Row],[order_date]],"mmmm")</f>
        <v>February</v>
      </c>
      <c r="E676" s="1">
        <v>45349</v>
      </c>
      <c r="F676" s="1" t="str">
        <f>TEXT(Table1[[#This Row],[order_date]],"dddd")</f>
        <v>Tuesday</v>
      </c>
      <c r="G676">
        <f>HOUR(Table1[[#This Row],[order_time]])</f>
        <v>10</v>
      </c>
      <c r="H676" s="2">
        <v>0.42550925925925925</v>
      </c>
      <c r="I676" t="s">
        <v>11</v>
      </c>
      <c r="J676" t="s">
        <v>12</v>
      </c>
      <c r="K676">
        <v>5</v>
      </c>
      <c r="L676">
        <v>650</v>
      </c>
      <c r="M676">
        <v>3250</v>
      </c>
      <c r="N676">
        <f>IF(COUNTIFS($B$2:B676,B676)=1,1,0)</f>
        <v>1</v>
      </c>
    </row>
    <row r="677" spans="1:14" x14ac:dyDescent="0.2">
      <c r="A677">
        <v>676</v>
      </c>
      <c r="B677">
        <v>1345</v>
      </c>
      <c r="C677">
        <f>1/COUNTIF(B:B,Table1[[#This Row],[order_id]])</f>
        <v>0.33333333333333331</v>
      </c>
      <c r="D677" t="str">
        <f>TEXT(Table1[[#This Row],[order_date]],"mmmm")</f>
        <v>February</v>
      </c>
      <c r="E677" s="1">
        <v>45349</v>
      </c>
      <c r="F677" s="1" t="str">
        <f>TEXT(Table1[[#This Row],[order_date]],"dddd")</f>
        <v>Tuesday</v>
      </c>
      <c r="G677">
        <f>HOUR(Table1[[#This Row],[order_time]])</f>
        <v>12</v>
      </c>
      <c r="H677" s="2">
        <v>0.50550925925925927</v>
      </c>
      <c r="I677" t="s">
        <v>11</v>
      </c>
      <c r="J677" t="s">
        <v>25</v>
      </c>
      <c r="K677">
        <v>4</v>
      </c>
      <c r="L677">
        <v>1000</v>
      </c>
      <c r="M677">
        <v>4000</v>
      </c>
      <c r="N677">
        <f>IF(COUNTIFS($B$2:B677,B677)=1,1,0)</f>
        <v>0</v>
      </c>
    </row>
    <row r="678" spans="1:14" x14ac:dyDescent="0.2">
      <c r="A678">
        <v>677</v>
      </c>
      <c r="B678">
        <v>1345</v>
      </c>
      <c r="C678">
        <f>1/COUNTIF(B:B,Table1[[#This Row],[order_id]])</f>
        <v>0.33333333333333331</v>
      </c>
      <c r="D678" t="str">
        <f>TEXT(Table1[[#This Row],[order_date]],"mmmm")</f>
        <v>February</v>
      </c>
      <c r="E678" s="1">
        <v>45349</v>
      </c>
      <c r="F678" s="1" t="str">
        <f>TEXT(Table1[[#This Row],[order_date]],"dddd")</f>
        <v>Tuesday</v>
      </c>
      <c r="G678">
        <f>HOUR(Table1[[#This Row],[order_time]])</f>
        <v>17</v>
      </c>
      <c r="H678" s="2">
        <v>0.73163194444444446</v>
      </c>
      <c r="I678" t="s">
        <v>9</v>
      </c>
      <c r="J678" t="s">
        <v>10</v>
      </c>
      <c r="K678">
        <v>2</v>
      </c>
      <c r="L678">
        <v>20</v>
      </c>
      <c r="M678">
        <v>40</v>
      </c>
      <c r="N678">
        <f>IF(COUNTIFS($B$2:B678,B678)=1,1,0)</f>
        <v>0</v>
      </c>
    </row>
    <row r="679" spans="1:14" x14ac:dyDescent="0.2">
      <c r="A679">
        <v>678</v>
      </c>
      <c r="B679">
        <v>1346</v>
      </c>
      <c r="C679">
        <f>1/COUNTIF(B:B,Table1[[#This Row],[order_id]])</f>
        <v>0.33333333333333331</v>
      </c>
      <c r="D679" t="str">
        <f>TEXT(Table1[[#This Row],[order_date]],"mmmm")</f>
        <v>February</v>
      </c>
      <c r="E679" s="1">
        <v>45349</v>
      </c>
      <c r="F679" s="1" t="str">
        <f>TEXT(Table1[[#This Row],[order_date]],"dddd")</f>
        <v>Tuesday</v>
      </c>
      <c r="G679">
        <f>HOUR(Table1[[#This Row],[order_time]])</f>
        <v>18</v>
      </c>
      <c r="H679" s="2">
        <v>0.78125</v>
      </c>
      <c r="I679" t="s">
        <v>18</v>
      </c>
      <c r="J679" t="s">
        <v>26</v>
      </c>
      <c r="K679">
        <v>2</v>
      </c>
      <c r="L679">
        <v>55</v>
      </c>
      <c r="M679">
        <v>110</v>
      </c>
      <c r="N679">
        <f>IF(COUNTIFS($B$2:B679,B679)=1,1,0)</f>
        <v>1</v>
      </c>
    </row>
    <row r="680" spans="1:14" x14ac:dyDescent="0.2">
      <c r="A680">
        <v>679</v>
      </c>
      <c r="B680">
        <v>1346</v>
      </c>
      <c r="C680">
        <f>1/COUNTIF(B:B,Table1[[#This Row],[order_id]])</f>
        <v>0.33333333333333331</v>
      </c>
      <c r="D680" t="str">
        <f>TEXT(Table1[[#This Row],[order_date]],"mmmm")</f>
        <v>February</v>
      </c>
      <c r="E680" s="1">
        <v>45349</v>
      </c>
      <c r="F680" s="1" t="str">
        <f>TEXT(Table1[[#This Row],[order_date]],"dddd")</f>
        <v>Tuesday</v>
      </c>
      <c r="G680">
        <f>HOUR(Table1[[#This Row],[order_time]])</f>
        <v>17</v>
      </c>
      <c r="H680" s="2">
        <v>0.74783564814814818</v>
      </c>
      <c r="I680" t="s">
        <v>11</v>
      </c>
      <c r="J680" t="s">
        <v>14</v>
      </c>
      <c r="K680">
        <v>2</v>
      </c>
      <c r="L680">
        <v>700</v>
      </c>
      <c r="M680">
        <v>1400</v>
      </c>
      <c r="N680">
        <f>IF(COUNTIFS($B$2:B680,B680)=1,1,0)</f>
        <v>0</v>
      </c>
    </row>
    <row r="681" spans="1:14" x14ac:dyDescent="0.2">
      <c r="A681">
        <v>680</v>
      </c>
      <c r="B681">
        <v>1346</v>
      </c>
      <c r="C681">
        <f>1/COUNTIF(B:B,Table1[[#This Row],[order_id]])</f>
        <v>0.33333333333333331</v>
      </c>
      <c r="D681" t="str">
        <f>TEXT(Table1[[#This Row],[order_date]],"mmmm")</f>
        <v>February</v>
      </c>
      <c r="E681" s="1">
        <v>45349</v>
      </c>
      <c r="F681" s="1" t="str">
        <f>TEXT(Table1[[#This Row],[order_date]],"dddd")</f>
        <v>Tuesday</v>
      </c>
      <c r="G681">
        <f>HOUR(Table1[[#This Row],[order_time]])</f>
        <v>10</v>
      </c>
      <c r="H681" s="2">
        <v>0.43543981481481481</v>
      </c>
      <c r="I681" t="s">
        <v>18</v>
      </c>
      <c r="J681" t="s">
        <v>19</v>
      </c>
      <c r="K681">
        <v>4</v>
      </c>
      <c r="L681">
        <v>50</v>
      </c>
      <c r="M681">
        <v>200</v>
      </c>
      <c r="N681">
        <f>IF(COUNTIFS($B$2:B681,B681)=1,1,0)</f>
        <v>0</v>
      </c>
    </row>
    <row r="682" spans="1:14" x14ac:dyDescent="0.2">
      <c r="A682">
        <v>681</v>
      </c>
      <c r="B682">
        <v>1347</v>
      </c>
      <c r="C682">
        <f>1/COUNTIF(B:B,Table1[[#This Row],[order_id]])</f>
        <v>1</v>
      </c>
      <c r="D682" t="str">
        <f>TEXT(Table1[[#This Row],[order_date]],"mmmm")</f>
        <v>February</v>
      </c>
      <c r="E682" s="1">
        <v>45349</v>
      </c>
      <c r="F682" s="1" t="str">
        <f>TEXT(Table1[[#This Row],[order_date]],"dddd")</f>
        <v>Tuesday</v>
      </c>
      <c r="G682">
        <f>HOUR(Table1[[#This Row],[order_time]])</f>
        <v>11</v>
      </c>
      <c r="H682" s="2">
        <v>0.49158564814814815</v>
      </c>
      <c r="I682" t="s">
        <v>9</v>
      </c>
      <c r="J682" t="s">
        <v>21</v>
      </c>
      <c r="K682">
        <v>4</v>
      </c>
      <c r="L682">
        <v>10</v>
      </c>
      <c r="M682">
        <v>40</v>
      </c>
      <c r="N682">
        <f>IF(COUNTIFS($B$2:B682,B682)=1,1,0)</f>
        <v>1</v>
      </c>
    </row>
    <row r="683" spans="1:14" x14ac:dyDescent="0.2">
      <c r="A683">
        <v>682</v>
      </c>
      <c r="B683">
        <v>1348</v>
      </c>
      <c r="C683">
        <f>1/COUNTIF(B:B,Table1[[#This Row],[order_id]])</f>
        <v>0.33333333333333331</v>
      </c>
      <c r="D683" t="str">
        <f>TEXT(Table1[[#This Row],[order_date]],"mmmm")</f>
        <v>February</v>
      </c>
      <c r="E683" s="1">
        <v>45349</v>
      </c>
      <c r="F683" s="1" t="str">
        <f>TEXT(Table1[[#This Row],[order_date]],"dddd")</f>
        <v>Tuesday</v>
      </c>
      <c r="G683">
        <f>HOUR(Table1[[#This Row],[order_time]])</f>
        <v>10</v>
      </c>
      <c r="H683" s="2">
        <v>0.42284722222222221</v>
      </c>
      <c r="I683" t="s">
        <v>18</v>
      </c>
      <c r="J683" t="s">
        <v>31</v>
      </c>
      <c r="K683">
        <v>2</v>
      </c>
      <c r="L683">
        <v>45</v>
      </c>
      <c r="M683">
        <v>90</v>
      </c>
      <c r="N683">
        <f>IF(COUNTIFS($B$2:B683,B683)=1,1,0)</f>
        <v>1</v>
      </c>
    </row>
    <row r="684" spans="1:14" x14ac:dyDescent="0.2">
      <c r="A684">
        <v>683</v>
      </c>
      <c r="B684">
        <v>1348</v>
      </c>
      <c r="C684">
        <f>1/COUNTIF(B:B,Table1[[#This Row],[order_id]])</f>
        <v>0.33333333333333331</v>
      </c>
      <c r="D684" t="str">
        <f>TEXT(Table1[[#This Row],[order_date]],"mmmm")</f>
        <v>February</v>
      </c>
      <c r="E684" s="1">
        <v>45349</v>
      </c>
      <c r="F684" s="1" t="str">
        <f>TEXT(Table1[[#This Row],[order_date]],"dddd")</f>
        <v>Tuesday</v>
      </c>
      <c r="G684">
        <f>HOUR(Table1[[#This Row],[order_time]])</f>
        <v>14</v>
      </c>
      <c r="H684" s="2">
        <v>0.61673611111111115</v>
      </c>
      <c r="I684" t="s">
        <v>9</v>
      </c>
      <c r="J684" t="s">
        <v>29</v>
      </c>
      <c r="K684">
        <v>1</v>
      </c>
      <c r="L684">
        <v>5</v>
      </c>
      <c r="M684">
        <v>5</v>
      </c>
      <c r="N684">
        <f>IF(COUNTIFS($B$2:B684,B684)=1,1,0)</f>
        <v>0</v>
      </c>
    </row>
    <row r="685" spans="1:14" x14ac:dyDescent="0.2">
      <c r="A685">
        <v>684</v>
      </c>
      <c r="B685">
        <v>1348</v>
      </c>
      <c r="C685">
        <f>1/COUNTIF(B:B,Table1[[#This Row],[order_id]])</f>
        <v>0.33333333333333331</v>
      </c>
      <c r="D685" t="str">
        <f>TEXT(Table1[[#This Row],[order_date]],"mmmm")</f>
        <v>February</v>
      </c>
      <c r="E685" s="1">
        <v>45349</v>
      </c>
      <c r="F685" s="1" t="str">
        <f>TEXT(Table1[[#This Row],[order_date]],"dddd")</f>
        <v>Tuesday</v>
      </c>
      <c r="G685">
        <f>HOUR(Table1[[#This Row],[order_time]])</f>
        <v>20</v>
      </c>
      <c r="H685" s="2">
        <v>0.86008101851851848</v>
      </c>
      <c r="I685" t="s">
        <v>9</v>
      </c>
      <c r="J685" t="s">
        <v>20</v>
      </c>
      <c r="K685">
        <v>1</v>
      </c>
      <c r="L685">
        <v>25</v>
      </c>
      <c r="M685">
        <v>25</v>
      </c>
      <c r="N685">
        <f>IF(COUNTIFS($B$2:B685,B685)=1,1,0)</f>
        <v>0</v>
      </c>
    </row>
    <row r="686" spans="1:14" x14ac:dyDescent="0.2">
      <c r="A686">
        <v>685</v>
      </c>
      <c r="B686">
        <v>1349</v>
      </c>
      <c r="C686">
        <f>1/COUNTIF(B:B,Table1[[#This Row],[order_id]])</f>
        <v>0.33333333333333331</v>
      </c>
      <c r="D686" t="str">
        <f>TEXT(Table1[[#This Row],[order_date]],"mmmm")</f>
        <v>February</v>
      </c>
      <c r="E686" s="1">
        <v>45349</v>
      </c>
      <c r="F686" s="1" t="str">
        <f>TEXT(Table1[[#This Row],[order_date]],"dddd")</f>
        <v>Tuesday</v>
      </c>
      <c r="G686">
        <f>HOUR(Table1[[#This Row],[order_time]])</f>
        <v>19</v>
      </c>
      <c r="H686" s="2">
        <v>0.79256944444444444</v>
      </c>
      <c r="I686" t="s">
        <v>11</v>
      </c>
      <c r="J686" t="s">
        <v>25</v>
      </c>
      <c r="K686">
        <v>4</v>
      </c>
      <c r="L686">
        <v>1000</v>
      </c>
      <c r="M686">
        <v>4000</v>
      </c>
      <c r="N686">
        <f>IF(COUNTIFS($B$2:B686,B686)=1,1,0)</f>
        <v>1</v>
      </c>
    </row>
    <row r="687" spans="1:14" x14ac:dyDescent="0.2">
      <c r="A687">
        <v>686</v>
      </c>
      <c r="B687">
        <v>1349</v>
      </c>
      <c r="C687">
        <f>1/COUNTIF(B:B,Table1[[#This Row],[order_id]])</f>
        <v>0.33333333333333331</v>
      </c>
      <c r="D687" t="str">
        <f>TEXT(Table1[[#This Row],[order_date]],"mmmm")</f>
        <v>February</v>
      </c>
      <c r="E687" s="1">
        <v>45349</v>
      </c>
      <c r="F687" s="1" t="str">
        <f>TEXT(Table1[[#This Row],[order_date]],"dddd")</f>
        <v>Tuesday</v>
      </c>
      <c r="G687">
        <f>HOUR(Table1[[#This Row],[order_time]])</f>
        <v>16</v>
      </c>
      <c r="H687" s="2">
        <v>0.69715277777777773</v>
      </c>
      <c r="I687" t="s">
        <v>18</v>
      </c>
      <c r="J687" t="s">
        <v>26</v>
      </c>
      <c r="K687">
        <v>5</v>
      </c>
      <c r="L687">
        <v>55</v>
      </c>
      <c r="M687">
        <v>275</v>
      </c>
      <c r="N687">
        <f>IF(COUNTIFS($B$2:B687,B687)=1,1,0)</f>
        <v>0</v>
      </c>
    </row>
    <row r="688" spans="1:14" x14ac:dyDescent="0.2">
      <c r="A688">
        <v>687</v>
      </c>
      <c r="B688">
        <v>1349</v>
      </c>
      <c r="C688">
        <f>1/COUNTIF(B:B,Table1[[#This Row],[order_id]])</f>
        <v>0.33333333333333331</v>
      </c>
      <c r="D688" t="str">
        <f>TEXT(Table1[[#This Row],[order_date]],"mmmm")</f>
        <v>February</v>
      </c>
      <c r="E688" s="1">
        <v>45349</v>
      </c>
      <c r="F688" s="1" t="str">
        <f>TEXT(Table1[[#This Row],[order_date]],"dddd")</f>
        <v>Tuesday</v>
      </c>
      <c r="G688">
        <f>HOUR(Table1[[#This Row],[order_time]])</f>
        <v>19</v>
      </c>
      <c r="H688" s="2">
        <v>0.82795138888888886</v>
      </c>
      <c r="I688" t="s">
        <v>16</v>
      </c>
      <c r="J688" t="s">
        <v>24</v>
      </c>
      <c r="K688">
        <v>4</v>
      </c>
      <c r="L688">
        <v>35</v>
      </c>
      <c r="M688">
        <v>140</v>
      </c>
      <c r="N688">
        <f>IF(COUNTIFS($B$2:B688,B688)=1,1,0)</f>
        <v>0</v>
      </c>
    </row>
    <row r="689" spans="1:14" x14ac:dyDescent="0.2">
      <c r="A689">
        <v>688</v>
      </c>
      <c r="B689">
        <v>1350</v>
      </c>
      <c r="C689">
        <f>1/COUNTIF(B:B,Table1[[#This Row],[order_id]])</f>
        <v>1</v>
      </c>
      <c r="D689" t="str">
        <f>TEXT(Table1[[#This Row],[order_date]],"mmmm")</f>
        <v>February</v>
      </c>
      <c r="E689" s="1">
        <v>45349</v>
      </c>
      <c r="F689" s="1" t="str">
        <f>TEXT(Table1[[#This Row],[order_date]],"dddd")</f>
        <v>Tuesday</v>
      </c>
      <c r="G689">
        <f>HOUR(Table1[[#This Row],[order_time]])</f>
        <v>13</v>
      </c>
      <c r="H689" s="2">
        <v>0.55638888888888893</v>
      </c>
      <c r="I689" t="s">
        <v>9</v>
      </c>
      <c r="J689" t="s">
        <v>29</v>
      </c>
      <c r="K689">
        <v>5</v>
      </c>
      <c r="L689">
        <v>5</v>
      </c>
      <c r="M689">
        <v>25</v>
      </c>
      <c r="N689">
        <f>IF(COUNTIFS($B$2:B689,B689)=1,1,0)</f>
        <v>1</v>
      </c>
    </row>
    <row r="690" spans="1:14" x14ac:dyDescent="0.2">
      <c r="A690">
        <v>689</v>
      </c>
      <c r="B690">
        <v>1351</v>
      </c>
      <c r="C690">
        <f>1/COUNTIF(B:B,Table1[[#This Row],[order_id]])</f>
        <v>0.33333333333333331</v>
      </c>
      <c r="D690" t="str">
        <f>TEXT(Table1[[#This Row],[order_date]],"mmmm")</f>
        <v>February</v>
      </c>
      <c r="E690" s="1">
        <v>45350</v>
      </c>
      <c r="F690" s="1" t="str">
        <f>TEXT(Table1[[#This Row],[order_date]],"dddd")</f>
        <v>Wednesday</v>
      </c>
      <c r="G690">
        <f>HOUR(Table1[[#This Row],[order_time]])</f>
        <v>12</v>
      </c>
      <c r="H690" s="2">
        <v>0.51689814814814816</v>
      </c>
      <c r="I690" t="s">
        <v>11</v>
      </c>
      <c r="J690" t="s">
        <v>12</v>
      </c>
      <c r="K690">
        <v>2</v>
      </c>
      <c r="L690">
        <v>650</v>
      </c>
      <c r="M690">
        <v>1300</v>
      </c>
      <c r="N690">
        <f>IF(COUNTIFS($B$2:B690,B690)=1,1,0)</f>
        <v>1</v>
      </c>
    </row>
    <row r="691" spans="1:14" x14ac:dyDescent="0.2">
      <c r="A691">
        <v>690</v>
      </c>
      <c r="B691">
        <v>1351</v>
      </c>
      <c r="C691">
        <f>1/COUNTIF(B:B,Table1[[#This Row],[order_id]])</f>
        <v>0.33333333333333331</v>
      </c>
      <c r="D691" t="str">
        <f>TEXT(Table1[[#This Row],[order_date]],"mmmm")</f>
        <v>February</v>
      </c>
      <c r="E691" s="1">
        <v>45350</v>
      </c>
      <c r="F691" s="1" t="str">
        <f>TEXT(Table1[[#This Row],[order_date]],"dddd")</f>
        <v>Wednesday</v>
      </c>
      <c r="G691">
        <f>HOUR(Table1[[#This Row],[order_time]])</f>
        <v>10</v>
      </c>
      <c r="H691" s="2">
        <v>0.42842592592592593</v>
      </c>
      <c r="I691" t="s">
        <v>18</v>
      </c>
      <c r="J691" t="s">
        <v>19</v>
      </c>
      <c r="K691">
        <v>4</v>
      </c>
      <c r="L691">
        <v>50</v>
      </c>
      <c r="M691">
        <v>200</v>
      </c>
      <c r="N691">
        <f>IF(COUNTIFS($B$2:B691,B691)=1,1,0)</f>
        <v>0</v>
      </c>
    </row>
    <row r="692" spans="1:14" x14ac:dyDescent="0.2">
      <c r="A692">
        <v>691</v>
      </c>
      <c r="B692">
        <v>1351</v>
      </c>
      <c r="C692">
        <f>1/COUNTIF(B:B,Table1[[#This Row],[order_id]])</f>
        <v>0.33333333333333331</v>
      </c>
      <c r="D692" t="str">
        <f>TEXT(Table1[[#This Row],[order_date]],"mmmm")</f>
        <v>February</v>
      </c>
      <c r="E692" s="1">
        <v>45350</v>
      </c>
      <c r="F692" s="1" t="str">
        <f>TEXT(Table1[[#This Row],[order_date]],"dddd")</f>
        <v>Wednesday</v>
      </c>
      <c r="G692">
        <f>HOUR(Table1[[#This Row],[order_time]])</f>
        <v>9</v>
      </c>
      <c r="H692" s="2">
        <v>0.39611111111111114</v>
      </c>
      <c r="I692" t="s">
        <v>16</v>
      </c>
      <c r="J692" t="s">
        <v>28</v>
      </c>
      <c r="K692">
        <v>3</v>
      </c>
      <c r="L692">
        <v>25</v>
      </c>
      <c r="M692">
        <v>75</v>
      </c>
      <c r="N692">
        <f>IF(COUNTIFS($B$2:B692,B692)=1,1,0)</f>
        <v>0</v>
      </c>
    </row>
    <row r="693" spans="1:14" x14ac:dyDescent="0.2">
      <c r="A693">
        <v>692</v>
      </c>
      <c r="B693">
        <v>1352</v>
      </c>
      <c r="C693">
        <f>1/COUNTIF(B:B,Table1[[#This Row],[order_id]])</f>
        <v>1</v>
      </c>
      <c r="D693" t="str">
        <f>TEXT(Table1[[#This Row],[order_date]],"mmmm")</f>
        <v>February</v>
      </c>
      <c r="E693" s="1">
        <v>45350</v>
      </c>
      <c r="F693" s="1" t="str">
        <f>TEXT(Table1[[#This Row],[order_date]],"dddd")</f>
        <v>Wednesday</v>
      </c>
      <c r="G693">
        <f>HOUR(Table1[[#This Row],[order_time]])</f>
        <v>16</v>
      </c>
      <c r="H693" s="2">
        <v>0.70721064814814816</v>
      </c>
      <c r="I693" t="s">
        <v>18</v>
      </c>
      <c r="J693" t="s">
        <v>19</v>
      </c>
      <c r="K693">
        <v>2</v>
      </c>
      <c r="L693">
        <v>50</v>
      </c>
      <c r="M693">
        <v>100</v>
      </c>
      <c r="N693">
        <f>IF(COUNTIFS($B$2:B693,B693)=1,1,0)</f>
        <v>1</v>
      </c>
    </row>
    <row r="694" spans="1:14" x14ac:dyDescent="0.2">
      <c r="A694">
        <v>693</v>
      </c>
      <c r="B694">
        <v>1353</v>
      </c>
      <c r="C694">
        <f>1/COUNTIF(B:B,Table1[[#This Row],[order_id]])</f>
        <v>1</v>
      </c>
      <c r="D694" t="str">
        <f>TEXT(Table1[[#This Row],[order_date]],"mmmm")</f>
        <v>February</v>
      </c>
      <c r="E694" s="1">
        <v>45350</v>
      </c>
      <c r="F694" s="1" t="str">
        <f>TEXT(Table1[[#This Row],[order_date]],"dddd")</f>
        <v>Wednesday</v>
      </c>
      <c r="G694">
        <f>HOUR(Table1[[#This Row],[order_time]])</f>
        <v>17</v>
      </c>
      <c r="H694" s="2">
        <v>0.71811342592592597</v>
      </c>
      <c r="I694" t="s">
        <v>11</v>
      </c>
      <c r="J694" t="s">
        <v>14</v>
      </c>
      <c r="K694">
        <v>3</v>
      </c>
      <c r="L694">
        <v>700</v>
      </c>
      <c r="M694">
        <v>2100</v>
      </c>
      <c r="N694">
        <f>IF(COUNTIFS($B$2:B694,B694)=1,1,0)</f>
        <v>1</v>
      </c>
    </row>
    <row r="695" spans="1:14" x14ac:dyDescent="0.2">
      <c r="A695">
        <v>694</v>
      </c>
      <c r="B695">
        <v>1354</v>
      </c>
      <c r="C695">
        <f>1/COUNTIF(B:B,Table1[[#This Row],[order_id]])</f>
        <v>0.5</v>
      </c>
      <c r="D695" t="str">
        <f>TEXT(Table1[[#This Row],[order_date]],"mmmm")</f>
        <v>February</v>
      </c>
      <c r="E695" s="1">
        <v>45350</v>
      </c>
      <c r="F695" s="1" t="str">
        <f>TEXT(Table1[[#This Row],[order_date]],"dddd")</f>
        <v>Wednesday</v>
      </c>
      <c r="G695">
        <f>HOUR(Table1[[#This Row],[order_time]])</f>
        <v>15</v>
      </c>
      <c r="H695" s="2">
        <v>0.62559027777777776</v>
      </c>
      <c r="I695" t="s">
        <v>11</v>
      </c>
      <c r="J695" t="s">
        <v>25</v>
      </c>
      <c r="K695">
        <v>2</v>
      </c>
      <c r="L695">
        <v>1000</v>
      </c>
      <c r="M695">
        <v>2000</v>
      </c>
      <c r="N695">
        <f>IF(COUNTIFS($B$2:B695,B695)=1,1,0)</f>
        <v>1</v>
      </c>
    </row>
    <row r="696" spans="1:14" x14ac:dyDescent="0.2">
      <c r="A696">
        <v>695</v>
      </c>
      <c r="B696">
        <v>1354</v>
      </c>
      <c r="C696">
        <f>1/COUNTIF(B:B,Table1[[#This Row],[order_id]])</f>
        <v>0.5</v>
      </c>
      <c r="D696" t="str">
        <f>TEXT(Table1[[#This Row],[order_date]],"mmmm")</f>
        <v>February</v>
      </c>
      <c r="E696" s="1">
        <v>45350</v>
      </c>
      <c r="F696" s="1" t="str">
        <f>TEXT(Table1[[#This Row],[order_date]],"dddd")</f>
        <v>Wednesday</v>
      </c>
      <c r="G696">
        <f>HOUR(Table1[[#This Row],[order_time]])</f>
        <v>15</v>
      </c>
      <c r="H696" s="2">
        <v>0.65662037037037035</v>
      </c>
      <c r="I696" t="s">
        <v>9</v>
      </c>
      <c r="J696" t="s">
        <v>20</v>
      </c>
      <c r="K696">
        <v>1</v>
      </c>
      <c r="L696">
        <v>25</v>
      </c>
      <c r="M696">
        <v>25</v>
      </c>
      <c r="N696">
        <f>IF(COUNTIFS($B$2:B696,B696)=1,1,0)</f>
        <v>0</v>
      </c>
    </row>
    <row r="697" spans="1:14" x14ac:dyDescent="0.2">
      <c r="A697">
        <v>696</v>
      </c>
      <c r="B697">
        <v>1355</v>
      </c>
      <c r="C697">
        <f>1/COUNTIF(B:B,Table1[[#This Row],[order_id]])</f>
        <v>0.33333333333333331</v>
      </c>
      <c r="D697" t="str">
        <f>TEXT(Table1[[#This Row],[order_date]],"mmmm")</f>
        <v>February</v>
      </c>
      <c r="E697" s="1">
        <v>45351</v>
      </c>
      <c r="F697" s="1" t="str">
        <f>TEXT(Table1[[#This Row],[order_date]],"dddd")</f>
        <v>Thursday</v>
      </c>
      <c r="G697">
        <f>HOUR(Table1[[#This Row],[order_time]])</f>
        <v>16</v>
      </c>
      <c r="H697" s="2">
        <v>0.67533564814814817</v>
      </c>
      <c r="I697" t="s">
        <v>16</v>
      </c>
      <c r="J697" t="s">
        <v>28</v>
      </c>
      <c r="K697">
        <v>1</v>
      </c>
      <c r="L697">
        <v>25</v>
      </c>
      <c r="M697">
        <v>25</v>
      </c>
      <c r="N697">
        <f>IF(COUNTIFS($B$2:B697,B697)=1,1,0)</f>
        <v>1</v>
      </c>
    </row>
    <row r="698" spans="1:14" x14ac:dyDescent="0.2">
      <c r="A698">
        <v>697</v>
      </c>
      <c r="B698">
        <v>1355</v>
      </c>
      <c r="C698">
        <f>1/COUNTIF(B:B,Table1[[#This Row],[order_id]])</f>
        <v>0.33333333333333331</v>
      </c>
      <c r="D698" t="str">
        <f>TEXT(Table1[[#This Row],[order_date]],"mmmm")</f>
        <v>February</v>
      </c>
      <c r="E698" s="1">
        <v>45351</v>
      </c>
      <c r="F698" s="1" t="str">
        <f>TEXT(Table1[[#This Row],[order_date]],"dddd")</f>
        <v>Thursday</v>
      </c>
      <c r="G698">
        <f>HOUR(Table1[[#This Row],[order_time]])</f>
        <v>16</v>
      </c>
      <c r="H698" s="2">
        <v>0.68303240740740745</v>
      </c>
      <c r="I698" t="s">
        <v>18</v>
      </c>
      <c r="J698" t="s">
        <v>19</v>
      </c>
      <c r="K698">
        <v>3</v>
      </c>
      <c r="L698">
        <v>50</v>
      </c>
      <c r="M698">
        <v>150</v>
      </c>
      <c r="N698">
        <f>IF(COUNTIFS($B$2:B698,B698)=1,1,0)</f>
        <v>0</v>
      </c>
    </row>
    <row r="699" spans="1:14" x14ac:dyDescent="0.2">
      <c r="A699">
        <v>698</v>
      </c>
      <c r="B699">
        <v>1355</v>
      </c>
      <c r="C699">
        <f>1/COUNTIF(B:B,Table1[[#This Row],[order_id]])</f>
        <v>0.33333333333333331</v>
      </c>
      <c r="D699" t="str">
        <f>TEXT(Table1[[#This Row],[order_date]],"mmmm")</f>
        <v>February</v>
      </c>
      <c r="E699" s="1">
        <v>45351</v>
      </c>
      <c r="F699" s="1" t="str">
        <f>TEXT(Table1[[#This Row],[order_date]],"dddd")</f>
        <v>Thursday</v>
      </c>
      <c r="G699">
        <f>HOUR(Table1[[#This Row],[order_time]])</f>
        <v>15</v>
      </c>
      <c r="H699" s="2">
        <v>0.63446759259259256</v>
      </c>
      <c r="I699" t="s">
        <v>11</v>
      </c>
      <c r="J699" t="s">
        <v>25</v>
      </c>
      <c r="K699">
        <v>2</v>
      </c>
      <c r="L699">
        <v>1000</v>
      </c>
      <c r="M699">
        <v>2000</v>
      </c>
      <c r="N699">
        <f>IF(COUNTIFS($B$2:B699,B699)=1,1,0)</f>
        <v>0</v>
      </c>
    </row>
    <row r="700" spans="1:14" x14ac:dyDescent="0.2">
      <c r="A700">
        <v>699</v>
      </c>
      <c r="B700">
        <v>1356</v>
      </c>
      <c r="C700">
        <f>1/COUNTIF(B:B,Table1[[#This Row],[order_id]])</f>
        <v>1</v>
      </c>
      <c r="D700" t="str">
        <f>TEXT(Table1[[#This Row],[order_date]],"mmmm")</f>
        <v>February</v>
      </c>
      <c r="E700" s="1">
        <v>45351</v>
      </c>
      <c r="F700" s="1" t="str">
        <f>TEXT(Table1[[#This Row],[order_date]],"dddd")</f>
        <v>Thursday</v>
      </c>
      <c r="G700">
        <f>HOUR(Table1[[#This Row],[order_time]])</f>
        <v>12</v>
      </c>
      <c r="H700" s="2">
        <v>0.53509259259259256</v>
      </c>
      <c r="I700" t="s">
        <v>16</v>
      </c>
      <c r="J700" t="s">
        <v>23</v>
      </c>
      <c r="K700">
        <v>1</v>
      </c>
      <c r="L700">
        <v>30</v>
      </c>
      <c r="M700">
        <v>30</v>
      </c>
      <c r="N700">
        <f>IF(COUNTIFS($B$2:B700,B700)=1,1,0)</f>
        <v>1</v>
      </c>
    </row>
    <row r="701" spans="1:14" x14ac:dyDescent="0.2">
      <c r="A701">
        <v>700</v>
      </c>
      <c r="B701">
        <v>1357</v>
      </c>
      <c r="C701">
        <f>1/COUNTIF(B:B,Table1[[#This Row],[order_id]])</f>
        <v>0.33333333333333331</v>
      </c>
      <c r="D701" t="str">
        <f>TEXT(Table1[[#This Row],[order_date]],"mmmm")</f>
        <v>February</v>
      </c>
      <c r="E701" s="1">
        <v>45351</v>
      </c>
      <c r="F701" s="1" t="str">
        <f>TEXT(Table1[[#This Row],[order_date]],"dddd")</f>
        <v>Thursday</v>
      </c>
      <c r="G701">
        <f>HOUR(Table1[[#This Row],[order_time]])</f>
        <v>18</v>
      </c>
      <c r="H701" s="2">
        <v>0.76449074074074075</v>
      </c>
      <c r="I701" t="s">
        <v>9</v>
      </c>
      <c r="J701" t="s">
        <v>29</v>
      </c>
      <c r="K701">
        <v>2</v>
      </c>
      <c r="L701">
        <v>5</v>
      </c>
      <c r="M701">
        <v>10</v>
      </c>
      <c r="N701">
        <f>IF(COUNTIFS($B$2:B701,B701)=1,1,0)</f>
        <v>1</v>
      </c>
    </row>
    <row r="702" spans="1:14" x14ac:dyDescent="0.2">
      <c r="A702">
        <v>701</v>
      </c>
      <c r="B702">
        <v>1357</v>
      </c>
      <c r="C702">
        <f>1/COUNTIF(B:B,Table1[[#This Row],[order_id]])</f>
        <v>0.33333333333333331</v>
      </c>
      <c r="D702" t="str">
        <f>TEXT(Table1[[#This Row],[order_date]],"mmmm")</f>
        <v>February</v>
      </c>
      <c r="E702" s="1">
        <v>45351</v>
      </c>
      <c r="F702" s="1" t="str">
        <f>TEXT(Table1[[#This Row],[order_date]],"dddd")</f>
        <v>Thursday</v>
      </c>
      <c r="G702">
        <f>HOUR(Table1[[#This Row],[order_time]])</f>
        <v>19</v>
      </c>
      <c r="H702" s="2">
        <v>0.80137731481481478</v>
      </c>
      <c r="I702" t="s">
        <v>16</v>
      </c>
      <c r="J702" t="s">
        <v>28</v>
      </c>
      <c r="K702">
        <v>2</v>
      </c>
      <c r="L702">
        <v>25</v>
      </c>
      <c r="M702">
        <v>50</v>
      </c>
      <c r="N702">
        <f>IF(COUNTIFS($B$2:B702,B702)=1,1,0)</f>
        <v>0</v>
      </c>
    </row>
    <row r="703" spans="1:14" x14ac:dyDescent="0.2">
      <c r="A703">
        <v>702</v>
      </c>
      <c r="B703">
        <v>1357</v>
      </c>
      <c r="C703">
        <f>1/COUNTIF(B:B,Table1[[#This Row],[order_id]])</f>
        <v>0.33333333333333331</v>
      </c>
      <c r="D703" t="str">
        <f>TEXT(Table1[[#This Row],[order_date]],"mmmm")</f>
        <v>February</v>
      </c>
      <c r="E703" s="1">
        <v>45351</v>
      </c>
      <c r="F703" s="1" t="str">
        <f>TEXT(Table1[[#This Row],[order_date]],"dddd")</f>
        <v>Thursday</v>
      </c>
      <c r="G703">
        <f>HOUR(Table1[[#This Row],[order_time]])</f>
        <v>15</v>
      </c>
      <c r="H703" s="2">
        <v>0.63070601851851849</v>
      </c>
      <c r="I703" t="s">
        <v>18</v>
      </c>
      <c r="J703" t="s">
        <v>30</v>
      </c>
      <c r="K703">
        <v>5</v>
      </c>
      <c r="L703">
        <v>60</v>
      </c>
      <c r="M703">
        <v>300</v>
      </c>
      <c r="N703">
        <f>IF(COUNTIFS($B$2:B703,B703)=1,1,0)</f>
        <v>0</v>
      </c>
    </row>
    <row r="704" spans="1:14" x14ac:dyDescent="0.2">
      <c r="A704">
        <v>703</v>
      </c>
      <c r="B704">
        <v>1358</v>
      </c>
      <c r="C704">
        <f>1/COUNTIF(B:B,Table1[[#This Row],[order_id]])</f>
        <v>0.5</v>
      </c>
      <c r="D704" t="str">
        <f>TEXT(Table1[[#This Row],[order_date]],"mmmm")</f>
        <v>February</v>
      </c>
      <c r="E704" s="1">
        <v>45351</v>
      </c>
      <c r="F704" s="1" t="str">
        <f>TEXT(Table1[[#This Row],[order_date]],"dddd")</f>
        <v>Thursday</v>
      </c>
      <c r="G704">
        <f>HOUR(Table1[[#This Row],[order_time]])</f>
        <v>13</v>
      </c>
      <c r="H704" s="2">
        <v>0.58250000000000002</v>
      </c>
      <c r="I704" t="s">
        <v>18</v>
      </c>
      <c r="J704" t="s">
        <v>19</v>
      </c>
      <c r="K704">
        <v>2</v>
      </c>
      <c r="L704">
        <v>50</v>
      </c>
      <c r="M704">
        <v>100</v>
      </c>
      <c r="N704">
        <f>IF(COUNTIFS($B$2:B704,B704)=1,1,0)</f>
        <v>1</v>
      </c>
    </row>
    <row r="705" spans="1:14" x14ac:dyDescent="0.2">
      <c r="A705">
        <v>704</v>
      </c>
      <c r="B705">
        <v>1358</v>
      </c>
      <c r="C705">
        <f>1/COUNTIF(B:B,Table1[[#This Row],[order_id]])</f>
        <v>0.5</v>
      </c>
      <c r="D705" t="str">
        <f>TEXT(Table1[[#This Row],[order_date]],"mmmm")</f>
        <v>February</v>
      </c>
      <c r="E705" s="1">
        <v>45351</v>
      </c>
      <c r="F705" s="1" t="str">
        <f>TEXT(Table1[[#This Row],[order_date]],"dddd")</f>
        <v>Thursday</v>
      </c>
      <c r="G705">
        <f>HOUR(Table1[[#This Row],[order_time]])</f>
        <v>13</v>
      </c>
      <c r="H705" s="2">
        <v>0.54445601851851855</v>
      </c>
      <c r="I705" t="s">
        <v>18</v>
      </c>
      <c r="J705" t="s">
        <v>19</v>
      </c>
      <c r="K705">
        <v>4</v>
      </c>
      <c r="L705">
        <v>50</v>
      </c>
      <c r="M705">
        <v>200</v>
      </c>
      <c r="N705">
        <f>IF(COUNTIFS($B$2:B705,B705)=1,1,0)</f>
        <v>0</v>
      </c>
    </row>
    <row r="706" spans="1:14" x14ac:dyDescent="0.2">
      <c r="A706">
        <v>705</v>
      </c>
      <c r="B706">
        <v>1359</v>
      </c>
      <c r="C706">
        <f>1/COUNTIF(B:B,Table1[[#This Row],[order_id]])</f>
        <v>1</v>
      </c>
      <c r="D706" t="str">
        <f>TEXT(Table1[[#This Row],[order_date]],"mmmm")</f>
        <v>February</v>
      </c>
      <c r="E706" s="1">
        <v>45351</v>
      </c>
      <c r="F706" s="1" t="str">
        <f>TEXT(Table1[[#This Row],[order_date]],"dddd")</f>
        <v>Thursday</v>
      </c>
      <c r="G706">
        <f>HOUR(Table1[[#This Row],[order_time]])</f>
        <v>12</v>
      </c>
      <c r="H706" s="2">
        <v>0.5395833333333333</v>
      </c>
      <c r="I706" t="s">
        <v>11</v>
      </c>
      <c r="J706" t="s">
        <v>14</v>
      </c>
      <c r="K706">
        <v>2</v>
      </c>
      <c r="L706">
        <v>700</v>
      </c>
      <c r="M706">
        <v>1400</v>
      </c>
      <c r="N706">
        <f>IF(COUNTIFS($B$2:B706,B706)=1,1,0)</f>
        <v>1</v>
      </c>
    </row>
    <row r="707" spans="1:14" x14ac:dyDescent="0.2">
      <c r="A707">
        <v>706</v>
      </c>
      <c r="B707">
        <v>1360</v>
      </c>
      <c r="C707">
        <f>1/COUNTIF(B:B,Table1[[#This Row],[order_id]])</f>
        <v>0.5</v>
      </c>
      <c r="D707" t="str">
        <f>TEXT(Table1[[#This Row],[order_date]],"mmmm")</f>
        <v>February</v>
      </c>
      <c r="E707" s="1">
        <v>45351</v>
      </c>
      <c r="F707" s="1" t="str">
        <f>TEXT(Table1[[#This Row],[order_date]],"dddd")</f>
        <v>Thursday</v>
      </c>
      <c r="G707">
        <f>HOUR(Table1[[#This Row],[order_time]])</f>
        <v>16</v>
      </c>
      <c r="H707" s="2">
        <v>0.68641203703703701</v>
      </c>
      <c r="I707" t="s">
        <v>16</v>
      </c>
      <c r="J707" t="s">
        <v>24</v>
      </c>
      <c r="K707">
        <v>3</v>
      </c>
      <c r="L707">
        <v>35</v>
      </c>
      <c r="M707">
        <v>105</v>
      </c>
      <c r="N707">
        <f>IF(COUNTIFS($B$2:B707,B707)=1,1,0)</f>
        <v>1</v>
      </c>
    </row>
    <row r="708" spans="1:14" x14ac:dyDescent="0.2">
      <c r="A708">
        <v>707</v>
      </c>
      <c r="B708">
        <v>1360</v>
      </c>
      <c r="C708">
        <f>1/COUNTIF(B:B,Table1[[#This Row],[order_id]])</f>
        <v>0.5</v>
      </c>
      <c r="D708" t="str">
        <f>TEXT(Table1[[#This Row],[order_date]],"mmmm")</f>
        <v>February</v>
      </c>
      <c r="E708" s="1">
        <v>45351</v>
      </c>
      <c r="F708" s="1" t="str">
        <f>TEXT(Table1[[#This Row],[order_date]],"dddd")</f>
        <v>Thursday</v>
      </c>
      <c r="G708">
        <f>HOUR(Table1[[#This Row],[order_time]])</f>
        <v>19</v>
      </c>
      <c r="H708" s="2">
        <v>0.8195486111111111</v>
      </c>
      <c r="I708" t="s">
        <v>9</v>
      </c>
      <c r="J708" t="s">
        <v>20</v>
      </c>
      <c r="K708">
        <v>1</v>
      </c>
      <c r="L708">
        <v>25</v>
      </c>
      <c r="M708">
        <v>25</v>
      </c>
      <c r="N708">
        <f>IF(COUNTIFS($B$2:B708,B708)=1,1,0)</f>
        <v>0</v>
      </c>
    </row>
    <row r="709" spans="1:14" x14ac:dyDescent="0.2">
      <c r="A709">
        <v>708</v>
      </c>
      <c r="B709">
        <v>1361</v>
      </c>
      <c r="C709">
        <f>1/COUNTIF(B:B,Table1[[#This Row],[order_id]])</f>
        <v>0.5</v>
      </c>
      <c r="D709" t="str">
        <f>TEXT(Table1[[#This Row],[order_date]],"mmmm")</f>
        <v>February</v>
      </c>
      <c r="E709" s="1">
        <v>45351</v>
      </c>
      <c r="F709" s="1" t="str">
        <f>TEXT(Table1[[#This Row],[order_date]],"dddd")</f>
        <v>Thursday</v>
      </c>
      <c r="G709">
        <f>HOUR(Table1[[#This Row],[order_time]])</f>
        <v>12</v>
      </c>
      <c r="H709" s="2">
        <v>0.51332175925925927</v>
      </c>
      <c r="I709" t="s">
        <v>9</v>
      </c>
      <c r="J709" t="s">
        <v>20</v>
      </c>
      <c r="K709">
        <v>3</v>
      </c>
      <c r="L709">
        <v>25</v>
      </c>
      <c r="M709">
        <v>75</v>
      </c>
      <c r="N709">
        <f>IF(COUNTIFS($B$2:B709,B709)=1,1,0)</f>
        <v>1</v>
      </c>
    </row>
    <row r="710" spans="1:14" x14ac:dyDescent="0.2">
      <c r="A710">
        <v>709</v>
      </c>
      <c r="B710">
        <v>1361</v>
      </c>
      <c r="C710">
        <f>1/COUNTIF(B:B,Table1[[#This Row],[order_id]])</f>
        <v>0.5</v>
      </c>
      <c r="D710" t="str">
        <f>TEXT(Table1[[#This Row],[order_date]],"mmmm")</f>
        <v>February</v>
      </c>
      <c r="E710" s="1">
        <v>45351</v>
      </c>
      <c r="F710" s="1" t="str">
        <f>TEXT(Table1[[#This Row],[order_date]],"dddd")</f>
        <v>Thursday</v>
      </c>
      <c r="G710">
        <f>HOUR(Table1[[#This Row],[order_time]])</f>
        <v>13</v>
      </c>
      <c r="H710" s="2">
        <v>0.55253472222222222</v>
      </c>
      <c r="I710" t="s">
        <v>9</v>
      </c>
      <c r="J710" t="s">
        <v>29</v>
      </c>
      <c r="K710">
        <v>5</v>
      </c>
      <c r="L710">
        <v>5</v>
      </c>
      <c r="M710">
        <v>25</v>
      </c>
      <c r="N710">
        <f>IF(COUNTIFS($B$2:B710,B710)=1,1,0)</f>
        <v>0</v>
      </c>
    </row>
    <row r="711" spans="1:14" x14ac:dyDescent="0.2">
      <c r="A711">
        <v>710</v>
      </c>
      <c r="B711">
        <v>1362</v>
      </c>
      <c r="C711">
        <f>1/COUNTIF(B:B,Table1[[#This Row],[order_id]])</f>
        <v>0.33333333333333331</v>
      </c>
      <c r="D711" t="str">
        <f>TEXT(Table1[[#This Row],[order_date]],"mmmm")</f>
        <v>February</v>
      </c>
      <c r="E711" s="1">
        <v>45351</v>
      </c>
      <c r="F711" s="1" t="str">
        <f>TEXT(Table1[[#This Row],[order_date]],"dddd")</f>
        <v>Thursday</v>
      </c>
      <c r="G711">
        <f>HOUR(Table1[[#This Row],[order_time]])</f>
        <v>12</v>
      </c>
      <c r="H711" s="2">
        <v>0.53131944444444446</v>
      </c>
      <c r="I711" t="s">
        <v>18</v>
      </c>
      <c r="J711" t="s">
        <v>31</v>
      </c>
      <c r="K711">
        <v>1</v>
      </c>
      <c r="L711">
        <v>45</v>
      </c>
      <c r="M711">
        <v>45</v>
      </c>
      <c r="N711">
        <f>IF(COUNTIFS($B$2:B711,B711)=1,1,0)</f>
        <v>1</v>
      </c>
    </row>
    <row r="712" spans="1:14" x14ac:dyDescent="0.2">
      <c r="A712">
        <v>711</v>
      </c>
      <c r="B712">
        <v>1362</v>
      </c>
      <c r="C712">
        <f>1/COUNTIF(B:B,Table1[[#This Row],[order_id]])</f>
        <v>0.33333333333333331</v>
      </c>
      <c r="D712" t="str">
        <f>TEXT(Table1[[#This Row],[order_date]],"mmmm")</f>
        <v>February</v>
      </c>
      <c r="E712" s="1">
        <v>45351</v>
      </c>
      <c r="F712" s="1" t="str">
        <f>TEXT(Table1[[#This Row],[order_date]],"dddd")</f>
        <v>Thursday</v>
      </c>
      <c r="G712">
        <f>HOUR(Table1[[#This Row],[order_time]])</f>
        <v>15</v>
      </c>
      <c r="H712" s="2">
        <v>0.64413194444444444</v>
      </c>
      <c r="I712" t="s">
        <v>16</v>
      </c>
      <c r="J712" t="s">
        <v>24</v>
      </c>
      <c r="K712">
        <v>3</v>
      </c>
      <c r="L712">
        <v>35</v>
      </c>
      <c r="M712">
        <v>105</v>
      </c>
      <c r="N712">
        <f>IF(COUNTIFS($B$2:B712,B712)=1,1,0)</f>
        <v>0</v>
      </c>
    </row>
    <row r="713" spans="1:14" x14ac:dyDescent="0.2">
      <c r="A713">
        <v>712</v>
      </c>
      <c r="B713">
        <v>1362</v>
      </c>
      <c r="C713">
        <f>1/COUNTIF(B:B,Table1[[#This Row],[order_id]])</f>
        <v>0.33333333333333331</v>
      </c>
      <c r="D713" t="str">
        <f>TEXT(Table1[[#This Row],[order_date]],"mmmm")</f>
        <v>February</v>
      </c>
      <c r="E713" s="1">
        <v>45351</v>
      </c>
      <c r="F713" s="1" t="str">
        <f>TEXT(Table1[[#This Row],[order_date]],"dddd")</f>
        <v>Thursday</v>
      </c>
      <c r="G713">
        <f>HOUR(Table1[[#This Row],[order_time]])</f>
        <v>19</v>
      </c>
      <c r="H713" s="2">
        <v>0.8303935185185185</v>
      </c>
      <c r="I713" t="s">
        <v>9</v>
      </c>
      <c r="J713" t="s">
        <v>22</v>
      </c>
      <c r="K713">
        <v>4</v>
      </c>
      <c r="L713">
        <v>15</v>
      </c>
      <c r="M713">
        <v>60</v>
      </c>
      <c r="N713">
        <f>IF(COUNTIFS($B$2:B713,B713)=1,1,0)</f>
        <v>0</v>
      </c>
    </row>
    <row r="714" spans="1:14" x14ac:dyDescent="0.2">
      <c r="A714">
        <v>713</v>
      </c>
      <c r="B714">
        <v>1363</v>
      </c>
      <c r="C714">
        <f>1/COUNTIF(B:B,Table1[[#This Row],[order_id]])</f>
        <v>0.33333333333333331</v>
      </c>
      <c r="D714" t="str">
        <f>TEXT(Table1[[#This Row],[order_date]],"mmmm")</f>
        <v>February</v>
      </c>
      <c r="E714" s="1">
        <v>45351</v>
      </c>
      <c r="F714" s="1" t="str">
        <f>TEXT(Table1[[#This Row],[order_date]],"dddd")</f>
        <v>Thursday</v>
      </c>
      <c r="G714">
        <f>HOUR(Table1[[#This Row],[order_time]])</f>
        <v>14</v>
      </c>
      <c r="H714" s="2">
        <v>0.58865740740740746</v>
      </c>
      <c r="I714" t="s">
        <v>16</v>
      </c>
      <c r="J714" t="s">
        <v>17</v>
      </c>
      <c r="K714">
        <v>5</v>
      </c>
      <c r="L714">
        <v>20</v>
      </c>
      <c r="M714">
        <v>100</v>
      </c>
      <c r="N714">
        <f>IF(COUNTIFS($B$2:B714,B714)=1,1,0)</f>
        <v>1</v>
      </c>
    </row>
    <row r="715" spans="1:14" x14ac:dyDescent="0.2">
      <c r="A715">
        <v>714</v>
      </c>
      <c r="B715">
        <v>1363</v>
      </c>
      <c r="C715">
        <f>1/COUNTIF(B:B,Table1[[#This Row],[order_id]])</f>
        <v>0.33333333333333331</v>
      </c>
      <c r="D715" t="str">
        <f>TEXT(Table1[[#This Row],[order_date]],"mmmm")</f>
        <v>February</v>
      </c>
      <c r="E715" s="1">
        <v>45351</v>
      </c>
      <c r="F715" s="1" t="str">
        <f>TEXT(Table1[[#This Row],[order_date]],"dddd")</f>
        <v>Thursday</v>
      </c>
      <c r="G715">
        <f>HOUR(Table1[[#This Row],[order_time]])</f>
        <v>19</v>
      </c>
      <c r="H715" s="2">
        <v>0.82342592592592589</v>
      </c>
      <c r="I715" t="s">
        <v>9</v>
      </c>
      <c r="J715" t="s">
        <v>20</v>
      </c>
      <c r="K715">
        <v>4</v>
      </c>
      <c r="L715">
        <v>25</v>
      </c>
      <c r="M715">
        <v>100</v>
      </c>
      <c r="N715">
        <f>IF(COUNTIFS($B$2:B715,B715)=1,1,0)</f>
        <v>0</v>
      </c>
    </row>
    <row r="716" spans="1:14" x14ac:dyDescent="0.2">
      <c r="A716">
        <v>715</v>
      </c>
      <c r="B716">
        <v>1363</v>
      </c>
      <c r="C716">
        <f>1/COUNTIF(B:B,Table1[[#This Row],[order_id]])</f>
        <v>0.33333333333333331</v>
      </c>
      <c r="D716" t="str">
        <f>TEXT(Table1[[#This Row],[order_date]],"mmmm")</f>
        <v>February</v>
      </c>
      <c r="E716" s="1">
        <v>45351</v>
      </c>
      <c r="F716" s="1" t="str">
        <f>TEXT(Table1[[#This Row],[order_date]],"dddd")</f>
        <v>Thursday</v>
      </c>
      <c r="G716">
        <f>HOUR(Table1[[#This Row],[order_time]])</f>
        <v>13</v>
      </c>
      <c r="H716" s="2">
        <v>0.5637847222222222</v>
      </c>
      <c r="I716" t="s">
        <v>16</v>
      </c>
      <c r="J716" t="s">
        <v>23</v>
      </c>
      <c r="K716">
        <v>2</v>
      </c>
      <c r="L716">
        <v>30</v>
      </c>
      <c r="M716">
        <v>60</v>
      </c>
      <c r="N716">
        <f>IF(COUNTIFS($B$2:B716,B716)=1,1,0)</f>
        <v>0</v>
      </c>
    </row>
    <row r="717" spans="1:14" x14ac:dyDescent="0.2">
      <c r="A717">
        <v>716</v>
      </c>
      <c r="B717">
        <v>1364</v>
      </c>
      <c r="C717">
        <f>1/COUNTIF(B:B,Table1[[#This Row],[order_id]])</f>
        <v>0.33333333333333331</v>
      </c>
      <c r="D717" t="str">
        <f>TEXT(Table1[[#This Row],[order_date]],"mmmm")</f>
        <v>February</v>
      </c>
      <c r="E717" s="1">
        <v>45351</v>
      </c>
      <c r="F717" s="1" t="str">
        <f>TEXT(Table1[[#This Row],[order_date]],"dddd")</f>
        <v>Thursday</v>
      </c>
      <c r="G717">
        <f>HOUR(Table1[[#This Row],[order_time]])</f>
        <v>16</v>
      </c>
      <c r="H717" s="2">
        <v>0.68364583333333329</v>
      </c>
      <c r="I717" t="s">
        <v>16</v>
      </c>
      <c r="J717" t="s">
        <v>17</v>
      </c>
      <c r="K717">
        <v>5</v>
      </c>
      <c r="L717">
        <v>20</v>
      </c>
      <c r="M717">
        <v>100</v>
      </c>
      <c r="N717">
        <f>IF(COUNTIFS($B$2:B717,B717)=1,1,0)</f>
        <v>1</v>
      </c>
    </row>
    <row r="718" spans="1:14" x14ac:dyDescent="0.2">
      <c r="A718">
        <v>717</v>
      </c>
      <c r="B718">
        <v>1364</v>
      </c>
      <c r="C718">
        <f>1/COUNTIF(B:B,Table1[[#This Row],[order_id]])</f>
        <v>0.33333333333333331</v>
      </c>
      <c r="D718" t="str">
        <f>TEXT(Table1[[#This Row],[order_date]],"mmmm")</f>
        <v>February</v>
      </c>
      <c r="E718" s="1">
        <v>45351</v>
      </c>
      <c r="F718" s="1" t="str">
        <f>TEXT(Table1[[#This Row],[order_date]],"dddd")</f>
        <v>Thursday</v>
      </c>
      <c r="G718">
        <f>HOUR(Table1[[#This Row],[order_time]])</f>
        <v>11</v>
      </c>
      <c r="H718" s="2">
        <v>0.49892361111111111</v>
      </c>
      <c r="I718" t="s">
        <v>11</v>
      </c>
      <c r="J718" t="s">
        <v>13</v>
      </c>
      <c r="K718">
        <v>5</v>
      </c>
      <c r="L718">
        <v>680</v>
      </c>
      <c r="M718">
        <v>3400</v>
      </c>
      <c r="N718">
        <f>IF(COUNTIFS($B$2:B718,B718)=1,1,0)</f>
        <v>0</v>
      </c>
    </row>
    <row r="719" spans="1:14" x14ac:dyDescent="0.2">
      <c r="A719">
        <v>718</v>
      </c>
      <c r="B719">
        <v>1364</v>
      </c>
      <c r="C719">
        <f>1/COUNTIF(B:B,Table1[[#This Row],[order_id]])</f>
        <v>0.33333333333333331</v>
      </c>
      <c r="D719" t="str">
        <f>TEXT(Table1[[#This Row],[order_date]],"mmmm")</f>
        <v>February</v>
      </c>
      <c r="E719" s="1">
        <v>45351</v>
      </c>
      <c r="F719" s="1" t="str">
        <f>TEXT(Table1[[#This Row],[order_date]],"dddd")</f>
        <v>Thursday</v>
      </c>
      <c r="G719">
        <f>HOUR(Table1[[#This Row],[order_time]])</f>
        <v>11</v>
      </c>
      <c r="H719" s="2">
        <v>0.48275462962962962</v>
      </c>
      <c r="I719" t="s">
        <v>11</v>
      </c>
      <c r="J719" t="s">
        <v>25</v>
      </c>
      <c r="K719">
        <v>1</v>
      </c>
      <c r="L719">
        <v>1000</v>
      </c>
      <c r="M719">
        <v>1000</v>
      </c>
      <c r="N719">
        <f>IF(COUNTIFS($B$2:B719,B719)=1,1,0)</f>
        <v>0</v>
      </c>
    </row>
    <row r="720" spans="1:14" x14ac:dyDescent="0.2">
      <c r="A720">
        <v>719</v>
      </c>
      <c r="B720">
        <v>1365</v>
      </c>
      <c r="C720">
        <f>1/COUNTIF(B:B,Table1[[#This Row],[order_id]])</f>
        <v>0.5</v>
      </c>
      <c r="D720" t="str">
        <f>TEXT(Table1[[#This Row],[order_date]],"mmmm")</f>
        <v>March</v>
      </c>
      <c r="E720" s="1">
        <v>45352</v>
      </c>
      <c r="F720" s="1" t="str">
        <f>TEXT(Table1[[#This Row],[order_date]],"dddd")</f>
        <v>Friday</v>
      </c>
      <c r="G720">
        <f>HOUR(Table1[[#This Row],[order_time]])</f>
        <v>13</v>
      </c>
      <c r="H720" s="2">
        <v>0.57331018518518517</v>
      </c>
      <c r="I720" t="s">
        <v>11</v>
      </c>
      <c r="J720" t="s">
        <v>13</v>
      </c>
      <c r="K720">
        <v>5</v>
      </c>
      <c r="L720">
        <v>680</v>
      </c>
      <c r="M720">
        <v>3400</v>
      </c>
      <c r="N720">
        <f>IF(COUNTIFS($B$2:B720,B720)=1,1,0)</f>
        <v>1</v>
      </c>
    </row>
    <row r="721" spans="1:14" x14ac:dyDescent="0.2">
      <c r="A721">
        <v>720</v>
      </c>
      <c r="B721">
        <v>1365</v>
      </c>
      <c r="C721">
        <f>1/COUNTIF(B:B,Table1[[#This Row],[order_id]])</f>
        <v>0.5</v>
      </c>
      <c r="D721" t="str">
        <f>TEXT(Table1[[#This Row],[order_date]],"mmmm")</f>
        <v>March</v>
      </c>
      <c r="E721" s="1">
        <v>45352</v>
      </c>
      <c r="F721" s="1" t="str">
        <f>TEXT(Table1[[#This Row],[order_date]],"dddd")</f>
        <v>Friday</v>
      </c>
      <c r="G721">
        <f>HOUR(Table1[[#This Row],[order_time]])</f>
        <v>14</v>
      </c>
      <c r="H721" s="2">
        <v>0.60375000000000001</v>
      </c>
      <c r="I721" t="s">
        <v>18</v>
      </c>
      <c r="J721" t="s">
        <v>30</v>
      </c>
      <c r="K721">
        <v>3</v>
      </c>
      <c r="L721">
        <v>60</v>
      </c>
      <c r="M721">
        <v>180</v>
      </c>
      <c r="N721">
        <f>IF(COUNTIFS($B$2:B721,B721)=1,1,0)</f>
        <v>0</v>
      </c>
    </row>
    <row r="722" spans="1:14" x14ac:dyDescent="0.2">
      <c r="A722">
        <v>721</v>
      </c>
      <c r="B722">
        <v>1366</v>
      </c>
      <c r="C722">
        <f>1/COUNTIF(B:B,Table1[[#This Row],[order_id]])</f>
        <v>1</v>
      </c>
      <c r="D722" t="str">
        <f>TEXT(Table1[[#This Row],[order_date]],"mmmm")</f>
        <v>March</v>
      </c>
      <c r="E722" s="1">
        <v>45352</v>
      </c>
      <c r="F722" s="1" t="str">
        <f>TEXT(Table1[[#This Row],[order_date]],"dddd")</f>
        <v>Friday</v>
      </c>
      <c r="G722">
        <f>HOUR(Table1[[#This Row],[order_time]])</f>
        <v>19</v>
      </c>
      <c r="H722" s="2">
        <v>0.81608796296296293</v>
      </c>
      <c r="I722" t="s">
        <v>11</v>
      </c>
      <c r="J722" t="s">
        <v>14</v>
      </c>
      <c r="K722">
        <v>4</v>
      </c>
      <c r="L722">
        <v>700</v>
      </c>
      <c r="M722">
        <v>2800</v>
      </c>
      <c r="N722">
        <f>IF(COUNTIFS($B$2:B722,B722)=1,1,0)</f>
        <v>1</v>
      </c>
    </row>
    <row r="723" spans="1:14" x14ac:dyDescent="0.2">
      <c r="A723">
        <v>722</v>
      </c>
      <c r="B723">
        <v>1367</v>
      </c>
      <c r="C723">
        <f>1/COUNTIF(B:B,Table1[[#This Row],[order_id]])</f>
        <v>1</v>
      </c>
      <c r="D723" t="str">
        <f>TEXT(Table1[[#This Row],[order_date]],"mmmm")</f>
        <v>March</v>
      </c>
      <c r="E723" s="1">
        <v>45352</v>
      </c>
      <c r="F723" s="1" t="str">
        <f>TEXT(Table1[[#This Row],[order_date]],"dddd")</f>
        <v>Friday</v>
      </c>
      <c r="G723">
        <f>HOUR(Table1[[#This Row],[order_time]])</f>
        <v>16</v>
      </c>
      <c r="H723" s="2">
        <v>0.69611111111111112</v>
      </c>
      <c r="I723" t="s">
        <v>9</v>
      </c>
      <c r="J723" t="s">
        <v>29</v>
      </c>
      <c r="K723">
        <v>2</v>
      </c>
      <c r="L723">
        <v>5</v>
      </c>
      <c r="M723">
        <v>10</v>
      </c>
      <c r="N723">
        <f>IF(COUNTIFS($B$2:B723,B723)=1,1,0)</f>
        <v>1</v>
      </c>
    </row>
    <row r="724" spans="1:14" x14ac:dyDescent="0.2">
      <c r="A724">
        <v>723</v>
      </c>
      <c r="B724">
        <v>1368</v>
      </c>
      <c r="C724">
        <f>1/COUNTIF(B:B,Table1[[#This Row],[order_id]])</f>
        <v>0.33333333333333331</v>
      </c>
      <c r="D724" t="str">
        <f>TEXT(Table1[[#This Row],[order_date]],"mmmm")</f>
        <v>March</v>
      </c>
      <c r="E724" s="1">
        <v>45352</v>
      </c>
      <c r="F724" s="1" t="str">
        <f>TEXT(Table1[[#This Row],[order_date]],"dddd")</f>
        <v>Friday</v>
      </c>
      <c r="G724">
        <f>HOUR(Table1[[#This Row],[order_time]])</f>
        <v>20</v>
      </c>
      <c r="H724" s="2">
        <v>0.86646990740740737</v>
      </c>
      <c r="I724" t="s">
        <v>18</v>
      </c>
      <c r="J724" t="s">
        <v>30</v>
      </c>
      <c r="K724">
        <v>2</v>
      </c>
      <c r="L724">
        <v>60</v>
      </c>
      <c r="M724">
        <v>120</v>
      </c>
      <c r="N724">
        <f>IF(COUNTIFS($B$2:B724,B724)=1,1,0)</f>
        <v>1</v>
      </c>
    </row>
    <row r="725" spans="1:14" x14ac:dyDescent="0.2">
      <c r="A725">
        <v>724</v>
      </c>
      <c r="B725">
        <v>1368</v>
      </c>
      <c r="C725">
        <f>1/COUNTIF(B:B,Table1[[#This Row],[order_id]])</f>
        <v>0.33333333333333331</v>
      </c>
      <c r="D725" t="str">
        <f>TEXT(Table1[[#This Row],[order_date]],"mmmm")</f>
        <v>March</v>
      </c>
      <c r="E725" s="1">
        <v>45352</v>
      </c>
      <c r="F725" s="1" t="str">
        <f>TEXT(Table1[[#This Row],[order_date]],"dddd")</f>
        <v>Friday</v>
      </c>
      <c r="G725">
        <f>HOUR(Table1[[#This Row],[order_time]])</f>
        <v>11</v>
      </c>
      <c r="H725" s="2">
        <v>0.48837962962962961</v>
      </c>
      <c r="I725" t="s">
        <v>9</v>
      </c>
      <c r="J725" t="s">
        <v>22</v>
      </c>
      <c r="K725">
        <v>4</v>
      </c>
      <c r="L725">
        <v>15</v>
      </c>
      <c r="M725">
        <v>60</v>
      </c>
      <c r="N725">
        <f>IF(COUNTIFS($B$2:B725,B725)=1,1,0)</f>
        <v>0</v>
      </c>
    </row>
    <row r="726" spans="1:14" x14ac:dyDescent="0.2">
      <c r="A726">
        <v>725</v>
      </c>
      <c r="B726">
        <v>1368</v>
      </c>
      <c r="C726">
        <f>1/COUNTIF(B:B,Table1[[#This Row],[order_id]])</f>
        <v>0.33333333333333331</v>
      </c>
      <c r="D726" t="str">
        <f>TEXT(Table1[[#This Row],[order_date]],"mmmm")</f>
        <v>March</v>
      </c>
      <c r="E726" s="1">
        <v>45352</v>
      </c>
      <c r="F726" s="1" t="str">
        <f>TEXT(Table1[[#This Row],[order_date]],"dddd")</f>
        <v>Friday</v>
      </c>
      <c r="G726">
        <f>HOUR(Table1[[#This Row],[order_time]])</f>
        <v>15</v>
      </c>
      <c r="H726" s="2">
        <v>0.65790509259259256</v>
      </c>
      <c r="I726" t="s">
        <v>18</v>
      </c>
      <c r="J726" t="s">
        <v>26</v>
      </c>
      <c r="K726">
        <v>3</v>
      </c>
      <c r="L726">
        <v>55</v>
      </c>
      <c r="M726">
        <v>165</v>
      </c>
      <c r="N726">
        <f>IF(COUNTIFS($B$2:B726,B726)=1,1,0)</f>
        <v>0</v>
      </c>
    </row>
    <row r="727" spans="1:14" x14ac:dyDescent="0.2">
      <c r="A727">
        <v>726</v>
      </c>
      <c r="B727">
        <v>1369</v>
      </c>
      <c r="C727">
        <f>1/COUNTIF(B:B,Table1[[#This Row],[order_id]])</f>
        <v>1</v>
      </c>
      <c r="D727" t="str">
        <f>TEXT(Table1[[#This Row],[order_date]],"mmmm")</f>
        <v>March</v>
      </c>
      <c r="E727" s="1">
        <v>45352</v>
      </c>
      <c r="F727" s="1" t="str">
        <f>TEXT(Table1[[#This Row],[order_date]],"dddd")</f>
        <v>Friday</v>
      </c>
      <c r="G727">
        <f>HOUR(Table1[[#This Row],[order_time]])</f>
        <v>19</v>
      </c>
      <c r="H727" s="2">
        <v>0.81365740740740744</v>
      </c>
      <c r="I727" t="s">
        <v>11</v>
      </c>
      <c r="J727" t="s">
        <v>12</v>
      </c>
      <c r="K727">
        <v>1</v>
      </c>
      <c r="L727">
        <v>650</v>
      </c>
      <c r="M727">
        <v>650</v>
      </c>
      <c r="N727">
        <f>IF(COUNTIFS($B$2:B727,B727)=1,1,0)</f>
        <v>1</v>
      </c>
    </row>
    <row r="728" spans="1:14" x14ac:dyDescent="0.2">
      <c r="A728">
        <v>727</v>
      </c>
      <c r="B728">
        <v>1370</v>
      </c>
      <c r="C728">
        <f>1/COUNTIF(B:B,Table1[[#This Row],[order_id]])</f>
        <v>1</v>
      </c>
      <c r="D728" t="str">
        <f>TEXT(Table1[[#This Row],[order_date]],"mmmm")</f>
        <v>March</v>
      </c>
      <c r="E728" s="1">
        <v>45352</v>
      </c>
      <c r="F728" s="1" t="str">
        <f>TEXT(Table1[[#This Row],[order_date]],"dddd")</f>
        <v>Friday</v>
      </c>
      <c r="G728">
        <f>HOUR(Table1[[#This Row],[order_time]])</f>
        <v>15</v>
      </c>
      <c r="H728" s="2">
        <v>0.66008101851851853</v>
      </c>
      <c r="I728" t="s">
        <v>11</v>
      </c>
      <c r="J728" t="s">
        <v>13</v>
      </c>
      <c r="K728">
        <v>2</v>
      </c>
      <c r="L728">
        <v>680</v>
      </c>
      <c r="M728">
        <v>1360</v>
      </c>
      <c r="N728">
        <f>IF(COUNTIFS($B$2:B728,B728)=1,1,0)</f>
        <v>1</v>
      </c>
    </row>
    <row r="729" spans="1:14" x14ac:dyDescent="0.2">
      <c r="A729">
        <v>728</v>
      </c>
      <c r="B729">
        <v>1371</v>
      </c>
      <c r="C729">
        <f>1/COUNTIF(B:B,Table1[[#This Row],[order_id]])</f>
        <v>0.5</v>
      </c>
      <c r="D729" t="str">
        <f>TEXT(Table1[[#This Row],[order_date]],"mmmm")</f>
        <v>March</v>
      </c>
      <c r="E729" s="1">
        <v>45352</v>
      </c>
      <c r="F729" s="1" t="str">
        <f>TEXT(Table1[[#This Row],[order_date]],"dddd")</f>
        <v>Friday</v>
      </c>
      <c r="G729">
        <f>HOUR(Table1[[#This Row],[order_time]])</f>
        <v>11</v>
      </c>
      <c r="H729" s="2">
        <v>0.49082175925925925</v>
      </c>
      <c r="I729" t="s">
        <v>18</v>
      </c>
      <c r="J729" t="s">
        <v>26</v>
      </c>
      <c r="K729">
        <v>1</v>
      </c>
      <c r="L729">
        <v>55</v>
      </c>
      <c r="M729">
        <v>55</v>
      </c>
      <c r="N729">
        <f>IF(COUNTIFS($B$2:B729,B729)=1,1,0)</f>
        <v>1</v>
      </c>
    </row>
    <row r="730" spans="1:14" x14ac:dyDescent="0.2">
      <c r="A730">
        <v>729</v>
      </c>
      <c r="B730">
        <v>1371</v>
      </c>
      <c r="C730">
        <f>1/COUNTIF(B:B,Table1[[#This Row],[order_id]])</f>
        <v>0.5</v>
      </c>
      <c r="D730" t="str">
        <f>TEXT(Table1[[#This Row],[order_date]],"mmmm")</f>
        <v>March</v>
      </c>
      <c r="E730" s="1">
        <v>45352</v>
      </c>
      <c r="F730" s="1" t="str">
        <f>TEXT(Table1[[#This Row],[order_date]],"dddd")</f>
        <v>Friday</v>
      </c>
      <c r="G730">
        <f>HOUR(Table1[[#This Row],[order_time]])</f>
        <v>13</v>
      </c>
      <c r="H730" s="2">
        <v>0.55013888888888884</v>
      </c>
      <c r="I730" t="s">
        <v>9</v>
      </c>
      <c r="J730" t="s">
        <v>22</v>
      </c>
      <c r="K730">
        <v>1</v>
      </c>
      <c r="L730">
        <v>15</v>
      </c>
      <c r="M730">
        <v>15</v>
      </c>
      <c r="N730">
        <f>IF(COUNTIFS($B$2:B730,B730)=1,1,0)</f>
        <v>0</v>
      </c>
    </row>
    <row r="731" spans="1:14" x14ac:dyDescent="0.2">
      <c r="A731">
        <v>730</v>
      </c>
      <c r="B731">
        <v>1372</v>
      </c>
      <c r="C731">
        <f>1/COUNTIF(B:B,Table1[[#This Row],[order_id]])</f>
        <v>1</v>
      </c>
      <c r="D731" t="str">
        <f>TEXT(Table1[[#This Row],[order_date]],"mmmm")</f>
        <v>March</v>
      </c>
      <c r="E731" s="1">
        <v>45352</v>
      </c>
      <c r="F731" s="1" t="str">
        <f>TEXT(Table1[[#This Row],[order_date]],"dddd")</f>
        <v>Friday</v>
      </c>
      <c r="G731">
        <f>HOUR(Table1[[#This Row],[order_time]])</f>
        <v>9</v>
      </c>
      <c r="H731" s="2">
        <v>0.40695601851851854</v>
      </c>
      <c r="I731" t="s">
        <v>16</v>
      </c>
      <c r="J731" t="s">
        <v>24</v>
      </c>
      <c r="K731">
        <v>5</v>
      </c>
      <c r="L731">
        <v>35</v>
      </c>
      <c r="M731">
        <v>175</v>
      </c>
      <c r="N731">
        <f>IF(COUNTIFS($B$2:B731,B731)=1,1,0)</f>
        <v>1</v>
      </c>
    </row>
    <row r="732" spans="1:14" x14ac:dyDescent="0.2">
      <c r="A732">
        <v>731</v>
      </c>
      <c r="B732">
        <v>1373</v>
      </c>
      <c r="C732">
        <f>1/COUNTIF(B:B,Table1[[#This Row],[order_id]])</f>
        <v>0.33333333333333331</v>
      </c>
      <c r="D732" t="str">
        <f>TEXT(Table1[[#This Row],[order_date]],"mmmm")</f>
        <v>March</v>
      </c>
      <c r="E732" s="1">
        <v>45352</v>
      </c>
      <c r="F732" s="1" t="str">
        <f>TEXT(Table1[[#This Row],[order_date]],"dddd")</f>
        <v>Friday</v>
      </c>
      <c r="G732">
        <f>HOUR(Table1[[#This Row],[order_time]])</f>
        <v>14</v>
      </c>
      <c r="H732" s="2">
        <v>0.62236111111111114</v>
      </c>
      <c r="I732" t="s">
        <v>9</v>
      </c>
      <c r="J732" t="s">
        <v>22</v>
      </c>
      <c r="K732">
        <v>1</v>
      </c>
      <c r="L732">
        <v>15</v>
      </c>
      <c r="M732">
        <v>15</v>
      </c>
      <c r="N732">
        <f>IF(COUNTIFS($B$2:B732,B732)=1,1,0)</f>
        <v>1</v>
      </c>
    </row>
    <row r="733" spans="1:14" x14ac:dyDescent="0.2">
      <c r="A733">
        <v>732</v>
      </c>
      <c r="B733">
        <v>1373</v>
      </c>
      <c r="C733">
        <f>1/COUNTIF(B:B,Table1[[#This Row],[order_id]])</f>
        <v>0.33333333333333331</v>
      </c>
      <c r="D733" t="str">
        <f>TEXT(Table1[[#This Row],[order_date]],"mmmm")</f>
        <v>March</v>
      </c>
      <c r="E733" s="1">
        <v>45352</v>
      </c>
      <c r="F733" s="1" t="str">
        <f>TEXT(Table1[[#This Row],[order_date]],"dddd")</f>
        <v>Friday</v>
      </c>
      <c r="G733">
        <f>HOUR(Table1[[#This Row],[order_time]])</f>
        <v>17</v>
      </c>
      <c r="H733" s="2">
        <v>0.7215625</v>
      </c>
      <c r="I733" t="s">
        <v>18</v>
      </c>
      <c r="J733" t="s">
        <v>19</v>
      </c>
      <c r="K733">
        <v>5</v>
      </c>
      <c r="L733">
        <v>50</v>
      </c>
      <c r="M733">
        <v>250</v>
      </c>
      <c r="N733">
        <f>IF(COUNTIFS($B$2:B733,B733)=1,1,0)</f>
        <v>0</v>
      </c>
    </row>
    <row r="734" spans="1:14" x14ac:dyDescent="0.2">
      <c r="A734">
        <v>733</v>
      </c>
      <c r="B734">
        <v>1373</v>
      </c>
      <c r="C734">
        <f>1/COUNTIF(B:B,Table1[[#This Row],[order_id]])</f>
        <v>0.33333333333333331</v>
      </c>
      <c r="D734" t="str">
        <f>TEXT(Table1[[#This Row],[order_date]],"mmmm")</f>
        <v>March</v>
      </c>
      <c r="E734" s="1">
        <v>45352</v>
      </c>
      <c r="F734" s="1" t="str">
        <f>TEXT(Table1[[#This Row],[order_date]],"dddd")</f>
        <v>Friday</v>
      </c>
      <c r="G734">
        <f>HOUR(Table1[[#This Row],[order_time]])</f>
        <v>9</v>
      </c>
      <c r="H734" s="2">
        <v>0.4165625</v>
      </c>
      <c r="I734" t="s">
        <v>11</v>
      </c>
      <c r="J734" t="s">
        <v>14</v>
      </c>
      <c r="K734">
        <v>3</v>
      </c>
      <c r="L734">
        <v>700</v>
      </c>
      <c r="M734">
        <v>2100</v>
      </c>
      <c r="N734">
        <f>IF(COUNTIFS($B$2:B734,B734)=1,1,0)</f>
        <v>0</v>
      </c>
    </row>
    <row r="735" spans="1:14" x14ac:dyDescent="0.2">
      <c r="A735">
        <v>734</v>
      </c>
      <c r="B735">
        <v>1374</v>
      </c>
      <c r="C735">
        <f>1/COUNTIF(B:B,Table1[[#This Row],[order_id]])</f>
        <v>0.5</v>
      </c>
      <c r="D735" t="str">
        <f>TEXT(Table1[[#This Row],[order_date]],"mmmm")</f>
        <v>March</v>
      </c>
      <c r="E735" s="1">
        <v>45352</v>
      </c>
      <c r="F735" s="1" t="str">
        <f>TEXT(Table1[[#This Row],[order_date]],"dddd")</f>
        <v>Friday</v>
      </c>
      <c r="G735">
        <f>HOUR(Table1[[#This Row],[order_time]])</f>
        <v>17</v>
      </c>
      <c r="H735" s="2">
        <v>0.71322916666666669</v>
      </c>
      <c r="I735" t="s">
        <v>18</v>
      </c>
      <c r="J735" t="s">
        <v>27</v>
      </c>
      <c r="K735">
        <v>1</v>
      </c>
      <c r="L735">
        <v>40</v>
      </c>
      <c r="M735">
        <v>40</v>
      </c>
      <c r="N735">
        <f>IF(COUNTIFS($B$2:B735,B735)=1,1,0)</f>
        <v>1</v>
      </c>
    </row>
    <row r="736" spans="1:14" x14ac:dyDescent="0.2">
      <c r="A736">
        <v>735</v>
      </c>
      <c r="B736">
        <v>1374</v>
      </c>
      <c r="C736">
        <f>1/COUNTIF(B:B,Table1[[#This Row],[order_id]])</f>
        <v>0.5</v>
      </c>
      <c r="D736" t="str">
        <f>TEXT(Table1[[#This Row],[order_date]],"mmmm")</f>
        <v>March</v>
      </c>
      <c r="E736" s="1">
        <v>45352</v>
      </c>
      <c r="F736" s="1" t="str">
        <f>TEXT(Table1[[#This Row],[order_date]],"dddd")</f>
        <v>Friday</v>
      </c>
      <c r="G736">
        <f>HOUR(Table1[[#This Row],[order_time]])</f>
        <v>18</v>
      </c>
      <c r="H736" s="2">
        <v>0.77387731481481481</v>
      </c>
      <c r="I736" t="s">
        <v>16</v>
      </c>
      <c r="J736" t="s">
        <v>28</v>
      </c>
      <c r="K736">
        <v>1</v>
      </c>
      <c r="L736">
        <v>25</v>
      </c>
      <c r="M736">
        <v>25</v>
      </c>
      <c r="N736">
        <f>IF(COUNTIFS($B$2:B736,B736)=1,1,0)</f>
        <v>0</v>
      </c>
    </row>
    <row r="737" spans="1:14" x14ac:dyDescent="0.2">
      <c r="A737">
        <v>736</v>
      </c>
      <c r="B737">
        <v>1375</v>
      </c>
      <c r="C737">
        <f>1/COUNTIF(B:B,Table1[[#This Row],[order_id]])</f>
        <v>0.5</v>
      </c>
      <c r="D737" t="str">
        <f>TEXT(Table1[[#This Row],[order_date]],"mmmm")</f>
        <v>March</v>
      </c>
      <c r="E737" s="1">
        <v>45353</v>
      </c>
      <c r="F737" s="1" t="str">
        <f>TEXT(Table1[[#This Row],[order_date]],"dddd")</f>
        <v>Saturday</v>
      </c>
      <c r="G737">
        <f>HOUR(Table1[[#This Row],[order_time]])</f>
        <v>16</v>
      </c>
      <c r="H737" s="2">
        <v>0.70678240740740739</v>
      </c>
      <c r="I737" t="s">
        <v>9</v>
      </c>
      <c r="J737" t="s">
        <v>20</v>
      </c>
      <c r="K737">
        <v>4</v>
      </c>
      <c r="L737">
        <v>25</v>
      </c>
      <c r="M737">
        <v>100</v>
      </c>
      <c r="N737">
        <f>IF(COUNTIFS($B$2:B737,B737)=1,1,0)</f>
        <v>1</v>
      </c>
    </row>
    <row r="738" spans="1:14" x14ac:dyDescent="0.2">
      <c r="A738">
        <v>737</v>
      </c>
      <c r="B738">
        <v>1375</v>
      </c>
      <c r="C738">
        <f>1/COUNTIF(B:B,Table1[[#This Row],[order_id]])</f>
        <v>0.5</v>
      </c>
      <c r="D738" t="str">
        <f>TEXT(Table1[[#This Row],[order_date]],"mmmm")</f>
        <v>March</v>
      </c>
      <c r="E738" s="1">
        <v>45353</v>
      </c>
      <c r="F738" s="1" t="str">
        <f>TEXT(Table1[[#This Row],[order_date]],"dddd")</f>
        <v>Saturday</v>
      </c>
      <c r="G738">
        <f>HOUR(Table1[[#This Row],[order_time]])</f>
        <v>11</v>
      </c>
      <c r="H738" s="2">
        <v>0.48656250000000001</v>
      </c>
      <c r="I738" t="s">
        <v>16</v>
      </c>
      <c r="J738" t="s">
        <v>17</v>
      </c>
      <c r="K738">
        <v>4</v>
      </c>
      <c r="L738">
        <v>20</v>
      </c>
      <c r="M738">
        <v>80</v>
      </c>
      <c r="N738">
        <f>IF(COUNTIFS($B$2:B738,B738)=1,1,0)</f>
        <v>0</v>
      </c>
    </row>
    <row r="739" spans="1:14" x14ac:dyDescent="0.2">
      <c r="A739">
        <v>738</v>
      </c>
      <c r="B739">
        <v>1376</v>
      </c>
      <c r="C739">
        <f>1/COUNTIF(B:B,Table1[[#This Row],[order_id]])</f>
        <v>0.33333333333333331</v>
      </c>
      <c r="D739" t="str">
        <f>TEXT(Table1[[#This Row],[order_date]],"mmmm")</f>
        <v>March</v>
      </c>
      <c r="E739" s="1">
        <v>45353</v>
      </c>
      <c r="F739" s="1" t="str">
        <f>TEXT(Table1[[#This Row],[order_date]],"dddd")</f>
        <v>Saturday</v>
      </c>
      <c r="G739">
        <f>HOUR(Table1[[#This Row],[order_time]])</f>
        <v>10</v>
      </c>
      <c r="H739" s="2">
        <v>0.43428240740740742</v>
      </c>
      <c r="I739" t="s">
        <v>9</v>
      </c>
      <c r="J739" t="s">
        <v>20</v>
      </c>
      <c r="K739">
        <v>3</v>
      </c>
      <c r="L739">
        <v>25</v>
      </c>
      <c r="M739">
        <v>75</v>
      </c>
      <c r="N739">
        <f>IF(COUNTIFS($B$2:B739,B739)=1,1,0)</f>
        <v>1</v>
      </c>
    </row>
    <row r="740" spans="1:14" x14ac:dyDescent="0.2">
      <c r="A740">
        <v>739</v>
      </c>
      <c r="B740">
        <v>1376</v>
      </c>
      <c r="C740">
        <f>1/COUNTIF(B:B,Table1[[#This Row],[order_id]])</f>
        <v>0.33333333333333331</v>
      </c>
      <c r="D740" t="str">
        <f>TEXT(Table1[[#This Row],[order_date]],"mmmm")</f>
        <v>March</v>
      </c>
      <c r="E740" s="1">
        <v>45353</v>
      </c>
      <c r="F740" s="1" t="str">
        <f>TEXT(Table1[[#This Row],[order_date]],"dddd")</f>
        <v>Saturday</v>
      </c>
      <c r="G740">
        <f>HOUR(Table1[[#This Row],[order_time]])</f>
        <v>14</v>
      </c>
      <c r="H740" s="2">
        <v>0.62216435185185182</v>
      </c>
      <c r="I740" t="s">
        <v>9</v>
      </c>
      <c r="J740" t="s">
        <v>22</v>
      </c>
      <c r="K740">
        <v>4</v>
      </c>
      <c r="L740">
        <v>15</v>
      </c>
      <c r="M740">
        <v>60</v>
      </c>
      <c r="N740">
        <f>IF(COUNTIFS($B$2:B740,B740)=1,1,0)</f>
        <v>0</v>
      </c>
    </row>
    <row r="741" spans="1:14" x14ac:dyDescent="0.2">
      <c r="A741">
        <v>740</v>
      </c>
      <c r="B741">
        <v>1376</v>
      </c>
      <c r="C741">
        <f>1/COUNTIF(B:B,Table1[[#This Row],[order_id]])</f>
        <v>0.33333333333333331</v>
      </c>
      <c r="D741" t="str">
        <f>TEXT(Table1[[#This Row],[order_date]],"mmmm")</f>
        <v>March</v>
      </c>
      <c r="E741" s="1">
        <v>45353</v>
      </c>
      <c r="F741" s="1" t="str">
        <f>TEXT(Table1[[#This Row],[order_date]],"dddd")</f>
        <v>Saturday</v>
      </c>
      <c r="G741">
        <f>HOUR(Table1[[#This Row],[order_time]])</f>
        <v>16</v>
      </c>
      <c r="H741" s="2">
        <v>0.66825231481481484</v>
      </c>
      <c r="I741" t="s">
        <v>11</v>
      </c>
      <c r="J741" t="s">
        <v>13</v>
      </c>
      <c r="K741">
        <v>2</v>
      </c>
      <c r="L741">
        <v>680</v>
      </c>
      <c r="M741">
        <v>1360</v>
      </c>
      <c r="N741">
        <f>IF(COUNTIFS($B$2:B741,B741)=1,1,0)</f>
        <v>0</v>
      </c>
    </row>
    <row r="742" spans="1:14" x14ac:dyDescent="0.2">
      <c r="A742">
        <v>741</v>
      </c>
      <c r="B742">
        <v>1377</v>
      </c>
      <c r="C742">
        <f>1/COUNTIF(B:B,Table1[[#This Row],[order_id]])</f>
        <v>1</v>
      </c>
      <c r="D742" t="str">
        <f>TEXT(Table1[[#This Row],[order_date]],"mmmm")</f>
        <v>March</v>
      </c>
      <c r="E742" s="1">
        <v>45353</v>
      </c>
      <c r="F742" s="1" t="str">
        <f>TEXT(Table1[[#This Row],[order_date]],"dddd")</f>
        <v>Saturday</v>
      </c>
      <c r="G742">
        <f>HOUR(Table1[[#This Row],[order_time]])</f>
        <v>14</v>
      </c>
      <c r="H742" s="2">
        <v>0.58975694444444449</v>
      </c>
      <c r="I742" t="s">
        <v>9</v>
      </c>
      <c r="J742" t="s">
        <v>10</v>
      </c>
      <c r="K742">
        <v>1</v>
      </c>
      <c r="L742">
        <v>20</v>
      </c>
      <c r="M742">
        <v>20</v>
      </c>
      <c r="N742">
        <f>IF(COUNTIFS($B$2:B742,B742)=1,1,0)</f>
        <v>1</v>
      </c>
    </row>
    <row r="743" spans="1:14" x14ac:dyDescent="0.2">
      <c r="A743">
        <v>742</v>
      </c>
      <c r="B743">
        <v>1378</v>
      </c>
      <c r="C743">
        <f>1/COUNTIF(B:B,Table1[[#This Row],[order_id]])</f>
        <v>0.33333333333333331</v>
      </c>
      <c r="D743" t="str">
        <f>TEXT(Table1[[#This Row],[order_date]],"mmmm")</f>
        <v>March</v>
      </c>
      <c r="E743" s="1">
        <v>45353</v>
      </c>
      <c r="F743" s="1" t="str">
        <f>TEXT(Table1[[#This Row],[order_date]],"dddd")</f>
        <v>Saturday</v>
      </c>
      <c r="G743">
        <f>HOUR(Table1[[#This Row],[order_time]])</f>
        <v>16</v>
      </c>
      <c r="H743" s="2">
        <v>0.70211805555555551</v>
      </c>
      <c r="I743" t="s">
        <v>16</v>
      </c>
      <c r="J743" t="s">
        <v>24</v>
      </c>
      <c r="K743">
        <v>5</v>
      </c>
      <c r="L743">
        <v>35</v>
      </c>
      <c r="M743">
        <v>175</v>
      </c>
      <c r="N743">
        <f>IF(COUNTIFS($B$2:B743,B743)=1,1,0)</f>
        <v>1</v>
      </c>
    </row>
    <row r="744" spans="1:14" x14ac:dyDescent="0.2">
      <c r="A744">
        <v>743</v>
      </c>
      <c r="B744">
        <v>1378</v>
      </c>
      <c r="C744">
        <f>1/COUNTIF(B:B,Table1[[#This Row],[order_id]])</f>
        <v>0.33333333333333331</v>
      </c>
      <c r="D744" t="str">
        <f>TEXT(Table1[[#This Row],[order_date]],"mmmm")</f>
        <v>March</v>
      </c>
      <c r="E744" s="1">
        <v>45353</v>
      </c>
      <c r="F744" s="1" t="str">
        <f>TEXT(Table1[[#This Row],[order_date]],"dddd")</f>
        <v>Saturday</v>
      </c>
      <c r="G744">
        <f>HOUR(Table1[[#This Row],[order_time]])</f>
        <v>17</v>
      </c>
      <c r="H744" s="2">
        <v>0.72311342592592598</v>
      </c>
      <c r="I744" t="s">
        <v>9</v>
      </c>
      <c r="J744" t="s">
        <v>29</v>
      </c>
      <c r="K744">
        <v>5</v>
      </c>
      <c r="L744">
        <v>5</v>
      </c>
      <c r="M744">
        <v>25</v>
      </c>
      <c r="N744">
        <f>IF(COUNTIFS($B$2:B744,B744)=1,1,0)</f>
        <v>0</v>
      </c>
    </row>
    <row r="745" spans="1:14" x14ac:dyDescent="0.2">
      <c r="A745">
        <v>744</v>
      </c>
      <c r="B745">
        <v>1378</v>
      </c>
      <c r="C745">
        <f>1/COUNTIF(B:B,Table1[[#This Row],[order_id]])</f>
        <v>0.33333333333333331</v>
      </c>
      <c r="D745" t="str">
        <f>TEXT(Table1[[#This Row],[order_date]],"mmmm")</f>
        <v>March</v>
      </c>
      <c r="E745" s="1">
        <v>45353</v>
      </c>
      <c r="F745" s="1" t="str">
        <f>TEXT(Table1[[#This Row],[order_date]],"dddd")</f>
        <v>Saturday</v>
      </c>
      <c r="G745">
        <f>HOUR(Table1[[#This Row],[order_time]])</f>
        <v>19</v>
      </c>
      <c r="H745" s="2">
        <v>0.81820601851851849</v>
      </c>
      <c r="I745" t="s">
        <v>11</v>
      </c>
      <c r="J745" t="s">
        <v>15</v>
      </c>
      <c r="K745">
        <v>4</v>
      </c>
      <c r="L745">
        <v>600</v>
      </c>
      <c r="M745">
        <v>2400</v>
      </c>
      <c r="N745">
        <f>IF(COUNTIFS($B$2:B745,B745)=1,1,0)</f>
        <v>0</v>
      </c>
    </row>
    <row r="746" spans="1:14" x14ac:dyDescent="0.2">
      <c r="A746">
        <v>745</v>
      </c>
      <c r="B746">
        <v>1379</v>
      </c>
      <c r="C746">
        <f>1/COUNTIF(B:B,Table1[[#This Row],[order_id]])</f>
        <v>0.5</v>
      </c>
      <c r="D746" t="str">
        <f>TEXT(Table1[[#This Row],[order_date]],"mmmm")</f>
        <v>March</v>
      </c>
      <c r="E746" s="1">
        <v>45353</v>
      </c>
      <c r="F746" s="1" t="str">
        <f>TEXT(Table1[[#This Row],[order_date]],"dddd")</f>
        <v>Saturday</v>
      </c>
      <c r="G746">
        <f>HOUR(Table1[[#This Row],[order_time]])</f>
        <v>19</v>
      </c>
      <c r="H746" s="2">
        <v>0.80106481481481484</v>
      </c>
      <c r="I746" t="s">
        <v>16</v>
      </c>
      <c r="J746" t="s">
        <v>24</v>
      </c>
      <c r="K746">
        <v>2</v>
      </c>
      <c r="L746">
        <v>35</v>
      </c>
      <c r="M746">
        <v>70</v>
      </c>
      <c r="N746">
        <f>IF(COUNTIFS($B$2:B746,B746)=1,1,0)</f>
        <v>1</v>
      </c>
    </row>
    <row r="747" spans="1:14" x14ac:dyDescent="0.2">
      <c r="A747">
        <v>746</v>
      </c>
      <c r="B747">
        <v>1379</v>
      </c>
      <c r="C747">
        <f>1/COUNTIF(B:B,Table1[[#This Row],[order_id]])</f>
        <v>0.5</v>
      </c>
      <c r="D747" t="str">
        <f>TEXT(Table1[[#This Row],[order_date]],"mmmm")</f>
        <v>March</v>
      </c>
      <c r="E747" s="1">
        <v>45353</v>
      </c>
      <c r="F747" s="1" t="str">
        <f>TEXT(Table1[[#This Row],[order_date]],"dddd")</f>
        <v>Saturday</v>
      </c>
      <c r="G747">
        <f>HOUR(Table1[[#This Row],[order_time]])</f>
        <v>14</v>
      </c>
      <c r="H747" s="2">
        <v>0.62035879629629631</v>
      </c>
      <c r="I747" t="s">
        <v>9</v>
      </c>
      <c r="J747" t="s">
        <v>22</v>
      </c>
      <c r="K747">
        <v>2</v>
      </c>
      <c r="L747">
        <v>15</v>
      </c>
      <c r="M747">
        <v>30</v>
      </c>
      <c r="N747">
        <f>IF(COUNTIFS($B$2:B747,B747)=1,1,0)</f>
        <v>0</v>
      </c>
    </row>
    <row r="748" spans="1:14" x14ac:dyDescent="0.2">
      <c r="A748">
        <v>747</v>
      </c>
      <c r="B748">
        <v>1380</v>
      </c>
      <c r="C748">
        <f>1/COUNTIF(B:B,Table1[[#This Row],[order_id]])</f>
        <v>0.33333333333333331</v>
      </c>
      <c r="D748" t="str">
        <f>TEXT(Table1[[#This Row],[order_date]],"mmmm")</f>
        <v>March</v>
      </c>
      <c r="E748" s="1">
        <v>45353</v>
      </c>
      <c r="F748" s="1" t="str">
        <f>TEXT(Table1[[#This Row],[order_date]],"dddd")</f>
        <v>Saturday</v>
      </c>
      <c r="G748">
        <f>HOUR(Table1[[#This Row],[order_time]])</f>
        <v>9</v>
      </c>
      <c r="H748" s="2">
        <v>0.39246527777777779</v>
      </c>
      <c r="I748" t="s">
        <v>18</v>
      </c>
      <c r="J748" t="s">
        <v>19</v>
      </c>
      <c r="K748">
        <v>4</v>
      </c>
      <c r="L748">
        <v>50</v>
      </c>
      <c r="M748">
        <v>200</v>
      </c>
      <c r="N748">
        <f>IF(COUNTIFS($B$2:B748,B748)=1,1,0)</f>
        <v>1</v>
      </c>
    </row>
    <row r="749" spans="1:14" x14ac:dyDescent="0.2">
      <c r="A749">
        <v>748</v>
      </c>
      <c r="B749">
        <v>1380</v>
      </c>
      <c r="C749">
        <f>1/COUNTIF(B:B,Table1[[#This Row],[order_id]])</f>
        <v>0.33333333333333331</v>
      </c>
      <c r="D749" t="str">
        <f>TEXT(Table1[[#This Row],[order_date]],"mmmm")</f>
        <v>March</v>
      </c>
      <c r="E749" s="1">
        <v>45353</v>
      </c>
      <c r="F749" s="1" t="str">
        <f>TEXT(Table1[[#This Row],[order_date]],"dddd")</f>
        <v>Saturday</v>
      </c>
      <c r="G749">
        <f>HOUR(Table1[[#This Row],[order_time]])</f>
        <v>15</v>
      </c>
      <c r="H749" s="2">
        <v>0.62717592592592597</v>
      </c>
      <c r="I749" t="s">
        <v>9</v>
      </c>
      <c r="J749" t="s">
        <v>22</v>
      </c>
      <c r="K749">
        <v>4</v>
      </c>
      <c r="L749">
        <v>15</v>
      </c>
      <c r="M749">
        <v>60</v>
      </c>
      <c r="N749">
        <f>IF(COUNTIFS($B$2:B749,B749)=1,1,0)</f>
        <v>0</v>
      </c>
    </row>
    <row r="750" spans="1:14" x14ac:dyDescent="0.2">
      <c r="A750">
        <v>749</v>
      </c>
      <c r="B750">
        <v>1380</v>
      </c>
      <c r="C750">
        <f>1/COUNTIF(B:B,Table1[[#This Row],[order_id]])</f>
        <v>0.33333333333333331</v>
      </c>
      <c r="D750" t="str">
        <f>TEXT(Table1[[#This Row],[order_date]],"mmmm")</f>
        <v>March</v>
      </c>
      <c r="E750" s="1">
        <v>45353</v>
      </c>
      <c r="F750" s="1" t="str">
        <f>TEXT(Table1[[#This Row],[order_date]],"dddd")</f>
        <v>Saturday</v>
      </c>
      <c r="G750">
        <f>HOUR(Table1[[#This Row],[order_time]])</f>
        <v>16</v>
      </c>
      <c r="H750" s="2">
        <v>0.67743055555555554</v>
      </c>
      <c r="I750" t="s">
        <v>9</v>
      </c>
      <c r="J750" t="s">
        <v>20</v>
      </c>
      <c r="K750">
        <v>1</v>
      </c>
      <c r="L750">
        <v>25</v>
      </c>
      <c r="M750">
        <v>25</v>
      </c>
      <c r="N750">
        <f>IF(COUNTIFS($B$2:B750,B750)=1,1,0)</f>
        <v>0</v>
      </c>
    </row>
    <row r="751" spans="1:14" x14ac:dyDescent="0.2">
      <c r="A751">
        <v>750</v>
      </c>
      <c r="B751">
        <v>1381</v>
      </c>
      <c r="C751">
        <f>1/COUNTIF(B:B,Table1[[#This Row],[order_id]])</f>
        <v>1</v>
      </c>
      <c r="D751" t="str">
        <f>TEXT(Table1[[#This Row],[order_date]],"mmmm")</f>
        <v>March</v>
      </c>
      <c r="E751" s="1">
        <v>45353</v>
      </c>
      <c r="F751" s="1" t="str">
        <f>TEXT(Table1[[#This Row],[order_date]],"dddd")</f>
        <v>Saturday</v>
      </c>
      <c r="G751">
        <f>HOUR(Table1[[#This Row],[order_time]])</f>
        <v>9</v>
      </c>
      <c r="H751" s="2">
        <v>0.38547453703703705</v>
      </c>
      <c r="I751" t="s">
        <v>16</v>
      </c>
      <c r="J751" t="s">
        <v>24</v>
      </c>
      <c r="K751">
        <v>5</v>
      </c>
      <c r="L751">
        <v>35</v>
      </c>
      <c r="M751">
        <v>175</v>
      </c>
      <c r="N751">
        <f>IF(COUNTIFS($B$2:B751,B751)=1,1,0)</f>
        <v>1</v>
      </c>
    </row>
    <row r="752" spans="1:14" x14ac:dyDescent="0.2">
      <c r="A752">
        <v>751</v>
      </c>
      <c r="B752">
        <v>1382</v>
      </c>
      <c r="C752">
        <f>1/COUNTIF(B:B,Table1[[#This Row],[order_id]])</f>
        <v>0.33333333333333331</v>
      </c>
      <c r="D752" t="str">
        <f>TEXT(Table1[[#This Row],[order_date]],"mmmm")</f>
        <v>March</v>
      </c>
      <c r="E752" s="1">
        <v>45354</v>
      </c>
      <c r="F752" s="1" t="str">
        <f>TEXT(Table1[[#This Row],[order_date]],"dddd")</f>
        <v>Sunday</v>
      </c>
      <c r="G752">
        <f>HOUR(Table1[[#This Row],[order_time]])</f>
        <v>16</v>
      </c>
      <c r="H752" s="2">
        <v>0.69835648148148144</v>
      </c>
      <c r="I752" t="s">
        <v>16</v>
      </c>
      <c r="J752" t="s">
        <v>24</v>
      </c>
      <c r="K752">
        <v>1</v>
      </c>
      <c r="L752">
        <v>35</v>
      </c>
      <c r="M752">
        <v>35</v>
      </c>
      <c r="N752">
        <f>IF(COUNTIFS($B$2:B752,B752)=1,1,0)</f>
        <v>1</v>
      </c>
    </row>
    <row r="753" spans="1:14" x14ac:dyDescent="0.2">
      <c r="A753">
        <v>752</v>
      </c>
      <c r="B753">
        <v>1382</v>
      </c>
      <c r="C753">
        <f>1/COUNTIF(B:B,Table1[[#This Row],[order_id]])</f>
        <v>0.33333333333333331</v>
      </c>
      <c r="D753" t="str">
        <f>TEXT(Table1[[#This Row],[order_date]],"mmmm")</f>
        <v>March</v>
      </c>
      <c r="E753" s="1">
        <v>45354</v>
      </c>
      <c r="F753" s="1" t="str">
        <f>TEXT(Table1[[#This Row],[order_date]],"dddd")</f>
        <v>Sunday</v>
      </c>
      <c r="G753">
        <f>HOUR(Table1[[#This Row],[order_time]])</f>
        <v>19</v>
      </c>
      <c r="H753" s="2">
        <v>0.81042824074074071</v>
      </c>
      <c r="I753" t="s">
        <v>9</v>
      </c>
      <c r="J753" t="s">
        <v>10</v>
      </c>
      <c r="K753">
        <v>4</v>
      </c>
      <c r="L753">
        <v>20</v>
      </c>
      <c r="M753">
        <v>80</v>
      </c>
      <c r="N753">
        <f>IF(COUNTIFS($B$2:B753,B753)=1,1,0)</f>
        <v>0</v>
      </c>
    </row>
    <row r="754" spans="1:14" x14ac:dyDescent="0.2">
      <c r="A754">
        <v>753</v>
      </c>
      <c r="B754">
        <v>1382</v>
      </c>
      <c r="C754">
        <f>1/COUNTIF(B:B,Table1[[#This Row],[order_id]])</f>
        <v>0.33333333333333331</v>
      </c>
      <c r="D754" t="str">
        <f>TEXT(Table1[[#This Row],[order_date]],"mmmm")</f>
        <v>March</v>
      </c>
      <c r="E754" s="1">
        <v>45354</v>
      </c>
      <c r="F754" s="1" t="str">
        <f>TEXT(Table1[[#This Row],[order_date]],"dddd")</f>
        <v>Sunday</v>
      </c>
      <c r="G754">
        <f>HOUR(Table1[[#This Row],[order_time]])</f>
        <v>18</v>
      </c>
      <c r="H754" s="2">
        <v>0.78350694444444446</v>
      </c>
      <c r="I754" t="s">
        <v>9</v>
      </c>
      <c r="J754" t="s">
        <v>10</v>
      </c>
      <c r="K754">
        <v>3</v>
      </c>
      <c r="L754">
        <v>20</v>
      </c>
      <c r="M754">
        <v>60</v>
      </c>
      <c r="N754">
        <f>IF(COUNTIFS($B$2:B754,B754)=1,1,0)</f>
        <v>0</v>
      </c>
    </row>
    <row r="755" spans="1:14" x14ac:dyDescent="0.2">
      <c r="A755">
        <v>754</v>
      </c>
      <c r="B755">
        <v>1383</v>
      </c>
      <c r="C755">
        <f>1/COUNTIF(B:B,Table1[[#This Row],[order_id]])</f>
        <v>0.33333333333333331</v>
      </c>
      <c r="D755" t="str">
        <f>TEXT(Table1[[#This Row],[order_date]],"mmmm")</f>
        <v>March</v>
      </c>
      <c r="E755" s="1">
        <v>45354</v>
      </c>
      <c r="F755" s="1" t="str">
        <f>TEXT(Table1[[#This Row],[order_date]],"dddd")</f>
        <v>Sunday</v>
      </c>
      <c r="G755">
        <f>HOUR(Table1[[#This Row],[order_time]])</f>
        <v>13</v>
      </c>
      <c r="H755" s="2">
        <v>0.56680555555555556</v>
      </c>
      <c r="I755" t="s">
        <v>9</v>
      </c>
      <c r="J755" t="s">
        <v>21</v>
      </c>
      <c r="K755">
        <v>5</v>
      </c>
      <c r="L755">
        <v>10</v>
      </c>
      <c r="M755">
        <v>50</v>
      </c>
      <c r="N755">
        <f>IF(COUNTIFS($B$2:B755,B755)=1,1,0)</f>
        <v>1</v>
      </c>
    </row>
    <row r="756" spans="1:14" x14ac:dyDescent="0.2">
      <c r="A756">
        <v>755</v>
      </c>
      <c r="B756">
        <v>1383</v>
      </c>
      <c r="C756">
        <f>1/COUNTIF(B:B,Table1[[#This Row],[order_id]])</f>
        <v>0.33333333333333331</v>
      </c>
      <c r="D756" t="str">
        <f>TEXT(Table1[[#This Row],[order_date]],"mmmm")</f>
        <v>March</v>
      </c>
      <c r="E756" s="1">
        <v>45354</v>
      </c>
      <c r="F756" s="1" t="str">
        <f>TEXT(Table1[[#This Row],[order_date]],"dddd")</f>
        <v>Sunday</v>
      </c>
      <c r="G756">
        <f>HOUR(Table1[[#This Row],[order_time]])</f>
        <v>20</v>
      </c>
      <c r="H756" s="2">
        <v>0.85976851851851854</v>
      </c>
      <c r="I756" t="s">
        <v>11</v>
      </c>
      <c r="J756" t="s">
        <v>14</v>
      </c>
      <c r="K756">
        <v>5</v>
      </c>
      <c r="L756">
        <v>700</v>
      </c>
      <c r="M756">
        <v>3500</v>
      </c>
      <c r="N756">
        <f>IF(COUNTIFS($B$2:B756,B756)=1,1,0)</f>
        <v>0</v>
      </c>
    </row>
    <row r="757" spans="1:14" x14ac:dyDescent="0.2">
      <c r="A757">
        <v>756</v>
      </c>
      <c r="B757">
        <v>1383</v>
      </c>
      <c r="C757">
        <f>1/COUNTIF(B:B,Table1[[#This Row],[order_id]])</f>
        <v>0.33333333333333331</v>
      </c>
      <c r="D757" t="str">
        <f>TEXT(Table1[[#This Row],[order_date]],"mmmm")</f>
        <v>March</v>
      </c>
      <c r="E757" s="1">
        <v>45354</v>
      </c>
      <c r="F757" s="1" t="str">
        <f>TEXT(Table1[[#This Row],[order_date]],"dddd")</f>
        <v>Sunday</v>
      </c>
      <c r="G757">
        <f>HOUR(Table1[[#This Row],[order_time]])</f>
        <v>18</v>
      </c>
      <c r="H757" s="2">
        <v>0.75151620370370376</v>
      </c>
      <c r="I757" t="s">
        <v>16</v>
      </c>
      <c r="J757" t="s">
        <v>23</v>
      </c>
      <c r="K757">
        <v>3</v>
      </c>
      <c r="L757">
        <v>30</v>
      </c>
      <c r="M757">
        <v>90</v>
      </c>
      <c r="N757">
        <f>IF(COUNTIFS($B$2:B757,B757)=1,1,0)</f>
        <v>0</v>
      </c>
    </row>
    <row r="758" spans="1:14" x14ac:dyDescent="0.2">
      <c r="A758">
        <v>757</v>
      </c>
      <c r="B758">
        <v>1384</v>
      </c>
      <c r="C758">
        <f>1/COUNTIF(B:B,Table1[[#This Row],[order_id]])</f>
        <v>0.33333333333333331</v>
      </c>
      <c r="D758" t="str">
        <f>TEXT(Table1[[#This Row],[order_date]],"mmmm")</f>
        <v>March</v>
      </c>
      <c r="E758" s="1">
        <v>45354</v>
      </c>
      <c r="F758" s="1" t="str">
        <f>TEXT(Table1[[#This Row],[order_date]],"dddd")</f>
        <v>Sunday</v>
      </c>
      <c r="G758">
        <f>HOUR(Table1[[#This Row],[order_time]])</f>
        <v>19</v>
      </c>
      <c r="H758" s="2">
        <v>0.79939814814814814</v>
      </c>
      <c r="I758" t="s">
        <v>16</v>
      </c>
      <c r="J758" t="s">
        <v>28</v>
      </c>
      <c r="K758">
        <v>4</v>
      </c>
      <c r="L758">
        <v>25</v>
      </c>
      <c r="M758">
        <v>100</v>
      </c>
      <c r="N758">
        <f>IF(COUNTIFS($B$2:B758,B758)=1,1,0)</f>
        <v>1</v>
      </c>
    </row>
    <row r="759" spans="1:14" x14ac:dyDescent="0.2">
      <c r="A759">
        <v>758</v>
      </c>
      <c r="B759">
        <v>1384</v>
      </c>
      <c r="C759">
        <f>1/COUNTIF(B:B,Table1[[#This Row],[order_id]])</f>
        <v>0.33333333333333331</v>
      </c>
      <c r="D759" t="str">
        <f>TEXT(Table1[[#This Row],[order_date]],"mmmm")</f>
        <v>March</v>
      </c>
      <c r="E759" s="1">
        <v>45354</v>
      </c>
      <c r="F759" s="1" t="str">
        <f>TEXT(Table1[[#This Row],[order_date]],"dddd")</f>
        <v>Sunday</v>
      </c>
      <c r="G759">
        <f>HOUR(Table1[[#This Row],[order_time]])</f>
        <v>16</v>
      </c>
      <c r="H759" s="2">
        <v>0.70577546296296301</v>
      </c>
      <c r="I759" t="s">
        <v>11</v>
      </c>
      <c r="J759" t="s">
        <v>14</v>
      </c>
      <c r="K759">
        <v>3</v>
      </c>
      <c r="L759">
        <v>700</v>
      </c>
      <c r="M759">
        <v>2100</v>
      </c>
      <c r="N759">
        <f>IF(COUNTIFS($B$2:B759,B759)=1,1,0)</f>
        <v>0</v>
      </c>
    </row>
    <row r="760" spans="1:14" x14ac:dyDescent="0.2">
      <c r="A760">
        <v>759</v>
      </c>
      <c r="B760">
        <v>1384</v>
      </c>
      <c r="C760">
        <f>1/COUNTIF(B:B,Table1[[#This Row],[order_id]])</f>
        <v>0.33333333333333331</v>
      </c>
      <c r="D760" t="str">
        <f>TEXT(Table1[[#This Row],[order_date]],"mmmm")</f>
        <v>March</v>
      </c>
      <c r="E760" s="1">
        <v>45354</v>
      </c>
      <c r="F760" s="1" t="str">
        <f>TEXT(Table1[[#This Row],[order_date]],"dddd")</f>
        <v>Sunday</v>
      </c>
      <c r="G760">
        <f>HOUR(Table1[[#This Row],[order_time]])</f>
        <v>20</v>
      </c>
      <c r="H760" s="2">
        <v>0.84907407407407409</v>
      </c>
      <c r="I760" t="s">
        <v>9</v>
      </c>
      <c r="J760" t="s">
        <v>21</v>
      </c>
      <c r="K760">
        <v>3</v>
      </c>
      <c r="L760">
        <v>10</v>
      </c>
      <c r="M760">
        <v>30</v>
      </c>
      <c r="N760">
        <f>IF(COUNTIFS($B$2:B760,B760)=1,1,0)</f>
        <v>0</v>
      </c>
    </row>
    <row r="761" spans="1:14" x14ac:dyDescent="0.2">
      <c r="A761">
        <v>760</v>
      </c>
      <c r="B761">
        <v>1385</v>
      </c>
      <c r="C761">
        <f>1/COUNTIF(B:B,Table1[[#This Row],[order_id]])</f>
        <v>1</v>
      </c>
      <c r="D761" t="str">
        <f>TEXT(Table1[[#This Row],[order_date]],"mmmm")</f>
        <v>March</v>
      </c>
      <c r="E761" s="1">
        <v>45354</v>
      </c>
      <c r="F761" s="1" t="str">
        <f>TEXT(Table1[[#This Row],[order_date]],"dddd")</f>
        <v>Sunday</v>
      </c>
      <c r="G761">
        <f>HOUR(Table1[[#This Row],[order_time]])</f>
        <v>9</v>
      </c>
      <c r="H761" s="2">
        <v>0.38502314814814814</v>
      </c>
      <c r="I761" t="s">
        <v>9</v>
      </c>
      <c r="J761" t="s">
        <v>20</v>
      </c>
      <c r="K761">
        <v>4</v>
      </c>
      <c r="L761">
        <v>25</v>
      </c>
      <c r="M761">
        <v>100</v>
      </c>
      <c r="N761">
        <f>IF(COUNTIFS($B$2:B761,B761)=1,1,0)</f>
        <v>1</v>
      </c>
    </row>
    <row r="762" spans="1:14" x14ac:dyDescent="0.2">
      <c r="A762">
        <v>761</v>
      </c>
      <c r="B762">
        <v>1386</v>
      </c>
      <c r="C762">
        <f>1/COUNTIF(B:B,Table1[[#This Row],[order_id]])</f>
        <v>1</v>
      </c>
      <c r="D762" t="str">
        <f>TEXT(Table1[[#This Row],[order_date]],"mmmm")</f>
        <v>March</v>
      </c>
      <c r="E762" s="1">
        <v>45354</v>
      </c>
      <c r="F762" s="1" t="str">
        <f>TEXT(Table1[[#This Row],[order_date]],"dddd")</f>
        <v>Sunday</v>
      </c>
      <c r="G762">
        <f>HOUR(Table1[[#This Row],[order_time]])</f>
        <v>19</v>
      </c>
      <c r="H762" s="2">
        <v>0.79565972222222225</v>
      </c>
      <c r="I762" t="s">
        <v>11</v>
      </c>
      <c r="J762" t="s">
        <v>15</v>
      </c>
      <c r="K762">
        <v>5</v>
      </c>
      <c r="L762">
        <v>600</v>
      </c>
      <c r="M762">
        <v>3000</v>
      </c>
      <c r="N762">
        <f>IF(COUNTIFS($B$2:B762,B762)=1,1,0)</f>
        <v>1</v>
      </c>
    </row>
    <row r="763" spans="1:14" x14ac:dyDescent="0.2">
      <c r="A763">
        <v>762</v>
      </c>
      <c r="B763">
        <v>1387</v>
      </c>
      <c r="C763">
        <f>1/COUNTIF(B:B,Table1[[#This Row],[order_id]])</f>
        <v>0.5</v>
      </c>
      <c r="D763" t="str">
        <f>TEXT(Table1[[#This Row],[order_date]],"mmmm")</f>
        <v>March</v>
      </c>
      <c r="E763" s="1">
        <v>45354</v>
      </c>
      <c r="F763" s="1" t="str">
        <f>TEXT(Table1[[#This Row],[order_date]],"dddd")</f>
        <v>Sunday</v>
      </c>
      <c r="G763">
        <f>HOUR(Table1[[#This Row],[order_time]])</f>
        <v>12</v>
      </c>
      <c r="H763" s="2">
        <v>0.50503472222222223</v>
      </c>
      <c r="I763" t="s">
        <v>9</v>
      </c>
      <c r="J763" t="s">
        <v>20</v>
      </c>
      <c r="K763">
        <v>5</v>
      </c>
      <c r="L763">
        <v>25</v>
      </c>
      <c r="M763">
        <v>125</v>
      </c>
      <c r="N763">
        <f>IF(COUNTIFS($B$2:B763,B763)=1,1,0)</f>
        <v>1</v>
      </c>
    </row>
    <row r="764" spans="1:14" x14ac:dyDescent="0.2">
      <c r="A764">
        <v>763</v>
      </c>
      <c r="B764">
        <v>1387</v>
      </c>
      <c r="C764">
        <f>1/COUNTIF(B:B,Table1[[#This Row],[order_id]])</f>
        <v>0.5</v>
      </c>
      <c r="D764" t="str">
        <f>TEXT(Table1[[#This Row],[order_date]],"mmmm")</f>
        <v>March</v>
      </c>
      <c r="E764" s="1">
        <v>45354</v>
      </c>
      <c r="F764" s="1" t="str">
        <f>TEXT(Table1[[#This Row],[order_date]],"dddd")</f>
        <v>Sunday</v>
      </c>
      <c r="G764">
        <f>HOUR(Table1[[#This Row],[order_time]])</f>
        <v>12</v>
      </c>
      <c r="H764" s="2">
        <v>0.51273148148148151</v>
      </c>
      <c r="I764" t="s">
        <v>18</v>
      </c>
      <c r="J764" t="s">
        <v>19</v>
      </c>
      <c r="K764">
        <v>4</v>
      </c>
      <c r="L764">
        <v>50</v>
      </c>
      <c r="M764">
        <v>200</v>
      </c>
      <c r="N764">
        <f>IF(COUNTIFS($B$2:B764,B764)=1,1,0)</f>
        <v>0</v>
      </c>
    </row>
    <row r="765" spans="1:14" x14ac:dyDescent="0.2">
      <c r="A765">
        <v>764</v>
      </c>
      <c r="B765">
        <v>1388</v>
      </c>
      <c r="C765">
        <f>1/COUNTIF(B:B,Table1[[#This Row],[order_id]])</f>
        <v>1</v>
      </c>
      <c r="D765" t="str">
        <f>TEXT(Table1[[#This Row],[order_date]],"mmmm")</f>
        <v>March</v>
      </c>
      <c r="E765" s="1">
        <v>45354</v>
      </c>
      <c r="F765" s="1" t="str">
        <f>TEXT(Table1[[#This Row],[order_date]],"dddd")</f>
        <v>Sunday</v>
      </c>
      <c r="G765">
        <f>HOUR(Table1[[#This Row],[order_time]])</f>
        <v>12</v>
      </c>
      <c r="H765" s="2">
        <v>0.50818287037037035</v>
      </c>
      <c r="I765" t="s">
        <v>9</v>
      </c>
      <c r="J765" t="s">
        <v>10</v>
      </c>
      <c r="K765">
        <v>2</v>
      </c>
      <c r="L765">
        <v>20</v>
      </c>
      <c r="M765">
        <v>40</v>
      </c>
      <c r="N765">
        <f>IF(COUNTIFS($B$2:B765,B765)=1,1,0)</f>
        <v>1</v>
      </c>
    </row>
    <row r="766" spans="1:14" x14ac:dyDescent="0.2">
      <c r="A766">
        <v>765</v>
      </c>
      <c r="B766">
        <v>1389</v>
      </c>
      <c r="C766">
        <f>1/COUNTIF(B:B,Table1[[#This Row],[order_id]])</f>
        <v>0.5</v>
      </c>
      <c r="D766" t="str">
        <f>TEXT(Table1[[#This Row],[order_date]],"mmmm")</f>
        <v>March</v>
      </c>
      <c r="E766" s="1">
        <v>45354</v>
      </c>
      <c r="F766" s="1" t="str">
        <f>TEXT(Table1[[#This Row],[order_date]],"dddd")</f>
        <v>Sunday</v>
      </c>
      <c r="G766">
        <f>HOUR(Table1[[#This Row],[order_time]])</f>
        <v>14</v>
      </c>
      <c r="H766" s="2">
        <v>0.61842592592592593</v>
      </c>
      <c r="I766" t="s">
        <v>11</v>
      </c>
      <c r="J766" t="s">
        <v>14</v>
      </c>
      <c r="K766">
        <v>3</v>
      </c>
      <c r="L766">
        <v>700</v>
      </c>
      <c r="M766">
        <v>2100</v>
      </c>
      <c r="N766">
        <f>IF(COUNTIFS($B$2:B766,B766)=1,1,0)</f>
        <v>1</v>
      </c>
    </row>
    <row r="767" spans="1:14" x14ac:dyDescent="0.2">
      <c r="A767">
        <v>766</v>
      </c>
      <c r="B767">
        <v>1389</v>
      </c>
      <c r="C767">
        <f>1/COUNTIF(B:B,Table1[[#This Row],[order_id]])</f>
        <v>0.5</v>
      </c>
      <c r="D767" t="str">
        <f>TEXT(Table1[[#This Row],[order_date]],"mmmm")</f>
        <v>March</v>
      </c>
      <c r="E767" s="1">
        <v>45354</v>
      </c>
      <c r="F767" s="1" t="str">
        <f>TEXT(Table1[[#This Row],[order_date]],"dddd")</f>
        <v>Sunday</v>
      </c>
      <c r="G767">
        <f>HOUR(Table1[[#This Row],[order_time]])</f>
        <v>18</v>
      </c>
      <c r="H767" s="2">
        <v>0.76210648148148152</v>
      </c>
      <c r="I767" t="s">
        <v>9</v>
      </c>
      <c r="J767" t="s">
        <v>20</v>
      </c>
      <c r="K767">
        <v>3</v>
      </c>
      <c r="L767">
        <v>25</v>
      </c>
      <c r="M767">
        <v>75</v>
      </c>
      <c r="N767">
        <f>IF(COUNTIFS($B$2:B767,B767)=1,1,0)</f>
        <v>0</v>
      </c>
    </row>
    <row r="768" spans="1:14" x14ac:dyDescent="0.2">
      <c r="A768">
        <v>767</v>
      </c>
      <c r="B768">
        <v>1390</v>
      </c>
      <c r="C768">
        <f>1/COUNTIF(B:B,Table1[[#This Row],[order_id]])</f>
        <v>1</v>
      </c>
      <c r="D768" t="str">
        <f>TEXT(Table1[[#This Row],[order_date]],"mmmm")</f>
        <v>March</v>
      </c>
      <c r="E768" s="1">
        <v>45354</v>
      </c>
      <c r="F768" s="1" t="str">
        <f>TEXT(Table1[[#This Row],[order_date]],"dddd")</f>
        <v>Sunday</v>
      </c>
      <c r="G768">
        <f>HOUR(Table1[[#This Row],[order_time]])</f>
        <v>15</v>
      </c>
      <c r="H768" s="2">
        <v>0.64938657407407407</v>
      </c>
      <c r="I768" t="s">
        <v>11</v>
      </c>
      <c r="J768" t="s">
        <v>12</v>
      </c>
      <c r="K768">
        <v>5</v>
      </c>
      <c r="L768">
        <v>650</v>
      </c>
      <c r="M768">
        <v>3250</v>
      </c>
      <c r="N768">
        <f>IF(COUNTIFS($B$2:B768,B768)=1,1,0)</f>
        <v>1</v>
      </c>
    </row>
    <row r="769" spans="1:14" x14ac:dyDescent="0.2">
      <c r="A769">
        <v>768</v>
      </c>
      <c r="B769">
        <v>1391</v>
      </c>
      <c r="C769">
        <f>1/COUNTIF(B:B,Table1[[#This Row],[order_id]])</f>
        <v>0.33333333333333331</v>
      </c>
      <c r="D769" t="str">
        <f>TEXT(Table1[[#This Row],[order_date]],"mmmm")</f>
        <v>March</v>
      </c>
      <c r="E769" s="1">
        <v>45355</v>
      </c>
      <c r="F769" s="1" t="str">
        <f>TEXT(Table1[[#This Row],[order_date]],"dddd")</f>
        <v>Monday</v>
      </c>
      <c r="G769">
        <f>HOUR(Table1[[#This Row],[order_time]])</f>
        <v>16</v>
      </c>
      <c r="H769" s="2">
        <v>0.68033564814814818</v>
      </c>
      <c r="I769" t="s">
        <v>9</v>
      </c>
      <c r="J769" t="s">
        <v>10</v>
      </c>
      <c r="K769">
        <v>4</v>
      </c>
      <c r="L769">
        <v>20</v>
      </c>
      <c r="M769">
        <v>80</v>
      </c>
      <c r="N769">
        <f>IF(COUNTIFS($B$2:B769,B769)=1,1,0)</f>
        <v>1</v>
      </c>
    </row>
    <row r="770" spans="1:14" x14ac:dyDescent="0.2">
      <c r="A770">
        <v>769</v>
      </c>
      <c r="B770">
        <v>1391</v>
      </c>
      <c r="C770">
        <f>1/COUNTIF(B:B,Table1[[#This Row],[order_id]])</f>
        <v>0.33333333333333331</v>
      </c>
      <c r="D770" t="str">
        <f>TEXT(Table1[[#This Row],[order_date]],"mmmm")</f>
        <v>March</v>
      </c>
      <c r="E770" s="1">
        <v>45355</v>
      </c>
      <c r="F770" s="1" t="str">
        <f>TEXT(Table1[[#This Row],[order_date]],"dddd")</f>
        <v>Monday</v>
      </c>
      <c r="G770">
        <f>HOUR(Table1[[#This Row],[order_time]])</f>
        <v>13</v>
      </c>
      <c r="H770" s="2">
        <v>0.56673611111111111</v>
      </c>
      <c r="I770" t="s">
        <v>9</v>
      </c>
      <c r="J770" t="s">
        <v>20</v>
      </c>
      <c r="K770">
        <v>5</v>
      </c>
      <c r="L770">
        <v>25</v>
      </c>
      <c r="M770">
        <v>125</v>
      </c>
      <c r="N770">
        <f>IF(COUNTIFS($B$2:B770,B770)=1,1,0)</f>
        <v>0</v>
      </c>
    </row>
    <row r="771" spans="1:14" x14ac:dyDescent="0.2">
      <c r="A771">
        <v>770</v>
      </c>
      <c r="B771">
        <v>1391</v>
      </c>
      <c r="C771">
        <f>1/COUNTIF(B:B,Table1[[#This Row],[order_id]])</f>
        <v>0.33333333333333331</v>
      </c>
      <c r="D771" t="str">
        <f>TEXT(Table1[[#This Row],[order_date]],"mmmm")</f>
        <v>March</v>
      </c>
      <c r="E771" s="1">
        <v>45355</v>
      </c>
      <c r="F771" s="1" t="str">
        <f>TEXT(Table1[[#This Row],[order_date]],"dddd")</f>
        <v>Monday</v>
      </c>
      <c r="G771">
        <f>HOUR(Table1[[#This Row],[order_time]])</f>
        <v>9</v>
      </c>
      <c r="H771" s="2">
        <v>0.40469907407407407</v>
      </c>
      <c r="I771" t="s">
        <v>16</v>
      </c>
      <c r="J771" t="s">
        <v>23</v>
      </c>
      <c r="K771">
        <v>4</v>
      </c>
      <c r="L771">
        <v>30</v>
      </c>
      <c r="M771">
        <v>120</v>
      </c>
      <c r="N771">
        <f>IF(COUNTIFS($B$2:B771,B771)=1,1,0)</f>
        <v>0</v>
      </c>
    </row>
    <row r="772" spans="1:14" x14ac:dyDescent="0.2">
      <c r="A772">
        <v>771</v>
      </c>
      <c r="B772">
        <v>1392</v>
      </c>
      <c r="C772">
        <f>1/COUNTIF(B:B,Table1[[#This Row],[order_id]])</f>
        <v>0.33333333333333331</v>
      </c>
      <c r="D772" t="str">
        <f>TEXT(Table1[[#This Row],[order_date]],"mmmm")</f>
        <v>March</v>
      </c>
      <c r="E772" s="1">
        <v>45355</v>
      </c>
      <c r="F772" s="1" t="str">
        <f>TEXT(Table1[[#This Row],[order_date]],"dddd")</f>
        <v>Monday</v>
      </c>
      <c r="G772">
        <f>HOUR(Table1[[#This Row],[order_time]])</f>
        <v>16</v>
      </c>
      <c r="H772" s="2">
        <v>0.70420138888888884</v>
      </c>
      <c r="I772" t="s">
        <v>9</v>
      </c>
      <c r="J772" t="s">
        <v>22</v>
      </c>
      <c r="K772">
        <v>3</v>
      </c>
      <c r="L772">
        <v>15</v>
      </c>
      <c r="M772">
        <v>45</v>
      </c>
      <c r="N772">
        <f>IF(COUNTIFS($B$2:B772,B772)=1,1,0)</f>
        <v>1</v>
      </c>
    </row>
    <row r="773" spans="1:14" x14ac:dyDescent="0.2">
      <c r="A773">
        <v>772</v>
      </c>
      <c r="B773">
        <v>1392</v>
      </c>
      <c r="C773">
        <f>1/COUNTIF(B:B,Table1[[#This Row],[order_id]])</f>
        <v>0.33333333333333331</v>
      </c>
      <c r="D773" t="str">
        <f>TEXT(Table1[[#This Row],[order_date]],"mmmm")</f>
        <v>March</v>
      </c>
      <c r="E773" s="1">
        <v>45355</v>
      </c>
      <c r="F773" s="1" t="str">
        <f>TEXT(Table1[[#This Row],[order_date]],"dddd")</f>
        <v>Monday</v>
      </c>
      <c r="G773">
        <f>HOUR(Table1[[#This Row],[order_time]])</f>
        <v>20</v>
      </c>
      <c r="H773" s="2">
        <v>0.86079861111111111</v>
      </c>
      <c r="I773" t="s">
        <v>16</v>
      </c>
      <c r="J773" t="s">
        <v>23</v>
      </c>
      <c r="K773">
        <v>2</v>
      </c>
      <c r="L773">
        <v>30</v>
      </c>
      <c r="M773">
        <v>60</v>
      </c>
      <c r="N773">
        <f>IF(COUNTIFS($B$2:B773,B773)=1,1,0)</f>
        <v>0</v>
      </c>
    </row>
    <row r="774" spans="1:14" x14ac:dyDescent="0.2">
      <c r="A774">
        <v>773</v>
      </c>
      <c r="B774">
        <v>1392</v>
      </c>
      <c r="C774">
        <f>1/COUNTIF(B:B,Table1[[#This Row],[order_id]])</f>
        <v>0.33333333333333331</v>
      </c>
      <c r="D774" t="str">
        <f>TEXT(Table1[[#This Row],[order_date]],"mmmm")</f>
        <v>March</v>
      </c>
      <c r="E774" s="1">
        <v>45355</v>
      </c>
      <c r="F774" s="1" t="str">
        <f>TEXT(Table1[[#This Row],[order_date]],"dddd")</f>
        <v>Monday</v>
      </c>
      <c r="G774">
        <f>HOUR(Table1[[#This Row],[order_time]])</f>
        <v>17</v>
      </c>
      <c r="H774" s="2">
        <v>0.73468750000000005</v>
      </c>
      <c r="I774" t="s">
        <v>18</v>
      </c>
      <c r="J774" t="s">
        <v>19</v>
      </c>
      <c r="K774">
        <v>3</v>
      </c>
      <c r="L774">
        <v>50</v>
      </c>
      <c r="M774">
        <v>150</v>
      </c>
      <c r="N774">
        <f>IF(COUNTIFS($B$2:B774,B774)=1,1,0)</f>
        <v>0</v>
      </c>
    </row>
    <row r="775" spans="1:14" x14ac:dyDescent="0.2">
      <c r="A775">
        <v>774</v>
      </c>
      <c r="B775">
        <v>1393</v>
      </c>
      <c r="C775">
        <f>1/COUNTIF(B:B,Table1[[#This Row],[order_id]])</f>
        <v>0.33333333333333331</v>
      </c>
      <c r="D775" t="str">
        <f>TEXT(Table1[[#This Row],[order_date]],"mmmm")</f>
        <v>March</v>
      </c>
      <c r="E775" s="1">
        <v>45355</v>
      </c>
      <c r="F775" s="1" t="str">
        <f>TEXT(Table1[[#This Row],[order_date]],"dddd")</f>
        <v>Monday</v>
      </c>
      <c r="G775">
        <f>HOUR(Table1[[#This Row],[order_time]])</f>
        <v>16</v>
      </c>
      <c r="H775" s="2">
        <v>0.66905092592592597</v>
      </c>
      <c r="I775" t="s">
        <v>16</v>
      </c>
      <c r="J775" t="s">
        <v>23</v>
      </c>
      <c r="K775">
        <v>3</v>
      </c>
      <c r="L775">
        <v>30</v>
      </c>
      <c r="M775">
        <v>90</v>
      </c>
      <c r="N775">
        <f>IF(COUNTIFS($B$2:B775,B775)=1,1,0)</f>
        <v>1</v>
      </c>
    </row>
    <row r="776" spans="1:14" x14ac:dyDescent="0.2">
      <c r="A776">
        <v>775</v>
      </c>
      <c r="B776">
        <v>1393</v>
      </c>
      <c r="C776">
        <f>1/COUNTIF(B:B,Table1[[#This Row],[order_id]])</f>
        <v>0.33333333333333331</v>
      </c>
      <c r="D776" t="str">
        <f>TEXT(Table1[[#This Row],[order_date]],"mmmm")</f>
        <v>March</v>
      </c>
      <c r="E776" s="1">
        <v>45355</v>
      </c>
      <c r="F776" s="1" t="str">
        <f>TEXT(Table1[[#This Row],[order_date]],"dddd")</f>
        <v>Monday</v>
      </c>
      <c r="G776">
        <f>HOUR(Table1[[#This Row],[order_time]])</f>
        <v>15</v>
      </c>
      <c r="H776" s="2">
        <v>0.66135416666666669</v>
      </c>
      <c r="I776" t="s">
        <v>16</v>
      </c>
      <c r="J776" t="s">
        <v>17</v>
      </c>
      <c r="K776">
        <v>5</v>
      </c>
      <c r="L776">
        <v>20</v>
      </c>
      <c r="M776">
        <v>100</v>
      </c>
      <c r="N776">
        <f>IF(COUNTIFS($B$2:B776,B776)=1,1,0)</f>
        <v>0</v>
      </c>
    </row>
    <row r="777" spans="1:14" x14ac:dyDescent="0.2">
      <c r="A777">
        <v>776</v>
      </c>
      <c r="B777">
        <v>1393</v>
      </c>
      <c r="C777">
        <f>1/COUNTIF(B:B,Table1[[#This Row],[order_id]])</f>
        <v>0.33333333333333331</v>
      </c>
      <c r="D777" t="str">
        <f>TEXT(Table1[[#This Row],[order_date]],"mmmm")</f>
        <v>March</v>
      </c>
      <c r="E777" s="1">
        <v>45355</v>
      </c>
      <c r="F777" s="1" t="str">
        <f>TEXT(Table1[[#This Row],[order_date]],"dddd")</f>
        <v>Monday</v>
      </c>
      <c r="G777">
        <f>HOUR(Table1[[#This Row],[order_time]])</f>
        <v>11</v>
      </c>
      <c r="H777" s="2">
        <v>0.4952199074074074</v>
      </c>
      <c r="I777" t="s">
        <v>9</v>
      </c>
      <c r="J777" t="s">
        <v>29</v>
      </c>
      <c r="K777">
        <v>1</v>
      </c>
      <c r="L777">
        <v>5</v>
      </c>
      <c r="M777">
        <v>5</v>
      </c>
      <c r="N777">
        <f>IF(COUNTIFS($B$2:B777,B777)=1,1,0)</f>
        <v>0</v>
      </c>
    </row>
    <row r="778" spans="1:14" x14ac:dyDescent="0.2">
      <c r="A778">
        <v>777</v>
      </c>
      <c r="B778">
        <v>1394</v>
      </c>
      <c r="C778">
        <f>1/COUNTIF(B:B,Table1[[#This Row],[order_id]])</f>
        <v>0.33333333333333331</v>
      </c>
      <c r="D778" t="str">
        <f>TEXT(Table1[[#This Row],[order_date]],"mmmm")</f>
        <v>March</v>
      </c>
      <c r="E778" s="1">
        <v>45355</v>
      </c>
      <c r="F778" s="1" t="str">
        <f>TEXT(Table1[[#This Row],[order_date]],"dddd")</f>
        <v>Monday</v>
      </c>
      <c r="G778">
        <f>HOUR(Table1[[#This Row],[order_time]])</f>
        <v>13</v>
      </c>
      <c r="H778" s="2">
        <v>0.57686342592592588</v>
      </c>
      <c r="I778" t="s">
        <v>16</v>
      </c>
      <c r="J778" t="s">
        <v>24</v>
      </c>
      <c r="K778">
        <v>4</v>
      </c>
      <c r="L778">
        <v>35</v>
      </c>
      <c r="M778">
        <v>140</v>
      </c>
      <c r="N778">
        <f>IF(COUNTIFS($B$2:B778,B778)=1,1,0)</f>
        <v>1</v>
      </c>
    </row>
    <row r="779" spans="1:14" x14ac:dyDescent="0.2">
      <c r="A779">
        <v>778</v>
      </c>
      <c r="B779">
        <v>1394</v>
      </c>
      <c r="C779">
        <f>1/COUNTIF(B:B,Table1[[#This Row],[order_id]])</f>
        <v>0.33333333333333331</v>
      </c>
      <c r="D779" t="str">
        <f>TEXT(Table1[[#This Row],[order_date]],"mmmm")</f>
        <v>March</v>
      </c>
      <c r="E779" s="1">
        <v>45355</v>
      </c>
      <c r="F779" s="1" t="str">
        <f>TEXT(Table1[[#This Row],[order_date]],"dddd")</f>
        <v>Monday</v>
      </c>
      <c r="G779">
        <f>HOUR(Table1[[#This Row],[order_time]])</f>
        <v>20</v>
      </c>
      <c r="H779" s="2">
        <v>0.85793981481481485</v>
      </c>
      <c r="I779" t="s">
        <v>16</v>
      </c>
      <c r="J779" t="s">
        <v>23</v>
      </c>
      <c r="K779">
        <v>3</v>
      </c>
      <c r="L779">
        <v>30</v>
      </c>
      <c r="M779">
        <v>90</v>
      </c>
      <c r="N779">
        <f>IF(COUNTIFS($B$2:B779,B779)=1,1,0)</f>
        <v>0</v>
      </c>
    </row>
    <row r="780" spans="1:14" x14ac:dyDescent="0.2">
      <c r="A780">
        <v>779</v>
      </c>
      <c r="B780">
        <v>1394</v>
      </c>
      <c r="C780">
        <f>1/COUNTIF(B:B,Table1[[#This Row],[order_id]])</f>
        <v>0.33333333333333331</v>
      </c>
      <c r="D780" t="str">
        <f>TEXT(Table1[[#This Row],[order_date]],"mmmm")</f>
        <v>March</v>
      </c>
      <c r="E780" s="1">
        <v>45355</v>
      </c>
      <c r="F780" s="1" t="str">
        <f>TEXT(Table1[[#This Row],[order_date]],"dddd")</f>
        <v>Monday</v>
      </c>
      <c r="G780">
        <f>HOUR(Table1[[#This Row],[order_time]])</f>
        <v>14</v>
      </c>
      <c r="H780" s="2">
        <v>0.60074074074074069</v>
      </c>
      <c r="I780" t="s">
        <v>9</v>
      </c>
      <c r="J780" t="s">
        <v>29</v>
      </c>
      <c r="K780">
        <v>4</v>
      </c>
      <c r="L780">
        <v>5</v>
      </c>
      <c r="M780">
        <v>20</v>
      </c>
      <c r="N780">
        <f>IF(COUNTIFS($B$2:B780,B780)=1,1,0)</f>
        <v>0</v>
      </c>
    </row>
    <row r="781" spans="1:14" x14ac:dyDescent="0.2">
      <c r="A781">
        <v>780</v>
      </c>
      <c r="B781">
        <v>1395</v>
      </c>
      <c r="C781">
        <f>1/COUNTIF(B:B,Table1[[#This Row],[order_id]])</f>
        <v>1</v>
      </c>
      <c r="D781" t="str">
        <f>TEXT(Table1[[#This Row],[order_date]],"mmmm")</f>
        <v>March</v>
      </c>
      <c r="E781" s="1">
        <v>45355</v>
      </c>
      <c r="F781" s="1" t="str">
        <f>TEXT(Table1[[#This Row],[order_date]],"dddd")</f>
        <v>Monday</v>
      </c>
      <c r="G781">
        <f>HOUR(Table1[[#This Row],[order_time]])</f>
        <v>11</v>
      </c>
      <c r="H781" s="2">
        <v>0.47321759259259261</v>
      </c>
      <c r="I781" t="s">
        <v>11</v>
      </c>
      <c r="J781" t="s">
        <v>13</v>
      </c>
      <c r="K781">
        <v>4</v>
      </c>
      <c r="L781">
        <v>680</v>
      </c>
      <c r="M781">
        <v>2720</v>
      </c>
      <c r="N781">
        <f>IF(COUNTIFS($B$2:B781,B781)=1,1,0)</f>
        <v>1</v>
      </c>
    </row>
    <row r="782" spans="1:14" x14ac:dyDescent="0.2">
      <c r="A782">
        <v>781</v>
      </c>
      <c r="B782">
        <v>1396</v>
      </c>
      <c r="C782">
        <f>1/COUNTIF(B:B,Table1[[#This Row],[order_id]])</f>
        <v>0.33333333333333331</v>
      </c>
      <c r="D782" t="str">
        <f>TEXT(Table1[[#This Row],[order_date]],"mmmm")</f>
        <v>March</v>
      </c>
      <c r="E782" s="1">
        <v>45355</v>
      </c>
      <c r="F782" s="1" t="str">
        <f>TEXT(Table1[[#This Row],[order_date]],"dddd")</f>
        <v>Monday</v>
      </c>
      <c r="G782">
        <f>HOUR(Table1[[#This Row],[order_time]])</f>
        <v>14</v>
      </c>
      <c r="H782" s="2">
        <v>0.58642361111111108</v>
      </c>
      <c r="I782" t="s">
        <v>11</v>
      </c>
      <c r="J782" t="s">
        <v>15</v>
      </c>
      <c r="K782">
        <v>2</v>
      </c>
      <c r="L782">
        <v>600</v>
      </c>
      <c r="M782">
        <v>1200</v>
      </c>
      <c r="N782">
        <f>IF(COUNTIFS($B$2:B782,B782)=1,1,0)</f>
        <v>1</v>
      </c>
    </row>
    <row r="783" spans="1:14" x14ac:dyDescent="0.2">
      <c r="A783">
        <v>782</v>
      </c>
      <c r="B783">
        <v>1396</v>
      </c>
      <c r="C783">
        <f>1/COUNTIF(B:B,Table1[[#This Row],[order_id]])</f>
        <v>0.33333333333333331</v>
      </c>
      <c r="D783" t="str">
        <f>TEXT(Table1[[#This Row],[order_date]],"mmmm")</f>
        <v>March</v>
      </c>
      <c r="E783" s="1">
        <v>45355</v>
      </c>
      <c r="F783" s="1" t="str">
        <f>TEXT(Table1[[#This Row],[order_date]],"dddd")</f>
        <v>Monday</v>
      </c>
      <c r="G783">
        <f>HOUR(Table1[[#This Row],[order_time]])</f>
        <v>11</v>
      </c>
      <c r="H783" s="2">
        <v>0.47567129629629629</v>
      </c>
      <c r="I783" t="s">
        <v>18</v>
      </c>
      <c r="J783" t="s">
        <v>31</v>
      </c>
      <c r="K783">
        <v>1</v>
      </c>
      <c r="L783">
        <v>45</v>
      </c>
      <c r="M783">
        <v>45</v>
      </c>
      <c r="N783">
        <f>IF(COUNTIFS($B$2:B783,B783)=1,1,0)</f>
        <v>0</v>
      </c>
    </row>
    <row r="784" spans="1:14" x14ac:dyDescent="0.2">
      <c r="A784">
        <v>783</v>
      </c>
      <c r="B784">
        <v>1396</v>
      </c>
      <c r="C784">
        <f>1/COUNTIF(B:B,Table1[[#This Row],[order_id]])</f>
        <v>0.33333333333333331</v>
      </c>
      <c r="D784" t="str">
        <f>TEXT(Table1[[#This Row],[order_date]],"mmmm")</f>
        <v>March</v>
      </c>
      <c r="E784" s="1">
        <v>45355</v>
      </c>
      <c r="F784" s="1" t="str">
        <f>TEXT(Table1[[#This Row],[order_date]],"dddd")</f>
        <v>Monday</v>
      </c>
      <c r="G784">
        <f>HOUR(Table1[[#This Row],[order_time]])</f>
        <v>11</v>
      </c>
      <c r="H784" s="2">
        <v>0.49482638888888891</v>
      </c>
      <c r="I784" t="s">
        <v>9</v>
      </c>
      <c r="J784" t="s">
        <v>10</v>
      </c>
      <c r="K784">
        <v>2</v>
      </c>
      <c r="L784">
        <v>20</v>
      </c>
      <c r="M784">
        <v>40</v>
      </c>
      <c r="N784">
        <f>IF(COUNTIFS($B$2:B784,B784)=1,1,0)</f>
        <v>0</v>
      </c>
    </row>
    <row r="785" spans="1:14" x14ac:dyDescent="0.2">
      <c r="A785">
        <v>784</v>
      </c>
      <c r="B785">
        <v>1397</v>
      </c>
      <c r="C785">
        <f>1/COUNTIF(B:B,Table1[[#This Row],[order_id]])</f>
        <v>0.33333333333333331</v>
      </c>
      <c r="D785" t="str">
        <f>TEXT(Table1[[#This Row],[order_date]],"mmmm")</f>
        <v>March</v>
      </c>
      <c r="E785" s="1">
        <v>45355</v>
      </c>
      <c r="F785" s="1" t="str">
        <f>TEXT(Table1[[#This Row],[order_date]],"dddd")</f>
        <v>Monday</v>
      </c>
      <c r="G785">
        <f>HOUR(Table1[[#This Row],[order_time]])</f>
        <v>15</v>
      </c>
      <c r="H785" s="2">
        <v>0.65105324074074078</v>
      </c>
      <c r="I785" t="s">
        <v>11</v>
      </c>
      <c r="J785" t="s">
        <v>13</v>
      </c>
      <c r="K785">
        <v>3</v>
      </c>
      <c r="L785">
        <v>680</v>
      </c>
      <c r="M785">
        <v>2040</v>
      </c>
      <c r="N785">
        <f>IF(COUNTIFS($B$2:B785,B785)=1,1,0)</f>
        <v>1</v>
      </c>
    </row>
    <row r="786" spans="1:14" x14ac:dyDescent="0.2">
      <c r="A786">
        <v>785</v>
      </c>
      <c r="B786">
        <v>1397</v>
      </c>
      <c r="C786">
        <f>1/COUNTIF(B:B,Table1[[#This Row],[order_id]])</f>
        <v>0.33333333333333331</v>
      </c>
      <c r="D786" t="str">
        <f>TEXT(Table1[[#This Row],[order_date]],"mmmm")</f>
        <v>March</v>
      </c>
      <c r="E786" s="1">
        <v>45355</v>
      </c>
      <c r="F786" s="1" t="str">
        <f>TEXT(Table1[[#This Row],[order_date]],"dddd")</f>
        <v>Monday</v>
      </c>
      <c r="G786">
        <f>HOUR(Table1[[#This Row],[order_time]])</f>
        <v>15</v>
      </c>
      <c r="H786" s="2">
        <v>0.64796296296296296</v>
      </c>
      <c r="I786" t="s">
        <v>11</v>
      </c>
      <c r="J786" t="s">
        <v>15</v>
      </c>
      <c r="K786">
        <v>2</v>
      </c>
      <c r="L786">
        <v>600</v>
      </c>
      <c r="M786">
        <v>1200</v>
      </c>
      <c r="N786">
        <f>IF(COUNTIFS($B$2:B786,B786)=1,1,0)</f>
        <v>0</v>
      </c>
    </row>
    <row r="787" spans="1:14" x14ac:dyDescent="0.2">
      <c r="A787">
        <v>786</v>
      </c>
      <c r="B787">
        <v>1397</v>
      </c>
      <c r="C787">
        <f>1/COUNTIF(B:B,Table1[[#This Row],[order_id]])</f>
        <v>0.33333333333333331</v>
      </c>
      <c r="D787" t="str">
        <f>TEXT(Table1[[#This Row],[order_date]],"mmmm")</f>
        <v>March</v>
      </c>
      <c r="E787" s="1">
        <v>45355</v>
      </c>
      <c r="F787" s="1" t="str">
        <f>TEXT(Table1[[#This Row],[order_date]],"dddd")</f>
        <v>Monday</v>
      </c>
      <c r="G787">
        <f>HOUR(Table1[[#This Row],[order_time]])</f>
        <v>19</v>
      </c>
      <c r="H787" s="2">
        <v>0.80366898148148147</v>
      </c>
      <c r="I787" t="s">
        <v>11</v>
      </c>
      <c r="J787" t="s">
        <v>25</v>
      </c>
      <c r="K787">
        <v>1</v>
      </c>
      <c r="L787">
        <v>1000</v>
      </c>
      <c r="M787">
        <v>1000</v>
      </c>
      <c r="N787">
        <f>IF(COUNTIFS($B$2:B787,B787)=1,1,0)</f>
        <v>0</v>
      </c>
    </row>
    <row r="788" spans="1:14" x14ac:dyDescent="0.2">
      <c r="A788">
        <v>787</v>
      </c>
      <c r="B788">
        <v>1398</v>
      </c>
      <c r="C788">
        <f>1/COUNTIF(B:B,Table1[[#This Row],[order_id]])</f>
        <v>0.33333333333333331</v>
      </c>
      <c r="D788" t="str">
        <f>TEXT(Table1[[#This Row],[order_date]],"mmmm")</f>
        <v>March</v>
      </c>
      <c r="E788" s="1">
        <v>45355</v>
      </c>
      <c r="F788" s="1" t="str">
        <f>TEXT(Table1[[#This Row],[order_date]],"dddd")</f>
        <v>Monday</v>
      </c>
      <c r="G788">
        <f>HOUR(Table1[[#This Row],[order_time]])</f>
        <v>19</v>
      </c>
      <c r="H788" s="2">
        <v>0.8159953703703704</v>
      </c>
      <c r="I788" t="s">
        <v>16</v>
      </c>
      <c r="J788" t="s">
        <v>28</v>
      </c>
      <c r="K788">
        <v>3</v>
      </c>
      <c r="L788">
        <v>25</v>
      </c>
      <c r="M788">
        <v>75</v>
      </c>
      <c r="N788">
        <f>IF(COUNTIFS($B$2:B788,B788)=1,1,0)</f>
        <v>1</v>
      </c>
    </row>
    <row r="789" spans="1:14" x14ac:dyDescent="0.2">
      <c r="A789">
        <v>788</v>
      </c>
      <c r="B789">
        <v>1398</v>
      </c>
      <c r="C789">
        <f>1/COUNTIF(B:B,Table1[[#This Row],[order_id]])</f>
        <v>0.33333333333333331</v>
      </c>
      <c r="D789" t="str">
        <f>TEXT(Table1[[#This Row],[order_date]],"mmmm")</f>
        <v>March</v>
      </c>
      <c r="E789" s="1">
        <v>45355</v>
      </c>
      <c r="F789" s="1" t="str">
        <f>TEXT(Table1[[#This Row],[order_date]],"dddd")</f>
        <v>Monday</v>
      </c>
      <c r="G789">
        <f>HOUR(Table1[[#This Row],[order_time]])</f>
        <v>11</v>
      </c>
      <c r="H789" s="2">
        <v>0.48547453703703702</v>
      </c>
      <c r="I789" t="s">
        <v>9</v>
      </c>
      <c r="J789" t="s">
        <v>22</v>
      </c>
      <c r="K789">
        <v>4</v>
      </c>
      <c r="L789">
        <v>15</v>
      </c>
      <c r="M789">
        <v>60</v>
      </c>
      <c r="N789">
        <f>IF(COUNTIFS($B$2:B789,B789)=1,1,0)</f>
        <v>0</v>
      </c>
    </row>
    <row r="790" spans="1:14" x14ac:dyDescent="0.2">
      <c r="A790">
        <v>789</v>
      </c>
      <c r="B790">
        <v>1398</v>
      </c>
      <c r="C790">
        <f>1/COUNTIF(B:B,Table1[[#This Row],[order_id]])</f>
        <v>0.33333333333333331</v>
      </c>
      <c r="D790" t="str">
        <f>TEXT(Table1[[#This Row],[order_date]],"mmmm")</f>
        <v>March</v>
      </c>
      <c r="E790" s="1">
        <v>45355</v>
      </c>
      <c r="F790" s="1" t="str">
        <f>TEXT(Table1[[#This Row],[order_date]],"dddd")</f>
        <v>Monday</v>
      </c>
      <c r="G790">
        <f>HOUR(Table1[[#This Row],[order_time]])</f>
        <v>10</v>
      </c>
      <c r="H790" s="2">
        <v>0.42092592592592593</v>
      </c>
      <c r="I790" t="s">
        <v>16</v>
      </c>
      <c r="J790" t="s">
        <v>23</v>
      </c>
      <c r="K790">
        <v>3</v>
      </c>
      <c r="L790">
        <v>30</v>
      </c>
      <c r="M790">
        <v>90</v>
      </c>
      <c r="N790">
        <f>IF(COUNTIFS($B$2:B790,B790)=1,1,0)</f>
        <v>0</v>
      </c>
    </row>
    <row r="791" spans="1:14" x14ac:dyDescent="0.2">
      <c r="A791">
        <v>790</v>
      </c>
      <c r="B791">
        <v>1399</v>
      </c>
      <c r="C791">
        <f>1/COUNTIF(B:B,Table1[[#This Row],[order_id]])</f>
        <v>1</v>
      </c>
      <c r="D791" t="str">
        <f>TEXT(Table1[[#This Row],[order_date]],"mmmm")</f>
        <v>March</v>
      </c>
      <c r="E791" s="1">
        <v>45356</v>
      </c>
      <c r="F791" s="1" t="str">
        <f>TEXT(Table1[[#This Row],[order_date]],"dddd")</f>
        <v>Tuesday</v>
      </c>
      <c r="G791">
        <f>HOUR(Table1[[#This Row],[order_time]])</f>
        <v>17</v>
      </c>
      <c r="H791" s="2">
        <v>0.74983796296296301</v>
      </c>
      <c r="I791" t="s">
        <v>9</v>
      </c>
      <c r="J791" t="s">
        <v>10</v>
      </c>
      <c r="K791">
        <v>5</v>
      </c>
      <c r="L791">
        <v>20</v>
      </c>
      <c r="M791">
        <v>100</v>
      </c>
      <c r="N791">
        <f>IF(COUNTIFS($B$2:B791,B791)=1,1,0)</f>
        <v>1</v>
      </c>
    </row>
    <row r="792" spans="1:14" x14ac:dyDescent="0.2">
      <c r="A792">
        <v>791</v>
      </c>
      <c r="B792">
        <v>1400</v>
      </c>
      <c r="C792">
        <f>1/COUNTIF(B:B,Table1[[#This Row],[order_id]])</f>
        <v>0.33333333333333331</v>
      </c>
      <c r="D792" t="str">
        <f>TEXT(Table1[[#This Row],[order_date]],"mmmm")</f>
        <v>March</v>
      </c>
      <c r="E792" s="1">
        <v>45356</v>
      </c>
      <c r="F792" s="1" t="str">
        <f>TEXT(Table1[[#This Row],[order_date]],"dddd")</f>
        <v>Tuesday</v>
      </c>
      <c r="G792">
        <f>HOUR(Table1[[#This Row],[order_time]])</f>
        <v>12</v>
      </c>
      <c r="H792" s="2">
        <v>0.51782407407407405</v>
      </c>
      <c r="I792" t="s">
        <v>11</v>
      </c>
      <c r="J792" t="s">
        <v>15</v>
      </c>
      <c r="K792">
        <v>5</v>
      </c>
      <c r="L792">
        <v>600</v>
      </c>
      <c r="M792">
        <v>3000</v>
      </c>
      <c r="N792">
        <f>IF(COUNTIFS($B$2:B792,B792)=1,1,0)</f>
        <v>1</v>
      </c>
    </row>
    <row r="793" spans="1:14" x14ac:dyDescent="0.2">
      <c r="A793">
        <v>792</v>
      </c>
      <c r="B793">
        <v>1400</v>
      </c>
      <c r="C793">
        <f>1/COUNTIF(B:B,Table1[[#This Row],[order_id]])</f>
        <v>0.33333333333333331</v>
      </c>
      <c r="D793" t="str">
        <f>TEXT(Table1[[#This Row],[order_date]],"mmmm")</f>
        <v>March</v>
      </c>
      <c r="E793" s="1">
        <v>45356</v>
      </c>
      <c r="F793" s="1" t="str">
        <f>TEXT(Table1[[#This Row],[order_date]],"dddd")</f>
        <v>Tuesday</v>
      </c>
      <c r="G793">
        <f>HOUR(Table1[[#This Row],[order_time]])</f>
        <v>10</v>
      </c>
      <c r="H793" s="2">
        <v>0.4508564814814815</v>
      </c>
      <c r="I793" t="s">
        <v>18</v>
      </c>
      <c r="J793" t="s">
        <v>27</v>
      </c>
      <c r="K793">
        <v>2</v>
      </c>
      <c r="L793">
        <v>40</v>
      </c>
      <c r="M793">
        <v>80</v>
      </c>
      <c r="N793">
        <f>IF(COUNTIFS($B$2:B793,B793)=1,1,0)</f>
        <v>0</v>
      </c>
    </row>
    <row r="794" spans="1:14" x14ac:dyDescent="0.2">
      <c r="A794">
        <v>793</v>
      </c>
      <c r="B794">
        <v>1400</v>
      </c>
      <c r="C794">
        <f>1/COUNTIF(B:B,Table1[[#This Row],[order_id]])</f>
        <v>0.33333333333333331</v>
      </c>
      <c r="D794" t="str">
        <f>TEXT(Table1[[#This Row],[order_date]],"mmmm")</f>
        <v>March</v>
      </c>
      <c r="E794" s="1">
        <v>45356</v>
      </c>
      <c r="F794" s="1" t="str">
        <f>TEXT(Table1[[#This Row],[order_date]],"dddd")</f>
        <v>Tuesday</v>
      </c>
      <c r="G794">
        <f>HOUR(Table1[[#This Row],[order_time]])</f>
        <v>15</v>
      </c>
      <c r="H794" s="2">
        <v>0.62603009259259257</v>
      </c>
      <c r="I794" t="s">
        <v>11</v>
      </c>
      <c r="J794" t="s">
        <v>25</v>
      </c>
      <c r="K794">
        <v>3</v>
      </c>
      <c r="L794">
        <v>1000</v>
      </c>
      <c r="M794">
        <v>3000</v>
      </c>
      <c r="N794">
        <f>IF(COUNTIFS($B$2:B794,B794)=1,1,0)</f>
        <v>0</v>
      </c>
    </row>
    <row r="795" spans="1:14" x14ac:dyDescent="0.2">
      <c r="A795">
        <v>794</v>
      </c>
      <c r="B795">
        <v>1401</v>
      </c>
      <c r="C795">
        <f>1/COUNTIF(B:B,Table1[[#This Row],[order_id]])</f>
        <v>0.33333333333333331</v>
      </c>
      <c r="D795" t="str">
        <f>TEXT(Table1[[#This Row],[order_date]],"mmmm")</f>
        <v>March</v>
      </c>
      <c r="E795" s="1">
        <v>45356</v>
      </c>
      <c r="F795" s="1" t="str">
        <f>TEXT(Table1[[#This Row],[order_date]],"dddd")</f>
        <v>Tuesday</v>
      </c>
      <c r="G795">
        <f>HOUR(Table1[[#This Row],[order_time]])</f>
        <v>18</v>
      </c>
      <c r="H795" s="2">
        <v>0.76524305555555561</v>
      </c>
      <c r="I795" t="s">
        <v>9</v>
      </c>
      <c r="J795" t="s">
        <v>21</v>
      </c>
      <c r="K795">
        <v>2</v>
      </c>
      <c r="L795">
        <v>10</v>
      </c>
      <c r="M795">
        <v>20</v>
      </c>
      <c r="N795">
        <f>IF(COUNTIFS($B$2:B795,B795)=1,1,0)</f>
        <v>1</v>
      </c>
    </row>
    <row r="796" spans="1:14" x14ac:dyDescent="0.2">
      <c r="A796">
        <v>795</v>
      </c>
      <c r="B796">
        <v>1401</v>
      </c>
      <c r="C796">
        <f>1/COUNTIF(B:B,Table1[[#This Row],[order_id]])</f>
        <v>0.33333333333333331</v>
      </c>
      <c r="D796" t="str">
        <f>TEXT(Table1[[#This Row],[order_date]],"mmmm")</f>
        <v>March</v>
      </c>
      <c r="E796" s="1">
        <v>45356</v>
      </c>
      <c r="F796" s="1" t="str">
        <f>TEXT(Table1[[#This Row],[order_date]],"dddd")</f>
        <v>Tuesday</v>
      </c>
      <c r="G796">
        <f>HOUR(Table1[[#This Row],[order_time]])</f>
        <v>19</v>
      </c>
      <c r="H796" s="2">
        <v>0.8024768518518518</v>
      </c>
      <c r="I796" t="s">
        <v>18</v>
      </c>
      <c r="J796" t="s">
        <v>26</v>
      </c>
      <c r="K796">
        <v>5</v>
      </c>
      <c r="L796">
        <v>55</v>
      </c>
      <c r="M796">
        <v>275</v>
      </c>
      <c r="N796">
        <f>IF(COUNTIFS($B$2:B796,B796)=1,1,0)</f>
        <v>0</v>
      </c>
    </row>
    <row r="797" spans="1:14" x14ac:dyDescent="0.2">
      <c r="A797">
        <v>796</v>
      </c>
      <c r="B797">
        <v>1401</v>
      </c>
      <c r="C797">
        <f>1/COUNTIF(B:B,Table1[[#This Row],[order_id]])</f>
        <v>0.33333333333333331</v>
      </c>
      <c r="D797" t="str">
        <f>TEXT(Table1[[#This Row],[order_date]],"mmmm")</f>
        <v>March</v>
      </c>
      <c r="E797" s="1">
        <v>45356</v>
      </c>
      <c r="F797" s="1" t="str">
        <f>TEXT(Table1[[#This Row],[order_date]],"dddd")</f>
        <v>Tuesday</v>
      </c>
      <c r="G797">
        <f>HOUR(Table1[[#This Row],[order_time]])</f>
        <v>11</v>
      </c>
      <c r="H797" s="2">
        <v>0.49975694444444446</v>
      </c>
      <c r="I797" t="s">
        <v>11</v>
      </c>
      <c r="J797" t="s">
        <v>12</v>
      </c>
      <c r="K797">
        <v>2</v>
      </c>
      <c r="L797">
        <v>650</v>
      </c>
      <c r="M797">
        <v>1300</v>
      </c>
      <c r="N797">
        <f>IF(COUNTIFS($B$2:B797,B797)=1,1,0)</f>
        <v>0</v>
      </c>
    </row>
    <row r="798" spans="1:14" x14ac:dyDescent="0.2">
      <c r="A798">
        <v>797</v>
      </c>
      <c r="B798">
        <v>1402</v>
      </c>
      <c r="C798">
        <f>1/COUNTIF(B:B,Table1[[#This Row],[order_id]])</f>
        <v>1</v>
      </c>
      <c r="D798" t="str">
        <f>TEXT(Table1[[#This Row],[order_date]],"mmmm")</f>
        <v>March</v>
      </c>
      <c r="E798" s="1">
        <v>45356</v>
      </c>
      <c r="F798" s="1" t="str">
        <f>TEXT(Table1[[#This Row],[order_date]],"dddd")</f>
        <v>Tuesday</v>
      </c>
      <c r="G798">
        <f>HOUR(Table1[[#This Row],[order_time]])</f>
        <v>11</v>
      </c>
      <c r="H798" s="2">
        <v>0.49599537037037039</v>
      </c>
      <c r="I798" t="s">
        <v>9</v>
      </c>
      <c r="J798" t="s">
        <v>29</v>
      </c>
      <c r="K798">
        <v>3</v>
      </c>
      <c r="L798">
        <v>5</v>
      </c>
      <c r="M798">
        <v>15</v>
      </c>
      <c r="N798">
        <f>IF(COUNTIFS($B$2:B798,B798)=1,1,0)</f>
        <v>1</v>
      </c>
    </row>
    <row r="799" spans="1:14" x14ac:dyDescent="0.2">
      <c r="A799">
        <v>798</v>
      </c>
      <c r="B799">
        <v>1403</v>
      </c>
      <c r="C799">
        <f>1/COUNTIF(B:B,Table1[[#This Row],[order_id]])</f>
        <v>1</v>
      </c>
      <c r="D799" t="str">
        <f>TEXT(Table1[[#This Row],[order_date]],"mmmm")</f>
        <v>March</v>
      </c>
      <c r="E799" s="1">
        <v>45357</v>
      </c>
      <c r="F799" s="1" t="str">
        <f>TEXT(Table1[[#This Row],[order_date]],"dddd")</f>
        <v>Wednesday</v>
      </c>
      <c r="G799">
        <f>HOUR(Table1[[#This Row],[order_time]])</f>
        <v>18</v>
      </c>
      <c r="H799" s="2">
        <v>0.78087962962962965</v>
      </c>
      <c r="I799" t="s">
        <v>11</v>
      </c>
      <c r="J799" t="s">
        <v>14</v>
      </c>
      <c r="K799">
        <v>4</v>
      </c>
      <c r="L799">
        <v>700</v>
      </c>
      <c r="M799">
        <v>2800</v>
      </c>
      <c r="N799">
        <f>IF(COUNTIFS($B$2:B799,B799)=1,1,0)</f>
        <v>1</v>
      </c>
    </row>
    <row r="800" spans="1:14" x14ac:dyDescent="0.2">
      <c r="A800">
        <v>799</v>
      </c>
      <c r="B800">
        <v>1404</v>
      </c>
      <c r="C800">
        <f>1/COUNTIF(B:B,Table1[[#This Row],[order_id]])</f>
        <v>0.33333333333333331</v>
      </c>
      <c r="D800" t="str">
        <f>TEXT(Table1[[#This Row],[order_date]],"mmmm")</f>
        <v>March</v>
      </c>
      <c r="E800" s="1">
        <v>45357</v>
      </c>
      <c r="F800" s="1" t="str">
        <f>TEXT(Table1[[#This Row],[order_date]],"dddd")</f>
        <v>Wednesday</v>
      </c>
      <c r="G800">
        <f>HOUR(Table1[[#This Row],[order_time]])</f>
        <v>20</v>
      </c>
      <c r="H800" s="2">
        <v>0.86160879629629628</v>
      </c>
      <c r="I800" t="s">
        <v>9</v>
      </c>
      <c r="J800" t="s">
        <v>10</v>
      </c>
      <c r="K800">
        <v>5</v>
      </c>
      <c r="L800">
        <v>20</v>
      </c>
      <c r="M800">
        <v>100</v>
      </c>
      <c r="N800">
        <f>IF(COUNTIFS($B$2:B800,B800)=1,1,0)</f>
        <v>1</v>
      </c>
    </row>
    <row r="801" spans="1:14" x14ac:dyDescent="0.2">
      <c r="A801">
        <v>800</v>
      </c>
      <c r="B801">
        <v>1404</v>
      </c>
      <c r="C801">
        <f>1/COUNTIF(B:B,Table1[[#This Row],[order_id]])</f>
        <v>0.33333333333333331</v>
      </c>
      <c r="D801" t="str">
        <f>TEXT(Table1[[#This Row],[order_date]],"mmmm")</f>
        <v>March</v>
      </c>
      <c r="E801" s="1">
        <v>45357</v>
      </c>
      <c r="F801" s="1" t="str">
        <f>TEXT(Table1[[#This Row],[order_date]],"dddd")</f>
        <v>Wednesday</v>
      </c>
      <c r="G801">
        <f>HOUR(Table1[[#This Row],[order_time]])</f>
        <v>9</v>
      </c>
      <c r="H801" s="2">
        <v>0.39215277777777779</v>
      </c>
      <c r="I801" t="s">
        <v>18</v>
      </c>
      <c r="J801" t="s">
        <v>26</v>
      </c>
      <c r="K801">
        <v>2</v>
      </c>
      <c r="L801">
        <v>55</v>
      </c>
      <c r="M801">
        <v>110</v>
      </c>
      <c r="N801">
        <f>IF(COUNTIFS($B$2:B801,B801)=1,1,0)</f>
        <v>0</v>
      </c>
    </row>
    <row r="802" spans="1:14" x14ac:dyDescent="0.2">
      <c r="A802">
        <v>801</v>
      </c>
      <c r="B802">
        <v>1404</v>
      </c>
      <c r="C802">
        <f>1/COUNTIF(B:B,Table1[[#This Row],[order_id]])</f>
        <v>0.33333333333333331</v>
      </c>
      <c r="D802" t="str">
        <f>TEXT(Table1[[#This Row],[order_date]],"mmmm")</f>
        <v>March</v>
      </c>
      <c r="E802" s="1">
        <v>45357</v>
      </c>
      <c r="F802" s="1" t="str">
        <f>TEXT(Table1[[#This Row],[order_date]],"dddd")</f>
        <v>Wednesday</v>
      </c>
      <c r="G802">
        <f>HOUR(Table1[[#This Row],[order_time]])</f>
        <v>18</v>
      </c>
      <c r="H802" s="2">
        <v>0.76521990740740742</v>
      </c>
      <c r="I802" t="s">
        <v>9</v>
      </c>
      <c r="J802" t="s">
        <v>10</v>
      </c>
      <c r="K802">
        <v>2</v>
      </c>
      <c r="L802">
        <v>20</v>
      </c>
      <c r="M802">
        <v>40</v>
      </c>
      <c r="N802">
        <f>IF(COUNTIFS($B$2:B802,B802)=1,1,0)</f>
        <v>0</v>
      </c>
    </row>
    <row r="803" spans="1:14" x14ac:dyDescent="0.2">
      <c r="A803">
        <v>802</v>
      </c>
      <c r="B803">
        <v>1405</v>
      </c>
      <c r="C803">
        <f>1/COUNTIF(B:B,Table1[[#This Row],[order_id]])</f>
        <v>0.5</v>
      </c>
      <c r="D803" t="str">
        <f>TEXT(Table1[[#This Row],[order_date]],"mmmm")</f>
        <v>March</v>
      </c>
      <c r="E803" s="1">
        <v>45357</v>
      </c>
      <c r="F803" s="1" t="str">
        <f>TEXT(Table1[[#This Row],[order_date]],"dddd")</f>
        <v>Wednesday</v>
      </c>
      <c r="G803">
        <f>HOUR(Table1[[#This Row],[order_time]])</f>
        <v>13</v>
      </c>
      <c r="H803" s="2">
        <v>0.55755787037037041</v>
      </c>
      <c r="I803" t="s">
        <v>18</v>
      </c>
      <c r="J803" t="s">
        <v>19</v>
      </c>
      <c r="K803">
        <v>5</v>
      </c>
      <c r="L803">
        <v>50</v>
      </c>
      <c r="M803">
        <v>250</v>
      </c>
      <c r="N803">
        <f>IF(COUNTIFS($B$2:B803,B803)=1,1,0)</f>
        <v>1</v>
      </c>
    </row>
    <row r="804" spans="1:14" x14ac:dyDescent="0.2">
      <c r="A804">
        <v>803</v>
      </c>
      <c r="B804">
        <v>1405</v>
      </c>
      <c r="C804">
        <f>1/COUNTIF(B:B,Table1[[#This Row],[order_id]])</f>
        <v>0.5</v>
      </c>
      <c r="D804" t="str">
        <f>TEXT(Table1[[#This Row],[order_date]],"mmmm")</f>
        <v>March</v>
      </c>
      <c r="E804" s="1">
        <v>45357</v>
      </c>
      <c r="F804" s="1" t="str">
        <f>TEXT(Table1[[#This Row],[order_date]],"dddd")</f>
        <v>Wednesday</v>
      </c>
      <c r="G804">
        <f>HOUR(Table1[[#This Row],[order_time]])</f>
        <v>19</v>
      </c>
      <c r="H804" s="2">
        <v>0.82541666666666669</v>
      </c>
      <c r="I804" t="s">
        <v>9</v>
      </c>
      <c r="J804" t="s">
        <v>22</v>
      </c>
      <c r="K804">
        <v>5</v>
      </c>
      <c r="L804">
        <v>15</v>
      </c>
      <c r="M804">
        <v>75</v>
      </c>
      <c r="N804">
        <f>IF(COUNTIFS($B$2:B804,B804)=1,1,0)</f>
        <v>0</v>
      </c>
    </row>
    <row r="805" spans="1:14" x14ac:dyDescent="0.2">
      <c r="A805">
        <v>804</v>
      </c>
      <c r="B805">
        <v>1406</v>
      </c>
      <c r="C805">
        <f>1/COUNTIF(B:B,Table1[[#This Row],[order_id]])</f>
        <v>1</v>
      </c>
      <c r="D805" t="str">
        <f>TEXT(Table1[[#This Row],[order_date]],"mmmm")</f>
        <v>March</v>
      </c>
      <c r="E805" s="1">
        <v>45357</v>
      </c>
      <c r="F805" s="1" t="str">
        <f>TEXT(Table1[[#This Row],[order_date]],"dddd")</f>
        <v>Wednesday</v>
      </c>
      <c r="G805">
        <f>HOUR(Table1[[#This Row],[order_time]])</f>
        <v>10</v>
      </c>
      <c r="H805" s="2">
        <v>0.41699074074074072</v>
      </c>
      <c r="I805" t="s">
        <v>16</v>
      </c>
      <c r="J805" t="s">
        <v>17</v>
      </c>
      <c r="K805">
        <v>2</v>
      </c>
      <c r="L805">
        <v>20</v>
      </c>
      <c r="M805">
        <v>40</v>
      </c>
      <c r="N805">
        <f>IF(COUNTIFS($B$2:B805,B805)=1,1,0)</f>
        <v>1</v>
      </c>
    </row>
    <row r="806" spans="1:14" x14ac:dyDescent="0.2">
      <c r="A806">
        <v>805</v>
      </c>
      <c r="B806">
        <v>1407</v>
      </c>
      <c r="C806">
        <f>1/COUNTIF(B:B,Table1[[#This Row],[order_id]])</f>
        <v>0.33333333333333331</v>
      </c>
      <c r="D806" t="str">
        <f>TEXT(Table1[[#This Row],[order_date]],"mmmm")</f>
        <v>March</v>
      </c>
      <c r="E806" s="1">
        <v>45358</v>
      </c>
      <c r="F806" s="1" t="str">
        <f>TEXT(Table1[[#This Row],[order_date]],"dddd")</f>
        <v>Thursday</v>
      </c>
      <c r="G806">
        <f>HOUR(Table1[[#This Row],[order_time]])</f>
        <v>16</v>
      </c>
      <c r="H806" s="2">
        <v>0.68533564814814818</v>
      </c>
      <c r="I806" t="s">
        <v>9</v>
      </c>
      <c r="J806" t="s">
        <v>10</v>
      </c>
      <c r="K806">
        <v>5</v>
      </c>
      <c r="L806">
        <v>20</v>
      </c>
      <c r="M806">
        <v>100</v>
      </c>
      <c r="N806">
        <f>IF(COUNTIFS($B$2:B806,B806)=1,1,0)</f>
        <v>1</v>
      </c>
    </row>
    <row r="807" spans="1:14" x14ac:dyDescent="0.2">
      <c r="A807">
        <v>806</v>
      </c>
      <c r="B807">
        <v>1407</v>
      </c>
      <c r="C807">
        <f>1/COUNTIF(B:B,Table1[[#This Row],[order_id]])</f>
        <v>0.33333333333333331</v>
      </c>
      <c r="D807" t="str">
        <f>TEXT(Table1[[#This Row],[order_date]],"mmmm")</f>
        <v>March</v>
      </c>
      <c r="E807" s="1">
        <v>45358</v>
      </c>
      <c r="F807" s="1" t="str">
        <f>TEXT(Table1[[#This Row],[order_date]],"dddd")</f>
        <v>Thursday</v>
      </c>
      <c r="G807">
        <f>HOUR(Table1[[#This Row],[order_time]])</f>
        <v>12</v>
      </c>
      <c r="H807" s="2">
        <v>0.50064814814814818</v>
      </c>
      <c r="I807" t="s">
        <v>11</v>
      </c>
      <c r="J807" t="s">
        <v>12</v>
      </c>
      <c r="K807">
        <v>4</v>
      </c>
      <c r="L807">
        <v>650</v>
      </c>
      <c r="M807">
        <v>2600</v>
      </c>
      <c r="N807">
        <f>IF(COUNTIFS($B$2:B807,B807)=1,1,0)</f>
        <v>0</v>
      </c>
    </row>
    <row r="808" spans="1:14" x14ac:dyDescent="0.2">
      <c r="A808">
        <v>807</v>
      </c>
      <c r="B808">
        <v>1407</v>
      </c>
      <c r="C808">
        <f>1/COUNTIF(B:B,Table1[[#This Row],[order_id]])</f>
        <v>0.33333333333333331</v>
      </c>
      <c r="D808" t="str">
        <f>TEXT(Table1[[#This Row],[order_date]],"mmmm")</f>
        <v>March</v>
      </c>
      <c r="E808" s="1">
        <v>45358</v>
      </c>
      <c r="F808" s="1" t="str">
        <f>TEXT(Table1[[#This Row],[order_date]],"dddd")</f>
        <v>Thursday</v>
      </c>
      <c r="G808">
        <f>HOUR(Table1[[#This Row],[order_time]])</f>
        <v>9</v>
      </c>
      <c r="H808" s="2">
        <v>0.41236111111111112</v>
      </c>
      <c r="I808" t="s">
        <v>9</v>
      </c>
      <c r="J808" t="s">
        <v>21</v>
      </c>
      <c r="K808">
        <v>2</v>
      </c>
      <c r="L808">
        <v>10</v>
      </c>
      <c r="M808">
        <v>20</v>
      </c>
      <c r="N808">
        <f>IF(COUNTIFS($B$2:B808,B808)=1,1,0)</f>
        <v>0</v>
      </c>
    </row>
    <row r="809" spans="1:14" x14ac:dyDescent="0.2">
      <c r="A809">
        <v>808</v>
      </c>
      <c r="B809">
        <v>1408</v>
      </c>
      <c r="C809">
        <f>1/COUNTIF(B:B,Table1[[#This Row],[order_id]])</f>
        <v>1</v>
      </c>
      <c r="D809" t="str">
        <f>TEXT(Table1[[#This Row],[order_date]],"mmmm")</f>
        <v>March</v>
      </c>
      <c r="E809" s="1">
        <v>45358</v>
      </c>
      <c r="F809" s="1" t="str">
        <f>TEXT(Table1[[#This Row],[order_date]],"dddd")</f>
        <v>Thursday</v>
      </c>
      <c r="G809">
        <f>HOUR(Table1[[#This Row],[order_time]])</f>
        <v>19</v>
      </c>
      <c r="H809" s="2">
        <v>0.82891203703703709</v>
      </c>
      <c r="I809" t="s">
        <v>16</v>
      </c>
      <c r="J809" t="s">
        <v>23</v>
      </c>
      <c r="K809">
        <v>4</v>
      </c>
      <c r="L809">
        <v>30</v>
      </c>
      <c r="M809">
        <v>120</v>
      </c>
      <c r="N809">
        <f>IF(COUNTIFS($B$2:B809,B809)=1,1,0)</f>
        <v>1</v>
      </c>
    </row>
    <row r="810" spans="1:14" x14ac:dyDescent="0.2">
      <c r="A810">
        <v>809</v>
      </c>
      <c r="B810">
        <v>1409</v>
      </c>
      <c r="C810">
        <f>1/COUNTIF(B:B,Table1[[#This Row],[order_id]])</f>
        <v>0.33333333333333331</v>
      </c>
      <c r="D810" t="str">
        <f>TEXT(Table1[[#This Row],[order_date]],"mmmm")</f>
        <v>March</v>
      </c>
      <c r="E810" s="1">
        <v>45358</v>
      </c>
      <c r="F810" s="1" t="str">
        <f>TEXT(Table1[[#This Row],[order_date]],"dddd")</f>
        <v>Thursday</v>
      </c>
      <c r="G810">
        <f>HOUR(Table1[[#This Row],[order_time]])</f>
        <v>11</v>
      </c>
      <c r="H810" s="2">
        <v>0.49464120370370368</v>
      </c>
      <c r="I810" t="s">
        <v>18</v>
      </c>
      <c r="J810" t="s">
        <v>19</v>
      </c>
      <c r="K810">
        <v>5</v>
      </c>
      <c r="L810">
        <v>50</v>
      </c>
      <c r="M810">
        <v>250</v>
      </c>
      <c r="N810">
        <f>IF(COUNTIFS($B$2:B810,B810)=1,1,0)</f>
        <v>1</v>
      </c>
    </row>
    <row r="811" spans="1:14" x14ac:dyDescent="0.2">
      <c r="A811">
        <v>810</v>
      </c>
      <c r="B811">
        <v>1409</v>
      </c>
      <c r="C811">
        <f>1/COUNTIF(B:B,Table1[[#This Row],[order_id]])</f>
        <v>0.33333333333333331</v>
      </c>
      <c r="D811" t="str">
        <f>TEXT(Table1[[#This Row],[order_date]],"mmmm")</f>
        <v>March</v>
      </c>
      <c r="E811" s="1">
        <v>45358</v>
      </c>
      <c r="F811" s="1" t="str">
        <f>TEXT(Table1[[#This Row],[order_date]],"dddd")</f>
        <v>Thursday</v>
      </c>
      <c r="G811">
        <f>HOUR(Table1[[#This Row],[order_time]])</f>
        <v>15</v>
      </c>
      <c r="H811" s="2">
        <v>0.63325231481481481</v>
      </c>
      <c r="I811" t="s">
        <v>9</v>
      </c>
      <c r="J811" t="s">
        <v>29</v>
      </c>
      <c r="K811">
        <v>1</v>
      </c>
      <c r="L811">
        <v>5</v>
      </c>
      <c r="M811">
        <v>5</v>
      </c>
      <c r="N811">
        <f>IF(COUNTIFS($B$2:B811,B811)=1,1,0)</f>
        <v>0</v>
      </c>
    </row>
    <row r="812" spans="1:14" x14ac:dyDescent="0.2">
      <c r="A812">
        <v>811</v>
      </c>
      <c r="B812">
        <v>1409</v>
      </c>
      <c r="C812">
        <f>1/COUNTIF(B:B,Table1[[#This Row],[order_id]])</f>
        <v>0.33333333333333331</v>
      </c>
      <c r="D812" t="str">
        <f>TEXT(Table1[[#This Row],[order_date]],"mmmm")</f>
        <v>March</v>
      </c>
      <c r="E812" s="1">
        <v>45358</v>
      </c>
      <c r="F812" s="1" t="str">
        <f>TEXT(Table1[[#This Row],[order_date]],"dddd")</f>
        <v>Thursday</v>
      </c>
      <c r="G812">
        <f>HOUR(Table1[[#This Row],[order_time]])</f>
        <v>17</v>
      </c>
      <c r="H812" s="2">
        <v>0.74307870370370366</v>
      </c>
      <c r="I812" t="s">
        <v>9</v>
      </c>
      <c r="J812" t="s">
        <v>29</v>
      </c>
      <c r="K812">
        <v>4</v>
      </c>
      <c r="L812">
        <v>5</v>
      </c>
      <c r="M812">
        <v>20</v>
      </c>
      <c r="N812">
        <f>IF(COUNTIFS($B$2:B812,B812)=1,1,0)</f>
        <v>0</v>
      </c>
    </row>
    <row r="813" spans="1:14" x14ac:dyDescent="0.2">
      <c r="A813">
        <v>812</v>
      </c>
      <c r="B813">
        <v>1410</v>
      </c>
      <c r="C813">
        <f>1/COUNTIF(B:B,Table1[[#This Row],[order_id]])</f>
        <v>0.5</v>
      </c>
      <c r="D813" t="str">
        <f>TEXT(Table1[[#This Row],[order_date]],"mmmm")</f>
        <v>March</v>
      </c>
      <c r="E813" s="1">
        <v>45358</v>
      </c>
      <c r="F813" s="1" t="str">
        <f>TEXT(Table1[[#This Row],[order_date]],"dddd")</f>
        <v>Thursday</v>
      </c>
      <c r="G813">
        <f>HOUR(Table1[[#This Row],[order_time]])</f>
        <v>10</v>
      </c>
      <c r="H813" s="2">
        <v>0.45319444444444446</v>
      </c>
      <c r="I813" t="s">
        <v>18</v>
      </c>
      <c r="J813" t="s">
        <v>19</v>
      </c>
      <c r="K813">
        <v>5</v>
      </c>
      <c r="L813">
        <v>50</v>
      </c>
      <c r="M813">
        <v>250</v>
      </c>
      <c r="N813">
        <f>IF(COUNTIFS($B$2:B813,B813)=1,1,0)</f>
        <v>1</v>
      </c>
    </row>
    <row r="814" spans="1:14" x14ac:dyDescent="0.2">
      <c r="A814">
        <v>813</v>
      </c>
      <c r="B814">
        <v>1410</v>
      </c>
      <c r="C814">
        <f>1/COUNTIF(B:B,Table1[[#This Row],[order_id]])</f>
        <v>0.5</v>
      </c>
      <c r="D814" t="str">
        <f>TEXT(Table1[[#This Row],[order_date]],"mmmm")</f>
        <v>March</v>
      </c>
      <c r="E814" s="1">
        <v>45358</v>
      </c>
      <c r="F814" s="1" t="str">
        <f>TEXT(Table1[[#This Row],[order_date]],"dddd")</f>
        <v>Thursday</v>
      </c>
      <c r="G814">
        <f>HOUR(Table1[[#This Row],[order_time]])</f>
        <v>16</v>
      </c>
      <c r="H814" s="2">
        <v>0.68829861111111112</v>
      </c>
      <c r="I814" t="s">
        <v>16</v>
      </c>
      <c r="J814" t="s">
        <v>17</v>
      </c>
      <c r="K814">
        <v>1</v>
      </c>
      <c r="L814">
        <v>20</v>
      </c>
      <c r="M814">
        <v>20</v>
      </c>
      <c r="N814">
        <f>IF(COUNTIFS($B$2:B814,B814)=1,1,0)</f>
        <v>0</v>
      </c>
    </row>
    <row r="815" spans="1:14" x14ac:dyDescent="0.2">
      <c r="A815">
        <v>814</v>
      </c>
      <c r="B815">
        <v>1411</v>
      </c>
      <c r="C815">
        <f>1/COUNTIF(B:B,Table1[[#This Row],[order_id]])</f>
        <v>1</v>
      </c>
      <c r="D815" t="str">
        <f>TEXT(Table1[[#This Row],[order_date]],"mmmm")</f>
        <v>March</v>
      </c>
      <c r="E815" s="1">
        <v>45358</v>
      </c>
      <c r="F815" s="1" t="str">
        <f>TEXT(Table1[[#This Row],[order_date]],"dddd")</f>
        <v>Thursday</v>
      </c>
      <c r="G815">
        <f>HOUR(Table1[[#This Row],[order_time]])</f>
        <v>14</v>
      </c>
      <c r="H815" s="2">
        <v>0.61184027777777783</v>
      </c>
      <c r="I815" t="s">
        <v>9</v>
      </c>
      <c r="J815" t="s">
        <v>20</v>
      </c>
      <c r="K815">
        <v>4</v>
      </c>
      <c r="L815">
        <v>25</v>
      </c>
      <c r="M815">
        <v>100</v>
      </c>
      <c r="N815">
        <f>IF(COUNTIFS($B$2:B815,B815)=1,1,0)</f>
        <v>1</v>
      </c>
    </row>
    <row r="816" spans="1:14" x14ac:dyDescent="0.2">
      <c r="A816">
        <v>815</v>
      </c>
      <c r="B816">
        <v>1412</v>
      </c>
      <c r="C816">
        <f>1/COUNTIF(B:B,Table1[[#This Row],[order_id]])</f>
        <v>0.33333333333333331</v>
      </c>
      <c r="D816" t="str">
        <f>TEXT(Table1[[#This Row],[order_date]],"mmmm")</f>
        <v>March</v>
      </c>
      <c r="E816" s="1">
        <v>45358</v>
      </c>
      <c r="F816" s="1" t="str">
        <f>TEXT(Table1[[#This Row],[order_date]],"dddd")</f>
        <v>Thursday</v>
      </c>
      <c r="G816">
        <f>HOUR(Table1[[#This Row],[order_time]])</f>
        <v>14</v>
      </c>
      <c r="H816" s="2">
        <v>0.59325231481481477</v>
      </c>
      <c r="I816" t="s">
        <v>11</v>
      </c>
      <c r="J816" t="s">
        <v>13</v>
      </c>
      <c r="K816">
        <v>3</v>
      </c>
      <c r="L816">
        <v>680</v>
      </c>
      <c r="M816">
        <v>2040</v>
      </c>
      <c r="N816">
        <f>IF(COUNTIFS($B$2:B816,B816)=1,1,0)</f>
        <v>1</v>
      </c>
    </row>
    <row r="817" spans="1:14" x14ac:dyDescent="0.2">
      <c r="A817">
        <v>816</v>
      </c>
      <c r="B817">
        <v>1412</v>
      </c>
      <c r="C817">
        <f>1/COUNTIF(B:B,Table1[[#This Row],[order_id]])</f>
        <v>0.33333333333333331</v>
      </c>
      <c r="D817" t="str">
        <f>TEXT(Table1[[#This Row],[order_date]],"mmmm")</f>
        <v>March</v>
      </c>
      <c r="E817" s="1">
        <v>45358</v>
      </c>
      <c r="F817" s="1" t="str">
        <f>TEXT(Table1[[#This Row],[order_date]],"dddd")</f>
        <v>Thursday</v>
      </c>
      <c r="G817">
        <f>HOUR(Table1[[#This Row],[order_time]])</f>
        <v>15</v>
      </c>
      <c r="H817" s="2">
        <v>0.65550925925925929</v>
      </c>
      <c r="I817" t="s">
        <v>9</v>
      </c>
      <c r="J817" t="s">
        <v>29</v>
      </c>
      <c r="K817">
        <v>2</v>
      </c>
      <c r="L817">
        <v>5</v>
      </c>
      <c r="M817">
        <v>10</v>
      </c>
      <c r="N817">
        <f>IF(COUNTIFS($B$2:B817,B817)=1,1,0)</f>
        <v>0</v>
      </c>
    </row>
    <row r="818" spans="1:14" x14ac:dyDescent="0.2">
      <c r="A818">
        <v>817</v>
      </c>
      <c r="B818">
        <v>1412</v>
      </c>
      <c r="C818">
        <f>1/COUNTIF(B:B,Table1[[#This Row],[order_id]])</f>
        <v>0.33333333333333331</v>
      </c>
      <c r="D818" t="str">
        <f>TEXT(Table1[[#This Row],[order_date]],"mmmm")</f>
        <v>March</v>
      </c>
      <c r="E818" s="1">
        <v>45358</v>
      </c>
      <c r="F818" s="1" t="str">
        <f>TEXT(Table1[[#This Row],[order_date]],"dddd")</f>
        <v>Thursday</v>
      </c>
      <c r="G818">
        <f>HOUR(Table1[[#This Row],[order_time]])</f>
        <v>10</v>
      </c>
      <c r="H818" s="2">
        <v>0.43689814814814815</v>
      </c>
      <c r="I818" t="s">
        <v>16</v>
      </c>
      <c r="J818" t="s">
        <v>23</v>
      </c>
      <c r="K818">
        <v>4</v>
      </c>
      <c r="L818">
        <v>30</v>
      </c>
      <c r="M818">
        <v>120</v>
      </c>
      <c r="N818">
        <f>IF(COUNTIFS($B$2:B818,B818)=1,1,0)</f>
        <v>0</v>
      </c>
    </row>
    <row r="819" spans="1:14" x14ac:dyDescent="0.2">
      <c r="A819">
        <v>818</v>
      </c>
      <c r="B819">
        <v>1413</v>
      </c>
      <c r="C819">
        <f>1/COUNTIF(B:B,Table1[[#This Row],[order_id]])</f>
        <v>0.5</v>
      </c>
      <c r="D819" t="str">
        <f>TEXT(Table1[[#This Row],[order_date]],"mmmm")</f>
        <v>March</v>
      </c>
      <c r="E819" s="1">
        <v>45358</v>
      </c>
      <c r="F819" s="1" t="str">
        <f>TEXT(Table1[[#This Row],[order_date]],"dddd")</f>
        <v>Thursday</v>
      </c>
      <c r="G819">
        <f>HOUR(Table1[[#This Row],[order_time]])</f>
        <v>19</v>
      </c>
      <c r="H819" s="2">
        <v>0.81937499999999996</v>
      </c>
      <c r="I819" t="s">
        <v>16</v>
      </c>
      <c r="J819" t="s">
        <v>17</v>
      </c>
      <c r="K819">
        <v>2</v>
      </c>
      <c r="L819">
        <v>20</v>
      </c>
      <c r="M819">
        <v>40</v>
      </c>
      <c r="N819">
        <f>IF(COUNTIFS($B$2:B819,B819)=1,1,0)</f>
        <v>1</v>
      </c>
    </row>
    <row r="820" spans="1:14" x14ac:dyDescent="0.2">
      <c r="A820">
        <v>819</v>
      </c>
      <c r="B820">
        <v>1413</v>
      </c>
      <c r="C820">
        <f>1/COUNTIF(B:B,Table1[[#This Row],[order_id]])</f>
        <v>0.5</v>
      </c>
      <c r="D820" t="str">
        <f>TEXT(Table1[[#This Row],[order_date]],"mmmm")</f>
        <v>March</v>
      </c>
      <c r="E820" s="1">
        <v>45358</v>
      </c>
      <c r="F820" s="1" t="str">
        <f>TEXT(Table1[[#This Row],[order_date]],"dddd")</f>
        <v>Thursday</v>
      </c>
      <c r="G820">
        <f>HOUR(Table1[[#This Row],[order_time]])</f>
        <v>19</v>
      </c>
      <c r="H820" s="2">
        <v>0.7956481481481481</v>
      </c>
      <c r="I820" t="s">
        <v>11</v>
      </c>
      <c r="J820" t="s">
        <v>14</v>
      </c>
      <c r="K820">
        <v>2</v>
      </c>
      <c r="L820">
        <v>700</v>
      </c>
      <c r="M820">
        <v>1400</v>
      </c>
      <c r="N820">
        <f>IF(COUNTIFS($B$2:B820,B820)=1,1,0)</f>
        <v>0</v>
      </c>
    </row>
    <row r="821" spans="1:14" x14ac:dyDescent="0.2">
      <c r="A821">
        <v>820</v>
      </c>
      <c r="B821">
        <v>1414</v>
      </c>
      <c r="C821">
        <f>1/COUNTIF(B:B,Table1[[#This Row],[order_id]])</f>
        <v>1</v>
      </c>
      <c r="D821" t="str">
        <f>TEXT(Table1[[#This Row],[order_date]],"mmmm")</f>
        <v>March</v>
      </c>
      <c r="E821" s="1">
        <v>45359</v>
      </c>
      <c r="F821" s="1" t="str">
        <f>TEXT(Table1[[#This Row],[order_date]],"dddd")</f>
        <v>Friday</v>
      </c>
      <c r="G821">
        <f>HOUR(Table1[[#This Row],[order_time]])</f>
        <v>18</v>
      </c>
      <c r="H821" s="2">
        <v>0.77299768518518519</v>
      </c>
      <c r="I821" t="s">
        <v>9</v>
      </c>
      <c r="J821" t="s">
        <v>21</v>
      </c>
      <c r="K821">
        <v>4</v>
      </c>
      <c r="L821">
        <v>10</v>
      </c>
      <c r="M821">
        <v>40</v>
      </c>
      <c r="N821">
        <f>IF(COUNTIFS($B$2:B821,B821)=1,1,0)</f>
        <v>1</v>
      </c>
    </row>
    <row r="822" spans="1:14" x14ac:dyDescent="0.2">
      <c r="A822">
        <v>821</v>
      </c>
      <c r="B822">
        <v>1415</v>
      </c>
      <c r="C822">
        <f>1/COUNTIF(B:B,Table1[[#This Row],[order_id]])</f>
        <v>0.5</v>
      </c>
      <c r="D822" t="str">
        <f>TEXT(Table1[[#This Row],[order_date]],"mmmm")</f>
        <v>March</v>
      </c>
      <c r="E822" s="1">
        <v>45359</v>
      </c>
      <c r="F822" s="1" t="str">
        <f>TEXT(Table1[[#This Row],[order_date]],"dddd")</f>
        <v>Friday</v>
      </c>
      <c r="G822">
        <f>HOUR(Table1[[#This Row],[order_time]])</f>
        <v>14</v>
      </c>
      <c r="H822" s="2">
        <v>0.60846064814814815</v>
      </c>
      <c r="I822" t="s">
        <v>18</v>
      </c>
      <c r="J822" t="s">
        <v>26</v>
      </c>
      <c r="K822">
        <v>5</v>
      </c>
      <c r="L822">
        <v>55</v>
      </c>
      <c r="M822">
        <v>275</v>
      </c>
      <c r="N822">
        <f>IF(COUNTIFS($B$2:B822,B822)=1,1,0)</f>
        <v>1</v>
      </c>
    </row>
    <row r="823" spans="1:14" x14ac:dyDescent="0.2">
      <c r="A823">
        <v>822</v>
      </c>
      <c r="B823">
        <v>1415</v>
      </c>
      <c r="C823">
        <f>1/COUNTIF(B:B,Table1[[#This Row],[order_id]])</f>
        <v>0.5</v>
      </c>
      <c r="D823" t="str">
        <f>TEXT(Table1[[#This Row],[order_date]],"mmmm")</f>
        <v>March</v>
      </c>
      <c r="E823" s="1">
        <v>45359</v>
      </c>
      <c r="F823" s="1" t="str">
        <f>TEXT(Table1[[#This Row],[order_date]],"dddd")</f>
        <v>Friday</v>
      </c>
      <c r="G823">
        <f>HOUR(Table1[[#This Row],[order_time]])</f>
        <v>13</v>
      </c>
      <c r="H823" s="2">
        <v>0.57172453703703707</v>
      </c>
      <c r="I823" t="s">
        <v>18</v>
      </c>
      <c r="J823" t="s">
        <v>26</v>
      </c>
      <c r="K823">
        <v>1</v>
      </c>
      <c r="L823">
        <v>55</v>
      </c>
      <c r="M823">
        <v>55</v>
      </c>
      <c r="N823">
        <f>IF(COUNTIFS($B$2:B823,B823)=1,1,0)</f>
        <v>0</v>
      </c>
    </row>
    <row r="824" spans="1:14" x14ac:dyDescent="0.2">
      <c r="A824">
        <v>823</v>
      </c>
      <c r="B824">
        <v>1416</v>
      </c>
      <c r="C824">
        <f>1/COUNTIF(B:B,Table1[[#This Row],[order_id]])</f>
        <v>0.33333333333333331</v>
      </c>
      <c r="D824" t="str">
        <f>TEXT(Table1[[#This Row],[order_date]],"mmmm")</f>
        <v>March</v>
      </c>
      <c r="E824" s="1">
        <v>45359</v>
      </c>
      <c r="F824" s="1" t="str">
        <f>TEXT(Table1[[#This Row],[order_date]],"dddd")</f>
        <v>Friday</v>
      </c>
      <c r="G824">
        <f>HOUR(Table1[[#This Row],[order_time]])</f>
        <v>13</v>
      </c>
      <c r="H824" s="2">
        <v>0.56031249999999999</v>
      </c>
      <c r="I824" t="s">
        <v>18</v>
      </c>
      <c r="J824" t="s">
        <v>19</v>
      </c>
      <c r="K824">
        <v>5</v>
      </c>
      <c r="L824">
        <v>50</v>
      </c>
      <c r="M824">
        <v>250</v>
      </c>
      <c r="N824">
        <f>IF(COUNTIFS($B$2:B824,B824)=1,1,0)</f>
        <v>1</v>
      </c>
    </row>
    <row r="825" spans="1:14" x14ac:dyDescent="0.2">
      <c r="A825">
        <v>824</v>
      </c>
      <c r="B825">
        <v>1416</v>
      </c>
      <c r="C825">
        <f>1/COUNTIF(B:B,Table1[[#This Row],[order_id]])</f>
        <v>0.33333333333333331</v>
      </c>
      <c r="D825" t="str">
        <f>TEXT(Table1[[#This Row],[order_date]],"mmmm")</f>
        <v>March</v>
      </c>
      <c r="E825" s="1">
        <v>45359</v>
      </c>
      <c r="F825" s="1" t="str">
        <f>TEXT(Table1[[#This Row],[order_date]],"dddd")</f>
        <v>Friday</v>
      </c>
      <c r="G825">
        <f>HOUR(Table1[[#This Row],[order_time]])</f>
        <v>15</v>
      </c>
      <c r="H825" s="2">
        <v>0.66141203703703699</v>
      </c>
      <c r="I825" t="s">
        <v>16</v>
      </c>
      <c r="J825" t="s">
        <v>24</v>
      </c>
      <c r="K825">
        <v>1</v>
      </c>
      <c r="L825">
        <v>35</v>
      </c>
      <c r="M825">
        <v>35</v>
      </c>
      <c r="N825">
        <f>IF(COUNTIFS($B$2:B825,B825)=1,1,0)</f>
        <v>0</v>
      </c>
    </row>
    <row r="826" spans="1:14" x14ac:dyDescent="0.2">
      <c r="A826">
        <v>825</v>
      </c>
      <c r="B826">
        <v>1416</v>
      </c>
      <c r="C826">
        <f>1/COUNTIF(B:B,Table1[[#This Row],[order_id]])</f>
        <v>0.33333333333333331</v>
      </c>
      <c r="D826" t="str">
        <f>TEXT(Table1[[#This Row],[order_date]],"mmmm")</f>
        <v>March</v>
      </c>
      <c r="E826" s="1">
        <v>45359</v>
      </c>
      <c r="F826" s="1" t="str">
        <f>TEXT(Table1[[#This Row],[order_date]],"dddd")</f>
        <v>Friday</v>
      </c>
      <c r="G826">
        <f>HOUR(Table1[[#This Row],[order_time]])</f>
        <v>14</v>
      </c>
      <c r="H826" s="2">
        <v>0.60349537037037038</v>
      </c>
      <c r="I826" t="s">
        <v>9</v>
      </c>
      <c r="J826" t="s">
        <v>29</v>
      </c>
      <c r="K826">
        <v>5</v>
      </c>
      <c r="L826">
        <v>5</v>
      </c>
      <c r="M826">
        <v>25</v>
      </c>
      <c r="N826">
        <f>IF(COUNTIFS($B$2:B826,B826)=1,1,0)</f>
        <v>0</v>
      </c>
    </row>
    <row r="827" spans="1:14" x14ac:dyDescent="0.2">
      <c r="A827">
        <v>826</v>
      </c>
      <c r="B827">
        <v>1417</v>
      </c>
      <c r="C827">
        <f>1/COUNTIF(B:B,Table1[[#This Row],[order_id]])</f>
        <v>0.33333333333333331</v>
      </c>
      <c r="D827" t="str">
        <f>TEXT(Table1[[#This Row],[order_date]],"mmmm")</f>
        <v>March</v>
      </c>
      <c r="E827" s="1">
        <v>45359</v>
      </c>
      <c r="F827" s="1" t="str">
        <f>TEXT(Table1[[#This Row],[order_date]],"dddd")</f>
        <v>Friday</v>
      </c>
      <c r="G827">
        <f>HOUR(Table1[[#This Row],[order_time]])</f>
        <v>18</v>
      </c>
      <c r="H827" s="2">
        <v>0.75697916666666665</v>
      </c>
      <c r="I827" t="s">
        <v>9</v>
      </c>
      <c r="J827" t="s">
        <v>29</v>
      </c>
      <c r="K827">
        <v>1</v>
      </c>
      <c r="L827">
        <v>5</v>
      </c>
      <c r="M827">
        <v>5</v>
      </c>
      <c r="N827">
        <f>IF(COUNTIFS($B$2:B827,B827)=1,1,0)</f>
        <v>1</v>
      </c>
    </row>
    <row r="828" spans="1:14" x14ac:dyDescent="0.2">
      <c r="A828">
        <v>827</v>
      </c>
      <c r="B828">
        <v>1417</v>
      </c>
      <c r="C828">
        <f>1/COUNTIF(B:B,Table1[[#This Row],[order_id]])</f>
        <v>0.33333333333333331</v>
      </c>
      <c r="D828" t="str">
        <f>TEXT(Table1[[#This Row],[order_date]],"mmmm")</f>
        <v>March</v>
      </c>
      <c r="E828" s="1">
        <v>45359</v>
      </c>
      <c r="F828" s="1" t="str">
        <f>TEXT(Table1[[#This Row],[order_date]],"dddd")</f>
        <v>Friday</v>
      </c>
      <c r="G828">
        <f>HOUR(Table1[[#This Row],[order_time]])</f>
        <v>17</v>
      </c>
      <c r="H828" s="2">
        <v>0.74912037037037038</v>
      </c>
      <c r="I828" t="s">
        <v>16</v>
      </c>
      <c r="J828" t="s">
        <v>28</v>
      </c>
      <c r="K828">
        <v>4</v>
      </c>
      <c r="L828">
        <v>25</v>
      </c>
      <c r="M828">
        <v>100</v>
      </c>
      <c r="N828">
        <f>IF(COUNTIFS($B$2:B828,B828)=1,1,0)</f>
        <v>0</v>
      </c>
    </row>
    <row r="829" spans="1:14" x14ac:dyDescent="0.2">
      <c r="A829">
        <v>828</v>
      </c>
      <c r="B829">
        <v>1417</v>
      </c>
      <c r="C829">
        <f>1/COUNTIF(B:B,Table1[[#This Row],[order_id]])</f>
        <v>0.33333333333333331</v>
      </c>
      <c r="D829" t="str">
        <f>TEXT(Table1[[#This Row],[order_date]],"mmmm")</f>
        <v>March</v>
      </c>
      <c r="E829" s="1">
        <v>45359</v>
      </c>
      <c r="F829" s="1" t="str">
        <f>TEXT(Table1[[#This Row],[order_date]],"dddd")</f>
        <v>Friday</v>
      </c>
      <c r="G829">
        <f>HOUR(Table1[[#This Row],[order_time]])</f>
        <v>14</v>
      </c>
      <c r="H829" s="2">
        <v>0.61315972222222226</v>
      </c>
      <c r="I829" t="s">
        <v>16</v>
      </c>
      <c r="J829" t="s">
        <v>24</v>
      </c>
      <c r="K829">
        <v>3</v>
      </c>
      <c r="L829">
        <v>35</v>
      </c>
      <c r="M829">
        <v>105</v>
      </c>
      <c r="N829">
        <f>IF(COUNTIFS($B$2:B829,B829)=1,1,0)</f>
        <v>0</v>
      </c>
    </row>
    <row r="830" spans="1:14" x14ac:dyDescent="0.2">
      <c r="A830">
        <v>829</v>
      </c>
      <c r="B830">
        <v>1418</v>
      </c>
      <c r="C830">
        <f>1/COUNTIF(B:B,Table1[[#This Row],[order_id]])</f>
        <v>0.5</v>
      </c>
      <c r="D830" t="str">
        <f>TEXT(Table1[[#This Row],[order_date]],"mmmm")</f>
        <v>March</v>
      </c>
      <c r="E830" s="1">
        <v>45359</v>
      </c>
      <c r="F830" s="1" t="str">
        <f>TEXT(Table1[[#This Row],[order_date]],"dddd")</f>
        <v>Friday</v>
      </c>
      <c r="G830">
        <f>HOUR(Table1[[#This Row],[order_time]])</f>
        <v>14</v>
      </c>
      <c r="H830" s="2">
        <v>0.60428240740740746</v>
      </c>
      <c r="I830" t="s">
        <v>9</v>
      </c>
      <c r="J830" t="s">
        <v>21</v>
      </c>
      <c r="K830">
        <v>3</v>
      </c>
      <c r="L830">
        <v>10</v>
      </c>
      <c r="M830">
        <v>30</v>
      </c>
      <c r="N830">
        <f>IF(COUNTIFS($B$2:B830,B830)=1,1,0)</f>
        <v>1</v>
      </c>
    </row>
    <row r="831" spans="1:14" x14ac:dyDescent="0.2">
      <c r="A831">
        <v>830</v>
      </c>
      <c r="B831">
        <v>1418</v>
      </c>
      <c r="C831">
        <f>1/COUNTIF(B:B,Table1[[#This Row],[order_id]])</f>
        <v>0.5</v>
      </c>
      <c r="D831" t="str">
        <f>TEXT(Table1[[#This Row],[order_date]],"mmmm")</f>
        <v>March</v>
      </c>
      <c r="E831" s="1">
        <v>45359</v>
      </c>
      <c r="F831" s="1" t="str">
        <f>TEXT(Table1[[#This Row],[order_date]],"dddd")</f>
        <v>Friday</v>
      </c>
      <c r="G831">
        <f>HOUR(Table1[[#This Row],[order_time]])</f>
        <v>10</v>
      </c>
      <c r="H831" s="2">
        <v>0.44530092592592591</v>
      </c>
      <c r="I831" t="s">
        <v>9</v>
      </c>
      <c r="J831" t="s">
        <v>22</v>
      </c>
      <c r="K831">
        <v>3</v>
      </c>
      <c r="L831">
        <v>15</v>
      </c>
      <c r="M831">
        <v>45</v>
      </c>
      <c r="N831">
        <f>IF(COUNTIFS($B$2:B831,B831)=1,1,0)</f>
        <v>0</v>
      </c>
    </row>
    <row r="832" spans="1:14" x14ac:dyDescent="0.2">
      <c r="A832">
        <v>831</v>
      </c>
      <c r="B832">
        <v>1419</v>
      </c>
      <c r="C832">
        <f>1/COUNTIF(B:B,Table1[[#This Row],[order_id]])</f>
        <v>0.33333333333333331</v>
      </c>
      <c r="D832" t="str">
        <f>TEXT(Table1[[#This Row],[order_date]],"mmmm")</f>
        <v>March</v>
      </c>
      <c r="E832" s="1">
        <v>45359</v>
      </c>
      <c r="F832" s="1" t="str">
        <f>TEXT(Table1[[#This Row],[order_date]],"dddd")</f>
        <v>Friday</v>
      </c>
      <c r="G832">
        <f>HOUR(Table1[[#This Row],[order_time]])</f>
        <v>16</v>
      </c>
      <c r="H832" s="2">
        <v>0.68369212962962966</v>
      </c>
      <c r="I832" t="s">
        <v>16</v>
      </c>
      <c r="J832" t="s">
        <v>17</v>
      </c>
      <c r="K832">
        <v>1</v>
      </c>
      <c r="L832">
        <v>20</v>
      </c>
      <c r="M832">
        <v>20</v>
      </c>
      <c r="N832">
        <f>IF(COUNTIFS($B$2:B832,B832)=1,1,0)</f>
        <v>1</v>
      </c>
    </row>
    <row r="833" spans="1:14" x14ac:dyDescent="0.2">
      <c r="A833">
        <v>832</v>
      </c>
      <c r="B833">
        <v>1419</v>
      </c>
      <c r="C833">
        <f>1/COUNTIF(B:B,Table1[[#This Row],[order_id]])</f>
        <v>0.33333333333333331</v>
      </c>
      <c r="D833" t="str">
        <f>TEXT(Table1[[#This Row],[order_date]],"mmmm")</f>
        <v>March</v>
      </c>
      <c r="E833" s="1">
        <v>45359</v>
      </c>
      <c r="F833" s="1" t="str">
        <f>TEXT(Table1[[#This Row],[order_date]],"dddd")</f>
        <v>Friday</v>
      </c>
      <c r="G833">
        <f>HOUR(Table1[[#This Row],[order_time]])</f>
        <v>16</v>
      </c>
      <c r="H833" s="2">
        <v>0.67386574074074079</v>
      </c>
      <c r="I833" t="s">
        <v>18</v>
      </c>
      <c r="J833" t="s">
        <v>27</v>
      </c>
      <c r="K833">
        <v>2</v>
      </c>
      <c r="L833">
        <v>40</v>
      </c>
      <c r="M833">
        <v>80</v>
      </c>
      <c r="N833">
        <f>IF(COUNTIFS($B$2:B833,B833)=1,1,0)</f>
        <v>0</v>
      </c>
    </row>
    <row r="834" spans="1:14" x14ac:dyDescent="0.2">
      <c r="A834">
        <v>833</v>
      </c>
      <c r="B834">
        <v>1419</v>
      </c>
      <c r="C834">
        <f>1/COUNTIF(B:B,Table1[[#This Row],[order_id]])</f>
        <v>0.33333333333333331</v>
      </c>
      <c r="D834" t="str">
        <f>TEXT(Table1[[#This Row],[order_date]],"mmmm")</f>
        <v>March</v>
      </c>
      <c r="E834" s="1">
        <v>45359</v>
      </c>
      <c r="F834" s="1" t="str">
        <f>TEXT(Table1[[#This Row],[order_date]],"dddd")</f>
        <v>Friday</v>
      </c>
      <c r="G834">
        <f>HOUR(Table1[[#This Row],[order_time]])</f>
        <v>14</v>
      </c>
      <c r="H834" s="2">
        <v>0.61092592592592587</v>
      </c>
      <c r="I834" t="s">
        <v>9</v>
      </c>
      <c r="J834" t="s">
        <v>20</v>
      </c>
      <c r="K834">
        <v>2</v>
      </c>
      <c r="L834">
        <v>25</v>
      </c>
      <c r="M834">
        <v>50</v>
      </c>
      <c r="N834">
        <f>IF(COUNTIFS($B$2:B834,B834)=1,1,0)</f>
        <v>0</v>
      </c>
    </row>
    <row r="835" spans="1:14" x14ac:dyDescent="0.2">
      <c r="A835">
        <v>834</v>
      </c>
      <c r="B835">
        <v>1420</v>
      </c>
      <c r="C835">
        <f>1/COUNTIF(B:B,Table1[[#This Row],[order_id]])</f>
        <v>1</v>
      </c>
      <c r="D835" t="str">
        <f>TEXT(Table1[[#This Row],[order_date]],"mmmm")</f>
        <v>March</v>
      </c>
      <c r="E835" s="1">
        <v>45359</v>
      </c>
      <c r="F835" s="1" t="str">
        <f>TEXT(Table1[[#This Row],[order_date]],"dddd")</f>
        <v>Friday</v>
      </c>
      <c r="G835">
        <f>HOUR(Table1[[#This Row],[order_time]])</f>
        <v>20</v>
      </c>
      <c r="H835" s="2">
        <v>0.8493518518518518</v>
      </c>
      <c r="I835" t="s">
        <v>9</v>
      </c>
      <c r="J835" t="s">
        <v>22</v>
      </c>
      <c r="K835">
        <v>1</v>
      </c>
      <c r="L835">
        <v>15</v>
      </c>
      <c r="M835">
        <v>15</v>
      </c>
      <c r="N835">
        <f>IF(COUNTIFS($B$2:B835,B835)=1,1,0)</f>
        <v>1</v>
      </c>
    </row>
    <row r="836" spans="1:14" x14ac:dyDescent="0.2">
      <c r="A836">
        <v>835</v>
      </c>
      <c r="B836">
        <v>1421</v>
      </c>
      <c r="C836">
        <f>1/COUNTIF(B:B,Table1[[#This Row],[order_id]])</f>
        <v>0.33333333333333331</v>
      </c>
      <c r="D836" t="str">
        <f>TEXT(Table1[[#This Row],[order_date]],"mmmm")</f>
        <v>March</v>
      </c>
      <c r="E836" s="1">
        <v>45359</v>
      </c>
      <c r="F836" s="1" t="str">
        <f>TEXT(Table1[[#This Row],[order_date]],"dddd")</f>
        <v>Friday</v>
      </c>
      <c r="G836">
        <f>HOUR(Table1[[#This Row],[order_time]])</f>
        <v>18</v>
      </c>
      <c r="H836" s="2">
        <v>0.77645833333333336</v>
      </c>
      <c r="I836" t="s">
        <v>9</v>
      </c>
      <c r="J836" t="s">
        <v>29</v>
      </c>
      <c r="K836">
        <v>5</v>
      </c>
      <c r="L836">
        <v>5</v>
      </c>
      <c r="M836">
        <v>25</v>
      </c>
      <c r="N836">
        <f>IF(COUNTIFS($B$2:B836,B836)=1,1,0)</f>
        <v>1</v>
      </c>
    </row>
    <row r="837" spans="1:14" x14ac:dyDescent="0.2">
      <c r="A837">
        <v>836</v>
      </c>
      <c r="B837">
        <v>1421</v>
      </c>
      <c r="C837">
        <f>1/COUNTIF(B:B,Table1[[#This Row],[order_id]])</f>
        <v>0.33333333333333331</v>
      </c>
      <c r="D837" t="str">
        <f>TEXT(Table1[[#This Row],[order_date]],"mmmm")</f>
        <v>March</v>
      </c>
      <c r="E837" s="1">
        <v>45359</v>
      </c>
      <c r="F837" s="1" t="str">
        <f>TEXT(Table1[[#This Row],[order_date]],"dddd")</f>
        <v>Friday</v>
      </c>
      <c r="G837">
        <f>HOUR(Table1[[#This Row],[order_time]])</f>
        <v>17</v>
      </c>
      <c r="H837" s="2">
        <v>0.71650462962962957</v>
      </c>
      <c r="I837" t="s">
        <v>18</v>
      </c>
      <c r="J837" t="s">
        <v>31</v>
      </c>
      <c r="K837">
        <v>5</v>
      </c>
      <c r="L837">
        <v>45</v>
      </c>
      <c r="M837">
        <v>225</v>
      </c>
      <c r="N837">
        <f>IF(COUNTIFS($B$2:B837,B837)=1,1,0)</f>
        <v>0</v>
      </c>
    </row>
    <row r="838" spans="1:14" x14ac:dyDescent="0.2">
      <c r="A838">
        <v>837</v>
      </c>
      <c r="B838">
        <v>1421</v>
      </c>
      <c r="C838">
        <f>1/COUNTIF(B:B,Table1[[#This Row],[order_id]])</f>
        <v>0.33333333333333331</v>
      </c>
      <c r="D838" t="str">
        <f>TEXT(Table1[[#This Row],[order_date]],"mmmm")</f>
        <v>March</v>
      </c>
      <c r="E838" s="1">
        <v>45359</v>
      </c>
      <c r="F838" s="1" t="str">
        <f>TEXT(Table1[[#This Row],[order_date]],"dddd")</f>
        <v>Friday</v>
      </c>
      <c r="G838">
        <f>HOUR(Table1[[#This Row],[order_time]])</f>
        <v>10</v>
      </c>
      <c r="H838" s="2">
        <v>0.42619212962962966</v>
      </c>
      <c r="I838" t="s">
        <v>11</v>
      </c>
      <c r="J838" t="s">
        <v>25</v>
      </c>
      <c r="K838">
        <v>4</v>
      </c>
      <c r="L838">
        <v>1000</v>
      </c>
      <c r="M838">
        <v>4000</v>
      </c>
      <c r="N838">
        <f>IF(COUNTIFS($B$2:B838,B838)=1,1,0)</f>
        <v>0</v>
      </c>
    </row>
    <row r="839" spans="1:14" x14ac:dyDescent="0.2">
      <c r="A839">
        <v>838</v>
      </c>
      <c r="B839">
        <v>1422</v>
      </c>
      <c r="C839">
        <f>1/COUNTIF(B:B,Table1[[#This Row],[order_id]])</f>
        <v>1</v>
      </c>
      <c r="D839" t="str">
        <f>TEXT(Table1[[#This Row],[order_date]],"mmmm")</f>
        <v>March</v>
      </c>
      <c r="E839" s="1">
        <v>45359</v>
      </c>
      <c r="F839" s="1" t="str">
        <f>TEXT(Table1[[#This Row],[order_date]],"dddd")</f>
        <v>Friday</v>
      </c>
      <c r="G839">
        <f>HOUR(Table1[[#This Row],[order_time]])</f>
        <v>14</v>
      </c>
      <c r="H839" s="2">
        <v>0.62399305555555551</v>
      </c>
      <c r="I839" t="s">
        <v>9</v>
      </c>
      <c r="J839" t="s">
        <v>29</v>
      </c>
      <c r="K839">
        <v>2</v>
      </c>
      <c r="L839">
        <v>5</v>
      </c>
      <c r="M839">
        <v>10</v>
      </c>
      <c r="N839">
        <f>IF(COUNTIFS($B$2:B839,B839)=1,1,0)</f>
        <v>1</v>
      </c>
    </row>
    <row r="840" spans="1:14" x14ac:dyDescent="0.2">
      <c r="A840">
        <v>839</v>
      </c>
      <c r="B840">
        <v>1423</v>
      </c>
      <c r="C840">
        <f>1/COUNTIF(B:B,Table1[[#This Row],[order_id]])</f>
        <v>0.5</v>
      </c>
      <c r="D840" t="str">
        <f>TEXT(Table1[[#This Row],[order_date]],"mmmm")</f>
        <v>March</v>
      </c>
      <c r="E840" s="1">
        <v>45360</v>
      </c>
      <c r="F840" s="1" t="str">
        <f>TEXT(Table1[[#This Row],[order_date]],"dddd")</f>
        <v>Saturday</v>
      </c>
      <c r="G840">
        <f>HOUR(Table1[[#This Row],[order_time]])</f>
        <v>18</v>
      </c>
      <c r="H840" s="2">
        <v>0.75358796296296293</v>
      </c>
      <c r="I840" t="s">
        <v>16</v>
      </c>
      <c r="J840" t="s">
        <v>23</v>
      </c>
      <c r="K840">
        <v>1</v>
      </c>
      <c r="L840">
        <v>30</v>
      </c>
      <c r="M840">
        <v>30</v>
      </c>
      <c r="N840">
        <f>IF(COUNTIFS($B$2:B840,B840)=1,1,0)</f>
        <v>1</v>
      </c>
    </row>
    <row r="841" spans="1:14" x14ac:dyDescent="0.2">
      <c r="A841">
        <v>840</v>
      </c>
      <c r="B841">
        <v>1423</v>
      </c>
      <c r="C841">
        <f>1/COUNTIF(B:B,Table1[[#This Row],[order_id]])</f>
        <v>0.5</v>
      </c>
      <c r="D841" t="str">
        <f>TEXT(Table1[[#This Row],[order_date]],"mmmm")</f>
        <v>March</v>
      </c>
      <c r="E841" s="1">
        <v>45360</v>
      </c>
      <c r="F841" s="1" t="str">
        <f>TEXT(Table1[[#This Row],[order_date]],"dddd")</f>
        <v>Saturday</v>
      </c>
      <c r="G841">
        <f>HOUR(Table1[[#This Row],[order_time]])</f>
        <v>19</v>
      </c>
      <c r="H841" s="2">
        <v>0.81752314814814819</v>
      </c>
      <c r="I841" t="s">
        <v>9</v>
      </c>
      <c r="J841" t="s">
        <v>10</v>
      </c>
      <c r="K841">
        <v>3</v>
      </c>
      <c r="L841">
        <v>20</v>
      </c>
      <c r="M841">
        <v>60</v>
      </c>
      <c r="N841">
        <f>IF(COUNTIFS($B$2:B841,B841)=1,1,0)</f>
        <v>0</v>
      </c>
    </row>
    <row r="842" spans="1:14" x14ac:dyDescent="0.2">
      <c r="A842">
        <v>841</v>
      </c>
      <c r="B842">
        <v>1424</v>
      </c>
      <c r="C842">
        <f>1/COUNTIF(B:B,Table1[[#This Row],[order_id]])</f>
        <v>0.33333333333333331</v>
      </c>
      <c r="D842" t="str">
        <f>TEXT(Table1[[#This Row],[order_date]],"mmmm")</f>
        <v>March</v>
      </c>
      <c r="E842" s="1">
        <v>45360</v>
      </c>
      <c r="F842" s="1" t="str">
        <f>TEXT(Table1[[#This Row],[order_date]],"dddd")</f>
        <v>Saturday</v>
      </c>
      <c r="G842">
        <f>HOUR(Table1[[#This Row],[order_time]])</f>
        <v>15</v>
      </c>
      <c r="H842" s="2">
        <v>0.63510416666666669</v>
      </c>
      <c r="I842" t="s">
        <v>16</v>
      </c>
      <c r="J842" t="s">
        <v>17</v>
      </c>
      <c r="K842">
        <v>5</v>
      </c>
      <c r="L842">
        <v>20</v>
      </c>
      <c r="M842">
        <v>100</v>
      </c>
      <c r="N842">
        <f>IF(COUNTIFS($B$2:B842,B842)=1,1,0)</f>
        <v>1</v>
      </c>
    </row>
    <row r="843" spans="1:14" x14ac:dyDescent="0.2">
      <c r="A843">
        <v>842</v>
      </c>
      <c r="B843">
        <v>1424</v>
      </c>
      <c r="C843">
        <f>1/COUNTIF(B:B,Table1[[#This Row],[order_id]])</f>
        <v>0.33333333333333331</v>
      </c>
      <c r="D843" t="str">
        <f>TEXT(Table1[[#This Row],[order_date]],"mmmm")</f>
        <v>March</v>
      </c>
      <c r="E843" s="1">
        <v>45360</v>
      </c>
      <c r="F843" s="1" t="str">
        <f>TEXT(Table1[[#This Row],[order_date]],"dddd")</f>
        <v>Saturday</v>
      </c>
      <c r="G843">
        <f>HOUR(Table1[[#This Row],[order_time]])</f>
        <v>14</v>
      </c>
      <c r="H843" s="2">
        <v>0.61547453703703703</v>
      </c>
      <c r="I843" t="s">
        <v>11</v>
      </c>
      <c r="J843" t="s">
        <v>14</v>
      </c>
      <c r="K843">
        <v>2</v>
      </c>
      <c r="L843">
        <v>700</v>
      </c>
      <c r="M843">
        <v>1400</v>
      </c>
      <c r="N843">
        <f>IF(COUNTIFS($B$2:B843,B843)=1,1,0)</f>
        <v>0</v>
      </c>
    </row>
    <row r="844" spans="1:14" x14ac:dyDescent="0.2">
      <c r="A844">
        <v>843</v>
      </c>
      <c r="B844">
        <v>1424</v>
      </c>
      <c r="C844">
        <f>1/COUNTIF(B:B,Table1[[#This Row],[order_id]])</f>
        <v>0.33333333333333331</v>
      </c>
      <c r="D844" t="str">
        <f>TEXT(Table1[[#This Row],[order_date]],"mmmm")</f>
        <v>March</v>
      </c>
      <c r="E844" s="1">
        <v>45360</v>
      </c>
      <c r="F844" s="1" t="str">
        <f>TEXT(Table1[[#This Row],[order_date]],"dddd")</f>
        <v>Saturday</v>
      </c>
      <c r="G844">
        <f>HOUR(Table1[[#This Row],[order_time]])</f>
        <v>15</v>
      </c>
      <c r="H844" s="2">
        <v>0.64179398148148148</v>
      </c>
      <c r="I844" t="s">
        <v>16</v>
      </c>
      <c r="J844" t="s">
        <v>23</v>
      </c>
      <c r="K844">
        <v>5</v>
      </c>
      <c r="L844">
        <v>30</v>
      </c>
      <c r="M844">
        <v>150</v>
      </c>
      <c r="N844">
        <f>IF(COUNTIFS($B$2:B844,B844)=1,1,0)</f>
        <v>0</v>
      </c>
    </row>
    <row r="845" spans="1:14" x14ac:dyDescent="0.2">
      <c r="A845">
        <v>844</v>
      </c>
      <c r="B845">
        <v>1425</v>
      </c>
      <c r="C845">
        <f>1/COUNTIF(B:B,Table1[[#This Row],[order_id]])</f>
        <v>1</v>
      </c>
      <c r="D845" t="str">
        <f>TEXT(Table1[[#This Row],[order_date]],"mmmm")</f>
        <v>March</v>
      </c>
      <c r="E845" s="1">
        <v>45360</v>
      </c>
      <c r="F845" s="1" t="str">
        <f>TEXT(Table1[[#This Row],[order_date]],"dddd")</f>
        <v>Saturday</v>
      </c>
      <c r="G845">
        <f>HOUR(Table1[[#This Row],[order_time]])</f>
        <v>16</v>
      </c>
      <c r="H845" s="2">
        <v>0.67667824074074079</v>
      </c>
      <c r="I845" t="s">
        <v>9</v>
      </c>
      <c r="J845" t="s">
        <v>29</v>
      </c>
      <c r="K845">
        <v>2</v>
      </c>
      <c r="L845">
        <v>5</v>
      </c>
      <c r="M845">
        <v>10</v>
      </c>
      <c r="N845">
        <f>IF(COUNTIFS($B$2:B845,B845)=1,1,0)</f>
        <v>1</v>
      </c>
    </row>
    <row r="846" spans="1:14" x14ac:dyDescent="0.2">
      <c r="A846">
        <v>845</v>
      </c>
      <c r="B846">
        <v>1426</v>
      </c>
      <c r="C846">
        <f>1/COUNTIF(B:B,Table1[[#This Row],[order_id]])</f>
        <v>0.5</v>
      </c>
      <c r="D846" t="str">
        <f>TEXT(Table1[[#This Row],[order_date]],"mmmm")</f>
        <v>March</v>
      </c>
      <c r="E846" s="1">
        <v>45361</v>
      </c>
      <c r="F846" s="1" t="str">
        <f>TEXT(Table1[[#This Row],[order_date]],"dddd")</f>
        <v>Sunday</v>
      </c>
      <c r="G846">
        <f>HOUR(Table1[[#This Row],[order_time]])</f>
        <v>17</v>
      </c>
      <c r="H846" s="2">
        <v>0.71135416666666662</v>
      </c>
      <c r="I846" t="s">
        <v>11</v>
      </c>
      <c r="J846" t="s">
        <v>13</v>
      </c>
      <c r="K846">
        <v>1</v>
      </c>
      <c r="L846">
        <v>680</v>
      </c>
      <c r="M846">
        <v>680</v>
      </c>
      <c r="N846">
        <f>IF(COUNTIFS($B$2:B846,B846)=1,1,0)</f>
        <v>1</v>
      </c>
    </row>
    <row r="847" spans="1:14" x14ac:dyDescent="0.2">
      <c r="A847">
        <v>846</v>
      </c>
      <c r="B847">
        <v>1426</v>
      </c>
      <c r="C847">
        <f>1/COUNTIF(B:B,Table1[[#This Row],[order_id]])</f>
        <v>0.5</v>
      </c>
      <c r="D847" t="str">
        <f>TEXT(Table1[[#This Row],[order_date]],"mmmm")</f>
        <v>March</v>
      </c>
      <c r="E847" s="1">
        <v>45361</v>
      </c>
      <c r="F847" s="1" t="str">
        <f>TEXT(Table1[[#This Row],[order_date]],"dddd")</f>
        <v>Sunday</v>
      </c>
      <c r="G847">
        <f>HOUR(Table1[[#This Row],[order_time]])</f>
        <v>20</v>
      </c>
      <c r="H847" s="2">
        <v>0.86839120370370371</v>
      </c>
      <c r="I847" t="s">
        <v>9</v>
      </c>
      <c r="J847" t="s">
        <v>21</v>
      </c>
      <c r="K847">
        <v>1</v>
      </c>
      <c r="L847">
        <v>10</v>
      </c>
      <c r="M847">
        <v>10</v>
      </c>
      <c r="N847">
        <f>IF(COUNTIFS($B$2:B847,B847)=1,1,0)</f>
        <v>0</v>
      </c>
    </row>
    <row r="848" spans="1:14" x14ac:dyDescent="0.2">
      <c r="A848">
        <v>847</v>
      </c>
      <c r="B848">
        <v>1427</v>
      </c>
      <c r="C848">
        <f>1/COUNTIF(B:B,Table1[[#This Row],[order_id]])</f>
        <v>0.5</v>
      </c>
      <c r="D848" t="str">
        <f>TEXT(Table1[[#This Row],[order_date]],"mmmm")</f>
        <v>March</v>
      </c>
      <c r="E848" s="1">
        <v>45361</v>
      </c>
      <c r="F848" s="1" t="str">
        <f>TEXT(Table1[[#This Row],[order_date]],"dddd")</f>
        <v>Sunday</v>
      </c>
      <c r="G848">
        <f>HOUR(Table1[[#This Row],[order_time]])</f>
        <v>17</v>
      </c>
      <c r="H848" s="2">
        <v>0.71627314814814813</v>
      </c>
      <c r="I848" t="s">
        <v>18</v>
      </c>
      <c r="J848" t="s">
        <v>19</v>
      </c>
      <c r="K848">
        <v>4</v>
      </c>
      <c r="L848">
        <v>50</v>
      </c>
      <c r="M848">
        <v>200</v>
      </c>
      <c r="N848">
        <f>IF(COUNTIFS($B$2:B848,B848)=1,1,0)</f>
        <v>1</v>
      </c>
    </row>
    <row r="849" spans="1:14" x14ac:dyDescent="0.2">
      <c r="A849">
        <v>848</v>
      </c>
      <c r="B849">
        <v>1427</v>
      </c>
      <c r="C849">
        <f>1/COUNTIF(B:B,Table1[[#This Row],[order_id]])</f>
        <v>0.5</v>
      </c>
      <c r="D849" t="str">
        <f>TEXT(Table1[[#This Row],[order_date]],"mmmm")</f>
        <v>March</v>
      </c>
      <c r="E849" s="1">
        <v>45361</v>
      </c>
      <c r="F849" s="1" t="str">
        <f>TEXT(Table1[[#This Row],[order_date]],"dddd")</f>
        <v>Sunday</v>
      </c>
      <c r="G849">
        <f>HOUR(Table1[[#This Row],[order_time]])</f>
        <v>15</v>
      </c>
      <c r="H849" s="2">
        <v>0.63677083333333329</v>
      </c>
      <c r="I849" t="s">
        <v>9</v>
      </c>
      <c r="J849" t="s">
        <v>10</v>
      </c>
      <c r="K849">
        <v>3</v>
      </c>
      <c r="L849">
        <v>20</v>
      </c>
      <c r="M849">
        <v>60</v>
      </c>
      <c r="N849">
        <f>IF(COUNTIFS($B$2:B849,B849)=1,1,0)</f>
        <v>0</v>
      </c>
    </row>
    <row r="850" spans="1:14" x14ac:dyDescent="0.2">
      <c r="A850">
        <v>849</v>
      </c>
      <c r="B850">
        <v>1428</v>
      </c>
      <c r="C850">
        <f>1/COUNTIF(B:B,Table1[[#This Row],[order_id]])</f>
        <v>0.5</v>
      </c>
      <c r="D850" t="str">
        <f>TEXT(Table1[[#This Row],[order_date]],"mmmm")</f>
        <v>March</v>
      </c>
      <c r="E850" s="1">
        <v>45361</v>
      </c>
      <c r="F850" s="1" t="str">
        <f>TEXT(Table1[[#This Row],[order_date]],"dddd")</f>
        <v>Sunday</v>
      </c>
      <c r="G850">
        <f>HOUR(Table1[[#This Row],[order_time]])</f>
        <v>12</v>
      </c>
      <c r="H850" s="2">
        <v>0.5028125</v>
      </c>
      <c r="I850" t="s">
        <v>11</v>
      </c>
      <c r="J850" t="s">
        <v>13</v>
      </c>
      <c r="K850">
        <v>3</v>
      </c>
      <c r="L850">
        <v>680</v>
      </c>
      <c r="M850">
        <v>2040</v>
      </c>
      <c r="N850">
        <f>IF(COUNTIFS($B$2:B850,B850)=1,1,0)</f>
        <v>1</v>
      </c>
    </row>
    <row r="851" spans="1:14" x14ac:dyDescent="0.2">
      <c r="A851">
        <v>850</v>
      </c>
      <c r="B851">
        <v>1428</v>
      </c>
      <c r="C851">
        <f>1/COUNTIF(B:B,Table1[[#This Row],[order_id]])</f>
        <v>0.5</v>
      </c>
      <c r="D851" t="str">
        <f>TEXT(Table1[[#This Row],[order_date]],"mmmm")</f>
        <v>March</v>
      </c>
      <c r="E851" s="1">
        <v>45361</v>
      </c>
      <c r="F851" s="1" t="str">
        <f>TEXT(Table1[[#This Row],[order_date]],"dddd")</f>
        <v>Sunday</v>
      </c>
      <c r="G851">
        <f>HOUR(Table1[[#This Row],[order_time]])</f>
        <v>15</v>
      </c>
      <c r="H851" s="2">
        <v>0.64974537037037039</v>
      </c>
      <c r="I851" t="s">
        <v>9</v>
      </c>
      <c r="J851" t="s">
        <v>22</v>
      </c>
      <c r="K851">
        <v>4</v>
      </c>
      <c r="L851">
        <v>15</v>
      </c>
      <c r="M851">
        <v>60</v>
      </c>
      <c r="N851">
        <f>IF(COUNTIFS($B$2:B851,B851)=1,1,0)</f>
        <v>0</v>
      </c>
    </row>
    <row r="852" spans="1:14" x14ac:dyDescent="0.2">
      <c r="A852">
        <v>851</v>
      </c>
      <c r="B852">
        <v>1429</v>
      </c>
      <c r="C852">
        <f>1/COUNTIF(B:B,Table1[[#This Row],[order_id]])</f>
        <v>0.33333333333333331</v>
      </c>
      <c r="D852" t="str">
        <f>TEXT(Table1[[#This Row],[order_date]],"mmmm")</f>
        <v>March</v>
      </c>
      <c r="E852" s="1">
        <v>45361</v>
      </c>
      <c r="F852" s="1" t="str">
        <f>TEXT(Table1[[#This Row],[order_date]],"dddd")</f>
        <v>Sunday</v>
      </c>
      <c r="G852">
        <f>HOUR(Table1[[#This Row],[order_time]])</f>
        <v>16</v>
      </c>
      <c r="H852" s="2">
        <v>0.68087962962962967</v>
      </c>
      <c r="I852" t="s">
        <v>16</v>
      </c>
      <c r="J852" t="s">
        <v>17</v>
      </c>
      <c r="K852">
        <v>2</v>
      </c>
      <c r="L852">
        <v>20</v>
      </c>
      <c r="M852">
        <v>40</v>
      </c>
      <c r="N852">
        <f>IF(COUNTIFS($B$2:B852,B852)=1,1,0)</f>
        <v>1</v>
      </c>
    </row>
    <row r="853" spans="1:14" x14ac:dyDescent="0.2">
      <c r="A853">
        <v>852</v>
      </c>
      <c r="B853">
        <v>1429</v>
      </c>
      <c r="C853">
        <f>1/COUNTIF(B:B,Table1[[#This Row],[order_id]])</f>
        <v>0.33333333333333331</v>
      </c>
      <c r="D853" t="str">
        <f>TEXT(Table1[[#This Row],[order_date]],"mmmm")</f>
        <v>March</v>
      </c>
      <c r="E853" s="1">
        <v>45361</v>
      </c>
      <c r="F853" s="1" t="str">
        <f>TEXT(Table1[[#This Row],[order_date]],"dddd")</f>
        <v>Sunday</v>
      </c>
      <c r="G853">
        <f>HOUR(Table1[[#This Row],[order_time]])</f>
        <v>18</v>
      </c>
      <c r="H853" s="2">
        <v>0.75290509259259264</v>
      </c>
      <c r="I853" t="s">
        <v>9</v>
      </c>
      <c r="J853" t="s">
        <v>10</v>
      </c>
      <c r="K853">
        <v>5</v>
      </c>
      <c r="L853">
        <v>20</v>
      </c>
      <c r="M853">
        <v>100</v>
      </c>
      <c r="N853">
        <f>IF(COUNTIFS($B$2:B853,B853)=1,1,0)</f>
        <v>0</v>
      </c>
    </row>
    <row r="854" spans="1:14" x14ac:dyDescent="0.2">
      <c r="A854">
        <v>853</v>
      </c>
      <c r="B854">
        <v>1429</v>
      </c>
      <c r="C854">
        <f>1/COUNTIF(B:B,Table1[[#This Row],[order_id]])</f>
        <v>0.33333333333333331</v>
      </c>
      <c r="D854" t="str">
        <f>TEXT(Table1[[#This Row],[order_date]],"mmmm")</f>
        <v>March</v>
      </c>
      <c r="E854" s="1">
        <v>45361</v>
      </c>
      <c r="F854" s="1" t="str">
        <f>TEXT(Table1[[#This Row],[order_date]],"dddd")</f>
        <v>Sunday</v>
      </c>
      <c r="G854">
        <f>HOUR(Table1[[#This Row],[order_time]])</f>
        <v>18</v>
      </c>
      <c r="H854" s="2">
        <v>0.75466435185185188</v>
      </c>
      <c r="I854" t="s">
        <v>11</v>
      </c>
      <c r="J854" t="s">
        <v>14</v>
      </c>
      <c r="K854">
        <v>2</v>
      </c>
      <c r="L854">
        <v>700</v>
      </c>
      <c r="M854">
        <v>1400</v>
      </c>
      <c r="N854">
        <f>IF(COUNTIFS($B$2:B854,B854)=1,1,0)</f>
        <v>0</v>
      </c>
    </row>
    <row r="855" spans="1:14" x14ac:dyDescent="0.2">
      <c r="A855">
        <v>854</v>
      </c>
      <c r="B855">
        <v>1430</v>
      </c>
      <c r="C855">
        <f>1/COUNTIF(B:B,Table1[[#This Row],[order_id]])</f>
        <v>0.5</v>
      </c>
      <c r="D855" t="str">
        <f>TEXT(Table1[[#This Row],[order_date]],"mmmm")</f>
        <v>March</v>
      </c>
      <c r="E855" s="1">
        <v>45361</v>
      </c>
      <c r="F855" s="1" t="str">
        <f>TEXT(Table1[[#This Row],[order_date]],"dddd")</f>
        <v>Sunday</v>
      </c>
      <c r="G855">
        <f>HOUR(Table1[[#This Row],[order_time]])</f>
        <v>16</v>
      </c>
      <c r="H855" s="2">
        <v>0.69185185185185183</v>
      </c>
      <c r="I855" t="s">
        <v>11</v>
      </c>
      <c r="J855" t="s">
        <v>12</v>
      </c>
      <c r="K855">
        <v>5</v>
      </c>
      <c r="L855">
        <v>650</v>
      </c>
      <c r="M855">
        <v>3250</v>
      </c>
      <c r="N855">
        <f>IF(COUNTIFS($B$2:B855,B855)=1,1,0)</f>
        <v>1</v>
      </c>
    </row>
    <row r="856" spans="1:14" x14ac:dyDescent="0.2">
      <c r="A856">
        <v>855</v>
      </c>
      <c r="B856">
        <v>1430</v>
      </c>
      <c r="C856">
        <f>1/COUNTIF(B:B,Table1[[#This Row],[order_id]])</f>
        <v>0.5</v>
      </c>
      <c r="D856" t="str">
        <f>TEXT(Table1[[#This Row],[order_date]],"mmmm")</f>
        <v>March</v>
      </c>
      <c r="E856" s="1">
        <v>45361</v>
      </c>
      <c r="F856" s="1" t="str">
        <f>TEXT(Table1[[#This Row],[order_date]],"dddd")</f>
        <v>Sunday</v>
      </c>
      <c r="G856">
        <f>HOUR(Table1[[#This Row],[order_time]])</f>
        <v>9</v>
      </c>
      <c r="H856" s="2">
        <v>0.3782638888888889</v>
      </c>
      <c r="I856" t="s">
        <v>11</v>
      </c>
      <c r="J856" t="s">
        <v>13</v>
      </c>
      <c r="K856">
        <v>3</v>
      </c>
      <c r="L856">
        <v>680</v>
      </c>
      <c r="M856">
        <v>2040</v>
      </c>
      <c r="N856">
        <f>IF(COUNTIFS($B$2:B856,B856)=1,1,0)</f>
        <v>0</v>
      </c>
    </row>
    <row r="857" spans="1:14" x14ac:dyDescent="0.2">
      <c r="A857">
        <v>856</v>
      </c>
      <c r="B857">
        <v>1431</v>
      </c>
      <c r="C857">
        <f>1/COUNTIF(B:B,Table1[[#This Row],[order_id]])</f>
        <v>0.33333333333333331</v>
      </c>
      <c r="D857" t="str">
        <f>TEXT(Table1[[#This Row],[order_date]],"mmmm")</f>
        <v>March</v>
      </c>
      <c r="E857" s="1">
        <v>45361</v>
      </c>
      <c r="F857" s="1" t="str">
        <f>TEXT(Table1[[#This Row],[order_date]],"dddd")</f>
        <v>Sunday</v>
      </c>
      <c r="G857">
        <f>HOUR(Table1[[#This Row],[order_time]])</f>
        <v>15</v>
      </c>
      <c r="H857" s="2">
        <v>0.64855324074074072</v>
      </c>
      <c r="I857" t="s">
        <v>11</v>
      </c>
      <c r="J857" t="s">
        <v>25</v>
      </c>
      <c r="K857">
        <v>4</v>
      </c>
      <c r="L857">
        <v>1000</v>
      </c>
      <c r="M857">
        <v>4000</v>
      </c>
      <c r="N857">
        <f>IF(COUNTIFS($B$2:B857,B857)=1,1,0)</f>
        <v>1</v>
      </c>
    </row>
    <row r="858" spans="1:14" x14ac:dyDescent="0.2">
      <c r="A858">
        <v>857</v>
      </c>
      <c r="B858">
        <v>1431</v>
      </c>
      <c r="C858">
        <f>1/COUNTIF(B:B,Table1[[#This Row],[order_id]])</f>
        <v>0.33333333333333331</v>
      </c>
      <c r="D858" t="str">
        <f>TEXT(Table1[[#This Row],[order_date]],"mmmm")</f>
        <v>March</v>
      </c>
      <c r="E858" s="1">
        <v>45361</v>
      </c>
      <c r="F858" s="1" t="str">
        <f>TEXT(Table1[[#This Row],[order_date]],"dddd")</f>
        <v>Sunday</v>
      </c>
      <c r="G858">
        <f>HOUR(Table1[[#This Row],[order_time]])</f>
        <v>16</v>
      </c>
      <c r="H858" s="2">
        <v>0.70219907407407411</v>
      </c>
      <c r="I858" t="s">
        <v>11</v>
      </c>
      <c r="J858" t="s">
        <v>25</v>
      </c>
      <c r="K858">
        <v>2</v>
      </c>
      <c r="L858">
        <v>1000</v>
      </c>
      <c r="M858">
        <v>2000</v>
      </c>
      <c r="N858">
        <f>IF(COUNTIFS($B$2:B858,B858)=1,1,0)</f>
        <v>0</v>
      </c>
    </row>
    <row r="859" spans="1:14" x14ac:dyDescent="0.2">
      <c r="A859">
        <v>858</v>
      </c>
      <c r="B859">
        <v>1431</v>
      </c>
      <c r="C859">
        <f>1/COUNTIF(B:B,Table1[[#This Row],[order_id]])</f>
        <v>0.33333333333333331</v>
      </c>
      <c r="D859" t="str">
        <f>TEXT(Table1[[#This Row],[order_date]],"mmmm")</f>
        <v>March</v>
      </c>
      <c r="E859" s="1">
        <v>45361</v>
      </c>
      <c r="F859" s="1" t="str">
        <f>TEXT(Table1[[#This Row],[order_date]],"dddd")</f>
        <v>Sunday</v>
      </c>
      <c r="G859">
        <f>HOUR(Table1[[#This Row],[order_time]])</f>
        <v>11</v>
      </c>
      <c r="H859" s="2">
        <v>0.49690972222222224</v>
      </c>
      <c r="I859" t="s">
        <v>11</v>
      </c>
      <c r="J859" t="s">
        <v>14</v>
      </c>
      <c r="K859">
        <v>3</v>
      </c>
      <c r="L859">
        <v>700</v>
      </c>
      <c r="M859">
        <v>2100</v>
      </c>
      <c r="N859">
        <f>IF(COUNTIFS($B$2:B859,B859)=1,1,0)</f>
        <v>0</v>
      </c>
    </row>
    <row r="860" spans="1:14" x14ac:dyDescent="0.2">
      <c r="A860">
        <v>859</v>
      </c>
      <c r="B860">
        <v>1432</v>
      </c>
      <c r="C860">
        <f>1/COUNTIF(B:B,Table1[[#This Row],[order_id]])</f>
        <v>0.33333333333333331</v>
      </c>
      <c r="D860" t="str">
        <f>TEXT(Table1[[#This Row],[order_date]],"mmmm")</f>
        <v>March</v>
      </c>
      <c r="E860" s="1">
        <v>45362</v>
      </c>
      <c r="F860" s="1" t="str">
        <f>TEXT(Table1[[#This Row],[order_date]],"dddd")</f>
        <v>Monday</v>
      </c>
      <c r="G860">
        <f>HOUR(Table1[[#This Row],[order_time]])</f>
        <v>11</v>
      </c>
      <c r="H860" s="2">
        <v>0.46668981481481481</v>
      </c>
      <c r="I860" t="s">
        <v>18</v>
      </c>
      <c r="J860" t="s">
        <v>30</v>
      </c>
      <c r="K860">
        <v>1</v>
      </c>
      <c r="L860">
        <v>60</v>
      </c>
      <c r="M860">
        <v>60</v>
      </c>
      <c r="N860">
        <f>IF(COUNTIFS($B$2:B860,B860)=1,1,0)</f>
        <v>1</v>
      </c>
    </row>
    <row r="861" spans="1:14" x14ac:dyDescent="0.2">
      <c r="A861">
        <v>860</v>
      </c>
      <c r="B861">
        <v>1432</v>
      </c>
      <c r="C861">
        <f>1/COUNTIF(B:B,Table1[[#This Row],[order_id]])</f>
        <v>0.33333333333333331</v>
      </c>
      <c r="D861" t="str">
        <f>TEXT(Table1[[#This Row],[order_date]],"mmmm")</f>
        <v>March</v>
      </c>
      <c r="E861" s="1">
        <v>45362</v>
      </c>
      <c r="F861" s="1" t="str">
        <f>TEXT(Table1[[#This Row],[order_date]],"dddd")</f>
        <v>Monday</v>
      </c>
      <c r="G861">
        <f>HOUR(Table1[[#This Row],[order_time]])</f>
        <v>20</v>
      </c>
      <c r="H861" s="2">
        <v>0.85923611111111109</v>
      </c>
      <c r="I861" t="s">
        <v>9</v>
      </c>
      <c r="J861" t="s">
        <v>22</v>
      </c>
      <c r="K861">
        <v>2</v>
      </c>
      <c r="L861">
        <v>15</v>
      </c>
      <c r="M861">
        <v>30</v>
      </c>
      <c r="N861">
        <f>IF(COUNTIFS($B$2:B861,B861)=1,1,0)</f>
        <v>0</v>
      </c>
    </row>
    <row r="862" spans="1:14" x14ac:dyDescent="0.2">
      <c r="A862">
        <v>861</v>
      </c>
      <c r="B862">
        <v>1432</v>
      </c>
      <c r="C862">
        <f>1/COUNTIF(B:B,Table1[[#This Row],[order_id]])</f>
        <v>0.33333333333333331</v>
      </c>
      <c r="D862" t="str">
        <f>TEXT(Table1[[#This Row],[order_date]],"mmmm")</f>
        <v>March</v>
      </c>
      <c r="E862" s="1">
        <v>45362</v>
      </c>
      <c r="F862" s="1" t="str">
        <f>TEXT(Table1[[#This Row],[order_date]],"dddd")</f>
        <v>Monday</v>
      </c>
      <c r="G862">
        <f>HOUR(Table1[[#This Row],[order_time]])</f>
        <v>10</v>
      </c>
      <c r="H862" s="2">
        <v>0.44953703703703701</v>
      </c>
      <c r="I862" t="s">
        <v>18</v>
      </c>
      <c r="J862" t="s">
        <v>31</v>
      </c>
      <c r="K862">
        <v>4</v>
      </c>
      <c r="L862">
        <v>45</v>
      </c>
      <c r="M862">
        <v>180</v>
      </c>
      <c r="N862">
        <f>IF(COUNTIFS($B$2:B862,B862)=1,1,0)</f>
        <v>0</v>
      </c>
    </row>
    <row r="863" spans="1:14" x14ac:dyDescent="0.2">
      <c r="A863">
        <v>862</v>
      </c>
      <c r="B863">
        <v>1433</v>
      </c>
      <c r="C863">
        <f>1/COUNTIF(B:B,Table1[[#This Row],[order_id]])</f>
        <v>1</v>
      </c>
      <c r="D863" t="str">
        <f>TEXT(Table1[[#This Row],[order_date]],"mmmm")</f>
        <v>March</v>
      </c>
      <c r="E863" s="1">
        <v>45362</v>
      </c>
      <c r="F863" s="1" t="str">
        <f>TEXT(Table1[[#This Row],[order_date]],"dddd")</f>
        <v>Monday</v>
      </c>
      <c r="G863">
        <f>HOUR(Table1[[#This Row],[order_time]])</f>
        <v>19</v>
      </c>
      <c r="H863" s="2">
        <v>0.80249999999999999</v>
      </c>
      <c r="I863" t="s">
        <v>9</v>
      </c>
      <c r="J863" t="s">
        <v>29</v>
      </c>
      <c r="K863">
        <v>2</v>
      </c>
      <c r="L863">
        <v>5</v>
      </c>
      <c r="M863">
        <v>10</v>
      </c>
      <c r="N863">
        <f>IF(COUNTIFS($B$2:B863,B863)=1,1,0)</f>
        <v>1</v>
      </c>
    </row>
    <row r="864" spans="1:14" x14ac:dyDescent="0.2">
      <c r="A864">
        <v>863</v>
      </c>
      <c r="B864">
        <v>1434</v>
      </c>
      <c r="C864">
        <f>1/COUNTIF(B:B,Table1[[#This Row],[order_id]])</f>
        <v>0.5</v>
      </c>
      <c r="D864" t="str">
        <f>TEXT(Table1[[#This Row],[order_date]],"mmmm")</f>
        <v>March</v>
      </c>
      <c r="E864" s="1">
        <v>45362</v>
      </c>
      <c r="F864" s="1" t="str">
        <f>TEXT(Table1[[#This Row],[order_date]],"dddd")</f>
        <v>Monday</v>
      </c>
      <c r="G864">
        <f>HOUR(Table1[[#This Row],[order_time]])</f>
        <v>19</v>
      </c>
      <c r="H864" s="2">
        <v>0.82265046296296296</v>
      </c>
      <c r="I864" t="s">
        <v>9</v>
      </c>
      <c r="J864" t="s">
        <v>10</v>
      </c>
      <c r="K864">
        <v>2</v>
      </c>
      <c r="L864">
        <v>20</v>
      </c>
      <c r="M864">
        <v>40</v>
      </c>
      <c r="N864">
        <f>IF(COUNTIFS($B$2:B864,B864)=1,1,0)</f>
        <v>1</v>
      </c>
    </row>
    <row r="865" spans="1:14" x14ac:dyDescent="0.2">
      <c r="A865">
        <v>864</v>
      </c>
      <c r="B865">
        <v>1434</v>
      </c>
      <c r="C865">
        <f>1/COUNTIF(B:B,Table1[[#This Row],[order_id]])</f>
        <v>0.5</v>
      </c>
      <c r="D865" t="str">
        <f>TEXT(Table1[[#This Row],[order_date]],"mmmm")</f>
        <v>March</v>
      </c>
      <c r="E865" s="1">
        <v>45362</v>
      </c>
      <c r="F865" s="1" t="str">
        <f>TEXT(Table1[[#This Row],[order_date]],"dddd")</f>
        <v>Monday</v>
      </c>
      <c r="G865">
        <f>HOUR(Table1[[#This Row],[order_time]])</f>
        <v>13</v>
      </c>
      <c r="H865" s="2">
        <v>0.54313657407407412</v>
      </c>
      <c r="I865" t="s">
        <v>9</v>
      </c>
      <c r="J865" t="s">
        <v>29</v>
      </c>
      <c r="K865">
        <v>5</v>
      </c>
      <c r="L865">
        <v>5</v>
      </c>
      <c r="M865">
        <v>25</v>
      </c>
      <c r="N865">
        <f>IF(COUNTIFS($B$2:B865,B865)=1,1,0)</f>
        <v>0</v>
      </c>
    </row>
    <row r="866" spans="1:14" x14ac:dyDescent="0.2">
      <c r="A866">
        <v>865</v>
      </c>
      <c r="B866">
        <v>1435</v>
      </c>
      <c r="C866">
        <f>1/COUNTIF(B:B,Table1[[#This Row],[order_id]])</f>
        <v>0.5</v>
      </c>
      <c r="D866" t="str">
        <f>TEXT(Table1[[#This Row],[order_date]],"mmmm")</f>
        <v>March</v>
      </c>
      <c r="E866" s="1">
        <v>45362</v>
      </c>
      <c r="F866" s="1" t="str">
        <f>TEXT(Table1[[#This Row],[order_date]],"dddd")</f>
        <v>Monday</v>
      </c>
      <c r="G866">
        <f>HOUR(Table1[[#This Row],[order_time]])</f>
        <v>19</v>
      </c>
      <c r="H866" s="2">
        <v>0.83201388888888894</v>
      </c>
      <c r="I866" t="s">
        <v>16</v>
      </c>
      <c r="J866" t="s">
        <v>17</v>
      </c>
      <c r="K866">
        <v>5</v>
      </c>
      <c r="L866">
        <v>20</v>
      </c>
      <c r="M866">
        <v>100</v>
      </c>
      <c r="N866">
        <f>IF(COUNTIFS($B$2:B866,B866)=1,1,0)</f>
        <v>1</v>
      </c>
    </row>
    <row r="867" spans="1:14" x14ac:dyDescent="0.2">
      <c r="A867">
        <v>866</v>
      </c>
      <c r="B867">
        <v>1435</v>
      </c>
      <c r="C867">
        <f>1/COUNTIF(B:B,Table1[[#This Row],[order_id]])</f>
        <v>0.5</v>
      </c>
      <c r="D867" t="str">
        <f>TEXT(Table1[[#This Row],[order_date]],"mmmm")</f>
        <v>March</v>
      </c>
      <c r="E867" s="1">
        <v>45362</v>
      </c>
      <c r="F867" s="1" t="str">
        <f>TEXT(Table1[[#This Row],[order_date]],"dddd")</f>
        <v>Monday</v>
      </c>
      <c r="G867">
        <f>HOUR(Table1[[#This Row],[order_time]])</f>
        <v>11</v>
      </c>
      <c r="H867" s="2">
        <v>0.47125</v>
      </c>
      <c r="I867" t="s">
        <v>18</v>
      </c>
      <c r="J867" t="s">
        <v>31</v>
      </c>
      <c r="K867">
        <v>2</v>
      </c>
      <c r="L867">
        <v>45</v>
      </c>
      <c r="M867">
        <v>90</v>
      </c>
      <c r="N867">
        <f>IF(COUNTIFS($B$2:B867,B867)=1,1,0)</f>
        <v>0</v>
      </c>
    </row>
    <row r="868" spans="1:14" x14ac:dyDescent="0.2">
      <c r="A868">
        <v>867</v>
      </c>
      <c r="B868">
        <v>1436</v>
      </c>
      <c r="C868">
        <f>1/COUNTIF(B:B,Table1[[#This Row],[order_id]])</f>
        <v>0.5</v>
      </c>
      <c r="D868" t="str">
        <f>TEXT(Table1[[#This Row],[order_date]],"mmmm")</f>
        <v>March</v>
      </c>
      <c r="E868" s="1">
        <v>45362</v>
      </c>
      <c r="F868" s="1" t="str">
        <f>TEXT(Table1[[#This Row],[order_date]],"dddd")</f>
        <v>Monday</v>
      </c>
      <c r="G868">
        <f>HOUR(Table1[[#This Row],[order_time]])</f>
        <v>18</v>
      </c>
      <c r="H868" s="2">
        <v>0.78156250000000005</v>
      </c>
      <c r="I868" t="s">
        <v>9</v>
      </c>
      <c r="J868" t="s">
        <v>29</v>
      </c>
      <c r="K868">
        <v>1</v>
      </c>
      <c r="L868">
        <v>5</v>
      </c>
      <c r="M868">
        <v>5</v>
      </c>
      <c r="N868">
        <f>IF(COUNTIFS($B$2:B868,B868)=1,1,0)</f>
        <v>1</v>
      </c>
    </row>
    <row r="869" spans="1:14" x14ac:dyDescent="0.2">
      <c r="A869">
        <v>868</v>
      </c>
      <c r="B869">
        <v>1436</v>
      </c>
      <c r="C869">
        <f>1/COUNTIF(B:B,Table1[[#This Row],[order_id]])</f>
        <v>0.5</v>
      </c>
      <c r="D869" t="str">
        <f>TEXT(Table1[[#This Row],[order_date]],"mmmm")</f>
        <v>March</v>
      </c>
      <c r="E869" s="1">
        <v>45362</v>
      </c>
      <c r="F869" s="1" t="str">
        <f>TEXT(Table1[[#This Row],[order_date]],"dddd")</f>
        <v>Monday</v>
      </c>
      <c r="G869">
        <f>HOUR(Table1[[#This Row],[order_time]])</f>
        <v>13</v>
      </c>
      <c r="H869" s="2">
        <v>0.56879629629629624</v>
      </c>
      <c r="I869" t="s">
        <v>16</v>
      </c>
      <c r="J869" t="s">
        <v>23</v>
      </c>
      <c r="K869">
        <v>2</v>
      </c>
      <c r="L869">
        <v>30</v>
      </c>
      <c r="M869">
        <v>60</v>
      </c>
      <c r="N869">
        <f>IF(COUNTIFS($B$2:B869,B869)=1,1,0)</f>
        <v>0</v>
      </c>
    </row>
    <row r="870" spans="1:14" x14ac:dyDescent="0.2">
      <c r="A870">
        <v>869</v>
      </c>
      <c r="B870">
        <v>1437</v>
      </c>
      <c r="C870">
        <f>1/COUNTIF(B:B,Table1[[#This Row],[order_id]])</f>
        <v>1</v>
      </c>
      <c r="D870" t="str">
        <f>TEXT(Table1[[#This Row],[order_date]],"mmmm")</f>
        <v>March</v>
      </c>
      <c r="E870" s="1">
        <v>45362</v>
      </c>
      <c r="F870" s="1" t="str">
        <f>TEXT(Table1[[#This Row],[order_date]],"dddd")</f>
        <v>Monday</v>
      </c>
      <c r="G870">
        <f>HOUR(Table1[[#This Row],[order_time]])</f>
        <v>20</v>
      </c>
      <c r="H870" s="2">
        <v>0.85394675925925922</v>
      </c>
      <c r="I870" t="s">
        <v>16</v>
      </c>
      <c r="J870" t="s">
        <v>28</v>
      </c>
      <c r="K870">
        <v>3</v>
      </c>
      <c r="L870">
        <v>25</v>
      </c>
      <c r="M870">
        <v>75</v>
      </c>
      <c r="N870">
        <f>IF(COUNTIFS($B$2:B870,B870)=1,1,0)</f>
        <v>1</v>
      </c>
    </row>
    <row r="871" spans="1:14" x14ac:dyDescent="0.2">
      <c r="A871">
        <v>870</v>
      </c>
      <c r="B871">
        <v>1438</v>
      </c>
      <c r="C871">
        <f>1/COUNTIF(B:B,Table1[[#This Row],[order_id]])</f>
        <v>0.5</v>
      </c>
      <c r="D871" t="str">
        <f>TEXT(Table1[[#This Row],[order_date]],"mmmm")</f>
        <v>March</v>
      </c>
      <c r="E871" s="1">
        <v>45363</v>
      </c>
      <c r="F871" s="1" t="str">
        <f>TEXT(Table1[[#This Row],[order_date]],"dddd")</f>
        <v>Tuesday</v>
      </c>
      <c r="G871">
        <f>HOUR(Table1[[#This Row],[order_time]])</f>
        <v>16</v>
      </c>
      <c r="H871" s="2">
        <v>0.67901620370370375</v>
      </c>
      <c r="I871" t="s">
        <v>16</v>
      </c>
      <c r="J871" t="s">
        <v>28</v>
      </c>
      <c r="K871">
        <v>5</v>
      </c>
      <c r="L871">
        <v>25</v>
      </c>
      <c r="M871">
        <v>125</v>
      </c>
      <c r="N871">
        <f>IF(COUNTIFS($B$2:B871,B871)=1,1,0)</f>
        <v>1</v>
      </c>
    </row>
    <row r="872" spans="1:14" x14ac:dyDescent="0.2">
      <c r="A872">
        <v>871</v>
      </c>
      <c r="B872">
        <v>1438</v>
      </c>
      <c r="C872">
        <f>1/COUNTIF(B:B,Table1[[#This Row],[order_id]])</f>
        <v>0.5</v>
      </c>
      <c r="D872" t="str">
        <f>TEXT(Table1[[#This Row],[order_date]],"mmmm")</f>
        <v>March</v>
      </c>
      <c r="E872" s="1">
        <v>45363</v>
      </c>
      <c r="F872" s="1" t="str">
        <f>TEXT(Table1[[#This Row],[order_date]],"dddd")</f>
        <v>Tuesday</v>
      </c>
      <c r="G872">
        <f>HOUR(Table1[[#This Row],[order_time]])</f>
        <v>12</v>
      </c>
      <c r="H872" s="2">
        <v>0.54027777777777775</v>
      </c>
      <c r="I872" t="s">
        <v>16</v>
      </c>
      <c r="J872" t="s">
        <v>24</v>
      </c>
      <c r="K872">
        <v>5</v>
      </c>
      <c r="L872">
        <v>35</v>
      </c>
      <c r="M872">
        <v>175</v>
      </c>
      <c r="N872">
        <f>IF(COUNTIFS($B$2:B872,B872)=1,1,0)</f>
        <v>0</v>
      </c>
    </row>
    <row r="873" spans="1:14" x14ac:dyDescent="0.2">
      <c r="A873">
        <v>872</v>
      </c>
      <c r="B873">
        <v>1439</v>
      </c>
      <c r="C873">
        <f>1/COUNTIF(B:B,Table1[[#This Row],[order_id]])</f>
        <v>0.33333333333333331</v>
      </c>
      <c r="D873" t="str">
        <f>TEXT(Table1[[#This Row],[order_date]],"mmmm")</f>
        <v>March</v>
      </c>
      <c r="E873" s="1">
        <v>45363</v>
      </c>
      <c r="F873" s="1" t="str">
        <f>TEXT(Table1[[#This Row],[order_date]],"dddd")</f>
        <v>Tuesday</v>
      </c>
      <c r="G873">
        <f>HOUR(Table1[[#This Row],[order_time]])</f>
        <v>20</v>
      </c>
      <c r="H873" s="2">
        <v>0.87327546296296299</v>
      </c>
      <c r="I873" t="s">
        <v>16</v>
      </c>
      <c r="J873" t="s">
        <v>28</v>
      </c>
      <c r="K873">
        <v>1</v>
      </c>
      <c r="L873">
        <v>25</v>
      </c>
      <c r="M873">
        <v>25</v>
      </c>
      <c r="N873">
        <f>IF(COUNTIFS($B$2:B873,B873)=1,1,0)</f>
        <v>1</v>
      </c>
    </row>
    <row r="874" spans="1:14" x14ac:dyDescent="0.2">
      <c r="A874">
        <v>873</v>
      </c>
      <c r="B874">
        <v>1439</v>
      </c>
      <c r="C874">
        <f>1/COUNTIF(B:B,Table1[[#This Row],[order_id]])</f>
        <v>0.33333333333333331</v>
      </c>
      <c r="D874" t="str">
        <f>TEXT(Table1[[#This Row],[order_date]],"mmmm")</f>
        <v>March</v>
      </c>
      <c r="E874" s="1">
        <v>45363</v>
      </c>
      <c r="F874" s="1" t="str">
        <f>TEXT(Table1[[#This Row],[order_date]],"dddd")</f>
        <v>Tuesday</v>
      </c>
      <c r="G874">
        <f>HOUR(Table1[[#This Row],[order_time]])</f>
        <v>20</v>
      </c>
      <c r="H874" s="2">
        <v>0.86328703703703702</v>
      </c>
      <c r="I874" t="s">
        <v>18</v>
      </c>
      <c r="J874" t="s">
        <v>26</v>
      </c>
      <c r="K874">
        <v>5</v>
      </c>
      <c r="L874">
        <v>55</v>
      </c>
      <c r="M874">
        <v>275</v>
      </c>
      <c r="N874">
        <f>IF(COUNTIFS($B$2:B874,B874)=1,1,0)</f>
        <v>0</v>
      </c>
    </row>
    <row r="875" spans="1:14" x14ac:dyDescent="0.2">
      <c r="A875">
        <v>874</v>
      </c>
      <c r="B875">
        <v>1439</v>
      </c>
      <c r="C875">
        <f>1/COUNTIF(B:B,Table1[[#This Row],[order_id]])</f>
        <v>0.33333333333333331</v>
      </c>
      <c r="D875" t="str">
        <f>TEXT(Table1[[#This Row],[order_date]],"mmmm")</f>
        <v>March</v>
      </c>
      <c r="E875" s="1">
        <v>45363</v>
      </c>
      <c r="F875" s="1" t="str">
        <f>TEXT(Table1[[#This Row],[order_date]],"dddd")</f>
        <v>Tuesday</v>
      </c>
      <c r="G875">
        <f>HOUR(Table1[[#This Row],[order_time]])</f>
        <v>15</v>
      </c>
      <c r="H875" s="2">
        <v>0.65800925925925924</v>
      </c>
      <c r="I875" t="s">
        <v>16</v>
      </c>
      <c r="J875" t="s">
        <v>23</v>
      </c>
      <c r="K875">
        <v>1</v>
      </c>
      <c r="L875">
        <v>30</v>
      </c>
      <c r="M875">
        <v>30</v>
      </c>
      <c r="N875">
        <f>IF(COUNTIFS($B$2:B875,B875)=1,1,0)</f>
        <v>0</v>
      </c>
    </row>
    <row r="876" spans="1:14" x14ac:dyDescent="0.2">
      <c r="A876">
        <v>875</v>
      </c>
      <c r="B876">
        <v>1440</v>
      </c>
      <c r="C876">
        <f>1/COUNTIF(B:B,Table1[[#This Row],[order_id]])</f>
        <v>0.33333333333333331</v>
      </c>
      <c r="D876" t="str">
        <f>TEXT(Table1[[#This Row],[order_date]],"mmmm")</f>
        <v>March</v>
      </c>
      <c r="E876" s="1">
        <v>45363</v>
      </c>
      <c r="F876" s="1" t="str">
        <f>TEXT(Table1[[#This Row],[order_date]],"dddd")</f>
        <v>Tuesday</v>
      </c>
      <c r="G876">
        <f>HOUR(Table1[[#This Row],[order_time]])</f>
        <v>11</v>
      </c>
      <c r="H876" s="2">
        <v>0.48230324074074077</v>
      </c>
      <c r="I876" t="s">
        <v>11</v>
      </c>
      <c r="J876" t="s">
        <v>13</v>
      </c>
      <c r="K876">
        <v>3</v>
      </c>
      <c r="L876">
        <v>680</v>
      </c>
      <c r="M876">
        <v>2040</v>
      </c>
      <c r="N876">
        <f>IF(COUNTIFS($B$2:B876,B876)=1,1,0)</f>
        <v>1</v>
      </c>
    </row>
    <row r="877" spans="1:14" x14ac:dyDescent="0.2">
      <c r="A877">
        <v>876</v>
      </c>
      <c r="B877">
        <v>1440</v>
      </c>
      <c r="C877">
        <f>1/COUNTIF(B:B,Table1[[#This Row],[order_id]])</f>
        <v>0.33333333333333331</v>
      </c>
      <c r="D877" t="str">
        <f>TEXT(Table1[[#This Row],[order_date]],"mmmm")</f>
        <v>March</v>
      </c>
      <c r="E877" s="1">
        <v>45363</v>
      </c>
      <c r="F877" s="1" t="str">
        <f>TEXT(Table1[[#This Row],[order_date]],"dddd")</f>
        <v>Tuesday</v>
      </c>
      <c r="G877">
        <f>HOUR(Table1[[#This Row],[order_time]])</f>
        <v>19</v>
      </c>
      <c r="H877" s="2">
        <v>0.81179398148148152</v>
      </c>
      <c r="I877" t="s">
        <v>18</v>
      </c>
      <c r="J877" t="s">
        <v>30</v>
      </c>
      <c r="K877">
        <v>3</v>
      </c>
      <c r="L877">
        <v>60</v>
      </c>
      <c r="M877">
        <v>180</v>
      </c>
      <c r="N877">
        <f>IF(COUNTIFS($B$2:B877,B877)=1,1,0)</f>
        <v>0</v>
      </c>
    </row>
    <row r="878" spans="1:14" x14ac:dyDescent="0.2">
      <c r="A878">
        <v>877</v>
      </c>
      <c r="B878">
        <v>1440</v>
      </c>
      <c r="C878">
        <f>1/COUNTIF(B:B,Table1[[#This Row],[order_id]])</f>
        <v>0.33333333333333331</v>
      </c>
      <c r="D878" t="str">
        <f>TEXT(Table1[[#This Row],[order_date]],"mmmm")</f>
        <v>March</v>
      </c>
      <c r="E878" s="1">
        <v>45363</v>
      </c>
      <c r="F878" s="1" t="str">
        <f>TEXT(Table1[[#This Row],[order_date]],"dddd")</f>
        <v>Tuesday</v>
      </c>
      <c r="G878">
        <f>HOUR(Table1[[#This Row],[order_time]])</f>
        <v>17</v>
      </c>
      <c r="H878" s="2">
        <v>0.74636574074074069</v>
      </c>
      <c r="I878" t="s">
        <v>16</v>
      </c>
      <c r="J878" t="s">
        <v>28</v>
      </c>
      <c r="K878">
        <v>3</v>
      </c>
      <c r="L878">
        <v>25</v>
      </c>
      <c r="M878">
        <v>75</v>
      </c>
      <c r="N878">
        <f>IF(COUNTIFS($B$2:B878,B878)=1,1,0)</f>
        <v>0</v>
      </c>
    </row>
    <row r="879" spans="1:14" x14ac:dyDescent="0.2">
      <c r="A879">
        <v>878</v>
      </c>
      <c r="B879">
        <v>1441</v>
      </c>
      <c r="C879">
        <f>1/COUNTIF(B:B,Table1[[#This Row],[order_id]])</f>
        <v>0.5</v>
      </c>
      <c r="D879" t="str">
        <f>TEXT(Table1[[#This Row],[order_date]],"mmmm")</f>
        <v>March</v>
      </c>
      <c r="E879" s="1">
        <v>45363</v>
      </c>
      <c r="F879" s="1" t="str">
        <f>TEXT(Table1[[#This Row],[order_date]],"dddd")</f>
        <v>Tuesday</v>
      </c>
      <c r="G879">
        <f>HOUR(Table1[[#This Row],[order_time]])</f>
        <v>10</v>
      </c>
      <c r="H879" s="2">
        <v>0.45501157407407405</v>
      </c>
      <c r="I879" t="s">
        <v>18</v>
      </c>
      <c r="J879" t="s">
        <v>26</v>
      </c>
      <c r="K879">
        <v>1</v>
      </c>
      <c r="L879">
        <v>55</v>
      </c>
      <c r="M879">
        <v>55</v>
      </c>
      <c r="N879">
        <f>IF(COUNTIFS($B$2:B879,B879)=1,1,0)</f>
        <v>1</v>
      </c>
    </row>
    <row r="880" spans="1:14" x14ac:dyDescent="0.2">
      <c r="A880">
        <v>879</v>
      </c>
      <c r="B880">
        <v>1441</v>
      </c>
      <c r="C880">
        <f>1/COUNTIF(B:B,Table1[[#This Row],[order_id]])</f>
        <v>0.5</v>
      </c>
      <c r="D880" t="str">
        <f>TEXT(Table1[[#This Row],[order_date]],"mmmm")</f>
        <v>March</v>
      </c>
      <c r="E880" s="1">
        <v>45363</v>
      </c>
      <c r="F880" s="1" t="str">
        <f>TEXT(Table1[[#This Row],[order_date]],"dddd")</f>
        <v>Tuesday</v>
      </c>
      <c r="G880">
        <f>HOUR(Table1[[#This Row],[order_time]])</f>
        <v>11</v>
      </c>
      <c r="H880" s="2">
        <v>0.47262731481481479</v>
      </c>
      <c r="I880" t="s">
        <v>11</v>
      </c>
      <c r="J880" t="s">
        <v>14</v>
      </c>
      <c r="K880">
        <v>5</v>
      </c>
      <c r="L880">
        <v>700</v>
      </c>
      <c r="M880">
        <v>3500</v>
      </c>
      <c r="N880">
        <f>IF(COUNTIFS($B$2:B880,B880)=1,1,0)</f>
        <v>0</v>
      </c>
    </row>
    <row r="881" spans="1:14" x14ac:dyDescent="0.2">
      <c r="A881">
        <v>880</v>
      </c>
      <c r="B881">
        <v>1442</v>
      </c>
      <c r="C881">
        <f>1/COUNTIF(B:B,Table1[[#This Row],[order_id]])</f>
        <v>0.5</v>
      </c>
      <c r="D881" t="str">
        <f>TEXT(Table1[[#This Row],[order_date]],"mmmm")</f>
        <v>March</v>
      </c>
      <c r="E881" s="1">
        <v>45363</v>
      </c>
      <c r="F881" s="1" t="str">
        <f>TEXT(Table1[[#This Row],[order_date]],"dddd")</f>
        <v>Tuesday</v>
      </c>
      <c r="G881">
        <f>HOUR(Table1[[#This Row],[order_time]])</f>
        <v>15</v>
      </c>
      <c r="H881" s="2">
        <v>0.66039351851851846</v>
      </c>
      <c r="I881" t="s">
        <v>16</v>
      </c>
      <c r="J881" t="s">
        <v>17</v>
      </c>
      <c r="K881">
        <v>3</v>
      </c>
      <c r="L881">
        <v>20</v>
      </c>
      <c r="M881">
        <v>60</v>
      </c>
      <c r="N881">
        <f>IF(COUNTIFS($B$2:B881,B881)=1,1,0)</f>
        <v>1</v>
      </c>
    </row>
    <row r="882" spans="1:14" x14ac:dyDescent="0.2">
      <c r="A882">
        <v>881</v>
      </c>
      <c r="B882">
        <v>1442</v>
      </c>
      <c r="C882">
        <f>1/COUNTIF(B:B,Table1[[#This Row],[order_id]])</f>
        <v>0.5</v>
      </c>
      <c r="D882" t="str">
        <f>TEXT(Table1[[#This Row],[order_date]],"mmmm")</f>
        <v>March</v>
      </c>
      <c r="E882" s="1">
        <v>45363</v>
      </c>
      <c r="F882" s="1" t="str">
        <f>TEXT(Table1[[#This Row],[order_date]],"dddd")</f>
        <v>Tuesday</v>
      </c>
      <c r="G882">
        <f>HOUR(Table1[[#This Row],[order_time]])</f>
        <v>10</v>
      </c>
      <c r="H882" s="2">
        <v>0.42581018518518521</v>
      </c>
      <c r="I882" t="s">
        <v>11</v>
      </c>
      <c r="J882" t="s">
        <v>14</v>
      </c>
      <c r="K882">
        <v>2</v>
      </c>
      <c r="L882">
        <v>700</v>
      </c>
      <c r="M882">
        <v>1400</v>
      </c>
      <c r="N882">
        <f>IF(COUNTIFS($B$2:B882,B882)=1,1,0)</f>
        <v>0</v>
      </c>
    </row>
    <row r="883" spans="1:14" x14ac:dyDescent="0.2">
      <c r="A883">
        <v>882</v>
      </c>
      <c r="B883">
        <v>1443</v>
      </c>
      <c r="C883">
        <f>1/COUNTIF(B:B,Table1[[#This Row],[order_id]])</f>
        <v>0.33333333333333331</v>
      </c>
      <c r="D883" t="str">
        <f>TEXT(Table1[[#This Row],[order_date]],"mmmm")</f>
        <v>March</v>
      </c>
      <c r="E883" s="1">
        <v>45363</v>
      </c>
      <c r="F883" s="1" t="str">
        <f>TEXT(Table1[[#This Row],[order_date]],"dddd")</f>
        <v>Tuesday</v>
      </c>
      <c r="G883">
        <f>HOUR(Table1[[#This Row],[order_time]])</f>
        <v>10</v>
      </c>
      <c r="H883" s="2">
        <v>0.42530092592592594</v>
      </c>
      <c r="I883" t="s">
        <v>9</v>
      </c>
      <c r="J883" t="s">
        <v>10</v>
      </c>
      <c r="K883">
        <v>4</v>
      </c>
      <c r="L883">
        <v>20</v>
      </c>
      <c r="M883">
        <v>80</v>
      </c>
      <c r="N883">
        <f>IF(COUNTIFS($B$2:B883,B883)=1,1,0)</f>
        <v>1</v>
      </c>
    </row>
    <row r="884" spans="1:14" x14ac:dyDescent="0.2">
      <c r="A884">
        <v>883</v>
      </c>
      <c r="B884">
        <v>1443</v>
      </c>
      <c r="C884">
        <f>1/COUNTIF(B:B,Table1[[#This Row],[order_id]])</f>
        <v>0.33333333333333331</v>
      </c>
      <c r="D884" t="str">
        <f>TEXT(Table1[[#This Row],[order_date]],"mmmm")</f>
        <v>March</v>
      </c>
      <c r="E884" s="1">
        <v>45363</v>
      </c>
      <c r="F884" s="1" t="str">
        <f>TEXT(Table1[[#This Row],[order_date]],"dddd")</f>
        <v>Tuesday</v>
      </c>
      <c r="G884">
        <f>HOUR(Table1[[#This Row],[order_time]])</f>
        <v>19</v>
      </c>
      <c r="H884" s="2">
        <v>0.82371527777777775</v>
      </c>
      <c r="I884" t="s">
        <v>18</v>
      </c>
      <c r="J884" t="s">
        <v>19</v>
      </c>
      <c r="K884">
        <v>2</v>
      </c>
      <c r="L884">
        <v>50</v>
      </c>
      <c r="M884">
        <v>100</v>
      </c>
      <c r="N884">
        <f>IF(COUNTIFS($B$2:B884,B884)=1,1,0)</f>
        <v>0</v>
      </c>
    </row>
    <row r="885" spans="1:14" x14ac:dyDescent="0.2">
      <c r="A885">
        <v>884</v>
      </c>
      <c r="B885">
        <v>1443</v>
      </c>
      <c r="C885">
        <f>1/COUNTIF(B:B,Table1[[#This Row],[order_id]])</f>
        <v>0.33333333333333331</v>
      </c>
      <c r="D885" t="str">
        <f>TEXT(Table1[[#This Row],[order_date]],"mmmm")</f>
        <v>March</v>
      </c>
      <c r="E885" s="1">
        <v>45363</v>
      </c>
      <c r="F885" s="1" t="str">
        <f>TEXT(Table1[[#This Row],[order_date]],"dddd")</f>
        <v>Tuesday</v>
      </c>
      <c r="G885">
        <f>HOUR(Table1[[#This Row],[order_time]])</f>
        <v>9</v>
      </c>
      <c r="H885" s="2">
        <v>0.41288194444444443</v>
      </c>
      <c r="I885" t="s">
        <v>9</v>
      </c>
      <c r="J885" t="s">
        <v>10</v>
      </c>
      <c r="K885">
        <v>4</v>
      </c>
      <c r="L885">
        <v>20</v>
      </c>
      <c r="M885">
        <v>80</v>
      </c>
      <c r="N885">
        <f>IF(COUNTIFS($B$2:B885,B885)=1,1,0)</f>
        <v>0</v>
      </c>
    </row>
    <row r="886" spans="1:14" x14ac:dyDescent="0.2">
      <c r="A886">
        <v>885</v>
      </c>
      <c r="B886">
        <v>1444</v>
      </c>
      <c r="C886">
        <f>1/COUNTIF(B:B,Table1[[#This Row],[order_id]])</f>
        <v>0.5</v>
      </c>
      <c r="D886" t="str">
        <f>TEXT(Table1[[#This Row],[order_date]],"mmmm")</f>
        <v>March</v>
      </c>
      <c r="E886" s="1">
        <v>45363</v>
      </c>
      <c r="F886" s="1" t="str">
        <f>TEXT(Table1[[#This Row],[order_date]],"dddd")</f>
        <v>Tuesday</v>
      </c>
      <c r="G886">
        <f>HOUR(Table1[[#This Row],[order_time]])</f>
        <v>9</v>
      </c>
      <c r="H886" s="2">
        <v>0.3959259259259259</v>
      </c>
      <c r="I886" t="s">
        <v>16</v>
      </c>
      <c r="J886" t="s">
        <v>24</v>
      </c>
      <c r="K886">
        <v>3</v>
      </c>
      <c r="L886">
        <v>35</v>
      </c>
      <c r="M886">
        <v>105</v>
      </c>
      <c r="N886">
        <f>IF(COUNTIFS($B$2:B886,B886)=1,1,0)</f>
        <v>1</v>
      </c>
    </row>
    <row r="887" spans="1:14" x14ac:dyDescent="0.2">
      <c r="A887">
        <v>886</v>
      </c>
      <c r="B887">
        <v>1444</v>
      </c>
      <c r="C887">
        <f>1/COUNTIF(B:B,Table1[[#This Row],[order_id]])</f>
        <v>0.5</v>
      </c>
      <c r="D887" t="str">
        <f>TEXT(Table1[[#This Row],[order_date]],"mmmm")</f>
        <v>March</v>
      </c>
      <c r="E887" s="1">
        <v>45363</v>
      </c>
      <c r="F887" s="1" t="str">
        <f>TEXT(Table1[[#This Row],[order_date]],"dddd")</f>
        <v>Tuesday</v>
      </c>
      <c r="G887">
        <f>HOUR(Table1[[#This Row],[order_time]])</f>
        <v>20</v>
      </c>
      <c r="H887" s="2">
        <v>0.83787037037037038</v>
      </c>
      <c r="I887" t="s">
        <v>11</v>
      </c>
      <c r="J887" t="s">
        <v>25</v>
      </c>
      <c r="K887">
        <v>1</v>
      </c>
      <c r="L887">
        <v>1000</v>
      </c>
      <c r="M887">
        <v>1000</v>
      </c>
      <c r="N887">
        <f>IF(COUNTIFS($B$2:B887,B887)=1,1,0)</f>
        <v>0</v>
      </c>
    </row>
    <row r="888" spans="1:14" x14ac:dyDescent="0.2">
      <c r="A888">
        <v>887</v>
      </c>
      <c r="B888">
        <v>1445</v>
      </c>
      <c r="C888">
        <f>1/COUNTIF(B:B,Table1[[#This Row],[order_id]])</f>
        <v>0.5</v>
      </c>
      <c r="D888" t="str">
        <f>TEXT(Table1[[#This Row],[order_date]],"mmmm")</f>
        <v>March</v>
      </c>
      <c r="E888" s="1">
        <v>45363</v>
      </c>
      <c r="F888" s="1" t="str">
        <f>TEXT(Table1[[#This Row],[order_date]],"dddd")</f>
        <v>Tuesday</v>
      </c>
      <c r="G888">
        <f>HOUR(Table1[[#This Row],[order_time]])</f>
        <v>18</v>
      </c>
      <c r="H888" s="2">
        <v>0.7902893518518519</v>
      </c>
      <c r="I888" t="s">
        <v>16</v>
      </c>
      <c r="J888" t="s">
        <v>23</v>
      </c>
      <c r="K888">
        <v>4</v>
      </c>
      <c r="L888">
        <v>30</v>
      </c>
      <c r="M888">
        <v>120</v>
      </c>
      <c r="N888">
        <f>IF(COUNTIFS($B$2:B888,B888)=1,1,0)</f>
        <v>1</v>
      </c>
    </row>
    <row r="889" spans="1:14" x14ac:dyDescent="0.2">
      <c r="A889">
        <v>888</v>
      </c>
      <c r="B889">
        <v>1445</v>
      </c>
      <c r="C889">
        <f>1/COUNTIF(B:B,Table1[[#This Row],[order_id]])</f>
        <v>0.5</v>
      </c>
      <c r="D889" t="str">
        <f>TEXT(Table1[[#This Row],[order_date]],"mmmm")</f>
        <v>March</v>
      </c>
      <c r="E889" s="1">
        <v>45363</v>
      </c>
      <c r="F889" s="1" t="str">
        <f>TEXT(Table1[[#This Row],[order_date]],"dddd")</f>
        <v>Tuesday</v>
      </c>
      <c r="G889">
        <f>HOUR(Table1[[#This Row],[order_time]])</f>
        <v>14</v>
      </c>
      <c r="H889" s="2">
        <v>0.62481481481481482</v>
      </c>
      <c r="I889" t="s">
        <v>11</v>
      </c>
      <c r="J889" t="s">
        <v>25</v>
      </c>
      <c r="K889">
        <v>1</v>
      </c>
      <c r="L889">
        <v>1000</v>
      </c>
      <c r="M889">
        <v>1000</v>
      </c>
      <c r="N889">
        <f>IF(COUNTIFS($B$2:B889,B889)=1,1,0)</f>
        <v>0</v>
      </c>
    </row>
    <row r="890" spans="1:14" x14ac:dyDescent="0.2">
      <c r="A890">
        <v>889</v>
      </c>
      <c r="B890">
        <v>1446</v>
      </c>
      <c r="C890">
        <f>1/COUNTIF(B:B,Table1[[#This Row],[order_id]])</f>
        <v>1</v>
      </c>
      <c r="D890" t="str">
        <f>TEXT(Table1[[#This Row],[order_date]],"mmmm")</f>
        <v>March</v>
      </c>
      <c r="E890" s="1">
        <v>45363</v>
      </c>
      <c r="F890" s="1" t="str">
        <f>TEXT(Table1[[#This Row],[order_date]],"dddd")</f>
        <v>Tuesday</v>
      </c>
      <c r="G890">
        <f>HOUR(Table1[[#This Row],[order_time]])</f>
        <v>10</v>
      </c>
      <c r="H890" s="2">
        <v>0.4324884259259259</v>
      </c>
      <c r="I890" t="s">
        <v>16</v>
      </c>
      <c r="J890" t="s">
        <v>24</v>
      </c>
      <c r="K890">
        <v>1</v>
      </c>
      <c r="L890">
        <v>35</v>
      </c>
      <c r="M890">
        <v>35</v>
      </c>
      <c r="N890">
        <f>IF(COUNTIFS($B$2:B890,B890)=1,1,0)</f>
        <v>1</v>
      </c>
    </row>
    <row r="891" spans="1:14" x14ac:dyDescent="0.2">
      <c r="A891">
        <v>890</v>
      </c>
      <c r="B891">
        <v>1447</v>
      </c>
      <c r="C891">
        <f>1/COUNTIF(B:B,Table1[[#This Row],[order_id]])</f>
        <v>1</v>
      </c>
      <c r="D891" t="str">
        <f>TEXT(Table1[[#This Row],[order_date]],"mmmm")</f>
        <v>March</v>
      </c>
      <c r="E891" s="1">
        <v>45363</v>
      </c>
      <c r="F891" s="1" t="str">
        <f>TEXT(Table1[[#This Row],[order_date]],"dddd")</f>
        <v>Tuesday</v>
      </c>
      <c r="G891">
        <f>HOUR(Table1[[#This Row],[order_time]])</f>
        <v>16</v>
      </c>
      <c r="H891" s="2">
        <v>0.69497685185185187</v>
      </c>
      <c r="I891" t="s">
        <v>16</v>
      </c>
      <c r="J891" t="s">
        <v>17</v>
      </c>
      <c r="K891">
        <v>1</v>
      </c>
      <c r="L891">
        <v>20</v>
      </c>
      <c r="M891">
        <v>20</v>
      </c>
      <c r="N891">
        <f>IF(COUNTIFS($B$2:B891,B891)=1,1,0)</f>
        <v>1</v>
      </c>
    </row>
    <row r="892" spans="1:14" x14ac:dyDescent="0.2">
      <c r="A892">
        <v>891</v>
      </c>
      <c r="B892">
        <v>1448</v>
      </c>
      <c r="C892">
        <f>1/COUNTIF(B:B,Table1[[#This Row],[order_id]])</f>
        <v>0.5</v>
      </c>
      <c r="D892" t="str">
        <f>TEXT(Table1[[#This Row],[order_date]],"mmmm")</f>
        <v>March</v>
      </c>
      <c r="E892" s="1">
        <v>45364</v>
      </c>
      <c r="F892" s="1" t="str">
        <f>TEXT(Table1[[#This Row],[order_date]],"dddd")</f>
        <v>Wednesday</v>
      </c>
      <c r="G892">
        <f>HOUR(Table1[[#This Row],[order_time]])</f>
        <v>9</v>
      </c>
      <c r="H892" s="2">
        <v>0.38822916666666668</v>
      </c>
      <c r="I892" t="s">
        <v>9</v>
      </c>
      <c r="J892" t="s">
        <v>22</v>
      </c>
      <c r="K892">
        <v>2</v>
      </c>
      <c r="L892">
        <v>15</v>
      </c>
      <c r="M892">
        <v>30</v>
      </c>
      <c r="N892">
        <f>IF(COUNTIFS($B$2:B892,B892)=1,1,0)</f>
        <v>1</v>
      </c>
    </row>
    <row r="893" spans="1:14" x14ac:dyDescent="0.2">
      <c r="A893">
        <v>892</v>
      </c>
      <c r="B893">
        <v>1448</v>
      </c>
      <c r="C893">
        <f>1/COUNTIF(B:B,Table1[[#This Row],[order_id]])</f>
        <v>0.5</v>
      </c>
      <c r="D893" t="str">
        <f>TEXT(Table1[[#This Row],[order_date]],"mmmm")</f>
        <v>March</v>
      </c>
      <c r="E893" s="1">
        <v>45364</v>
      </c>
      <c r="F893" s="1" t="str">
        <f>TEXT(Table1[[#This Row],[order_date]],"dddd")</f>
        <v>Wednesday</v>
      </c>
      <c r="G893">
        <f>HOUR(Table1[[#This Row],[order_time]])</f>
        <v>11</v>
      </c>
      <c r="H893" s="2">
        <v>0.46694444444444444</v>
      </c>
      <c r="I893" t="s">
        <v>16</v>
      </c>
      <c r="J893" t="s">
        <v>28</v>
      </c>
      <c r="K893">
        <v>2</v>
      </c>
      <c r="L893">
        <v>25</v>
      </c>
      <c r="M893">
        <v>50</v>
      </c>
      <c r="N893">
        <f>IF(COUNTIFS($B$2:B893,B893)=1,1,0)</f>
        <v>0</v>
      </c>
    </row>
    <row r="894" spans="1:14" x14ac:dyDescent="0.2">
      <c r="A894">
        <v>893</v>
      </c>
      <c r="B894">
        <v>1449</v>
      </c>
      <c r="C894">
        <f>1/COUNTIF(B:B,Table1[[#This Row],[order_id]])</f>
        <v>1</v>
      </c>
      <c r="D894" t="str">
        <f>TEXT(Table1[[#This Row],[order_date]],"mmmm")</f>
        <v>March</v>
      </c>
      <c r="E894" s="1">
        <v>45364</v>
      </c>
      <c r="F894" s="1" t="str">
        <f>TEXT(Table1[[#This Row],[order_date]],"dddd")</f>
        <v>Wednesday</v>
      </c>
      <c r="G894">
        <f>HOUR(Table1[[#This Row],[order_time]])</f>
        <v>18</v>
      </c>
      <c r="H894" s="2">
        <v>0.77776620370370375</v>
      </c>
      <c r="I894" t="s">
        <v>9</v>
      </c>
      <c r="J894" t="s">
        <v>21</v>
      </c>
      <c r="K894">
        <v>4</v>
      </c>
      <c r="L894">
        <v>10</v>
      </c>
      <c r="M894">
        <v>40</v>
      </c>
      <c r="N894">
        <f>IF(COUNTIFS($B$2:B894,B894)=1,1,0)</f>
        <v>1</v>
      </c>
    </row>
    <row r="895" spans="1:14" x14ac:dyDescent="0.2">
      <c r="A895">
        <v>894</v>
      </c>
      <c r="B895">
        <v>1450</v>
      </c>
      <c r="C895">
        <f>1/COUNTIF(B:B,Table1[[#This Row],[order_id]])</f>
        <v>1</v>
      </c>
      <c r="D895" t="str">
        <f>TEXT(Table1[[#This Row],[order_date]],"mmmm")</f>
        <v>March</v>
      </c>
      <c r="E895" s="1">
        <v>45364</v>
      </c>
      <c r="F895" s="1" t="str">
        <f>TEXT(Table1[[#This Row],[order_date]],"dddd")</f>
        <v>Wednesday</v>
      </c>
      <c r="G895">
        <f>HOUR(Table1[[#This Row],[order_time]])</f>
        <v>9</v>
      </c>
      <c r="H895" s="2">
        <v>0.39599537037037036</v>
      </c>
      <c r="I895" t="s">
        <v>9</v>
      </c>
      <c r="J895" t="s">
        <v>29</v>
      </c>
      <c r="K895">
        <v>2</v>
      </c>
      <c r="L895">
        <v>5</v>
      </c>
      <c r="M895">
        <v>10</v>
      </c>
      <c r="N895">
        <f>IF(COUNTIFS($B$2:B895,B895)=1,1,0)</f>
        <v>1</v>
      </c>
    </row>
    <row r="896" spans="1:14" x14ac:dyDescent="0.2">
      <c r="A896">
        <v>895</v>
      </c>
      <c r="B896">
        <v>1451</v>
      </c>
      <c r="C896">
        <f>1/COUNTIF(B:B,Table1[[#This Row],[order_id]])</f>
        <v>0.5</v>
      </c>
      <c r="D896" t="str">
        <f>TEXT(Table1[[#This Row],[order_date]],"mmmm")</f>
        <v>March</v>
      </c>
      <c r="E896" s="1">
        <v>45364</v>
      </c>
      <c r="F896" s="1" t="str">
        <f>TEXT(Table1[[#This Row],[order_date]],"dddd")</f>
        <v>Wednesday</v>
      </c>
      <c r="G896">
        <f>HOUR(Table1[[#This Row],[order_time]])</f>
        <v>20</v>
      </c>
      <c r="H896" s="2">
        <v>0.85103009259259255</v>
      </c>
      <c r="I896" t="s">
        <v>16</v>
      </c>
      <c r="J896" t="s">
        <v>23</v>
      </c>
      <c r="K896">
        <v>5</v>
      </c>
      <c r="L896">
        <v>30</v>
      </c>
      <c r="M896">
        <v>150</v>
      </c>
      <c r="N896">
        <f>IF(COUNTIFS($B$2:B896,B896)=1,1,0)</f>
        <v>1</v>
      </c>
    </row>
    <row r="897" spans="1:14" x14ac:dyDescent="0.2">
      <c r="A897">
        <v>896</v>
      </c>
      <c r="B897">
        <v>1451</v>
      </c>
      <c r="C897">
        <f>1/COUNTIF(B:B,Table1[[#This Row],[order_id]])</f>
        <v>0.5</v>
      </c>
      <c r="D897" t="str">
        <f>TEXT(Table1[[#This Row],[order_date]],"mmmm")</f>
        <v>March</v>
      </c>
      <c r="E897" s="1">
        <v>45364</v>
      </c>
      <c r="F897" s="1" t="str">
        <f>TEXT(Table1[[#This Row],[order_date]],"dddd")</f>
        <v>Wednesday</v>
      </c>
      <c r="G897">
        <f>HOUR(Table1[[#This Row],[order_time]])</f>
        <v>18</v>
      </c>
      <c r="H897" s="2">
        <v>0.76932870370370365</v>
      </c>
      <c r="I897" t="s">
        <v>9</v>
      </c>
      <c r="J897" t="s">
        <v>21</v>
      </c>
      <c r="K897">
        <v>4</v>
      </c>
      <c r="L897">
        <v>10</v>
      </c>
      <c r="M897">
        <v>40</v>
      </c>
      <c r="N897">
        <f>IF(COUNTIFS($B$2:B897,B897)=1,1,0)</f>
        <v>0</v>
      </c>
    </row>
    <row r="898" spans="1:14" x14ac:dyDescent="0.2">
      <c r="A898">
        <v>897</v>
      </c>
      <c r="B898">
        <v>1452</v>
      </c>
      <c r="C898">
        <f>1/COUNTIF(B:B,Table1[[#This Row],[order_id]])</f>
        <v>0.33333333333333331</v>
      </c>
      <c r="D898" t="str">
        <f>TEXT(Table1[[#This Row],[order_date]],"mmmm")</f>
        <v>March</v>
      </c>
      <c r="E898" s="1">
        <v>45364</v>
      </c>
      <c r="F898" s="1" t="str">
        <f>TEXT(Table1[[#This Row],[order_date]],"dddd")</f>
        <v>Wednesday</v>
      </c>
      <c r="G898">
        <f>HOUR(Table1[[#This Row],[order_time]])</f>
        <v>11</v>
      </c>
      <c r="H898" s="2">
        <v>0.47597222222222224</v>
      </c>
      <c r="I898" t="s">
        <v>16</v>
      </c>
      <c r="J898" t="s">
        <v>23</v>
      </c>
      <c r="K898">
        <v>4</v>
      </c>
      <c r="L898">
        <v>30</v>
      </c>
      <c r="M898">
        <v>120</v>
      </c>
      <c r="N898">
        <f>IF(COUNTIFS($B$2:B898,B898)=1,1,0)</f>
        <v>1</v>
      </c>
    </row>
    <row r="899" spans="1:14" x14ac:dyDescent="0.2">
      <c r="A899">
        <v>898</v>
      </c>
      <c r="B899">
        <v>1452</v>
      </c>
      <c r="C899">
        <f>1/COUNTIF(B:B,Table1[[#This Row],[order_id]])</f>
        <v>0.33333333333333331</v>
      </c>
      <c r="D899" t="str">
        <f>TEXT(Table1[[#This Row],[order_date]],"mmmm")</f>
        <v>March</v>
      </c>
      <c r="E899" s="1">
        <v>45364</v>
      </c>
      <c r="F899" s="1" t="str">
        <f>TEXT(Table1[[#This Row],[order_date]],"dddd")</f>
        <v>Wednesday</v>
      </c>
      <c r="G899">
        <f>HOUR(Table1[[#This Row],[order_time]])</f>
        <v>10</v>
      </c>
      <c r="H899" s="2">
        <v>0.43599537037037039</v>
      </c>
      <c r="I899" t="s">
        <v>16</v>
      </c>
      <c r="J899" t="s">
        <v>23</v>
      </c>
      <c r="K899">
        <v>3</v>
      </c>
      <c r="L899">
        <v>30</v>
      </c>
      <c r="M899">
        <v>90</v>
      </c>
      <c r="N899">
        <f>IF(COUNTIFS($B$2:B899,B899)=1,1,0)</f>
        <v>0</v>
      </c>
    </row>
    <row r="900" spans="1:14" x14ac:dyDescent="0.2">
      <c r="A900">
        <v>899</v>
      </c>
      <c r="B900">
        <v>1452</v>
      </c>
      <c r="C900">
        <f>1/COUNTIF(B:B,Table1[[#This Row],[order_id]])</f>
        <v>0.33333333333333331</v>
      </c>
      <c r="D900" t="str">
        <f>TEXT(Table1[[#This Row],[order_date]],"mmmm")</f>
        <v>March</v>
      </c>
      <c r="E900" s="1">
        <v>45364</v>
      </c>
      <c r="F900" s="1" t="str">
        <f>TEXT(Table1[[#This Row],[order_date]],"dddd")</f>
        <v>Wednesday</v>
      </c>
      <c r="G900">
        <f>HOUR(Table1[[#This Row],[order_time]])</f>
        <v>18</v>
      </c>
      <c r="H900" s="2">
        <v>0.77155092592592589</v>
      </c>
      <c r="I900" t="s">
        <v>18</v>
      </c>
      <c r="J900" t="s">
        <v>27</v>
      </c>
      <c r="K900">
        <v>3</v>
      </c>
      <c r="L900">
        <v>40</v>
      </c>
      <c r="M900">
        <v>120</v>
      </c>
      <c r="N900">
        <f>IF(COUNTIFS($B$2:B900,B900)=1,1,0)</f>
        <v>0</v>
      </c>
    </row>
    <row r="901" spans="1:14" x14ac:dyDescent="0.2">
      <c r="A901">
        <v>900</v>
      </c>
      <c r="B901">
        <v>1453</v>
      </c>
      <c r="C901">
        <f>1/COUNTIF(B:B,Table1[[#This Row],[order_id]])</f>
        <v>1</v>
      </c>
      <c r="D901" t="str">
        <f>TEXT(Table1[[#This Row],[order_date]],"mmmm")</f>
        <v>March</v>
      </c>
      <c r="E901" s="1">
        <v>45364</v>
      </c>
      <c r="F901" s="1" t="str">
        <f>TEXT(Table1[[#This Row],[order_date]],"dddd")</f>
        <v>Wednesday</v>
      </c>
      <c r="G901">
        <f>HOUR(Table1[[#This Row],[order_time]])</f>
        <v>10</v>
      </c>
      <c r="H901" s="2">
        <v>0.45217592592592593</v>
      </c>
      <c r="I901" t="s">
        <v>16</v>
      </c>
      <c r="J901" t="s">
        <v>28</v>
      </c>
      <c r="K901">
        <v>2</v>
      </c>
      <c r="L901">
        <v>25</v>
      </c>
      <c r="M901">
        <v>50</v>
      </c>
      <c r="N901">
        <f>IF(COUNTIFS($B$2:B901,B901)=1,1,0)</f>
        <v>1</v>
      </c>
    </row>
    <row r="902" spans="1:14" x14ac:dyDescent="0.2">
      <c r="A902">
        <v>901</v>
      </c>
      <c r="B902">
        <v>1454</v>
      </c>
      <c r="C902">
        <f>1/COUNTIF(B:B,Table1[[#This Row],[order_id]])</f>
        <v>1</v>
      </c>
      <c r="D902" t="str">
        <f>TEXT(Table1[[#This Row],[order_date]],"mmmm")</f>
        <v>March</v>
      </c>
      <c r="E902" s="1">
        <v>45365</v>
      </c>
      <c r="F902" s="1" t="str">
        <f>TEXT(Table1[[#This Row],[order_date]],"dddd")</f>
        <v>Thursday</v>
      </c>
      <c r="G902">
        <f>HOUR(Table1[[#This Row],[order_time]])</f>
        <v>10</v>
      </c>
      <c r="H902" s="2">
        <v>0.45114583333333336</v>
      </c>
      <c r="I902" t="s">
        <v>18</v>
      </c>
      <c r="J902" t="s">
        <v>26</v>
      </c>
      <c r="K902">
        <v>3</v>
      </c>
      <c r="L902">
        <v>55</v>
      </c>
      <c r="M902">
        <v>165</v>
      </c>
      <c r="N902">
        <f>IF(COUNTIFS($B$2:B902,B902)=1,1,0)</f>
        <v>1</v>
      </c>
    </row>
    <row r="903" spans="1:14" x14ac:dyDescent="0.2">
      <c r="A903">
        <v>902</v>
      </c>
      <c r="B903">
        <v>1455</v>
      </c>
      <c r="C903">
        <f>1/COUNTIF(B:B,Table1[[#This Row],[order_id]])</f>
        <v>0.5</v>
      </c>
      <c r="D903" t="str">
        <f>TEXT(Table1[[#This Row],[order_date]],"mmmm")</f>
        <v>March</v>
      </c>
      <c r="E903" s="1">
        <v>45365</v>
      </c>
      <c r="F903" s="1" t="str">
        <f>TEXT(Table1[[#This Row],[order_date]],"dddd")</f>
        <v>Thursday</v>
      </c>
      <c r="G903">
        <f>HOUR(Table1[[#This Row],[order_time]])</f>
        <v>11</v>
      </c>
      <c r="H903" s="2">
        <v>0.47863425925925923</v>
      </c>
      <c r="I903" t="s">
        <v>9</v>
      </c>
      <c r="J903" t="s">
        <v>21</v>
      </c>
      <c r="K903">
        <v>4</v>
      </c>
      <c r="L903">
        <v>10</v>
      </c>
      <c r="M903">
        <v>40</v>
      </c>
      <c r="N903">
        <f>IF(COUNTIFS($B$2:B903,B903)=1,1,0)</f>
        <v>1</v>
      </c>
    </row>
    <row r="904" spans="1:14" x14ac:dyDescent="0.2">
      <c r="A904">
        <v>903</v>
      </c>
      <c r="B904">
        <v>1455</v>
      </c>
      <c r="C904">
        <f>1/COUNTIF(B:B,Table1[[#This Row],[order_id]])</f>
        <v>0.5</v>
      </c>
      <c r="D904" t="str">
        <f>TEXT(Table1[[#This Row],[order_date]],"mmmm")</f>
        <v>March</v>
      </c>
      <c r="E904" s="1">
        <v>45365</v>
      </c>
      <c r="F904" s="1" t="str">
        <f>TEXT(Table1[[#This Row],[order_date]],"dddd")</f>
        <v>Thursday</v>
      </c>
      <c r="G904">
        <f>HOUR(Table1[[#This Row],[order_time]])</f>
        <v>12</v>
      </c>
      <c r="H904" s="2">
        <v>0.53699074074074071</v>
      </c>
      <c r="I904" t="s">
        <v>9</v>
      </c>
      <c r="J904" t="s">
        <v>20</v>
      </c>
      <c r="K904">
        <v>4</v>
      </c>
      <c r="L904">
        <v>25</v>
      </c>
      <c r="M904">
        <v>100</v>
      </c>
      <c r="N904">
        <f>IF(COUNTIFS($B$2:B904,B904)=1,1,0)</f>
        <v>0</v>
      </c>
    </row>
    <row r="905" spans="1:14" x14ac:dyDescent="0.2">
      <c r="A905">
        <v>904</v>
      </c>
      <c r="B905">
        <v>1456</v>
      </c>
      <c r="C905">
        <f>1/COUNTIF(B:B,Table1[[#This Row],[order_id]])</f>
        <v>0.33333333333333331</v>
      </c>
      <c r="D905" t="str">
        <f>TEXT(Table1[[#This Row],[order_date]],"mmmm")</f>
        <v>March</v>
      </c>
      <c r="E905" s="1">
        <v>45365</v>
      </c>
      <c r="F905" s="1" t="str">
        <f>TEXT(Table1[[#This Row],[order_date]],"dddd")</f>
        <v>Thursday</v>
      </c>
      <c r="G905">
        <f>HOUR(Table1[[#This Row],[order_time]])</f>
        <v>11</v>
      </c>
      <c r="H905" s="2">
        <v>0.47744212962962962</v>
      </c>
      <c r="I905" t="s">
        <v>18</v>
      </c>
      <c r="J905" t="s">
        <v>31</v>
      </c>
      <c r="K905">
        <v>3</v>
      </c>
      <c r="L905">
        <v>45</v>
      </c>
      <c r="M905">
        <v>135</v>
      </c>
      <c r="N905">
        <f>IF(COUNTIFS($B$2:B905,B905)=1,1,0)</f>
        <v>1</v>
      </c>
    </row>
    <row r="906" spans="1:14" x14ac:dyDescent="0.2">
      <c r="A906">
        <v>905</v>
      </c>
      <c r="B906">
        <v>1456</v>
      </c>
      <c r="C906">
        <f>1/COUNTIF(B:B,Table1[[#This Row],[order_id]])</f>
        <v>0.33333333333333331</v>
      </c>
      <c r="D906" t="str">
        <f>TEXT(Table1[[#This Row],[order_date]],"mmmm")</f>
        <v>March</v>
      </c>
      <c r="E906" s="1">
        <v>45365</v>
      </c>
      <c r="F906" s="1" t="str">
        <f>TEXT(Table1[[#This Row],[order_date]],"dddd")</f>
        <v>Thursday</v>
      </c>
      <c r="G906">
        <f>HOUR(Table1[[#This Row],[order_time]])</f>
        <v>17</v>
      </c>
      <c r="H906" s="2">
        <v>0.74603009259259256</v>
      </c>
      <c r="I906" t="s">
        <v>16</v>
      </c>
      <c r="J906" t="s">
        <v>23</v>
      </c>
      <c r="K906">
        <v>4</v>
      </c>
      <c r="L906">
        <v>30</v>
      </c>
      <c r="M906">
        <v>120</v>
      </c>
      <c r="N906">
        <f>IF(COUNTIFS($B$2:B906,B906)=1,1,0)</f>
        <v>0</v>
      </c>
    </row>
    <row r="907" spans="1:14" x14ac:dyDescent="0.2">
      <c r="A907">
        <v>906</v>
      </c>
      <c r="B907">
        <v>1456</v>
      </c>
      <c r="C907">
        <f>1/COUNTIF(B:B,Table1[[#This Row],[order_id]])</f>
        <v>0.33333333333333331</v>
      </c>
      <c r="D907" t="str">
        <f>TEXT(Table1[[#This Row],[order_date]],"mmmm")</f>
        <v>March</v>
      </c>
      <c r="E907" s="1">
        <v>45365</v>
      </c>
      <c r="F907" s="1" t="str">
        <f>TEXT(Table1[[#This Row],[order_date]],"dddd")</f>
        <v>Thursday</v>
      </c>
      <c r="G907">
        <f>HOUR(Table1[[#This Row],[order_time]])</f>
        <v>17</v>
      </c>
      <c r="H907" s="2">
        <v>0.7242939814814815</v>
      </c>
      <c r="I907" t="s">
        <v>9</v>
      </c>
      <c r="J907" t="s">
        <v>10</v>
      </c>
      <c r="K907">
        <v>3</v>
      </c>
      <c r="L907">
        <v>20</v>
      </c>
      <c r="M907">
        <v>60</v>
      </c>
      <c r="N907">
        <f>IF(COUNTIFS($B$2:B907,B907)=1,1,0)</f>
        <v>0</v>
      </c>
    </row>
    <row r="908" spans="1:14" x14ac:dyDescent="0.2">
      <c r="A908">
        <v>907</v>
      </c>
      <c r="B908">
        <v>1457</v>
      </c>
      <c r="C908">
        <f>1/COUNTIF(B:B,Table1[[#This Row],[order_id]])</f>
        <v>0.33333333333333331</v>
      </c>
      <c r="D908" t="str">
        <f>TEXT(Table1[[#This Row],[order_date]],"mmmm")</f>
        <v>March</v>
      </c>
      <c r="E908" s="1">
        <v>45365</v>
      </c>
      <c r="F908" s="1" t="str">
        <f>TEXT(Table1[[#This Row],[order_date]],"dddd")</f>
        <v>Thursday</v>
      </c>
      <c r="G908">
        <f>HOUR(Table1[[#This Row],[order_time]])</f>
        <v>15</v>
      </c>
      <c r="H908" s="2">
        <v>0.6292592592592593</v>
      </c>
      <c r="I908" t="s">
        <v>9</v>
      </c>
      <c r="J908" t="s">
        <v>22</v>
      </c>
      <c r="K908">
        <v>1</v>
      </c>
      <c r="L908">
        <v>15</v>
      </c>
      <c r="M908">
        <v>15</v>
      </c>
      <c r="N908">
        <f>IF(COUNTIFS($B$2:B908,B908)=1,1,0)</f>
        <v>1</v>
      </c>
    </row>
    <row r="909" spans="1:14" x14ac:dyDescent="0.2">
      <c r="A909">
        <v>908</v>
      </c>
      <c r="B909">
        <v>1457</v>
      </c>
      <c r="C909">
        <f>1/COUNTIF(B:B,Table1[[#This Row],[order_id]])</f>
        <v>0.33333333333333331</v>
      </c>
      <c r="D909" t="str">
        <f>TEXT(Table1[[#This Row],[order_date]],"mmmm")</f>
        <v>March</v>
      </c>
      <c r="E909" s="1">
        <v>45365</v>
      </c>
      <c r="F909" s="1" t="str">
        <f>TEXT(Table1[[#This Row],[order_date]],"dddd")</f>
        <v>Thursday</v>
      </c>
      <c r="G909">
        <f>HOUR(Table1[[#This Row],[order_time]])</f>
        <v>16</v>
      </c>
      <c r="H909" s="2">
        <v>0.66673611111111108</v>
      </c>
      <c r="I909" t="s">
        <v>16</v>
      </c>
      <c r="J909" t="s">
        <v>24</v>
      </c>
      <c r="K909">
        <v>2</v>
      </c>
      <c r="L909">
        <v>35</v>
      </c>
      <c r="M909">
        <v>70</v>
      </c>
      <c r="N909">
        <f>IF(COUNTIFS($B$2:B909,B909)=1,1,0)</f>
        <v>0</v>
      </c>
    </row>
    <row r="910" spans="1:14" x14ac:dyDescent="0.2">
      <c r="A910">
        <v>909</v>
      </c>
      <c r="B910">
        <v>1457</v>
      </c>
      <c r="C910">
        <f>1/COUNTIF(B:B,Table1[[#This Row],[order_id]])</f>
        <v>0.33333333333333331</v>
      </c>
      <c r="D910" t="str">
        <f>TEXT(Table1[[#This Row],[order_date]],"mmmm")</f>
        <v>March</v>
      </c>
      <c r="E910" s="1">
        <v>45365</v>
      </c>
      <c r="F910" s="1" t="str">
        <f>TEXT(Table1[[#This Row],[order_date]],"dddd")</f>
        <v>Thursday</v>
      </c>
      <c r="G910">
        <f>HOUR(Table1[[#This Row],[order_time]])</f>
        <v>19</v>
      </c>
      <c r="H910" s="2">
        <v>0.82978009259259256</v>
      </c>
      <c r="I910" t="s">
        <v>11</v>
      </c>
      <c r="J910" t="s">
        <v>14</v>
      </c>
      <c r="K910">
        <v>5</v>
      </c>
      <c r="L910">
        <v>700</v>
      </c>
      <c r="M910">
        <v>3500</v>
      </c>
      <c r="N910">
        <f>IF(COUNTIFS($B$2:B910,B910)=1,1,0)</f>
        <v>0</v>
      </c>
    </row>
    <row r="911" spans="1:14" x14ac:dyDescent="0.2">
      <c r="A911">
        <v>910</v>
      </c>
      <c r="B911">
        <v>1458</v>
      </c>
      <c r="C911">
        <f>1/COUNTIF(B:B,Table1[[#This Row],[order_id]])</f>
        <v>0.33333333333333331</v>
      </c>
      <c r="D911" t="str">
        <f>TEXT(Table1[[#This Row],[order_date]],"mmmm")</f>
        <v>March</v>
      </c>
      <c r="E911" s="1">
        <v>45365</v>
      </c>
      <c r="F911" s="1" t="str">
        <f>TEXT(Table1[[#This Row],[order_date]],"dddd")</f>
        <v>Thursday</v>
      </c>
      <c r="G911">
        <f>HOUR(Table1[[#This Row],[order_time]])</f>
        <v>20</v>
      </c>
      <c r="H911" s="2">
        <v>0.8641550925925926</v>
      </c>
      <c r="I911" t="s">
        <v>16</v>
      </c>
      <c r="J911" t="s">
        <v>24</v>
      </c>
      <c r="K911">
        <v>1</v>
      </c>
      <c r="L911">
        <v>35</v>
      </c>
      <c r="M911">
        <v>35</v>
      </c>
      <c r="N911">
        <f>IF(COUNTIFS($B$2:B911,B911)=1,1,0)</f>
        <v>1</v>
      </c>
    </row>
    <row r="912" spans="1:14" x14ac:dyDescent="0.2">
      <c r="A912">
        <v>911</v>
      </c>
      <c r="B912">
        <v>1458</v>
      </c>
      <c r="C912">
        <f>1/COUNTIF(B:B,Table1[[#This Row],[order_id]])</f>
        <v>0.33333333333333331</v>
      </c>
      <c r="D912" t="str">
        <f>TEXT(Table1[[#This Row],[order_date]],"mmmm")</f>
        <v>March</v>
      </c>
      <c r="E912" s="1">
        <v>45365</v>
      </c>
      <c r="F912" s="1" t="str">
        <f>TEXT(Table1[[#This Row],[order_date]],"dddd")</f>
        <v>Thursday</v>
      </c>
      <c r="G912">
        <f>HOUR(Table1[[#This Row],[order_time]])</f>
        <v>10</v>
      </c>
      <c r="H912" s="2">
        <v>0.44871527777777775</v>
      </c>
      <c r="I912" t="s">
        <v>18</v>
      </c>
      <c r="J912" t="s">
        <v>27</v>
      </c>
      <c r="K912">
        <v>5</v>
      </c>
      <c r="L912">
        <v>40</v>
      </c>
      <c r="M912">
        <v>200</v>
      </c>
      <c r="N912">
        <f>IF(COUNTIFS($B$2:B912,B912)=1,1,0)</f>
        <v>0</v>
      </c>
    </row>
    <row r="913" spans="1:14" x14ac:dyDescent="0.2">
      <c r="A913">
        <v>912</v>
      </c>
      <c r="B913">
        <v>1458</v>
      </c>
      <c r="C913">
        <f>1/COUNTIF(B:B,Table1[[#This Row],[order_id]])</f>
        <v>0.33333333333333331</v>
      </c>
      <c r="D913" t="str">
        <f>TEXT(Table1[[#This Row],[order_date]],"mmmm")</f>
        <v>March</v>
      </c>
      <c r="E913" s="1">
        <v>45365</v>
      </c>
      <c r="F913" s="1" t="str">
        <f>TEXT(Table1[[#This Row],[order_date]],"dddd")</f>
        <v>Thursday</v>
      </c>
      <c r="G913">
        <f>HOUR(Table1[[#This Row],[order_time]])</f>
        <v>12</v>
      </c>
      <c r="H913" s="2">
        <v>0.50954861111111116</v>
      </c>
      <c r="I913" t="s">
        <v>11</v>
      </c>
      <c r="J913" t="s">
        <v>25</v>
      </c>
      <c r="K913">
        <v>5</v>
      </c>
      <c r="L913">
        <v>1000</v>
      </c>
      <c r="M913">
        <v>5000</v>
      </c>
      <c r="N913">
        <f>IF(COUNTIFS($B$2:B913,B913)=1,1,0)</f>
        <v>0</v>
      </c>
    </row>
    <row r="914" spans="1:14" x14ac:dyDescent="0.2">
      <c r="A914">
        <v>913</v>
      </c>
      <c r="B914">
        <v>1459</v>
      </c>
      <c r="C914">
        <f>1/COUNTIF(B:B,Table1[[#This Row],[order_id]])</f>
        <v>0.33333333333333331</v>
      </c>
      <c r="D914" t="str">
        <f>TEXT(Table1[[#This Row],[order_date]],"mmmm")</f>
        <v>March</v>
      </c>
      <c r="E914" s="1">
        <v>45365</v>
      </c>
      <c r="F914" s="1" t="str">
        <f>TEXT(Table1[[#This Row],[order_date]],"dddd")</f>
        <v>Thursday</v>
      </c>
      <c r="G914">
        <f>HOUR(Table1[[#This Row],[order_time]])</f>
        <v>20</v>
      </c>
      <c r="H914" s="2">
        <v>0.8629282407407407</v>
      </c>
      <c r="I914" t="s">
        <v>9</v>
      </c>
      <c r="J914" t="s">
        <v>21</v>
      </c>
      <c r="K914">
        <v>4</v>
      </c>
      <c r="L914">
        <v>10</v>
      </c>
      <c r="M914">
        <v>40</v>
      </c>
      <c r="N914">
        <f>IF(COUNTIFS($B$2:B914,B914)=1,1,0)</f>
        <v>1</v>
      </c>
    </row>
    <row r="915" spans="1:14" x14ac:dyDescent="0.2">
      <c r="A915">
        <v>914</v>
      </c>
      <c r="B915">
        <v>1459</v>
      </c>
      <c r="C915">
        <f>1/COUNTIF(B:B,Table1[[#This Row],[order_id]])</f>
        <v>0.33333333333333331</v>
      </c>
      <c r="D915" t="str">
        <f>TEXT(Table1[[#This Row],[order_date]],"mmmm")</f>
        <v>March</v>
      </c>
      <c r="E915" s="1">
        <v>45365</v>
      </c>
      <c r="F915" s="1" t="str">
        <f>TEXT(Table1[[#This Row],[order_date]],"dddd")</f>
        <v>Thursday</v>
      </c>
      <c r="G915">
        <f>HOUR(Table1[[#This Row],[order_time]])</f>
        <v>15</v>
      </c>
      <c r="H915" s="2">
        <v>0.66518518518518521</v>
      </c>
      <c r="I915" t="s">
        <v>18</v>
      </c>
      <c r="J915" t="s">
        <v>27</v>
      </c>
      <c r="K915">
        <v>5</v>
      </c>
      <c r="L915">
        <v>40</v>
      </c>
      <c r="M915">
        <v>200</v>
      </c>
      <c r="N915">
        <f>IF(COUNTIFS($B$2:B915,B915)=1,1,0)</f>
        <v>0</v>
      </c>
    </row>
    <row r="916" spans="1:14" x14ac:dyDescent="0.2">
      <c r="A916">
        <v>915</v>
      </c>
      <c r="B916">
        <v>1459</v>
      </c>
      <c r="C916">
        <f>1/COUNTIF(B:B,Table1[[#This Row],[order_id]])</f>
        <v>0.33333333333333331</v>
      </c>
      <c r="D916" t="str">
        <f>TEXT(Table1[[#This Row],[order_date]],"mmmm")</f>
        <v>March</v>
      </c>
      <c r="E916" s="1">
        <v>45365</v>
      </c>
      <c r="F916" s="1" t="str">
        <f>TEXT(Table1[[#This Row],[order_date]],"dddd")</f>
        <v>Thursday</v>
      </c>
      <c r="G916">
        <f>HOUR(Table1[[#This Row],[order_time]])</f>
        <v>14</v>
      </c>
      <c r="H916" s="2">
        <v>0.58616898148148144</v>
      </c>
      <c r="I916" t="s">
        <v>11</v>
      </c>
      <c r="J916" t="s">
        <v>12</v>
      </c>
      <c r="K916">
        <v>1</v>
      </c>
      <c r="L916">
        <v>650</v>
      </c>
      <c r="M916">
        <v>650</v>
      </c>
      <c r="N916">
        <f>IF(COUNTIFS($B$2:B916,B916)=1,1,0)</f>
        <v>0</v>
      </c>
    </row>
    <row r="917" spans="1:14" x14ac:dyDescent="0.2">
      <c r="A917">
        <v>916</v>
      </c>
      <c r="B917">
        <v>1460</v>
      </c>
      <c r="C917">
        <f>1/COUNTIF(B:B,Table1[[#This Row],[order_id]])</f>
        <v>0.33333333333333331</v>
      </c>
      <c r="D917" t="str">
        <f>TEXT(Table1[[#This Row],[order_date]],"mmmm")</f>
        <v>March</v>
      </c>
      <c r="E917" s="1">
        <v>45365</v>
      </c>
      <c r="F917" s="1" t="str">
        <f>TEXT(Table1[[#This Row],[order_date]],"dddd")</f>
        <v>Thursday</v>
      </c>
      <c r="G917">
        <f>HOUR(Table1[[#This Row],[order_time]])</f>
        <v>9</v>
      </c>
      <c r="H917" s="2">
        <v>0.40122685185185186</v>
      </c>
      <c r="I917" t="s">
        <v>18</v>
      </c>
      <c r="J917" t="s">
        <v>27</v>
      </c>
      <c r="K917">
        <v>1</v>
      </c>
      <c r="L917">
        <v>40</v>
      </c>
      <c r="M917">
        <v>40</v>
      </c>
      <c r="N917">
        <f>IF(COUNTIFS($B$2:B917,B917)=1,1,0)</f>
        <v>1</v>
      </c>
    </row>
    <row r="918" spans="1:14" x14ac:dyDescent="0.2">
      <c r="A918">
        <v>917</v>
      </c>
      <c r="B918">
        <v>1460</v>
      </c>
      <c r="C918">
        <f>1/COUNTIF(B:B,Table1[[#This Row],[order_id]])</f>
        <v>0.33333333333333331</v>
      </c>
      <c r="D918" t="str">
        <f>TEXT(Table1[[#This Row],[order_date]],"mmmm")</f>
        <v>March</v>
      </c>
      <c r="E918" s="1">
        <v>45365</v>
      </c>
      <c r="F918" s="1" t="str">
        <f>TEXT(Table1[[#This Row],[order_date]],"dddd")</f>
        <v>Thursday</v>
      </c>
      <c r="G918">
        <f>HOUR(Table1[[#This Row],[order_time]])</f>
        <v>20</v>
      </c>
      <c r="H918" s="2">
        <v>0.83993055555555551</v>
      </c>
      <c r="I918" t="s">
        <v>9</v>
      </c>
      <c r="J918" t="s">
        <v>22</v>
      </c>
      <c r="K918">
        <v>5</v>
      </c>
      <c r="L918">
        <v>15</v>
      </c>
      <c r="M918">
        <v>75</v>
      </c>
      <c r="N918">
        <f>IF(COUNTIFS($B$2:B918,B918)=1,1,0)</f>
        <v>0</v>
      </c>
    </row>
    <row r="919" spans="1:14" x14ac:dyDescent="0.2">
      <c r="A919">
        <v>918</v>
      </c>
      <c r="B919">
        <v>1460</v>
      </c>
      <c r="C919">
        <f>1/COUNTIF(B:B,Table1[[#This Row],[order_id]])</f>
        <v>0.33333333333333331</v>
      </c>
      <c r="D919" t="str">
        <f>TEXT(Table1[[#This Row],[order_date]],"mmmm")</f>
        <v>March</v>
      </c>
      <c r="E919" s="1">
        <v>45365</v>
      </c>
      <c r="F919" s="1" t="str">
        <f>TEXT(Table1[[#This Row],[order_date]],"dddd")</f>
        <v>Thursday</v>
      </c>
      <c r="G919">
        <f>HOUR(Table1[[#This Row],[order_time]])</f>
        <v>19</v>
      </c>
      <c r="H919" s="2">
        <v>0.83219907407407412</v>
      </c>
      <c r="I919" t="s">
        <v>16</v>
      </c>
      <c r="J919" t="s">
        <v>17</v>
      </c>
      <c r="K919">
        <v>4</v>
      </c>
      <c r="L919">
        <v>20</v>
      </c>
      <c r="M919">
        <v>80</v>
      </c>
      <c r="N919">
        <f>IF(COUNTIFS($B$2:B919,B919)=1,1,0)</f>
        <v>0</v>
      </c>
    </row>
    <row r="920" spans="1:14" x14ac:dyDescent="0.2">
      <c r="A920">
        <v>919</v>
      </c>
      <c r="B920">
        <v>1461</v>
      </c>
      <c r="C920">
        <f>1/COUNTIF(B:B,Table1[[#This Row],[order_id]])</f>
        <v>1</v>
      </c>
      <c r="D920" t="str">
        <f>TEXT(Table1[[#This Row],[order_date]],"mmmm")</f>
        <v>March</v>
      </c>
      <c r="E920" s="1">
        <v>45365</v>
      </c>
      <c r="F920" s="1" t="str">
        <f>TEXT(Table1[[#This Row],[order_date]],"dddd")</f>
        <v>Thursday</v>
      </c>
      <c r="G920">
        <f>HOUR(Table1[[#This Row],[order_time]])</f>
        <v>20</v>
      </c>
      <c r="H920" s="2">
        <v>0.86157407407407405</v>
      </c>
      <c r="I920" t="s">
        <v>18</v>
      </c>
      <c r="J920" t="s">
        <v>27</v>
      </c>
      <c r="K920">
        <v>4</v>
      </c>
      <c r="L920">
        <v>40</v>
      </c>
      <c r="M920">
        <v>160</v>
      </c>
      <c r="N920">
        <f>IF(COUNTIFS($B$2:B920,B920)=1,1,0)</f>
        <v>1</v>
      </c>
    </row>
    <row r="921" spans="1:14" x14ac:dyDescent="0.2">
      <c r="A921">
        <v>920</v>
      </c>
      <c r="B921">
        <v>1462</v>
      </c>
      <c r="C921">
        <f>1/COUNTIF(B:B,Table1[[#This Row],[order_id]])</f>
        <v>0.5</v>
      </c>
      <c r="D921" t="str">
        <f>TEXT(Table1[[#This Row],[order_date]],"mmmm")</f>
        <v>March</v>
      </c>
      <c r="E921" s="1">
        <v>45365</v>
      </c>
      <c r="F921" s="1" t="str">
        <f>TEXT(Table1[[#This Row],[order_date]],"dddd")</f>
        <v>Thursday</v>
      </c>
      <c r="G921">
        <f>HOUR(Table1[[#This Row],[order_time]])</f>
        <v>13</v>
      </c>
      <c r="H921" s="2">
        <v>0.5489236111111111</v>
      </c>
      <c r="I921" t="s">
        <v>18</v>
      </c>
      <c r="J921" t="s">
        <v>19</v>
      </c>
      <c r="K921">
        <v>4</v>
      </c>
      <c r="L921">
        <v>50</v>
      </c>
      <c r="M921">
        <v>200</v>
      </c>
      <c r="N921">
        <f>IF(COUNTIFS($B$2:B921,B921)=1,1,0)</f>
        <v>1</v>
      </c>
    </row>
    <row r="922" spans="1:14" x14ac:dyDescent="0.2">
      <c r="A922">
        <v>921</v>
      </c>
      <c r="B922">
        <v>1462</v>
      </c>
      <c r="C922">
        <f>1/COUNTIF(B:B,Table1[[#This Row],[order_id]])</f>
        <v>0.5</v>
      </c>
      <c r="D922" t="str">
        <f>TEXT(Table1[[#This Row],[order_date]],"mmmm")</f>
        <v>March</v>
      </c>
      <c r="E922" s="1">
        <v>45365</v>
      </c>
      <c r="F922" s="1" t="str">
        <f>TEXT(Table1[[#This Row],[order_date]],"dddd")</f>
        <v>Thursday</v>
      </c>
      <c r="G922">
        <f>HOUR(Table1[[#This Row],[order_time]])</f>
        <v>12</v>
      </c>
      <c r="H922" s="2">
        <v>0.50075231481481486</v>
      </c>
      <c r="I922" t="s">
        <v>16</v>
      </c>
      <c r="J922" t="s">
        <v>24</v>
      </c>
      <c r="K922">
        <v>4</v>
      </c>
      <c r="L922">
        <v>35</v>
      </c>
      <c r="M922">
        <v>140</v>
      </c>
      <c r="N922">
        <f>IF(COUNTIFS($B$2:B922,B922)=1,1,0)</f>
        <v>0</v>
      </c>
    </row>
    <row r="923" spans="1:14" x14ac:dyDescent="0.2">
      <c r="A923">
        <v>922</v>
      </c>
      <c r="B923">
        <v>1463</v>
      </c>
      <c r="C923">
        <f>1/COUNTIF(B:B,Table1[[#This Row],[order_id]])</f>
        <v>0.5</v>
      </c>
      <c r="D923" t="str">
        <f>TEXT(Table1[[#This Row],[order_date]],"mmmm")</f>
        <v>March</v>
      </c>
      <c r="E923" s="1">
        <v>45365</v>
      </c>
      <c r="F923" s="1" t="str">
        <f>TEXT(Table1[[#This Row],[order_date]],"dddd")</f>
        <v>Thursday</v>
      </c>
      <c r="G923">
        <f>HOUR(Table1[[#This Row],[order_time]])</f>
        <v>19</v>
      </c>
      <c r="H923" s="2">
        <v>0.79758101851851848</v>
      </c>
      <c r="I923" t="s">
        <v>18</v>
      </c>
      <c r="J923" t="s">
        <v>19</v>
      </c>
      <c r="K923">
        <v>3</v>
      </c>
      <c r="L923">
        <v>50</v>
      </c>
      <c r="M923">
        <v>150</v>
      </c>
      <c r="N923">
        <f>IF(COUNTIFS($B$2:B923,B923)=1,1,0)</f>
        <v>1</v>
      </c>
    </row>
    <row r="924" spans="1:14" x14ac:dyDescent="0.2">
      <c r="A924">
        <v>923</v>
      </c>
      <c r="B924">
        <v>1463</v>
      </c>
      <c r="C924">
        <f>1/COUNTIF(B:B,Table1[[#This Row],[order_id]])</f>
        <v>0.5</v>
      </c>
      <c r="D924" t="str">
        <f>TEXT(Table1[[#This Row],[order_date]],"mmmm")</f>
        <v>March</v>
      </c>
      <c r="E924" s="1">
        <v>45365</v>
      </c>
      <c r="F924" s="1" t="str">
        <f>TEXT(Table1[[#This Row],[order_date]],"dddd")</f>
        <v>Thursday</v>
      </c>
      <c r="G924">
        <f>HOUR(Table1[[#This Row],[order_time]])</f>
        <v>9</v>
      </c>
      <c r="H924" s="2">
        <v>0.41630787037037037</v>
      </c>
      <c r="I924" t="s">
        <v>11</v>
      </c>
      <c r="J924" t="s">
        <v>12</v>
      </c>
      <c r="K924">
        <v>3</v>
      </c>
      <c r="L924">
        <v>650</v>
      </c>
      <c r="M924">
        <v>1950</v>
      </c>
      <c r="N924">
        <f>IF(COUNTIFS($B$2:B924,B924)=1,1,0)</f>
        <v>0</v>
      </c>
    </row>
    <row r="925" spans="1:14" x14ac:dyDescent="0.2">
      <c r="A925">
        <v>924</v>
      </c>
      <c r="B925">
        <v>1464</v>
      </c>
      <c r="C925">
        <f>1/COUNTIF(B:B,Table1[[#This Row],[order_id]])</f>
        <v>0.33333333333333331</v>
      </c>
      <c r="D925" t="str">
        <f>TEXT(Table1[[#This Row],[order_date]],"mmmm")</f>
        <v>March</v>
      </c>
      <c r="E925" s="1">
        <v>45366</v>
      </c>
      <c r="F925" s="1" t="str">
        <f>TEXT(Table1[[#This Row],[order_date]],"dddd")</f>
        <v>Friday</v>
      </c>
      <c r="G925">
        <f>HOUR(Table1[[#This Row],[order_time]])</f>
        <v>15</v>
      </c>
      <c r="H925" s="2">
        <v>0.64393518518518522</v>
      </c>
      <c r="I925" t="s">
        <v>16</v>
      </c>
      <c r="J925" t="s">
        <v>28</v>
      </c>
      <c r="K925">
        <v>4</v>
      </c>
      <c r="L925">
        <v>25</v>
      </c>
      <c r="M925">
        <v>100</v>
      </c>
      <c r="N925">
        <f>IF(COUNTIFS($B$2:B925,B925)=1,1,0)</f>
        <v>1</v>
      </c>
    </row>
    <row r="926" spans="1:14" x14ac:dyDescent="0.2">
      <c r="A926">
        <v>925</v>
      </c>
      <c r="B926">
        <v>1464</v>
      </c>
      <c r="C926">
        <f>1/COUNTIF(B:B,Table1[[#This Row],[order_id]])</f>
        <v>0.33333333333333331</v>
      </c>
      <c r="D926" t="str">
        <f>TEXT(Table1[[#This Row],[order_date]],"mmmm")</f>
        <v>March</v>
      </c>
      <c r="E926" s="1">
        <v>45366</v>
      </c>
      <c r="F926" s="1" t="str">
        <f>TEXT(Table1[[#This Row],[order_date]],"dddd")</f>
        <v>Friday</v>
      </c>
      <c r="G926">
        <f>HOUR(Table1[[#This Row],[order_time]])</f>
        <v>15</v>
      </c>
      <c r="H926" s="2">
        <v>0.62616898148148148</v>
      </c>
      <c r="I926" t="s">
        <v>16</v>
      </c>
      <c r="J926" t="s">
        <v>17</v>
      </c>
      <c r="K926">
        <v>5</v>
      </c>
      <c r="L926">
        <v>20</v>
      </c>
      <c r="M926">
        <v>100</v>
      </c>
      <c r="N926">
        <f>IF(COUNTIFS($B$2:B926,B926)=1,1,0)</f>
        <v>0</v>
      </c>
    </row>
    <row r="927" spans="1:14" x14ac:dyDescent="0.2">
      <c r="A927">
        <v>926</v>
      </c>
      <c r="B927">
        <v>1464</v>
      </c>
      <c r="C927">
        <f>1/COUNTIF(B:B,Table1[[#This Row],[order_id]])</f>
        <v>0.33333333333333331</v>
      </c>
      <c r="D927" t="str">
        <f>TEXT(Table1[[#This Row],[order_date]],"mmmm")</f>
        <v>March</v>
      </c>
      <c r="E927" s="1">
        <v>45366</v>
      </c>
      <c r="F927" s="1" t="str">
        <f>TEXT(Table1[[#This Row],[order_date]],"dddd")</f>
        <v>Friday</v>
      </c>
      <c r="G927">
        <f>HOUR(Table1[[#This Row],[order_time]])</f>
        <v>10</v>
      </c>
      <c r="H927" s="2">
        <v>0.42644675925925923</v>
      </c>
      <c r="I927" t="s">
        <v>11</v>
      </c>
      <c r="J927" t="s">
        <v>13</v>
      </c>
      <c r="K927">
        <v>3</v>
      </c>
      <c r="L927">
        <v>680</v>
      </c>
      <c r="M927">
        <v>2040</v>
      </c>
      <c r="N927">
        <f>IF(COUNTIFS($B$2:B927,B927)=1,1,0)</f>
        <v>0</v>
      </c>
    </row>
    <row r="928" spans="1:14" x14ac:dyDescent="0.2">
      <c r="A928">
        <v>927</v>
      </c>
      <c r="B928">
        <v>1465</v>
      </c>
      <c r="C928">
        <f>1/COUNTIF(B:B,Table1[[#This Row],[order_id]])</f>
        <v>0.33333333333333331</v>
      </c>
      <c r="D928" t="str">
        <f>TEXT(Table1[[#This Row],[order_date]],"mmmm")</f>
        <v>March</v>
      </c>
      <c r="E928" s="1">
        <v>45366</v>
      </c>
      <c r="F928" s="1" t="str">
        <f>TEXT(Table1[[#This Row],[order_date]],"dddd")</f>
        <v>Friday</v>
      </c>
      <c r="G928">
        <f>HOUR(Table1[[#This Row],[order_time]])</f>
        <v>15</v>
      </c>
      <c r="H928" s="2">
        <v>0.66584490740740743</v>
      </c>
      <c r="I928" t="s">
        <v>9</v>
      </c>
      <c r="J928" t="s">
        <v>20</v>
      </c>
      <c r="K928">
        <v>4</v>
      </c>
      <c r="L928">
        <v>25</v>
      </c>
      <c r="M928">
        <v>100</v>
      </c>
      <c r="N928">
        <f>IF(COUNTIFS($B$2:B928,B928)=1,1,0)</f>
        <v>1</v>
      </c>
    </row>
    <row r="929" spans="1:14" x14ac:dyDescent="0.2">
      <c r="A929">
        <v>928</v>
      </c>
      <c r="B929">
        <v>1465</v>
      </c>
      <c r="C929">
        <f>1/COUNTIF(B:B,Table1[[#This Row],[order_id]])</f>
        <v>0.33333333333333331</v>
      </c>
      <c r="D929" t="str">
        <f>TEXT(Table1[[#This Row],[order_date]],"mmmm")</f>
        <v>March</v>
      </c>
      <c r="E929" s="1">
        <v>45366</v>
      </c>
      <c r="F929" s="1" t="str">
        <f>TEXT(Table1[[#This Row],[order_date]],"dddd")</f>
        <v>Friday</v>
      </c>
      <c r="G929">
        <f>HOUR(Table1[[#This Row],[order_time]])</f>
        <v>20</v>
      </c>
      <c r="H929" s="2">
        <v>0.87188657407407411</v>
      </c>
      <c r="I929" t="s">
        <v>9</v>
      </c>
      <c r="J929" t="s">
        <v>22</v>
      </c>
      <c r="K929">
        <v>5</v>
      </c>
      <c r="L929">
        <v>15</v>
      </c>
      <c r="M929">
        <v>75</v>
      </c>
      <c r="N929">
        <f>IF(COUNTIFS($B$2:B929,B929)=1,1,0)</f>
        <v>0</v>
      </c>
    </row>
    <row r="930" spans="1:14" x14ac:dyDescent="0.2">
      <c r="A930">
        <v>929</v>
      </c>
      <c r="B930">
        <v>1465</v>
      </c>
      <c r="C930">
        <f>1/COUNTIF(B:B,Table1[[#This Row],[order_id]])</f>
        <v>0.33333333333333331</v>
      </c>
      <c r="D930" t="str">
        <f>TEXT(Table1[[#This Row],[order_date]],"mmmm")</f>
        <v>March</v>
      </c>
      <c r="E930" s="1">
        <v>45366</v>
      </c>
      <c r="F930" s="1" t="str">
        <f>TEXT(Table1[[#This Row],[order_date]],"dddd")</f>
        <v>Friday</v>
      </c>
      <c r="G930">
        <f>HOUR(Table1[[#This Row],[order_time]])</f>
        <v>14</v>
      </c>
      <c r="H930" s="2">
        <v>0.58833333333333337</v>
      </c>
      <c r="I930" t="s">
        <v>18</v>
      </c>
      <c r="J930" t="s">
        <v>31</v>
      </c>
      <c r="K930">
        <v>3</v>
      </c>
      <c r="L930">
        <v>45</v>
      </c>
      <c r="M930">
        <v>135</v>
      </c>
      <c r="N930">
        <f>IF(COUNTIFS($B$2:B930,B930)=1,1,0)</f>
        <v>0</v>
      </c>
    </row>
    <row r="931" spans="1:14" x14ac:dyDescent="0.2">
      <c r="A931">
        <v>930</v>
      </c>
      <c r="B931">
        <v>1466</v>
      </c>
      <c r="C931">
        <f>1/COUNTIF(B:B,Table1[[#This Row],[order_id]])</f>
        <v>0.33333333333333331</v>
      </c>
      <c r="D931" t="str">
        <f>TEXT(Table1[[#This Row],[order_date]],"mmmm")</f>
        <v>March</v>
      </c>
      <c r="E931" s="1">
        <v>45366</v>
      </c>
      <c r="F931" s="1" t="str">
        <f>TEXT(Table1[[#This Row],[order_date]],"dddd")</f>
        <v>Friday</v>
      </c>
      <c r="G931">
        <f>HOUR(Table1[[#This Row],[order_time]])</f>
        <v>18</v>
      </c>
      <c r="H931" s="2">
        <v>0.77572916666666669</v>
      </c>
      <c r="I931" t="s">
        <v>11</v>
      </c>
      <c r="J931" t="s">
        <v>13</v>
      </c>
      <c r="K931">
        <v>1</v>
      </c>
      <c r="L931">
        <v>680</v>
      </c>
      <c r="M931">
        <v>680</v>
      </c>
      <c r="N931">
        <f>IF(COUNTIFS($B$2:B931,B931)=1,1,0)</f>
        <v>1</v>
      </c>
    </row>
    <row r="932" spans="1:14" x14ac:dyDescent="0.2">
      <c r="A932">
        <v>931</v>
      </c>
      <c r="B932">
        <v>1466</v>
      </c>
      <c r="C932">
        <f>1/COUNTIF(B:B,Table1[[#This Row],[order_id]])</f>
        <v>0.33333333333333331</v>
      </c>
      <c r="D932" t="str">
        <f>TEXT(Table1[[#This Row],[order_date]],"mmmm")</f>
        <v>March</v>
      </c>
      <c r="E932" s="1">
        <v>45366</v>
      </c>
      <c r="F932" s="1" t="str">
        <f>TEXT(Table1[[#This Row],[order_date]],"dddd")</f>
        <v>Friday</v>
      </c>
      <c r="G932">
        <f>HOUR(Table1[[#This Row],[order_time]])</f>
        <v>9</v>
      </c>
      <c r="H932" s="2">
        <v>0.39276620370370369</v>
      </c>
      <c r="I932" t="s">
        <v>9</v>
      </c>
      <c r="J932" t="s">
        <v>10</v>
      </c>
      <c r="K932">
        <v>5</v>
      </c>
      <c r="L932">
        <v>20</v>
      </c>
      <c r="M932">
        <v>100</v>
      </c>
      <c r="N932">
        <f>IF(COUNTIFS($B$2:B932,B932)=1,1,0)</f>
        <v>0</v>
      </c>
    </row>
    <row r="933" spans="1:14" x14ac:dyDescent="0.2">
      <c r="A933">
        <v>932</v>
      </c>
      <c r="B933">
        <v>1466</v>
      </c>
      <c r="C933">
        <f>1/COUNTIF(B:B,Table1[[#This Row],[order_id]])</f>
        <v>0.33333333333333331</v>
      </c>
      <c r="D933" t="str">
        <f>TEXT(Table1[[#This Row],[order_date]],"mmmm")</f>
        <v>March</v>
      </c>
      <c r="E933" s="1">
        <v>45366</v>
      </c>
      <c r="F933" s="1" t="str">
        <f>TEXT(Table1[[#This Row],[order_date]],"dddd")</f>
        <v>Friday</v>
      </c>
      <c r="G933">
        <f>HOUR(Table1[[#This Row],[order_time]])</f>
        <v>19</v>
      </c>
      <c r="H933" s="2">
        <v>0.80688657407407405</v>
      </c>
      <c r="I933" t="s">
        <v>9</v>
      </c>
      <c r="J933" t="s">
        <v>29</v>
      </c>
      <c r="K933">
        <v>4</v>
      </c>
      <c r="L933">
        <v>5</v>
      </c>
      <c r="M933">
        <v>20</v>
      </c>
      <c r="N933">
        <f>IF(COUNTIFS($B$2:B933,B933)=1,1,0)</f>
        <v>0</v>
      </c>
    </row>
    <row r="934" spans="1:14" x14ac:dyDescent="0.2">
      <c r="A934">
        <v>933</v>
      </c>
      <c r="B934">
        <v>1467</v>
      </c>
      <c r="C934">
        <f>1/COUNTIF(B:B,Table1[[#This Row],[order_id]])</f>
        <v>0.33333333333333331</v>
      </c>
      <c r="D934" t="str">
        <f>TEXT(Table1[[#This Row],[order_date]],"mmmm")</f>
        <v>March</v>
      </c>
      <c r="E934" s="1">
        <v>45366</v>
      </c>
      <c r="F934" s="1" t="str">
        <f>TEXT(Table1[[#This Row],[order_date]],"dddd")</f>
        <v>Friday</v>
      </c>
      <c r="G934">
        <f>HOUR(Table1[[#This Row],[order_time]])</f>
        <v>19</v>
      </c>
      <c r="H934" s="2">
        <v>0.80964120370370374</v>
      </c>
      <c r="I934" t="s">
        <v>11</v>
      </c>
      <c r="J934" t="s">
        <v>15</v>
      </c>
      <c r="K934">
        <v>2</v>
      </c>
      <c r="L934">
        <v>600</v>
      </c>
      <c r="M934">
        <v>1200</v>
      </c>
      <c r="N934">
        <f>IF(COUNTIFS($B$2:B934,B934)=1,1,0)</f>
        <v>1</v>
      </c>
    </row>
    <row r="935" spans="1:14" x14ac:dyDescent="0.2">
      <c r="A935">
        <v>934</v>
      </c>
      <c r="B935">
        <v>1467</v>
      </c>
      <c r="C935">
        <f>1/COUNTIF(B:B,Table1[[#This Row],[order_id]])</f>
        <v>0.33333333333333331</v>
      </c>
      <c r="D935" t="str">
        <f>TEXT(Table1[[#This Row],[order_date]],"mmmm")</f>
        <v>March</v>
      </c>
      <c r="E935" s="1">
        <v>45366</v>
      </c>
      <c r="F935" s="1" t="str">
        <f>TEXT(Table1[[#This Row],[order_date]],"dddd")</f>
        <v>Friday</v>
      </c>
      <c r="G935">
        <f>HOUR(Table1[[#This Row],[order_time]])</f>
        <v>11</v>
      </c>
      <c r="H935" s="2">
        <v>0.46840277777777778</v>
      </c>
      <c r="I935" t="s">
        <v>18</v>
      </c>
      <c r="J935" t="s">
        <v>19</v>
      </c>
      <c r="K935">
        <v>4</v>
      </c>
      <c r="L935">
        <v>50</v>
      </c>
      <c r="M935">
        <v>200</v>
      </c>
      <c r="N935">
        <f>IF(COUNTIFS($B$2:B935,B935)=1,1,0)</f>
        <v>0</v>
      </c>
    </row>
    <row r="936" spans="1:14" x14ac:dyDescent="0.2">
      <c r="A936">
        <v>935</v>
      </c>
      <c r="B936">
        <v>1467</v>
      </c>
      <c r="C936">
        <f>1/COUNTIF(B:B,Table1[[#This Row],[order_id]])</f>
        <v>0.33333333333333331</v>
      </c>
      <c r="D936" t="str">
        <f>TEXT(Table1[[#This Row],[order_date]],"mmmm")</f>
        <v>March</v>
      </c>
      <c r="E936" s="1">
        <v>45366</v>
      </c>
      <c r="F936" s="1" t="str">
        <f>TEXT(Table1[[#This Row],[order_date]],"dddd")</f>
        <v>Friday</v>
      </c>
      <c r="G936">
        <f>HOUR(Table1[[#This Row],[order_time]])</f>
        <v>20</v>
      </c>
      <c r="H936" s="2">
        <v>0.8706018518518519</v>
      </c>
      <c r="I936" t="s">
        <v>11</v>
      </c>
      <c r="J936" t="s">
        <v>15</v>
      </c>
      <c r="K936">
        <v>3</v>
      </c>
      <c r="L936">
        <v>600</v>
      </c>
      <c r="M936">
        <v>1800</v>
      </c>
      <c r="N936">
        <f>IF(COUNTIFS($B$2:B936,B936)=1,1,0)</f>
        <v>0</v>
      </c>
    </row>
    <row r="937" spans="1:14" x14ac:dyDescent="0.2">
      <c r="A937">
        <v>936</v>
      </c>
      <c r="B937">
        <v>1468</v>
      </c>
      <c r="C937">
        <f>1/COUNTIF(B:B,Table1[[#This Row],[order_id]])</f>
        <v>1</v>
      </c>
      <c r="D937" t="str">
        <f>TEXT(Table1[[#This Row],[order_date]],"mmmm")</f>
        <v>March</v>
      </c>
      <c r="E937" s="1">
        <v>45367</v>
      </c>
      <c r="F937" s="1" t="str">
        <f>TEXT(Table1[[#This Row],[order_date]],"dddd")</f>
        <v>Saturday</v>
      </c>
      <c r="G937">
        <f>HOUR(Table1[[#This Row],[order_time]])</f>
        <v>9</v>
      </c>
      <c r="H937" s="2">
        <v>0.38229166666666664</v>
      </c>
      <c r="I937" t="s">
        <v>18</v>
      </c>
      <c r="J937" t="s">
        <v>19</v>
      </c>
      <c r="K937">
        <v>4</v>
      </c>
      <c r="L937">
        <v>50</v>
      </c>
      <c r="M937">
        <v>200</v>
      </c>
      <c r="N937">
        <f>IF(COUNTIFS($B$2:B937,B937)=1,1,0)</f>
        <v>1</v>
      </c>
    </row>
    <row r="938" spans="1:14" x14ac:dyDescent="0.2">
      <c r="A938">
        <v>937</v>
      </c>
      <c r="B938">
        <v>1469</v>
      </c>
      <c r="C938">
        <f>1/COUNTIF(B:B,Table1[[#This Row],[order_id]])</f>
        <v>0.33333333333333331</v>
      </c>
      <c r="D938" t="str">
        <f>TEXT(Table1[[#This Row],[order_date]],"mmmm")</f>
        <v>March</v>
      </c>
      <c r="E938" s="1">
        <v>45367</v>
      </c>
      <c r="F938" s="1" t="str">
        <f>TEXT(Table1[[#This Row],[order_date]],"dddd")</f>
        <v>Saturday</v>
      </c>
      <c r="G938">
        <f>HOUR(Table1[[#This Row],[order_time]])</f>
        <v>13</v>
      </c>
      <c r="H938" s="2">
        <v>0.57920138888888884</v>
      </c>
      <c r="I938" t="s">
        <v>11</v>
      </c>
      <c r="J938" t="s">
        <v>13</v>
      </c>
      <c r="K938">
        <v>2</v>
      </c>
      <c r="L938">
        <v>680</v>
      </c>
      <c r="M938">
        <v>1360</v>
      </c>
      <c r="N938">
        <f>IF(COUNTIFS($B$2:B938,B938)=1,1,0)</f>
        <v>1</v>
      </c>
    </row>
    <row r="939" spans="1:14" x14ac:dyDescent="0.2">
      <c r="A939">
        <v>938</v>
      </c>
      <c r="B939">
        <v>1469</v>
      </c>
      <c r="C939">
        <f>1/COUNTIF(B:B,Table1[[#This Row],[order_id]])</f>
        <v>0.33333333333333331</v>
      </c>
      <c r="D939" t="str">
        <f>TEXT(Table1[[#This Row],[order_date]],"mmmm")</f>
        <v>March</v>
      </c>
      <c r="E939" s="1">
        <v>45367</v>
      </c>
      <c r="F939" s="1" t="str">
        <f>TEXT(Table1[[#This Row],[order_date]],"dddd")</f>
        <v>Saturday</v>
      </c>
      <c r="G939">
        <f>HOUR(Table1[[#This Row],[order_time]])</f>
        <v>14</v>
      </c>
      <c r="H939" s="2">
        <v>0.61026620370370366</v>
      </c>
      <c r="I939" t="s">
        <v>16</v>
      </c>
      <c r="J939" t="s">
        <v>28</v>
      </c>
      <c r="K939">
        <v>4</v>
      </c>
      <c r="L939">
        <v>25</v>
      </c>
      <c r="M939">
        <v>100</v>
      </c>
      <c r="N939">
        <f>IF(COUNTIFS($B$2:B939,B939)=1,1,0)</f>
        <v>0</v>
      </c>
    </row>
    <row r="940" spans="1:14" x14ac:dyDescent="0.2">
      <c r="A940">
        <v>939</v>
      </c>
      <c r="B940">
        <v>1469</v>
      </c>
      <c r="C940">
        <f>1/COUNTIF(B:B,Table1[[#This Row],[order_id]])</f>
        <v>0.33333333333333331</v>
      </c>
      <c r="D940" t="str">
        <f>TEXT(Table1[[#This Row],[order_date]],"mmmm")</f>
        <v>March</v>
      </c>
      <c r="E940" s="1">
        <v>45367</v>
      </c>
      <c r="F940" s="1" t="str">
        <f>TEXT(Table1[[#This Row],[order_date]],"dddd")</f>
        <v>Saturday</v>
      </c>
      <c r="G940">
        <f>HOUR(Table1[[#This Row],[order_time]])</f>
        <v>16</v>
      </c>
      <c r="H940" s="2">
        <v>0.70467592592592587</v>
      </c>
      <c r="I940" t="s">
        <v>11</v>
      </c>
      <c r="J940" t="s">
        <v>14</v>
      </c>
      <c r="K940">
        <v>5</v>
      </c>
      <c r="L940">
        <v>700</v>
      </c>
      <c r="M940">
        <v>3500</v>
      </c>
      <c r="N940">
        <f>IF(COUNTIFS($B$2:B940,B940)=1,1,0)</f>
        <v>0</v>
      </c>
    </row>
    <row r="941" spans="1:14" x14ac:dyDescent="0.2">
      <c r="A941">
        <v>940</v>
      </c>
      <c r="B941">
        <v>1470</v>
      </c>
      <c r="C941">
        <f>1/COUNTIF(B:B,Table1[[#This Row],[order_id]])</f>
        <v>1</v>
      </c>
      <c r="D941" t="str">
        <f>TEXT(Table1[[#This Row],[order_date]],"mmmm")</f>
        <v>March</v>
      </c>
      <c r="E941" s="1">
        <v>45367</v>
      </c>
      <c r="F941" s="1" t="str">
        <f>TEXT(Table1[[#This Row],[order_date]],"dddd")</f>
        <v>Saturday</v>
      </c>
      <c r="G941">
        <f>HOUR(Table1[[#This Row],[order_time]])</f>
        <v>16</v>
      </c>
      <c r="H941" s="2">
        <v>0.69502314814814814</v>
      </c>
      <c r="I941" t="s">
        <v>18</v>
      </c>
      <c r="J941" t="s">
        <v>19</v>
      </c>
      <c r="K941">
        <v>1</v>
      </c>
      <c r="L941">
        <v>50</v>
      </c>
      <c r="M941">
        <v>50</v>
      </c>
      <c r="N941">
        <f>IF(COUNTIFS($B$2:B941,B941)=1,1,0)</f>
        <v>1</v>
      </c>
    </row>
    <row r="942" spans="1:14" x14ac:dyDescent="0.2">
      <c r="A942">
        <v>941</v>
      </c>
      <c r="B942">
        <v>1471</v>
      </c>
      <c r="C942">
        <f>1/COUNTIF(B:B,Table1[[#This Row],[order_id]])</f>
        <v>1</v>
      </c>
      <c r="D942" t="str">
        <f>TEXT(Table1[[#This Row],[order_date]],"mmmm")</f>
        <v>March</v>
      </c>
      <c r="E942" s="1">
        <v>45367</v>
      </c>
      <c r="F942" s="1" t="str">
        <f>TEXT(Table1[[#This Row],[order_date]],"dddd")</f>
        <v>Saturday</v>
      </c>
      <c r="G942">
        <f>HOUR(Table1[[#This Row],[order_time]])</f>
        <v>13</v>
      </c>
      <c r="H942" s="2">
        <v>0.54359953703703701</v>
      </c>
      <c r="I942" t="s">
        <v>9</v>
      </c>
      <c r="J942" t="s">
        <v>10</v>
      </c>
      <c r="K942">
        <v>4</v>
      </c>
      <c r="L942">
        <v>20</v>
      </c>
      <c r="M942">
        <v>80</v>
      </c>
      <c r="N942">
        <f>IF(COUNTIFS($B$2:B942,B942)=1,1,0)</f>
        <v>1</v>
      </c>
    </row>
    <row r="943" spans="1:14" x14ac:dyDescent="0.2">
      <c r="A943">
        <v>942</v>
      </c>
      <c r="B943">
        <v>1472</v>
      </c>
      <c r="C943">
        <f>1/COUNTIF(B:B,Table1[[#This Row],[order_id]])</f>
        <v>1</v>
      </c>
      <c r="D943" t="str">
        <f>TEXT(Table1[[#This Row],[order_date]],"mmmm")</f>
        <v>March</v>
      </c>
      <c r="E943" s="1">
        <v>45367</v>
      </c>
      <c r="F943" s="1" t="str">
        <f>TEXT(Table1[[#This Row],[order_date]],"dddd")</f>
        <v>Saturday</v>
      </c>
      <c r="G943">
        <f>HOUR(Table1[[#This Row],[order_time]])</f>
        <v>10</v>
      </c>
      <c r="H943" s="2">
        <v>0.43302083333333335</v>
      </c>
      <c r="I943" t="s">
        <v>16</v>
      </c>
      <c r="J943" t="s">
        <v>24</v>
      </c>
      <c r="K943">
        <v>3</v>
      </c>
      <c r="L943">
        <v>35</v>
      </c>
      <c r="M943">
        <v>105</v>
      </c>
      <c r="N943">
        <f>IF(COUNTIFS($B$2:B943,B943)=1,1,0)</f>
        <v>1</v>
      </c>
    </row>
    <row r="944" spans="1:14" x14ac:dyDescent="0.2">
      <c r="A944">
        <v>943</v>
      </c>
      <c r="B944">
        <v>1473</v>
      </c>
      <c r="C944">
        <f>1/COUNTIF(B:B,Table1[[#This Row],[order_id]])</f>
        <v>0.5</v>
      </c>
      <c r="D944" t="str">
        <f>TEXT(Table1[[#This Row],[order_date]],"mmmm")</f>
        <v>March</v>
      </c>
      <c r="E944" s="1">
        <v>45367</v>
      </c>
      <c r="F944" s="1" t="str">
        <f>TEXT(Table1[[#This Row],[order_date]],"dddd")</f>
        <v>Saturday</v>
      </c>
      <c r="G944">
        <f>HOUR(Table1[[#This Row],[order_time]])</f>
        <v>13</v>
      </c>
      <c r="H944" s="2">
        <v>0.57362268518518522</v>
      </c>
      <c r="I944" t="s">
        <v>16</v>
      </c>
      <c r="J944" t="s">
        <v>17</v>
      </c>
      <c r="K944">
        <v>2</v>
      </c>
      <c r="L944">
        <v>20</v>
      </c>
      <c r="M944">
        <v>40</v>
      </c>
      <c r="N944">
        <f>IF(COUNTIFS($B$2:B944,B944)=1,1,0)</f>
        <v>1</v>
      </c>
    </row>
    <row r="945" spans="1:14" x14ac:dyDescent="0.2">
      <c r="A945">
        <v>944</v>
      </c>
      <c r="B945">
        <v>1473</v>
      </c>
      <c r="C945">
        <f>1/COUNTIF(B:B,Table1[[#This Row],[order_id]])</f>
        <v>0.5</v>
      </c>
      <c r="D945" t="str">
        <f>TEXT(Table1[[#This Row],[order_date]],"mmmm")</f>
        <v>March</v>
      </c>
      <c r="E945" s="1">
        <v>45367</v>
      </c>
      <c r="F945" s="1" t="str">
        <f>TEXT(Table1[[#This Row],[order_date]],"dddd")</f>
        <v>Saturday</v>
      </c>
      <c r="G945">
        <f>HOUR(Table1[[#This Row],[order_time]])</f>
        <v>14</v>
      </c>
      <c r="H945" s="2">
        <v>0.61729166666666668</v>
      </c>
      <c r="I945" t="s">
        <v>16</v>
      </c>
      <c r="J945" t="s">
        <v>17</v>
      </c>
      <c r="K945">
        <v>1</v>
      </c>
      <c r="L945">
        <v>20</v>
      </c>
      <c r="M945">
        <v>20</v>
      </c>
      <c r="N945">
        <f>IF(COUNTIFS($B$2:B945,B945)=1,1,0)</f>
        <v>0</v>
      </c>
    </row>
    <row r="946" spans="1:14" x14ac:dyDescent="0.2">
      <c r="A946">
        <v>945</v>
      </c>
      <c r="B946">
        <v>1474</v>
      </c>
      <c r="C946">
        <f>1/COUNTIF(B:B,Table1[[#This Row],[order_id]])</f>
        <v>0.33333333333333331</v>
      </c>
      <c r="D946" t="str">
        <f>TEXT(Table1[[#This Row],[order_date]],"mmmm")</f>
        <v>March</v>
      </c>
      <c r="E946" s="1">
        <v>45367</v>
      </c>
      <c r="F946" s="1" t="str">
        <f>TEXT(Table1[[#This Row],[order_date]],"dddd")</f>
        <v>Saturday</v>
      </c>
      <c r="G946">
        <f>HOUR(Table1[[#This Row],[order_time]])</f>
        <v>14</v>
      </c>
      <c r="H946" s="2">
        <v>0.60516203703703708</v>
      </c>
      <c r="I946" t="s">
        <v>11</v>
      </c>
      <c r="J946" t="s">
        <v>15</v>
      </c>
      <c r="K946">
        <v>4</v>
      </c>
      <c r="L946">
        <v>600</v>
      </c>
      <c r="M946">
        <v>2400</v>
      </c>
      <c r="N946">
        <f>IF(COUNTIFS($B$2:B946,B946)=1,1,0)</f>
        <v>1</v>
      </c>
    </row>
    <row r="947" spans="1:14" x14ac:dyDescent="0.2">
      <c r="A947">
        <v>946</v>
      </c>
      <c r="B947">
        <v>1474</v>
      </c>
      <c r="C947">
        <f>1/COUNTIF(B:B,Table1[[#This Row],[order_id]])</f>
        <v>0.33333333333333331</v>
      </c>
      <c r="D947" t="str">
        <f>TEXT(Table1[[#This Row],[order_date]],"mmmm")</f>
        <v>March</v>
      </c>
      <c r="E947" s="1">
        <v>45367</v>
      </c>
      <c r="F947" s="1" t="str">
        <f>TEXT(Table1[[#This Row],[order_date]],"dddd")</f>
        <v>Saturday</v>
      </c>
      <c r="G947">
        <f>HOUR(Table1[[#This Row],[order_time]])</f>
        <v>15</v>
      </c>
      <c r="H947" s="2">
        <v>0.65295138888888893</v>
      </c>
      <c r="I947" t="s">
        <v>11</v>
      </c>
      <c r="J947" t="s">
        <v>14</v>
      </c>
      <c r="K947">
        <v>5</v>
      </c>
      <c r="L947">
        <v>700</v>
      </c>
      <c r="M947">
        <v>3500</v>
      </c>
      <c r="N947">
        <f>IF(COUNTIFS($B$2:B947,B947)=1,1,0)</f>
        <v>0</v>
      </c>
    </row>
    <row r="948" spans="1:14" x14ac:dyDescent="0.2">
      <c r="A948">
        <v>947</v>
      </c>
      <c r="B948">
        <v>1474</v>
      </c>
      <c r="C948">
        <f>1/COUNTIF(B:B,Table1[[#This Row],[order_id]])</f>
        <v>0.33333333333333331</v>
      </c>
      <c r="D948" t="str">
        <f>TEXT(Table1[[#This Row],[order_date]],"mmmm")</f>
        <v>March</v>
      </c>
      <c r="E948" s="1">
        <v>45367</v>
      </c>
      <c r="F948" s="1" t="str">
        <f>TEXT(Table1[[#This Row],[order_date]],"dddd")</f>
        <v>Saturday</v>
      </c>
      <c r="G948">
        <f>HOUR(Table1[[#This Row],[order_time]])</f>
        <v>17</v>
      </c>
      <c r="H948" s="2">
        <v>0.74383101851851852</v>
      </c>
      <c r="I948" t="s">
        <v>18</v>
      </c>
      <c r="J948" t="s">
        <v>26</v>
      </c>
      <c r="K948">
        <v>3</v>
      </c>
      <c r="L948">
        <v>55</v>
      </c>
      <c r="M948">
        <v>165</v>
      </c>
      <c r="N948">
        <f>IF(COUNTIFS($B$2:B948,B948)=1,1,0)</f>
        <v>0</v>
      </c>
    </row>
    <row r="949" spans="1:14" x14ac:dyDescent="0.2">
      <c r="A949">
        <v>948</v>
      </c>
      <c r="B949">
        <v>1475</v>
      </c>
      <c r="C949">
        <f>1/COUNTIF(B:B,Table1[[#This Row],[order_id]])</f>
        <v>0.5</v>
      </c>
      <c r="D949" t="str">
        <f>TEXT(Table1[[#This Row],[order_date]],"mmmm")</f>
        <v>March</v>
      </c>
      <c r="E949" s="1">
        <v>45368</v>
      </c>
      <c r="F949" s="1" t="str">
        <f>TEXT(Table1[[#This Row],[order_date]],"dddd")</f>
        <v>Sunday</v>
      </c>
      <c r="G949">
        <f>HOUR(Table1[[#This Row],[order_time]])</f>
        <v>13</v>
      </c>
      <c r="H949" s="2">
        <v>0.57583333333333331</v>
      </c>
      <c r="I949" t="s">
        <v>18</v>
      </c>
      <c r="J949" t="s">
        <v>30</v>
      </c>
      <c r="K949">
        <v>1</v>
      </c>
      <c r="L949">
        <v>60</v>
      </c>
      <c r="M949">
        <v>60</v>
      </c>
      <c r="N949">
        <f>IF(COUNTIFS($B$2:B949,B949)=1,1,0)</f>
        <v>1</v>
      </c>
    </row>
    <row r="950" spans="1:14" x14ac:dyDescent="0.2">
      <c r="A950">
        <v>949</v>
      </c>
      <c r="B950">
        <v>1475</v>
      </c>
      <c r="C950">
        <f>1/COUNTIF(B:B,Table1[[#This Row],[order_id]])</f>
        <v>0.5</v>
      </c>
      <c r="D950" t="str">
        <f>TEXT(Table1[[#This Row],[order_date]],"mmmm")</f>
        <v>March</v>
      </c>
      <c r="E950" s="1">
        <v>45368</v>
      </c>
      <c r="F950" s="1" t="str">
        <f>TEXT(Table1[[#This Row],[order_date]],"dddd")</f>
        <v>Sunday</v>
      </c>
      <c r="G950">
        <f>HOUR(Table1[[#This Row],[order_time]])</f>
        <v>20</v>
      </c>
      <c r="H950" s="2">
        <v>0.84728009259259263</v>
      </c>
      <c r="I950" t="s">
        <v>16</v>
      </c>
      <c r="J950" t="s">
        <v>17</v>
      </c>
      <c r="K950">
        <v>3</v>
      </c>
      <c r="L950">
        <v>20</v>
      </c>
      <c r="M950">
        <v>60</v>
      </c>
      <c r="N950">
        <f>IF(COUNTIFS($B$2:B950,B950)=1,1,0)</f>
        <v>0</v>
      </c>
    </row>
    <row r="951" spans="1:14" x14ac:dyDescent="0.2">
      <c r="A951">
        <v>950</v>
      </c>
      <c r="B951">
        <v>1476</v>
      </c>
      <c r="C951">
        <f>1/COUNTIF(B:B,Table1[[#This Row],[order_id]])</f>
        <v>0.33333333333333331</v>
      </c>
      <c r="D951" t="str">
        <f>TEXT(Table1[[#This Row],[order_date]],"mmmm")</f>
        <v>March</v>
      </c>
      <c r="E951" s="1">
        <v>45368</v>
      </c>
      <c r="F951" s="1" t="str">
        <f>TEXT(Table1[[#This Row],[order_date]],"dddd")</f>
        <v>Sunday</v>
      </c>
      <c r="G951">
        <f>HOUR(Table1[[#This Row],[order_time]])</f>
        <v>9</v>
      </c>
      <c r="H951" s="2">
        <v>0.40290509259259261</v>
      </c>
      <c r="I951" t="s">
        <v>9</v>
      </c>
      <c r="J951" t="s">
        <v>20</v>
      </c>
      <c r="K951">
        <v>1</v>
      </c>
      <c r="L951">
        <v>25</v>
      </c>
      <c r="M951">
        <v>25</v>
      </c>
      <c r="N951">
        <f>IF(COUNTIFS($B$2:B951,B951)=1,1,0)</f>
        <v>1</v>
      </c>
    </row>
    <row r="952" spans="1:14" x14ac:dyDescent="0.2">
      <c r="A952">
        <v>951</v>
      </c>
      <c r="B952">
        <v>1476</v>
      </c>
      <c r="C952">
        <f>1/COUNTIF(B:B,Table1[[#This Row],[order_id]])</f>
        <v>0.33333333333333331</v>
      </c>
      <c r="D952" t="str">
        <f>TEXT(Table1[[#This Row],[order_date]],"mmmm")</f>
        <v>March</v>
      </c>
      <c r="E952" s="1">
        <v>45368</v>
      </c>
      <c r="F952" s="1" t="str">
        <f>TEXT(Table1[[#This Row],[order_date]],"dddd")</f>
        <v>Sunday</v>
      </c>
      <c r="G952">
        <f>HOUR(Table1[[#This Row],[order_time]])</f>
        <v>19</v>
      </c>
      <c r="H952" s="2">
        <v>0.80692129629629628</v>
      </c>
      <c r="I952" t="s">
        <v>18</v>
      </c>
      <c r="J952" t="s">
        <v>19</v>
      </c>
      <c r="K952">
        <v>4</v>
      </c>
      <c r="L952">
        <v>50</v>
      </c>
      <c r="M952">
        <v>200</v>
      </c>
      <c r="N952">
        <f>IF(COUNTIFS($B$2:B952,B952)=1,1,0)</f>
        <v>0</v>
      </c>
    </row>
    <row r="953" spans="1:14" x14ac:dyDescent="0.2">
      <c r="A953">
        <v>952</v>
      </c>
      <c r="B953">
        <v>1476</v>
      </c>
      <c r="C953">
        <f>1/COUNTIF(B:B,Table1[[#This Row],[order_id]])</f>
        <v>0.33333333333333331</v>
      </c>
      <c r="D953" t="str">
        <f>TEXT(Table1[[#This Row],[order_date]],"mmmm")</f>
        <v>March</v>
      </c>
      <c r="E953" s="1">
        <v>45368</v>
      </c>
      <c r="F953" s="1" t="str">
        <f>TEXT(Table1[[#This Row],[order_date]],"dddd")</f>
        <v>Sunday</v>
      </c>
      <c r="G953">
        <f>HOUR(Table1[[#This Row],[order_time]])</f>
        <v>18</v>
      </c>
      <c r="H953" s="2">
        <v>0.75724537037037032</v>
      </c>
      <c r="I953" t="s">
        <v>16</v>
      </c>
      <c r="J953" t="s">
        <v>24</v>
      </c>
      <c r="K953">
        <v>5</v>
      </c>
      <c r="L953">
        <v>35</v>
      </c>
      <c r="M953">
        <v>175</v>
      </c>
      <c r="N953">
        <f>IF(COUNTIFS($B$2:B953,B953)=1,1,0)</f>
        <v>0</v>
      </c>
    </row>
    <row r="954" spans="1:14" x14ac:dyDescent="0.2">
      <c r="A954">
        <v>953</v>
      </c>
      <c r="B954">
        <v>1477</v>
      </c>
      <c r="C954">
        <f>1/COUNTIF(B:B,Table1[[#This Row],[order_id]])</f>
        <v>0.5</v>
      </c>
      <c r="D954" t="str">
        <f>TEXT(Table1[[#This Row],[order_date]],"mmmm")</f>
        <v>March</v>
      </c>
      <c r="E954" s="1">
        <v>45368</v>
      </c>
      <c r="F954" s="1" t="str">
        <f>TEXT(Table1[[#This Row],[order_date]],"dddd")</f>
        <v>Sunday</v>
      </c>
      <c r="G954">
        <f>HOUR(Table1[[#This Row],[order_time]])</f>
        <v>13</v>
      </c>
      <c r="H954" s="2">
        <v>0.58177083333333335</v>
      </c>
      <c r="I954" t="s">
        <v>18</v>
      </c>
      <c r="J954" t="s">
        <v>30</v>
      </c>
      <c r="K954">
        <v>2</v>
      </c>
      <c r="L954">
        <v>60</v>
      </c>
      <c r="M954">
        <v>120</v>
      </c>
      <c r="N954">
        <f>IF(COUNTIFS($B$2:B954,B954)=1,1,0)</f>
        <v>1</v>
      </c>
    </row>
    <row r="955" spans="1:14" x14ac:dyDescent="0.2">
      <c r="A955">
        <v>954</v>
      </c>
      <c r="B955">
        <v>1477</v>
      </c>
      <c r="C955">
        <f>1/COUNTIF(B:B,Table1[[#This Row],[order_id]])</f>
        <v>0.5</v>
      </c>
      <c r="D955" t="str">
        <f>TEXT(Table1[[#This Row],[order_date]],"mmmm")</f>
        <v>March</v>
      </c>
      <c r="E955" s="1">
        <v>45368</v>
      </c>
      <c r="F955" s="1" t="str">
        <f>TEXT(Table1[[#This Row],[order_date]],"dddd")</f>
        <v>Sunday</v>
      </c>
      <c r="G955">
        <f>HOUR(Table1[[#This Row],[order_time]])</f>
        <v>19</v>
      </c>
      <c r="H955" s="2">
        <v>0.7950694444444445</v>
      </c>
      <c r="I955" t="s">
        <v>9</v>
      </c>
      <c r="J955" t="s">
        <v>20</v>
      </c>
      <c r="K955">
        <v>5</v>
      </c>
      <c r="L955">
        <v>25</v>
      </c>
      <c r="M955">
        <v>125</v>
      </c>
      <c r="N955">
        <f>IF(COUNTIFS($B$2:B955,B955)=1,1,0)</f>
        <v>0</v>
      </c>
    </row>
    <row r="956" spans="1:14" x14ac:dyDescent="0.2">
      <c r="A956">
        <v>955</v>
      </c>
      <c r="B956">
        <v>1478</v>
      </c>
      <c r="C956">
        <f>1/COUNTIF(B:B,Table1[[#This Row],[order_id]])</f>
        <v>0.5</v>
      </c>
      <c r="D956" t="str">
        <f>TEXT(Table1[[#This Row],[order_date]],"mmmm")</f>
        <v>March</v>
      </c>
      <c r="E956" s="1">
        <v>45368</v>
      </c>
      <c r="F956" s="1" t="str">
        <f>TEXT(Table1[[#This Row],[order_date]],"dddd")</f>
        <v>Sunday</v>
      </c>
      <c r="G956">
        <f>HOUR(Table1[[#This Row],[order_time]])</f>
        <v>20</v>
      </c>
      <c r="H956" s="2">
        <v>0.85026620370370365</v>
      </c>
      <c r="I956" t="s">
        <v>9</v>
      </c>
      <c r="J956" t="s">
        <v>21</v>
      </c>
      <c r="K956">
        <v>5</v>
      </c>
      <c r="L956">
        <v>10</v>
      </c>
      <c r="M956">
        <v>50</v>
      </c>
      <c r="N956">
        <f>IF(COUNTIFS($B$2:B956,B956)=1,1,0)</f>
        <v>1</v>
      </c>
    </row>
    <row r="957" spans="1:14" x14ac:dyDescent="0.2">
      <c r="A957">
        <v>956</v>
      </c>
      <c r="B957">
        <v>1478</v>
      </c>
      <c r="C957">
        <f>1/COUNTIF(B:B,Table1[[#This Row],[order_id]])</f>
        <v>0.5</v>
      </c>
      <c r="D957" t="str">
        <f>TEXT(Table1[[#This Row],[order_date]],"mmmm")</f>
        <v>March</v>
      </c>
      <c r="E957" s="1">
        <v>45368</v>
      </c>
      <c r="F957" s="1" t="str">
        <f>TEXT(Table1[[#This Row],[order_date]],"dddd")</f>
        <v>Sunday</v>
      </c>
      <c r="G957">
        <f>HOUR(Table1[[#This Row],[order_time]])</f>
        <v>15</v>
      </c>
      <c r="H957" s="2">
        <v>0.65218750000000003</v>
      </c>
      <c r="I957" t="s">
        <v>16</v>
      </c>
      <c r="J957" t="s">
        <v>23</v>
      </c>
      <c r="K957">
        <v>3</v>
      </c>
      <c r="L957">
        <v>30</v>
      </c>
      <c r="M957">
        <v>90</v>
      </c>
      <c r="N957">
        <f>IF(COUNTIFS($B$2:B957,B957)=1,1,0)</f>
        <v>0</v>
      </c>
    </row>
    <row r="958" spans="1:14" x14ac:dyDescent="0.2">
      <c r="A958">
        <v>957</v>
      </c>
      <c r="B958">
        <v>1479</v>
      </c>
      <c r="C958">
        <f>1/COUNTIF(B:B,Table1[[#This Row],[order_id]])</f>
        <v>0.33333333333333331</v>
      </c>
      <c r="D958" t="str">
        <f>TEXT(Table1[[#This Row],[order_date]],"mmmm")</f>
        <v>March</v>
      </c>
      <c r="E958" s="1">
        <v>45368</v>
      </c>
      <c r="F958" s="1" t="str">
        <f>TEXT(Table1[[#This Row],[order_date]],"dddd")</f>
        <v>Sunday</v>
      </c>
      <c r="G958">
        <f>HOUR(Table1[[#This Row],[order_time]])</f>
        <v>12</v>
      </c>
      <c r="H958" s="2">
        <v>0.53660879629629632</v>
      </c>
      <c r="I958" t="s">
        <v>9</v>
      </c>
      <c r="J958" t="s">
        <v>29</v>
      </c>
      <c r="K958">
        <v>5</v>
      </c>
      <c r="L958">
        <v>5</v>
      </c>
      <c r="M958">
        <v>25</v>
      </c>
      <c r="N958">
        <f>IF(COUNTIFS($B$2:B958,B958)=1,1,0)</f>
        <v>1</v>
      </c>
    </row>
    <row r="959" spans="1:14" x14ac:dyDescent="0.2">
      <c r="A959">
        <v>958</v>
      </c>
      <c r="B959">
        <v>1479</v>
      </c>
      <c r="C959">
        <f>1/COUNTIF(B:B,Table1[[#This Row],[order_id]])</f>
        <v>0.33333333333333331</v>
      </c>
      <c r="D959" t="str">
        <f>TEXT(Table1[[#This Row],[order_date]],"mmmm")</f>
        <v>March</v>
      </c>
      <c r="E959" s="1">
        <v>45368</v>
      </c>
      <c r="F959" s="1" t="str">
        <f>TEXT(Table1[[#This Row],[order_date]],"dddd")</f>
        <v>Sunday</v>
      </c>
      <c r="G959">
        <f>HOUR(Table1[[#This Row],[order_time]])</f>
        <v>16</v>
      </c>
      <c r="H959" s="2">
        <v>0.67853009259259256</v>
      </c>
      <c r="I959" t="s">
        <v>16</v>
      </c>
      <c r="J959" t="s">
        <v>24</v>
      </c>
      <c r="K959">
        <v>3</v>
      </c>
      <c r="L959">
        <v>35</v>
      </c>
      <c r="M959">
        <v>105</v>
      </c>
      <c r="N959">
        <f>IF(COUNTIFS($B$2:B959,B959)=1,1,0)</f>
        <v>0</v>
      </c>
    </row>
    <row r="960" spans="1:14" x14ac:dyDescent="0.2">
      <c r="A960">
        <v>959</v>
      </c>
      <c r="B960">
        <v>1479</v>
      </c>
      <c r="C960">
        <f>1/COUNTIF(B:B,Table1[[#This Row],[order_id]])</f>
        <v>0.33333333333333331</v>
      </c>
      <c r="D960" t="str">
        <f>TEXT(Table1[[#This Row],[order_date]],"mmmm")</f>
        <v>March</v>
      </c>
      <c r="E960" s="1">
        <v>45368</v>
      </c>
      <c r="F960" s="1" t="str">
        <f>TEXT(Table1[[#This Row],[order_date]],"dddd")</f>
        <v>Sunday</v>
      </c>
      <c r="G960">
        <f>HOUR(Table1[[#This Row],[order_time]])</f>
        <v>16</v>
      </c>
      <c r="H960" s="2">
        <v>0.68577546296296299</v>
      </c>
      <c r="I960" t="s">
        <v>18</v>
      </c>
      <c r="J960" t="s">
        <v>19</v>
      </c>
      <c r="K960">
        <v>5</v>
      </c>
      <c r="L960">
        <v>50</v>
      </c>
      <c r="M960">
        <v>250</v>
      </c>
      <c r="N960">
        <f>IF(COUNTIFS($B$2:B960,B960)=1,1,0)</f>
        <v>0</v>
      </c>
    </row>
    <row r="961" spans="1:14" x14ac:dyDescent="0.2">
      <c r="A961">
        <v>960</v>
      </c>
      <c r="B961">
        <v>1480</v>
      </c>
      <c r="C961">
        <f>1/COUNTIF(B:B,Table1[[#This Row],[order_id]])</f>
        <v>1</v>
      </c>
      <c r="D961" t="str">
        <f>TEXT(Table1[[#This Row],[order_date]],"mmmm")</f>
        <v>March</v>
      </c>
      <c r="E961" s="1">
        <v>45368</v>
      </c>
      <c r="F961" s="1" t="str">
        <f>TEXT(Table1[[#This Row],[order_date]],"dddd")</f>
        <v>Sunday</v>
      </c>
      <c r="G961">
        <f>HOUR(Table1[[#This Row],[order_time]])</f>
        <v>16</v>
      </c>
      <c r="H961" s="2">
        <v>0.70212962962962966</v>
      </c>
      <c r="I961" t="s">
        <v>11</v>
      </c>
      <c r="J961" t="s">
        <v>14</v>
      </c>
      <c r="K961">
        <v>3</v>
      </c>
      <c r="L961">
        <v>700</v>
      </c>
      <c r="M961">
        <v>2100</v>
      </c>
      <c r="N961">
        <f>IF(COUNTIFS($B$2:B961,B961)=1,1,0)</f>
        <v>1</v>
      </c>
    </row>
    <row r="962" spans="1:14" x14ac:dyDescent="0.2">
      <c r="A962">
        <v>961</v>
      </c>
      <c r="B962">
        <v>1481</v>
      </c>
      <c r="C962">
        <f>1/COUNTIF(B:B,Table1[[#This Row],[order_id]])</f>
        <v>0.33333333333333331</v>
      </c>
      <c r="D962" t="str">
        <f>TEXT(Table1[[#This Row],[order_date]],"mmmm")</f>
        <v>March</v>
      </c>
      <c r="E962" s="1">
        <v>45368</v>
      </c>
      <c r="F962" s="1" t="str">
        <f>TEXT(Table1[[#This Row],[order_date]],"dddd")</f>
        <v>Sunday</v>
      </c>
      <c r="G962">
        <f>HOUR(Table1[[#This Row],[order_time]])</f>
        <v>12</v>
      </c>
      <c r="H962" s="2">
        <v>0.54002314814814811</v>
      </c>
      <c r="I962" t="s">
        <v>16</v>
      </c>
      <c r="J962" t="s">
        <v>17</v>
      </c>
      <c r="K962">
        <v>1</v>
      </c>
      <c r="L962">
        <v>20</v>
      </c>
      <c r="M962">
        <v>20</v>
      </c>
      <c r="N962">
        <f>IF(COUNTIFS($B$2:B962,B962)=1,1,0)</f>
        <v>1</v>
      </c>
    </row>
    <row r="963" spans="1:14" x14ac:dyDescent="0.2">
      <c r="A963">
        <v>962</v>
      </c>
      <c r="B963">
        <v>1481</v>
      </c>
      <c r="C963">
        <f>1/COUNTIF(B:B,Table1[[#This Row],[order_id]])</f>
        <v>0.33333333333333331</v>
      </c>
      <c r="D963" t="str">
        <f>TEXT(Table1[[#This Row],[order_date]],"mmmm")</f>
        <v>March</v>
      </c>
      <c r="E963" s="1">
        <v>45368</v>
      </c>
      <c r="F963" s="1" t="str">
        <f>TEXT(Table1[[#This Row],[order_date]],"dddd")</f>
        <v>Sunday</v>
      </c>
      <c r="G963">
        <f>HOUR(Table1[[#This Row],[order_time]])</f>
        <v>17</v>
      </c>
      <c r="H963" s="2">
        <v>0.71078703703703705</v>
      </c>
      <c r="I963" t="s">
        <v>9</v>
      </c>
      <c r="J963" t="s">
        <v>10</v>
      </c>
      <c r="K963">
        <v>1</v>
      </c>
      <c r="L963">
        <v>20</v>
      </c>
      <c r="M963">
        <v>20</v>
      </c>
      <c r="N963">
        <f>IF(COUNTIFS($B$2:B963,B963)=1,1,0)</f>
        <v>0</v>
      </c>
    </row>
    <row r="964" spans="1:14" x14ac:dyDescent="0.2">
      <c r="A964">
        <v>963</v>
      </c>
      <c r="B964">
        <v>1481</v>
      </c>
      <c r="C964">
        <f>1/COUNTIF(B:B,Table1[[#This Row],[order_id]])</f>
        <v>0.33333333333333331</v>
      </c>
      <c r="D964" t="str">
        <f>TEXT(Table1[[#This Row],[order_date]],"mmmm")</f>
        <v>March</v>
      </c>
      <c r="E964" s="1">
        <v>45368</v>
      </c>
      <c r="F964" s="1" t="str">
        <f>TEXT(Table1[[#This Row],[order_date]],"dddd")</f>
        <v>Sunday</v>
      </c>
      <c r="G964">
        <f>HOUR(Table1[[#This Row],[order_time]])</f>
        <v>20</v>
      </c>
      <c r="H964" s="2">
        <v>0.843287037037037</v>
      </c>
      <c r="I964" t="s">
        <v>16</v>
      </c>
      <c r="J964" t="s">
        <v>28</v>
      </c>
      <c r="K964">
        <v>5</v>
      </c>
      <c r="L964">
        <v>25</v>
      </c>
      <c r="M964">
        <v>125</v>
      </c>
      <c r="N964">
        <f>IF(COUNTIFS($B$2:B964,B964)=1,1,0)</f>
        <v>0</v>
      </c>
    </row>
    <row r="965" spans="1:14" x14ac:dyDescent="0.2">
      <c r="A965">
        <v>964</v>
      </c>
      <c r="B965">
        <v>1482</v>
      </c>
      <c r="C965">
        <f>1/COUNTIF(B:B,Table1[[#This Row],[order_id]])</f>
        <v>0.33333333333333331</v>
      </c>
      <c r="D965" t="str">
        <f>TEXT(Table1[[#This Row],[order_date]],"mmmm")</f>
        <v>March</v>
      </c>
      <c r="E965" s="1">
        <v>45368</v>
      </c>
      <c r="F965" s="1" t="str">
        <f>TEXT(Table1[[#This Row],[order_date]],"dddd")</f>
        <v>Sunday</v>
      </c>
      <c r="G965">
        <f>HOUR(Table1[[#This Row],[order_time]])</f>
        <v>13</v>
      </c>
      <c r="H965" s="2">
        <v>0.54964120370370373</v>
      </c>
      <c r="I965" t="s">
        <v>11</v>
      </c>
      <c r="J965" t="s">
        <v>13</v>
      </c>
      <c r="K965">
        <v>1</v>
      </c>
      <c r="L965">
        <v>680</v>
      </c>
      <c r="M965">
        <v>680</v>
      </c>
      <c r="N965">
        <f>IF(COUNTIFS($B$2:B965,B965)=1,1,0)</f>
        <v>1</v>
      </c>
    </row>
    <row r="966" spans="1:14" x14ac:dyDescent="0.2">
      <c r="A966">
        <v>965</v>
      </c>
      <c r="B966">
        <v>1482</v>
      </c>
      <c r="C966">
        <f>1/COUNTIF(B:B,Table1[[#This Row],[order_id]])</f>
        <v>0.33333333333333331</v>
      </c>
      <c r="D966" t="str">
        <f>TEXT(Table1[[#This Row],[order_date]],"mmmm")</f>
        <v>March</v>
      </c>
      <c r="E966" s="1">
        <v>45368</v>
      </c>
      <c r="F966" s="1" t="str">
        <f>TEXT(Table1[[#This Row],[order_date]],"dddd")</f>
        <v>Sunday</v>
      </c>
      <c r="G966">
        <f>HOUR(Table1[[#This Row],[order_time]])</f>
        <v>10</v>
      </c>
      <c r="H966" s="2">
        <v>0.44311342592592595</v>
      </c>
      <c r="I966" t="s">
        <v>9</v>
      </c>
      <c r="J966" t="s">
        <v>21</v>
      </c>
      <c r="K966">
        <v>2</v>
      </c>
      <c r="L966">
        <v>10</v>
      </c>
      <c r="M966">
        <v>20</v>
      </c>
      <c r="N966">
        <f>IF(COUNTIFS($B$2:B966,B966)=1,1,0)</f>
        <v>0</v>
      </c>
    </row>
    <row r="967" spans="1:14" x14ac:dyDescent="0.2">
      <c r="A967">
        <v>966</v>
      </c>
      <c r="B967">
        <v>1482</v>
      </c>
      <c r="C967">
        <f>1/COUNTIF(B:B,Table1[[#This Row],[order_id]])</f>
        <v>0.33333333333333331</v>
      </c>
      <c r="D967" t="str">
        <f>TEXT(Table1[[#This Row],[order_date]],"mmmm")</f>
        <v>March</v>
      </c>
      <c r="E967" s="1">
        <v>45368</v>
      </c>
      <c r="F967" s="1" t="str">
        <f>TEXT(Table1[[#This Row],[order_date]],"dddd")</f>
        <v>Sunday</v>
      </c>
      <c r="G967">
        <f>HOUR(Table1[[#This Row],[order_time]])</f>
        <v>14</v>
      </c>
      <c r="H967" s="2">
        <v>0.61853009259259262</v>
      </c>
      <c r="I967" t="s">
        <v>18</v>
      </c>
      <c r="J967" t="s">
        <v>26</v>
      </c>
      <c r="K967">
        <v>2</v>
      </c>
      <c r="L967">
        <v>55</v>
      </c>
      <c r="M967">
        <v>110</v>
      </c>
      <c r="N967">
        <f>IF(COUNTIFS($B$2:B967,B967)=1,1,0)</f>
        <v>0</v>
      </c>
    </row>
    <row r="968" spans="1:14" x14ac:dyDescent="0.2">
      <c r="A968">
        <v>967</v>
      </c>
      <c r="B968">
        <v>1483</v>
      </c>
      <c r="C968">
        <f>1/COUNTIF(B:B,Table1[[#This Row],[order_id]])</f>
        <v>0.33333333333333331</v>
      </c>
      <c r="D968" t="str">
        <f>TEXT(Table1[[#This Row],[order_date]],"mmmm")</f>
        <v>March</v>
      </c>
      <c r="E968" s="1">
        <v>45368</v>
      </c>
      <c r="F968" s="1" t="str">
        <f>TEXT(Table1[[#This Row],[order_date]],"dddd")</f>
        <v>Sunday</v>
      </c>
      <c r="G968">
        <f>HOUR(Table1[[#This Row],[order_time]])</f>
        <v>12</v>
      </c>
      <c r="H968" s="2">
        <v>0.52787037037037032</v>
      </c>
      <c r="I968" t="s">
        <v>11</v>
      </c>
      <c r="J968" t="s">
        <v>12</v>
      </c>
      <c r="K968">
        <v>3</v>
      </c>
      <c r="L968">
        <v>650</v>
      </c>
      <c r="M968">
        <v>1950</v>
      </c>
      <c r="N968">
        <f>IF(COUNTIFS($B$2:B968,B968)=1,1,0)</f>
        <v>1</v>
      </c>
    </row>
    <row r="969" spans="1:14" x14ac:dyDescent="0.2">
      <c r="A969">
        <v>968</v>
      </c>
      <c r="B969">
        <v>1483</v>
      </c>
      <c r="C969">
        <f>1/COUNTIF(B:B,Table1[[#This Row],[order_id]])</f>
        <v>0.33333333333333331</v>
      </c>
      <c r="D969" t="str">
        <f>TEXT(Table1[[#This Row],[order_date]],"mmmm")</f>
        <v>March</v>
      </c>
      <c r="E969" s="1">
        <v>45368</v>
      </c>
      <c r="F969" s="1" t="str">
        <f>TEXT(Table1[[#This Row],[order_date]],"dddd")</f>
        <v>Sunday</v>
      </c>
      <c r="G969">
        <f>HOUR(Table1[[#This Row],[order_time]])</f>
        <v>15</v>
      </c>
      <c r="H969" s="2">
        <v>0.64334490740740746</v>
      </c>
      <c r="I969" t="s">
        <v>11</v>
      </c>
      <c r="J969" t="s">
        <v>15</v>
      </c>
      <c r="K969">
        <v>2</v>
      </c>
      <c r="L969">
        <v>600</v>
      </c>
      <c r="M969">
        <v>1200</v>
      </c>
      <c r="N969">
        <f>IF(COUNTIFS($B$2:B969,B969)=1,1,0)</f>
        <v>0</v>
      </c>
    </row>
    <row r="970" spans="1:14" x14ac:dyDescent="0.2">
      <c r="A970">
        <v>969</v>
      </c>
      <c r="B970">
        <v>1483</v>
      </c>
      <c r="C970">
        <f>1/COUNTIF(B:B,Table1[[#This Row],[order_id]])</f>
        <v>0.33333333333333331</v>
      </c>
      <c r="D970" t="str">
        <f>TEXT(Table1[[#This Row],[order_date]],"mmmm")</f>
        <v>March</v>
      </c>
      <c r="E970" s="1">
        <v>45368</v>
      </c>
      <c r="F970" s="1" t="str">
        <f>TEXT(Table1[[#This Row],[order_date]],"dddd")</f>
        <v>Sunday</v>
      </c>
      <c r="G970">
        <f>HOUR(Table1[[#This Row],[order_time]])</f>
        <v>17</v>
      </c>
      <c r="H970" s="2">
        <v>0.74814814814814812</v>
      </c>
      <c r="I970" t="s">
        <v>18</v>
      </c>
      <c r="J970" t="s">
        <v>26</v>
      </c>
      <c r="K970">
        <v>4</v>
      </c>
      <c r="L970">
        <v>55</v>
      </c>
      <c r="M970">
        <v>220</v>
      </c>
      <c r="N970">
        <f>IF(COUNTIFS($B$2:B970,B970)=1,1,0)</f>
        <v>0</v>
      </c>
    </row>
    <row r="971" spans="1:14" x14ac:dyDescent="0.2">
      <c r="A971">
        <v>970</v>
      </c>
      <c r="B971">
        <v>1484</v>
      </c>
      <c r="C971">
        <f>1/COUNTIF(B:B,Table1[[#This Row],[order_id]])</f>
        <v>0.5</v>
      </c>
      <c r="D971" t="str">
        <f>TEXT(Table1[[#This Row],[order_date]],"mmmm")</f>
        <v>March</v>
      </c>
      <c r="E971" s="1">
        <v>45369</v>
      </c>
      <c r="F971" s="1" t="str">
        <f>TEXT(Table1[[#This Row],[order_date]],"dddd")</f>
        <v>Monday</v>
      </c>
      <c r="G971">
        <f>HOUR(Table1[[#This Row],[order_time]])</f>
        <v>20</v>
      </c>
      <c r="H971" s="2">
        <v>0.8399537037037037</v>
      </c>
      <c r="I971" t="s">
        <v>9</v>
      </c>
      <c r="J971" t="s">
        <v>21</v>
      </c>
      <c r="K971">
        <v>1</v>
      </c>
      <c r="L971">
        <v>10</v>
      </c>
      <c r="M971">
        <v>10</v>
      </c>
      <c r="N971">
        <f>IF(COUNTIFS($B$2:B971,B971)=1,1,0)</f>
        <v>1</v>
      </c>
    </row>
    <row r="972" spans="1:14" x14ac:dyDescent="0.2">
      <c r="A972">
        <v>971</v>
      </c>
      <c r="B972">
        <v>1484</v>
      </c>
      <c r="C972">
        <f>1/COUNTIF(B:B,Table1[[#This Row],[order_id]])</f>
        <v>0.5</v>
      </c>
      <c r="D972" t="str">
        <f>TEXT(Table1[[#This Row],[order_date]],"mmmm")</f>
        <v>March</v>
      </c>
      <c r="E972" s="1">
        <v>45369</v>
      </c>
      <c r="F972" s="1" t="str">
        <f>TEXT(Table1[[#This Row],[order_date]],"dddd")</f>
        <v>Monday</v>
      </c>
      <c r="G972">
        <f>HOUR(Table1[[#This Row],[order_time]])</f>
        <v>10</v>
      </c>
      <c r="H972" s="2">
        <v>0.45351851851851854</v>
      </c>
      <c r="I972" t="s">
        <v>11</v>
      </c>
      <c r="J972" t="s">
        <v>14</v>
      </c>
      <c r="K972">
        <v>1</v>
      </c>
      <c r="L972">
        <v>700</v>
      </c>
      <c r="M972">
        <v>700</v>
      </c>
      <c r="N972">
        <f>IF(COUNTIFS($B$2:B972,B972)=1,1,0)</f>
        <v>0</v>
      </c>
    </row>
    <row r="973" spans="1:14" x14ac:dyDescent="0.2">
      <c r="A973">
        <v>972</v>
      </c>
      <c r="B973">
        <v>1485</v>
      </c>
      <c r="C973">
        <f>1/COUNTIF(B:B,Table1[[#This Row],[order_id]])</f>
        <v>0.33333333333333331</v>
      </c>
      <c r="D973" t="str">
        <f>TEXT(Table1[[#This Row],[order_date]],"mmmm")</f>
        <v>March</v>
      </c>
      <c r="E973" s="1">
        <v>45369</v>
      </c>
      <c r="F973" s="1" t="str">
        <f>TEXT(Table1[[#This Row],[order_date]],"dddd")</f>
        <v>Monday</v>
      </c>
      <c r="G973">
        <f>HOUR(Table1[[#This Row],[order_time]])</f>
        <v>10</v>
      </c>
      <c r="H973" s="2">
        <v>0.4319675925925926</v>
      </c>
      <c r="I973" t="s">
        <v>9</v>
      </c>
      <c r="J973" t="s">
        <v>22</v>
      </c>
      <c r="K973">
        <v>1</v>
      </c>
      <c r="L973">
        <v>15</v>
      </c>
      <c r="M973">
        <v>15</v>
      </c>
      <c r="N973">
        <f>IF(COUNTIFS($B$2:B973,B973)=1,1,0)</f>
        <v>1</v>
      </c>
    </row>
    <row r="974" spans="1:14" x14ac:dyDescent="0.2">
      <c r="A974">
        <v>973</v>
      </c>
      <c r="B974">
        <v>1485</v>
      </c>
      <c r="C974">
        <f>1/COUNTIF(B:B,Table1[[#This Row],[order_id]])</f>
        <v>0.33333333333333331</v>
      </c>
      <c r="D974" t="str">
        <f>TEXT(Table1[[#This Row],[order_date]],"mmmm")</f>
        <v>March</v>
      </c>
      <c r="E974" s="1">
        <v>45369</v>
      </c>
      <c r="F974" s="1" t="str">
        <f>TEXT(Table1[[#This Row],[order_date]],"dddd")</f>
        <v>Monday</v>
      </c>
      <c r="G974">
        <f>HOUR(Table1[[#This Row],[order_time]])</f>
        <v>14</v>
      </c>
      <c r="H974" s="2">
        <v>0.59994212962962967</v>
      </c>
      <c r="I974" t="s">
        <v>18</v>
      </c>
      <c r="J974" t="s">
        <v>27</v>
      </c>
      <c r="K974">
        <v>1</v>
      </c>
      <c r="L974">
        <v>40</v>
      </c>
      <c r="M974">
        <v>40</v>
      </c>
      <c r="N974">
        <f>IF(COUNTIFS($B$2:B974,B974)=1,1,0)</f>
        <v>0</v>
      </c>
    </row>
    <row r="975" spans="1:14" x14ac:dyDescent="0.2">
      <c r="A975">
        <v>974</v>
      </c>
      <c r="B975">
        <v>1485</v>
      </c>
      <c r="C975">
        <f>1/COUNTIF(B:B,Table1[[#This Row],[order_id]])</f>
        <v>0.33333333333333331</v>
      </c>
      <c r="D975" t="str">
        <f>TEXT(Table1[[#This Row],[order_date]],"mmmm")</f>
        <v>March</v>
      </c>
      <c r="E975" s="1">
        <v>45369</v>
      </c>
      <c r="F975" s="1" t="str">
        <f>TEXT(Table1[[#This Row],[order_date]],"dddd")</f>
        <v>Monday</v>
      </c>
      <c r="G975">
        <f>HOUR(Table1[[#This Row],[order_time]])</f>
        <v>20</v>
      </c>
      <c r="H975" s="2">
        <v>0.85326388888888893</v>
      </c>
      <c r="I975" t="s">
        <v>11</v>
      </c>
      <c r="J975" t="s">
        <v>12</v>
      </c>
      <c r="K975">
        <v>4</v>
      </c>
      <c r="L975">
        <v>650</v>
      </c>
      <c r="M975">
        <v>2600</v>
      </c>
      <c r="N975">
        <f>IF(COUNTIFS($B$2:B975,B975)=1,1,0)</f>
        <v>0</v>
      </c>
    </row>
    <row r="976" spans="1:14" x14ac:dyDescent="0.2">
      <c r="A976">
        <v>975</v>
      </c>
      <c r="B976">
        <v>1486</v>
      </c>
      <c r="C976">
        <f>1/COUNTIF(B:B,Table1[[#This Row],[order_id]])</f>
        <v>1</v>
      </c>
      <c r="D976" t="str">
        <f>TEXT(Table1[[#This Row],[order_date]],"mmmm")</f>
        <v>March</v>
      </c>
      <c r="E976" s="1">
        <v>45369</v>
      </c>
      <c r="F976" s="1" t="str">
        <f>TEXT(Table1[[#This Row],[order_date]],"dddd")</f>
        <v>Monday</v>
      </c>
      <c r="G976">
        <f>HOUR(Table1[[#This Row],[order_time]])</f>
        <v>13</v>
      </c>
      <c r="H976" s="2">
        <v>0.58219907407407412</v>
      </c>
      <c r="I976" t="s">
        <v>11</v>
      </c>
      <c r="J976" t="s">
        <v>15</v>
      </c>
      <c r="K976">
        <v>1</v>
      </c>
      <c r="L976">
        <v>600</v>
      </c>
      <c r="M976">
        <v>600</v>
      </c>
      <c r="N976">
        <f>IF(COUNTIFS($B$2:B976,B976)=1,1,0)</f>
        <v>1</v>
      </c>
    </row>
    <row r="977" spans="1:14" x14ac:dyDescent="0.2">
      <c r="A977">
        <v>976</v>
      </c>
      <c r="B977">
        <v>1487</v>
      </c>
      <c r="C977">
        <f>1/COUNTIF(B:B,Table1[[#This Row],[order_id]])</f>
        <v>1</v>
      </c>
      <c r="D977" t="str">
        <f>TEXT(Table1[[#This Row],[order_date]],"mmmm")</f>
        <v>March</v>
      </c>
      <c r="E977" s="1">
        <v>45369</v>
      </c>
      <c r="F977" s="1" t="str">
        <f>TEXT(Table1[[#This Row],[order_date]],"dddd")</f>
        <v>Monday</v>
      </c>
      <c r="G977">
        <f>HOUR(Table1[[#This Row],[order_time]])</f>
        <v>20</v>
      </c>
      <c r="H977" s="2">
        <v>0.85245370370370366</v>
      </c>
      <c r="I977" t="s">
        <v>16</v>
      </c>
      <c r="J977" t="s">
        <v>24</v>
      </c>
      <c r="K977">
        <v>3</v>
      </c>
      <c r="L977">
        <v>35</v>
      </c>
      <c r="M977">
        <v>105</v>
      </c>
      <c r="N977">
        <f>IF(COUNTIFS($B$2:B977,B977)=1,1,0)</f>
        <v>1</v>
      </c>
    </row>
    <row r="978" spans="1:14" x14ac:dyDescent="0.2">
      <c r="A978">
        <v>977</v>
      </c>
      <c r="B978">
        <v>1488</v>
      </c>
      <c r="C978">
        <f>1/COUNTIF(B:B,Table1[[#This Row],[order_id]])</f>
        <v>0.33333333333333331</v>
      </c>
      <c r="D978" t="str">
        <f>TEXT(Table1[[#This Row],[order_date]],"mmmm")</f>
        <v>March</v>
      </c>
      <c r="E978" s="1">
        <v>45369</v>
      </c>
      <c r="F978" s="1" t="str">
        <f>TEXT(Table1[[#This Row],[order_date]],"dddd")</f>
        <v>Monday</v>
      </c>
      <c r="G978">
        <f>HOUR(Table1[[#This Row],[order_time]])</f>
        <v>20</v>
      </c>
      <c r="H978" s="2">
        <v>0.86337962962962966</v>
      </c>
      <c r="I978" t="s">
        <v>9</v>
      </c>
      <c r="J978" t="s">
        <v>21</v>
      </c>
      <c r="K978">
        <v>1</v>
      </c>
      <c r="L978">
        <v>10</v>
      </c>
      <c r="M978">
        <v>10</v>
      </c>
      <c r="N978">
        <f>IF(COUNTIFS($B$2:B978,B978)=1,1,0)</f>
        <v>1</v>
      </c>
    </row>
    <row r="979" spans="1:14" x14ac:dyDescent="0.2">
      <c r="A979">
        <v>978</v>
      </c>
      <c r="B979">
        <v>1488</v>
      </c>
      <c r="C979">
        <f>1/COUNTIF(B:B,Table1[[#This Row],[order_id]])</f>
        <v>0.33333333333333331</v>
      </c>
      <c r="D979" t="str">
        <f>TEXT(Table1[[#This Row],[order_date]],"mmmm")</f>
        <v>March</v>
      </c>
      <c r="E979" s="1">
        <v>45369</v>
      </c>
      <c r="F979" s="1" t="str">
        <f>TEXT(Table1[[#This Row],[order_date]],"dddd")</f>
        <v>Monday</v>
      </c>
      <c r="G979">
        <f>HOUR(Table1[[#This Row],[order_time]])</f>
        <v>9</v>
      </c>
      <c r="H979" s="2">
        <v>0.39010416666666664</v>
      </c>
      <c r="I979" t="s">
        <v>11</v>
      </c>
      <c r="J979" t="s">
        <v>12</v>
      </c>
      <c r="K979">
        <v>4</v>
      </c>
      <c r="L979">
        <v>650</v>
      </c>
      <c r="M979">
        <v>2600</v>
      </c>
      <c r="N979">
        <f>IF(COUNTIFS($B$2:B979,B979)=1,1,0)</f>
        <v>0</v>
      </c>
    </row>
    <row r="980" spans="1:14" x14ac:dyDescent="0.2">
      <c r="A980">
        <v>979</v>
      </c>
      <c r="B980">
        <v>1488</v>
      </c>
      <c r="C980">
        <f>1/COUNTIF(B:B,Table1[[#This Row],[order_id]])</f>
        <v>0.33333333333333331</v>
      </c>
      <c r="D980" t="str">
        <f>TEXT(Table1[[#This Row],[order_date]],"mmmm")</f>
        <v>March</v>
      </c>
      <c r="E980" s="1">
        <v>45369</v>
      </c>
      <c r="F980" s="1" t="str">
        <f>TEXT(Table1[[#This Row],[order_date]],"dddd")</f>
        <v>Monday</v>
      </c>
      <c r="G980">
        <f>HOUR(Table1[[#This Row],[order_time]])</f>
        <v>13</v>
      </c>
      <c r="H980" s="2">
        <v>0.57415509259259256</v>
      </c>
      <c r="I980" t="s">
        <v>9</v>
      </c>
      <c r="J980" t="s">
        <v>21</v>
      </c>
      <c r="K980">
        <v>3</v>
      </c>
      <c r="L980">
        <v>10</v>
      </c>
      <c r="M980">
        <v>30</v>
      </c>
      <c r="N980">
        <f>IF(COUNTIFS($B$2:B980,B980)=1,1,0)</f>
        <v>0</v>
      </c>
    </row>
    <row r="981" spans="1:14" x14ac:dyDescent="0.2">
      <c r="A981">
        <v>980</v>
      </c>
      <c r="B981">
        <v>1489</v>
      </c>
      <c r="C981">
        <f>1/COUNTIF(B:B,Table1[[#This Row],[order_id]])</f>
        <v>0.5</v>
      </c>
      <c r="D981" t="str">
        <f>TEXT(Table1[[#This Row],[order_date]],"mmmm")</f>
        <v>March</v>
      </c>
      <c r="E981" s="1">
        <v>45369</v>
      </c>
      <c r="F981" s="1" t="str">
        <f>TEXT(Table1[[#This Row],[order_date]],"dddd")</f>
        <v>Monday</v>
      </c>
      <c r="G981">
        <f>HOUR(Table1[[#This Row],[order_time]])</f>
        <v>16</v>
      </c>
      <c r="H981" s="2">
        <v>0.67351851851851852</v>
      </c>
      <c r="I981" t="s">
        <v>11</v>
      </c>
      <c r="J981" t="s">
        <v>15</v>
      </c>
      <c r="K981">
        <v>2</v>
      </c>
      <c r="L981">
        <v>600</v>
      </c>
      <c r="M981">
        <v>1200</v>
      </c>
      <c r="N981">
        <f>IF(COUNTIFS($B$2:B981,B981)=1,1,0)</f>
        <v>1</v>
      </c>
    </row>
    <row r="982" spans="1:14" x14ac:dyDescent="0.2">
      <c r="A982">
        <v>981</v>
      </c>
      <c r="B982">
        <v>1489</v>
      </c>
      <c r="C982">
        <f>1/COUNTIF(B:B,Table1[[#This Row],[order_id]])</f>
        <v>0.5</v>
      </c>
      <c r="D982" t="str">
        <f>TEXT(Table1[[#This Row],[order_date]],"mmmm")</f>
        <v>March</v>
      </c>
      <c r="E982" s="1">
        <v>45369</v>
      </c>
      <c r="F982" s="1" t="str">
        <f>TEXT(Table1[[#This Row],[order_date]],"dddd")</f>
        <v>Monday</v>
      </c>
      <c r="G982">
        <f>HOUR(Table1[[#This Row],[order_time]])</f>
        <v>11</v>
      </c>
      <c r="H982" s="2">
        <v>0.46740740740740738</v>
      </c>
      <c r="I982" t="s">
        <v>9</v>
      </c>
      <c r="J982" t="s">
        <v>29</v>
      </c>
      <c r="K982">
        <v>2</v>
      </c>
      <c r="L982">
        <v>5</v>
      </c>
      <c r="M982">
        <v>10</v>
      </c>
      <c r="N982">
        <f>IF(COUNTIFS($B$2:B982,B982)=1,1,0)</f>
        <v>0</v>
      </c>
    </row>
    <row r="983" spans="1:14" x14ac:dyDescent="0.2">
      <c r="A983">
        <v>982</v>
      </c>
      <c r="B983">
        <v>1490</v>
      </c>
      <c r="C983">
        <f>1/COUNTIF(B:B,Table1[[#This Row],[order_id]])</f>
        <v>0.5</v>
      </c>
      <c r="D983" t="str">
        <f>TEXT(Table1[[#This Row],[order_date]],"mmmm")</f>
        <v>March</v>
      </c>
      <c r="E983" s="1">
        <v>45369</v>
      </c>
      <c r="F983" s="1" t="str">
        <f>TEXT(Table1[[#This Row],[order_date]],"dddd")</f>
        <v>Monday</v>
      </c>
      <c r="G983">
        <f>HOUR(Table1[[#This Row],[order_time]])</f>
        <v>15</v>
      </c>
      <c r="H983" s="2">
        <v>0.6350231481481482</v>
      </c>
      <c r="I983" t="s">
        <v>11</v>
      </c>
      <c r="J983" t="s">
        <v>25</v>
      </c>
      <c r="K983">
        <v>5</v>
      </c>
      <c r="L983">
        <v>1000</v>
      </c>
      <c r="M983">
        <v>5000</v>
      </c>
      <c r="N983">
        <f>IF(COUNTIFS($B$2:B983,B983)=1,1,0)</f>
        <v>1</v>
      </c>
    </row>
    <row r="984" spans="1:14" x14ac:dyDescent="0.2">
      <c r="A984">
        <v>983</v>
      </c>
      <c r="B984">
        <v>1490</v>
      </c>
      <c r="C984">
        <f>1/COUNTIF(B:B,Table1[[#This Row],[order_id]])</f>
        <v>0.5</v>
      </c>
      <c r="D984" t="str">
        <f>TEXT(Table1[[#This Row],[order_date]],"mmmm")</f>
        <v>March</v>
      </c>
      <c r="E984" s="1">
        <v>45369</v>
      </c>
      <c r="F984" s="1" t="str">
        <f>TEXT(Table1[[#This Row],[order_date]],"dddd")</f>
        <v>Monday</v>
      </c>
      <c r="G984">
        <f>HOUR(Table1[[#This Row],[order_time]])</f>
        <v>18</v>
      </c>
      <c r="H984" s="2">
        <v>0.76415509259259262</v>
      </c>
      <c r="I984" t="s">
        <v>16</v>
      </c>
      <c r="J984" t="s">
        <v>23</v>
      </c>
      <c r="K984">
        <v>2</v>
      </c>
      <c r="L984">
        <v>30</v>
      </c>
      <c r="M984">
        <v>60</v>
      </c>
      <c r="N984">
        <f>IF(COUNTIFS($B$2:B984,B984)=1,1,0)</f>
        <v>0</v>
      </c>
    </row>
    <row r="985" spans="1:14" x14ac:dyDescent="0.2">
      <c r="A985">
        <v>984</v>
      </c>
      <c r="B985">
        <v>1491</v>
      </c>
      <c r="C985">
        <f>1/COUNTIF(B:B,Table1[[#This Row],[order_id]])</f>
        <v>0.5</v>
      </c>
      <c r="D985" t="str">
        <f>TEXT(Table1[[#This Row],[order_date]],"mmmm")</f>
        <v>March</v>
      </c>
      <c r="E985" s="1">
        <v>45369</v>
      </c>
      <c r="F985" s="1" t="str">
        <f>TEXT(Table1[[#This Row],[order_date]],"dddd")</f>
        <v>Monday</v>
      </c>
      <c r="G985">
        <f>HOUR(Table1[[#This Row],[order_time]])</f>
        <v>16</v>
      </c>
      <c r="H985" s="2">
        <v>0.68185185185185182</v>
      </c>
      <c r="I985" t="s">
        <v>11</v>
      </c>
      <c r="J985" t="s">
        <v>25</v>
      </c>
      <c r="K985">
        <v>5</v>
      </c>
      <c r="L985">
        <v>1000</v>
      </c>
      <c r="M985">
        <v>5000</v>
      </c>
      <c r="N985">
        <f>IF(COUNTIFS($B$2:B985,B985)=1,1,0)</f>
        <v>1</v>
      </c>
    </row>
    <row r="986" spans="1:14" x14ac:dyDescent="0.2">
      <c r="A986">
        <v>985</v>
      </c>
      <c r="B986">
        <v>1491</v>
      </c>
      <c r="C986">
        <f>1/COUNTIF(B:B,Table1[[#This Row],[order_id]])</f>
        <v>0.5</v>
      </c>
      <c r="D986" t="str">
        <f>TEXT(Table1[[#This Row],[order_date]],"mmmm")</f>
        <v>March</v>
      </c>
      <c r="E986" s="1">
        <v>45369</v>
      </c>
      <c r="F986" s="1" t="str">
        <f>TEXT(Table1[[#This Row],[order_date]],"dddd")</f>
        <v>Monday</v>
      </c>
      <c r="G986">
        <f>HOUR(Table1[[#This Row],[order_time]])</f>
        <v>16</v>
      </c>
      <c r="H986" s="2">
        <v>0.66865740740740742</v>
      </c>
      <c r="I986" t="s">
        <v>18</v>
      </c>
      <c r="J986" t="s">
        <v>27</v>
      </c>
      <c r="K986">
        <v>3</v>
      </c>
      <c r="L986">
        <v>40</v>
      </c>
      <c r="M986">
        <v>120</v>
      </c>
      <c r="N986">
        <f>IF(COUNTIFS($B$2:B986,B986)=1,1,0)</f>
        <v>0</v>
      </c>
    </row>
    <row r="987" spans="1:14" x14ac:dyDescent="0.2">
      <c r="A987">
        <v>986</v>
      </c>
      <c r="B987">
        <v>1492</v>
      </c>
      <c r="C987">
        <f>1/COUNTIF(B:B,Table1[[#This Row],[order_id]])</f>
        <v>1</v>
      </c>
      <c r="D987" t="str">
        <f>TEXT(Table1[[#This Row],[order_date]],"mmmm")</f>
        <v>March</v>
      </c>
      <c r="E987" s="1">
        <v>45369</v>
      </c>
      <c r="F987" s="1" t="str">
        <f>TEXT(Table1[[#This Row],[order_date]],"dddd")</f>
        <v>Monday</v>
      </c>
      <c r="G987">
        <f>HOUR(Table1[[#This Row],[order_time]])</f>
        <v>17</v>
      </c>
      <c r="H987" s="2">
        <v>0.73909722222222218</v>
      </c>
      <c r="I987" t="s">
        <v>11</v>
      </c>
      <c r="J987" t="s">
        <v>13</v>
      </c>
      <c r="K987">
        <v>2</v>
      </c>
      <c r="L987">
        <v>680</v>
      </c>
      <c r="M987">
        <v>1360</v>
      </c>
      <c r="N987">
        <f>IF(COUNTIFS($B$2:B987,B987)=1,1,0)</f>
        <v>1</v>
      </c>
    </row>
    <row r="988" spans="1:14" x14ac:dyDescent="0.2">
      <c r="A988">
        <v>987</v>
      </c>
      <c r="B988">
        <v>1493</v>
      </c>
      <c r="C988">
        <f>1/COUNTIF(B:B,Table1[[#This Row],[order_id]])</f>
        <v>1</v>
      </c>
      <c r="D988" t="str">
        <f>TEXT(Table1[[#This Row],[order_date]],"mmmm")</f>
        <v>March</v>
      </c>
      <c r="E988" s="1">
        <v>45370</v>
      </c>
      <c r="F988" s="1" t="str">
        <f>TEXT(Table1[[#This Row],[order_date]],"dddd")</f>
        <v>Tuesday</v>
      </c>
      <c r="G988">
        <f>HOUR(Table1[[#This Row],[order_time]])</f>
        <v>20</v>
      </c>
      <c r="H988" s="2">
        <v>0.87496527777777777</v>
      </c>
      <c r="I988" t="s">
        <v>18</v>
      </c>
      <c r="J988" t="s">
        <v>31</v>
      </c>
      <c r="K988">
        <v>1</v>
      </c>
      <c r="L988">
        <v>45</v>
      </c>
      <c r="M988">
        <v>45</v>
      </c>
      <c r="N988">
        <f>IF(COUNTIFS($B$2:B988,B988)=1,1,0)</f>
        <v>1</v>
      </c>
    </row>
    <row r="989" spans="1:14" x14ac:dyDescent="0.2">
      <c r="A989">
        <v>988</v>
      </c>
      <c r="B989">
        <v>1494</v>
      </c>
      <c r="C989">
        <f>1/COUNTIF(B:B,Table1[[#This Row],[order_id]])</f>
        <v>0.33333333333333331</v>
      </c>
      <c r="D989" t="str">
        <f>TEXT(Table1[[#This Row],[order_date]],"mmmm")</f>
        <v>March</v>
      </c>
      <c r="E989" s="1">
        <v>45370</v>
      </c>
      <c r="F989" s="1" t="str">
        <f>TEXT(Table1[[#This Row],[order_date]],"dddd")</f>
        <v>Tuesday</v>
      </c>
      <c r="G989">
        <f>HOUR(Table1[[#This Row],[order_time]])</f>
        <v>9</v>
      </c>
      <c r="H989" s="2">
        <v>0.40686342592592595</v>
      </c>
      <c r="I989" t="s">
        <v>9</v>
      </c>
      <c r="J989" t="s">
        <v>29</v>
      </c>
      <c r="K989">
        <v>4</v>
      </c>
      <c r="L989">
        <v>5</v>
      </c>
      <c r="M989">
        <v>20</v>
      </c>
      <c r="N989">
        <f>IF(COUNTIFS($B$2:B989,B989)=1,1,0)</f>
        <v>1</v>
      </c>
    </row>
    <row r="990" spans="1:14" x14ac:dyDescent="0.2">
      <c r="A990">
        <v>989</v>
      </c>
      <c r="B990">
        <v>1494</v>
      </c>
      <c r="C990">
        <f>1/COUNTIF(B:B,Table1[[#This Row],[order_id]])</f>
        <v>0.33333333333333331</v>
      </c>
      <c r="D990" t="str">
        <f>TEXT(Table1[[#This Row],[order_date]],"mmmm")</f>
        <v>March</v>
      </c>
      <c r="E990" s="1">
        <v>45370</v>
      </c>
      <c r="F990" s="1" t="str">
        <f>TEXT(Table1[[#This Row],[order_date]],"dddd")</f>
        <v>Tuesday</v>
      </c>
      <c r="G990">
        <f>HOUR(Table1[[#This Row],[order_time]])</f>
        <v>19</v>
      </c>
      <c r="H990" s="2">
        <v>0.80249999999999999</v>
      </c>
      <c r="I990" t="s">
        <v>16</v>
      </c>
      <c r="J990" t="s">
        <v>28</v>
      </c>
      <c r="K990">
        <v>5</v>
      </c>
      <c r="L990">
        <v>25</v>
      </c>
      <c r="M990">
        <v>125</v>
      </c>
      <c r="N990">
        <f>IF(COUNTIFS($B$2:B990,B990)=1,1,0)</f>
        <v>0</v>
      </c>
    </row>
    <row r="991" spans="1:14" x14ac:dyDescent="0.2">
      <c r="A991">
        <v>990</v>
      </c>
      <c r="B991">
        <v>1494</v>
      </c>
      <c r="C991">
        <f>1/COUNTIF(B:B,Table1[[#This Row],[order_id]])</f>
        <v>0.33333333333333331</v>
      </c>
      <c r="D991" t="str">
        <f>TEXT(Table1[[#This Row],[order_date]],"mmmm")</f>
        <v>March</v>
      </c>
      <c r="E991" s="1">
        <v>45370</v>
      </c>
      <c r="F991" s="1" t="str">
        <f>TEXT(Table1[[#This Row],[order_date]],"dddd")</f>
        <v>Tuesday</v>
      </c>
      <c r="G991">
        <f>HOUR(Table1[[#This Row],[order_time]])</f>
        <v>12</v>
      </c>
      <c r="H991" s="2">
        <v>0.51672453703703702</v>
      </c>
      <c r="I991" t="s">
        <v>11</v>
      </c>
      <c r="J991" t="s">
        <v>13</v>
      </c>
      <c r="K991">
        <v>1</v>
      </c>
      <c r="L991">
        <v>680</v>
      </c>
      <c r="M991">
        <v>680</v>
      </c>
      <c r="N991">
        <f>IF(COUNTIFS($B$2:B991,B991)=1,1,0)</f>
        <v>0</v>
      </c>
    </row>
    <row r="992" spans="1:14" x14ac:dyDescent="0.2">
      <c r="A992">
        <v>991</v>
      </c>
      <c r="B992">
        <v>1495</v>
      </c>
      <c r="C992">
        <f>1/COUNTIF(B:B,Table1[[#This Row],[order_id]])</f>
        <v>0.5</v>
      </c>
      <c r="D992" t="str">
        <f>TEXT(Table1[[#This Row],[order_date]],"mmmm")</f>
        <v>March</v>
      </c>
      <c r="E992" s="1">
        <v>45370</v>
      </c>
      <c r="F992" s="1" t="str">
        <f>TEXT(Table1[[#This Row],[order_date]],"dddd")</f>
        <v>Tuesday</v>
      </c>
      <c r="G992">
        <f>HOUR(Table1[[#This Row],[order_time]])</f>
        <v>12</v>
      </c>
      <c r="H992" s="2">
        <v>0.52171296296296299</v>
      </c>
      <c r="I992" t="s">
        <v>9</v>
      </c>
      <c r="J992" t="s">
        <v>29</v>
      </c>
      <c r="K992">
        <v>1</v>
      </c>
      <c r="L992">
        <v>5</v>
      </c>
      <c r="M992">
        <v>5</v>
      </c>
      <c r="N992">
        <f>IF(COUNTIFS($B$2:B992,B992)=1,1,0)</f>
        <v>1</v>
      </c>
    </row>
    <row r="993" spans="1:14" x14ac:dyDescent="0.2">
      <c r="A993">
        <v>992</v>
      </c>
      <c r="B993">
        <v>1495</v>
      </c>
      <c r="C993">
        <f>1/COUNTIF(B:B,Table1[[#This Row],[order_id]])</f>
        <v>0.5</v>
      </c>
      <c r="D993" t="str">
        <f>TEXT(Table1[[#This Row],[order_date]],"mmmm")</f>
        <v>March</v>
      </c>
      <c r="E993" s="1">
        <v>45370</v>
      </c>
      <c r="F993" s="1" t="str">
        <f>TEXT(Table1[[#This Row],[order_date]],"dddd")</f>
        <v>Tuesday</v>
      </c>
      <c r="G993">
        <f>HOUR(Table1[[#This Row],[order_time]])</f>
        <v>9</v>
      </c>
      <c r="H993" s="2">
        <v>0.40238425925925925</v>
      </c>
      <c r="I993" t="s">
        <v>18</v>
      </c>
      <c r="J993" t="s">
        <v>26</v>
      </c>
      <c r="K993">
        <v>2</v>
      </c>
      <c r="L993">
        <v>55</v>
      </c>
      <c r="M993">
        <v>110</v>
      </c>
      <c r="N993">
        <f>IF(COUNTIFS($B$2:B993,B993)=1,1,0)</f>
        <v>0</v>
      </c>
    </row>
    <row r="994" spans="1:14" x14ac:dyDescent="0.2">
      <c r="A994">
        <v>993</v>
      </c>
      <c r="B994">
        <v>1496</v>
      </c>
      <c r="C994">
        <f>1/COUNTIF(B:B,Table1[[#This Row],[order_id]])</f>
        <v>0.33333333333333331</v>
      </c>
      <c r="D994" t="str">
        <f>TEXT(Table1[[#This Row],[order_date]],"mmmm")</f>
        <v>March</v>
      </c>
      <c r="E994" s="1">
        <v>45370</v>
      </c>
      <c r="F994" s="1" t="str">
        <f>TEXT(Table1[[#This Row],[order_date]],"dddd")</f>
        <v>Tuesday</v>
      </c>
      <c r="G994">
        <f>HOUR(Table1[[#This Row],[order_time]])</f>
        <v>20</v>
      </c>
      <c r="H994" s="2">
        <v>0.86494212962962957</v>
      </c>
      <c r="I994" t="s">
        <v>16</v>
      </c>
      <c r="J994" t="s">
        <v>23</v>
      </c>
      <c r="K994">
        <v>1</v>
      </c>
      <c r="L994">
        <v>30</v>
      </c>
      <c r="M994">
        <v>30</v>
      </c>
      <c r="N994">
        <f>IF(COUNTIFS($B$2:B994,B994)=1,1,0)</f>
        <v>1</v>
      </c>
    </row>
    <row r="995" spans="1:14" x14ac:dyDescent="0.2">
      <c r="A995">
        <v>994</v>
      </c>
      <c r="B995">
        <v>1496</v>
      </c>
      <c r="C995">
        <f>1/COUNTIF(B:B,Table1[[#This Row],[order_id]])</f>
        <v>0.33333333333333331</v>
      </c>
      <c r="D995" t="str">
        <f>TEXT(Table1[[#This Row],[order_date]],"mmmm")</f>
        <v>March</v>
      </c>
      <c r="E995" s="1">
        <v>45370</v>
      </c>
      <c r="F995" s="1" t="str">
        <f>TEXT(Table1[[#This Row],[order_date]],"dddd")</f>
        <v>Tuesday</v>
      </c>
      <c r="G995">
        <f>HOUR(Table1[[#This Row],[order_time]])</f>
        <v>10</v>
      </c>
      <c r="H995" s="2">
        <v>0.43290509259259258</v>
      </c>
      <c r="I995" t="s">
        <v>16</v>
      </c>
      <c r="J995" t="s">
        <v>17</v>
      </c>
      <c r="K995">
        <v>4</v>
      </c>
      <c r="L995">
        <v>20</v>
      </c>
      <c r="M995">
        <v>80</v>
      </c>
      <c r="N995">
        <f>IF(COUNTIFS($B$2:B995,B995)=1,1,0)</f>
        <v>0</v>
      </c>
    </row>
    <row r="996" spans="1:14" x14ac:dyDescent="0.2">
      <c r="A996">
        <v>995</v>
      </c>
      <c r="B996">
        <v>1496</v>
      </c>
      <c r="C996">
        <f>1/COUNTIF(B:B,Table1[[#This Row],[order_id]])</f>
        <v>0.33333333333333331</v>
      </c>
      <c r="D996" t="str">
        <f>TEXT(Table1[[#This Row],[order_date]],"mmmm")</f>
        <v>March</v>
      </c>
      <c r="E996" s="1">
        <v>45370</v>
      </c>
      <c r="F996" s="1" t="str">
        <f>TEXT(Table1[[#This Row],[order_date]],"dddd")</f>
        <v>Tuesday</v>
      </c>
      <c r="G996">
        <f>HOUR(Table1[[#This Row],[order_time]])</f>
        <v>20</v>
      </c>
      <c r="H996" s="2">
        <v>0.84208333333333329</v>
      </c>
      <c r="I996" t="s">
        <v>11</v>
      </c>
      <c r="J996" t="s">
        <v>13</v>
      </c>
      <c r="K996">
        <v>2</v>
      </c>
      <c r="L996">
        <v>680</v>
      </c>
      <c r="M996">
        <v>1360</v>
      </c>
      <c r="N996">
        <f>IF(COUNTIFS($B$2:B996,B996)=1,1,0)</f>
        <v>0</v>
      </c>
    </row>
    <row r="997" spans="1:14" x14ac:dyDescent="0.2">
      <c r="A997">
        <v>996</v>
      </c>
      <c r="B997">
        <v>1497</v>
      </c>
      <c r="C997">
        <f>1/COUNTIF(B:B,Table1[[#This Row],[order_id]])</f>
        <v>0.33333333333333331</v>
      </c>
      <c r="D997" t="str">
        <f>TEXT(Table1[[#This Row],[order_date]],"mmmm")</f>
        <v>March</v>
      </c>
      <c r="E997" s="1">
        <v>45370</v>
      </c>
      <c r="F997" s="1" t="str">
        <f>TEXT(Table1[[#This Row],[order_date]],"dddd")</f>
        <v>Tuesday</v>
      </c>
      <c r="G997">
        <f>HOUR(Table1[[#This Row],[order_time]])</f>
        <v>13</v>
      </c>
      <c r="H997" s="2">
        <v>0.58155092592592594</v>
      </c>
      <c r="I997" t="s">
        <v>11</v>
      </c>
      <c r="J997" t="s">
        <v>13</v>
      </c>
      <c r="K997">
        <v>4</v>
      </c>
      <c r="L997">
        <v>680</v>
      </c>
      <c r="M997">
        <v>2720</v>
      </c>
      <c r="N997">
        <f>IF(COUNTIFS($B$2:B997,B997)=1,1,0)</f>
        <v>1</v>
      </c>
    </row>
    <row r="998" spans="1:14" x14ac:dyDescent="0.2">
      <c r="A998">
        <v>997</v>
      </c>
      <c r="B998">
        <v>1497</v>
      </c>
      <c r="C998">
        <f>1/COUNTIF(B:B,Table1[[#This Row],[order_id]])</f>
        <v>0.33333333333333331</v>
      </c>
      <c r="D998" t="str">
        <f>TEXT(Table1[[#This Row],[order_date]],"mmmm")</f>
        <v>March</v>
      </c>
      <c r="E998" s="1">
        <v>45370</v>
      </c>
      <c r="F998" s="1" t="str">
        <f>TEXT(Table1[[#This Row],[order_date]],"dddd")</f>
        <v>Tuesday</v>
      </c>
      <c r="G998">
        <f>HOUR(Table1[[#This Row],[order_time]])</f>
        <v>16</v>
      </c>
      <c r="H998" s="2">
        <v>0.6894675925925926</v>
      </c>
      <c r="I998" t="s">
        <v>9</v>
      </c>
      <c r="J998" t="s">
        <v>10</v>
      </c>
      <c r="K998">
        <v>3</v>
      </c>
      <c r="L998">
        <v>20</v>
      </c>
      <c r="M998">
        <v>60</v>
      </c>
      <c r="N998">
        <f>IF(COUNTIFS($B$2:B998,B998)=1,1,0)</f>
        <v>0</v>
      </c>
    </row>
    <row r="999" spans="1:14" x14ac:dyDescent="0.2">
      <c r="A999">
        <v>998</v>
      </c>
      <c r="B999">
        <v>1497</v>
      </c>
      <c r="C999">
        <f>1/COUNTIF(B:B,Table1[[#This Row],[order_id]])</f>
        <v>0.33333333333333331</v>
      </c>
      <c r="D999" t="str">
        <f>TEXT(Table1[[#This Row],[order_date]],"mmmm")</f>
        <v>March</v>
      </c>
      <c r="E999" s="1">
        <v>45370</v>
      </c>
      <c r="F999" s="1" t="str">
        <f>TEXT(Table1[[#This Row],[order_date]],"dddd")</f>
        <v>Tuesday</v>
      </c>
      <c r="G999">
        <f>HOUR(Table1[[#This Row],[order_time]])</f>
        <v>18</v>
      </c>
      <c r="H999" s="2">
        <v>0.76466435185185189</v>
      </c>
      <c r="I999" t="s">
        <v>11</v>
      </c>
      <c r="J999" t="s">
        <v>25</v>
      </c>
      <c r="K999">
        <v>1</v>
      </c>
      <c r="L999">
        <v>1000</v>
      </c>
      <c r="M999">
        <v>1000</v>
      </c>
      <c r="N999">
        <f>IF(COUNTIFS($B$2:B999,B999)=1,1,0)</f>
        <v>0</v>
      </c>
    </row>
    <row r="1000" spans="1:14" x14ac:dyDescent="0.2">
      <c r="A1000">
        <v>999</v>
      </c>
      <c r="B1000">
        <v>1498</v>
      </c>
      <c r="C1000">
        <f>1/COUNTIF(B:B,Table1[[#This Row],[order_id]])</f>
        <v>0.33333333333333331</v>
      </c>
      <c r="D1000" t="str">
        <f>TEXT(Table1[[#This Row],[order_date]],"mmmm")</f>
        <v>March</v>
      </c>
      <c r="E1000" s="1">
        <v>45370</v>
      </c>
      <c r="F1000" s="1" t="str">
        <f>TEXT(Table1[[#This Row],[order_date]],"dddd")</f>
        <v>Tuesday</v>
      </c>
      <c r="G1000">
        <f>HOUR(Table1[[#This Row],[order_time]])</f>
        <v>18</v>
      </c>
      <c r="H1000" s="2">
        <v>0.77765046296296292</v>
      </c>
      <c r="I1000" t="s">
        <v>9</v>
      </c>
      <c r="J1000" t="s">
        <v>21</v>
      </c>
      <c r="K1000">
        <v>3</v>
      </c>
      <c r="L1000">
        <v>10</v>
      </c>
      <c r="M1000">
        <v>30</v>
      </c>
      <c r="N1000">
        <f>IF(COUNTIFS($B$2:B1000,B1000)=1,1,0)</f>
        <v>1</v>
      </c>
    </row>
    <row r="1001" spans="1:14" x14ac:dyDescent="0.2">
      <c r="A1001">
        <v>1000</v>
      </c>
      <c r="B1001">
        <v>1498</v>
      </c>
      <c r="C1001">
        <f>1/COUNTIF(B:B,Table1[[#This Row],[order_id]])</f>
        <v>0.33333333333333331</v>
      </c>
      <c r="D1001" t="str">
        <f>TEXT(Table1[[#This Row],[order_date]],"mmmm")</f>
        <v>March</v>
      </c>
      <c r="E1001" s="1">
        <v>45370</v>
      </c>
      <c r="F1001" s="1" t="str">
        <f>TEXT(Table1[[#This Row],[order_date]],"dddd")</f>
        <v>Tuesday</v>
      </c>
      <c r="G1001">
        <f>HOUR(Table1[[#This Row],[order_time]])</f>
        <v>9</v>
      </c>
      <c r="H1001" s="2">
        <v>0.41265046296296298</v>
      </c>
      <c r="I1001" t="s">
        <v>9</v>
      </c>
      <c r="J1001" t="s">
        <v>10</v>
      </c>
      <c r="K1001">
        <v>4</v>
      </c>
      <c r="L1001">
        <v>20</v>
      </c>
      <c r="M1001">
        <v>80</v>
      </c>
      <c r="N1001">
        <f>IF(COUNTIFS($B$2:B1001,B1001)=1,1,0)</f>
        <v>0</v>
      </c>
    </row>
    <row r="1002" spans="1:14" x14ac:dyDescent="0.2">
      <c r="A1002">
        <v>1001</v>
      </c>
      <c r="B1002">
        <v>1498</v>
      </c>
      <c r="C1002">
        <f>1/COUNTIF(B:B,Table1[[#This Row],[order_id]])</f>
        <v>0.33333333333333331</v>
      </c>
      <c r="D1002" t="str">
        <f>TEXT(Table1[[#This Row],[order_date]],"mmmm")</f>
        <v>March</v>
      </c>
      <c r="E1002" s="1">
        <v>45370</v>
      </c>
      <c r="F1002" s="1" t="str">
        <f>TEXT(Table1[[#This Row],[order_date]],"dddd")</f>
        <v>Tuesday</v>
      </c>
      <c r="G1002">
        <f>HOUR(Table1[[#This Row],[order_time]])</f>
        <v>11</v>
      </c>
      <c r="H1002" s="2">
        <v>0.49078703703703702</v>
      </c>
      <c r="I1002" t="s">
        <v>18</v>
      </c>
      <c r="J1002" t="s">
        <v>27</v>
      </c>
      <c r="K1002">
        <v>4</v>
      </c>
      <c r="L1002">
        <v>40</v>
      </c>
      <c r="M1002">
        <v>160</v>
      </c>
      <c r="N1002">
        <f>IF(COUNTIFS($B$2:B1002,B1002)=1,1,0)</f>
        <v>0</v>
      </c>
    </row>
    <row r="1003" spans="1:14" x14ac:dyDescent="0.2">
      <c r="A1003">
        <v>1002</v>
      </c>
      <c r="B1003">
        <v>1499</v>
      </c>
      <c r="C1003">
        <f>1/COUNTIF(B:B,Table1[[#This Row],[order_id]])</f>
        <v>0.5</v>
      </c>
      <c r="D1003" t="str">
        <f>TEXT(Table1[[#This Row],[order_date]],"mmmm")</f>
        <v>March</v>
      </c>
      <c r="E1003" s="1">
        <v>45370</v>
      </c>
      <c r="F1003" s="1" t="str">
        <f>TEXT(Table1[[#This Row],[order_date]],"dddd")</f>
        <v>Tuesday</v>
      </c>
      <c r="G1003">
        <f>HOUR(Table1[[#This Row],[order_time]])</f>
        <v>10</v>
      </c>
      <c r="H1003" s="2">
        <v>0.43326388888888889</v>
      </c>
      <c r="I1003" t="s">
        <v>9</v>
      </c>
      <c r="J1003" t="s">
        <v>29</v>
      </c>
      <c r="K1003">
        <v>2</v>
      </c>
      <c r="L1003">
        <v>5</v>
      </c>
      <c r="M1003">
        <v>10</v>
      </c>
      <c r="N1003">
        <f>IF(COUNTIFS($B$2:B1003,B1003)=1,1,0)</f>
        <v>1</v>
      </c>
    </row>
    <row r="1004" spans="1:14" x14ac:dyDescent="0.2">
      <c r="A1004">
        <v>1003</v>
      </c>
      <c r="B1004">
        <v>1499</v>
      </c>
      <c r="C1004">
        <f>1/COUNTIF(B:B,Table1[[#This Row],[order_id]])</f>
        <v>0.5</v>
      </c>
      <c r="D1004" t="str">
        <f>TEXT(Table1[[#This Row],[order_date]],"mmmm")</f>
        <v>March</v>
      </c>
      <c r="E1004" s="1">
        <v>45370</v>
      </c>
      <c r="F1004" s="1" t="str">
        <f>TEXT(Table1[[#This Row],[order_date]],"dddd")</f>
        <v>Tuesday</v>
      </c>
      <c r="G1004">
        <f>HOUR(Table1[[#This Row],[order_time]])</f>
        <v>16</v>
      </c>
      <c r="H1004" s="2">
        <v>0.70210648148148147</v>
      </c>
      <c r="I1004" t="s">
        <v>18</v>
      </c>
      <c r="J1004" t="s">
        <v>26</v>
      </c>
      <c r="K1004">
        <v>5</v>
      </c>
      <c r="L1004">
        <v>55</v>
      </c>
      <c r="M1004">
        <v>275</v>
      </c>
      <c r="N1004">
        <f>IF(COUNTIFS($B$2:B1004,B1004)=1,1,0)</f>
        <v>0</v>
      </c>
    </row>
    <row r="1005" spans="1:14" x14ac:dyDescent="0.2">
      <c r="A1005">
        <v>1004</v>
      </c>
      <c r="B1005">
        <v>1500</v>
      </c>
      <c r="C1005">
        <f>1/COUNTIF(B:B,Table1[[#This Row],[order_id]])</f>
        <v>1</v>
      </c>
      <c r="D1005" t="str">
        <f>TEXT(Table1[[#This Row],[order_date]],"mmmm")</f>
        <v>March</v>
      </c>
      <c r="E1005" s="1">
        <v>45371</v>
      </c>
      <c r="F1005" s="1" t="str">
        <f>TEXT(Table1[[#This Row],[order_date]],"dddd")</f>
        <v>Wednesday</v>
      </c>
      <c r="G1005">
        <f>HOUR(Table1[[#This Row],[order_time]])</f>
        <v>15</v>
      </c>
      <c r="H1005" s="2">
        <v>0.64651620370370366</v>
      </c>
      <c r="I1005" t="s">
        <v>9</v>
      </c>
      <c r="J1005" t="s">
        <v>22</v>
      </c>
      <c r="K1005">
        <v>3</v>
      </c>
      <c r="L1005">
        <v>15</v>
      </c>
      <c r="M1005">
        <v>45</v>
      </c>
      <c r="N1005">
        <f>IF(COUNTIFS($B$2:B1005,B1005)=1,1,0)</f>
        <v>1</v>
      </c>
    </row>
    <row r="1006" spans="1:14" x14ac:dyDescent="0.2">
      <c r="A1006">
        <v>1005</v>
      </c>
      <c r="B1006">
        <v>1501</v>
      </c>
      <c r="C1006">
        <f>1/COUNTIF(B:B,Table1[[#This Row],[order_id]])</f>
        <v>0.5</v>
      </c>
      <c r="D1006" t="str">
        <f>TEXT(Table1[[#This Row],[order_date]],"mmmm")</f>
        <v>March</v>
      </c>
      <c r="E1006" s="1">
        <v>45371</v>
      </c>
      <c r="F1006" s="1" t="str">
        <f>TEXT(Table1[[#This Row],[order_date]],"dddd")</f>
        <v>Wednesday</v>
      </c>
      <c r="G1006">
        <f>HOUR(Table1[[#This Row],[order_time]])</f>
        <v>19</v>
      </c>
      <c r="H1006" s="2">
        <v>0.81664351851851846</v>
      </c>
      <c r="I1006" t="s">
        <v>16</v>
      </c>
      <c r="J1006" t="s">
        <v>24</v>
      </c>
      <c r="K1006">
        <v>5</v>
      </c>
      <c r="L1006">
        <v>35</v>
      </c>
      <c r="M1006">
        <v>175</v>
      </c>
      <c r="N1006">
        <f>IF(COUNTIFS($B$2:B1006,B1006)=1,1,0)</f>
        <v>1</v>
      </c>
    </row>
    <row r="1007" spans="1:14" x14ac:dyDescent="0.2">
      <c r="A1007">
        <v>1006</v>
      </c>
      <c r="B1007">
        <v>1501</v>
      </c>
      <c r="C1007">
        <f>1/COUNTIF(B:B,Table1[[#This Row],[order_id]])</f>
        <v>0.5</v>
      </c>
      <c r="D1007" t="str">
        <f>TEXT(Table1[[#This Row],[order_date]],"mmmm")</f>
        <v>March</v>
      </c>
      <c r="E1007" s="1">
        <v>45371</v>
      </c>
      <c r="F1007" s="1" t="str">
        <f>TEXT(Table1[[#This Row],[order_date]],"dddd")</f>
        <v>Wednesday</v>
      </c>
      <c r="G1007">
        <f>HOUR(Table1[[#This Row],[order_time]])</f>
        <v>13</v>
      </c>
      <c r="H1007" s="2">
        <v>0.54517361111111107</v>
      </c>
      <c r="I1007" t="s">
        <v>16</v>
      </c>
      <c r="J1007" t="s">
        <v>23</v>
      </c>
      <c r="K1007">
        <v>4</v>
      </c>
      <c r="L1007">
        <v>30</v>
      </c>
      <c r="M1007">
        <v>120</v>
      </c>
      <c r="N1007">
        <f>IF(COUNTIFS($B$2:B1007,B1007)=1,1,0)</f>
        <v>0</v>
      </c>
    </row>
    <row r="1008" spans="1:14" x14ac:dyDescent="0.2">
      <c r="A1008">
        <v>1007</v>
      </c>
      <c r="B1008">
        <v>1502</v>
      </c>
      <c r="C1008">
        <f>1/COUNTIF(B:B,Table1[[#This Row],[order_id]])</f>
        <v>0.33333333333333331</v>
      </c>
      <c r="D1008" t="str">
        <f>TEXT(Table1[[#This Row],[order_date]],"mmmm")</f>
        <v>March</v>
      </c>
      <c r="E1008" s="1">
        <v>45371</v>
      </c>
      <c r="F1008" s="1" t="str">
        <f>TEXT(Table1[[#This Row],[order_date]],"dddd")</f>
        <v>Wednesday</v>
      </c>
      <c r="G1008">
        <f>HOUR(Table1[[#This Row],[order_time]])</f>
        <v>9</v>
      </c>
      <c r="H1008" s="2">
        <v>0.39630787037037035</v>
      </c>
      <c r="I1008" t="s">
        <v>9</v>
      </c>
      <c r="J1008" t="s">
        <v>21</v>
      </c>
      <c r="K1008">
        <v>1</v>
      </c>
      <c r="L1008">
        <v>10</v>
      </c>
      <c r="M1008">
        <v>10</v>
      </c>
      <c r="N1008">
        <f>IF(COUNTIFS($B$2:B1008,B1008)=1,1,0)</f>
        <v>1</v>
      </c>
    </row>
    <row r="1009" spans="1:14" x14ac:dyDescent="0.2">
      <c r="A1009">
        <v>1008</v>
      </c>
      <c r="B1009">
        <v>1502</v>
      </c>
      <c r="C1009">
        <f>1/COUNTIF(B:B,Table1[[#This Row],[order_id]])</f>
        <v>0.33333333333333331</v>
      </c>
      <c r="D1009" t="str">
        <f>TEXT(Table1[[#This Row],[order_date]],"mmmm")</f>
        <v>March</v>
      </c>
      <c r="E1009" s="1">
        <v>45371</v>
      </c>
      <c r="F1009" s="1" t="str">
        <f>TEXT(Table1[[#This Row],[order_date]],"dddd")</f>
        <v>Wednesday</v>
      </c>
      <c r="G1009">
        <f>HOUR(Table1[[#This Row],[order_time]])</f>
        <v>20</v>
      </c>
      <c r="H1009" s="2">
        <v>0.85244212962962962</v>
      </c>
      <c r="I1009" t="s">
        <v>18</v>
      </c>
      <c r="J1009" t="s">
        <v>31</v>
      </c>
      <c r="K1009">
        <v>5</v>
      </c>
      <c r="L1009">
        <v>45</v>
      </c>
      <c r="M1009">
        <v>225</v>
      </c>
      <c r="N1009">
        <f>IF(COUNTIFS($B$2:B1009,B1009)=1,1,0)</f>
        <v>0</v>
      </c>
    </row>
    <row r="1010" spans="1:14" x14ac:dyDescent="0.2">
      <c r="A1010">
        <v>1009</v>
      </c>
      <c r="B1010">
        <v>1502</v>
      </c>
      <c r="C1010">
        <f>1/COUNTIF(B:B,Table1[[#This Row],[order_id]])</f>
        <v>0.33333333333333331</v>
      </c>
      <c r="D1010" t="str">
        <f>TEXT(Table1[[#This Row],[order_date]],"mmmm")</f>
        <v>March</v>
      </c>
      <c r="E1010" s="1">
        <v>45371</v>
      </c>
      <c r="F1010" s="1" t="str">
        <f>TEXT(Table1[[#This Row],[order_date]],"dddd")</f>
        <v>Wednesday</v>
      </c>
      <c r="G1010">
        <f>HOUR(Table1[[#This Row],[order_time]])</f>
        <v>17</v>
      </c>
      <c r="H1010" s="2">
        <v>0.72317129629629628</v>
      </c>
      <c r="I1010" t="s">
        <v>18</v>
      </c>
      <c r="J1010" t="s">
        <v>19</v>
      </c>
      <c r="K1010">
        <v>3</v>
      </c>
      <c r="L1010">
        <v>50</v>
      </c>
      <c r="M1010">
        <v>150</v>
      </c>
      <c r="N1010">
        <f>IF(COUNTIFS($B$2:B1010,B1010)=1,1,0)</f>
        <v>0</v>
      </c>
    </row>
    <row r="1011" spans="1:14" x14ac:dyDescent="0.2">
      <c r="A1011">
        <v>1010</v>
      </c>
      <c r="B1011">
        <v>1503</v>
      </c>
      <c r="C1011">
        <f>1/COUNTIF(B:B,Table1[[#This Row],[order_id]])</f>
        <v>1</v>
      </c>
      <c r="D1011" t="str">
        <f>TEXT(Table1[[#This Row],[order_date]],"mmmm")</f>
        <v>March</v>
      </c>
      <c r="E1011" s="1">
        <v>45371</v>
      </c>
      <c r="F1011" s="1" t="str">
        <f>TEXT(Table1[[#This Row],[order_date]],"dddd")</f>
        <v>Wednesday</v>
      </c>
      <c r="G1011">
        <f>HOUR(Table1[[#This Row],[order_time]])</f>
        <v>12</v>
      </c>
      <c r="H1011" s="2">
        <v>0.51124999999999998</v>
      </c>
      <c r="I1011" t="s">
        <v>11</v>
      </c>
      <c r="J1011" t="s">
        <v>13</v>
      </c>
      <c r="K1011">
        <v>1</v>
      </c>
      <c r="L1011">
        <v>680</v>
      </c>
      <c r="M1011">
        <v>680</v>
      </c>
      <c r="N1011">
        <f>IF(COUNTIFS($B$2:B1011,B1011)=1,1,0)</f>
        <v>1</v>
      </c>
    </row>
    <row r="1012" spans="1:14" x14ac:dyDescent="0.2">
      <c r="A1012">
        <v>1011</v>
      </c>
      <c r="B1012">
        <v>1504</v>
      </c>
      <c r="C1012">
        <f>1/COUNTIF(B:B,Table1[[#This Row],[order_id]])</f>
        <v>0.5</v>
      </c>
      <c r="D1012" t="str">
        <f>TEXT(Table1[[#This Row],[order_date]],"mmmm")</f>
        <v>March</v>
      </c>
      <c r="E1012" s="1">
        <v>45371</v>
      </c>
      <c r="F1012" s="1" t="str">
        <f>TEXT(Table1[[#This Row],[order_date]],"dddd")</f>
        <v>Wednesday</v>
      </c>
      <c r="G1012">
        <f>HOUR(Table1[[#This Row],[order_time]])</f>
        <v>19</v>
      </c>
      <c r="H1012" s="2">
        <v>0.79378472222222218</v>
      </c>
      <c r="I1012" t="s">
        <v>9</v>
      </c>
      <c r="J1012" t="s">
        <v>20</v>
      </c>
      <c r="K1012">
        <v>1</v>
      </c>
      <c r="L1012">
        <v>25</v>
      </c>
      <c r="M1012">
        <v>25</v>
      </c>
      <c r="N1012">
        <f>IF(COUNTIFS($B$2:B1012,B1012)=1,1,0)</f>
        <v>1</v>
      </c>
    </row>
    <row r="1013" spans="1:14" x14ac:dyDescent="0.2">
      <c r="A1013">
        <v>1012</v>
      </c>
      <c r="B1013">
        <v>1504</v>
      </c>
      <c r="C1013">
        <f>1/COUNTIF(B:B,Table1[[#This Row],[order_id]])</f>
        <v>0.5</v>
      </c>
      <c r="D1013" t="str">
        <f>TEXT(Table1[[#This Row],[order_date]],"mmmm")</f>
        <v>March</v>
      </c>
      <c r="E1013" s="1">
        <v>45371</v>
      </c>
      <c r="F1013" s="1" t="str">
        <f>TEXT(Table1[[#This Row],[order_date]],"dddd")</f>
        <v>Wednesday</v>
      </c>
      <c r="G1013">
        <f>HOUR(Table1[[#This Row],[order_time]])</f>
        <v>19</v>
      </c>
      <c r="H1013" s="2">
        <v>0.79329861111111111</v>
      </c>
      <c r="I1013" t="s">
        <v>18</v>
      </c>
      <c r="J1013" t="s">
        <v>30</v>
      </c>
      <c r="K1013">
        <v>4</v>
      </c>
      <c r="L1013">
        <v>60</v>
      </c>
      <c r="M1013">
        <v>240</v>
      </c>
      <c r="N1013">
        <f>IF(COUNTIFS($B$2:B1013,B1013)=1,1,0)</f>
        <v>0</v>
      </c>
    </row>
    <row r="1014" spans="1:14" x14ac:dyDescent="0.2">
      <c r="A1014">
        <v>1013</v>
      </c>
      <c r="B1014">
        <v>1505</v>
      </c>
      <c r="C1014">
        <f>1/COUNTIF(B:B,Table1[[#This Row],[order_id]])</f>
        <v>0.33333333333333331</v>
      </c>
      <c r="D1014" t="str">
        <f>TEXT(Table1[[#This Row],[order_date]],"mmmm")</f>
        <v>March</v>
      </c>
      <c r="E1014" s="1">
        <v>45371</v>
      </c>
      <c r="F1014" s="1" t="str">
        <f>TEXT(Table1[[#This Row],[order_date]],"dddd")</f>
        <v>Wednesday</v>
      </c>
      <c r="G1014">
        <f>HOUR(Table1[[#This Row],[order_time]])</f>
        <v>18</v>
      </c>
      <c r="H1014" s="2">
        <v>0.76197916666666665</v>
      </c>
      <c r="I1014" t="s">
        <v>18</v>
      </c>
      <c r="J1014" t="s">
        <v>19</v>
      </c>
      <c r="K1014">
        <v>3</v>
      </c>
      <c r="L1014">
        <v>50</v>
      </c>
      <c r="M1014">
        <v>150</v>
      </c>
      <c r="N1014">
        <f>IF(COUNTIFS($B$2:B1014,B1014)=1,1,0)</f>
        <v>1</v>
      </c>
    </row>
    <row r="1015" spans="1:14" x14ac:dyDescent="0.2">
      <c r="A1015">
        <v>1014</v>
      </c>
      <c r="B1015">
        <v>1505</v>
      </c>
      <c r="C1015">
        <f>1/COUNTIF(B:B,Table1[[#This Row],[order_id]])</f>
        <v>0.33333333333333331</v>
      </c>
      <c r="D1015" t="str">
        <f>TEXT(Table1[[#This Row],[order_date]],"mmmm")</f>
        <v>March</v>
      </c>
      <c r="E1015" s="1">
        <v>45371</v>
      </c>
      <c r="F1015" s="1" t="str">
        <f>TEXT(Table1[[#This Row],[order_date]],"dddd")</f>
        <v>Wednesday</v>
      </c>
      <c r="G1015">
        <f>HOUR(Table1[[#This Row],[order_time]])</f>
        <v>14</v>
      </c>
      <c r="H1015" s="2">
        <v>0.58572916666666663</v>
      </c>
      <c r="I1015" t="s">
        <v>16</v>
      </c>
      <c r="J1015" t="s">
        <v>17</v>
      </c>
      <c r="K1015">
        <v>4</v>
      </c>
      <c r="L1015">
        <v>20</v>
      </c>
      <c r="M1015">
        <v>80</v>
      </c>
      <c r="N1015">
        <f>IF(COUNTIFS($B$2:B1015,B1015)=1,1,0)</f>
        <v>0</v>
      </c>
    </row>
    <row r="1016" spans="1:14" x14ac:dyDescent="0.2">
      <c r="A1016">
        <v>1015</v>
      </c>
      <c r="B1016">
        <v>1505</v>
      </c>
      <c r="C1016">
        <f>1/COUNTIF(B:B,Table1[[#This Row],[order_id]])</f>
        <v>0.33333333333333331</v>
      </c>
      <c r="D1016" t="str">
        <f>TEXT(Table1[[#This Row],[order_date]],"mmmm")</f>
        <v>March</v>
      </c>
      <c r="E1016" s="1">
        <v>45371</v>
      </c>
      <c r="F1016" s="1" t="str">
        <f>TEXT(Table1[[#This Row],[order_date]],"dddd")</f>
        <v>Wednesday</v>
      </c>
      <c r="G1016">
        <f>HOUR(Table1[[#This Row],[order_time]])</f>
        <v>14</v>
      </c>
      <c r="H1016" s="2">
        <v>0.59277777777777774</v>
      </c>
      <c r="I1016" t="s">
        <v>18</v>
      </c>
      <c r="J1016" t="s">
        <v>27</v>
      </c>
      <c r="K1016">
        <v>5</v>
      </c>
      <c r="L1016">
        <v>40</v>
      </c>
      <c r="M1016">
        <v>200</v>
      </c>
      <c r="N1016">
        <f>IF(COUNTIFS($B$2:B1016,B1016)=1,1,0)</f>
        <v>0</v>
      </c>
    </row>
    <row r="1017" spans="1:14" x14ac:dyDescent="0.2">
      <c r="A1017">
        <v>1016</v>
      </c>
      <c r="B1017">
        <v>1506</v>
      </c>
      <c r="C1017">
        <f>1/COUNTIF(B:B,Table1[[#This Row],[order_id]])</f>
        <v>0.33333333333333331</v>
      </c>
      <c r="D1017" t="str">
        <f>TEXT(Table1[[#This Row],[order_date]],"mmmm")</f>
        <v>March</v>
      </c>
      <c r="E1017" s="1">
        <v>45372</v>
      </c>
      <c r="F1017" s="1" t="str">
        <f>TEXT(Table1[[#This Row],[order_date]],"dddd")</f>
        <v>Thursday</v>
      </c>
      <c r="G1017">
        <f>HOUR(Table1[[#This Row],[order_time]])</f>
        <v>18</v>
      </c>
      <c r="H1017" s="2">
        <v>0.77896990740740746</v>
      </c>
      <c r="I1017" t="s">
        <v>16</v>
      </c>
      <c r="J1017" t="s">
        <v>28</v>
      </c>
      <c r="K1017">
        <v>4</v>
      </c>
      <c r="L1017">
        <v>25</v>
      </c>
      <c r="M1017">
        <v>100</v>
      </c>
      <c r="N1017">
        <f>IF(COUNTIFS($B$2:B1017,B1017)=1,1,0)</f>
        <v>1</v>
      </c>
    </row>
    <row r="1018" spans="1:14" x14ac:dyDescent="0.2">
      <c r="A1018">
        <v>1017</v>
      </c>
      <c r="B1018">
        <v>1506</v>
      </c>
      <c r="C1018">
        <f>1/COUNTIF(B:B,Table1[[#This Row],[order_id]])</f>
        <v>0.33333333333333331</v>
      </c>
      <c r="D1018" t="str">
        <f>TEXT(Table1[[#This Row],[order_date]],"mmmm")</f>
        <v>March</v>
      </c>
      <c r="E1018" s="1">
        <v>45372</v>
      </c>
      <c r="F1018" s="1" t="str">
        <f>TEXT(Table1[[#This Row],[order_date]],"dddd")</f>
        <v>Thursday</v>
      </c>
      <c r="G1018">
        <f>HOUR(Table1[[#This Row],[order_time]])</f>
        <v>10</v>
      </c>
      <c r="H1018" s="2">
        <v>0.45234953703703706</v>
      </c>
      <c r="I1018" t="s">
        <v>18</v>
      </c>
      <c r="J1018" t="s">
        <v>30</v>
      </c>
      <c r="K1018">
        <v>1</v>
      </c>
      <c r="L1018">
        <v>60</v>
      </c>
      <c r="M1018">
        <v>60</v>
      </c>
      <c r="N1018">
        <f>IF(COUNTIFS($B$2:B1018,B1018)=1,1,0)</f>
        <v>0</v>
      </c>
    </row>
    <row r="1019" spans="1:14" x14ac:dyDescent="0.2">
      <c r="A1019">
        <v>1018</v>
      </c>
      <c r="B1019">
        <v>1506</v>
      </c>
      <c r="C1019">
        <f>1/COUNTIF(B:B,Table1[[#This Row],[order_id]])</f>
        <v>0.33333333333333331</v>
      </c>
      <c r="D1019" t="str">
        <f>TEXT(Table1[[#This Row],[order_date]],"mmmm")</f>
        <v>March</v>
      </c>
      <c r="E1019" s="1">
        <v>45372</v>
      </c>
      <c r="F1019" s="1" t="str">
        <f>TEXT(Table1[[#This Row],[order_date]],"dddd")</f>
        <v>Thursday</v>
      </c>
      <c r="G1019">
        <f>HOUR(Table1[[#This Row],[order_time]])</f>
        <v>13</v>
      </c>
      <c r="H1019" s="2">
        <v>0.57645833333333329</v>
      </c>
      <c r="I1019" t="s">
        <v>18</v>
      </c>
      <c r="J1019" t="s">
        <v>30</v>
      </c>
      <c r="K1019">
        <v>4</v>
      </c>
      <c r="L1019">
        <v>60</v>
      </c>
      <c r="M1019">
        <v>240</v>
      </c>
      <c r="N1019">
        <f>IF(COUNTIFS($B$2:B1019,B1019)=1,1,0)</f>
        <v>0</v>
      </c>
    </row>
    <row r="1020" spans="1:14" x14ac:dyDescent="0.2">
      <c r="A1020">
        <v>1019</v>
      </c>
      <c r="B1020">
        <v>1507</v>
      </c>
      <c r="C1020">
        <f>1/COUNTIF(B:B,Table1[[#This Row],[order_id]])</f>
        <v>0.33333333333333331</v>
      </c>
      <c r="D1020" t="str">
        <f>TEXT(Table1[[#This Row],[order_date]],"mmmm")</f>
        <v>March</v>
      </c>
      <c r="E1020" s="1">
        <v>45372</v>
      </c>
      <c r="F1020" s="1" t="str">
        <f>TEXT(Table1[[#This Row],[order_date]],"dddd")</f>
        <v>Thursday</v>
      </c>
      <c r="G1020">
        <f>HOUR(Table1[[#This Row],[order_time]])</f>
        <v>15</v>
      </c>
      <c r="H1020" s="2">
        <v>0.6620138888888889</v>
      </c>
      <c r="I1020" t="s">
        <v>16</v>
      </c>
      <c r="J1020" t="s">
        <v>17</v>
      </c>
      <c r="K1020">
        <v>1</v>
      </c>
      <c r="L1020">
        <v>20</v>
      </c>
      <c r="M1020">
        <v>20</v>
      </c>
      <c r="N1020">
        <f>IF(COUNTIFS($B$2:B1020,B1020)=1,1,0)</f>
        <v>1</v>
      </c>
    </row>
    <row r="1021" spans="1:14" x14ac:dyDescent="0.2">
      <c r="A1021">
        <v>1020</v>
      </c>
      <c r="B1021">
        <v>1507</v>
      </c>
      <c r="C1021">
        <f>1/COUNTIF(B:B,Table1[[#This Row],[order_id]])</f>
        <v>0.33333333333333331</v>
      </c>
      <c r="D1021" t="str">
        <f>TEXT(Table1[[#This Row],[order_date]],"mmmm")</f>
        <v>March</v>
      </c>
      <c r="E1021" s="1">
        <v>45372</v>
      </c>
      <c r="F1021" s="1" t="str">
        <f>TEXT(Table1[[#This Row],[order_date]],"dddd")</f>
        <v>Thursday</v>
      </c>
      <c r="G1021">
        <f>HOUR(Table1[[#This Row],[order_time]])</f>
        <v>14</v>
      </c>
      <c r="H1021" s="2">
        <v>0.59586805555555555</v>
      </c>
      <c r="I1021" t="s">
        <v>18</v>
      </c>
      <c r="J1021" t="s">
        <v>19</v>
      </c>
      <c r="K1021">
        <v>1</v>
      </c>
      <c r="L1021">
        <v>50</v>
      </c>
      <c r="M1021">
        <v>50</v>
      </c>
      <c r="N1021">
        <f>IF(COUNTIFS($B$2:B1021,B1021)=1,1,0)</f>
        <v>0</v>
      </c>
    </row>
    <row r="1022" spans="1:14" x14ac:dyDescent="0.2">
      <c r="A1022">
        <v>1021</v>
      </c>
      <c r="B1022">
        <v>1507</v>
      </c>
      <c r="C1022">
        <f>1/COUNTIF(B:B,Table1[[#This Row],[order_id]])</f>
        <v>0.33333333333333331</v>
      </c>
      <c r="D1022" t="str">
        <f>TEXT(Table1[[#This Row],[order_date]],"mmmm")</f>
        <v>March</v>
      </c>
      <c r="E1022" s="1">
        <v>45372</v>
      </c>
      <c r="F1022" s="1" t="str">
        <f>TEXT(Table1[[#This Row],[order_date]],"dddd")</f>
        <v>Thursday</v>
      </c>
      <c r="G1022">
        <f>HOUR(Table1[[#This Row],[order_time]])</f>
        <v>10</v>
      </c>
      <c r="H1022" s="2">
        <v>0.42884259259259261</v>
      </c>
      <c r="I1022" t="s">
        <v>16</v>
      </c>
      <c r="J1022" t="s">
        <v>24</v>
      </c>
      <c r="K1022">
        <v>3</v>
      </c>
      <c r="L1022">
        <v>35</v>
      </c>
      <c r="M1022">
        <v>105</v>
      </c>
      <c r="N1022">
        <f>IF(COUNTIFS($B$2:B1022,B1022)=1,1,0)</f>
        <v>0</v>
      </c>
    </row>
    <row r="1023" spans="1:14" x14ac:dyDescent="0.2">
      <c r="A1023">
        <v>1022</v>
      </c>
      <c r="B1023">
        <v>1508</v>
      </c>
      <c r="C1023">
        <f>1/COUNTIF(B:B,Table1[[#This Row],[order_id]])</f>
        <v>1</v>
      </c>
      <c r="D1023" t="str">
        <f>TEXT(Table1[[#This Row],[order_date]],"mmmm")</f>
        <v>March</v>
      </c>
      <c r="E1023" s="1">
        <v>45372</v>
      </c>
      <c r="F1023" s="1" t="str">
        <f>TEXT(Table1[[#This Row],[order_date]],"dddd")</f>
        <v>Thursday</v>
      </c>
      <c r="G1023">
        <f>HOUR(Table1[[#This Row],[order_time]])</f>
        <v>11</v>
      </c>
      <c r="H1023" s="2">
        <v>0.47321759259259261</v>
      </c>
      <c r="I1023" t="s">
        <v>16</v>
      </c>
      <c r="J1023" t="s">
        <v>28</v>
      </c>
      <c r="K1023">
        <v>4</v>
      </c>
      <c r="L1023">
        <v>25</v>
      </c>
      <c r="M1023">
        <v>100</v>
      </c>
      <c r="N1023">
        <f>IF(COUNTIFS($B$2:B1023,B1023)=1,1,0)</f>
        <v>1</v>
      </c>
    </row>
    <row r="1024" spans="1:14" x14ac:dyDescent="0.2">
      <c r="A1024">
        <v>1023</v>
      </c>
      <c r="B1024">
        <v>1509</v>
      </c>
      <c r="C1024">
        <f>1/COUNTIF(B:B,Table1[[#This Row],[order_id]])</f>
        <v>1</v>
      </c>
      <c r="D1024" t="str">
        <f>TEXT(Table1[[#This Row],[order_date]],"mmmm")</f>
        <v>March</v>
      </c>
      <c r="E1024" s="1">
        <v>45372</v>
      </c>
      <c r="F1024" s="1" t="str">
        <f>TEXT(Table1[[#This Row],[order_date]],"dddd")</f>
        <v>Thursday</v>
      </c>
      <c r="G1024">
        <f>HOUR(Table1[[#This Row],[order_time]])</f>
        <v>18</v>
      </c>
      <c r="H1024" s="2">
        <v>0.78587962962962965</v>
      </c>
      <c r="I1024" t="s">
        <v>18</v>
      </c>
      <c r="J1024" t="s">
        <v>26</v>
      </c>
      <c r="K1024">
        <v>1</v>
      </c>
      <c r="L1024">
        <v>55</v>
      </c>
      <c r="M1024">
        <v>55</v>
      </c>
      <c r="N1024">
        <f>IF(COUNTIFS($B$2:B1024,B1024)=1,1,0)</f>
        <v>1</v>
      </c>
    </row>
    <row r="1025" spans="1:14" x14ac:dyDescent="0.2">
      <c r="A1025">
        <v>1024</v>
      </c>
      <c r="B1025">
        <v>1510</v>
      </c>
      <c r="C1025">
        <f>1/COUNTIF(B:B,Table1[[#This Row],[order_id]])</f>
        <v>1</v>
      </c>
      <c r="D1025" t="str">
        <f>TEXT(Table1[[#This Row],[order_date]],"mmmm")</f>
        <v>March</v>
      </c>
      <c r="E1025" s="1">
        <v>45372</v>
      </c>
      <c r="F1025" s="1" t="str">
        <f>TEXT(Table1[[#This Row],[order_date]],"dddd")</f>
        <v>Thursday</v>
      </c>
      <c r="G1025">
        <f>HOUR(Table1[[#This Row],[order_time]])</f>
        <v>10</v>
      </c>
      <c r="H1025" s="2">
        <v>0.43784722222222222</v>
      </c>
      <c r="I1025" t="s">
        <v>18</v>
      </c>
      <c r="J1025" t="s">
        <v>30</v>
      </c>
      <c r="K1025">
        <v>1</v>
      </c>
      <c r="L1025">
        <v>60</v>
      </c>
      <c r="M1025">
        <v>60</v>
      </c>
      <c r="N1025">
        <f>IF(COUNTIFS($B$2:B1025,B1025)=1,1,0)</f>
        <v>1</v>
      </c>
    </row>
    <row r="1026" spans="1:14" x14ac:dyDescent="0.2">
      <c r="A1026">
        <v>1025</v>
      </c>
      <c r="B1026">
        <v>1511</v>
      </c>
      <c r="C1026">
        <f>1/COUNTIF(B:B,Table1[[#This Row],[order_id]])</f>
        <v>0.5</v>
      </c>
      <c r="D1026" t="str">
        <f>TEXT(Table1[[#This Row],[order_date]],"mmmm")</f>
        <v>March</v>
      </c>
      <c r="E1026" s="1">
        <v>45373</v>
      </c>
      <c r="F1026" s="1" t="str">
        <f>TEXT(Table1[[#This Row],[order_date]],"dddd")</f>
        <v>Friday</v>
      </c>
      <c r="G1026">
        <f>HOUR(Table1[[#This Row],[order_time]])</f>
        <v>16</v>
      </c>
      <c r="H1026" s="2">
        <v>0.67716435185185186</v>
      </c>
      <c r="I1026" t="s">
        <v>11</v>
      </c>
      <c r="J1026" t="s">
        <v>12</v>
      </c>
      <c r="K1026">
        <v>4</v>
      </c>
      <c r="L1026">
        <v>650</v>
      </c>
      <c r="M1026">
        <v>2600</v>
      </c>
      <c r="N1026">
        <f>IF(COUNTIFS($B$2:B1026,B1026)=1,1,0)</f>
        <v>1</v>
      </c>
    </row>
    <row r="1027" spans="1:14" x14ac:dyDescent="0.2">
      <c r="A1027">
        <v>1026</v>
      </c>
      <c r="B1027">
        <v>1511</v>
      </c>
      <c r="C1027">
        <f>1/COUNTIF(B:B,Table1[[#This Row],[order_id]])</f>
        <v>0.5</v>
      </c>
      <c r="D1027" t="str">
        <f>TEXT(Table1[[#This Row],[order_date]],"mmmm")</f>
        <v>March</v>
      </c>
      <c r="E1027" s="1">
        <v>45373</v>
      </c>
      <c r="F1027" s="1" t="str">
        <f>TEXT(Table1[[#This Row],[order_date]],"dddd")</f>
        <v>Friday</v>
      </c>
      <c r="G1027">
        <f>HOUR(Table1[[#This Row],[order_time]])</f>
        <v>10</v>
      </c>
      <c r="H1027" s="2">
        <v>0.42107638888888888</v>
      </c>
      <c r="I1027" t="s">
        <v>16</v>
      </c>
      <c r="J1027" t="s">
        <v>17</v>
      </c>
      <c r="K1027">
        <v>2</v>
      </c>
      <c r="L1027">
        <v>20</v>
      </c>
      <c r="M1027">
        <v>40</v>
      </c>
      <c r="N1027">
        <f>IF(COUNTIFS($B$2:B1027,B1027)=1,1,0)</f>
        <v>0</v>
      </c>
    </row>
    <row r="1028" spans="1:14" x14ac:dyDescent="0.2">
      <c r="A1028">
        <v>1027</v>
      </c>
      <c r="B1028">
        <v>1512</v>
      </c>
      <c r="C1028">
        <f>1/COUNTIF(B:B,Table1[[#This Row],[order_id]])</f>
        <v>1</v>
      </c>
      <c r="D1028" t="str">
        <f>TEXT(Table1[[#This Row],[order_date]],"mmmm")</f>
        <v>March</v>
      </c>
      <c r="E1028" s="1">
        <v>45373</v>
      </c>
      <c r="F1028" s="1" t="str">
        <f>TEXT(Table1[[#This Row],[order_date]],"dddd")</f>
        <v>Friday</v>
      </c>
      <c r="G1028">
        <f>HOUR(Table1[[#This Row],[order_time]])</f>
        <v>15</v>
      </c>
      <c r="H1028" s="2">
        <v>0.65807870370370369</v>
      </c>
      <c r="I1028" t="s">
        <v>9</v>
      </c>
      <c r="J1028" t="s">
        <v>21</v>
      </c>
      <c r="K1028">
        <v>2</v>
      </c>
      <c r="L1028">
        <v>10</v>
      </c>
      <c r="M1028">
        <v>20</v>
      </c>
      <c r="N1028">
        <f>IF(COUNTIFS($B$2:B1028,B1028)=1,1,0)</f>
        <v>1</v>
      </c>
    </row>
    <row r="1029" spans="1:14" x14ac:dyDescent="0.2">
      <c r="A1029">
        <v>1028</v>
      </c>
      <c r="B1029">
        <v>1513</v>
      </c>
      <c r="C1029">
        <f>1/COUNTIF(B:B,Table1[[#This Row],[order_id]])</f>
        <v>1</v>
      </c>
      <c r="D1029" t="str">
        <f>TEXT(Table1[[#This Row],[order_date]],"mmmm")</f>
        <v>March</v>
      </c>
      <c r="E1029" s="1">
        <v>45373</v>
      </c>
      <c r="F1029" s="1" t="str">
        <f>TEXT(Table1[[#This Row],[order_date]],"dddd")</f>
        <v>Friday</v>
      </c>
      <c r="G1029">
        <f>HOUR(Table1[[#This Row],[order_time]])</f>
        <v>18</v>
      </c>
      <c r="H1029" s="2">
        <v>0.77155092592592589</v>
      </c>
      <c r="I1029" t="s">
        <v>16</v>
      </c>
      <c r="J1029" t="s">
        <v>23</v>
      </c>
      <c r="K1029">
        <v>5</v>
      </c>
      <c r="L1029">
        <v>30</v>
      </c>
      <c r="M1029">
        <v>150</v>
      </c>
      <c r="N1029">
        <f>IF(COUNTIFS($B$2:B1029,B1029)=1,1,0)</f>
        <v>1</v>
      </c>
    </row>
    <row r="1030" spans="1:14" x14ac:dyDescent="0.2">
      <c r="A1030">
        <v>1029</v>
      </c>
      <c r="B1030">
        <v>1514</v>
      </c>
      <c r="C1030">
        <f>1/COUNTIF(B:B,Table1[[#This Row],[order_id]])</f>
        <v>0.5</v>
      </c>
      <c r="D1030" t="str">
        <f>TEXT(Table1[[#This Row],[order_date]],"mmmm")</f>
        <v>March</v>
      </c>
      <c r="E1030" s="1">
        <v>45373</v>
      </c>
      <c r="F1030" s="1" t="str">
        <f>TEXT(Table1[[#This Row],[order_date]],"dddd")</f>
        <v>Friday</v>
      </c>
      <c r="G1030">
        <f>HOUR(Table1[[#This Row],[order_time]])</f>
        <v>14</v>
      </c>
      <c r="H1030" s="2">
        <v>0.59937499999999999</v>
      </c>
      <c r="I1030" t="s">
        <v>18</v>
      </c>
      <c r="J1030" t="s">
        <v>31</v>
      </c>
      <c r="K1030">
        <v>5</v>
      </c>
      <c r="L1030">
        <v>45</v>
      </c>
      <c r="M1030">
        <v>225</v>
      </c>
      <c r="N1030">
        <f>IF(COUNTIFS($B$2:B1030,B1030)=1,1,0)</f>
        <v>1</v>
      </c>
    </row>
    <row r="1031" spans="1:14" x14ac:dyDescent="0.2">
      <c r="A1031">
        <v>1030</v>
      </c>
      <c r="B1031">
        <v>1514</v>
      </c>
      <c r="C1031">
        <f>1/COUNTIF(B:B,Table1[[#This Row],[order_id]])</f>
        <v>0.5</v>
      </c>
      <c r="D1031" t="str">
        <f>TEXT(Table1[[#This Row],[order_date]],"mmmm")</f>
        <v>March</v>
      </c>
      <c r="E1031" s="1">
        <v>45373</v>
      </c>
      <c r="F1031" s="1" t="str">
        <f>TEXT(Table1[[#This Row],[order_date]],"dddd")</f>
        <v>Friday</v>
      </c>
      <c r="G1031">
        <f>HOUR(Table1[[#This Row],[order_time]])</f>
        <v>12</v>
      </c>
      <c r="H1031" s="2">
        <v>0.52840277777777778</v>
      </c>
      <c r="I1031" t="s">
        <v>18</v>
      </c>
      <c r="J1031" t="s">
        <v>26</v>
      </c>
      <c r="K1031">
        <v>1</v>
      </c>
      <c r="L1031">
        <v>55</v>
      </c>
      <c r="M1031">
        <v>55</v>
      </c>
      <c r="N1031">
        <f>IF(COUNTIFS($B$2:B1031,B1031)=1,1,0)</f>
        <v>0</v>
      </c>
    </row>
    <row r="1032" spans="1:14" x14ac:dyDescent="0.2">
      <c r="A1032">
        <v>1031</v>
      </c>
      <c r="B1032">
        <v>1515</v>
      </c>
      <c r="C1032">
        <f>1/COUNTIF(B:B,Table1[[#This Row],[order_id]])</f>
        <v>0.33333333333333331</v>
      </c>
      <c r="D1032" t="str">
        <f>TEXT(Table1[[#This Row],[order_date]],"mmmm")</f>
        <v>March</v>
      </c>
      <c r="E1032" s="1">
        <v>45374</v>
      </c>
      <c r="F1032" s="1" t="str">
        <f>TEXT(Table1[[#This Row],[order_date]],"dddd")</f>
        <v>Saturday</v>
      </c>
      <c r="G1032">
        <f>HOUR(Table1[[#This Row],[order_time]])</f>
        <v>18</v>
      </c>
      <c r="H1032" s="2">
        <v>0.76256944444444441</v>
      </c>
      <c r="I1032" t="s">
        <v>16</v>
      </c>
      <c r="J1032" t="s">
        <v>28</v>
      </c>
      <c r="K1032">
        <v>3</v>
      </c>
      <c r="L1032">
        <v>25</v>
      </c>
      <c r="M1032">
        <v>75</v>
      </c>
      <c r="N1032">
        <f>IF(COUNTIFS($B$2:B1032,B1032)=1,1,0)</f>
        <v>1</v>
      </c>
    </row>
    <row r="1033" spans="1:14" x14ac:dyDescent="0.2">
      <c r="A1033">
        <v>1032</v>
      </c>
      <c r="B1033">
        <v>1515</v>
      </c>
      <c r="C1033">
        <f>1/COUNTIF(B:B,Table1[[#This Row],[order_id]])</f>
        <v>0.33333333333333331</v>
      </c>
      <c r="D1033" t="str">
        <f>TEXT(Table1[[#This Row],[order_date]],"mmmm")</f>
        <v>March</v>
      </c>
      <c r="E1033" s="1">
        <v>45374</v>
      </c>
      <c r="F1033" s="1" t="str">
        <f>TEXT(Table1[[#This Row],[order_date]],"dddd")</f>
        <v>Saturday</v>
      </c>
      <c r="G1033">
        <f>HOUR(Table1[[#This Row],[order_time]])</f>
        <v>19</v>
      </c>
      <c r="H1033" s="2">
        <v>0.82673611111111112</v>
      </c>
      <c r="I1033" t="s">
        <v>18</v>
      </c>
      <c r="J1033" t="s">
        <v>19</v>
      </c>
      <c r="K1033">
        <v>1</v>
      </c>
      <c r="L1033">
        <v>50</v>
      </c>
      <c r="M1033">
        <v>50</v>
      </c>
      <c r="N1033">
        <f>IF(COUNTIFS($B$2:B1033,B1033)=1,1,0)</f>
        <v>0</v>
      </c>
    </row>
    <row r="1034" spans="1:14" x14ac:dyDescent="0.2">
      <c r="A1034">
        <v>1033</v>
      </c>
      <c r="B1034">
        <v>1515</v>
      </c>
      <c r="C1034">
        <f>1/COUNTIF(B:B,Table1[[#This Row],[order_id]])</f>
        <v>0.33333333333333331</v>
      </c>
      <c r="D1034" t="str">
        <f>TEXT(Table1[[#This Row],[order_date]],"mmmm")</f>
        <v>March</v>
      </c>
      <c r="E1034" s="1">
        <v>45374</v>
      </c>
      <c r="F1034" s="1" t="str">
        <f>TEXT(Table1[[#This Row],[order_date]],"dddd")</f>
        <v>Saturday</v>
      </c>
      <c r="G1034">
        <f>HOUR(Table1[[#This Row],[order_time]])</f>
        <v>13</v>
      </c>
      <c r="H1034" s="2">
        <v>0.55572916666666672</v>
      </c>
      <c r="I1034" t="s">
        <v>11</v>
      </c>
      <c r="J1034" t="s">
        <v>13</v>
      </c>
      <c r="K1034">
        <v>4</v>
      </c>
      <c r="L1034">
        <v>680</v>
      </c>
      <c r="M1034">
        <v>2720</v>
      </c>
      <c r="N1034">
        <f>IF(COUNTIFS($B$2:B1034,B1034)=1,1,0)</f>
        <v>0</v>
      </c>
    </row>
    <row r="1035" spans="1:14" x14ac:dyDescent="0.2">
      <c r="A1035">
        <v>1034</v>
      </c>
      <c r="B1035">
        <v>1516</v>
      </c>
      <c r="C1035">
        <f>1/COUNTIF(B:B,Table1[[#This Row],[order_id]])</f>
        <v>0.5</v>
      </c>
      <c r="D1035" t="str">
        <f>TEXT(Table1[[#This Row],[order_date]],"mmmm")</f>
        <v>March</v>
      </c>
      <c r="E1035" s="1">
        <v>45374</v>
      </c>
      <c r="F1035" s="1" t="str">
        <f>TEXT(Table1[[#This Row],[order_date]],"dddd")</f>
        <v>Saturday</v>
      </c>
      <c r="G1035">
        <f>HOUR(Table1[[#This Row],[order_time]])</f>
        <v>15</v>
      </c>
      <c r="H1035" s="2">
        <v>0.63621527777777775</v>
      </c>
      <c r="I1035" t="s">
        <v>16</v>
      </c>
      <c r="J1035" t="s">
        <v>23</v>
      </c>
      <c r="K1035">
        <v>5</v>
      </c>
      <c r="L1035">
        <v>30</v>
      </c>
      <c r="M1035">
        <v>150</v>
      </c>
      <c r="N1035">
        <f>IF(COUNTIFS($B$2:B1035,B1035)=1,1,0)</f>
        <v>1</v>
      </c>
    </row>
    <row r="1036" spans="1:14" x14ac:dyDescent="0.2">
      <c r="A1036">
        <v>1035</v>
      </c>
      <c r="B1036">
        <v>1516</v>
      </c>
      <c r="C1036">
        <f>1/COUNTIF(B:B,Table1[[#This Row],[order_id]])</f>
        <v>0.5</v>
      </c>
      <c r="D1036" t="str">
        <f>TEXT(Table1[[#This Row],[order_date]],"mmmm")</f>
        <v>March</v>
      </c>
      <c r="E1036" s="1">
        <v>45374</v>
      </c>
      <c r="F1036" s="1" t="str">
        <f>TEXT(Table1[[#This Row],[order_date]],"dddd")</f>
        <v>Saturday</v>
      </c>
      <c r="G1036">
        <f>HOUR(Table1[[#This Row],[order_time]])</f>
        <v>12</v>
      </c>
      <c r="H1036" s="2">
        <v>0.52278935185185182</v>
      </c>
      <c r="I1036" t="s">
        <v>18</v>
      </c>
      <c r="J1036" t="s">
        <v>30</v>
      </c>
      <c r="K1036">
        <v>4</v>
      </c>
      <c r="L1036">
        <v>60</v>
      </c>
      <c r="M1036">
        <v>240</v>
      </c>
      <c r="N1036">
        <f>IF(COUNTIFS($B$2:B1036,B1036)=1,1,0)</f>
        <v>0</v>
      </c>
    </row>
    <row r="1037" spans="1:14" x14ac:dyDescent="0.2">
      <c r="A1037">
        <v>1036</v>
      </c>
      <c r="B1037">
        <v>1517</v>
      </c>
      <c r="C1037">
        <f>1/COUNTIF(B:B,Table1[[#This Row],[order_id]])</f>
        <v>0.5</v>
      </c>
      <c r="D1037" t="str">
        <f>TEXT(Table1[[#This Row],[order_date]],"mmmm")</f>
        <v>March</v>
      </c>
      <c r="E1037" s="1">
        <v>45374</v>
      </c>
      <c r="F1037" s="1" t="str">
        <f>TEXT(Table1[[#This Row],[order_date]],"dddd")</f>
        <v>Saturday</v>
      </c>
      <c r="G1037">
        <f>HOUR(Table1[[#This Row],[order_time]])</f>
        <v>12</v>
      </c>
      <c r="H1037" s="2">
        <v>0.50496527777777778</v>
      </c>
      <c r="I1037" t="s">
        <v>9</v>
      </c>
      <c r="J1037" t="s">
        <v>20</v>
      </c>
      <c r="K1037">
        <v>1</v>
      </c>
      <c r="L1037">
        <v>25</v>
      </c>
      <c r="M1037">
        <v>25</v>
      </c>
      <c r="N1037">
        <f>IF(COUNTIFS($B$2:B1037,B1037)=1,1,0)</f>
        <v>1</v>
      </c>
    </row>
    <row r="1038" spans="1:14" x14ac:dyDescent="0.2">
      <c r="A1038">
        <v>1037</v>
      </c>
      <c r="B1038">
        <v>1517</v>
      </c>
      <c r="C1038">
        <f>1/COUNTIF(B:B,Table1[[#This Row],[order_id]])</f>
        <v>0.5</v>
      </c>
      <c r="D1038" t="str">
        <f>TEXT(Table1[[#This Row],[order_date]],"mmmm")</f>
        <v>March</v>
      </c>
      <c r="E1038" s="1">
        <v>45374</v>
      </c>
      <c r="F1038" s="1" t="str">
        <f>TEXT(Table1[[#This Row],[order_date]],"dddd")</f>
        <v>Saturday</v>
      </c>
      <c r="G1038">
        <f>HOUR(Table1[[#This Row],[order_time]])</f>
        <v>13</v>
      </c>
      <c r="H1038" s="2">
        <v>0.55287037037037035</v>
      </c>
      <c r="I1038" t="s">
        <v>9</v>
      </c>
      <c r="J1038" t="s">
        <v>21</v>
      </c>
      <c r="K1038">
        <v>1</v>
      </c>
      <c r="L1038">
        <v>10</v>
      </c>
      <c r="M1038">
        <v>10</v>
      </c>
      <c r="N1038">
        <f>IF(COUNTIFS($B$2:B1038,B1038)=1,1,0)</f>
        <v>0</v>
      </c>
    </row>
    <row r="1039" spans="1:14" x14ac:dyDescent="0.2">
      <c r="A1039">
        <v>1038</v>
      </c>
      <c r="B1039">
        <v>1518</v>
      </c>
      <c r="C1039">
        <f>1/COUNTIF(B:B,Table1[[#This Row],[order_id]])</f>
        <v>0.33333333333333331</v>
      </c>
      <c r="D1039" t="str">
        <f>TEXT(Table1[[#This Row],[order_date]],"mmmm")</f>
        <v>March</v>
      </c>
      <c r="E1039" s="1">
        <v>45374</v>
      </c>
      <c r="F1039" s="1" t="str">
        <f>TEXT(Table1[[#This Row],[order_date]],"dddd")</f>
        <v>Saturday</v>
      </c>
      <c r="G1039">
        <f>HOUR(Table1[[#This Row],[order_time]])</f>
        <v>13</v>
      </c>
      <c r="H1039" s="2">
        <v>0.55686342592592597</v>
      </c>
      <c r="I1039" t="s">
        <v>18</v>
      </c>
      <c r="J1039" t="s">
        <v>31</v>
      </c>
      <c r="K1039">
        <v>1</v>
      </c>
      <c r="L1039">
        <v>45</v>
      </c>
      <c r="M1039">
        <v>45</v>
      </c>
      <c r="N1039">
        <f>IF(COUNTIFS($B$2:B1039,B1039)=1,1,0)</f>
        <v>1</v>
      </c>
    </row>
    <row r="1040" spans="1:14" x14ac:dyDescent="0.2">
      <c r="A1040">
        <v>1039</v>
      </c>
      <c r="B1040">
        <v>1518</v>
      </c>
      <c r="C1040">
        <f>1/COUNTIF(B:B,Table1[[#This Row],[order_id]])</f>
        <v>0.33333333333333331</v>
      </c>
      <c r="D1040" t="str">
        <f>TEXT(Table1[[#This Row],[order_date]],"mmmm")</f>
        <v>March</v>
      </c>
      <c r="E1040" s="1">
        <v>45374</v>
      </c>
      <c r="F1040" s="1" t="str">
        <f>TEXT(Table1[[#This Row],[order_date]],"dddd")</f>
        <v>Saturday</v>
      </c>
      <c r="G1040">
        <f>HOUR(Table1[[#This Row],[order_time]])</f>
        <v>11</v>
      </c>
      <c r="H1040" s="2">
        <v>0.47968749999999999</v>
      </c>
      <c r="I1040" t="s">
        <v>11</v>
      </c>
      <c r="J1040" t="s">
        <v>15</v>
      </c>
      <c r="K1040">
        <v>2</v>
      </c>
      <c r="L1040">
        <v>600</v>
      </c>
      <c r="M1040">
        <v>1200</v>
      </c>
      <c r="N1040">
        <f>IF(COUNTIFS($B$2:B1040,B1040)=1,1,0)</f>
        <v>0</v>
      </c>
    </row>
    <row r="1041" spans="1:14" x14ac:dyDescent="0.2">
      <c r="A1041">
        <v>1040</v>
      </c>
      <c r="B1041">
        <v>1518</v>
      </c>
      <c r="C1041">
        <f>1/COUNTIF(B:B,Table1[[#This Row],[order_id]])</f>
        <v>0.33333333333333331</v>
      </c>
      <c r="D1041" t="str">
        <f>TEXT(Table1[[#This Row],[order_date]],"mmmm")</f>
        <v>March</v>
      </c>
      <c r="E1041" s="1">
        <v>45374</v>
      </c>
      <c r="F1041" s="1" t="str">
        <f>TEXT(Table1[[#This Row],[order_date]],"dddd")</f>
        <v>Saturday</v>
      </c>
      <c r="G1041">
        <f>HOUR(Table1[[#This Row],[order_time]])</f>
        <v>13</v>
      </c>
      <c r="H1041" s="2">
        <v>0.56060185185185185</v>
      </c>
      <c r="I1041" t="s">
        <v>11</v>
      </c>
      <c r="J1041" t="s">
        <v>15</v>
      </c>
      <c r="K1041">
        <v>3</v>
      </c>
      <c r="L1041">
        <v>600</v>
      </c>
      <c r="M1041">
        <v>1800</v>
      </c>
      <c r="N1041">
        <f>IF(COUNTIFS($B$2:B1041,B1041)=1,1,0)</f>
        <v>0</v>
      </c>
    </row>
    <row r="1042" spans="1:14" x14ac:dyDescent="0.2">
      <c r="A1042">
        <v>1041</v>
      </c>
      <c r="B1042">
        <v>1519</v>
      </c>
      <c r="C1042">
        <f>1/COUNTIF(B:B,Table1[[#This Row],[order_id]])</f>
        <v>1</v>
      </c>
      <c r="D1042" t="str">
        <f>TEXT(Table1[[#This Row],[order_date]],"mmmm")</f>
        <v>March</v>
      </c>
      <c r="E1042" s="1">
        <v>45374</v>
      </c>
      <c r="F1042" s="1" t="str">
        <f>TEXT(Table1[[#This Row],[order_date]],"dddd")</f>
        <v>Saturday</v>
      </c>
      <c r="G1042">
        <f>HOUR(Table1[[#This Row],[order_time]])</f>
        <v>18</v>
      </c>
      <c r="H1042" s="2">
        <v>0.75619212962962967</v>
      </c>
      <c r="I1042" t="s">
        <v>18</v>
      </c>
      <c r="J1042" t="s">
        <v>30</v>
      </c>
      <c r="K1042">
        <v>3</v>
      </c>
      <c r="L1042">
        <v>60</v>
      </c>
      <c r="M1042">
        <v>180</v>
      </c>
      <c r="N1042">
        <f>IF(COUNTIFS($B$2:B1042,B1042)=1,1,0)</f>
        <v>1</v>
      </c>
    </row>
    <row r="1043" spans="1:14" x14ac:dyDescent="0.2">
      <c r="A1043">
        <v>1042</v>
      </c>
      <c r="B1043">
        <v>1520</v>
      </c>
      <c r="C1043">
        <f>1/COUNTIF(B:B,Table1[[#This Row],[order_id]])</f>
        <v>1</v>
      </c>
      <c r="D1043" t="str">
        <f>TEXT(Table1[[#This Row],[order_date]],"mmmm")</f>
        <v>March</v>
      </c>
      <c r="E1043" s="1">
        <v>45374</v>
      </c>
      <c r="F1043" s="1" t="str">
        <f>TEXT(Table1[[#This Row],[order_date]],"dddd")</f>
        <v>Saturday</v>
      </c>
      <c r="G1043">
        <f>HOUR(Table1[[#This Row],[order_time]])</f>
        <v>11</v>
      </c>
      <c r="H1043" s="2">
        <v>0.4861111111111111</v>
      </c>
      <c r="I1043" t="s">
        <v>16</v>
      </c>
      <c r="J1043" t="s">
        <v>23</v>
      </c>
      <c r="K1043">
        <v>5</v>
      </c>
      <c r="L1043">
        <v>30</v>
      </c>
      <c r="M1043">
        <v>150</v>
      </c>
      <c r="N1043">
        <f>IF(COUNTIFS($B$2:B1043,B1043)=1,1,0)</f>
        <v>1</v>
      </c>
    </row>
    <row r="1044" spans="1:14" x14ac:dyDescent="0.2">
      <c r="A1044">
        <v>1043</v>
      </c>
      <c r="B1044">
        <v>1521</v>
      </c>
      <c r="C1044">
        <f>1/COUNTIF(B:B,Table1[[#This Row],[order_id]])</f>
        <v>0.5</v>
      </c>
      <c r="D1044" t="str">
        <f>TEXT(Table1[[#This Row],[order_date]],"mmmm")</f>
        <v>March</v>
      </c>
      <c r="E1044" s="1">
        <v>45374</v>
      </c>
      <c r="F1044" s="1" t="str">
        <f>TEXT(Table1[[#This Row],[order_date]],"dddd")</f>
        <v>Saturday</v>
      </c>
      <c r="G1044">
        <f>HOUR(Table1[[#This Row],[order_time]])</f>
        <v>19</v>
      </c>
      <c r="H1044" s="2">
        <v>0.79604166666666665</v>
      </c>
      <c r="I1044" t="s">
        <v>11</v>
      </c>
      <c r="J1044" t="s">
        <v>14</v>
      </c>
      <c r="K1044">
        <v>1</v>
      </c>
      <c r="L1044">
        <v>700</v>
      </c>
      <c r="M1044">
        <v>700</v>
      </c>
      <c r="N1044">
        <f>IF(COUNTIFS($B$2:B1044,B1044)=1,1,0)</f>
        <v>1</v>
      </c>
    </row>
    <row r="1045" spans="1:14" x14ac:dyDescent="0.2">
      <c r="A1045">
        <v>1044</v>
      </c>
      <c r="B1045">
        <v>1521</v>
      </c>
      <c r="C1045">
        <f>1/COUNTIF(B:B,Table1[[#This Row],[order_id]])</f>
        <v>0.5</v>
      </c>
      <c r="D1045" t="str">
        <f>TEXT(Table1[[#This Row],[order_date]],"mmmm")</f>
        <v>March</v>
      </c>
      <c r="E1045" s="1">
        <v>45374</v>
      </c>
      <c r="F1045" s="1" t="str">
        <f>TEXT(Table1[[#This Row],[order_date]],"dddd")</f>
        <v>Saturday</v>
      </c>
      <c r="G1045">
        <f>HOUR(Table1[[#This Row],[order_time]])</f>
        <v>19</v>
      </c>
      <c r="H1045" s="2">
        <v>0.82327546296296295</v>
      </c>
      <c r="I1045" t="s">
        <v>16</v>
      </c>
      <c r="J1045" t="s">
        <v>28</v>
      </c>
      <c r="K1045">
        <v>5</v>
      </c>
      <c r="L1045">
        <v>25</v>
      </c>
      <c r="M1045">
        <v>125</v>
      </c>
      <c r="N1045">
        <f>IF(COUNTIFS($B$2:B1045,B1045)=1,1,0)</f>
        <v>0</v>
      </c>
    </row>
    <row r="1046" spans="1:14" x14ac:dyDescent="0.2">
      <c r="A1046">
        <v>1045</v>
      </c>
      <c r="B1046">
        <v>1522</v>
      </c>
      <c r="C1046">
        <f>1/COUNTIF(B:B,Table1[[#This Row],[order_id]])</f>
        <v>0.33333333333333331</v>
      </c>
      <c r="D1046" t="str">
        <f>TEXT(Table1[[#This Row],[order_date]],"mmmm")</f>
        <v>March</v>
      </c>
      <c r="E1046" s="1">
        <v>45374</v>
      </c>
      <c r="F1046" s="1" t="str">
        <f>TEXT(Table1[[#This Row],[order_date]],"dddd")</f>
        <v>Saturday</v>
      </c>
      <c r="G1046">
        <f>HOUR(Table1[[#This Row],[order_time]])</f>
        <v>13</v>
      </c>
      <c r="H1046" s="2">
        <v>0.55569444444444449</v>
      </c>
      <c r="I1046" t="s">
        <v>18</v>
      </c>
      <c r="J1046" t="s">
        <v>19</v>
      </c>
      <c r="K1046">
        <v>5</v>
      </c>
      <c r="L1046">
        <v>50</v>
      </c>
      <c r="M1046">
        <v>250</v>
      </c>
      <c r="N1046">
        <f>IF(COUNTIFS($B$2:B1046,B1046)=1,1,0)</f>
        <v>1</v>
      </c>
    </row>
    <row r="1047" spans="1:14" x14ac:dyDescent="0.2">
      <c r="A1047">
        <v>1046</v>
      </c>
      <c r="B1047">
        <v>1522</v>
      </c>
      <c r="C1047">
        <f>1/COUNTIF(B:B,Table1[[#This Row],[order_id]])</f>
        <v>0.33333333333333331</v>
      </c>
      <c r="D1047" t="str">
        <f>TEXT(Table1[[#This Row],[order_date]],"mmmm")</f>
        <v>March</v>
      </c>
      <c r="E1047" s="1">
        <v>45374</v>
      </c>
      <c r="F1047" s="1" t="str">
        <f>TEXT(Table1[[#This Row],[order_date]],"dddd")</f>
        <v>Saturday</v>
      </c>
      <c r="G1047">
        <f>HOUR(Table1[[#This Row],[order_time]])</f>
        <v>20</v>
      </c>
      <c r="H1047" s="2">
        <v>0.83885416666666668</v>
      </c>
      <c r="I1047" t="s">
        <v>9</v>
      </c>
      <c r="J1047" t="s">
        <v>22</v>
      </c>
      <c r="K1047">
        <v>5</v>
      </c>
      <c r="L1047">
        <v>15</v>
      </c>
      <c r="M1047">
        <v>75</v>
      </c>
      <c r="N1047">
        <f>IF(COUNTIFS($B$2:B1047,B1047)=1,1,0)</f>
        <v>0</v>
      </c>
    </row>
    <row r="1048" spans="1:14" x14ac:dyDescent="0.2">
      <c r="A1048">
        <v>1047</v>
      </c>
      <c r="B1048">
        <v>1522</v>
      </c>
      <c r="C1048">
        <f>1/COUNTIF(B:B,Table1[[#This Row],[order_id]])</f>
        <v>0.33333333333333331</v>
      </c>
      <c r="D1048" t="str">
        <f>TEXT(Table1[[#This Row],[order_date]],"mmmm")</f>
        <v>March</v>
      </c>
      <c r="E1048" s="1">
        <v>45374</v>
      </c>
      <c r="F1048" s="1" t="str">
        <f>TEXT(Table1[[#This Row],[order_date]],"dddd")</f>
        <v>Saturday</v>
      </c>
      <c r="G1048">
        <f>HOUR(Table1[[#This Row],[order_time]])</f>
        <v>13</v>
      </c>
      <c r="H1048" s="2">
        <v>0.57222222222222219</v>
      </c>
      <c r="I1048" t="s">
        <v>16</v>
      </c>
      <c r="J1048" t="s">
        <v>24</v>
      </c>
      <c r="K1048">
        <v>1</v>
      </c>
      <c r="L1048">
        <v>35</v>
      </c>
      <c r="M1048">
        <v>35</v>
      </c>
      <c r="N1048">
        <f>IF(COUNTIFS($B$2:B1048,B1048)=1,1,0)</f>
        <v>0</v>
      </c>
    </row>
    <row r="1049" spans="1:14" x14ac:dyDescent="0.2">
      <c r="A1049">
        <v>1048</v>
      </c>
      <c r="B1049">
        <v>1523</v>
      </c>
      <c r="C1049">
        <f>1/COUNTIF(B:B,Table1[[#This Row],[order_id]])</f>
        <v>0.33333333333333331</v>
      </c>
      <c r="D1049" t="str">
        <f>TEXT(Table1[[#This Row],[order_date]],"mmmm")</f>
        <v>March</v>
      </c>
      <c r="E1049" s="1">
        <v>45374</v>
      </c>
      <c r="F1049" s="1" t="str">
        <f>TEXT(Table1[[#This Row],[order_date]],"dddd")</f>
        <v>Saturday</v>
      </c>
      <c r="G1049">
        <f>HOUR(Table1[[#This Row],[order_time]])</f>
        <v>18</v>
      </c>
      <c r="H1049" s="2">
        <v>0.79043981481481485</v>
      </c>
      <c r="I1049" t="s">
        <v>9</v>
      </c>
      <c r="J1049" t="s">
        <v>21</v>
      </c>
      <c r="K1049">
        <v>5</v>
      </c>
      <c r="L1049">
        <v>10</v>
      </c>
      <c r="M1049">
        <v>50</v>
      </c>
      <c r="N1049">
        <f>IF(COUNTIFS($B$2:B1049,B1049)=1,1,0)</f>
        <v>1</v>
      </c>
    </row>
    <row r="1050" spans="1:14" x14ac:dyDescent="0.2">
      <c r="A1050">
        <v>1049</v>
      </c>
      <c r="B1050">
        <v>1523</v>
      </c>
      <c r="C1050">
        <f>1/COUNTIF(B:B,Table1[[#This Row],[order_id]])</f>
        <v>0.33333333333333331</v>
      </c>
      <c r="D1050" t="str">
        <f>TEXT(Table1[[#This Row],[order_date]],"mmmm")</f>
        <v>March</v>
      </c>
      <c r="E1050" s="1">
        <v>45374</v>
      </c>
      <c r="F1050" s="1" t="str">
        <f>TEXT(Table1[[#This Row],[order_date]],"dddd")</f>
        <v>Saturday</v>
      </c>
      <c r="G1050">
        <f>HOUR(Table1[[#This Row],[order_time]])</f>
        <v>10</v>
      </c>
      <c r="H1050" s="2">
        <v>0.43760416666666668</v>
      </c>
      <c r="I1050" t="s">
        <v>16</v>
      </c>
      <c r="J1050" t="s">
        <v>24</v>
      </c>
      <c r="K1050">
        <v>1</v>
      </c>
      <c r="L1050">
        <v>35</v>
      </c>
      <c r="M1050">
        <v>35</v>
      </c>
      <c r="N1050">
        <f>IF(COUNTIFS($B$2:B1050,B1050)=1,1,0)</f>
        <v>0</v>
      </c>
    </row>
    <row r="1051" spans="1:14" x14ac:dyDescent="0.2">
      <c r="A1051">
        <v>1050</v>
      </c>
      <c r="B1051">
        <v>1523</v>
      </c>
      <c r="C1051">
        <f>1/COUNTIF(B:B,Table1[[#This Row],[order_id]])</f>
        <v>0.33333333333333331</v>
      </c>
      <c r="D1051" t="str">
        <f>TEXT(Table1[[#This Row],[order_date]],"mmmm")</f>
        <v>March</v>
      </c>
      <c r="E1051" s="1">
        <v>45374</v>
      </c>
      <c r="F1051" s="1" t="str">
        <f>TEXT(Table1[[#This Row],[order_date]],"dddd")</f>
        <v>Saturday</v>
      </c>
      <c r="G1051">
        <f>HOUR(Table1[[#This Row],[order_time]])</f>
        <v>17</v>
      </c>
      <c r="H1051" s="2">
        <v>0.74671296296296297</v>
      </c>
      <c r="I1051" t="s">
        <v>9</v>
      </c>
      <c r="J1051" t="s">
        <v>10</v>
      </c>
      <c r="K1051">
        <v>1</v>
      </c>
      <c r="L1051">
        <v>20</v>
      </c>
      <c r="M1051">
        <v>20</v>
      </c>
      <c r="N1051">
        <f>IF(COUNTIFS($B$2:B1051,B1051)=1,1,0)</f>
        <v>0</v>
      </c>
    </row>
    <row r="1052" spans="1:14" x14ac:dyDescent="0.2">
      <c r="A1052">
        <v>1051</v>
      </c>
      <c r="B1052">
        <v>1524</v>
      </c>
      <c r="C1052">
        <f>1/COUNTIF(B:B,Table1[[#This Row],[order_id]])</f>
        <v>0.5</v>
      </c>
      <c r="D1052" t="str">
        <f>TEXT(Table1[[#This Row],[order_date]],"mmmm")</f>
        <v>March</v>
      </c>
      <c r="E1052" s="1">
        <v>45375</v>
      </c>
      <c r="F1052" s="1" t="str">
        <f>TEXT(Table1[[#This Row],[order_date]],"dddd")</f>
        <v>Sunday</v>
      </c>
      <c r="G1052">
        <f>HOUR(Table1[[#This Row],[order_time]])</f>
        <v>9</v>
      </c>
      <c r="H1052" s="2">
        <v>0.38907407407407407</v>
      </c>
      <c r="I1052" t="s">
        <v>11</v>
      </c>
      <c r="J1052" t="s">
        <v>15</v>
      </c>
      <c r="K1052">
        <v>1</v>
      </c>
      <c r="L1052">
        <v>600</v>
      </c>
      <c r="M1052">
        <v>600</v>
      </c>
      <c r="N1052">
        <f>IF(COUNTIFS($B$2:B1052,B1052)=1,1,0)</f>
        <v>1</v>
      </c>
    </row>
    <row r="1053" spans="1:14" x14ac:dyDescent="0.2">
      <c r="A1053">
        <v>1052</v>
      </c>
      <c r="B1053">
        <v>1524</v>
      </c>
      <c r="C1053">
        <f>1/COUNTIF(B:B,Table1[[#This Row],[order_id]])</f>
        <v>0.5</v>
      </c>
      <c r="D1053" t="str">
        <f>TEXT(Table1[[#This Row],[order_date]],"mmmm")</f>
        <v>March</v>
      </c>
      <c r="E1053" s="1">
        <v>45375</v>
      </c>
      <c r="F1053" s="1" t="str">
        <f>TEXT(Table1[[#This Row],[order_date]],"dddd")</f>
        <v>Sunday</v>
      </c>
      <c r="G1053">
        <f>HOUR(Table1[[#This Row],[order_time]])</f>
        <v>11</v>
      </c>
      <c r="H1053" s="2">
        <v>0.46579861111111109</v>
      </c>
      <c r="I1053" t="s">
        <v>18</v>
      </c>
      <c r="J1053" t="s">
        <v>26</v>
      </c>
      <c r="K1053">
        <v>2</v>
      </c>
      <c r="L1053">
        <v>55</v>
      </c>
      <c r="M1053">
        <v>110</v>
      </c>
      <c r="N1053">
        <f>IF(COUNTIFS($B$2:B1053,B1053)=1,1,0)</f>
        <v>0</v>
      </c>
    </row>
    <row r="1054" spans="1:14" x14ac:dyDescent="0.2">
      <c r="A1054">
        <v>1053</v>
      </c>
      <c r="B1054">
        <v>1525</v>
      </c>
      <c r="C1054">
        <f>1/COUNTIF(B:B,Table1[[#This Row],[order_id]])</f>
        <v>0.5</v>
      </c>
      <c r="D1054" t="str">
        <f>TEXT(Table1[[#This Row],[order_date]],"mmmm")</f>
        <v>March</v>
      </c>
      <c r="E1054" s="1">
        <v>45375</v>
      </c>
      <c r="F1054" s="1" t="str">
        <f>TEXT(Table1[[#This Row],[order_date]],"dddd")</f>
        <v>Sunday</v>
      </c>
      <c r="G1054">
        <f>HOUR(Table1[[#This Row],[order_time]])</f>
        <v>12</v>
      </c>
      <c r="H1054" s="2">
        <v>0.50657407407407407</v>
      </c>
      <c r="I1054" t="s">
        <v>11</v>
      </c>
      <c r="J1054" t="s">
        <v>25</v>
      </c>
      <c r="K1054">
        <v>2</v>
      </c>
      <c r="L1054">
        <v>1000</v>
      </c>
      <c r="M1054">
        <v>2000</v>
      </c>
      <c r="N1054">
        <f>IF(COUNTIFS($B$2:B1054,B1054)=1,1,0)</f>
        <v>1</v>
      </c>
    </row>
    <row r="1055" spans="1:14" x14ac:dyDescent="0.2">
      <c r="A1055">
        <v>1054</v>
      </c>
      <c r="B1055">
        <v>1525</v>
      </c>
      <c r="C1055">
        <f>1/COUNTIF(B:B,Table1[[#This Row],[order_id]])</f>
        <v>0.5</v>
      </c>
      <c r="D1055" t="str">
        <f>TEXT(Table1[[#This Row],[order_date]],"mmmm")</f>
        <v>March</v>
      </c>
      <c r="E1055" s="1">
        <v>45375</v>
      </c>
      <c r="F1055" s="1" t="str">
        <f>TEXT(Table1[[#This Row],[order_date]],"dddd")</f>
        <v>Sunday</v>
      </c>
      <c r="G1055">
        <f>HOUR(Table1[[#This Row],[order_time]])</f>
        <v>19</v>
      </c>
      <c r="H1055" s="2">
        <v>0.81993055555555561</v>
      </c>
      <c r="I1055" t="s">
        <v>18</v>
      </c>
      <c r="J1055" t="s">
        <v>30</v>
      </c>
      <c r="K1055">
        <v>3</v>
      </c>
      <c r="L1055">
        <v>60</v>
      </c>
      <c r="M1055">
        <v>180</v>
      </c>
      <c r="N1055">
        <f>IF(COUNTIFS($B$2:B1055,B1055)=1,1,0)</f>
        <v>0</v>
      </c>
    </row>
    <row r="1056" spans="1:14" x14ac:dyDescent="0.2">
      <c r="A1056">
        <v>1055</v>
      </c>
      <c r="B1056">
        <v>1526</v>
      </c>
      <c r="C1056">
        <f>1/COUNTIF(B:B,Table1[[#This Row],[order_id]])</f>
        <v>0.5</v>
      </c>
      <c r="D1056" t="str">
        <f>TEXT(Table1[[#This Row],[order_date]],"mmmm")</f>
        <v>March</v>
      </c>
      <c r="E1056" s="1">
        <v>45375</v>
      </c>
      <c r="F1056" s="1" t="str">
        <f>TEXT(Table1[[#This Row],[order_date]],"dddd")</f>
        <v>Sunday</v>
      </c>
      <c r="G1056">
        <f>HOUR(Table1[[#This Row],[order_time]])</f>
        <v>18</v>
      </c>
      <c r="H1056" s="2">
        <v>0.78973379629629625</v>
      </c>
      <c r="I1056" t="s">
        <v>9</v>
      </c>
      <c r="J1056" t="s">
        <v>22</v>
      </c>
      <c r="K1056">
        <v>5</v>
      </c>
      <c r="L1056">
        <v>15</v>
      </c>
      <c r="M1056">
        <v>75</v>
      </c>
      <c r="N1056">
        <f>IF(COUNTIFS($B$2:B1056,B1056)=1,1,0)</f>
        <v>1</v>
      </c>
    </row>
    <row r="1057" spans="1:14" x14ac:dyDescent="0.2">
      <c r="A1057">
        <v>1056</v>
      </c>
      <c r="B1057">
        <v>1526</v>
      </c>
      <c r="C1057">
        <f>1/COUNTIF(B:B,Table1[[#This Row],[order_id]])</f>
        <v>0.5</v>
      </c>
      <c r="D1057" t="str">
        <f>TEXT(Table1[[#This Row],[order_date]],"mmmm")</f>
        <v>March</v>
      </c>
      <c r="E1057" s="1">
        <v>45375</v>
      </c>
      <c r="F1057" s="1" t="str">
        <f>TEXT(Table1[[#This Row],[order_date]],"dddd")</f>
        <v>Sunday</v>
      </c>
      <c r="G1057">
        <f>HOUR(Table1[[#This Row],[order_time]])</f>
        <v>19</v>
      </c>
      <c r="H1057" s="2">
        <v>0.8039236111111111</v>
      </c>
      <c r="I1057" t="s">
        <v>11</v>
      </c>
      <c r="J1057" t="s">
        <v>13</v>
      </c>
      <c r="K1057">
        <v>4</v>
      </c>
      <c r="L1057">
        <v>680</v>
      </c>
      <c r="M1057">
        <v>2720</v>
      </c>
      <c r="N1057">
        <f>IF(COUNTIFS($B$2:B1057,B1057)=1,1,0)</f>
        <v>0</v>
      </c>
    </row>
    <row r="1058" spans="1:14" x14ac:dyDescent="0.2">
      <c r="A1058">
        <v>1057</v>
      </c>
      <c r="B1058">
        <v>1527</v>
      </c>
      <c r="C1058">
        <f>1/COUNTIF(B:B,Table1[[#This Row],[order_id]])</f>
        <v>0.33333333333333331</v>
      </c>
      <c r="D1058" t="str">
        <f>TEXT(Table1[[#This Row],[order_date]],"mmmm")</f>
        <v>March</v>
      </c>
      <c r="E1058" s="1">
        <v>45375</v>
      </c>
      <c r="F1058" s="1" t="str">
        <f>TEXT(Table1[[#This Row],[order_date]],"dddd")</f>
        <v>Sunday</v>
      </c>
      <c r="G1058">
        <f>HOUR(Table1[[#This Row],[order_time]])</f>
        <v>11</v>
      </c>
      <c r="H1058" s="2">
        <v>0.49606481481481479</v>
      </c>
      <c r="I1058" t="s">
        <v>11</v>
      </c>
      <c r="J1058" t="s">
        <v>12</v>
      </c>
      <c r="K1058">
        <v>2</v>
      </c>
      <c r="L1058">
        <v>650</v>
      </c>
      <c r="M1058">
        <v>1300</v>
      </c>
      <c r="N1058">
        <f>IF(COUNTIFS($B$2:B1058,B1058)=1,1,0)</f>
        <v>1</v>
      </c>
    </row>
    <row r="1059" spans="1:14" x14ac:dyDescent="0.2">
      <c r="A1059">
        <v>1058</v>
      </c>
      <c r="B1059">
        <v>1527</v>
      </c>
      <c r="C1059">
        <f>1/COUNTIF(B:B,Table1[[#This Row],[order_id]])</f>
        <v>0.33333333333333331</v>
      </c>
      <c r="D1059" t="str">
        <f>TEXT(Table1[[#This Row],[order_date]],"mmmm")</f>
        <v>March</v>
      </c>
      <c r="E1059" s="1">
        <v>45375</v>
      </c>
      <c r="F1059" s="1" t="str">
        <f>TEXT(Table1[[#This Row],[order_date]],"dddd")</f>
        <v>Sunday</v>
      </c>
      <c r="G1059">
        <f>HOUR(Table1[[#This Row],[order_time]])</f>
        <v>19</v>
      </c>
      <c r="H1059" s="2">
        <v>0.80473379629629627</v>
      </c>
      <c r="I1059" t="s">
        <v>18</v>
      </c>
      <c r="J1059" t="s">
        <v>27</v>
      </c>
      <c r="K1059">
        <v>4</v>
      </c>
      <c r="L1059">
        <v>40</v>
      </c>
      <c r="M1059">
        <v>160</v>
      </c>
      <c r="N1059">
        <f>IF(COUNTIFS($B$2:B1059,B1059)=1,1,0)</f>
        <v>0</v>
      </c>
    </row>
    <row r="1060" spans="1:14" x14ac:dyDescent="0.2">
      <c r="A1060">
        <v>1059</v>
      </c>
      <c r="B1060">
        <v>1527</v>
      </c>
      <c r="C1060">
        <f>1/COUNTIF(B:B,Table1[[#This Row],[order_id]])</f>
        <v>0.33333333333333331</v>
      </c>
      <c r="D1060" t="str">
        <f>TEXT(Table1[[#This Row],[order_date]],"mmmm")</f>
        <v>March</v>
      </c>
      <c r="E1060" s="1">
        <v>45375</v>
      </c>
      <c r="F1060" s="1" t="str">
        <f>TEXT(Table1[[#This Row],[order_date]],"dddd")</f>
        <v>Sunday</v>
      </c>
      <c r="G1060">
        <f>HOUR(Table1[[#This Row],[order_time]])</f>
        <v>16</v>
      </c>
      <c r="H1060" s="2">
        <v>0.66972222222222222</v>
      </c>
      <c r="I1060" t="s">
        <v>18</v>
      </c>
      <c r="J1060" t="s">
        <v>19</v>
      </c>
      <c r="K1060">
        <v>4</v>
      </c>
      <c r="L1060">
        <v>50</v>
      </c>
      <c r="M1060">
        <v>200</v>
      </c>
      <c r="N1060">
        <f>IF(COUNTIFS($B$2:B1060,B1060)=1,1,0)</f>
        <v>0</v>
      </c>
    </row>
    <row r="1061" spans="1:14" x14ac:dyDescent="0.2">
      <c r="A1061">
        <v>1060</v>
      </c>
      <c r="B1061">
        <v>1528</v>
      </c>
      <c r="C1061">
        <f>1/COUNTIF(B:B,Table1[[#This Row],[order_id]])</f>
        <v>0.5</v>
      </c>
      <c r="D1061" t="str">
        <f>TEXT(Table1[[#This Row],[order_date]],"mmmm")</f>
        <v>March</v>
      </c>
      <c r="E1061" s="1">
        <v>45375</v>
      </c>
      <c r="F1061" s="1" t="str">
        <f>TEXT(Table1[[#This Row],[order_date]],"dddd")</f>
        <v>Sunday</v>
      </c>
      <c r="G1061">
        <f>HOUR(Table1[[#This Row],[order_time]])</f>
        <v>10</v>
      </c>
      <c r="H1061" s="2">
        <v>0.42942129629629627</v>
      </c>
      <c r="I1061" t="s">
        <v>11</v>
      </c>
      <c r="J1061" t="s">
        <v>12</v>
      </c>
      <c r="K1061">
        <v>3</v>
      </c>
      <c r="L1061">
        <v>650</v>
      </c>
      <c r="M1061">
        <v>1950</v>
      </c>
      <c r="N1061">
        <f>IF(COUNTIFS($B$2:B1061,B1061)=1,1,0)</f>
        <v>1</v>
      </c>
    </row>
    <row r="1062" spans="1:14" x14ac:dyDescent="0.2">
      <c r="A1062">
        <v>1061</v>
      </c>
      <c r="B1062">
        <v>1528</v>
      </c>
      <c r="C1062">
        <f>1/COUNTIF(B:B,Table1[[#This Row],[order_id]])</f>
        <v>0.5</v>
      </c>
      <c r="D1062" t="str">
        <f>TEXT(Table1[[#This Row],[order_date]],"mmmm")</f>
        <v>March</v>
      </c>
      <c r="E1062" s="1">
        <v>45375</v>
      </c>
      <c r="F1062" s="1" t="str">
        <f>TEXT(Table1[[#This Row],[order_date]],"dddd")</f>
        <v>Sunday</v>
      </c>
      <c r="G1062">
        <f>HOUR(Table1[[#This Row],[order_time]])</f>
        <v>15</v>
      </c>
      <c r="H1062" s="2">
        <v>0.62662037037037033</v>
      </c>
      <c r="I1062" t="s">
        <v>11</v>
      </c>
      <c r="J1062" t="s">
        <v>13</v>
      </c>
      <c r="K1062">
        <v>2</v>
      </c>
      <c r="L1062">
        <v>680</v>
      </c>
      <c r="M1062">
        <v>1360</v>
      </c>
      <c r="N1062">
        <f>IF(COUNTIFS($B$2:B1062,B1062)=1,1,0)</f>
        <v>0</v>
      </c>
    </row>
    <row r="1063" spans="1:14" x14ac:dyDescent="0.2">
      <c r="A1063">
        <v>1062</v>
      </c>
      <c r="B1063">
        <v>1529</v>
      </c>
      <c r="C1063">
        <f>1/COUNTIF(B:B,Table1[[#This Row],[order_id]])</f>
        <v>0.5</v>
      </c>
      <c r="D1063" t="str">
        <f>TEXT(Table1[[#This Row],[order_date]],"mmmm")</f>
        <v>March</v>
      </c>
      <c r="E1063" s="1">
        <v>45375</v>
      </c>
      <c r="F1063" s="1" t="str">
        <f>TEXT(Table1[[#This Row],[order_date]],"dddd")</f>
        <v>Sunday</v>
      </c>
      <c r="G1063">
        <f>HOUR(Table1[[#This Row],[order_time]])</f>
        <v>14</v>
      </c>
      <c r="H1063" s="2">
        <v>0.59900462962962964</v>
      </c>
      <c r="I1063" t="s">
        <v>18</v>
      </c>
      <c r="J1063" t="s">
        <v>31</v>
      </c>
      <c r="K1063">
        <v>3</v>
      </c>
      <c r="L1063">
        <v>45</v>
      </c>
      <c r="M1063">
        <v>135</v>
      </c>
      <c r="N1063">
        <f>IF(COUNTIFS($B$2:B1063,B1063)=1,1,0)</f>
        <v>1</v>
      </c>
    </row>
    <row r="1064" spans="1:14" x14ac:dyDescent="0.2">
      <c r="A1064">
        <v>1063</v>
      </c>
      <c r="B1064">
        <v>1529</v>
      </c>
      <c r="C1064">
        <f>1/COUNTIF(B:B,Table1[[#This Row],[order_id]])</f>
        <v>0.5</v>
      </c>
      <c r="D1064" t="str">
        <f>TEXT(Table1[[#This Row],[order_date]],"mmmm")</f>
        <v>March</v>
      </c>
      <c r="E1064" s="1">
        <v>45375</v>
      </c>
      <c r="F1064" s="1" t="str">
        <f>TEXT(Table1[[#This Row],[order_date]],"dddd")</f>
        <v>Sunday</v>
      </c>
      <c r="G1064">
        <f>HOUR(Table1[[#This Row],[order_time]])</f>
        <v>10</v>
      </c>
      <c r="H1064" s="2">
        <v>0.44927083333333334</v>
      </c>
      <c r="I1064" t="s">
        <v>11</v>
      </c>
      <c r="J1064" t="s">
        <v>25</v>
      </c>
      <c r="K1064">
        <v>5</v>
      </c>
      <c r="L1064">
        <v>1000</v>
      </c>
      <c r="M1064">
        <v>5000</v>
      </c>
      <c r="N1064">
        <f>IF(COUNTIFS($B$2:B1064,B1064)=1,1,0)</f>
        <v>0</v>
      </c>
    </row>
    <row r="1065" spans="1:14" x14ac:dyDescent="0.2">
      <c r="A1065">
        <v>1064</v>
      </c>
      <c r="B1065">
        <v>1530</v>
      </c>
      <c r="C1065">
        <f>1/COUNTIF(B:B,Table1[[#This Row],[order_id]])</f>
        <v>0.33333333333333331</v>
      </c>
      <c r="D1065" t="str">
        <f>TEXT(Table1[[#This Row],[order_date]],"mmmm")</f>
        <v>March</v>
      </c>
      <c r="E1065" s="1">
        <v>45375</v>
      </c>
      <c r="F1065" s="1" t="str">
        <f>TEXT(Table1[[#This Row],[order_date]],"dddd")</f>
        <v>Sunday</v>
      </c>
      <c r="G1065">
        <f>HOUR(Table1[[#This Row],[order_time]])</f>
        <v>16</v>
      </c>
      <c r="H1065" s="2">
        <v>0.68730324074074078</v>
      </c>
      <c r="I1065" t="s">
        <v>9</v>
      </c>
      <c r="J1065" t="s">
        <v>22</v>
      </c>
      <c r="K1065">
        <v>3</v>
      </c>
      <c r="L1065">
        <v>15</v>
      </c>
      <c r="M1065">
        <v>45</v>
      </c>
      <c r="N1065">
        <f>IF(COUNTIFS($B$2:B1065,B1065)=1,1,0)</f>
        <v>1</v>
      </c>
    </row>
    <row r="1066" spans="1:14" x14ac:dyDescent="0.2">
      <c r="A1066">
        <v>1065</v>
      </c>
      <c r="B1066">
        <v>1530</v>
      </c>
      <c r="C1066">
        <f>1/COUNTIF(B:B,Table1[[#This Row],[order_id]])</f>
        <v>0.33333333333333331</v>
      </c>
      <c r="D1066" t="str">
        <f>TEXT(Table1[[#This Row],[order_date]],"mmmm")</f>
        <v>March</v>
      </c>
      <c r="E1066" s="1">
        <v>45375</v>
      </c>
      <c r="F1066" s="1" t="str">
        <f>TEXT(Table1[[#This Row],[order_date]],"dddd")</f>
        <v>Sunday</v>
      </c>
      <c r="G1066">
        <f>HOUR(Table1[[#This Row],[order_time]])</f>
        <v>18</v>
      </c>
      <c r="H1066" s="2">
        <v>0.76585648148148144</v>
      </c>
      <c r="I1066" t="s">
        <v>11</v>
      </c>
      <c r="J1066" t="s">
        <v>14</v>
      </c>
      <c r="K1066">
        <v>5</v>
      </c>
      <c r="L1066">
        <v>700</v>
      </c>
      <c r="M1066">
        <v>3500</v>
      </c>
      <c r="N1066">
        <f>IF(COUNTIFS($B$2:B1066,B1066)=1,1,0)</f>
        <v>0</v>
      </c>
    </row>
    <row r="1067" spans="1:14" x14ac:dyDescent="0.2">
      <c r="A1067">
        <v>1066</v>
      </c>
      <c r="B1067">
        <v>1530</v>
      </c>
      <c r="C1067">
        <f>1/COUNTIF(B:B,Table1[[#This Row],[order_id]])</f>
        <v>0.33333333333333331</v>
      </c>
      <c r="D1067" t="str">
        <f>TEXT(Table1[[#This Row],[order_date]],"mmmm")</f>
        <v>March</v>
      </c>
      <c r="E1067" s="1">
        <v>45375</v>
      </c>
      <c r="F1067" s="1" t="str">
        <f>TEXT(Table1[[#This Row],[order_date]],"dddd")</f>
        <v>Sunday</v>
      </c>
      <c r="G1067">
        <f>HOUR(Table1[[#This Row],[order_time]])</f>
        <v>10</v>
      </c>
      <c r="H1067" s="2">
        <v>0.42208333333333331</v>
      </c>
      <c r="I1067" t="s">
        <v>11</v>
      </c>
      <c r="J1067" t="s">
        <v>12</v>
      </c>
      <c r="K1067">
        <v>5</v>
      </c>
      <c r="L1067">
        <v>650</v>
      </c>
      <c r="M1067">
        <v>3250</v>
      </c>
      <c r="N1067">
        <f>IF(COUNTIFS($B$2:B1067,B1067)=1,1,0)</f>
        <v>0</v>
      </c>
    </row>
    <row r="1068" spans="1:14" x14ac:dyDescent="0.2">
      <c r="A1068">
        <v>1067</v>
      </c>
      <c r="B1068">
        <v>1531</v>
      </c>
      <c r="C1068">
        <f>1/COUNTIF(B:B,Table1[[#This Row],[order_id]])</f>
        <v>1</v>
      </c>
      <c r="D1068" t="str">
        <f>TEXT(Table1[[#This Row],[order_date]],"mmmm")</f>
        <v>March</v>
      </c>
      <c r="E1068" s="1">
        <v>45375</v>
      </c>
      <c r="F1068" s="1" t="str">
        <f>TEXT(Table1[[#This Row],[order_date]],"dddd")</f>
        <v>Sunday</v>
      </c>
      <c r="G1068">
        <f>HOUR(Table1[[#This Row],[order_time]])</f>
        <v>12</v>
      </c>
      <c r="H1068" s="2">
        <v>0.50679398148148147</v>
      </c>
      <c r="I1068" t="s">
        <v>18</v>
      </c>
      <c r="J1068" t="s">
        <v>26</v>
      </c>
      <c r="K1068">
        <v>5</v>
      </c>
      <c r="L1068">
        <v>55</v>
      </c>
      <c r="M1068">
        <v>275</v>
      </c>
      <c r="N1068">
        <f>IF(COUNTIFS($B$2:B1068,B1068)=1,1,0)</f>
        <v>1</v>
      </c>
    </row>
    <row r="1069" spans="1:14" x14ac:dyDescent="0.2">
      <c r="A1069">
        <v>1068</v>
      </c>
      <c r="B1069">
        <v>1532</v>
      </c>
      <c r="C1069">
        <f>1/COUNTIF(B:B,Table1[[#This Row],[order_id]])</f>
        <v>1</v>
      </c>
      <c r="D1069" t="str">
        <f>TEXT(Table1[[#This Row],[order_date]],"mmmm")</f>
        <v>March</v>
      </c>
      <c r="E1069" s="1">
        <v>45375</v>
      </c>
      <c r="F1069" s="1" t="str">
        <f>TEXT(Table1[[#This Row],[order_date]],"dddd")</f>
        <v>Sunday</v>
      </c>
      <c r="G1069">
        <f>HOUR(Table1[[#This Row],[order_time]])</f>
        <v>10</v>
      </c>
      <c r="H1069" s="2">
        <v>0.4569212962962963</v>
      </c>
      <c r="I1069" t="s">
        <v>18</v>
      </c>
      <c r="J1069" t="s">
        <v>26</v>
      </c>
      <c r="K1069">
        <v>4</v>
      </c>
      <c r="L1069">
        <v>55</v>
      </c>
      <c r="M1069">
        <v>220</v>
      </c>
      <c r="N1069">
        <f>IF(COUNTIFS($B$2:B1069,B1069)=1,1,0)</f>
        <v>1</v>
      </c>
    </row>
    <row r="1070" spans="1:14" x14ac:dyDescent="0.2">
      <c r="A1070">
        <v>1069</v>
      </c>
      <c r="B1070">
        <v>1533</v>
      </c>
      <c r="C1070">
        <f>1/COUNTIF(B:B,Table1[[#This Row],[order_id]])</f>
        <v>0.33333333333333331</v>
      </c>
      <c r="D1070" t="str">
        <f>TEXT(Table1[[#This Row],[order_date]],"mmmm")</f>
        <v>March</v>
      </c>
      <c r="E1070" s="1">
        <v>45375</v>
      </c>
      <c r="F1070" s="1" t="str">
        <f>TEXT(Table1[[#This Row],[order_date]],"dddd")</f>
        <v>Sunday</v>
      </c>
      <c r="G1070">
        <f>HOUR(Table1[[#This Row],[order_time]])</f>
        <v>14</v>
      </c>
      <c r="H1070" s="2">
        <v>0.58736111111111111</v>
      </c>
      <c r="I1070" t="s">
        <v>16</v>
      </c>
      <c r="J1070" t="s">
        <v>24</v>
      </c>
      <c r="K1070">
        <v>2</v>
      </c>
      <c r="L1070">
        <v>35</v>
      </c>
      <c r="M1070">
        <v>70</v>
      </c>
      <c r="N1070">
        <f>IF(COUNTIFS($B$2:B1070,B1070)=1,1,0)</f>
        <v>1</v>
      </c>
    </row>
    <row r="1071" spans="1:14" x14ac:dyDescent="0.2">
      <c r="A1071">
        <v>1070</v>
      </c>
      <c r="B1071">
        <v>1533</v>
      </c>
      <c r="C1071">
        <f>1/COUNTIF(B:B,Table1[[#This Row],[order_id]])</f>
        <v>0.33333333333333331</v>
      </c>
      <c r="D1071" t="str">
        <f>TEXT(Table1[[#This Row],[order_date]],"mmmm")</f>
        <v>March</v>
      </c>
      <c r="E1071" s="1">
        <v>45375</v>
      </c>
      <c r="F1071" s="1" t="str">
        <f>TEXT(Table1[[#This Row],[order_date]],"dddd")</f>
        <v>Sunday</v>
      </c>
      <c r="G1071">
        <f>HOUR(Table1[[#This Row],[order_time]])</f>
        <v>19</v>
      </c>
      <c r="H1071" s="2">
        <v>0.79246527777777775</v>
      </c>
      <c r="I1071" t="s">
        <v>16</v>
      </c>
      <c r="J1071" t="s">
        <v>28</v>
      </c>
      <c r="K1071">
        <v>1</v>
      </c>
      <c r="L1071">
        <v>25</v>
      </c>
      <c r="M1071">
        <v>25</v>
      </c>
      <c r="N1071">
        <f>IF(COUNTIFS($B$2:B1071,B1071)=1,1,0)</f>
        <v>0</v>
      </c>
    </row>
    <row r="1072" spans="1:14" x14ac:dyDescent="0.2">
      <c r="A1072">
        <v>1071</v>
      </c>
      <c r="B1072">
        <v>1533</v>
      </c>
      <c r="C1072">
        <f>1/COUNTIF(B:B,Table1[[#This Row],[order_id]])</f>
        <v>0.33333333333333331</v>
      </c>
      <c r="D1072" t="str">
        <f>TEXT(Table1[[#This Row],[order_date]],"mmmm")</f>
        <v>March</v>
      </c>
      <c r="E1072" s="1">
        <v>45375</v>
      </c>
      <c r="F1072" s="1" t="str">
        <f>TEXT(Table1[[#This Row],[order_date]],"dddd")</f>
        <v>Sunday</v>
      </c>
      <c r="G1072">
        <f>HOUR(Table1[[#This Row],[order_time]])</f>
        <v>11</v>
      </c>
      <c r="H1072" s="2">
        <v>0.4773148148148148</v>
      </c>
      <c r="I1072" t="s">
        <v>18</v>
      </c>
      <c r="J1072" t="s">
        <v>19</v>
      </c>
      <c r="K1072">
        <v>1</v>
      </c>
      <c r="L1072">
        <v>50</v>
      </c>
      <c r="M1072">
        <v>50</v>
      </c>
      <c r="N1072">
        <f>IF(COUNTIFS($B$2:B1072,B1072)=1,1,0)</f>
        <v>0</v>
      </c>
    </row>
    <row r="1073" spans="1:14" x14ac:dyDescent="0.2">
      <c r="A1073">
        <v>1072</v>
      </c>
      <c r="B1073">
        <v>1534</v>
      </c>
      <c r="C1073">
        <f>1/COUNTIF(B:B,Table1[[#This Row],[order_id]])</f>
        <v>0.33333333333333331</v>
      </c>
      <c r="D1073" t="str">
        <f>TEXT(Table1[[#This Row],[order_date]],"mmmm")</f>
        <v>March</v>
      </c>
      <c r="E1073" s="1">
        <v>45376</v>
      </c>
      <c r="F1073" s="1" t="str">
        <f>TEXT(Table1[[#This Row],[order_date]],"dddd")</f>
        <v>Monday</v>
      </c>
      <c r="G1073">
        <f>HOUR(Table1[[#This Row],[order_time]])</f>
        <v>16</v>
      </c>
      <c r="H1073" s="2">
        <v>0.67975694444444446</v>
      </c>
      <c r="I1073" t="s">
        <v>9</v>
      </c>
      <c r="J1073" t="s">
        <v>29</v>
      </c>
      <c r="K1073">
        <v>1</v>
      </c>
      <c r="L1073">
        <v>5</v>
      </c>
      <c r="M1073">
        <v>5</v>
      </c>
      <c r="N1073">
        <f>IF(COUNTIFS($B$2:B1073,B1073)=1,1,0)</f>
        <v>1</v>
      </c>
    </row>
    <row r="1074" spans="1:14" x14ac:dyDescent="0.2">
      <c r="A1074">
        <v>1073</v>
      </c>
      <c r="B1074">
        <v>1534</v>
      </c>
      <c r="C1074">
        <f>1/COUNTIF(B:B,Table1[[#This Row],[order_id]])</f>
        <v>0.33333333333333331</v>
      </c>
      <c r="D1074" t="str">
        <f>TEXT(Table1[[#This Row],[order_date]],"mmmm")</f>
        <v>March</v>
      </c>
      <c r="E1074" s="1">
        <v>45376</v>
      </c>
      <c r="F1074" s="1" t="str">
        <f>TEXT(Table1[[#This Row],[order_date]],"dddd")</f>
        <v>Monday</v>
      </c>
      <c r="G1074">
        <f>HOUR(Table1[[#This Row],[order_time]])</f>
        <v>14</v>
      </c>
      <c r="H1074" s="2">
        <v>0.59482638888888884</v>
      </c>
      <c r="I1074" t="s">
        <v>16</v>
      </c>
      <c r="J1074" t="s">
        <v>23</v>
      </c>
      <c r="K1074">
        <v>1</v>
      </c>
      <c r="L1074">
        <v>30</v>
      </c>
      <c r="M1074">
        <v>30</v>
      </c>
      <c r="N1074">
        <f>IF(COUNTIFS($B$2:B1074,B1074)=1,1,0)</f>
        <v>0</v>
      </c>
    </row>
    <row r="1075" spans="1:14" x14ac:dyDescent="0.2">
      <c r="A1075">
        <v>1074</v>
      </c>
      <c r="B1075">
        <v>1534</v>
      </c>
      <c r="C1075">
        <f>1/COUNTIF(B:B,Table1[[#This Row],[order_id]])</f>
        <v>0.33333333333333331</v>
      </c>
      <c r="D1075" t="str">
        <f>TEXT(Table1[[#This Row],[order_date]],"mmmm")</f>
        <v>March</v>
      </c>
      <c r="E1075" s="1">
        <v>45376</v>
      </c>
      <c r="F1075" s="1" t="str">
        <f>TEXT(Table1[[#This Row],[order_date]],"dddd")</f>
        <v>Monday</v>
      </c>
      <c r="G1075">
        <f>HOUR(Table1[[#This Row],[order_time]])</f>
        <v>12</v>
      </c>
      <c r="H1075" s="2">
        <v>0.53887731481481482</v>
      </c>
      <c r="I1075" t="s">
        <v>11</v>
      </c>
      <c r="J1075" t="s">
        <v>15</v>
      </c>
      <c r="K1075">
        <v>3</v>
      </c>
      <c r="L1075">
        <v>600</v>
      </c>
      <c r="M1075">
        <v>1800</v>
      </c>
      <c r="N1075">
        <f>IF(COUNTIFS($B$2:B1075,B1075)=1,1,0)</f>
        <v>0</v>
      </c>
    </row>
    <row r="1076" spans="1:14" x14ac:dyDescent="0.2">
      <c r="A1076">
        <v>1075</v>
      </c>
      <c r="B1076">
        <v>1535</v>
      </c>
      <c r="C1076">
        <f>1/COUNTIF(B:B,Table1[[#This Row],[order_id]])</f>
        <v>0.33333333333333331</v>
      </c>
      <c r="D1076" t="str">
        <f>TEXT(Table1[[#This Row],[order_date]],"mmmm")</f>
        <v>March</v>
      </c>
      <c r="E1076" s="1">
        <v>45376</v>
      </c>
      <c r="F1076" s="1" t="str">
        <f>TEXT(Table1[[#This Row],[order_date]],"dddd")</f>
        <v>Monday</v>
      </c>
      <c r="G1076">
        <f>HOUR(Table1[[#This Row],[order_time]])</f>
        <v>15</v>
      </c>
      <c r="H1076" s="2">
        <v>0.6433564814814815</v>
      </c>
      <c r="I1076" t="s">
        <v>9</v>
      </c>
      <c r="J1076" t="s">
        <v>29</v>
      </c>
      <c r="K1076">
        <v>5</v>
      </c>
      <c r="L1076">
        <v>5</v>
      </c>
      <c r="M1076">
        <v>25</v>
      </c>
      <c r="N1076">
        <f>IF(COUNTIFS($B$2:B1076,B1076)=1,1,0)</f>
        <v>1</v>
      </c>
    </row>
    <row r="1077" spans="1:14" x14ac:dyDescent="0.2">
      <c r="A1077">
        <v>1076</v>
      </c>
      <c r="B1077">
        <v>1535</v>
      </c>
      <c r="C1077">
        <f>1/COUNTIF(B:B,Table1[[#This Row],[order_id]])</f>
        <v>0.33333333333333331</v>
      </c>
      <c r="D1077" t="str">
        <f>TEXT(Table1[[#This Row],[order_date]],"mmmm")</f>
        <v>March</v>
      </c>
      <c r="E1077" s="1">
        <v>45376</v>
      </c>
      <c r="F1077" s="1" t="str">
        <f>TEXT(Table1[[#This Row],[order_date]],"dddd")</f>
        <v>Monday</v>
      </c>
      <c r="G1077">
        <f>HOUR(Table1[[#This Row],[order_time]])</f>
        <v>14</v>
      </c>
      <c r="H1077" s="2">
        <v>0.6209837962962963</v>
      </c>
      <c r="I1077" t="s">
        <v>11</v>
      </c>
      <c r="J1077" t="s">
        <v>25</v>
      </c>
      <c r="K1077">
        <v>1</v>
      </c>
      <c r="L1077">
        <v>1000</v>
      </c>
      <c r="M1077">
        <v>1000</v>
      </c>
      <c r="N1077">
        <f>IF(COUNTIFS($B$2:B1077,B1077)=1,1,0)</f>
        <v>0</v>
      </c>
    </row>
    <row r="1078" spans="1:14" x14ac:dyDescent="0.2">
      <c r="A1078">
        <v>1077</v>
      </c>
      <c r="B1078">
        <v>1535</v>
      </c>
      <c r="C1078">
        <f>1/COUNTIF(B:B,Table1[[#This Row],[order_id]])</f>
        <v>0.33333333333333331</v>
      </c>
      <c r="D1078" t="str">
        <f>TEXT(Table1[[#This Row],[order_date]],"mmmm")</f>
        <v>March</v>
      </c>
      <c r="E1078" s="1">
        <v>45376</v>
      </c>
      <c r="F1078" s="1" t="str">
        <f>TEXT(Table1[[#This Row],[order_date]],"dddd")</f>
        <v>Monday</v>
      </c>
      <c r="G1078">
        <f>HOUR(Table1[[#This Row],[order_time]])</f>
        <v>11</v>
      </c>
      <c r="H1078" s="2">
        <v>0.49787037037037035</v>
      </c>
      <c r="I1078" t="s">
        <v>18</v>
      </c>
      <c r="J1078" t="s">
        <v>27</v>
      </c>
      <c r="K1078">
        <v>2</v>
      </c>
      <c r="L1078">
        <v>40</v>
      </c>
      <c r="M1078">
        <v>80</v>
      </c>
      <c r="N1078">
        <f>IF(COUNTIFS($B$2:B1078,B1078)=1,1,0)</f>
        <v>0</v>
      </c>
    </row>
    <row r="1079" spans="1:14" x14ac:dyDescent="0.2">
      <c r="A1079">
        <v>1078</v>
      </c>
      <c r="B1079">
        <v>1536</v>
      </c>
      <c r="C1079">
        <f>1/COUNTIF(B:B,Table1[[#This Row],[order_id]])</f>
        <v>1</v>
      </c>
      <c r="D1079" t="str">
        <f>TEXT(Table1[[#This Row],[order_date]],"mmmm")</f>
        <v>March</v>
      </c>
      <c r="E1079" s="1">
        <v>45376</v>
      </c>
      <c r="F1079" s="1" t="str">
        <f>TEXT(Table1[[#This Row],[order_date]],"dddd")</f>
        <v>Monday</v>
      </c>
      <c r="G1079">
        <f>HOUR(Table1[[#This Row],[order_time]])</f>
        <v>15</v>
      </c>
      <c r="H1079" s="2">
        <v>0.63737268518518519</v>
      </c>
      <c r="I1079" t="s">
        <v>18</v>
      </c>
      <c r="J1079" t="s">
        <v>31</v>
      </c>
      <c r="K1079">
        <v>2</v>
      </c>
      <c r="L1079">
        <v>45</v>
      </c>
      <c r="M1079">
        <v>90</v>
      </c>
      <c r="N1079">
        <f>IF(COUNTIFS($B$2:B1079,B1079)=1,1,0)</f>
        <v>1</v>
      </c>
    </row>
    <row r="1080" spans="1:14" x14ac:dyDescent="0.2">
      <c r="A1080">
        <v>1079</v>
      </c>
      <c r="B1080">
        <v>1537</v>
      </c>
      <c r="C1080">
        <f>1/COUNTIF(B:B,Table1[[#This Row],[order_id]])</f>
        <v>0.5</v>
      </c>
      <c r="D1080" t="str">
        <f>TEXT(Table1[[#This Row],[order_date]],"mmmm")</f>
        <v>March</v>
      </c>
      <c r="E1080" s="1">
        <v>45376</v>
      </c>
      <c r="F1080" s="1" t="str">
        <f>TEXT(Table1[[#This Row],[order_date]],"dddd")</f>
        <v>Monday</v>
      </c>
      <c r="G1080">
        <f>HOUR(Table1[[#This Row],[order_time]])</f>
        <v>19</v>
      </c>
      <c r="H1080" s="2">
        <v>0.80517361111111108</v>
      </c>
      <c r="I1080" t="s">
        <v>11</v>
      </c>
      <c r="J1080" t="s">
        <v>14</v>
      </c>
      <c r="K1080">
        <v>5</v>
      </c>
      <c r="L1080">
        <v>700</v>
      </c>
      <c r="M1080">
        <v>3500</v>
      </c>
      <c r="N1080">
        <f>IF(COUNTIFS($B$2:B1080,B1080)=1,1,0)</f>
        <v>1</v>
      </c>
    </row>
    <row r="1081" spans="1:14" x14ac:dyDescent="0.2">
      <c r="A1081">
        <v>1080</v>
      </c>
      <c r="B1081">
        <v>1537</v>
      </c>
      <c r="C1081">
        <f>1/COUNTIF(B:B,Table1[[#This Row],[order_id]])</f>
        <v>0.5</v>
      </c>
      <c r="D1081" t="str">
        <f>TEXT(Table1[[#This Row],[order_date]],"mmmm")</f>
        <v>March</v>
      </c>
      <c r="E1081" s="1">
        <v>45376</v>
      </c>
      <c r="F1081" s="1" t="str">
        <f>TEXT(Table1[[#This Row],[order_date]],"dddd")</f>
        <v>Monday</v>
      </c>
      <c r="G1081">
        <f>HOUR(Table1[[#This Row],[order_time]])</f>
        <v>9</v>
      </c>
      <c r="H1081" s="2">
        <v>0.39119212962962963</v>
      </c>
      <c r="I1081" t="s">
        <v>11</v>
      </c>
      <c r="J1081" t="s">
        <v>25</v>
      </c>
      <c r="K1081">
        <v>2</v>
      </c>
      <c r="L1081">
        <v>1000</v>
      </c>
      <c r="M1081">
        <v>2000</v>
      </c>
      <c r="N1081">
        <f>IF(COUNTIFS($B$2:B1081,B1081)=1,1,0)</f>
        <v>0</v>
      </c>
    </row>
    <row r="1082" spans="1:14" x14ac:dyDescent="0.2">
      <c r="A1082">
        <v>1081</v>
      </c>
      <c r="B1082">
        <v>1538</v>
      </c>
      <c r="C1082">
        <f>1/COUNTIF(B:B,Table1[[#This Row],[order_id]])</f>
        <v>0.33333333333333331</v>
      </c>
      <c r="D1082" t="str">
        <f>TEXT(Table1[[#This Row],[order_date]],"mmmm")</f>
        <v>March</v>
      </c>
      <c r="E1082" s="1">
        <v>45376</v>
      </c>
      <c r="F1082" s="1" t="str">
        <f>TEXT(Table1[[#This Row],[order_date]],"dddd")</f>
        <v>Monday</v>
      </c>
      <c r="G1082">
        <f>HOUR(Table1[[#This Row],[order_time]])</f>
        <v>12</v>
      </c>
      <c r="H1082" s="2">
        <v>0.50651620370370365</v>
      </c>
      <c r="I1082" t="s">
        <v>11</v>
      </c>
      <c r="J1082" t="s">
        <v>15</v>
      </c>
      <c r="K1082">
        <v>4</v>
      </c>
      <c r="L1082">
        <v>600</v>
      </c>
      <c r="M1082">
        <v>2400</v>
      </c>
      <c r="N1082">
        <f>IF(COUNTIFS($B$2:B1082,B1082)=1,1,0)</f>
        <v>1</v>
      </c>
    </row>
    <row r="1083" spans="1:14" x14ac:dyDescent="0.2">
      <c r="A1083">
        <v>1082</v>
      </c>
      <c r="B1083">
        <v>1538</v>
      </c>
      <c r="C1083">
        <f>1/COUNTIF(B:B,Table1[[#This Row],[order_id]])</f>
        <v>0.33333333333333331</v>
      </c>
      <c r="D1083" t="str">
        <f>TEXT(Table1[[#This Row],[order_date]],"mmmm")</f>
        <v>March</v>
      </c>
      <c r="E1083" s="1">
        <v>45376</v>
      </c>
      <c r="F1083" s="1" t="str">
        <f>TEXT(Table1[[#This Row],[order_date]],"dddd")</f>
        <v>Monday</v>
      </c>
      <c r="G1083">
        <f>HOUR(Table1[[#This Row],[order_time]])</f>
        <v>11</v>
      </c>
      <c r="H1083" s="2">
        <v>0.48797453703703703</v>
      </c>
      <c r="I1083" t="s">
        <v>16</v>
      </c>
      <c r="J1083" t="s">
        <v>23</v>
      </c>
      <c r="K1083">
        <v>4</v>
      </c>
      <c r="L1083">
        <v>30</v>
      </c>
      <c r="M1083">
        <v>120</v>
      </c>
      <c r="N1083">
        <f>IF(COUNTIFS($B$2:B1083,B1083)=1,1,0)</f>
        <v>0</v>
      </c>
    </row>
    <row r="1084" spans="1:14" x14ac:dyDescent="0.2">
      <c r="A1084">
        <v>1083</v>
      </c>
      <c r="B1084">
        <v>1538</v>
      </c>
      <c r="C1084">
        <f>1/COUNTIF(B:B,Table1[[#This Row],[order_id]])</f>
        <v>0.33333333333333331</v>
      </c>
      <c r="D1084" t="str">
        <f>TEXT(Table1[[#This Row],[order_date]],"mmmm")</f>
        <v>March</v>
      </c>
      <c r="E1084" s="1">
        <v>45376</v>
      </c>
      <c r="F1084" s="1" t="str">
        <f>TEXT(Table1[[#This Row],[order_date]],"dddd")</f>
        <v>Monday</v>
      </c>
      <c r="G1084">
        <f>HOUR(Table1[[#This Row],[order_time]])</f>
        <v>11</v>
      </c>
      <c r="H1084" s="2">
        <v>0.47682870370370373</v>
      </c>
      <c r="I1084" t="s">
        <v>9</v>
      </c>
      <c r="J1084" t="s">
        <v>20</v>
      </c>
      <c r="K1084">
        <v>4</v>
      </c>
      <c r="L1084">
        <v>25</v>
      </c>
      <c r="M1084">
        <v>100</v>
      </c>
      <c r="N1084">
        <f>IF(COUNTIFS($B$2:B1084,B1084)=1,1,0)</f>
        <v>0</v>
      </c>
    </row>
    <row r="1085" spans="1:14" x14ac:dyDescent="0.2">
      <c r="A1085">
        <v>1084</v>
      </c>
      <c r="B1085">
        <v>1539</v>
      </c>
      <c r="C1085">
        <f>1/COUNTIF(B:B,Table1[[#This Row],[order_id]])</f>
        <v>0.5</v>
      </c>
      <c r="D1085" t="str">
        <f>TEXT(Table1[[#This Row],[order_date]],"mmmm")</f>
        <v>March</v>
      </c>
      <c r="E1085" s="1">
        <v>45377</v>
      </c>
      <c r="F1085" s="1" t="str">
        <f>TEXT(Table1[[#This Row],[order_date]],"dddd")</f>
        <v>Tuesday</v>
      </c>
      <c r="G1085">
        <f>HOUR(Table1[[#This Row],[order_time]])</f>
        <v>9</v>
      </c>
      <c r="H1085" s="2">
        <v>0.40184027777777775</v>
      </c>
      <c r="I1085" t="s">
        <v>18</v>
      </c>
      <c r="J1085" t="s">
        <v>19</v>
      </c>
      <c r="K1085">
        <v>2</v>
      </c>
      <c r="L1085">
        <v>50</v>
      </c>
      <c r="M1085">
        <v>100</v>
      </c>
      <c r="N1085">
        <f>IF(COUNTIFS($B$2:B1085,B1085)=1,1,0)</f>
        <v>1</v>
      </c>
    </row>
    <row r="1086" spans="1:14" x14ac:dyDescent="0.2">
      <c r="A1086">
        <v>1085</v>
      </c>
      <c r="B1086">
        <v>1539</v>
      </c>
      <c r="C1086">
        <f>1/COUNTIF(B:B,Table1[[#This Row],[order_id]])</f>
        <v>0.5</v>
      </c>
      <c r="D1086" t="str">
        <f>TEXT(Table1[[#This Row],[order_date]],"mmmm")</f>
        <v>March</v>
      </c>
      <c r="E1086" s="1">
        <v>45377</v>
      </c>
      <c r="F1086" s="1" t="str">
        <f>TEXT(Table1[[#This Row],[order_date]],"dddd")</f>
        <v>Tuesday</v>
      </c>
      <c r="G1086">
        <f>HOUR(Table1[[#This Row],[order_time]])</f>
        <v>16</v>
      </c>
      <c r="H1086" s="2">
        <v>0.70689814814814811</v>
      </c>
      <c r="I1086" t="s">
        <v>16</v>
      </c>
      <c r="J1086" t="s">
        <v>24</v>
      </c>
      <c r="K1086">
        <v>2</v>
      </c>
      <c r="L1086">
        <v>35</v>
      </c>
      <c r="M1086">
        <v>70</v>
      </c>
      <c r="N1086">
        <f>IF(COUNTIFS($B$2:B1086,B1086)=1,1,0)</f>
        <v>0</v>
      </c>
    </row>
    <row r="1087" spans="1:14" x14ac:dyDescent="0.2">
      <c r="A1087">
        <v>1086</v>
      </c>
      <c r="B1087">
        <v>1540</v>
      </c>
      <c r="C1087">
        <f>1/COUNTIF(B:B,Table1[[#This Row],[order_id]])</f>
        <v>1</v>
      </c>
      <c r="D1087" t="str">
        <f>TEXT(Table1[[#This Row],[order_date]],"mmmm")</f>
        <v>March</v>
      </c>
      <c r="E1087" s="1">
        <v>45377</v>
      </c>
      <c r="F1087" s="1" t="str">
        <f>TEXT(Table1[[#This Row],[order_date]],"dddd")</f>
        <v>Tuesday</v>
      </c>
      <c r="G1087">
        <f>HOUR(Table1[[#This Row],[order_time]])</f>
        <v>9</v>
      </c>
      <c r="H1087" s="2">
        <v>0.37787037037037036</v>
      </c>
      <c r="I1087" t="s">
        <v>11</v>
      </c>
      <c r="J1087" t="s">
        <v>15</v>
      </c>
      <c r="K1087">
        <v>4</v>
      </c>
      <c r="L1087">
        <v>600</v>
      </c>
      <c r="M1087">
        <v>2400</v>
      </c>
      <c r="N1087">
        <f>IF(COUNTIFS($B$2:B1087,B1087)=1,1,0)</f>
        <v>1</v>
      </c>
    </row>
    <row r="1088" spans="1:14" x14ac:dyDescent="0.2">
      <c r="A1088">
        <v>1087</v>
      </c>
      <c r="B1088">
        <v>1541</v>
      </c>
      <c r="C1088">
        <f>1/COUNTIF(B:B,Table1[[#This Row],[order_id]])</f>
        <v>1</v>
      </c>
      <c r="D1088" t="str">
        <f>TEXT(Table1[[#This Row],[order_date]],"mmmm")</f>
        <v>March</v>
      </c>
      <c r="E1088" s="1">
        <v>45377</v>
      </c>
      <c r="F1088" s="1" t="str">
        <f>TEXT(Table1[[#This Row],[order_date]],"dddd")</f>
        <v>Tuesday</v>
      </c>
      <c r="G1088">
        <f>HOUR(Table1[[#This Row],[order_time]])</f>
        <v>9</v>
      </c>
      <c r="H1088" s="2">
        <v>0.39609953703703704</v>
      </c>
      <c r="I1088" t="s">
        <v>9</v>
      </c>
      <c r="J1088" t="s">
        <v>21</v>
      </c>
      <c r="K1088">
        <v>3</v>
      </c>
      <c r="L1088">
        <v>10</v>
      </c>
      <c r="M1088">
        <v>30</v>
      </c>
      <c r="N1088">
        <f>IF(COUNTIFS($B$2:B1088,B1088)=1,1,0)</f>
        <v>1</v>
      </c>
    </row>
    <row r="1089" spans="1:14" x14ac:dyDescent="0.2">
      <c r="A1089">
        <v>1088</v>
      </c>
      <c r="B1089">
        <v>1542</v>
      </c>
      <c r="C1089">
        <f>1/COUNTIF(B:B,Table1[[#This Row],[order_id]])</f>
        <v>0.33333333333333331</v>
      </c>
      <c r="D1089" t="str">
        <f>TEXT(Table1[[#This Row],[order_date]],"mmmm")</f>
        <v>March</v>
      </c>
      <c r="E1089" s="1">
        <v>45377</v>
      </c>
      <c r="F1089" s="1" t="str">
        <f>TEXT(Table1[[#This Row],[order_date]],"dddd")</f>
        <v>Tuesday</v>
      </c>
      <c r="G1089">
        <f>HOUR(Table1[[#This Row],[order_time]])</f>
        <v>16</v>
      </c>
      <c r="H1089" s="2">
        <v>0.67271990740740739</v>
      </c>
      <c r="I1089" t="s">
        <v>18</v>
      </c>
      <c r="J1089" t="s">
        <v>19</v>
      </c>
      <c r="K1089">
        <v>2</v>
      </c>
      <c r="L1089">
        <v>50</v>
      </c>
      <c r="M1089">
        <v>100</v>
      </c>
      <c r="N1089">
        <f>IF(COUNTIFS($B$2:B1089,B1089)=1,1,0)</f>
        <v>1</v>
      </c>
    </row>
    <row r="1090" spans="1:14" x14ac:dyDescent="0.2">
      <c r="A1090">
        <v>1089</v>
      </c>
      <c r="B1090">
        <v>1542</v>
      </c>
      <c r="C1090">
        <f>1/COUNTIF(B:B,Table1[[#This Row],[order_id]])</f>
        <v>0.33333333333333331</v>
      </c>
      <c r="D1090" t="str">
        <f>TEXT(Table1[[#This Row],[order_date]],"mmmm")</f>
        <v>March</v>
      </c>
      <c r="E1090" s="1">
        <v>45377</v>
      </c>
      <c r="F1090" s="1" t="str">
        <f>TEXT(Table1[[#This Row],[order_date]],"dddd")</f>
        <v>Tuesday</v>
      </c>
      <c r="G1090">
        <f>HOUR(Table1[[#This Row],[order_time]])</f>
        <v>18</v>
      </c>
      <c r="H1090" s="2">
        <v>0.77724537037037034</v>
      </c>
      <c r="I1090" t="s">
        <v>11</v>
      </c>
      <c r="J1090" t="s">
        <v>25</v>
      </c>
      <c r="K1090">
        <v>3</v>
      </c>
      <c r="L1090">
        <v>1000</v>
      </c>
      <c r="M1090">
        <v>3000</v>
      </c>
      <c r="N1090">
        <f>IF(COUNTIFS($B$2:B1090,B1090)=1,1,0)</f>
        <v>0</v>
      </c>
    </row>
    <row r="1091" spans="1:14" x14ac:dyDescent="0.2">
      <c r="A1091">
        <v>1090</v>
      </c>
      <c r="B1091">
        <v>1542</v>
      </c>
      <c r="C1091">
        <f>1/COUNTIF(B:B,Table1[[#This Row],[order_id]])</f>
        <v>0.33333333333333331</v>
      </c>
      <c r="D1091" t="str">
        <f>TEXT(Table1[[#This Row],[order_date]],"mmmm")</f>
        <v>March</v>
      </c>
      <c r="E1091" s="1">
        <v>45377</v>
      </c>
      <c r="F1091" s="1" t="str">
        <f>TEXT(Table1[[#This Row],[order_date]],"dddd")</f>
        <v>Tuesday</v>
      </c>
      <c r="G1091">
        <f>HOUR(Table1[[#This Row],[order_time]])</f>
        <v>14</v>
      </c>
      <c r="H1091" s="2">
        <v>0.60590277777777779</v>
      </c>
      <c r="I1091" t="s">
        <v>9</v>
      </c>
      <c r="J1091" t="s">
        <v>20</v>
      </c>
      <c r="K1091">
        <v>5</v>
      </c>
      <c r="L1091">
        <v>25</v>
      </c>
      <c r="M1091">
        <v>125</v>
      </c>
      <c r="N1091">
        <f>IF(COUNTIFS($B$2:B1091,B1091)=1,1,0)</f>
        <v>0</v>
      </c>
    </row>
    <row r="1092" spans="1:14" x14ac:dyDescent="0.2">
      <c r="A1092">
        <v>1091</v>
      </c>
      <c r="B1092">
        <v>1543</v>
      </c>
      <c r="C1092">
        <f>1/COUNTIF(B:B,Table1[[#This Row],[order_id]])</f>
        <v>0.33333333333333331</v>
      </c>
      <c r="D1092" t="str">
        <f>TEXT(Table1[[#This Row],[order_date]],"mmmm")</f>
        <v>March</v>
      </c>
      <c r="E1092" s="1">
        <v>45377</v>
      </c>
      <c r="F1092" s="1" t="str">
        <f>TEXT(Table1[[#This Row],[order_date]],"dddd")</f>
        <v>Tuesday</v>
      </c>
      <c r="G1092">
        <f>HOUR(Table1[[#This Row],[order_time]])</f>
        <v>9</v>
      </c>
      <c r="H1092" s="2">
        <v>0.39043981481481482</v>
      </c>
      <c r="I1092" t="s">
        <v>16</v>
      </c>
      <c r="J1092" t="s">
        <v>28</v>
      </c>
      <c r="K1092">
        <v>3</v>
      </c>
      <c r="L1092">
        <v>25</v>
      </c>
      <c r="M1092">
        <v>75</v>
      </c>
      <c r="N1092">
        <f>IF(COUNTIFS($B$2:B1092,B1092)=1,1,0)</f>
        <v>1</v>
      </c>
    </row>
    <row r="1093" spans="1:14" x14ac:dyDescent="0.2">
      <c r="A1093">
        <v>1092</v>
      </c>
      <c r="B1093">
        <v>1543</v>
      </c>
      <c r="C1093">
        <f>1/COUNTIF(B:B,Table1[[#This Row],[order_id]])</f>
        <v>0.33333333333333331</v>
      </c>
      <c r="D1093" t="str">
        <f>TEXT(Table1[[#This Row],[order_date]],"mmmm")</f>
        <v>March</v>
      </c>
      <c r="E1093" s="1">
        <v>45377</v>
      </c>
      <c r="F1093" s="1" t="str">
        <f>TEXT(Table1[[#This Row],[order_date]],"dddd")</f>
        <v>Tuesday</v>
      </c>
      <c r="G1093">
        <f>HOUR(Table1[[#This Row],[order_time]])</f>
        <v>16</v>
      </c>
      <c r="H1093" s="2">
        <v>0.68747685185185181</v>
      </c>
      <c r="I1093" t="s">
        <v>16</v>
      </c>
      <c r="J1093" t="s">
        <v>24</v>
      </c>
      <c r="K1093">
        <v>4</v>
      </c>
      <c r="L1093">
        <v>35</v>
      </c>
      <c r="M1093">
        <v>140</v>
      </c>
      <c r="N1093">
        <f>IF(COUNTIFS($B$2:B1093,B1093)=1,1,0)</f>
        <v>0</v>
      </c>
    </row>
    <row r="1094" spans="1:14" x14ac:dyDescent="0.2">
      <c r="A1094">
        <v>1093</v>
      </c>
      <c r="B1094">
        <v>1543</v>
      </c>
      <c r="C1094">
        <f>1/COUNTIF(B:B,Table1[[#This Row],[order_id]])</f>
        <v>0.33333333333333331</v>
      </c>
      <c r="D1094" t="str">
        <f>TEXT(Table1[[#This Row],[order_date]],"mmmm")</f>
        <v>March</v>
      </c>
      <c r="E1094" s="1">
        <v>45377</v>
      </c>
      <c r="F1094" s="1" t="str">
        <f>TEXT(Table1[[#This Row],[order_date]],"dddd")</f>
        <v>Tuesday</v>
      </c>
      <c r="G1094">
        <f>HOUR(Table1[[#This Row],[order_time]])</f>
        <v>19</v>
      </c>
      <c r="H1094" s="2">
        <v>0.82791666666666663</v>
      </c>
      <c r="I1094" t="s">
        <v>9</v>
      </c>
      <c r="J1094" t="s">
        <v>22</v>
      </c>
      <c r="K1094">
        <v>4</v>
      </c>
      <c r="L1094">
        <v>15</v>
      </c>
      <c r="M1094">
        <v>60</v>
      </c>
      <c r="N1094">
        <f>IF(COUNTIFS($B$2:B1094,B1094)=1,1,0)</f>
        <v>0</v>
      </c>
    </row>
    <row r="1095" spans="1:14" x14ac:dyDescent="0.2">
      <c r="A1095">
        <v>1094</v>
      </c>
      <c r="B1095">
        <v>1544</v>
      </c>
      <c r="C1095">
        <f>1/COUNTIF(B:B,Table1[[#This Row],[order_id]])</f>
        <v>0.33333333333333331</v>
      </c>
      <c r="D1095" t="str">
        <f>TEXT(Table1[[#This Row],[order_date]],"mmmm")</f>
        <v>March</v>
      </c>
      <c r="E1095" s="1">
        <v>45378</v>
      </c>
      <c r="F1095" s="1" t="str">
        <f>TEXT(Table1[[#This Row],[order_date]],"dddd")</f>
        <v>Wednesday</v>
      </c>
      <c r="G1095">
        <f>HOUR(Table1[[#This Row],[order_time]])</f>
        <v>17</v>
      </c>
      <c r="H1095" s="2">
        <v>0.74516203703703698</v>
      </c>
      <c r="I1095" t="s">
        <v>16</v>
      </c>
      <c r="J1095" t="s">
        <v>24</v>
      </c>
      <c r="K1095">
        <v>2</v>
      </c>
      <c r="L1095">
        <v>35</v>
      </c>
      <c r="M1095">
        <v>70</v>
      </c>
      <c r="N1095">
        <f>IF(COUNTIFS($B$2:B1095,B1095)=1,1,0)</f>
        <v>1</v>
      </c>
    </row>
    <row r="1096" spans="1:14" x14ac:dyDescent="0.2">
      <c r="A1096">
        <v>1095</v>
      </c>
      <c r="B1096">
        <v>1544</v>
      </c>
      <c r="C1096">
        <f>1/COUNTIF(B:B,Table1[[#This Row],[order_id]])</f>
        <v>0.33333333333333331</v>
      </c>
      <c r="D1096" t="str">
        <f>TEXT(Table1[[#This Row],[order_date]],"mmmm")</f>
        <v>March</v>
      </c>
      <c r="E1096" s="1">
        <v>45378</v>
      </c>
      <c r="F1096" s="1" t="str">
        <f>TEXT(Table1[[#This Row],[order_date]],"dddd")</f>
        <v>Wednesday</v>
      </c>
      <c r="G1096">
        <f>HOUR(Table1[[#This Row],[order_time]])</f>
        <v>10</v>
      </c>
      <c r="H1096" s="2">
        <v>0.44833333333333331</v>
      </c>
      <c r="I1096" t="s">
        <v>18</v>
      </c>
      <c r="J1096" t="s">
        <v>27</v>
      </c>
      <c r="K1096">
        <v>4</v>
      </c>
      <c r="L1096">
        <v>40</v>
      </c>
      <c r="M1096">
        <v>160</v>
      </c>
      <c r="N1096">
        <f>IF(COUNTIFS($B$2:B1096,B1096)=1,1,0)</f>
        <v>0</v>
      </c>
    </row>
    <row r="1097" spans="1:14" x14ac:dyDescent="0.2">
      <c r="A1097">
        <v>1096</v>
      </c>
      <c r="B1097">
        <v>1544</v>
      </c>
      <c r="C1097">
        <f>1/COUNTIF(B:B,Table1[[#This Row],[order_id]])</f>
        <v>0.33333333333333331</v>
      </c>
      <c r="D1097" t="str">
        <f>TEXT(Table1[[#This Row],[order_date]],"mmmm")</f>
        <v>March</v>
      </c>
      <c r="E1097" s="1">
        <v>45378</v>
      </c>
      <c r="F1097" s="1" t="str">
        <f>TEXT(Table1[[#This Row],[order_date]],"dddd")</f>
        <v>Wednesday</v>
      </c>
      <c r="G1097">
        <f>HOUR(Table1[[#This Row],[order_time]])</f>
        <v>9</v>
      </c>
      <c r="H1097" s="2">
        <v>0.37859953703703703</v>
      </c>
      <c r="I1097" t="s">
        <v>11</v>
      </c>
      <c r="J1097" t="s">
        <v>13</v>
      </c>
      <c r="K1097">
        <v>3</v>
      </c>
      <c r="L1097">
        <v>680</v>
      </c>
      <c r="M1097">
        <v>2040</v>
      </c>
      <c r="N1097">
        <f>IF(COUNTIFS($B$2:B1097,B1097)=1,1,0)</f>
        <v>0</v>
      </c>
    </row>
    <row r="1098" spans="1:14" x14ac:dyDescent="0.2">
      <c r="A1098">
        <v>1097</v>
      </c>
      <c r="B1098">
        <v>1545</v>
      </c>
      <c r="C1098">
        <f>1/COUNTIF(B:B,Table1[[#This Row],[order_id]])</f>
        <v>1</v>
      </c>
      <c r="D1098" t="str">
        <f>TEXT(Table1[[#This Row],[order_date]],"mmmm")</f>
        <v>March</v>
      </c>
      <c r="E1098" s="1">
        <v>45378</v>
      </c>
      <c r="F1098" s="1" t="str">
        <f>TEXT(Table1[[#This Row],[order_date]],"dddd")</f>
        <v>Wednesday</v>
      </c>
      <c r="G1098">
        <f>HOUR(Table1[[#This Row],[order_time]])</f>
        <v>11</v>
      </c>
      <c r="H1098" s="2">
        <v>0.46611111111111109</v>
      </c>
      <c r="I1098" t="s">
        <v>11</v>
      </c>
      <c r="J1098" t="s">
        <v>13</v>
      </c>
      <c r="K1098">
        <v>5</v>
      </c>
      <c r="L1098">
        <v>680</v>
      </c>
      <c r="M1098">
        <v>3400</v>
      </c>
      <c r="N1098">
        <f>IF(COUNTIFS($B$2:B1098,B1098)=1,1,0)</f>
        <v>1</v>
      </c>
    </row>
    <row r="1099" spans="1:14" x14ac:dyDescent="0.2">
      <c r="A1099">
        <v>1098</v>
      </c>
      <c r="B1099">
        <v>1546</v>
      </c>
      <c r="C1099">
        <f>1/COUNTIF(B:B,Table1[[#This Row],[order_id]])</f>
        <v>0.33333333333333331</v>
      </c>
      <c r="D1099" t="str">
        <f>TEXT(Table1[[#This Row],[order_date]],"mmmm")</f>
        <v>March</v>
      </c>
      <c r="E1099" s="1">
        <v>45378</v>
      </c>
      <c r="F1099" s="1" t="str">
        <f>TEXT(Table1[[#This Row],[order_date]],"dddd")</f>
        <v>Wednesday</v>
      </c>
      <c r="G1099">
        <f>HOUR(Table1[[#This Row],[order_time]])</f>
        <v>9</v>
      </c>
      <c r="H1099" s="2">
        <v>0.41636574074074073</v>
      </c>
      <c r="I1099" t="s">
        <v>11</v>
      </c>
      <c r="J1099" t="s">
        <v>25</v>
      </c>
      <c r="K1099">
        <v>4</v>
      </c>
      <c r="L1099">
        <v>1000</v>
      </c>
      <c r="M1099">
        <v>4000</v>
      </c>
      <c r="N1099">
        <f>IF(COUNTIFS($B$2:B1099,B1099)=1,1,0)</f>
        <v>1</v>
      </c>
    </row>
    <row r="1100" spans="1:14" x14ac:dyDescent="0.2">
      <c r="A1100">
        <v>1099</v>
      </c>
      <c r="B1100">
        <v>1546</v>
      </c>
      <c r="C1100">
        <f>1/COUNTIF(B:B,Table1[[#This Row],[order_id]])</f>
        <v>0.33333333333333331</v>
      </c>
      <c r="D1100" t="str">
        <f>TEXT(Table1[[#This Row],[order_date]],"mmmm")</f>
        <v>March</v>
      </c>
      <c r="E1100" s="1">
        <v>45378</v>
      </c>
      <c r="F1100" s="1" t="str">
        <f>TEXT(Table1[[#This Row],[order_date]],"dddd")</f>
        <v>Wednesday</v>
      </c>
      <c r="G1100">
        <f>HOUR(Table1[[#This Row],[order_time]])</f>
        <v>15</v>
      </c>
      <c r="H1100" s="2">
        <v>0.6315277777777778</v>
      </c>
      <c r="I1100" t="s">
        <v>18</v>
      </c>
      <c r="J1100" t="s">
        <v>30</v>
      </c>
      <c r="K1100">
        <v>1</v>
      </c>
      <c r="L1100">
        <v>60</v>
      </c>
      <c r="M1100">
        <v>60</v>
      </c>
      <c r="N1100">
        <f>IF(COUNTIFS($B$2:B1100,B1100)=1,1,0)</f>
        <v>0</v>
      </c>
    </row>
    <row r="1101" spans="1:14" x14ac:dyDescent="0.2">
      <c r="A1101">
        <v>1100</v>
      </c>
      <c r="B1101">
        <v>1546</v>
      </c>
      <c r="C1101">
        <f>1/COUNTIF(B:B,Table1[[#This Row],[order_id]])</f>
        <v>0.33333333333333331</v>
      </c>
      <c r="D1101" t="str">
        <f>TEXT(Table1[[#This Row],[order_date]],"mmmm")</f>
        <v>March</v>
      </c>
      <c r="E1101" s="1">
        <v>45378</v>
      </c>
      <c r="F1101" s="1" t="str">
        <f>TEXT(Table1[[#This Row],[order_date]],"dddd")</f>
        <v>Wednesday</v>
      </c>
      <c r="G1101">
        <f>HOUR(Table1[[#This Row],[order_time]])</f>
        <v>19</v>
      </c>
      <c r="H1101" s="2">
        <v>0.80167824074074079</v>
      </c>
      <c r="I1101" t="s">
        <v>18</v>
      </c>
      <c r="J1101" t="s">
        <v>31</v>
      </c>
      <c r="K1101">
        <v>3</v>
      </c>
      <c r="L1101">
        <v>45</v>
      </c>
      <c r="M1101">
        <v>135</v>
      </c>
      <c r="N1101">
        <f>IF(COUNTIFS($B$2:B1101,B1101)=1,1,0)</f>
        <v>0</v>
      </c>
    </row>
    <row r="1102" spans="1:14" x14ac:dyDescent="0.2">
      <c r="A1102">
        <v>1101</v>
      </c>
      <c r="B1102">
        <v>1547</v>
      </c>
      <c r="C1102">
        <f>1/COUNTIF(B:B,Table1[[#This Row],[order_id]])</f>
        <v>0.5</v>
      </c>
      <c r="D1102" t="str">
        <f>TEXT(Table1[[#This Row],[order_date]],"mmmm")</f>
        <v>March</v>
      </c>
      <c r="E1102" s="1">
        <v>45378</v>
      </c>
      <c r="F1102" s="1" t="str">
        <f>TEXT(Table1[[#This Row],[order_date]],"dddd")</f>
        <v>Wednesday</v>
      </c>
      <c r="G1102">
        <f>HOUR(Table1[[#This Row],[order_time]])</f>
        <v>17</v>
      </c>
      <c r="H1102" s="2">
        <v>0.74618055555555551</v>
      </c>
      <c r="I1102" t="s">
        <v>11</v>
      </c>
      <c r="J1102" t="s">
        <v>15</v>
      </c>
      <c r="K1102">
        <v>3</v>
      </c>
      <c r="L1102">
        <v>600</v>
      </c>
      <c r="M1102">
        <v>1800</v>
      </c>
      <c r="N1102">
        <f>IF(COUNTIFS($B$2:B1102,B1102)=1,1,0)</f>
        <v>1</v>
      </c>
    </row>
    <row r="1103" spans="1:14" x14ac:dyDescent="0.2">
      <c r="A1103">
        <v>1102</v>
      </c>
      <c r="B1103">
        <v>1547</v>
      </c>
      <c r="C1103">
        <f>1/COUNTIF(B:B,Table1[[#This Row],[order_id]])</f>
        <v>0.5</v>
      </c>
      <c r="D1103" t="str">
        <f>TEXT(Table1[[#This Row],[order_date]],"mmmm")</f>
        <v>March</v>
      </c>
      <c r="E1103" s="1">
        <v>45378</v>
      </c>
      <c r="F1103" s="1" t="str">
        <f>TEXT(Table1[[#This Row],[order_date]],"dddd")</f>
        <v>Wednesday</v>
      </c>
      <c r="G1103">
        <f>HOUR(Table1[[#This Row],[order_time]])</f>
        <v>14</v>
      </c>
      <c r="H1103" s="2">
        <v>0.60886574074074074</v>
      </c>
      <c r="I1103" t="s">
        <v>16</v>
      </c>
      <c r="J1103" t="s">
        <v>24</v>
      </c>
      <c r="K1103">
        <v>3</v>
      </c>
      <c r="L1103">
        <v>35</v>
      </c>
      <c r="M1103">
        <v>105</v>
      </c>
      <c r="N1103">
        <f>IF(COUNTIFS($B$2:B1103,B1103)=1,1,0)</f>
        <v>0</v>
      </c>
    </row>
    <row r="1104" spans="1:14" x14ac:dyDescent="0.2">
      <c r="A1104">
        <v>1103</v>
      </c>
      <c r="B1104">
        <v>1548</v>
      </c>
      <c r="C1104">
        <f>1/COUNTIF(B:B,Table1[[#This Row],[order_id]])</f>
        <v>0.33333333333333331</v>
      </c>
      <c r="D1104" t="str">
        <f>TEXT(Table1[[#This Row],[order_date]],"mmmm")</f>
        <v>March</v>
      </c>
      <c r="E1104" s="1">
        <v>45378</v>
      </c>
      <c r="F1104" s="1" t="str">
        <f>TEXT(Table1[[#This Row],[order_date]],"dddd")</f>
        <v>Wednesday</v>
      </c>
      <c r="G1104">
        <f>HOUR(Table1[[#This Row],[order_time]])</f>
        <v>17</v>
      </c>
      <c r="H1104" s="2">
        <v>0.71833333333333338</v>
      </c>
      <c r="I1104" t="s">
        <v>11</v>
      </c>
      <c r="J1104" t="s">
        <v>15</v>
      </c>
      <c r="K1104">
        <v>5</v>
      </c>
      <c r="L1104">
        <v>600</v>
      </c>
      <c r="M1104">
        <v>3000</v>
      </c>
      <c r="N1104">
        <f>IF(COUNTIFS($B$2:B1104,B1104)=1,1,0)</f>
        <v>1</v>
      </c>
    </row>
    <row r="1105" spans="1:14" x14ac:dyDescent="0.2">
      <c r="A1105">
        <v>1104</v>
      </c>
      <c r="B1105">
        <v>1548</v>
      </c>
      <c r="C1105">
        <f>1/COUNTIF(B:B,Table1[[#This Row],[order_id]])</f>
        <v>0.33333333333333331</v>
      </c>
      <c r="D1105" t="str">
        <f>TEXT(Table1[[#This Row],[order_date]],"mmmm")</f>
        <v>March</v>
      </c>
      <c r="E1105" s="1">
        <v>45378</v>
      </c>
      <c r="F1105" s="1" t="str">
        <f>TEXT(Table1[[#This Row],[order_date]],"dddd")</f>
        <v>Wednesday</v>
      </c>
      <c r="G1105">
        <f>HOUR(Table1[[#This Row],[order_time]])</f>
        <v>17</v>
      </c>
      <c r="H1105" s="2">
        <v>0.74899305555555551</v>
      </c>
      <c r="I1105" t="s">
        <v>9</v>
      </c>
      <c r="J1105" t="s">
        <v>21</v>
      </c>
      <c r="K1105">
        <v>5</v>
      </c>
      <c r="L1105">
        <v>10</v>
      </c>
      <c r="M1105">
        <v>50</v>
      </c>
      <c r="N1105">
        <f>IF(COUNTIFS($B$2:B1105,B1105)=1,1,0)</f>
        <v>0</v>
      </c>
    </row>
    <row r="1106" spans="1:14" x14ac:dyDescent="0.2">
      <c r="A1106">
        <v>1105</v>
      </c>
      <c r="B1106">
        <v>1548</v>
      </c>
      <c r="C1106">
        <f>1/COUNTIF(B:B,Table1[[#This Row],[order_id]])</f>
        <v>0.33333333333333331</v>
      </c>
      <c r="D1106" t="str">
        <f>TEXT(Table1[[#This Row],[order_date]],"mmmm")</f>
        <v>March</v>
      </c>
      <c r="E1106" s="1">
        <v>45378</v>
      </c>
      <c r="F1106" s="1" t="str">
        <f>TEXT(Table1[[#This Row],[order_date]],"dddd")</f>
        <v>Wednesday</v>
      </c>
      <c r="G1106">
        <f>HOUR(Table1[[#This Row],[order_time]])</f>
        <v>11</v>
      </c>
      <c r="H1106" s="2">
        <v>0.45935185185185184</v>
      </c>
      <c r="I1106" t="s">
        <v>9</v>
      </c>
      <c r="J1106" t="s">
        <v>21</v>
      </c>
      <c r="K1106">
        <v>2</v>
      </c>
      <c r="L1106">
        <v>10</v>
      </c>
      <c r="M1106">
        <v>20</v>
      </c>
      <c r="N1106">
        <f>IF(COUNTIFS($B$2:B1106,B1106)=1,1,0)</f>
        <v>0</v>
      </c>
    </row>
    <row r="1107" spans="1:14" x14ac:dyDescent="0.2">
      <c r="A1107">
        <v>1106</v>
      </c>
      <c r="B1107">
        <v>1549</v>
      </c>
      <c r="C1107">
        <f>1/COUNTIF(B:B,Table1[[#This Row],[order_id]])</f>
        <v>0.33333333333333331</v>
      </c>
      <c r="D1107" t="str">
        <f>TEXT(Table1[[#This Row],[order_date]],"mmmm")</f>
        <v>March</v>
      </c>
      <c r="E1107" s="1">
        <v>45378</v>
      </c>
      <c r="F1107" s="1" t="str">
        <f>TEXT(Table1[[#This Row],[order_date]],"dddd")</f>
        <v>Wednesday</v>
      </c>
      <c r="G1107">
        <f>HOUR(Table1[[#This Row],[order_time]])</f>
        <v>20</v>
      </c>
      <c r="H1107" s="2">
        <v>0.8568055555555556</v>
      </c>
      <c r="I1107" t="s">
        <v>16</v>
      </c>
      <c r="J1107" t="s">
        <v>17</v>
      </c>
      <c r="K1107">
        <v>3</v>
      </c>
      <c r="L1107">
        <v>20</v>
      </c>
      <c r="M1107">
        <v>60</v>
      </c>
      <c r="N1107">
        <f>IF(COUNTIFS($B$2:B1107,B1107)=1,1,0)</f>
        <v>1</v>
      </c>
    </row>
    <row r="1108" spans="1:14" x14ac:dyDescent="0.2">
      <c r="A1108">
        <v>1107</v>
      </c>
      <c r="B1108">
        <v>1549</v>
      </c>
      <c r="C1108">
        <f>1/COUNTIF(B:B,Table1[[#This Row],[order_id]])</f>
        <v>0.33333333333333331</v>
      </c>
      <c r="D1108" t="str">
        <f>TEXT(Table1[[#This Row],[order_date]],"mmmm")</f>
        <v>March</v>
      </c>
      <c r="E1108" s="1">
        <v>45378</v>
      </c>
      <c r="F1108" s="1" t="str">
        <f>TEXT(Table1[[#This Row],[order_date]],"dddd")</f>
        <v>Wednesday</v>
      </c>
      <c r="G1108">
        <f>HOUR(Table1[[#This Row],[order_time]])</f>
        <v>14</v>
      </c>
      <c r="H1108" s="2">
        <v>0.5894907407407407</v>
      </c>
      <c r="I1108" t="s">
        <v>9</v>
      </c>
      <c r="J1108" t="s">
        <v>20</v>
      </c>
      <c r="K1108">
        <v>3</v>
      </c>
      <c r="L1108">
        <v>25</v>
      </c>
      <c r="M1108">
        <v>75</v>
      </c>
      <c r="N1108">
        <f>IF(COUNTIFS($B$2:B1108,B1108)=1,1,0)</f>
        <v>0</v>
      </c>
    </row>
    <row r="1109" spans="1:14" x14ac:dyDescent="0.2">
      <c r="A1109">
        <v>1108</v>
      </c>
      <c r="B1109">
        <v>1549</v>
      </c>
      <c r="C1109">
        <f>1/COUNTIF(B:B,Table1[[#This Row],[order_id]])</f>
        <v>0.33333333333333331</v>
      </c>
      <c r="D1109" t="str">
        <f>TEXT(Table1[[#This Row],[order_date]],"mmmm")</f>
        <v>March</v>
      </c>
      <c r="E1109" s="1">
        <v>45378</v>
      </c>
      <c r="F1109" s="1" t="str">
        <f>TEXT(Table1[[#This Row],[order_date]],"dddd")</f>
        <v>Wednesday</v>
      </c>
      <c r="G1109">
        <f>HOUR(Table1[[#This Row],[order_time]])</f>
        <v>10</v>
      </c>
      <c r="H1109" s="2">
        <v>0.44457175925925924</v>
      </c>
      <c r="I1109" t="s">
        <v>11</v>
      </c>
      <c r="J1109" t="s">
        <v>12</v>
      </c>
      <c r="K1109">
        <v>5</v>
      </c>
      <c r="L1109">
        <v>650</v>
      </c>
      <c r="M1109">
        <v>3250</v>
      </c>
      <c r="N1109">
        <f>IF(COUNTIFS($B$2:B1109,B1109)=1,1,0)</f>
        <v>0</v>
      </c>
    </row>
    <row r="1110" spans="1:14" x14ac:dyDescent="0.2">
      <c r="A1110">
        <v>1109</v>
      </c>
      <c r="B1110">
        <v>1550</v>
      </c>
      <c r="C1110">
        <f>1/COUNTIF(B:B,Table1[[#This Row],[order_id]])</f>
        <v>0.5</v>
      </c>
      <c r="D1110" t="str">
        <f>TEXT(Table1[[#This Row],[order_date]],"mmmm")</f>
        <v>March</v>
      </c>
      <c r="E1110" s="1">
        <v>45378</v>
      </c>
      <c r="F1110" s="1" t="str">
        <f>TEXT(Table1[[#This Row],[order_date]],"dddd")</f>
        <v>Wednesday</v>
      </c>
      <c r="G1110">
        <f>HOUR(Table1[[#This Row],[order_time]])</f>
        <v>9</v>
      </c>
      <c r="H1110" s="2">
        <v>0.4145949074074074</v>
      </c>
      <c r="I1110" t="s">
        <v>11</v>
      </c>
      <c r="J1110" t="s">
        <v>12</v>
      </c>
      <c r="K1110">
        <v>3</v>
      </c>
      <c r="L1110">
        <v>650</v>
      </c>
      <c r="M1110">
        <v>1950</v>
      </c>
      <c r="N1110">
        <f>IF(COUNTIFS($B$2:B1110,B1110)=1,1,0)</f>
        <v>1</v>
      </c>
    </row>
    <row r="1111" spans="1:14" x14ac:dyDescent="0.2">
      <c r="A1111">
        <v>1110</v>
      </c>
      <c r="B1111">
        <v>1550</v>
      </c>
      <c r="C1111">
        <f>1/COUNTIF(B:B,Table1[[#This Row],[order_id]])</f>
        <v>0.5</v>
      </c>
      <c r="D1111" t="str">
        <f>TEXT(Table1[[#This Row],[order_date]],"mmmm")</f>
        <v>March</v>
      </c>
      <c r="E1111" s="1">
        <v>45378</v>
      </c>
      <c r="F1111" s="1" t="str">
        <f>TEXT(Table1[[#This Row],[order_date]],"dddd")</f>
        <v>Wednesday</v>
      </c>
      <c r="G1111">
        <f>HOUR(Table1[[#This Row],[order_time]])</f>
        <v>18</v>
      </c>
      <c r="H1111" s="2">
        <v>0.78113425925925928</v>
      </c>
      <c r="I1111" t="s">
        <v>18</v>
      </c>
      <c r="J1111" t="s">
        <v>26</v>
      </c>
      <c r="K1111">
        <v>5</v>
      </c>
      <c r="L1111">
        <v>55</v>
      </c>
      <c r="M1111">
        <v>275</v>
      </c>
      <c r="N1111">
        <f>IF(COUNTIFS($B$2:B1111,B1111)=1,1,0)</f>
        <v>0</v>
      </c>
    </row>
    <row r="1112" spans="1:14" x14ac:dyDescent="0.2">
      <c r="A1112">
        <v>1111</v>
      </c>
      <c r="B1112">
        <v>1551</v>
      </c>
      <c r="C1112">
        <f>1/COUNTIF(B:B,Table1[[#This Row],[order_id]])</f>
        <v>0.5</v>
      </c>
      <c r="D1112" t="str">
        <f>TEXT(Table1[[#This Row],[order_date]],"mmmm")</f>
        <v>March</v>
      </c>
      <c r="E1112" s="1">
        <v>45378</v>
      </c>
      <c r="F1112" s="1" t="str">
        <f>TEXT(Table1[[#This Row],[order_date]],"dddd")</f>
        <v>Wednesday</v>
      </c>
      <c r="G1112">
        <f>HOUR(Table1[[#This Row],[order_time]])</f>
        <v>9</v>
      </c>
      <c r="H1112" s="2">
        <v>0.40429398148148149</v>
      </c>
      <c r="I1112" t="s">
        <v>18</v>
      </c>
      <c r="J1112" t="s">
        <v>27</v>
      </c>
      <c r="K1112">
        <v>4</v>
      </c>
      <c r="L1112">
        <v>40</v>
      </c>
      <c r="M1112">
        <v>160</v>
      </c>
      <c r="N1112">
        <f>IF(COUNTIFS($B$2:B1112,B1112)=1,1,0)</f>
        <v>1</v>
      </c>
    </row>
    <row r="1113" spans="1:14" x14ac:dyDescent="0.2">
      <c r="A1113">
        <v>1112</v>
      </c>
      <c r="B1113">
        <v>1551</v>
      </c>
      <c r="C1113">
        <f>1/COUNTIF(B:B,Table1[[#This Row],[order_id]])</f>
        <v>0.5</v>
      </c>
      <c r="D1113" t="str">
        <f>TEXT(Table1[[#This Row],[order_date]],"mmmm")</f>
        <v>March</v>
      </c>
      <c r="E1113" s="1">
        <v>45378</v>
      </c>
      <c r="F1113" s="1" t="str">
        <f>TEXT(Table1[[#This Row],[order_date]],"dddd")</f>
        <v>Wednesday</v>
      </c>
      <c r="G1113">
        <f>HOUR(Table1[[#This Row],[order_time]])</f>
        <v>12</v>
      </c>
      <c r="H1113" s="2">
        <v>0.53836805555555556</v>
      </c>
      <c r="I1113" t="s">
        <v>16</v>
      </c>
      <c r="J1113" t="s">
        <v>24</v>
      </c>
      <c r="K1113">
        <v>1</v>
      </c>
      <c r="L1113">
        <v>35</v>
      </c>
      <c r="M1113">
        <v>35</v>
      </c>
      <c r="N1113">
        <f>IF(COUNTIFS($B$2:B1113,B1113)=1,1,0)</f>
        <v>0</v>
      </c>
    </row>
    <row r="1114" spans="1:14" x14ac:dyDescent="0.2">
      <c r="A1114">
        <v>1113</v>
      </c>
      <c r="B1114">
        <v>1552</v>
      </c>
      <c r="C1114">
        <f>1/COUNTIF(B:B,Table1[[#This Row],[order_id]])</f>
        <v>1</v>
      </c>
      <c r="D1114" t="str">
        <f>TEXT(Table1[[#This Row],[order_date]],"mmmm")</f>
        <v>March</v>
      </c>
      <c r="E1114" s="1">
        <v>45378</v>
      </c>
      <c r="F1114" s="1" t="str">
        <f>TEXT(Table1[[#This Row],[order_date]],"dddd")</f>
        <v>Wednesday</v>
      </c>
      <c r="G1114">
        <f>HOUR(Table1[[#This Row],[order_time]])</f>
        <v>12</v>
      </c>
      <c r="H1114" s="2">
        <v>0.52806712962962965</v>
      </c>
      <c r="I1114" t="s">
        <v>9</v>
      </c>
      <c r="J1114" t="s">
        <v>10</v>
      </c>
      <c r="K1114">
        <v>5</v>
      </c>
      <c r="L1114">
        <v>20</v>
      </c>
      <c r="M1114">
        <v>100</v>
      </c>
      <c r="N1114">
        <f>IF(COUNTIFS($B$2:B1114,B1114)=1,1,0)</f>
        <v>1</v>
      </c>
    </row>
    <row r="1115" spans="1:14" x14ac:dyDescent="0.2">
      <c r="A1115">
        <v>1114</v>
      </c>
      <c r="B1115">
        <v>1553</v>
      </c>
      <c r="C1115">
        <f>1/COUNTIF(B:B,Table1[[#This Row],[order_id]])</f>
        <v>1</v>
      </c>
      <c r="D1115" t="str">
        <f>TEXT(Table1[[#This Row],[order_date]],"mmmm")</f>
        <v>March</v>
      </c>
      <c r="E1115" s="1">
        <v>45378</v>
      </c>
      <c r="F1115" s="1" t="str">
        <f>TEXT(Table1[[#This Row],[order_date]],"dddd")</f>
        <v>Wednesday</v>
      </c>
      <c r="G1115">
        <f>HOUR(Table1[[#This Row],[order_time]])</f>
        <v>11</v>
      </c>
      <c r="H1115" s="2">
        <v>0.48115740740740742</v>
      </c>
      <c r="I1115" t="s">
        <v>9</v>
      </c>
      <c r="J1115" t="s">
        <v>22</v>
      </c>
      <c r="K1115">
        <v>5</v>
      </c>
      <c r="L1115">
        <v>15</v>
      </c>
      <c r="M1115">
        <v>75</v>
      </c>
      <c r="N1115">
        <f>IF(COUNTIFS($B$2:B1115,B1115)=1,1,0)</f>
        <v>1</v>
      </c>
    </row>
    <row r="1116" spans="1:14" x14ac:dyDescent="0.2">
      <c r="A1116">
        <v>1115</v>
      </c>
      <c r="B1116">
        <v>1554</v>
      </c>
      <c r="C1116">
        <f>1/COUNTIF(B:B,Table1[[#This Row],[order_id]])</f>
        <v>0.33333333333333331</v>
      </c>
      <c r="D1116" t="str">
        <f>TEXT(Table1[[#This Row],[order_date]],"mmmm")</f>
        <v>March</v>
      </c>
      <c r="E1116" s="1">
        <v>45379</v>
      </c>
      <c r="F1116" s="1" t="str">
        <f>TEXT(Table1[[#This Row],[order_date]],"dddd")</f>
        <v>Thursday</v>
      </c>
      <c r="G1116">
        <f>HOUR(Table1[[#This Row],[order_time]])</f>
        <v>12</v>
      </c>
      <c r="H1116" s="2">
        <v>0.5280555555555555</v>
      </c>
      <c r="I1116" t="s">
        <v>16</v>
      </c>
      <c r="J1116" t="s">
        <v>24</v>
      </c>
      <c r="K1116">
        <v>3</v>
      </c>
      <c r="L1116">
        <v>35</v>
      </c>
      <c r="M1116">
        <v>105</v>
      </c>
      <c r="N1116">
        <f>IF(COUNTIFS($B$2:B1116,B1116)=1,1,0)</f>
        <v>1</v>
      </c>
    </row>
    <row r="1117" spans="1:14" x14ac:dyDescent="0.2">
      <c r="A1117">
        <v>1116</v>
      </c>
      <c r="B1117">
        <v>1554</v>
      </c>
      <c r="C1117">
        <f>1/COUNTIF(B:B,Table1[[#This Row],[order_id]])</f>
        <v>0.33333333333333331</v>
      </c>
      <c r="D1117" t="str">
        <f>TEXT(Table1[[#This Row],[order_date]],"mmmm")</f>
        <v>March</v>
      </c>
      <c r="E1117" s="1">
        <v>45379</v>
      </c>
      <c r="F1117" s="1" t="str">
        <f>TEXT(Table1[[#This Row],[order_date]],"dddd")</f>
        <v>Thursday</v>
      </c>
      <c r="G1117">
        <f>HOUR(Table1[[#This Row],[order_time]])</f>
        <v>19</v>
      </c>
      <c r="H1117" s="2">
        <v>0.81913194444444448</v>
      </c>
      <c r="I1117" t="s">
        <v>9</v>
      </c>
      <c r="J1117" t="s">
        <v>10</v>
      </c>
      <c r="K1117">
        <v>5</v>
      </c>
      <c r="L1117">
        <v>20</v>
      </c>
      <c r="M1117">
        <v>100</v>
      </c>
      <c r="N1117">
        <f>IF(COUNTIFS($B$2:B1117,B1117)=1,1,0)</f>
        <v>0</v>
      </c>
    </row>
    <row r="1118" spans="1:14" x14ac:dyDescent="0.2">
      <c r="A1118">
        <v>1117</v>
      </c>
      <c r="B1118">
        <v>1554</v>
      </c>
      <c r="C1118">
        <f>1/COUNTIF(B:B,Table1[[#This Row],[order_id]])</f>
        <v>0.33333333333333331</v>
      </c>
      <c r="D1118" t="str">
        <f>TEXT(Table1[[#This Row],[order_date]],"mmmm")</f>
        <v>March</v>
      </c>
      <c r="E1118" s="1">
        <v>45379</v>
      </c>
      <c r="F1118" s="1" t="str">
        <f>TEXT(Table1[[#This Row],[order_date]],"dddd")</f>
        <v>Thursday</v>
      </c>
      <c r="G1118">
        <f>HOUR(Table1[[#This Row],[order_time]])</f>
        <v>11</v>
      </c>
      <c r="H1118" s="2">
        <v>0.49137731481481484</v>
      </c>
      <c r="I1118" t="s">
        <v>18</v>
      </c>
      <c r="J1118" t="s">
        <v>19</v>
      </c>
      <c r="K1118">
        <v>4</v>
      </c>
      <c r="L1118">
        <v>50</v>
      </c>
      <c r="M1118">
        <v>200</v>
      </c>
      <c r="N1118">
        <f>IF(COUNTIFS($B$2:B1118,B1118)=1,1,0)</f>
        <v>0</v>
      </c>
    </row>
    <row r="1119" spans="1:14" x14ac:dyDescent="0.2">
      <c r="A1119">
        <v>1118</v>
      </c>
      <c r="B1119">
        <v>1555</v>
      </c>
      <c r="C1119">
        <f>1/COUNTIF(B:B,Table1[[#This Row],[order_id]])</f>
        <v>0.33333333333333331</v>
      </c>
      <c r="D1119" t="str">
        <f>TEXT(Table1[[#This Row],[order_date]],"mmmm")</f>
        <v>March</v>
      </c>
      <c r="E1119" s="1">
        <v>45379</v>
      </c>
      <c r="F1119" s="1" t="str">
        <f>TEXT(Table1[[#This Row],[order_date]],"dddd")</f>
        <v>Thursday</v>
      </c>
      <c r="G1119">
        <f>HOUR(Table1[[#This Row],[order_time]])</f>
        <v>9</v>
      </c>
      <c r="H1119" s="2">
        <v>0.39443287037037039</v>
      </c>
      <c r="I1119" t="s">
        <v>9</v>
      </c>
      <c r="J1119" t="s">
        <v>20</v>
      </c>
      <c r="K1119">
        <v>3</v>
      </c>
      <c r="L1119">
        <v>25</v>
      </c>
      <c r="M1119">
        <v>75</v>
      </c>
      <c r="N1119">
        <f>IF(COUNTIFS($B$2:B1119,B1119)=1,1,0)</f>
        <v>1</v>
      </c>
    </row>
    <row r="1120" spans="1:14" x14ac:dyDescent="0.2">
      <c r="A1120">
        <v>1119</v>
      </c>
      <c r="B1120">
        <v>1555</v>
      </c>
      <c r="C1120">
        <f>1/COUNTIF(B:B,Table1[[#This Row],[order_id]])</f>
        <v>0.33333333333333331</v>
      </c>
      <c r="D1120" t="str">
        <f>TEXT(Table1[[#This Row],[order_date]],"mmmm")</f>
        <v>March</v>
      </c>
      <c r="E1120" s="1">
        <v>45379</v>
      </c>
      <c r="F1120" s="1" t="str">
        <f>TEXT(Table1[[#This Row],[order_date]],"dddd")</f>
        <v>Thursday</v>
      </c>
      <c r="G1120">
        <f>HOUR(Table1[[#This Row],[order_time]])</f>
        <v>20</v>
      </c>
      <c r="H1120" s="2">
        <v>0.85351851851851857</v>
      </c>
      <c r="I1120" t="s">
        <v>9</v>
      </c>
      <c r="J1120" t="s">
        <v>21</v>
      </c>
      <c r="K1120">
        <v>3</v>
      </c>
      <c r="L1120">
        <v>10</v>
      </c>
      <c r="M1120">
        <v>30</v>
      </c>
      <c r="N1120">
        <f>IF(COUNTIFS($B$2:B1120,B1120)=1,1,0)</f>
        <v>0</v>
      </c>
    </row>
    <row r="1121" spans="1:14" x14ac:dyDescent="0.2">
      <c r="A1121">
        <v>1120</v>
      </c>
      <c r="B1121">
        <v>1555</v>
      </c>
      <c r="C1121">
        <f>1/COUNTIF(B:B,Table1[[#This Row],[order_id]])</f>
        <v>0.33333333333333331</v>
      </c>
      <c r="D1121" t="str">
        <f>TEXT(Table1[[#This Row],[order_date]],"mmmm")</f>
        <v>March</v>
      </c>
      <c r="E1121" s="1">
        <v>45379</v>
      </c>
      <c r="F1121" s="1" t="str">
        <f>TEXT(Table1[[#This Row],[order_date]],"dddd")</f>
        <v>Thursday</v>
      </c>
      <c r="G1121">
        <f>HOUR(Table1[[#This Row],[order_time]])</f>
        <v>19</v>
      </c>
      <c r="H1121" s="2">
        <v>0.82247685185185182</v>
      </c>
      <c r="I1121" t="s">
        <v>9</v>
      </c>
      <c r="J1121" t="s">
        <v>20</v>
      </c>
      <c r="K1121">
        <v>5</v>
      </c>
      <c r="L1121">
        <v>25</v>
      </c>
      <c r="M1121">
        <v>125</v>
      </c>
      <c r="N1121">
        <f>IF(COUNTIFS($B$2:B1121,B1121)=1,1,0)</f>
        <v>0</v>
      </c>
    </row>
    <row r="1122" spans="1:14" x14ac:dyDescent="0.2">
      <c r="A1122">
        <v>1121</v>
      </c>
      <c r="B1122">
        <v>1556</v>
      </c>
      <c r="C1122">
        <f>1/COUNTIF(B:B,Table1[[#This Row],[order_id]])</f>
        <v>1</v>
      </c>
      <c r="D1122" t="str">
        <f>TEXT(Table1[[#This Row],[order_date]],"mmmm")</f>
        <v>March</v>
      </c>
      <c r="E1122" s="1">
        <v>45379</v>
      </c>
      <c r="F1122" s="1" t="str">
        <f>TEXT(Table1[[#This Row],[order_date]],"dddd")</f>
        <v>Thursday</v>
      </c>
      <c r="G1122">
        <f>HOUR(Table1[[#This Row],[order_time]])</f>
        <v>10</v>
      </c>
      <c r="H1122" s="2">
        <v>0.45612268518518517</v>
      </c>
      <c r="I1122" t="s">
        <v>18</v>
      </c>
      <c r="J1122" t="s">
        <v>26</v>
      </c>
      <c r="K1122">
        <v>5</v>
      </c>
      <c r="L1122">
        <v>55</v>
      </c>
      <c r="M1122">
        <v>275</v>
      </c>
      <c r="N1122">
        <f>IF(COUNTIFS($B$2:B1122,B1122)=1,1,0)</f>
        <v>1</v>
      </c>
    </row>
    <row r="1123" spans="1:14" x14ac:dyDescent="0.2">
      <c r="A1123">
        <v>1122</v>
      </c>
      <c r="B1123">
        <v>1557</v>
      </c>
      <c r="C1123">
        <f>1/COUNTIF(B:B,Table1[[#This Row],[order_id]])</f>
        <v>0.5</v>
      </c>
      <c r="D1123" t="str">
        <f>TEXT(Table1[[#This Row],[order_date]],"mmmm")</f>
        <v>March</v>
      </c>
      <c r="E1123" s="1">
        <v>45379</v>
      </c>
      <c r="F1123" s="1" t="str">
        <f>TEXT(Table1[[#This Row],[order_date]],"dddd")</f>
        <v>Thursday</v>
      </c>
      <c r="G1123">
        <f>HOUR(Table1[[#This Row],[order_time]])</f>
        <v>16</v>
      </c>
      <c r="H1123" s="2">
        <v>0.67556712962962961</v>
      </c>
      <c r="I1123" t="s">
        <v>18</v>
      </c>
      <c r="J1123" t="s">
        <v>31</v>
      </c>
      <c r="K1123">
        <v>4</v>
      </c>
      <c r="L1123">
        <v>45</v>
      </c>
      <c r="M1123">
        <v>180</v>
      </c>
      <c r="N1123">
        <f>IF(COUNTIFS($B$2:B1123,B1123)=1,1,0)</f>
        <v>1</v>
      </c>
    </row>
    <row r="1124" spans="1:14" x14ac:dyDescent="0.2">
      <c r="A1124">
        <v>1123</v>
      </c>
      <c r="B1124">
        <v>1557</v>
      </c>
      <c r="C1124">
        <f>1/COUNTIF(B:B,Table1[[#This Row],[order_id]])</f>
        <v>0.5</v>
      </c>
      <c r="D1124" t="str">
        <f>TEXT(Table1[[#This Row],[order_date]],"mmmm")</f>
        <v>March</v>
      </c>
      <c r="E1124" s="1">
        <v>45379</v>
      </c>
      <c r="F1124" s="1" t="str">
        <f>TEXT(Table1[[#This Row],[order_date]],"dddd")</f>
        <v>Thursday</v>
      </c>
      <c r="G1124">
        <f>HOUR(Table1[[#This Row],[order_time]])</f>
        <v>15</v>
      </c>
      <c r="H1124" s="2">
        <v>0.66100694444444441</v>
      </c>
      <c r="I1124" t="s">
        <v>9</v>
      </c>
      <c r="J1124" t="s">
        <v>20</v>
      </c>
      <c r="K1124">
        <v>3</v>
      </c>
      <c r="L1124">
        <v>25</v>
      </c>
      <c r="M1124">
        <v>75</v>
      </c>
      <c r="N1124">
        <f>IF(COUNTIFS($B$2:B1124,B1124)=1,1,0)</f>
        <v>0</v>
      </c>
    </row>
    <row r="1125" spans="1:14" x14ac:dyDescent="0.2">
      <c r="A1125">
        <v>1124</v>
      </c>
      <c r="B1125">
        <v>1558</v>
      </c>
      <c r="C1125">
        <f>1/COUNTIF(B:B,Table1[[#This Row],[order_id]])</f>
        <v>0.33333333333333331</v>
      </c>
      <c r="D1125" t="str">
        <f>TEXT(Table1[[#This Row],[order_date]],"mmmm")</f>
        <v>March</v>
      </c>
      <c r="E1125" s="1">
        <v>45379</v>
      </c>
      <c r="F1125" s="1" t="str">
        <f>TEXT(Table1[[#This Row],[order_date]],"dddd")</f>
        <v>Thursday</v>
      </c>
      <c r="G1125">
        <f>HOUR(Table1[[#This Row],[order_time]])</f>
        <v>15</v>
      </c>
      <c r="H1125" s="2">
        <v>0.63777777777777778</v>
      </c>
      <c r="I1125" t="s">
        <v>16</v>
      </c>
      <c r="J1125" t="s">
        <v>28</v>
      </c>
      <c r="K1125">
        <v>5</v>
      </c>
      <c r="L1125">
        <v>25</v>
      </c>
      <c r="M1125">
        <v>125</v>
      </c>
      <c r="N1125">
        <f>IF(COUNTIFS($B$2:B1125,B1125)=1,1,0)</f>
        <v>1</v>
      </c>
    </row>
    <row r="1126" spans="1:14" x14ac:dyDescent="0.2">
      <c r="A1126">
        <v>1125</v>
      </c>
      <c r="B1126">
        <v>1558</v>
      </c>
      <c r="C1126">
        <f>1/COUNTIF(B:B,Table1[[#This Row],[order_id]])</f>
        <v>0.33333333333333331</v>
      </c>
      <c r="D1126" t="str">
        <f>TEXT(Table1[[#This Row],[order_date]],"mmmm")</f>
        <v>March</v>
      </c>
      <c r="E1126" s="1">
        <v>45379</v>
      </c>
      <c r="F1126" s="1" t="str">
        <f>TEXT(Table1[[#This Row],[order_date]],"dddd")</f>
        <v>Thursday</v>
      </c>
      <c r="G1126">
        <f>HOUR(Table1[[#This Row],[order_time]])</f>
        <v>17</v>
      </c>
      <c r="H1126" s="2">
        <v>0.73944444444444446</v>
      </c>
      <c r="I1126" t="s">
        <v>9</v>
      </c>
      <c r="J1126" t="s">
        <v>29</v>
      </c>
      <c r="K1126">
        <v>4</v>
      </c>
      <c r="L1126">
        <v>5</v>
      </c>
      <c r="M1126">
        <v>20</v>
      </c>
      <c r="N1126">
        <f>IF(COUNTIFS($B$2:B1126,B1126)=1,1,0)</f>
        <v>0</v>
      </c>
    </row>
    <row r="1127" spans="1:14" x14ac:dyDescent="0.2">
      <c r="A1127">
        <v>1126</v>
      </c>
      <c r="B1127">
        <v>1558</v>
      </c>
      <c r="C1127">
        <f>1/COUNTIF(B:B,Table1[[#This Row],[order_id]])</f>
        <v>0.33333333333333331</v>
      </c>
      <c r="D1127" t="str">
        <f>TEXT(Table1[[#This Row],[order_date]],"mmmm")</f>
        <v>March</v>
      </c>
      <c r="E1127" s="1">
        <v>45379</v>
      </c>
      <c r="F1127" s="1" t="str">
        <f>TEXT(Table1[[#This Row],[order_date]],"dddd")</f>
        <v>Thursday</v>
      </c>
      <c r="G1127">
        <f>HOUR(Table1[[#This Row],[order_time]])</f>
        <v>16</v>
      </c>
      <c r="H1127" s="2">
        <v>0.70460648148148153</v>
      </c>
      <c r="I1127" t="s">
        <v>9</v>
      </c>
      <c r="J1127" t="s">
        <v>22</v>
      </c>
      <c r="K1127">
        <v>4</v>
      </c>
      <c r="L1127">
        <v>15</v>
      </c>
      <c r="M1127">
        <v>60</v>
      </c>
      <c r="N1127">
        <f>IF(COUNTIFS($B$2:B1127,B1127)=1,1,0)</f>
        <v>0</v>
      </c>
    </row>
    <row r="1128" spans="1:14" x14ac:dyDescent="0.2">
      <c r="A1128">
        <v>1127</v>
      </c>
      <c r="B1128">
        <v>1559</v>
      </c>
      <c r="C1128">
        <f>1/COUNTIF(B:B,Table1[[#This Row],[order_id]])</f>
        <v>0.5</v>
      </c>
      <c r="D1128" t="str">
        <f>TEXT(Table1[[#This Row],[order_date]],"mmmm")</f>
        <v>March</v>
      </c>
      <c r="E1128" s="1">
        <v>45379</v>
      </c>
      <c r="F1128" s="1" t="str">
        <f>TEXT(Table1[[#This Row],[order_date]],"dddd")</f>
        <v>Thursday</v>
      </c>
      <c r="G1128">
        <f>HOUR(Table1[[#This Row],[order_time]])</f>
        <v>14</v>
      </c>
      <c r="H1128" s="2">
        <v>0.62146990740740737</v>
      </c>
      <c r="I1128" t="s">
        <v>9</v>
      </c>
      <c r="J1128" t="s">
        <v>20</v>
      </c>
      <c r="K1128">
        <v>4</v>
      </c>
      <c r="L1128">
        <v>25</v>
      </c>
      <c r="M1128">
        <v>100</v>
      </c>
      <c r="N1128">
        <f>IF(COUNTIFS($B$2:B1128,B1128)=1,1,0)</f>
        <v>1</v>
      </c>
    </row>
    <row r="1129" spans="1:14" x14ac:dyDescent="0.2">
      <c r="A1129">
        <v>1128</v>
      </c>
      <c r="B1129">
        <v>1559</v>
      </c>
      <c r="C1129">
        <f>1/COUNTIF(B:B,Table1[[#This Row],[order_id]])</f>
        <v>0.5</v>
      </c>
      <c r="D1129" t="str">
        <f>TEXT(Table1[[#This Row],[order_date]],"mmmm")</f>
        <v>March</v>
      </c>
      <c r="E1129" s="1">
        <v>45379</v>
      </c>
      <c r="F1129" s="1" t="str">
        <f>TEXT(Table1[[#This Row],[order_date]],"dddd")</f>
        <v>Thursday</v>
      </c>
      <c r="G1129">
        <f>HOUR(Table1[[#This Row],[order_time]])</f>
        <v>17</v>
      </c>
      <c r="H1129" s="2">
        <v>0.73064814814814816</v>
      </c>
      <c r="I1129" t="s">
        <v>11</v>
      </c>
      <c r="J1129" t="s">
        <v>25</v>
      </c>
      <c r="K1129">
        <v>5</v>
      </c>
      <c r="L1129">
        <v>1000</v>
      </c>
      <c r="M1129">
        <v>5000</v>
      </c>
      <c r="N1129">
        <f>IF(COUNTIFS($B$2:B1129,B1129)=1,1,0)</f>
        <v>0</v>
      </c>
    </row>
    <row r="1130" spans="1:14" x14ac:dyDescent="0.2">
      <c r="A1130">
        <v>1129</v>
      </c>
      <c r="B1130">
        <v>1560</v>
      </c>
      <c r="C1130">
        <f>1/COUNTIF(B:B,Table1[[#This Row],[order_id]])</f>
        <v>1</v>
      </c>
      <c r="D1130" t="str">
        <f>TEXT(Table1[[#This Row],[order_date]],"mmmm")</f>
        <v>March</v>
      </c>
      <c r="E1130" s="1">
        <v>45379</v>
      </c>
      <c r="F1130" s="1" t="str">
        <f>TEXT(Table1[[#This Row],[order_date]],"dddd")</f>
        <v>Thursday</v>
      </c>
      <c r="G1130">
        <f>HOUR(Table1[[#This Row],[order_time]])</f>
        <v>16</v>
      </c>
      <c r="H1130" s="2">
        <v>0.66826388888888888</v>
      </c>
      <c r="I1130" t="s">
        <v>9</v>
      </c>
      <c r="J1130" t="s">
        <v>20</v>
      </c>
      <c r="K1130">
        <v>2</v>
      </c>
      <c r="L1130">
        <v>25</v>
      </c>
      <c r="M1130">
        <v>50</v>
      </c>
      <c r="N1130">
        <f>IF(COUNTIFS($B$2:B1130,B1130)=1,1,0)</f>
        <v>1</v>
      </c>
    </row>
    <row r="1131" spans="1:14" x14ac:dyDescent="0.2">
      <c r="A1131">
        <v>1130</v>
      </c>
      <c r="B1131">
        <v>1561</v>
      </c>
      <c r="C1131">
        <f>1/COUNTIF(B:B,Table1[[#This Row],[order_id]])</f>
        <v>0.33333333333333331</v>
      </c>
      <c r="D1131" t="str">
        <f>TEXT(Table1[[#This Row],[order_date]],"mmmm")</f>
        <v>March</v>
      </c>
      <c r="E1131" s="1">
        <v>45379</v>
      </c>
      <c r="F1131" s="1" t="str">
        <f>TEXT(Table1[[#This Row],[order_date]],"dddd")</f>
        <v>Thursday</v>
      </c>
      <c r="G1131">
        <f>HOUR(Table1[[#This Row],[order_time]])</f>
        <v>17</v>
      </c>
      <c r="H1131" s="2">
        <v>0.74986111111111109</v>
      </c>
      <c r="I1131" t="s">
        <v>9</v>
      </c>
      <c r="J1131" t="s">
        <v>10</v>
      </c>
      <c r="K1131">
        <v>1</v>
      </c>
      <c r="L1131">
        <v>20</v>
      </c>
      <c r="M1131">
        <v>20</v>
      </c>
      <c r="N1131">
        <f>IF(COUNTIFS($B$2:B1131,B1131)=1,1,0)</f>
        <v>1</v>
      </c>
    </row>
    <row r="1132" spans="1:14" x14ac:dyDescent="0.2">
      <c r="A1132">
        <v>1131</v>
      </c>
      <c r="B1132">
        <v>1561</v>
      </c>
      <c r="C1132">
        <f>1/COUNTIF(B:B,Table1[[#This Row],[order_id]])</f>
        <v>0.33333333333333331</v>
      </c>
      <c r="D1132" t="str">
        <f>TEXT(Table1[[#This Row],[order_date]],"mmmm")</f>
        <v>March</v>
      </c>
      <c r="E1132" s="1">
        <v>45379</v>
      </c>
      <c r="F1132" s="1" t="str">
        <f>TEXT(Table1[[#This Row],[order_date]],"dddd")</f>
        <v>Thursday</v>
      </c>
      <c r="G1132">
        <f>HOUR(Table1[[#This Row],[order_time]])</f>
        <v>12</v>
      </c>
      <c r="H1132" s="2">
        <v>0.51107638888888884</v>
      </c>
      <c r="I1132" t="s">
        <v>11</v>
      </c>
      <c r="J1132" t="s">
        <v>13</v>
      </c>
      <c r="K1132">
        <v>2</v>
      </c>
      <c r="L1132">
        <v>680</v>
      </c>
      <c r="M1132">
        <v>1360</v>
      </c>
      <c r="N1132">
        <f>IF(COUNTIFS($B$2:B1132,B1132)=1,1,0)</f>
        <v>0</v>
      </c>
    </row>
    <row r="1133" spans="1:14" x14ac:dyDescent="0.2">
      <c r="A1133">
        <v>1132</v>
      </c>
      <c r="B1133">
        <v>1561</v>
      </c>
      <c r="C1133">
        <f>1/COUNTIF(B:B,Table1[[#This Row],[order_id]])</f>
        <v>0.33333333333333331</v>
      </c>
      <c r="D1133" t="str">
        <f>TEXT(Table1[[#This Row],[order_date]],"mmmm")</f>
        <v>March</v>
      </c>
      <c r="E1133" s="1">
        <v>45379</v>
      </c>
      <c r="F1133" s="1" t="str">
        <f>TEXT(Table1[[#This Row],[order_date]],"dddd")</f>
        <v>Thursday</v>
      </c>
      <c r="G1133">
        <f>HOUR(Table1[[#This Row],[order_time]])</f>
        <v>10</v>
      </c>
      <c r="H1133" s="2">
        <v>0.43438657407407405</v>
      </c>
      <c r="I1133" t="s">
        <v>18</v>
      </c>
      <c r="J1133" t="s">
        <v>31</v>
      </c>
      <c r="K1133">
        <v>2</v>
      </c>
      <c r="L1133">
        <v>45</v>
      </c>
      <c r="M1133">
        <v>90</v>
      </c>
      <c r="N1133">
        <f>IF(COUNTIFS($B$2:B1133,B1133)=1,1,0)</f>
        <v>0</v>
      </c>
    </row>
    <row r="1134" spans="1:14" x14ac:dyDescent="0.2">
      <c r="A1134">
        <v>1133</v>
      </c>
      <c r="B1134">
        <v>1562</v>
      </c>
      <c r="C1134">
        <f>1/COUNTIF(B:B,Table1[[#This Row],[order_id]])</f>
        <v>0.33333333333333331</v>
      </c>
      <c r="D1134" t="str">
        <f>TEXT(Table1[[#This Row],[order_date]],"mmmm")</f>
        <v>March</v>
      </c>
      <c r="E1134" s="1">
        <v>45380</v>
      </c>
      <c r="F1134" s="1" t="str">
        <f>TEXT(Table1[[#This Row],[order_date]],"dddd")</f>
        <v>Friday</v>
      </c>
      <c r="G1134">
        <f>HOUR(Table1[[#This Row],[order_time]])</f>
        <v>16</v>
      </c>
      <c r="H1134" s="2">
        <v>0.67289351851851853</v>
      </c>
      <c r="I1134" t="s">
        <v>9</v>
      </c>
      <c r="J1134" t="s">
        <v>29</v>
      </c>
      <c r="K1134">
        <v>2</v>
      </c>
      <c r="L1134">
        <v>5</v>
      </c>
      <c r="M1134">
        <v>10</v>
      </c>
      <c r="N1134">
        <f>IF(COUNTIFS($B$2:B1134,B1134)=1,1,0)</f>
        <v>1</v>
      </c>
    </row>
    <row r="1135" spans="1:14" x14ac:dyDescent="0.2">
      <c r="A1135">
        <v>1134</v>
      </c>
      <c r="B1135">
        <v>1562</v>
      </c>
      <c r="C1135">
        <f>1/COUNTIF(B:B,Table1[[#This Row],[order_id]])</f>
        <v>0.33333333333333331</v>
      </c>
      <c r="D1135" t="str">
        <f>TEXT(Table1[[#This Row],[order_date]],"mmmm")</f>
        <v>March</v>
      </c>
      <c r="E1135" s="1">
        <v>45380</v>
      </c>
      <c r="F1135" s="1" t="str">
        <f>TEXT(Table1[[#This Row],[order_date]],"dddd")</f>
        <v>Friday</v>
      </c>
      <c r="G1135">
        <f>HOUR(Table1[[#This Row],[order_time]])</f>
        <v>20</v>
      </c>
      <c r="H1135" s="2">
        <v>0.8629282407407407</v>
      </c>
      <c r="I1135" t="s">
        <v>11</v>
      </c>
      <c r="J1135" t="s">
        <v>13</v>
      </c>
      <c r="K1135">
        <v>1</v>
      </c>
      <c r="L1135">
        <v>680</v>
      </c>
      <c r="M1135">
        <v>680</v>
      </c>
      <c r="N1135">
        <f>IF(COUNTIFS($B$2:B1135,B1135)=1,1,0)</f>
        <v>0</v>
      </c>
    </row>
    <row r="1136" spans="1:14" x14ac:dyDescent="0.2">
      <c r="A1136">
        <v>1135</v>
      </c>
      <c r="B1136">
        <v>1562</v>
      </c>
      <c r="C1136">
        <f>1/COUNTIF(B:B,Table1[[#This Row],[order_id]])</f>
        <v>0.33333333333333331</v>
      </c>
      <c r="D1136" t="str">
        <f>TEXT(Table1[[#This Row],[order_date]],"mmmm")</f>
        <v>March</v>
      </c>
      <c r="E1136" s="1">
        <v>45380</v>
      </c>
      <c r="F1136" s="1" t="str">
        <f>TEXT(Table1[[#This Row],[order_date]],"dddd")</f>
        <v>Friday</v>
      </c>
      <c r="G1136">
        <f>HOUR(Table1[[#This Row],[order_time]])</f>
        <v>14</v>
      </c>
      <c r="H1136" s="2">
        <v>0.58694444444444449</v>
      </c>
      <c r="I1136" t="s">
        <v>11</v>
      </c>
      <c r="J1136" t="s">
        <v>15</v>
      </c>
      <c r="K1136">
        <v>5</v>
      </c>
      <c r="L1136">
        <v>600</v>
      </c>
      <c r="M1136">
        <v>3000</v>
      </c>
      <c r="N1136">
        <f>IF(COUNTIFS($B$2:B1136,B1136)=1,1,0)</f>
        <v>0</v>
      </c>
    </row>
    <row r="1137" spans="1:14" x14ac:dyDescent="0.2">
      <c r="A1137">
        <v>1136</v>
      </c>
      <c r="B1137">
        <v>1563</v>
      </c>
      <c r="C1137">
        <f>1/COUNTIF(B:B,Table1[[#This Row],[order_id]])</f>
        <v>1</v>
      </c>
      <c r="D1137" t="str">
        <f>TEXT(Table1[[#This Row],[order_date]],"mmmm")</f>
        <v>March</v>
      </c>
      <c r="E1137" s="1">
        <v>45380</v>
      </c>
      <c r="F1137" s="1" t="str">
        <f>TEXT(Table1[[#This Row],[order_date]],"dddd")</f>
        <v>Friday</v>
      </c>
      <c r="G1137">
        <f>HOUR(Table1[[#This Row],[order_time]])</f>
        <v>14</v>
      </c>
      <c r="H1137" s="2">
        <v>0.59002314814814816</v>
      </c>
      <c r="I1137" t="s">
        <v>16</v>
      </c>
      <c r="J1137" t="s">
        <v>17</v>
      </c>
      <c r="K1137">
        <v>3</v>
      </c>
      <c r="L1137">
        <v>20</v>
      </c>
      <c r="M1137">
        <v>60</v>
      </c>
      <c r="N1137">
        <f>IF(COUNTIFS($B$2:B1137,B1137)=1,1,0)</f>
        <v>1</v>
      </c>
    </row>
    <row r="1138" spans="1:14" x14ac:dyDescent="0.2">
      <c r="A1138">
        <v>1137</v>
      </c>
      <c r="B1138">
        <v>1564</v>
      </c>
      <c r="C1138">
        <f>1/COUNTIF(B:B,Table1[[#This Row],[order_id]])</f>
        <v>1</v>
      </c>
      <c r="D1138" t="str">
        <f>TEXT(Table1[[#This Row],[order_date]],"mmmm")</f>
        <v>March</v>
      </c>
      <c r="E1138" s="1">
        <v>45380</v>
      </c>
      <c r="F1138" s="1" t="str">
        <f>TEXT(Table1[[#This Row],[order_date]],"dddd")</f>
        <v>Friday</v>
      </c>
      <c r="G1138">
        <f>HOUR(Table1[[#This Row],[order_time]])</f>
        <v>18</v>
      </c>
      <c r="H1138" s="2">
        <v>0.78831018518518514</v>
      </c>
      <c r="I1138" t="s">
        <v>9</v>
      </c>
      <c r="J1138" t="s">
        <v>22</v>
      </c>
      <c r="K1138">
        <v>3</v>
      </c>
      <c r="L1138">
        <v>15</v>
      </c>
      <c r="M1138">
        <v>45</v>
      </c>
      <c r="N1138">
        <f>IF(COUNTIFS($B$2:B1138,B1138)=1,1,0)</f>
        <v>1</v>
      </c>
    </row>
    <row r="1139" spans="1:14" x14ac:dyDescent="0.2">
      <c r="A1139">
        <v>1138</v>
      </c>
      <c r="B1139">
        <v>1565</v>
      </c>
      <c r="C1139">
        <f>1/COUNTIF(B:B,Table1[[#This Row],[order_id]])</f>
        <v>0.33333333333333331</v>
      </c>
      <c r="D1139" t="str">
        <f>TEXT(Table1[[#This Row],[order_date]],"mmmm")</f>
        <v>March</v>
      </c>
      <c r="E1139" s="1">
        <v>45380</v>
      </c>
      <c r="F1139" s="1" t="str">
        <f>TEXT(Table1[[#This Row],[order_date]],"dddd")</f>
        <v>Friday</v>
      </c>
      <c r="G1139">
        <f>HOUR(Table1[[#This Row],[order_time]])</f>
        <v>19</v>
      </c>
      <c r="H1139" s="2">
        <v>0.83049768518518519</v>
      </c>
      <c r="I1139" t="s">
        <v>9</v>
      </c>
      <c r="J1139" t="s">
        <v>10</v>
      </c>
      <c r="K1139">
        <v>4</v>
      </c>
      <c r="L1139">
        <v>20</v>
      </c>
      <c r="M1139">
        <v>80</v>
      </c>
      <c r="N1139">
        <f>IF(COUNTIFS($B$2:B1139,B1139)=1,1,0)</f>
        <v>1</v>
      </c>
    </row>
    <row r="1140" spans="1:14" x14ac:dyDescent="0.2">
      <c r="A1140">
        <v>1139</v>
      </c>
      <c r="B1140">
        <v>1565</v>
      </c>
      <c r="C1140">
        <f>1/COUNTIF(B:B,Table1[[#This Row],[order_id]])</f>
        <v>0.33333333333333331</v>
      </c>
      <c r="D1140" t="str">
        <f>TEXT(Table1[[#This Row],[order_date]],"mmmm")</f>
        <v>March</v>
      </c>
      <c r="E1140" s="1">
        <v>45380</v>
      </c>
      <c r="F1140" s="1" t="str">
        <f>TEXT(Table1[[#This Row],[order_date]],"dddd")</f>
        <v>Friday</v>
      </c>
      <c r="G1140">
        <f>HOUR(Table1[[#This Row],[order_time]])</f>
        <v>18</v>
      </c>
      <c r="H1140" s="2">
        <v>0.77995370370370365</v>
      </c>
      <c r="I1140" t="s">
        <v>9</v>
      </c>
      <c r="J1140" t="s">
        <v>21</v>
      </c>
      <c r="K1140">
        <v>2</v>
      </c>
      <c r="L1140">
        <v>10</v>
      </c>
      <c r="M1140">
        <v>20</v>
      </c>
      <c r="N1140">
        <f>IF(COUNTIFS($B$2:B1140,B1140)=1,1,0)</f>
        <v>0</v>
      </c>
    </row>
    <row r="1141" spans="1:14" x14ac:dyDescent="0.2">
      <c r="A1141">
        <v>1140</v>
      </c>
      <c r="B1141">
        <v>1565</v>
      </c>
      <c r="C1141">
        <f>1/COUNTIF(B:B,Table1[[#This Row],[order_id]])</f>
        <v>0.33333333333333331</v>
      </c>
      <c r="D1141" t="str">
        <f>TEXT(Table1[[#This Row],[order_date]],"mmmm")</f>
        <v>March</v>
      </c>
      <c r="E1141" s="1">
        <v>45380</v>
      </c>
      <c r="F1141" s="1" t="str">
        <f>TEXT(Table1[[#This Row],[order_date]],"dddd")</f>
        <v>Friday</v>
      </c>
      <c r="G1141">
        <f>HOUR(Table1[[#This Row],[order_time]])</f>
        <v>20</v>
      </c>
      <c r="H1141" s="2">
        <v>0.83348379629629632</v>
      </c>
      <c r="I1141" t="s">
        <v>18</v>
      </c>
      <c r="J1141" t="s">
        <v>27</v>
      </c>
      <c r="K1141">
        <v>2</v>
      </c>
      <c r="L1141">
        <v>40</v>
      </c>
      <c r="M1141">
        <v>80</v>
      </c>
      <c r="N1141">
        <f>IF(COUNTIFS($B$2:B1141,B1141)=1,1,0)</f>
        <v>0</v>
      </c>
    </row>
    <row r="1142" spans="1:14" x14ac:dyDescent="0.2">
      <c r="A1142">
        <v>1141</v>
      </c>
      <c r="B1142">
        <v>1566</v>
      </c>
      <c r="C1142">
        <f>1/COUNTIF(B:B,Table1[[#This Row],[order_id]])</f>
        <v>1</v>
      </c>
      <c r="D1142" t="str">
        <f>TEXT(Table1[[#This Row],[order_date]],"mmmm")</f>
        <v>March</v>
      </c>
      <c r="E1142" s="1">
        <v>45380</v>
      </c>
      <c r="F1142" s="1" t="str">
        <f>TEXT(Table1[[#This Row],[order_date]],"dddd")</f>
        <v>Friday</v>
      </c>
      <c r="G1142">
        <f>HOUR(Table1[[#This Row],[order_time]])</f>
        <v>10</v>
      </c>
      <c r="H1142" s="2">
        <v>0.45394675925925926</v>
      </c>
      <c r="I1142" t="s">
        <v>16</v>
      </c>
      <c r="J1142" t="s">
        <v>28</v>
      </c>
      <c r="K1142">
        <v>4</v>
      </c>
      <c r="L1142">
        <v>25</v>
      </c>
      <c r="M1142">
        <v>100</v>
      </c>
      <c r="N1142">
        <f>IF(COUNTIFS($B$2:B1142,B1142)=1,1,0)</f>
        <v>1</v>
      </c>
    </row>
    <row r="1143" spans="1:14" x14ac:dyDescent="0.2">
      <c r="A1143">
        <v>1142</v>
      </c>
      <c r="B1143">
        <v>1567</v>
      </c>
      <c r="C1143">
        <f>1/COUNTIF(B:B,Table1[[#This Row],[order_id]])</f>
        <v>0.5</v>
      </c>
      <c r="D1143" t="str">
        <f>TEXT(Table1[[#This Row],[order_date]],"mmmm")</f>
        <v>March</v>
      </c>
      <c r="E1143" s="1">
        <v>45381</v>
      </c>
      <c r="F1143" s="1" t="str">
        <f>TEXT(Table1[[#This Row],[order_date]],"dddd")</f>
        <v>Saturday</v>
      </c>
      <c r="G1143">
        <f>HOUR(Table1[[#This Row],[order_time]])</f>
        <v>20</v>
      </c>
      <c r="H1143" s="2">
        <v>0.85076388888888888</v>
      </c>
      <c r="I1143" t="s">
        <v>18</v>
      </c>
      <c r="J1143" t="s">
        <v>31</v>
      </c>
      <c r="K1143">
        <v>3</v>
      </c>
      <c r="L1143">
        <v>45</v>
      </c>
      <c r="M1143">
        <v>135</v>
      </c>
      <c r="N1143">
        <f>IF(COUNTIFS($B$2:B1143,B1143)=1,1,0)</f>
        <v>1</v>
      </c>
    </row>
    <row r="1144" spans="1:14" x14ac:dyDescent="0.2">
      <c r="A1144">
        <v>1143</v>
      </c>
      <c r="B1144">
        <v>1567</v>
      </c>
      <c r="C1144">
        <f>1/COUNTIF(B:B,Table1[[#This Row],[order_id]])</f>
        <v>0.5</v>
      </c>
      <c r="D1144" t="str">
        <f>TEXT(Table1[[#This Row],[order_date]],"mmmm")</f>
        <v>March</v>
      </c>
      <c r="E1144" s="1">
        <v>45381</v>
      </c>
      <c r="F1144" s="1" t="str">
        <f>TEXT(Table1[[#This Row],[order_date]],"dddd")</f>
        <v>Saturday</v>
      </c>
      <c r="G1144">
        <f>HOUR(Table1[[#This Row],[order_time]])</f>
        <v>18</v>
      </c>
      <c r="H1144" s="2">
        <v>0.7892824074074074</v>
      </c>
      <c r="I1144" t="s">
        <v>18</v>
      </c>
      <c r="J1144" t="s">
        <v>30</v>
      </c>
      <c r="K1144">
        <v>4</v>
      </c>
      <c r="L1144">
        <v>60</v>
      </c>
      <c r="M1144">
        <v>240</v>
      </c>
      <c r="N1144">
        <f>IF(COUNTIFS($B$2:B1144,B1144)=1,1,0)</f>
        <v>0</v>
      </c>
    </row>
    <row r="1145" spans="1:14" x14ac:dyDescent="0.2">
      <c r="A1145">
        <v>1144</v>
      </c>
      <c r="B1145">
        <v>1568</v>
      </c>
      <c r="C1145">
        <f>1/COUNTIF(B:B,Table1[[#This Row],[order_id]])</f>
        <v>0.33333333333333331</v>
      </c>
      <c r="D1145" t="str">
        <f>TEXT(Table1[[#This Row],[order_date]],"mmmm")</f>
        <v>March</v>
      </c>
      <c r="E1145" s="1">
        <v>45381</v>
      </c>
      <c r="F1145" s="1" t="str">
        <f>TEXT(Table1[[#This Row],[order_date]],"dddd")</f>
        <v>Saturday</v>
      </c>
      <c r="G1145">
        <f>HOUR(Table1[[#This Row],[order_time]])</f>
        <v>12</v>
      </c>
      <c r="H1145" s="2">
        <v>0.53532407407407412</v>
      </c>
      <c r="I1145" t="s">
        <v>9</v>
      </c>
      <c r="J1145" t="s">
        <v>22</v>
      </c>
      <c r="K1145">
        <v>2</v>
      </c>
      <c r="L1145">
        <v>15</v>
      </c>
      <c r="M1145">
        <v>30</v>
      </c>
      <c r="N1145">
        <f>IF(COUNTIFS($B$2:B1145,B1145)=1,1,0)</f>
        <v>1</v>
      </c>
    </row>
    <row r="1146" spans="1:14" x14ac:dyDescent="0.2">
      <c r="A1146">
        <v>1145</v>
      </c>
      <c r="B1146">
        <v>1568</v>
      </c>
      <c r="C1146">
        <f>1/COUNTIF(B:B,Table1[[#This Row],[order_id]])</f>
        <v>0.33333333333333331</v>
      </c>
      <c r="D1146" t="str">
        <f>TEXT(Table1[[#This Row],[order_date]],"mmmm")</f>
        <v>March</v>
      </c>
      <c r="E1146" s="1">
        <v>45381</v>
      </c>
      <c r="F1146" s="1" t="str">
        <f>TEXT(Table1[[#This Row],[order_date]],"dddd")</f>
        <v>Saturday</v>
      </c>
      <c r="G1146">
        <f>HOUR(Table1[[#This Row],[order_time]])</f>
        <v>12</v>
      </c>
      <c r="H1146" s="2">
        <v>0.50247685185185187</v>
      </c>
      <c r="I1146" t="s">
        <v>9</v>
      </c>
      <c r="J1146" t="s">
        <v>20</v>
      </c>
      <c r="K1146">
        <v>1</v>
      </c>
      <c r="L1146">
        <v>25</v>
      </c>
      <c r="M1146">
        <v>25</v>
      </c>
      <c r="N1146">
        <f>IF(COUNTIFS($B$2:B1146,B1146)=1,1,0)</f>
        <v>0</v>
      </c>
    </row>
    <row r="1147" spans="1:14" x14ac:dyDescent="0.2">
      <c r="A1147">
        <v>1146</v>
      </c>
      <c r="B1147">
        <v>1568</v>
      </c>
      <c r="C1147">
        <f>1/COUNTIF(B:B,Table1[[#This Row],[order_id]])</f>
        <v>0.33333333333333331</v>
      </c>
      <c r="D1147" t="str">
        <f>TEXT(Table1[[#This Row],[order_date]],"mmmm")</f>
        <v>March</v>
      </c>
      <c r="E1147" s="1">
        <v>45381</v>
      </c>
      <c r="F1147" s="1" t="str">
        <f>TEXT(Table1[[#This Row],[order_date]],"dddd")</f>
        <v>Saturday</v>
      </c>
      <c r="G1147">
        <f>HOUR(Table1[[#This Row],[order_time]])</f>
        <v>12</v>
      </c>
      <c r="H1147" s="2">
        <v>0.54008101851851853</v>
      </c>
      <c r="I1147" t="s">
        <v>18</v>
      </c>
      <c r="J1147" t="s">
        <v>30</v>
      </c>
      <c r="K1147">
        <v>4</v>
      </c>
      <c r="L1147">
        <v>60</v>
      </c>
      <c r="M1147">
        <v>240</v>
      </c>
      <c r="N1147">
        <f>IF(COUNTIFS($B$2:B1147,B1147)=1,1,0)</f>
        <v>0</v>
      </c>
    </row>
    <row r="1148" spans="1:14" x14ac:dyDescent="0.2">
      <c r="A1148">
        <v>1147</v>
      </c>
      <c r="B1148">
        <v>1569</v>
      </c>
      <c r="C1148">
        <f>1/COUNTIF(B:B,Table1[[#This Row],[order_id]])</f>
        <v>1</v>
      </c>
      <c r="D1148" t="str">
        <f>TEXT(Table1[[#This Row],[order_date]],"mmmm")</f>
        <v>March</v>
      </c>
      <c r="E1148" s="1">
        <v>45381</v>
      </c>
      <c r="F1148" s="1" t="str">
        <f>TEXT(Table1[[#This Row],[order_date]],"dddd")</f>
        <v>Saturday</v>
      </c>
      <c r="G1148">
        <f>HOUR(Table1[[#This Row],[order_time]])</f>
        <v>11</v>
      </c>
      <c r="H1148" s="2">
        <v>0.49034722222222221</v>
      </c>
      <c r="I1148" t="s">
        <v>9</v>
      </c>
      <c r="J1148" t="s">
        <v>10</v>
      </c>
      <c r="K1148">
        <v>1</v>
      </c>
      <c r="L1148">
        <v>20</v>
      </c>
      <c r="M1148">
        <v>20</v>
      </c>
      <c r="N1148">
        <f>IF(COUNTIFS($B$2:B1148,B1148)=1,1,0)</f>
        <v>1</v>
      </c>
    </row>
    <row r="1149" spans="1:14" x14ac:dyDescent="0.2">
      <c r="A1149">
        <v>1148</v>
      </c>
      <c r="B1149">
        <v>1570</v>
      </c>
      <c r="C1149">
        <f>1/COUNTIF(B:B,Table1[[#This Row],[order_id]])</f>
        <v>0.5</v>
      </c>
      <c r="D1149" t="str">
        <f>TEXT(Table1[[#This Row],[order_date]],"mmmm")</f>
        <v>March</v>
      </c>
      <c r="E1149" s="1">
        <v>45381</v>
      </c>
      <c r="F1149" s="1" t="str">
        <f>TEXT(Table1[[#This Row],[order_date]],"dddd")</f>
        <v>Saturday</v>
      </c>
      <c r="G1149">
        <f>HOUR(Table1[[#This Row],[order_time]])</f>
        <v>9</v>
      </c>
      <c r="H1149" s="2">
        <v>0.41062500000000002</v>
      </c>
      <c r="I1149" t="s">
        <v>18</v>
      </c>
      <c r="J1149" t="s">
        <v>26</v>
      </c>
      <c r="K1149">
        <v>5</v>
      </c>
      <c r="L1149">
        <v>55</v>
      </c>
      <c r="M1149">
        <v>275</v>
      </c>
      <c r="N1149">
        <f>IF(COUNTIFS($B$2:B1149,B1149)=1,1,0)</f>
        <v>1</v>
      </c>
    </row>
    <row r="1150" spans="1:14" x14ac:dyDescent="0.2">
      <c r="A1150">
        <v>1149</v>
      </c>
      <c r="B1150">
        <v>1570</v>
      </c>
      <c r="C1150">
        <f>1/COUNTIF(B:B,Table1[[#This Row],[order_id]])</f>
        <v>0.5</v>
      </c>
      <c r="D1150" t="str">
        <f>TEXT(Table1[[#This Row],[order_date]],"mmmm")</f>
        <v>March</v>
      </c>
      <c r="E1150" s="1">
        <v>45381</v>
      </c>
      <c r="F1150" s="1" t="str">
        <f>TEXT(Table1[[#This Row],[order_date]],"dddd")</f>
        <v>Saturday</v>
      </c>
      <c r="G1150">
        <f>HOUR(Table1[[#This Row],[order_time]])</f>
        <v>15</v>
      </c>
      <c r="H1150" s="2">
        <v>0.62811342592592589</v>
      </c>
      <c r="I1150" t="s">
        <v>9</v>
      </c>
      <c r="J1150" t="s">
        <v>22</v>
      </c>
      <c r="K1150">
        <v>4</v>
      </c>
      <c r="L1150">
        <v>15</v>
      </c>
      <c r="M1150">
        <v>60</v>
      </c>
      <c r="N1150">
        <f>IF(COUNTIFS($B$2:B1150,B1150)=1,1,0)</f>
        <v>0</v>
      </c>
    </row>
    <row r="1151" spans="1:14" x14ac:dyDescent="0.2">
      <c r="A1151">
        <v>1150</v>
      </c>
      <c r="B1151">
        <v>1571</v>
      </c>
      <c r="C1151">
        <f>1/COUNTIF(B:B,Table1[[#This Row],[order_id]])</f>
        <v>0.5</v>
      </c>
      <c r="D1151" t="str">
        <f>TEXT(Table1[[#This Row],[order_date]],"mmmm")</f>
        <v>March</v>
      </c>
      <c r="E1151" s="1">
        <v>45381</v>
      </c>
      <c r="F1151" s="1" t="str">
        <f>TEXT(Table1[[#This Row],[order_date]],"dddd")</f>
        <v>Saturday</v>
      </c>
      <c r="G1151">
        <f>HOUR(Table1[[#This Row],[order_time]])</f>
        <v>18</v>
      </c>
      <c r="H1151" s="2">
        <v>0.76059027777777777</v>
      </c>
      <c r="I1151" t="s">
        <v>9</v>
      </c>
      <c r="J1151" t="s">
        <v>22</v>
      </c>
      <c r="K1151">
        <v>5</v>
      </c>
      <c r="L1151">
        <v>15</v>
      </c>
      <c r="M1151">
        <v>75</v>
      </c>
      <c r="N1151">
        <f>IF(COUNTIFS($B$2:B1151,B1151)=1,1,0)</f>
        <v>1</v>
      </c>
    </row>
    <row r="1152" spans="1:14" x14ac:dyDescent="0.2">
      <c r="A1152">
        <v>1151</v>
      </c>
      <c r="B1152">
        <v>1571</v>
      </c>
      <c r="C1152">
        <f>1/COUNTIF(B:B,Table1[[#This Row],[order_id]])</f>
        <v>0.5</v>
      </c>
      <c r="D1152" t="str">
        <f>TEXT(Table1[[#This Row],[order_date]],"mmmm")</f>
        <v>March</v>
      </c>
      <c r="E1152" s="1">
        <v>45381</v>
      </c>
      <c r="F1152" s="1" t="str">
        <f>TEXT(Table1[[#This Row],[order_date]],"dddd")</f>
        <v>Saturday</v>
      </c>
      <c r="G1152">
        <f>HOUR(Table1[[#This Row],[order_time]])</f>
        <v>14</v>
      </c>
      <c r="H1152" s="2">
        <v>0.59453703703703709</v>
      </c>
      <c r="I1152" t="s">
        <v>18</v>
      </c>
      <c r="J1152" t="s">
        <v>19</v>
      </c>
      <c r="K1152">
        <v>3</v>
      </c>
      <c r="L1152">
        <v>50</v>
      </c>
      <c r="M1152">
        <v>150</v>
      </c>
      <c r="N1152">
        <f>IF(COUNTIFS($B$2:B1152,B1152)=1,1,0)</f>
        <v>0</v>
      </c>
    </row>
    <row r="1153" spans="1:14" x14ac:dyDescent="0.2">
      <c r="A1153">
        <v>1152</v>
      </c>
      <c r="B1153">
        <v>1572</v>
      </c>
      <c r="C1153">
        <f>1/COUNTIF(B:B,Table1[[#This Row],[order_id]])</f>
        <v>0.33333333333333331</v>
      </c>
      <c r="D1153" t="str">
        <f>TEXT(Table1[[#This Row],[order_date]],"mmmm")</f>
        <v>March</v>
      </c>
      <c r="E1153" s="1">
        <v>45381</v>
      </c>
      <c r="F1153" s="1" t="str">
        <f>TEXT(Table1[[#This Row],[order_date]],"dddd")</f>
        <v>Saturday</v>
      </c>
      <c r="G1153">
        <f>HOUR(Table1[[#This Row],[order_time]])</f>
        <v>20</v>
      </c>
      <c r="H1153" s="2">
        <v>0.85466435185185186</v>
      </c>
      <c r="I1153" t="s">
        <v>18</v>
      </c>
      <c r="J1153" t="s">
        <v>19</v>
      </c>
      <c r="K1153">
        <v>1</v>
      </c>
      <c r="L1153">
        <v>50</v>
      </c>
      <c r="M1153">
        <v>50</v>
      </c>
      <c r="N1153">
        <f>IF(COUNTIFS($B$2:B1153,B1153)=1,1,0)</f>
        <v>1</v>
      </c>
    </row>
    <row r="1154" spans="1:14" x14ac:dyDescent="0.2">
      <c r="A1154">
        <v>1153</v>
      </c>
      <c r="B1154">
        <v>1572</v>
      </c>
      <c r="C1154">
        <f>1/COUNTIF(B:B,Table1[[#This Row],[order_id]])</f>
        <v>0.33333333333333331</v>
      </c>
      <c r="D1154" t="str">
        <f>TEXT(Table1[[#This Row],[order_date]],"mmmm")</f>
        <v>March</v>
      </c>
      <c r="E1154" s="1">
        <v>45381</v>
      </c>
      <c r="F1154" s="1" t="str">
        <f>TEXT(Table1[[#This Row],[order_date]],"dddd")</f>
        <v>Saturday</v>
      </c>
      <c r="G1154">
        <f>HOUR(Table1[[#This Row],[order_time]])</f>
        <v>11</v>
      </c>
      <c r="H1154" s="2">
        <v>0.49383101851851852</v>
      </c>
      <c r="I1154" t="s">
        <v>16</v>
      </c>
      <c r="J1154" t="s">
        <v>23</v>
      </c>
      <c r="K1154">
        <v>4</v>
      </c>
      <c r="L1154">
        <v>30</v>
      </c>
      <c r="M1154">
        <v>120</v>
      </c>
      <c r="N1154">
        <f>IF(COUNTIFS($B$2:B1154,B1154)=1,1,0)</f>
        <v>0</v>
      </c>
    </row>
    <row r="1155" spans="1:14" x14ac:dyDescent="0.2">
      <c r="A1155">
        <v>1154</v>
      </c>
      <c r="B1155">
        <v>1572</v>
      </c>
      <c r="C1155">
        <f>1/COUNTIF(B:B,Table1[[#This Row],[order_id]])</f>
        <v>0.33333333333333331</v>
      </c>
      <c r="D1155" t="str">
        <f>TEXT(Table1[[#This Row],[order_date]],"mmmm")</f>
        <v>March</v>
      </c>
      <c r="E1155" s="1">
        <v>45381</v>
      </c>
      <c r="F1155" s="1" t="str">
        <f>TEXT(Table1[[#This Row],[order_date]],"dddd")</f>
        <v>Saturday</v>
      </c>
      <c r="G1155">
        <f>HOUR(Table1[[#This Row],[order_time]])</f>
        <v>15</v>
      </c>
      <c r="H1155" s="2">
        <v>0.64144675925925931</v>
      </c>
      <c r="I1155" t="s">
        <v>11</v>
      </c>
      <c r="J1155" t="s">
        <v>12</v>
      </c>
      <c r="K1155">
        <v>4</v>
      </c>
      <c r="L1155">
        <v>650</v>
      </c>
      <c r="M1155">
        <v>2600</v>
      </c>
      <c r="N1155">
        <f>IF(COUNTIFS($B$2:B1155,B1155)=1,1,0)</f>
        <v>0</v>
      </c>
    </row>
    <row r="1156" spans="1:14" x14ac:dyDescent="0.2">
      <c r="A1156">
        <v>1155</v>
      </c>
      <c r="B1156">
        <v>1573</v>
      </c>
      <c r="C1156">
        <f>1/COUNTIF(B:B,Table1[[#This Row],[order_id]])</f>
        <v>0.5</v>
      </c>
      <c r="D1156" t="str">
        <f>TEXT(Table1[[#This Row],[order_date]],"mmmm")</f>
        <v>March</v>
      </c>
      <c r="E1156" s="1">
        <v>45381</v>
      </c>
      <c r="F1156" s="1" t="str">
        <f>TEXT(Table1[[#This Row],[order_date]],"dddd")</f>
        <v>Saturday</v>
      </c>
      <c r="G1156">
        <f>HOUR(Table1[[#This Row],[order_time]])</f>
        <v>16</v>
      </c>
      <c r="H1156" s="2">
        <v>0.68552083333333336</v>
      </c>
      <c r="I1156" t="s">
        <v>11</v>
      </c>
      <c r="J1156" t="s">
        <v>13</v>
      </c>
      <c r="K1156">
        <v>1</v>
      </c>
      <c r="L1156">
        <v>680</v>
      </c>
      <c r="M1156">
        <v>680</v>
      </c>
      <c r="N1156">
        <f>IF(COUNTIFS($B$2:B1156,B1156)=1,1,0)</f>
        <v>1</v>
      </c>
    </row>
    <row r="1157" spans="1:14" x14ac:dyDescent="0.2">
      <c r="A1157">
        <v>1156</v>
      </c>
      <c r="B1157">
        <v>1573</v>
      </c>
      <c r="C1157">
        <f>1/COUNTIF(B:B,Table1[[#This Row],[order_id]])</f>
        <v>0.5</v>
      </c>
      <c r="D1157" t="str">
        <f>TEXT(Table1[[#This Row],[order_date]],"mmmm")</f>
        <v>March</v>
      </c>
      <c r="E1157" s="1">
        <v>45381</v>
      </c>
      <c r="F1157" s="1" t="str">
        <f>TEXT(Table1[[#This Row],[order_date]],"dddd")</f>
        <v>Saturday</v>
      </c>
      <c r="G1157">
        <f>HOUR(Table1[[#This Row],[order_time]])</f>
        <v>15</v>
      </c>
      <c r="H1157" s="2">
        <v>0.63466435185185188</v>
      </c>
      <c r="I1157" t="s">
        <v>9</v>
      </c>
      <c r="J1157" t="s">
        <v>10</v>
      </c>
      <c r="K1157">
        <v>1</v>
      </c>
      <c r="L1157">
        <v>20</v>
      </c>
      <c r="M1157">
        <v>20</v>
      </c>
      <c r="N1157">
        <f>IF(COUNTIFS($B$2:B1157,B1157)=1,1,0)</f>
        <v>0</v>
      </c>
    </row>
    <row r="1158" spans="1:14" x14ac:dyDescent="0.2">
      <c r="A1158">
        <v>1157</v>
      </c>
      <c r="B1158">
        <v>1574</v>
      </c>
      <c r="C1158">
        <f>1/COUNTIF(B:B,Table1[[#This Row],[order_id]])</f>
        <v>0.5</v>
      </c>
      <c r="D1158" t="str">
        <f>TEXT(Table1[[#This Row],[order_date]],"mmmm")</f>
        <v>March</v>
      </c>
      <c r="E1158" s="1">
        <v>45381</v>
      </c>
      <c r="F1158" s="1" t="str">
        <f>TEXT(Table1[[#This Row],[order_date]],"dddd")</f>
        <v>Saturday</v>
      </c>
      <c r="G1158">
        <f>HOUR(Table1[[#This Row],[order_time]])</f>
        <v>13</v>
      </c>
      <c r="H1158" s="2">
        <v>0.54936342592592591</v>
      </c>
      <c r="I1158" t="s">
        <v>9</v>
      </c>
      <c r="J1158" t="s">
        <v>22</v>
      </c>
      <c r="K1158">
        <v>1</v>
      </c>
      <c r="L1158">
        <v>15</v>
      </c>
      <c r="M1158">
        <v>15</v>
      </c>
      <c r="N1158">
        <f>IF(COUNTIFS($B$2:B1158,B1158)=1,1,0)</f>
        <v>1</v>
      </c>
    </row>
    <row r="1159" spans="1:14" x14ac:dyDescent="0.2">
      <c r="A1159">
        <v>1158</v>
      </c>
      <c r="B1159">
        <v>1574</v>
      </c>
      <c r="C1159">
        <f>1/COUNTIF(B:B,Table1[[#This Row],[order_id]])</f>
        <v>0.5</v>
      </c>
      <c r="D1159" t="str">
        <f>TEXT(Table1[[#This Row],[order_date]],"mmmm")</f>
        <v>March</v>
      </c>
      <c r="E1159" s="1">
        <v>45381</v>
      </c>
      <c r="F1159" s="1" t="str">
        <f>TEXT(Table1[[#This Row],[order_date]],"dddd")</f>
        <v>Saturday</v>
      </c>
      <c r="G1159">
        <f>HOUR(Table1[[#This Row],[order_time]])</f>
        <v>10</v>
      </c>
      <c r="H1159" s="2">
        <v>0.45435185185185184</v>
      </c>
      <c r="I1159" t="s">
        <v>9</v>
      </c>
      <c r="J1159" t="s">
        <v>20</v>
      </c>
      <c r="K1159">
        <v>1</v>
      </c>
      <c r="L1159">
        <v>25</v>
      </c>
      <c r="M1159">
        <v>25</v>
      </c>
      <c r="N1159">
        <f>IF(COUNTIFS($B$2:B1159,B1159)=1,1,0)</f>
        <v>0</v>
      </c>
    </row>
    <row r="1160" spans="1:14" x14ac:dyDescent="0.2">
      <c r="A1160">
        <v>1159</v>
      </c>
      <c r="B1160">
        <v>1575</v>
      </c>
      <c r="C1160">
        <f>1/COUNTIF(B:B,Table1[[#This Row],[order_id]])</f>
        <v>1</v>
      </c>
      <c r="D1160" t="str">
        <f>TEXT(Table1[[#This Row],[order_date]],"mmmm")</f>
        <v>March</v>
      </c>
      <c r="E1160" s="1">
        <v>45381</v>
      </c>
      <c r="F1160" s="1" t="str">
        <f>TEXT(Table1[[#This Row],[order_date]],"dddd")</f>
        <v>Saturday</v>
      </c>
      <c r="G1160">
        <f>HOUR(Table1[[#This Row],[order_time]])</f>
        <v>14</v>
      </c>
      <c r="H1160" s="2">
        <v>0.59828703703703701</v>
      </c>
      <c r="I1160" t="s">
        <v>9</v>
      </c>
      <c r="J1160" t="s">
        <v>20</v>
      </c>
      <c r="K1160">
        <v>3</v>
      </c>
      <c r="L1160">
        <v>25</v>
      </c>
      <c r="M1160">
        <v>75</v>
      </c>
      <c r="N1160">
        <f>IF(COUNTIFS($B$2:B1160,B1160)=1,1,0)</f>
        <v>1</v>
      </c>
    </row>
    <row r="1161" spans="1:14" x14ac:dyDescent="0.2">
      <c r="A1161">
        <v>1160</v>
      </c>
      <c r="B1161">
        <v>1576</v>
      </c>
      <c r="C1161">
        <f>1/COUNTIF(B:B,Table1[[#This Row],[order_id]])</f>
        <v>1</v>
      </c>
      <c r="D1161" t="str">
        <f>TEXT(Table1[[#This Row],[order_date]],"mmmm")</f>
        <v>March</v>
      </c>
      <c r="E1161" s="1">
        <v>45382</v>
      </c>
      <c r="F1161" s="1" t="str">
        <f>TEXT(Table1[[#This Row],[order_date]],"dddd")</f>
        <v>Sunday</v>
      </c>
      <c r="G1161">
        <f>HOUR(Table1[[#This Row],[order_time]])</f>
        <v>10</v>
      </c>
      <c r="H1161" s="2">
        <v>0.44731481481481483</v>
      </c>
      <c r="I1161" t="s">
        <v>9</v>
      </c>
      <c r="J1161" t="s">
        <v>21</v>
      </c>
      <c r="K1161">
        <v>3</v>
      </c>
      <c r="L1161">
        <v>10</v>
      </c>
      <c r="M1161">
        <v>30</v>
      </c>
      <c r="N1161">
        <f>IF(COUNTIFS($B$2:B1161,B1161)=1,1,0)</f>
        <v>1</v>
      </c>
    </row>
    <row r="1162" spans="1:14" x14ac:dyDescent="0.2">
      <c r="A1162">
        <v>1161</v>
      </c>
      <c r="B1162">
        <v>1577</v>
      </c>
      <c r="C1162">
        <f>1/COUNTIF(B:B,Table1[[#This Row],[order_id]])</f>
        <v>0.5</v>
      </c>
      <c r="D1162" t="str">
        <f>TEXT(Table1[[#This Row],[order_date]],"mmmm")</f>
        <v>March</v>
      </c>
      <c r="E1162" s="1">
        <v>45382</v>
      </c>
      <c r="F1162" s="1" t="str">
        <f>TEXT(Table1[[#This Row],[order_date]],"dddd")</f>
        <v>Sunday</v>
      </c>
      <c r="G1162">
        <f>HOUR(Table1[[#This Row],[order_time]])</f>
        <v>15</v>
      </c>
      <c r="H1162" s="2">
        <v>0.62960648148148146</v>
      </c>
      <c r="I1162" t="s">
        <v>11</v>
      </c>
      <c r="J1162" t="s">
        <v>14</v>
      </c>
      <c r="K1162">
        <v>1</v>
      </c>
      <c r="L1162">
        <v>700</v>
      </c>
      <c r="M1162">
        <v>700</v>
      </c>
      <c r="N1162">
        <f>IF(COUNTIFS($B$2:B1162,B1162)=1,1,0)</f>
        <v>1</v>
      </c>
    </row>
    <row r="1163" spans="1:14" x14ac:dyDescent="0.2">
      <c r="A1163">
        <v>1162</v>
      </c>
      <c r="B1163">
        <v>1577</v>
      </c>
      <c r="C1163">
        <f>1/COUNTIF(B:B,Table1[[#This Row],[order_id]])</f>
        <v>0.5</v>
      </c>
      <c r="D1163" t="str">
        <f>TEXT(Table1[[#This Row],[order_date]],"mmmm")</f>
        <v>March</v>
      </c>
      <c r="E1163" s="1">
        <v>45382</v>
      </c>
      <c r="F1163" s="1" t="str">
        <f>TEXT(Table1[[#This Row],[order_date]],"dddd")</f>
        <v>Sunday</v>
      </c>
      <c r="G1163">
        <f>HOUR(Table1[[#This Row],[order_time]])</f>
        <v>12</v>
      </c>
      <c r="H1163" s="2">
        <v>0.53505787037037034</v>
      </c>
      <c r="I1163" t="s">
        <v>11</v>
      </c>
      <c r="J1163" t="s">
        <v>13</v>
      </c>
      <c r="K1163">
        <v>3</v>
      </c>
      <c r="L1163">
        <v>680</v>
      </c>
      <c r="M1163">
        <v>2040</v>
      </c>
      <c r="N1163">
        <f>IF(COUNTIFS($B$2:B1163,B1163)=1,1,0)</f>
        <v>0</v>
      </c>
    </row>
    <row r="1164" spans="1:14" x14ac:dyDescent="0.2">
      <c r="A1164">
        <v>1163</v>
      </c>
      <c r="B1164">
        <v>1578</v>
      </c>
      <c r="C1164">
        <f>1/COUNTIF(B:B,Table1[[#This Row],[order_id]])</f>
        <v>1</v>
      </c>
      <c r="D1164" t="str">
        <f>TEXT(Table1[[#This Row],[order_date]],"mmmm")</f>
        <v>March</v>
      </c>
      <c r="E1164" s="1">
        <v>45382</v>
      </c>
      <c r="F1164" s="1" t="str">
        <f>TEXT(Table1[[#This Row],[order_date]],"dddd")</f>
        <v>Sunday</v>
      </c>
      <c r="G1164">
        <f>HOUR(Table1[[#This Row],[order_time]])</f>
        <v>19</v>
      </c>
      <c r="H1164" s="2">
        <v>0.81293981481481481</v>
      </c>
      <c r="I1164" t="s">
        <v>18</v>
      </c>
      <c r="J1164" t="s">
        <v>19</v>
      </c>
      <c r="K1164">
        <v>5</v>
      </c>
      <c r="L1164">
        <v>50</v>
      </c>
      <c r="M1164">
        <v>250</v>
      </c>
      <c r="N1164">
        <f>IF(COUNTIFS($B$2:B1164,B1164)=1,1,0)</f>
        <v>1</v>
      </c>
    </row>
    <row r="1165" spans="1:14" x14ac:dyDescent="0.2">
      <c r="A1165">
        <v>1164</v>
      </c>
      <c r="B1165">
        <v>1579</v>
      </c>
      <c r="C1165">
        <f>1/COUNTIF(B:B,Table1[[#This Row],[order_id]])</f>
        <v>0.33333333333333331</v>
      </c>
      <c r="D1165" t="str">
        <f>TEXT(Table1[[#This Row],[order_date]],"mmmm")</f>
        <v>March</v>
      </c>
      <c r="E1165" s="1">
        <v>45382</v>
      </c>
      <c r="F1165" s="1" t="str">
        <f>TEXT(Table1[[#This Row],[order_date]],"dddd")</f>
        <v>Sunday</v>
      </c>
      <c r="G1165">
        <f>HOUR(Table1[[#This Row],[order_time]])</f>
        <v>11</v>
      </c>
      <c r="H1165" s="2">
        <v>0.49221064814814813</v>
      </c>
      <c r="I1165" t="s">
        <v>18</v>
      </c>
      <c r="J1165" t="s">
        <v>19</v>
      </c>
      <c r="K1165">
        <v>2</v>
      </c>
      <c r="L1165">
        <v>50</v>
      </c>
      <c r="M1165">
        <v>100</v>
      </c>
      <c r="N1165">
        <f>IF(COUNTIFS($B$2:B1165,B1165)=1,1,0)</f>
        <v>1</v>
      </c>
    </row>
    <row r="1166" spans="1:14" x14ac:dyDescent="0.2">
      <c r="A1166">
        <v>1165</v>
      </c>
      <c r="B1166">
        <v>1579</v>
      </c>
      <c r="C1166">
        <f>1/COUNTIF(B:B,Table1[[#This Row],[order_id]])</f>
        <v>0.33333333333333331</v>
      </c>
      <c r="D1166" t="str">
        <f>TEXT(Table1[[#This Row],[order_date]],"mmmm")</f>
        <v>March</v>
      </c>
      <c r="E1166" s="1">
        <v>45382</v>
      </c>
      <c r="F1166" s="1" t="str">
        <f>TEXT(Table1[[#This Row],[order_date]],"dddd")</f>
        <v>Sunday</v>
      </c>
      <c r="G1166">
        <f>HOUR(Table1[[#This Row],[order_time]])</f>
        <v>16</v>
      </c>
      <c r="H1166" s="2">
        <v>0.70348379629629632</v>
      </c>
      <c r="I1166" t="s">
        <v>18</v>
      </c>
      <c r="J1166" t="s">
        <v>27</v>
      </c>
      <c r="K1166">
        <v>4</v>
      </c>
      <c r="L1166">
        <v>40</v>
      </c>
      <c r="M1166">
        <v>160</v>
      </c>
      <c r="N1166">
        <f>IF(COUNTIFS($B$2:B1166,B1166)=1,1,0)</f>
        <v>0</v>
      </c>
    </row>
    <row r="1167" spans="1:14" x14ac:dyDescent="0.2">
      <c r="A1167">
        <v>1166</v>
      </c>
      <c r="B1167">
        <v>1579</v>
      </c>
      <c r="C1167">
        <f>1/COUNTIF(B:B,Table1[[#This Row],[order_id]])</f>
        <v>0.33333333333333331</v>
      </c>
      <c r="D1167" t="str">
        <f>TEXT(Table1[[#This Row],[order_date]],"mmmm")</f>
        <v>March</v>
      </c>
      <c r="E1167" s="1">
        <v>45382</v>
      </c>
      <c r="F1167" s="1" t="str">
        <f>TEXT(Table1[[#This Row],[order_date]],"dddd")</f>
        <v>Sunday</v>
      </c>
      <c r="G1167">
        <f>HOUR(Table1[[#This Row],[order_time]])</f>
        <v>11</v>
      </c>
      <c r="H1167" s="2">
        <v>0.47412037037037036</v>
      </c>
      <c r="I1167" t="s">
        <v>11</v>
      </c>
      <c r="J1167" t="s">
        <v>12</v>
      </c>
      <c r="K1167">
        <v>3</v>
      </c>
      <c r="L1167">
        <v>650</v>
      </c>
      <c r="M1167">
        <v>1950</v>
      </c>
      <c r="N1167">
        <f>IF(COUNTIFS($B$2:B1167,B1167)=1,1,0)</f>
        <v>0</v>
      </c>
    </row>
    <row r="1168" spans="1:14" x14ac:dyDescent="0.2">
      <c r="A1168">
        <v>1167</v>
      </c>
      <c r="B1168">
        <v>1580</v>
      </c>
      <c r="C1168">
        <f>1/COUNTIF(B:B,Table1[[#This Row],[order_id]])</f>
        <v>1</v>
      </c>
      <c r="D1168" t="str">
        <f>TEXT(Table1[[#This Row],[order_date]],"mmmm")</f>
        <v>March</v>
      </c>
      <c r="E1168" s="1">
        <v>45382</v>
      </c>
      <c r="F1168" s="1" t="str">
        <f>TEXT(Table1[[#This Row],[order_date]],"dddd")</f>
        <v>Sunday</v>
      </c>
      <c r="G1168">
        <f>HOUR(Table1[[#This Row],[order_time]])</f>
        <v>12</v>
      </c>
      <c r="H1168" s="2">
        <v>0.53593749999999996</v>
      </c>
      <c r="I1168" t="s">
        <v>16</v>
      </c>
      <c r="J1168" t="s">
        <v>23</v>
      </c>
      <c r="K1168">
        <v>1</v>
      </c>
      <c r="L1168">
        <v>30</v>
      </c>
      <c r="M1168">
        <v>30</v>
      </c>
      <c r="N1168">
        <f>IF(COUNTIFS($B$2:B1168,B1168)=1,1,0)</f>
        <v>1</v>
      </c>
    </row>
    <row r="1169" spans="1:14" x14ac:dyDescent="0.2">
      <c r="A1169">
        <v>1168</v>
      </c>
      <c r="B1169">
        <v>1581</v>
      </c>
      <c r="C1169">
        <f>1/COUNTIF(B:B,Table1[[#This Row],[order_id]])</f>
        <v>0.33333333333333331</v>
      </c>
      <c r="D1169" t="str">
        <f>TEXT(Table1[[#This Row],[order_date]],"mmmm")</f>
        <v>April</v>
      </c>
      <c r="E1169" s="1">
        <v>45383</v>
      </c>
      <c r="F1169" s="1" t="str">
        <f>TEXT(Table1[[#This Row],[order_date]],"dddd")</f>
        <v>Monday</v>
      </c>
      <c r="G1169">
        <f>HOUR(Table1[[#This Row],[order_time]])</f>
        <v>14</v>
      </c>
      <c r="H1169" s="2">
        <v>0.5999768518518519</v>
      </c>
      <c r="I1169" t="s">
        <v>9</v>
      </c>
      <c r="J1169" t="s">
        <v>22</v>
      </c>
      <c r="K1169">
        <v>1</v>
      </c>
      <c r="L1169">
        <v>15</v>
      </c>
      <c r="M1169">
        <v>15</v>
      </c>
      <c r="N1169">
        <f>IF(COUNTIFS($B$2:B1169,B1169)=1,1,0)</f>
        <v>1</v>
      </c>
    </row>
    <row r="1170" spans="1:14" x14ac:dyDescent="0.2">
      <c r="A1170">
        <v>1169</v>
      </c>
      <c r="B1170">
        <v>1581</v>
      </c>
      <c r="C1170">
        <f>1/COUNTIF(B:B,Table1[[#This Row],[order_id]])</f>
        <v>0.33333333333333331</v>
      </c>
      <c r="D1170" t="str">
        <f>TEXT(Table1[[#This Row],[order_date]],"mmmm")</f>
        <v>April</v>
      </c>
      <c r="E1170" s="1">
        <v>45383</v>
      </c>
      <c r="F1170" s="1" t="str">
        <f>TEXT(Table1[[#This Row],[order_date]],"dddd")</f>
        <v>Monday</v>
      </c>
      <c r="G1170">
        <f>HOUR(Table1[[#This Row],[order_time]])</f>
        <v>17</v>
      </c>
      <c r="H1170" s="2">
        <v>0.73378472222222224</v>
      </c>
      <c r="I1170" t="s">
        <v>11</v>
      </c>
      <c r="J1170" t="s">
        <v>12</v>
      </c>
      <c r="K1170">
        <v>3</v>
      </c>
      <c r="L1170">
        <v>650</v>
      </c>
      <c r="M1170">
        <v>1950</v>
      </c>
      <c r="N1170">
        <f>IF(COUNTIFS($B$2:B1170,B1170)=1,1,0)</f>
        <v>0</v>
      </c>
    </row>
    <row r="1171" spans="1:14" x14ac:dyDescent="0.2">
      <c r="A1171">
        <v>1170</v>
      </c>
      <c r="B1171">
        <v>1581</v>
      </c>
      <c r="C1171">
        <f>1/COUNTIF(B:B,Table1[[#This Row],[order_id]])</f>
        <v>0.33333333333333331</v>
      </c>
      <c r="D1171" t="str">
        <f>TEXT(Table1[[#This Row],[order_date]],"mmmm")</f>
        <v>April</v>
      </c>
      <c r="E1171" s="1">
        <v>45383</v>
      </c>
      <c r="F1171" s="1" t="str">
        <f>TEXT(Table1[[#This Row],[order_date]],"dddd")</f>
        <v>Monday</v>
      </c>
      <c r="G1171">
        <f>HOUR(Table1[[#This Row],[order_time]])</f>
        <v>16</v>
      </c>
      <c r="H1171" s="2">
        <v>0.67167824074074078</v>
      </c>
      <c r="I1171" t="s">
        <v>18</v>
      </c>
      <c r="J1171" t="s">
        <v>26</v>
      </c>
      <c r="K1171">
        <v>5</v>
      </c>
      <c r="L1171">
        <v>55</v>
      </c>
      <c r="M1171">
        <v>275</v>
      </c>
      <c r="N1171">
        <f>IF(COUNTIFS($B$2:B1171,B1171)=1,1,0)</f>
        <v>0</v>
      </c>
    </row>
    <row r="1172" spans="1:14" x14ac:dyDescent="0.2">
      <c r="A1172">
        <v>1171</v>
      </c>
      <c r="B1172">
        <v>1582</v>
      </c>
      <c r="C1172">
        <f>1/COUNTIF(B:B,Table1[[#This Row],[order_id]])</f>
        <v>1</v>
      </c>
      <c r="D1172" t="str">
        <f>TEXT(Table1[[#This Row],[order_date]],"mmmm")</f>
        <v>April</v>
      </c>
      <c r="E1172" s="1">
        <v>45383</v>
      </c>
      <c r="F1172" s="1" t="str">
        <f>TEXT(Table1[[#This Row],[order_date]],"dddd")</f>
        <v>Monday</v>
      </c>
      <c r="G1172">
        <f>HOUR(Table1[[#This Row],[order_time]])</f>
        <v>17</v>
      </c>
      <c r="H1172" s="2">
        <v>0.73126157407407411</v>
      </c>
      <c r="I1172" t="s">
        <v>9</v>
      </c>
      <c r="J1172" t="s">
        <v>20</v>
      </c>
      <c r="K1172">
        <v>1</v>
      </c>
      <c r="L1172">
        <v>25</v>
      </c>
      <c r="M1172">
        <v>25</v>
      </c>
      <c r="N1172">
        <f>IF(COUNTIFS($B$2:B1172,B1172)=1,1,0)</f>
        <v>1</v>
      </c>
    </row>
    <row r="1173" spans="1:14" x14ac:dyDescent="0.2">
      <c r="A1173">
        <v>1172</v>
      </c>
      <c r="B1173">
        <v>1583</v>
      </c>
      <c r="C1173">
        <f>1/COUNTIF(B:B,Table1[[#This Row],[order_id]])</f>
        <v>0.5</v>
      </c>
      <c r="D1173" t="str">
        <f>TEXT(Table1[[#This Row],[order_date]],"mmmm")</f>
        <v>April</v>
      </c>
      <c r="E1173" s="1">
        <v>45383</v>
      </c>
      <c r="F1173" s="1" t="str">
        <f>TEXT(Table1[[#This Row],[order_date]],"dddd")</f>
        <v>Monday</v>
      </c>
      <c r="G1173">
        <f>HOUR(Table1[[#This Row],[order_time]])</f>
        <v>10</v>
      </c>
      <c r="H1173" s="2">
        <v>0.44592592592592595</v>
      </c>
      <c r="I1173" t="s">
        <v>9</v>
      </c>
      <c r="J1173" t="s">
        <v>29</v>
      </c>
      <c r="K1173">
        <v>2</v>
      </c>
      <c r="L1173">
        <v>5</v>
      </c>
      <c r="M1173">
        <v>10</v>
      </c>
      <c r="N1173">
        <f>IF(COUNTIFS($B$2:B1173,B1173)=1,1,0)</f>
        <v>1</v>
      </c>
    </row>
    <row r="1174" spans="1:14" x14ac:dyDescent="0.2">
      <c r="A1174">
        <v>1173</v>
      </c>
      <c r="B1174">
        <v>1583</v>
      </c>
      <c r="C1174">
        <f>1/COUNTIF(B:B,Table1[[#This Row],[order_id]])</f>
        <v>0.5</v>
      </c>
      <c r="D1174" t="str">
        <f>TEXT(Table1[[#This Row],[order_date]],"mmmm")</f>
        <v>April</v>
      </c>
      <c r="E1174" s="1">
        <v>45383</v>
      </c>
      <c r="F1174" s="1" t="str">
        <f>TEXT(Table1[[#This Row],[order_date]],"dddd")</f>
        <v>Monday</v>
      </c>
      <c r="G1174">
        <f>HOUR(Table1[[#This Row],[order_time]])</f>
        <v>18</v>
      </c>
      <c r="H1174" s="2">
        <v>0.77967592592592594</v>
      </c>
      <c r="I1174" t="s">
        <v>16</v>
      </c>
      <c r="J1174" t="s">
        <v>23</v>
      </c>
      <c r="K1174">
        <v>1</v>
      </c>
      <c r="L1174">
        <v>30</v>
      </c>
      <c r="M1174">
        <v>30</v>
      </c>
      <c r="N1174">
        <f>IF(COUNTIFS($B$2:B1174,B1174)=1,1,0)</f>
        <v>0</v>
      </c>
    </row>
    <row r="1175" spans="1:14" x14ac:dyDescent="0.2">
      <c r="A1175">
        <v>1174</v>
      </c>
      <c r="B1175">
        <v>1584</v>
      </c>
      <c r="C1175">
        <f>1/COUNTIF(B:B,Table1[[#This Row],[order_id]])</f>
        <v>0.33333333333333331</v>
      </c>
      <c r="D1175" t="str">
        <f>TEXT(Table1[[#This Row],[order_date]],"mmmm")</f>
        <v>April</v>
      </c>
      <c r="E1175" s="1">
        <v>45383</v>
      </c>
      <c r="F1175" s="1" t="str">
        <f>TEXT(Table1[[#This Row],[order_date]],"dddd")</f>
        <v>Monday</v>
      </c>
      <c r="G1175">
        <f>HOUR(Table1[[#This Row],[order_time]])</f>
        <v>9</v>
      </c>
      <c r="H1175" s="2">
        <v>0.40682870370370372</v>
      </c>
      <c r="I1175" t="s">
        <v>9</v>
      </c>
      <c r="J1175" t="s">
        <v>20</v>
      </c>
      <c r="K1175">
        <v>1</v>
      </c>
      <c r="L1175">
        <v>25</v>
      </c>
      <c r="M1175">
        <v>25</v>
      </c>
      <c r="N1175">
        <f>IF(COUNTIFS($B$2:B1175,B1175)=1,1,0)</f>
        <v>1</v>
      </c>
    </row>
    <row r="1176" spans="1:14" x14ac:dyDescent="0.2">
      <c r="A1176">
        <v>1175</v>
      </c>
      <c r="B1176">
        <v>1584</v>
      </c>
      <c r="C1176">
        <f>1/COUNTIF(B:B,Table1[[#This Row],[order_id]])</f>
        <v>0.33333333333333331</v>
      </c>
      <c r="D1176" t="str">
        <f>TEXT(Table1[[#This Row],[order_date]],"mmmm")</f>
        <v>April</v>
      </c>
      <c r="E1176" s="1">
        <v>45383</v>
      </c>
      <c r="F1176" s="1" t="str">
        <f>TEXT(Table1[[#This Row],[order_date]],"dddd")</f>
        <v>Monday</v>
      </c>
      <c r="G1176">
        <f>HOUR(Table1[[#This Row],[order_time]])</f>
        <v>16</v>
      </c>
      <c r="H1176" s="2">
        <v>0.67877314814814815</v>
      </c>
      <c r="I1176" t="s">
        <v>18</v>
      </c>
      <c r="J1176" t="s">
        <v>31</v>
      </c>
      <c r="K1176">
        <v>4</v>
      </c>
      <c r="L1176">
        <v>45</v>
      </c>
      <c r="M1176">
        <v>180</v>
      </c>
      <c r="N1176">
        <f>IF(COUNTIFS($B$2:B1176,B1176)=1,1,0)</f>
        <v>0</v>
      </c>
    </row>
    <row r="1177" spans="1:14" x14ac:dyDescent="0.2">
      <c r="A1177">
        <v>1176</v>
      </c>
      <c r="B1177">
        <v>1584</v>
      </c>
      <c r="C1177">
        <f>1/COUNTIF(B:B,Table1[[#This Row],[order_id]])</f>
        <v>0.33333333333333331</v>
      </c>
      <c r="D1177" t="str">
        <f>TEXT(Table1[[#This Row],[order_date]],"mmmm")</f>
        <v>April</v>
      </c>
      <c r="E1177" s="1">
        <v>45383</v>
      </c>
      <c r="F1177" s="1" t="str">
        <f>TEXT(Table1[[#This Row],[order_date]],"dddd")</f>
        <v>Monday</v>
      </c>
      <c r="G1177">
        <f>HOUR(Table1[[#This Row],[order_time]])</f>
        <v>9</v>
      </c>
      <c r="H1177" s="2">
        <v>0.38354166666666667</v>
      </c>
      <c r="I1177" t="s">
        <v>16</v>
      </c>
      <c r="J1177" t="s">
        <v>24</v>
      </c>
      <c r="K1177">
        <v>5</v>
      </c>
      <c r="L1177">
        <v>35</v>
      </c>
      <c r="M1177">
        <v>175</v>
      </c>
      <c r="N1177">
        <f>IF(COUNTIFS($B$2:B1177,B1177)=1,1,0)</f>
        <v>0</v>
      </c>
    </row>
    <row r="1178" spans="1:14" x14ac:dyDescent="0.2">
      <c r="A1178">
        <v>1177</v>
      </c>
      <c r="B1178">
        <v>1585</v>
      </c>
      <c r="C1178">
        <f>1/COUNTIF(B:B,Table1[[#This Row],[order_id]])</f>
        <v>0.33333333333333331</v>
      </c>
      <c r="D1178" t="str">
        <f>TEXT(Table1[[#This Row],[order_date]],"mmmm")</f>
        <v>April</v>
      </c>
      <c r="E1178" s="1">
        <v>45383</v>
      </c>
      <c r="F1178" s="1" t="str">
        <f>TEXT(Table1[[#This Row],[order_date]],"dddd")</f>
        <v>Monday</v>
      </c>
      <c r="G1178">
        <f>HOUR(Table1[[#This Row],[order_time]])</f>
        <v>12</v>
      </c>
      <c r="H1178" s="2">
        <v>0.53238425925925925</v>
      </c>
      <c r="I1178" t="s">
        <v>18</v>
      </c>
      <c r="J1178" t="s">
        <v>26</v>
      </c>
      <c r="K1178">
        <v>4</v>
      </c>
      <c r="L1178">
        <v>55</v>
      </c>
      <c r="M1178">
        <v>220</v>
      </c>
      <c r="N1178">
        <f>IF(COUNTIFS($B$2:B1178,B1178)=1,1,0)</f>
        <v>1</v>
      </c>
    </row>
    <row r="1179" spans="1:14" x14ac:dyDescent="0.2">
      <c r="A1179">
        <v>1178</v>
      </c>
      <c r="B1179">
        <v>1585</v>
      </c>
      <c r="C1179">
        <f>1/COUNTIF(B:B,Table1[[#This Row],[order_id]])</f>
        <v>0.33333333333333331</v>
      </c>
      <c r="D1179" t="str">
        <f>TEXT(Table1[[#This Row],[order_date]],"mmmm")</f>
        <v>April</v>
      </c>
      <c r="E1179" s="1">
        <v>45383</v>
      </c>
      <c r="F1179" s="1" t="str">
        <f>TEXT(Table1[[#This Row],[order_date]],"dddd")</f>
        <v>Monday</v>
      </c>
      <c r="G1179">
        <f>HOUR(Table1[[#This Row],[order_time]])</f>
        <v>12</v>
      </c>
      <c r="H1179" s="2">
        <v>0.51623842592592595</v>
      </c>
      <c r="I1179" t="s">
        <v>18</v>
      </c>
      <c r="J1179" t="s">
        <v>30</v>
      </c>
      <c r="K1179">
        <v>5</v>
      </c>
      <c r="L1179">
        <v>60</v>
      </c>
      <c r="M1179">
        <v>300</v>
      </c>
      <c r="N1179">
        <f>IF(COUNTIFS($B$2:B1179,B1179)=1,1,0)</f>
        <v>0</v>
      </c>
    </row>
    <row r="1180" spans="1:14" x14ac:dyDescent="0.2">
      <c r="A1180">
        <v>1179</v>
      </c>
      <c r="B1180">
        <v>1585</v>
      </c>
      <c r="C1180">
        <f>1/COUNTIF(B:B,Table1[[#This Row],[order_id]])</f>
        <v>0.33333333333333331</v>
      </c>
      <c r="D1180" t="str">
        <f>TEXT(Table1[[#This Row],[order_date]],"mmmm")</f>
        <v>April</v>
      </c>
      <c r="E1180" s="1">
        <v>45383</v>
      </c>
      <c r="F1180" s="1" t="str">
        <f>TEXT(Table1[[#This Row],[order_date]],"dddd")</f>
        <v>Monday</v>
      </c>
      <c r="G1180">
        <f>HOUR(Table1[[#This Row],[order_time]])</f>
        <v>9</v>
      </c>
      <c r="H1180" s="2">
        <v>0.39885416666666668</v>
      </c>
      <c r="I1180" t="s">
        <v>16</v>
      </c>
      <c r="J1180" t="s">
        <v>17</v>
      </c>
      <c r="K1180">
        <v>5</v>
      </c>
      <c r="L1180">
        <v>20</v>
      </c>
      <c r="M1180">
        <v>100</v>
      </c>
      <c r="N1180">
        <f>IF(COUNTIFS($B$2:B1180,B1180)=1,1,0)</f>
        <v>0</v>
      </c>
    </row>
    <row r="1181" spans="1:14" x14ac:dyDescent="0.2">
      <c r="A1181">
        <v>1180</v>
      </c>
      <c r="B1181">
        <v>1586</v>
      </c>
      <c r="C1181">
        <f>1/COUNTIF(B:B,Table1[[#This Row],[order_id]])</f>
        <v>0.5</v>
      </c>
      <c r="D1181" t="str">
        <f>TEXT(Table1[[#This Row],[order_date]],"mmmm")</f>
        <v>April</v>
      </c>
      <c r="E1181" s="1">
        <v>45383</v>
      </c>
      <c r="F1181" s="1" t="str">
        <f>TEXT(Table1[[#This Row],[order_date]],"dddd")</f>
        <v>Monday</v>
      </c>
      <c r="G1181">
        <f>HOUR(Table1[[#This Row],[order_time]])</f>
        <v>16</v>
      </c>
      <c r="H1181" s="2">
        <v>0.68618055555555557</v>
      </c>
      <c r="I1181" t="s">
        <v>11</v>
      </c>
      <c r="J1181" t="s">
        <v>13</v>
      </c>
      <c r="K1181">
        <v>1</v>
      </c>
      <c r="L1181">
        <v>680</v>
      </c>
      <c r="M1181">
        <v>680</v>
      </c>
      <c r="N1181">
        <f>IF(COUNTIFS($B$2:B1181,B1181)=1,1,0)</f>
        <v>1</v>
      </c>
    </row>
    <row r="1182" spans="1:14" x14ac:dyDescent="0.2">
      <c r="A1182">
        <v>1181</v>
      </c>
      <c r="B1182">
        <v>1586</v>
      </c>
      <c r="C1182">
        <f>1/COUNTIF(B:B,Table1[[#This Row],[order_id]])</f>
        <v>0.5</v>
      </c>
      <c r="D1182" t="str">
        <f>TEXT(Table1[[#This Row],[order_date]],"mmmm")</f>
        <v>April</v>
      </c>
      <c r="E1182" s="1">
        <v>45383</v>
      </c>
      <c r="F1182" s="1" t="str">
        <f>TEXT(Table1[[#This Row],[order_date]],"dddd")</f>
        <v>Monday</v>
      </c>
      <c r="G1182">
        <f>HOUR(Table1[[#This Row],[order_time]])</f>
        <v>13</v>
      </c>
      <c r="H1182" s="2">
        <v>0.56499999999999995</v>
      </c>
      <c r="I1182" t="s">
        <v>11</v>
      </c>
      <c r="J1182" t="s">
        <v>14</v>
      </c>
      <c r="K1182">
        <v>4</v>
      </c>
      <c r="L1182">
        <v>700</v>
      </c>
      <c r="M1182">
        <v>2800</v>
      </c>
      <c r="N1182">
        <f>IF(COUNTIFS($B$2:B1182,B1182)=1,1,0)</f>
        <v>0</v>
      </c>
    </row>
    <row r="1183" spans="1:14" x14ac:dyDescent="0.2">
      <c r="A1183">
        <v>1182</v>
      </c>
      <c r="B1183">
        <v>1587</v>
      </c>
      <c r="C1183">
        <f>1/COUNTIF(B:B,Table1[[#This Row],[order_id]])</f>
        <v>0.33333333333333331</v>
      </c>
      <c r="D1183" t="str">
        <f>TEXT(Table1[[#This Row],[order_date]],"mmmm")</f>
        <v>April</v>
      </c>
      <c r="E1183" s="1">
        <v>45383</v>
      </c>
      <c r="F1183" s="1" t="str">
        <f>TEXT(Table1[[#This Row],[order_date]],"dddd")</f>
        <v>Monday</v>
      </c>
      <c r="G1183">
        <f>HOUR(Table1[[#This Row],[order_time]])</f>
        <v>11</v>
      </c>
      <c r="H1183" s="2">
        <v>0.46510416666666665</v>
      </c>
      <c r="I1183" t="s">
        <v>16</v>
      </c>
      <c r="J1183" t="s">
        <v>17</v>
      </c>
      <c r="K1183">
        <v>2</v>
      </c>
      <c r="L1183">
        <v>20</v>
      </c>
      <c r="M1183">
        <v>40</v>
      </c>
      <c r="N1183">
        <f>IF(COUNTIFS($B$2:B1183,B1183)=1,1,0)</f>
        <v>1</v>
      </c>
    </row>
    <row r="1184" spans="1:14" x14ac:dyDescent="0.2">
      <c r="A1184">
        <v>1183</v>
      </c>
      <c r="B1184">
        <v>1587</v>
      </c>
      <c r="C1184">
        <f>1/COUNTIF(B:B,Table1[[#This Row],[order_id]])</f>
        <v>0.33333333333333331</v>
      </c>
      <c r="D1184" t="str">
        <f>TEXT(Table1[[#This Row],[order_date]],"mmmm")</f>
        <v>April</v>
      </c>
      <c r="E1184" s="1">
        <v>45383</v>
      </c>
      <c r="F1184" s="1" t="str">
        <f>TEXT(Table1[[#This Row],[order_date]],"dddd")</f>
        <v>Monday</v>
      </c>
      <c r="G1184">
        <f>HOUR(Table1[[#This Row],[order_time]])</f>
        <v>15</v>
      </c>
      <c r="H1184" s="2">
        <v>0.63479166666666664</v>
      </c>
      <c r="I1184" t="s">
        <v>11</v>
      </c>
      <c r="J1184" t="s">
        <v>13</v>
      </c>
      <c r="K1184">
        <v>5</v>
      </c>
      <c r="L1184">
        <v>680</v>
      </c>
      <c r="M1184">
        <v>3400</v>
      </c>
      <c r="N1184">
        <f>IF(COUNTIFS($B$2:B1184,B1184)=1,1,0)</f>
        <v>0</v>
      </c>
    </row>
    <row r="1185" spans="1:14" x14ac:dyDescent="0.2">
      <c r="A1185">
        <v>1184</v>
      </c>
      <c r="B1185">
        <v>1587</v>
      </c>
      <c r="C1185">
        <f>1/COUNTIF(B:B,Table1[[#This Row],[order_id]])</f>
        <v>0.33333333333333331</v>
      </c>
      <c r="D1185" t="str">
        <f>TEXT(Table1[[#This Row],[order_date]],"mmmm")</f>
        <v>April</v>
      </c>
      <c r="E1185" s="1">
        <v>45383</v>
      </c>
      <c r="F1185" s="1" t="str">
        <f>TEXT(Table1[[#This Row],[order_date]],"dddd")</f>
        <v>Monday</v>
      </c>
      <c r="G1185">
        <f>HOUR(Table1[[#This Row],[order_time]])</f>
        <v>18</v>
      </c>
      <c r="H1185" s="2">
        <v>0.77738425925925925</v>
      </c>
      <c r="I1185" t="s">
        <v>9</v>
      </c>
      <c r="J1185" t="s">
        <v>10</v>
      </c>
      <c r="K1185">
        <v>5</v>
      </c>
      <c r="L1185">
        <v>20</v>
      </c>
      <c r="M1185">
        <v>100</v>
      </c>
      <c r="N1185">
        <f>IF(COUNTIFS($B$2:B1185,B1185)=1,1,0)</f>
        <v>0</v>
      </c>
    </row>
    <row r="1186" spans="1:14" x14ac:dyDescent="0.2">
      <c r="A1186">
        <v>1185</v>
      </c>
      <c r="B1186">
        <v>1588</v>
      </c>
      <c r="C1186">
        <f>1/COUNTIF(B:B,Table1[[#This Row],[order_id]])</f>
        <v>1</v>
      </c>
      <c r="D1186" t="str">
        <f>TEXT(Table1[[#This Row],[order_date]],"mmmm")</f>
        <v>April</v>
      </c>
      <c r="E1186" s="1">
        <v>45383</v>
      </c>
      <c r="F1186" s="1" t="str">
        <f>TEXT(Table1[[#This Row],[order_date]],"dddd")</f>
        <v>Monday</v>
      </c>
      <c r="G1186">
        <f>HOUR(Table1[[#This Row],[order_time]])</f>
        <v>12</v>
      </c>
      <c r="H1186" s="2">
        <v>0.51124999999999998</v>
      </c>
      <c r="I1186" t="s">
        <v>18</v>
      </c>
      <c r="J1186" t="s">
        <v>19</v>
      </c>
      <c r="K1186">
        <v>4</v>
      </c>
      <c r="L1186">
        <v>50</v>
      </c>
      <c r="M1186">
        <v>200</v>
      </c>
      <c r="N1186">
        <f>IF(COUNTIFS($B$2:B1186,B1186)=1,1,0)</f>
        <v>1</v>
      </c>
    </row>
    <row r="1187" spans="1:14" x14ac:dyDescent="0.2">
      <c r="A1187">
        <v>1186</v>
      </c>
      <c r="B1187">
        <v>1589</v>
      </c>
      <c r="C1187">
        <f>1/COUNTIF(B:B,Table1[[#This Row],[order_id]])</f>
        <v>0.33333333333333331</v>
      </c>
      <c r="D1187" t="str">
        <f>TEXT(Table1[[#This Row],[order_date]],"mmmm")</f>
        <v>April</v>
      </c>
      <c r="E1187" s="1">
        <v>45384</v>
      </c>
      <c r="F1187" s="1" t="str">
        <f>TEXT(Table1[[#This Row],[order_date]],"dddd")</f>
        <v>Tuesday</v>
      </c>
      <c r="G1187">
        <f>HOUR(Table1[[#This Row],[order_time]])</f>
        <v>9</v>
      </c>
      <c r="H1187" s="2">
        <v>0.41131944444444446</v>
      </c>
      <c r="I1187" t="s">
        <v>18</v>
      </c>
      <c r="J1187" t="s">
        <v>27</v>
      </c>
      <c r="K1187">
        <v>2</v>
      </c>
      <c r="L1187">
        <v>40</v>
      </c>
      <c r="M1187">
        <v>80</v>
      </c>
      <c r="N1187">
        <f>IF(COUNTIFS($B$2:B1187,B1187)=1,1,0)</f>
        <v>1</v>
      </c>
    </row>
    <row r="1188" spans="1:14" x14ac:dyDescent="0.2">
      <c r="A1188">
        <v>1187</v>
      </c>
      <c r="B1188">
        <v>1589</v>
      </c>
      <c r="C1188">
        <f>1/COUNTIF(B:B,Table1[[#This Row],[order_id]])</f>
        <v>0.33333333333333331</v>
      </c>
      <c r="D1188" t="str">
        <f>TEXT(Table1[[#This Row],[order_date]],"mmmm")</f>
        <v>April</v>
      </c>
      <c r="E1188" s="1">
        <v>45384</v>
      </c>
      <c r="F1188" s="1" t="str">
        <f>TEXT(Table1[[#This Row],[order_date]],"dddd")</f>
        <v>Tuesday</v>
      </c>
      <c r="G1188">
        <f>HOUR(Table1[[#This Row],[order_time]])</f>
        <v>10</v>
      </c>
      <c r="H1188" s="2">
        <v>0.45275462962962965</v>
      </c>
      <c r="I1188" t="s">
        <v>18</v>
      </c>
      <c r="J1188" t="s">
        <v>30</v>
      </c>
      <c r="K1188">
        <v>1</v>
      </c>
      <c r="L1188">
        <v>60</v>
      </c>
      <c r="M1188">
        <v>60</v>
      </c>
      <c r="N1188">
        <f>IF(COUNTIFS($B$2:B1188,B1188)=1,1,0)</f>
        <v>0</v>
      </c>
    </row>
    <row r="1189" spans="1:14" x14ac:dyDescent="0.2">
      <c r="A1189">
        <v>1188</v>
      </c>
      <c r="B1189">
        <v>1589</v>
      </c>
      <c r="C1189">
        <f>1/COUNTIF(B:B,Table1[[#This Row],[order_id]])</f>
        <v>0.33333333333333331</v>
      </c>
      <c r="D1189" t="str">
        <f>TEXT(Table1[[#This Row],[order_date]],"mmmm")</f>
        <v>April</v>
      </c>
      <c r="E1189" s="1">
        <v>45384</v>
      </c>
      <c r="F1189" s="1" t="str">
        <f>TEXT(Table1[[#This Row],[order_date]],"dddd")</f>
        <v>Tuesday</v>
      </c>
      <c r="G1189">
        <f>HOUR(Table1[[#This Row],[order_time]])</f>
        <v>16</v>
      </c>
      <c r="H1189" s="2">
        <v>0.70084490740740746</v>
      </c>
      <c r="I1189" t="s">
        <v>11</v>
      </c>
      <c r="J1189" t="s">
        <v>12</v>
      </c>
      <c r="K1189">
        <v>1</v>
      </c>
      <c r="L1189">
        <v>650</v>
      </c>
      <c r="M1189">
        <v>650</v>
      </c>
      <c r="N1189">
        <f>IF(COUNTIFS($B$2:B1189,B1189)=1,1,0)</f>
        <v>0</v>
      </c>
    </row>
    <row r="1190" spans="1:14" x14ac:dyDescent="0.2">
      <c r="A1190">
        <v>1189</v>
      </c>
      <c r="B1190">
        <v>1590</v>
      </c>
      <c r="C1190">
        <f>1/COUNTIF(B:B,Table1[[#This Row],[order_id]])</f>
        <v>0.33333333333333331</v>
      </c>
      <c r="D1190" t="str">
        <f>TEXT(Table1[[#This Row],[order_date]],"mmmm")</f>
        <v>April</v>
      </c>
      <c r="E1190" s="1">
        <v>45384</v>
      </c>
      <c r="F1190" s="1" t="str">
        <f>TEXT(Table1[[#This Row],[order_date]],"dddd")</f>
        <v>Tuesday</v>
      </c>
      <c r="G1190">
        <f>HOUR(Table1[[#This Row],[order_time]])</f>
        <v>19</v>
      </c>
      <c r="H1190" s="2">
        <v>0.81518518518518523</v>
      </c>
      <c r="I1190" t="s">
        <v>9</v>
      </c>
      <c r="J1190" t="s">
        <v>29</v>
      </c>
      <c r="K1190">
        <v>1</v>
      </c>
      <c r="L1190">
        <v>5</v>
      </c>
      <c r="M1190">
        <v>5</v>
      </c>
      <c r="N1190">
        <f>IF(COUNTIFS($B$2:B1190,B1190)=1,1,0)</f>
        <v>1</v>
      </c>
    </row>
    <row r="1191" spans="1:14" x14ac:dyDescent="0.2">
      <c r="A1191">
        <v>1190</v>
      </c>
      <c r="B1191">
        <v>1590</v>
      </c>
      <c r="C1191">
        <f>1/COUNTIF(B:B,Table1[[#This Row],[order_id]])</f>
        <v>0.33333333333333331</v>
      </c>
      <c r="D1191" t="str">
        <f>TEXT(Table1[[#This Row],[order_date]],"mmmm")</f>
        <v>April</v>
      </c>
      <c r="E1191" s="1">
        <v>45384</v>
      </c>
      <c r="F1191" s="1" t="str">
        <f>TEXT(Table1[[#This Row],[order_date]],"dddd")</f>
        <v>Tuesday</v>
      </c>
      <c r="G1191">
        <f>HOUR(Table1[[#This Row],[order_time]])</f>
        <v>20</v>
      </c>
      <c r="H1191" s="2">
        <v>0.86123842592592592</v>
      </c>
      <c r="I1191" t="s">
        <v>16</v>
      </c>
      <c r="J1191" t="s">
        <v>28</v>
      </c>
      <c r="K1191">
        <v>2</v>
      </c>
      <c r="L1191">
        <v>25</v>
      </c>
      <c r="M1191">
        <v>50</v>
      </c>
      <c r="N1191">
        <f>IF(COUNTIFS($B$2:B1191,B1191)=1,1,0)</f>
        <v>0</v>
      </c>
    </row>
    <row r="1192" spans="1:14" x14ac:dyDescent="0.2">
      <c r="A1192">
        <v>1191</v>
      </c>
      <c r="B1192">
        <v>1590</v>
      </c>
      <c r="C1192">
        <f>1/COUNTIF(B:B,Table1[[#This Row],[order_id]])</f>
        <v>0.33333333333333331</v>
      </c>
      <c r="D1192" t="str">
        <f>TEXT(Table1[[#This Row],[order_date]],"mmmm")</f>
        <v>April</v>
      </c>
      <c r="E1192" s="1">
        <v>45384</v>
      </c>
      <c r="F1192" s="1" t="str">
        <f>TEXT(Table1[[#This Row],[order_date]],"dddd")</f>
        <v>Tuesday</v>
      </c>
      <c r="G1192">
        <f>HOUR(Table1[[#This Row],[order_time]])</f>
        <v>14</v>
      </c>
      <c r="H1192" s="2">
        <v>0.61261574074074077</v>
      </c>
      <c r="I1192" t="s">
        <v>11</v>
      </c>
      <c r="J1192" t="s">
        <v>13</v>
      </c>
      <c r="K1192">
        <v>1</v>
      </c>
      <c r="L1192">
        <v>680</v>
      </c>
      <c r="M1192">
        <v>680</v>
      </c>
      <c r="N1192">
        <f>IF(COUNTIFS($B$2:B1192,B1192)=1,1,0)</f>
        <v>0</v>
      </c>
    </row>
    <row r="1193" spans="1:14" x14ac:dyDescent="0.2">
      <c r="A1193">
        <v>1192</v>
      </c>
      <c r="B1193">
        <v>1591</v>
      </c>
      <c r="C1193">
        <f>1/COUNTIF(B:B,Table1[[#This Row],[order_id]])</f>
        <v>0.5</v>
      </c>
      <c r="D1193" t="str">
        <f>TEXT(Table1[[#This Row],[order_date]],"mmmm")</f>
        <v>April</v>
      </c>
      <c r="E1193" s="1">
        <v>45384</v>
      </c>
      <c r="F1193" s="1" t="str">
        <f>TEXT(Table1[[#This Row],[order_date]],"dddd")</f>
        <v>Tuesday</v>
      </c>
      <c r="G1193">
        <f>HOUR(Table1[[#This Row],[order_time]])</f>
        <v>18</v>
      </c>
      <c r="H1193" s="2">
        <v>0.75222222222222224</v>
      </c>
      <c r="I1193" t="s">
        <v>16</v>
      </c>
      <c r="J1193" t="s">
        <v>24</v>
      </c>
      <c r="K1193">
        <v>2</v>
      </c>
      <c r="L1193">
        <v>35</v>
      </c>
      <c r="M1193">
        <v>70</v>
      </c>
      <c r="N1193">
        <f>IF(COUNTIFS($B$2:B1193,B1193)=1,1,0)</f>
        <v>1</v>
      </c>
    </row>
    <row r="1194" spans="1:14" x14ac:dyDescent="0.2">
      <c r="A1194">
        <v>1193</v>
      </c>
      <c r="B1194">
        <v>1591</v>
      </c>
      <c r="C1194">
        <f>1/COUNTIF(B:B,Table1[[#This Row],[order_id]])</f>
        <v>0.5</v>
      </c>
      <c r="D1194" t="str">
        <f>TEXT(Table1[[#This Row],[order_date]],"mmmm")</f>
        <v>April</v>
      </c>
      <c r="E1194" s="1">
        <v>45384</v>
      </c>
      <c r="F1194" s="1" t="str">
        <f>TEXT(Table1[[#This Row],[order_date]],"dddd")</f>
        <v>Tuesday</v>
      </c>
      <c r="G1194">
        <f>HOUR(Table1[[#This Row],[order_time]])</f>
        <v>16</v>
      </c>
      <c r="H1194" s="2">
        <v>0.70082175925925927</v>
      </c>
      <c r="I1194" t="s">
        <v>9</v>
      </c>
      <c r="J1194" t="s">
        <v>20</v>
      </c>
      <c r="K1194">
        <v>5</v>
      </c>
      <c r="L1194">
        <v>25</v>
      </c>
      <c r="M1194">
        <v>125</v>
      </c>
      <c r="N1194">
        <f>IF(COUNTIFS($B$2:B1194,B1194)=1,1,0)</f>
        <v>0</v>
      </c>
    </row>
    <row r="1195" spans="1:14" x14ac:dyDescent="0.2">
      <c r="A1195">
        <v>1194</v>
      </c>
      <c r="B1195">
        <v>1592</v>
      </c>
      <c r="C1195">
        <f>1/COUNTIF(B:B,Table1[[#This Row],[order_id]])</f>
        <v>0.33333333333333331</v>
      </c>
      <c r="D1195" t="str">
        <f>TEXT(Table1[[#This Row],[order_date]],"mmmm")</f>
        <v>April</v>
      </c>
      <c r="E1195" s="1">
        <v>45385</v>
      </c>
      <c r="F1195" s="1" t="str">
        <f>TEXT(Table1[[#This Row],[order_date]],"dddd")</f>
        <v>Wednesday</v>
      </c>
      <c r="G1195">
        <f>HOUR(Table1[[#This Row],[order_time]])</f>
        <v>9</v>
      </c>
      <c r="H1195" s="2">
        <v>0.39531250000000001</v>
      </c>
      <c r="I1195" t="s">
        <v>11</v>
      </c>
      <c r="J1195" t="s">
        <v>25</v>
      </c>
      <c r="K1195">
        <v>3</v>
      </c>
      <c r="L1195">
        <v>1000</v>
      </c>
      <c r="M1195">
        <v>3000</v>
      </c>
      <c r="N1195">
        <f>IF(COUNTIFS($B$2:B1195,B1195)=1,1,0)</f>
        <v>1</v>
      </c>
    </row>
    <row r="1196" spans="1:14" x14ac:dyDescent="0.2">
      <c r="A1196">
        <v>1195</v>
      </c>
      <c r="B1196">
        <v>1592</v>
      </c>
      <c r="C1196">
        <f>1/COUNTIF(B:B,Table1[[#This Row],[order_id]])</f>
        <v>0.33333333333333331</v>
      </c>
      <c r="D1196" t="str">
        <f>TEXT(Table1[[#This Row],[order_date]],"mmmm")</f>
        <v>April</v>
      </c>
      <c r="E1196" s="1">
        <v>45385</v>
      </c>
      <c r="F1196" s="1" t="str">
        <f>TEXT(Table1[[#This Row],[order_date]],"dddd")</f>
        <v>Wednesday</v>
      </c>
      <c r="G1196">
        <f>HOUR(Table1[[#This Row],[order_time]])</f>
        <v>18</v>
      </c>
      <c r="H1196" s="2">
        <v>0.7513657407407407</v>
      </c>
      <c r="I1196" t="s">
        <v>11</v>
      </c>
      <c r="J1196" t="s">
        <v>12</v>
      </c>
      <c r="K1196">
        <v>1</v>
      </c>
      <c r="L1196">
        <v>650</v>
      </c>
      <c r="M1196">
        <v>650</v>
      </c>
      <c r="N1196">
        <f>IF(COUNTIFS($B$2:B1196,B1196)=1,1,0)</f>
        <v>0</v>
      </c>
    </row>
    <row r="1197" spans="1:14" x14ac:dyDescent="0.2">
      <c r="A1197">
        <v>1196</v>
      </c>
      <c r="B1197">
        <v>1592</v>
      </c>
      <c r="C1197">
        <f>1/COUNTIF(B:B,Table1[[#This Row],[order_id]])</f>
        <v>0.33333333333333331</v>
      </c>
      <c r="D1197" t="str">
        <f>TEXT(Table1[[#This Row],[order_date]],"mmmm")</f>
        <v>April</v>
      </c>
      <c r="E1197" s="1">
        <v>45385</v>
      </c>
      <c r="F1197" s="1" t="str">
        <f>TEXT(Table1[[#This Row],[order_date]],"dddd")</f>
        <v>Wednesday</v>
      </c>
      <c r="G1197">
        <f>HOUR(Table1[[#This Row],[order_time]])</f>
        <v>13</v>
      </c>
      <c r="H1197" s="2">
        <v>0.55947916666666664</v>
      </c>
      <c r="I1197" t="s">
        <v>11</v>
      </c>
      <c r="J1197" t="s">
        <v>13</v>
      </c>
      <c r="K1197">
        <v>2</v>
      </c>
      <c r="L1197">
        <v>680</v>
      </c>
      <c r="M1197">
        <v>1360</v>
      </c>
      <c r="N1197">
        <f>IF(COUNTIFS($B$2:B1197,B1197)=1,1,0)</f>
        <v>0</v>
      </c>
    </row>
    <row r="1198" spans="1:14" x14ac:dyDescent="0.2">
      <c r="A1198">
        <v>1197</v>
      </c>
      <c r="B1198">
        <v>1593</v>
      </c>
      <c r="C1198">
        <f>1/COUNTIF(B:B,Table1[[#This Row],[order_id]])</f>
        <v>0.33333333333333331</v>
      </c>
      <c r="D1198" t="str">
        <f>TEXT(Table1[[#This Row],[order_date]],"mmmm")</f>
        <v>April</v>
      </c>
      <c r="E1198" s="1">
        <v>45385</v>
      </c>
      <c r="F1198" s="1" t="str">
        <f>TEXT(Table1[[#This Row],[order_date]],"dddd")</f>
        <v>Wednesday</v>
      </c>
      <c r="G1198">
        <f>HOUR(Table1[[#This Row],[order_time]])</f>
        <v>19</v>
      </c>
      <c r="H1198" s="2">
        <v>0.81657407407407412</v>
      </c>
      <c r="I1198" t="s">
        <v>16</v>
      </c>
      <c r="J1198" t="s">
        <v>24</v>
      </c>
      <c r="K1198">
        <v>3</v>
      </c>
      <c r="L1198">
        <v>35</v>
      </c>
      <c r="M1198">
        <v>105</v>
      </c>
      <c r="N1198">
        <f>IF(COUNTIFS($B$2:B1198,B1198)=1,1,0)</f>
        <v>1</v>
      </c>
    </row>
    <row r="1199" spans="1:14" x14ac:dyDescent="0.2">
      <c r="A1199">
        <v>1198</v>
      </c>
      <c r="B1199">
        <v>1593</v>
      </c>
      <c r="C1199">
        <f>1/COUNTIF(B:B,Table1[[#This Row],[order_id]])</f>
        <v>0.33333333333333331</v>
      </c>
      <c r="D1199" t="str">
        <f>TEXT(Table1[[#This Row],[order_date]],"mmmm")</f>
        <v>April</v>
      </c>
      <c r="E1199" s="1">
        <v>45385</v>
      </c>
      <c r="F1199" s="1" t="str">
        <f>TEXT(Table1[[#This Row],[order_date]],"dddd")</f>
        <v>Wednesday</v>
      </c>
      <c r="G1199">
        <f>HOUR(Table1[[#This Row],[order_time]])</f>
        <v>14</v>
      </c>
      <c r="H1199" s="2">
        <v>0.61509259259259264</v>
      </c>
      <c r="I1199" t="s">
        <v>16</v>
      </c>
      <c r="J1199" t="s">
        <v>23</v>
      </c>
      <c r="K1199">
        <v>1</v>
      </c>
      <c r="L1199">
        <v>30</v>
      </c>
      <c r="M1199">
        <v>30</v>
      </c>
      <c r="N1199">
        <f>IF(COUNTIFS($B$2:B1199,B1199)=1,1,0)</f>
        <v>0</v>
      </c>
    </row>
    <row r="1200" spans="1:14" x14ac:dyDescent="0.2">
      <c r="A1200">
        <v>1199</v>
      </c>
      <c r="B1200">
        <v>1593</v>
      </c>
      <c r="C1200">
        <f>1/COUNTIF(B:B,Table1[[#This Row],[order_id]])</f>
        <v>0.33333333333333331</v>
      </c>
      <c r="D1200" t="str">
        <f>TEXT(Table1[[#This Row],[order_date]],"mmmm")</f>
        <v>April</v>
      </c>
      <c r="E1200" s="1">
        <v>45385</v>
      </c>
      <c r="F1200" s="1" t="str">
        <f>TEXT(Table1[[#This Row],[order_date]],"dddd")</f>
        <v>Wednesday</v>
      </c>
      <c r="G1200">
        <f>HOUR(Table1[[#This Row],[order_time]])</f>
        <v>19</v>
      </c>
      <c r="H1200" s="2">
        <v>0.81980324074074074</v>
      </c>
      <c r="I1200" t="s">
        <v>11</v>
      </c>
      <c r="J1200" t="s">
        <v>12</v>
      </c>
      <c r="K1200">
        <v>2</v>
      </c>
      <c r="L1200">
        <v>650</v>
      </c>
      <c r="M1200">
        <v>1300</v>
      </c>
      <c r="N1200">
        <f>IF(COUNTIFS($B$2:B1200,B1200)=1,1,0)</f>
        <v>0</v>
      </c>
    </row>
    <row r="1201" spans="1:14" x14ac:dyDescent="0.2">
      <c r="A1201">
        <v>1200</v>
      </c>
      <c r="B1201">
        <v>1594</v>
      </c>
      <c r="C1201">
        <f>1/COUNTIF(B:B,Table1[[#This Row],[order_id]])</f>
        <v>1</v>
      </c>
      <c r="D1201" t="str">
        <f>TEXT(Table1[[#This Row],[order_date]],"mmmm")</f>
        <v>April</v>
      </c>
      <c r="E1201" s="1">
        <v>45385</v>
      </c>
      <c r="F1201" s="1" t="str">
        <f>TEXT(Table1[[#This Row],[order_date]],"dddd")</f>
        <v>Wednesday</v>
      </c>
      <c r="G1201">
        <f>HOUR(Table1[[#This Row],[order_time]])</f>
        <v>16</v>
      </c>
      <c r="H1201" s="2">
        <v>0.70603009259259264</v>
      </c>
      <c r="I1201" t="s">
        <v>11</v>
      </c>
      <c r="J1201" t="s">
        <v>14</v>
      </c>
      <c r="K1201">
        <v>4</v>
      </c>
      <c r="L1201">
        <v>700</v>
      </c>
      <c r="M1201">
        <v>2800</v>
      </c>
      <c r="N1201">
        <f>IF(COUNTIFS($B$2:B1201,B1201)=1,1,0)</f>
        <v>1</v>
      </c>
    </row>
    <row r="1202" spans="1:14" x14ac:dyDescent="0.2">
      <c r="A1202">
        <v>1201</v>
      </c>
      <c r="B1202">
        <v>1595</v>
      </c>
      <c r="C1202">
        <f>1/COUNTIF(B:B,Table1[[#This Row],[order_id]])</f>
        <v>1</v>
      </c>
      <c r="D1202" t="str">
        <f>TEXT(Table1[[#This Row],[order_date]],"mmmm")</f>
        <v>April</v>
      </c>
      <c r="E1202" s="1">
        <v>45385</v>
      </c>
      <c r="F1202" s="1" t="str">
        <f>TEXT(Table1[[#This Row],[order_date]],"dddd")</f>
        <v>Wednesday</v>
      </c>
      <c r="G1202">
        <f>HOUR(Table1[[#This Row],[order_time]])</f>
        <v>20</v>
      </c>
      <c r="H1202" s="2">
        <v>0.84335648148148146</v>
      </c>
      <c r="I1202" t="s">
        <v>9</v>
      </c>
      <c r="J1202" t="s">
        <v>29</v>
      </c>
      <c r="K1202">
        <v>3</v>
      </c>
      <c r="L1202">
        <v>5</v>
      </c>
      <c r="M1202">
        <v>15</v>
      </c>
      <c r="N1202">
        <f>IF(COUNTIFS($B$2:B1202,B1202)=1,1,0)</f>
        <v>1</v>
      </c>
    </row>
    <row r="1203" spans="1:14" x14ac:dyDescent="0.2">
      <c r="A1203">
        <v>1202</v>
      </c>
      <c r="B1203">
        <v>1596</v>
      </c>
      <c r="C1203">
        <f>1/COUNTIF(B:B,Table1[[#This Row],[order_id]])</f>
        <v>0.33333333333333331</v>
      </c>
      <c r="D1203" t="str">
        <f>TEXT(Table1[[#This Row],[order_date]],"mmmm")</f>
        <v>April</v>
      </c>
      <c r="E1203" s="1">
        <v>45386</v>
      </c>
      <c r="F1203" s="1" t="str">
        <f>TEXT(Table1[[#This Row],[order_date]],"dddd")</f>
        <v>Thursday</v>
      </c>
      <c r="G1203">
        <f>HOUR(Table1[[#This Row],[order_time]])</f>
        <v>14</v>
      </c>
      <c r="H1203" s="2">
        <v>0.62413194444444442</v>
      </c>
      <c r="I1203" t="s">
        <v>16</v>
      </c>
      <c r="J1203" t="s">
        <v>17</v>
      </c>
      <c r="K1203">
        <v>2</v>
      </c>
      <c r="L1203">
        <v>20</v>
      </c>
      <c r="M1203">
        <v>40</v>
      </c>
      <c r="N1203">
        <f>IF(COUNTIFS($B$2:B1203,B1203)=1,1,0)</f>
        <v>1</v>
      </c>
    </row>
    <row r="1204" spans="1:14" x14ac:dyDescent="0.2">
      <c r="A1204">
        <v>1203</v>
      </c>
      <c r="B1204">
        <v>1596</v>
      </c>
      <c r="C1204">
        <f>1/COUNTIF(B:B,Table1[[#This Row],[order_id]])</f>
        <v>0.33333333333333331</v>
      </c>
      <c r="D1204" t="str">
        <f>TEXT(Table1[[#This Row],[order_date]],"mmmm")</f>
        <v>April</v>
      </c>
      <c r="E1204" s="1">
        <v>45386</v>
      </c>
      <c r="F1204" s="1" t="str">
        <f>TEXT(Table1[[#This Row],[order_date]],"dddd")</f>
        <v>Thursday</v>
      </c>
      <c r="G1204">
        <f>HOUR(Table1[[#This Row],[order_time]])</f>
        <v>9</v>
      </c>
      <c r="H1204" s="2">
        <v>0.37956018518518519</v>
      </c>
      <c r="I1204" t="s">
        <v>18</v>
      </c>
      <c r="J1204" t="s">
        <v>31</v>
      </c>
      <c r="K1204">
        <v>2</v>
      </c>
      <c r="L1204">
        <v>45</v>
      </c>
      <c r="M1204">
        <v>90</v>
      </c>
      <c r="N1204">
        <f>IF(COUNTIFS($B$2:B1204,B1204)=1,1,0)</f>
        <v>0</v>
      </c>
    </row>
    <row r="1205" spans="1:14" x14ac:dyDescent="0.2">
      <c r="A1205">
        <v>1204</v>
      </c>
      <c r="B1205">
        <v>1596</v>
      </c>
      <c r="C1205">
        <f>1/COUNTIF(B:B,Table1[[#This Row],[order_id]])</f>
        <v>0.33333333333333331</v>
      </c>
      <c r="D1205" t="str">
        <f>TEXT(Table1[[#This Row],[order_date]],"mmmm")</f>
        <v>April</v>
      </c>
      <c r="E1205" s="1">
        <v>45386</v>
      </c>
      <c r="F1205" s="1" t="str">
        <f>TEXT(Table1[[#This Row],[order_date]],"dddd")</f>
        <v>Thursday</v>
      </c>
      <c r="G1205">
        <f>HOUR(Table1[[#This Row],[order_time]])</f>
        <v>16</v>
      </c>
      <c r="H1205" s="2">
        <v>0.6972800925925926</v>
      </c>
      <c r="I1205" t="s">
        <v>16</v>
      </c>
      <c r="J1205" t="s">
        <v>24</v>
      </c>
      <c r="K1205">
        <v>4</v>
      </c>
      <c r="L1205">
        <v>35</v>
      </c>
      <c r="M1205">
        <v>140</v>
      </c>
      <c r="N1205">
        <f>IF(COUNTIFS($B$2:B1205,B1205)=1,1,0)</f>
        <v>0</v>
      </c>
    </row>
    <row r="1206" spans="1:14" x14ac:dyDescent="0.2">
      <c r="A1206">
        <v>1205</v>
      </c>
      <c r="B1206">
        <v>1597</v>
      </c>
      <c r="C1206">
        <f>1/COUNTIF(B:B,Table1[[#This Row],[order_id]])</f>
        <v>1</v>
      </c>
      <c r="D1206" t="str">
        <f>TEXT(Table1[[#This Row],[order_date]],"mmmm")</f>
        <v>April</v>
      </c>
      <c r="E1206" s="1">
        <v>45386</v>
      </c>
      <c r="F1206" s="1" t="str">
        <f>TEXT(Table1[[#This Row],[order_date]],"dddd")</f>
        <v>Thursday</v>
      </c>
      <c r="G1206">
        <f>HOUR(Table1[[#This Row],[order_time]])</f>
        <v>10</v>
      </c>
      <c r="H1206" s="2">
        <v>0.43280092592592595</v>
      </c>
      <c r="I1206" t="s">
        <v>11</v>
      </c>
      <c r="J1206" t="s">
        <v>14</v>
      </c>
      <c r="K1206">
        <v>1</v>
      </c>
      <c r="L1206">
        <v>700</v>
      </c>
      <c r="M1206">
        <v>700</v>
      </c>
      <c r="N1206">
        <f>IF(COUNTIFS($B$2:B1206,B1206)=1,1,0)</f>
        <v>1</v>
      </c>
    </row>
    <row r="1207" spans="1:14" x14ac:dyDescent="0.2">
      <c r="A1207">
        <v>1206</v>
      </c>
      <c r="B1207">
        <v>1598</v>
      </c>
      <c r="C1207">
        <f>1/COUNTIF(B:B,Table1[[#This Row],[order_id]])</f>
        <v>0.33333333333333331</v>
      </c>
      <c r="D1207" t="str">
        <f>TEXT(Table1[[#This Row],[order_date]],"mmmm")</f>
        <v>April</v>
      </c>
      <c r="E1207" s="1">
        <v>45386</v>
      </c>
      <c r="F1207" s="1" t="str">
        <f>TEXT(Table1[[#This Row],[order_date]],"dddd")</f>
        <v>Thursday</v>
      </c>
      <c r="G1207">
        <f>HOUR(Table1[[#This Row],[order_time]])</f>
        <v>11</v>
      </c>
      <c r="H1207" s="2">
        <v>0.48924768518518519</v>
      </c>
      <c r="I1207" t="s">
        <v>9</v>
      </c>
      <c r="J1207" t="s">
        <v>21</v>
      </c>
      <c r="K1207">
        <v>1</v>
      </c>
      <c r="L1207">
        <v>10</v>
      </c>
      <c r="M1207">
        <v>10</v>
      </c>
      <c r="N1207">
        <f>IF(COUNTIFS($B$2:B1207,B1207)=1,1,0)</f>
        <v>1</v>
      </c>
    </row>
    <row r="1208" spans="1:14" x14ac:dyDescent="0.2">
      <c r="A1208">
        <v>1207</v>
      </c>
      <c r="B1208">
        <v>1598</v>
      </c>
      <c r="C1208">
        <f>1/COUNTIF(B:B,Table1[[#This Row],[order_id]])</f>
        <v>0.33333333333333331</v>
      </c>
      <c r="D1208" t="str">
        <f>TEXT(Table1[[#This Row],[order_date]],"mmmm")</f>
        <v>April</v>
      </c>
      <c r="E1208" s="1">
        <v>45386</v>
      </c>
      <c r="F1208" s="1" t="str">
        <f>TEXT(Table1[[#This Row],[order_date]],"dddd")</f>
        <v>Thursday</v>
      </c>
      <c r="G1208">
        <f>HOUR(Table1[[#This Row],[order_time]])</f>
        <v>15</v>
      </c>
      <c r="H1208" s="2">
        <v>0.64248842592592592</v>
      </c>
      <c r="I1208" t="s">
        <v>9</v>
      </c>
      <c r="J1208" t="s">
        <v>20</v>
      </c>
      <c r="K1208">
        <v>2</v>
      </c>
      <c r="L1208">
        <v>25</v>
      </c>
      <c r="M1208">
        <v>50</v>
      </c>
      <c r="N1208">
        <f>IF(COUNTIFS($B$2:B1208,B1208)=1,1,0)</f>
        <v>0</v>
      </c>
    </row>
    <row r="1209" spans="1:14" x14ac:dyDescent="0.2">
      <c r="A1209">
        <v>1208</v>
      </c>
      <c r="B1209">
        <v>1598</v>
      </c>
      <c r="C1209">
        <f>1/COUNTIF(B:B,Table1[[#This Row],[order_id]])</f>
        <v>0.33333333333333331</v>
      </c>
      <c r="D1209" t="str">
        <f>TEXT(Table1[[#This Row],[order_date]],"mmmm")</f>
        <v>April</v>
      </c>
      <c r="E1209" s="1">
        <v>45386</v>
      </c>
      <c r="F1209" s="1" t="str">
        <f>TEXT(Table1[[#This Row],[order_date]],"dddd")</f>
        <v>Thursday</v>
      </c>
      <c r="G1209">
        <f>HOUR(Table1[[#This Row],[order_time]])</f>
        <v>16</v>
      </c>
      <c r="H1209" s="2">
        <v>0.67240740740740745</v>
      </c>
      <c r="I1209" t="s">
        <v>9</v>
      </c>
      <c r="J1209" t="s">
        <v>20</v>
      </c>
      <c r="K1209">
        <v>2</v>
      </c>
      <c r="L1209">
        <v>25</v>
      </c>
      <c r="M1209">
        <v>50</v>
      </c>
      <c r="N1209">
        <f>IF(COUNTIFS($B$2:B1209,B1209)=1,1,0)</f>
        <v>0</v>
      </c>
    </row>
    <row r="1210" spans="1:14" x14ac:dyDescent="0.2">
      <c r="A1210">
        <v>1209</v>
      </c>
      <c r="B1210">
        <v>1599</v>
      </c>
      <c r="C1210">
        <f>1/COUNTIF(B:B,Table1[[#This Row],[order_id]])</f>
        <v>0.5</v>
      </c>
      <c r="D1210" t="str">
        <f>TEXT(Table1[[#This Row],[order_date]],"mmmm")</f>
        <v>April</v>
      </c>
      <c r="E1210" s="1">
        <v>45387</v>
      </c>
      <c r="F1210" s="1" t="str">
        <f>TEXT(Table1[[#This Row],[order_date]],"dddd")</f>
        <v>Friday</v>
      </c>
      <c r="G1210">
        <f>HOUR(Table1[[#This Row],[order_time]])</f>
        <v>15</v>
      </c>
      <c r="H1210" s="2">
        <v>0.64601851851851855</v>
      </c>
      <c r="I1210" t="s">
        <v>9</v>
      </c>
      <c r="J1210" t="s">
        <v>21</v>
      </c>
      <c r="K1210">
        <v>5</v>
      </c>
      <c r="L1210">
        <v>10</v>
      </c>
      <c r="M1210">
        <v>50</v>
      </c>
      <c r="N1210">
        <f>IF(COUNTIFS($B$2:B1210,B1210)=1,1,0)</f>
        <v>1</v>
      </c>
    </row>
    <row r="1211" spans="1:14" x14ac:dyDescent="0.2">
      <c r="A1211">
        <v>1210</v>
      </c>
      <c r="B1211">
        <v>1599</v>
      </c>
      <c r="C1211">
        <f>1/COUNTIF(B:B,Table1[[#This Row],[order_id]])</f>
        <v>0.5</v>
      </c>
      <c r="D1211" t="str">
        <f>TEXT(Table1[[#This Row],[order_date]],"mmmm")</f>
        <v>April</v>
      </c>
      <c r="E1211" s="1">
        <v>45387</v>
      </c>
      <c r="F1211" s="1" t="str">
        <f>TEXT(Table1[[#This Row],[order_date]],"dddd")</f>
        <v>Friday</v>
      </c>
      <c r="G1211">
        <f>HOUR(Table1[[#This Row],[order_time]])</f>
        <v>10</v>
      </c>
      <c r="H1211" s="2">
        <v>0.43552083333333336</v>
      </c>
      <c r="I1211" t="s">
        <v>11</v>
      </c>
      <c r="J1211" t="s">
        <v>15</v>
      </c>
      <c r="K1211">
        <v>4</v>
      </c>
      <c r="L1211">
        <v>600</v>
      </c>
      <c r="M1211">
        <v>2400</v>
      </c>
      <c r="N1211">
        <f>IF(COUNTIFS($B$2:B1211,B1211)=1,1,0)</f>
        <v>0</v>
      </c>
    </row>
    <row r="1212" spans="1:14" x14ac:dyDescent="0.2">
      <c r="A1212">
        <v>1211</v>
      </c>
      <c r="B1212">
        <v>1600</v>
      </c>
      <c r="C1212">
        <f>1/COUNTIF(B:B,Table1[[#This Row],[order_id]])</f>
        <v>1</v>
      </c>
      <c r="D1212" t="str">
        <f>TEXT(Table1[[#This Row],[order_date]],"mmmm")</f>
        <v>April</v>
      </c>
      <c r="E1212" s="1">
        <v>45387</v>
      </c>
      <c r="F1212" s="1" t="str">
        <f>TEXT(Table1[[#This Row],[order_date]],"dddd")</f>
        <v>Friday</v>
      </c>
      <c r="G1212">
        <f>HOUR(Table1[[#This Row],[order_time]])</f>
        <v>15</v>
      </c>
      <c r="H1212" s="2">
        <v>0.65511574074074075</v>
      </c>
      <c r="I1212" t="s">
        <v>18</v>
      </c>
      <c r="J1212" t="s">
        <v>30</v>
      </c>
      <c r="K1212">
        <v>2</v>
      </c>
      <c r="L1212">
        <v>60</v>
      </c>
      <c r="M1212">
        <v>120</v>
      </c>
      <c r="N1212">
        <f>IF(COUNTIFS($B$2:B1212,B1212)=1,1,0)</f>
        <v>1</v>
      </c>
    </row>
    <row r="1213" spans="1:14" x14ac:dyDescent="0.2">
      <c r="A1213">
        <v>1212</v>
      </c>
      <c r="B1213">
        <v>1601</v>
      </c>
      <c r="C1213">
        <f>1/COUNTIF(B:B,Table1[[#This Row],[order_id]])</f>
        <v>0.33333333333333331</v>
      </c>
      <c r="D1213" t="str">
        <f>TEXT(Table1[[#This Row],[order_date]],"mmmm")</f>
        <v>April</v>
      </c>
      <c r="E1213" s="1">
        <v>45387</v>
      </c>
      <c r="F1213" s="1" t="str">
        <f>TEXT(Table1[[#This Row],[order_date]],"dddd")</f>
        <v>Friday</v>
      </c>
      <c r="G1213">
        <f>HOUR(Table1[[#This Row],[order_time]])</f>
        <v>14</v>
      </c>
      <c r="H1213" s="2">
        <v>0.62462962962962965</v>
      </c>
      <c r="I1213" t="s">
        <v>11</v>
      </c>
      <c r="J1213" t="s">
        <v>14</v>
      </c>
      <c r="K1213">
        <v>4</v>
      </c>
      <c r="L1213">
        <v>700</v>
      </c>
      <c r="M1213">
        <v>2800</v>
      </c>
      <c r="N1213">
        <f>IF(COUNTIFS($B$2:B1213,B1213)=1,1,0)</f>
        <v>1</v>
      </c>
    </row>
    <row r="1214" spans="1:14" x14ac:dyDescent="0.2">
      <c r="A1214">
        <v>1213</v>
      </c>
      <c r="B1214">
        <v>1601</v>
      </c>
      <c r="C1214">
        <f>1/COUNTIF(B:B,Table1[[#This Row],[order_id]])</f>
        <v>0.33333333333333331</v>
      </c>
      <c r="D1214" t="str">
        <f>TEXT(Table1[[#This Row],[order_date]],"mmmm")</f>
        <v>April</v>
      </c>
      <c r="E1214" s="1">
        <v>45387</v>
      </c>
      <c r="F1214" s="1" t="str">
        <f>TEXT(Table1[[#This Row],[order_date]],"dddd")</f>
        <v>Friday</v>
      </c>
      <c r="G1214">
        <f>HOUR(Table1[[#This Row],[order_time]])</f>
        <v>11</v>
      </c>
      <c r="H1214" s="2">
        <v>0.49576388888888889</v>
      </c>
      <c r="I1214" t="s">
        <v>16</v>
      </c>
      <c r="J1214" t="s">
        <v>23</v>
      </c>
      <c r="K1214">
        <v>1</v>
      </c>
      <c r="L1214">
        <v>30</v>
      </c>
      <c r="M1214">
        <v>30</v>
      </c>
      <c r="N1214">
        <f>IF(COUNTIFS($B$2:B1214,B1214)=1,1,0)</f>
        <v>0</v>
      </c>
    </row>
    <row r="1215" spans="1:14" x14ac:dyDescent="0.2">
      <c r="A1215">
        <v>1214</v>
      </c>
      <c r="B1215">
        <v>1601</v>
      </c>
      <c r="C1215">
        <f>1/COUNTIF(B:B,Table1[[#This Row],[order_id]])</f>
        <v>0.33333333333333331</v>
      </c>
      <c r="D1215" t="str">
        <f>TEXT(Table1[[#This Row],[order_date]],"mmmm")</f>
        <v>April</v>
      </c>
      <c r="E1215" s="1">
        <v>45387</v>
      </c>
      <c r="F1215" s="1" t="str">
        <f>TEXT(Table1[[#This Row],[order_date]],"dddd")</f>
        <v>Friday</v>
      </c>
      <c r="G1215">
        <f>HOUR(Table1[[#This Row],[order_time]])</f>
        <v>15</v>
      </c>
      <c r="H1215" s="2">
        <v>0.66203703703703709</v>
      </c>
      <c r="I1215" t="s">
        <v>9</v>
      </c>
      <c r="J1215" t="s">
        <v>29</v>
      </c>
      <c r="K1215">
        <v>3</v>
      </c>
      <c r="L1215">
        <v>5</v>
      </c>
      <c r="M1215">
        <v>15</v>
      </c>
      <c r="N1215">
        <f>IF(COUNTIFS($B$2:B1215,B1215)=1,1,0)</f>
        <v>0</v>
      </c>
    </row>
    <row r="1216" spans="1:14" x14ac:dyDescent="0.2">
      <c r="A1216">
        <v>1215</v>
      </c>
      <c r="B1216">
        <v>1602</v>
      </c>
      <c r="C1216">
        <f>1/COUNTIF(B:B,Table1[[#This Row],[order_id]])</f>
        <v>0.33333333333333331</v>
      </c>
      <c r="D1216" t="str">
        <f>TEXT(Table1[[#This Row],[order_date]],"mmmm")</f>
        <v>April</v>
      </c>
      <c r="E1216" s="1">
        <v>45387</v>
      </c>
      <c r="F1216" s="1" t="str">
        <f>TEXT(Table1[[#This Row],[order_date]],"dddd")</f>
        <v>Friday</v>
      </c>
      <c r="G1216">
        <f>HOUR(Table1[[#This Row],[order_time]])</f>
        <v>9</v>
      </c>
      <c r="H1216" s="2">
        <v>0.40812500000000002</v>
      </c>
      <c r="I1216" t="s">
        <v>11</v>
      </c>
      <c r="J1216" t="s">
        <v>14</v>
      </c>
      <c r="K1216">
        <v>2</v>
      </c>
      <c r="L1216">
        <v>700</v>
      </c>
      <c r="M1216">
        <v>1400</v>
      </c>
      <c r="N1216">
        <f>IF(COUNTIFS($B$2:B1216,B1216)=1,1,0)</f>
        <v>1</v>
      </c>
    </row>
    <row r="1217" spans="1:14" x14ac:dyDescent="0.2">
      <c r="A1217">
        <v>1216</v>
      </c>
      <c r="B1217">
        <v>1602</v>
      </c>
      <c r="C1217">
        <f>1/COUNTIF(B:B,Table1[[#This Row],[order_id]])</f>
        <v>0.33333333333333331</v>
      </c>
      <c r="D1217" t="str">
        <f>TEXT(Table1[[#This Row],[order_date]],"mmmm")</f>
        <v>April</v>
      </c>
      <c r="E1217" s="1">
        <v>45387</v>
      </c>
      <c r="F1217" s="1" t="str">
        <f>TEXT(Table1[[#This Row],[order_date]],"dddd")</f>
        <v>Friday</v>
      </c>
      <c r="G1217">
        <f>HOUR(Table1[[#This Row],[order_time]])</f>
        <v>20</v>
      </c>
      <c r="H1217" s="2">
        <v>0.84527777777777779</v>
      </c>
      <c r="I1217" t="s">
        <v>11</v>
      </c>
      <c r="J1217" t="s">
        <v>15</v>
      </c>
      <c r="K1217">
        <v>4</v>
      </c>
      <c r="L1217">
        <v>600</v>
      </c>
      <c r="M1217">
        <v>2400</v>
      </c>
      <c r="N1217">
        <f>IF(COUNTIFS($B$2:B1217,B1217)=1,1,0)</f>
        <v>0</v>
      </c>
    </row>
    <row r="1218" spans="1:14" x14ac:dyDescent="0.2">
      <c r="A1218">
        <v>1217</v>
      </c>
      <c r="B1218">
        <v>1602</v>
      </c>
      <c r="C1218">
        <f>1/COUNTIF(B:B,Table1[[#This Row],[order_id]])</f>
        <v>0.33333333333333331</v>
      </c>
      <c r="D1218" t="str">
        <f>TEXT(Table1[[#This Row],[order_date]],"mmmm")</f>
        <v>April</v>
      </c>
      <c r="E1218" s="1">
        <v>45387</v>
      </c>
      <c r="F1218" s="1" t="str">
        <f>TEXT(Table1[[#This Row],[order_date]],"dddd")</f>
        <v>Friday</v>
      </c>
      <c r="G1218">
        <f>HOUR(Table1[[#This Row],[order_time]])</f>
        <v>11</v>
      </c>
      <c r="H1218" s="2">
        <v>0.49770833333333331</v>
      </c>
      <c r="I1218" t="s">
        <v>18</v>
      </c>
      <c r="J1218" t="s">
        <v>31</v>
      </c>
      <c r="K1218">
        <v>4</v>
      </c>
      <c r="L1218">
        <v>45</v>
      </c>
      <c r="M1218">
        <v>180</v>
      </c>
      <c r="N1218">
        <f>IF(COUNTIFS($B$2:B1218,B1218)=1,1,0)</f>
        <v>0</v>
      </c>
    </row>
    <row r="1219" spans="1:14" x14ac:dyDescent="0.2">
      <c r="A1219">
        <v>1218</v>
      </c>
      <c r="B1219">
        <v>1603</v>
      </c>
      <c r="C1219">
        <f>1/COUNTIF(B:B,Table1[[#This Row],[order_id]])</f>
        <v>0.5</v>
      </c>
      <c r="D1219" t="str">
        <f>TEXT(Table1[[#This Row],[order_date]],"mmmm")</f>
        <v>April</v>
      </c>
      <c r="E1219" s="1">
        <v>45387</v>
      </c>
      <c r="F1219" s="1" t="str">
        <f>TEXT(Table1[[#This Row],[order_date]],"dddd")</f>
        <v>Friday</v>
      </c>
      <c r="G1219">
        <f>HOUR(Table1[[#This Row],[order_time]])</f>
        <v>18</v>
      </c>
      <c r="H1219" s="2">
        <v>0.78140046296296295</v>
      </c>
      <c r="I1219" t="s">
        <v>9</v>
      </c>
      <c r="J1219" t="s">
        <v>20</v>
      </c>
      <c r="K1219">
        <v>3</v>
      </c>
      <c r="L1219">
        <v>25</v>
      </c>
      <c r="M1219">
        <v>75</v>
      </c>
      <c r="N1219">
        <f>IF(COUNTIFS($B$2:B1219,B1219)=1,1,0)</f>
        <v>1</v>
      </c>
    </row>
    <row r="1220" spans="1:14" x14ac:dyDescent="0.2">
      <c r="A1220">
        <v>1219</v>
      </c>
      <c r="B1220">
        <v>1603</v>
      </c>
      <c r="C1220">
        <f>1/COUNTIF(B:B,Table1[[#This Row],[order_id]])</f>
        <v>0.5</v>
      </c>
      <c r="D1220" t="str">
        <f>TEXT(Table1[[#This Row],[order_date]],"mmmm")</f>
        <v>April</v>
      </c>
      <c r="E1220" s="1">
        <v>45387</v>
      </c>
      <c r="F1220" s="1" t="str">
        <f>TEXT(Table1[[#This Row],[order_date]],"dddd")</f>
        <v>Friday</v>
      </c>
      <c r="G1220">
        <f>HOUR(Table1[[#This Row],[order_time]])</f>
        <v>19</v>
      </c>
      <c r="H1220" s="2">
        <v>0.8279050925925926</v>
      </c>
      <c r="I1220" t="s">
        <v>18</v>
      </c>
      <c r="J1220" t="s">
        <v>30</v>
      </c>
      <c r="K1220">
        <v>5</v>
      </c>
      <c r="L1220">
        <v>60</v>
      </c>
      <c r="M1220">
        <v>300</v>
      </c>
      <c r="N1220">
        <f>IF(COUNTIFS($B$2:B1220,B1220)=1,1,0)</f>
        <v>0</v>
      </c>
    </row>
    <row r="1221" spans="1:14" x14ac:dyDescent="0.2">
      <c r="A1221">
        <v>1220</v>
      </c>
      <c r="B1221">
        <v>1604</v>
      </c>
      <c r="C1221">
        <f>1/COUNTIF(B:B,Table1[[#This Row],[order_id]])</f>
        <v>0.5</v>
      </c>
      <c r="D1221" t="str">
        <f>TEXT(Table1[[#This Row],[order_date]],"mmmm")</f>
        <v>April</v>
      </c>
      <c r="E1221" s="1">
        <v>45387</v>
      </c>
      <c r="F1221" s="1" t="str">
        <f>TEXT(Table1[[#This Row],[order_date]],"dddd")</f>
        <v>Friday</v>
      </c>
      <c r="G1221">
        <f>HOUR(Table1[[#This Row],[order_time]])</f>
        <v>13</v>
      </c>
      <c r="H1221" s="2">
        <v>0.55318287037037039</v>
      </c>
      <c r="I1221" t="s">
        <v>18</v>
      </c>
      <c r="J1221" t="s">
        <v>19</v>
      </c>
      <c r="K1221">
        <v>5</v>
      </c>
      <c r="L1221">
        <v>50</v>
      </c>
      <c r="M1221">
        <v>250</v>
      </c>
      <c r="N1221">
        <f>IF(COUNTIFS($B$2:B1221,B1221)=1,1,0)</f>
        <v>1</v>
      </c>
    </row>
    <row r="1222" spans="1:14" x14ac:dyDescent="0.2">
      <c r="A1222">
        <v>1221</v>
      </c>
      <c r="B1222">
        <v>1604</v>
      </c>
      <c r="C1222">
        <f>1/COUNTIF(B:B,Table1[[#This Row],[order_id]])</f>
        <v>0.5</v>
      </c>
      <c r="D1222" t="str">
        <f>TEXT(Table1[[#This Row],[order_date]],"mmmm")</f>
        <v>April</v>
      </c>
      <c r="E1222" s="1">
        <v>45387</v>
      </c>
      <c r="F1222" s="1" t="str">
        <f>TEXT(Table1[[#This Row],[order_date]],"dddd")</f>
        <v>Friday</v>
      </c>
      <c r="G1222">
        <f>HOUR(Table1[[#This Row],[order_time]])</f>
        <v>17</v>
      </c>
      <c r="H1222" s="2">
        <v>0.73402777777777772</v>
      </c>
      <c r="I1222" t="s">
        <v>18</v>
      </c>
      <c r="J1222" t="s">
        <v>19</v>
      </c>
      <c r="K1222">
        <v>2</v>
      </c>
      <c r="L1222">
        <v>50</v>
      </c>
      <c r="M1222">
        <v>100</v>
      </c>
      <c r="N1222">
        <f>IF(COUNTIFS($B$2:B1222,B1222)=1,1,0)</f>
        <v>0</v>
      </c>
    </row>
    <row r="1223" spans="1:14" x14ac:dyDescent="0.2">
      <c r="A1223">
        <v>1222</v>
      </c>
      <c r="B1223">
        <v>1605</v>
      </c>
      <c r="C1223">
        <f>1/COUNTIF(B:B,Table1[[#This Row],[order_id]])</f>
        <v>1</v>
      </c>
      <c r="D1223" t="str">
        <f>TEXT(Table1[[#This Row],[order_date]],"mmmm")</f>
        <v>April</v>
      </c>
      <c r="E1223" s="1">
        <v>45387</v>
      </c>
      <c r="F1223" s="1" t="str">
        <f>TEXT(Table1[[#This Row],[order_date]],"dddd")</f>
        <v>Friday</v>
      </c>
      <c r="G1223">
        <f>HOUR(Table1[[#This Row],[order_time]])</f>
        <v>15</v>
      </c>
      <c r="H1223" s="2">
        <v>0.63369212962962962</v>
      </c>
      <c r="I1223" t="s">
        <v>16</v>
      </c>
      <c r="J1223" t="s">
        <v>23</v>
      </c>
      <c r="K1223">
        <v>1</v>
      </c>
      <c r="L1223">
        <v>30</v>
      </c>
      <c r="M1223">
        <v>30</v>
      </c>
      <c r="N1223">
        <f>IF(COUNTIFS($B$2:B1223,B1223)=1,1,0)</f>
        <v>1</v>
      </c>
    </row>
    <row r="1224" spans="1:14" x14ac:dyDescent="0.2">
      <c r="A1224">
        <v>1223</v>
      </c>
      <c r="B1224">
        <v>1606</v>
      </c>
      <c r="C1224">
        <f>1/COUNTIF(B:B,Table1[[#This Row],[order_id]])</f>
        <v>0.33333333333333331</v>
      </c>
      <c r="D1224" t="str">
        <f>TEXT(Table1[[#This Row],[order_date]],"mmmm")</f>
        <v>April</v>
      </c>
      <c r="E1224" s="1">
        <v>45388</v>
      </c>
      <c r="F1224" s="1" t="str">
        <f>TEXT(Table1[[#This Row],[order_date]],"dddd")</f>
        <v>Saturday</v>
      </c>
      <c r="G1224">
        <f>HOUR(Table1[[#This Row],[order_time]])</f>
        <v>17</v>
      </c>
      <c r="H1224" s="2">
        <v>0.74417824074074079</v>
      </c>
      <c r="I1224" t="s">
        <v>9</v>
      </c>
      <c r="J1224" t="s">
        <v>21</v>
      </c>
      <c r="K1224">
        <v>4</v>
      </c>
      <c r="L1224">
        <v>10</v>
      </c>
      <c r="M1224">
        <v>40</v>
      </c>
      <c r="N1224">
        <f>IF(COUNTIFS($B$2:B1224,B1224)=1,1,0)</f>
        <v>1</v>
      </c>
    </row>
    <row r="1225" spans="1:14" x14ac:dyDescent="0.2">
      <c r="A1225">
        <v>1224</v>
      </c>
      <c r="B1225">
        <v>1606</v>
      </c>
      <c r="C1225">
        <f>1/COUNTIF(B:B,Table1[[#This Row],[order_id]])</f>
        <v>0.33333333333333331</v>
      </c>
      <c r="D1225" t="str">
        <f>TEXT(Table1[[#This Row],[order_date]],"mmmm")</f>
        <v>April</v>
      </c>
      <c r="E1225" s="1">
        <v>45388</v>
      </c>
      <c r="F1225" s="1" t="str">
        <f>TEXT(Table1[[#This Row],[order_date]],"dddd")</f>
        <v>Saturday</v>
      </c>
      <c r="G1225">
        <f>HOUR(Table1[[#This Row],[order_time]])</f>
        <v>18</v>
      </c>
      <c r="H1225" s="2">
        <v>0.78038194444444442</v>
      </c>
      <c r="I1225" t="s">
        <v>18</v>
      </c>
      <c r="J1225" t="s">
        <v>31</v>
      </c>
      <c r="K1225">
        <v>2</v>
      </c>
      <c r="L1225">
        <v>45</v>
      </c>
      <c r="M1225">
        <v>90</v>
      </c>
      <c r="N1225">
        <f>IF(COUNTIFS($B$2:B1225,B1225)=1,1,0)</f>
        <v>0</v>
      </c>
    </row>
    <row r="1226" spans="1:14" x14ac:dyDescent="0.2">
      <c r="A1226">
        <v>1225</v>
      </c>
      <c r="B1226">
        <v>1606</v>
      </c>
      <c r="C1226">
        <f>1/COUNTIF(B:B,Table1[[#This Row],[order_id]])</f>
        <v>0.33333333333333331</v>
      </c>
      <c r="D1226" t="str">
        <f>TEXT(Table1[[#This Row],[order_date]],"mmmm")</f>
        <v>April</v>
      </c>
      <c r="E1226" s="1">
        <v>45388</v>
      </c>
      <c r="F1226" s="1" t="str">
        <f>TEXT(Table1[[#This Row],[order_date]],"dddd")</f>
        <v>Saturday</v>
      </c>
      <c r="G1226">
        <f>HOUR(Table1[[#This Row],[order_time]])</f>
        <v>13</v>
      </c>
      <c r="H1226" s="2">
        <v>0.56968750000000001</v>
      </c>
      <c r="I1226" t="s">
        <v>11</v>
      </c>
      <c r="J1226" t="s">
        <v>14</v>
      </c>
      <c r="K1226">
        <v>2</v>
      </c>
      <c r="L1226">
        <v>700</v>
      </c>
      <c r="M1226">
        <v>1400</v>
      </c>
      <c r="N1226">
        <f>IF(COUNTIFS($B$2:B1226,B1226)=1,1,0)</f>
        <v>0</v>
      </c>
    </row>
    <row r="1227" spans="1:14" x14ac:dyDescent="0.2">
      <c r="A1227">
        <v>1226</v>
      </c>
      <c r="B1227">
        <v>1607</v>
      </c>
      <c r="C1227">
        <f>1/COUNTIF(B:B,Table1[[#This Row],[order_id]])</f>
        <v>0.5</v>
      </c>
      <c r="D1227" t="str">
        <f>TEXT(Table1[[#This Row],[order_date]],"mmmm")</f>
        <v>April</v>
      </c>
      <c r="E1227" s="1">
        <v>45388</v>
      </c>
      <c r="F1227" s="1" t="str">
        <f>TEXT(Table1[[#This Row],[order_date]],"dddd")</f>
        <v>Saturday</v>
      </c>
      <c r="G1227">
        <f>HOUR(Table1[[#This Row],[order_time]])</f>
        <v>13</v>
      </c>
      <c r="H1227" s="2">
        <v>0.54434027777777783</v>
      </c>
      <c r="I1227" t="s">
        <v>9</v>
      </c>
      <c r="J1227" t="s">
        <v>22</v>
      </c>
      <c r="K1227">
        <v>5</v>
      </c>
      <c r="L1227">
        <v>15</v>
      </c>
      <c r="M1227">
        <v>75</v>
      </c>
      <c r="N1227">
        <f>IF(COUNTIFS($B$2:B1227,B1227)=1,1,0)</f>
        <v>1</v>
      </c>
    </row>
    <row r="1228" spans="1:14" x14ac:dyDescent="0.2">
      <c r="A1228">
        <v>1227</v>
      </c>
      <c r="B1228">
        <v>1607</v>
      </c>
      <c r="C1228">
        <f>1/COUNTIF(B:B,Table1[[#This Row],[order_id]])</f>
        <v>0.5</v>
      </c>
      <c r="D1228" t="str">
        <f>TEXT(Table1[[#This Row],[order_date]],"mmmm")</f>
        <v>April</v>
      </c>
      <c r="E1228" s="1">
        <v>45388</v>
      </c>
      <c r="F1228" s="1" t="str">
        <f>TEXT(Table1[[#This Row],[order_date]],"dddd")</f>
        <v>Saturday</v>
      </c>
      <c r="G1228">
        <f>HOUR(Table1[[#This Row],[order_time]])</f>
        <v>9</v>
      </c>
      <c r="H1228" s="2">
        <v>0.41346064814814815</v>
      </c>
      <c r="I1228" t="s">
        <v>18</v>
      </c>
      <c r="J1228" t="s">
        <v>31</v>
      </c>
      <c r="K1228">
        <v>3</v>
      </c>
      <c r="L1228">
        <v>45</v>
      </c>
      <c r="M1228">
        <v>135</v>
      </c>
      <c r="N1228">
        <f>IF(COUNTIFS($B$2:B1228,B1228)=1,1,0)</f>
        <v>0</v>
      </c>
    </row>
    <row r="1229" spans="1:14" x14ac:dyDescent="0.2">
      <c r="A1229">
        <v>1228</v>
      </c>
      <c r="B1229">
        <v>1608</v>
      </c>
      <c r="C1229">
        <f>1/COUNTIF(B:B,Table1[[#This Row],[order_id]])</f>
        <v>0.33333333333333331</v>
      </c>
      <c r="D1229" t="str">
        <f>TEXT(Table1[[#This Row],[order_date]],"mmmm")</f>
        <v>April</v>
      </c>
      <c r="E1229" s="1">
        <v>45388</v>
      </c>
      <c r="F1229" s="1" t="str">
        <f>TEXT(Table1[[#This Row],[order_date]],"dddd")</f>
        <v>Saturday</v>
      </c>
      <c r="G1229">
        <f>HOUR(Table1[[#This Row],[order_time]])</f>
        <v>18</v>
      </c>
      <c r="H1229" s="2">
        <v>0.78328703703703706</v>
      </c>
      <c r="I1229" t="s">
        <v>16</v>
      </c>
      <c r="J1229" t="s">
        <v>23</v>
      </c>
      <c r="K1229">
        <v>3</v>
      </c>
      <c r="L1229">
        <v>30</v>
      </c>
      <c r="M1229">
        <v>90</v>
      </c>
      <c r="N1229">
        <f>IF(COUNTIFS($B$2:B1229,B1229)=1,1,0)</f>
        <v>1</v>
      </c>
    </row>
    <row r="1230" spans="1:14" x14ac:dyDescent="0.2">
      <c r="A1230">
        <v>1229</v>
      </c>
      <c r="B1230">
        <v>1608</v>
      </c>
      <c r="C1230">
        <f>1/COUNTIF(B:B,Table1[[#This Row],[order_id]])</f>
        <v>0.33333333333333331</v>
      </c>
      <c r="D1230" t="str">
        <f>TEXT(Table1[[#This Row],[order_date]],"mmmm")</f>
        <v>April</v>
      </c>
      <c r="E1230" s="1">
        <v>45388</v>
      </c>
      <c r="F1230" s="1" t="str">
        <f>TEXT(Table1[[#This Row],[order_date]],"dddd")</f>
        <v>Saturday</v>
      </c>
      <c r="G1230">
        <f>HOUR(Table1[[#This Row],[order_time]])</f>
        <v>10</v>
      </c>
      <c r="H1230" s="2">
        <v>0.44144675925925925</v>
      </c>
      <c r="I1230" t="s">
        <v>9</v>
      </c>
      <c r="J1230" t="s">
        <v>21</v>
      </c>
      <c r="K1230">
        <v>2</v>
      </c>
      <c r="L1230">
        <v>10</v>
      </c>
      <c r="M1230">
        <v>20</v>
      </c>
      <c r="N1230">
        <f>IF(COUNTIFS($B$2:B1230,B1230)=1,1,0)</f>
        <v>0</v>
      </c>
    </row>
    <row r="1231" spans="1:14" x14ac:dyDescent="0.2">
      <c r="A1231">
        <v>1230</v>
      </c>
      <c r="B1231">
        <v>1608</v>
      </c>
      <c r="C1231">
        <f>1/COUNTIF(B:B,Table1[[#This Row],[order_id]])</f>
        <v>0.33333333333333331</v>
      </c>
      <c r="D1231" t="str">
        <f>TEXT(Table1[[#This Row],[order_date]],"mmmm")</f>
        <v>April</v>
      </c>
      <c r="E1231" s="1">
        <v>45388</v>
      </c>
      <c r="F1231" s="1" t="str">
        <f>TEXT(Table1[[#This Row],[order_date]],"dddd")</f>
        <v>Saturday</v>
      </c>
      <c r="G1231">
        <f>HOUR(Table1[[#This Row],[order_time]])</f>
        <v>12</v>
      </c>
      <c r="H1231" s="2">
        <v>0.53277777777777779</v>
      </c>
      <c r="I1231" t="s">
        <v>16</v>
      </c>
      <c r="J1231" t="s">
        <v>28</v>
      </c>
      <c r="K1231">
        <v>2</v>
      </c>
      <c r="L1231">
        <v>25</v>
      </c>
      <c r="M1231">
        <v>50</v>
      </c>
      <c r="N1231">
        <f>IF(COUNTIFS($B$2:B1231,B1231)=1,1,0)</f>
        <v>0</v>
      </c>
    </row>
    <row r="1232" spans="1:14" x14ac:dyDescent="0.2">
      <c r="A1232">
        <v>1231</v>
      </c>
      <c r="B1232">
        <v>1609</v>
      </c>
      <c r="C1232">
        <f>1/COUNTIF(B:B,Table1[[#This Row],[order_id]])</f>
        <v>0.5</v>
      </c>
      <c r="D1232" t="str">
        <f>TEXT(Table1[[#This Row],[order_date]],"mmmm")</f>
        <v>April</v>
      </c>
      <c r="E1232" s="1">
        <v>45388</v>
      </c>
      <c r="F1232" s="1" t="str">
        <f>TEXT(Table1[[#This Row],[order_date]],"dddd")</f>
        <v>Saturday</v>
      </c>
      <c r="G1232">
        <f>HOUR(Table1[[#This Row],[order_time]])</f>
        <v>9</v>
      </c>
      <c r="H1232" s="2">
        <v>0.40238425925925925</v>
      </c>
      <c r="I1232" t="s">
        <v>9</v>
      </c>
      <c r="J1232" t="s">
        <v>21</v>
      </c>
      <c r="K1232">
        <v>3</v>
      </c>
      <c r="L1232">
        <v>10</v>
      </c>
      <c r="M1232">
        <v>30</v>
      </c>
      <c r="N1232">
        <f>IF(COUNTIFS($B$2:B1232,B1232)=1,1,0)</f>
        <v>1</v>
      </c>
    </row>
    <row r="1233" spans="1:14" x14ac:dyDescent="0.2">
      <c r="A1233">
        <v>1232</v>
      </c>
      <c r="B1233">
        <v>1609</v>
      </c>
      <c r="C1233">
        <f>1/COUNTIF(B:B,Table1[[#This Row],[order_id]])</f>
        <v>0.5</v>
      </c>
      <c r="D1233" t="str">
        <f>TEXT(Table1[[#This Row],[order_date]],"mmmm")</f>
        <v>April</v>
      </c>
      <c r="E1233" s="1">
        <v>45388</v>
      </c>
      <c r="F1233" s="1" t="str">
        <f>TEXT(Table1[[#This Row],[order_date]],"dddd")</f>
        <v>Saturday</v>
      </c>
      <c r="G1233">
        <f>HOUR(Table1[[#This Row],[order_time]])</f>
        <v>13</v>
      </c>
      <c r="H1233" s="2">
        <v>0.55348379629629629</v>
      </c>
      <c r="I1233" t="s">
        <v>18</v>
      </c>
      <c r="J1233" t="s">
        <v>19</v>
      </c>
      <c r="K1233">
        <v>2</v>
      </c>
      <c r="L1233">
        <v>50</v>
      </c>
      <c r="M1233">
        <v>100</v>
      </c>
      <c r="N1233">
        <f>IF(COUNTIFS($B$2:B1233,B1233)=1,1,0)</f>
        <v>0</v>
      </c>
    </row>
    <row r="1234" spans="1:14" x14ac:dyDescent="0.2">
      <c r="A1234">
        <v>1233</v>
      </c>
      <c r="B1234">
        <v>1610</v>
      </c>
      <c r="C1234">
        <f>1/COUNTIF(B:B,Table1[[#This Row],[order_id]])</f>
        <v>0.33333333333333331</v>
      </c>
      <c r="D1234" t="str">
        <f>TEXT(Table1[[#This Row],[order_date]],"mmmm")</f>
        <v>April</v>
      </c>
      <c r="E1234" s="1">
        <v>45389</v>
      </c>
      <c r="F1234" s="1" t="str">
        <f>TEXT(Table1[[#This Row],[order_date]],"dddd")</f>
        <v>Sunday</v>
      </c>
      <c r="G1234">
        <f>HOUR(Table1[[#This Row],[order_time]])</f>
        <v>17</v>
      </c>
      <c r="H1234" s="2">
        <v>0.71892361111111114</v>
      </c>
      <c r="I1234" t="s">
        <v>18</v>
      </c>
      <c r="J1234" t="s">
        <v>31</v>
      </c>
      <c r="K1234">
        <v>5</v>
      </c>
      <c r="L1234">
        <v>45</v>
      </c>
      <c r="M1234">
        <v>225</v>
      </c>
      <c r="N1234">
        <f>IF(COUNTIFS($B$2:B1234,B1234)=1,1,0)</f>
        <v>1</v>
      </c>
    </row>
    <row r="1235" spans="1:14" x14ac:dyDescent="0.2">
      <c r="A1235">
        <v>1234</v>
      </c>
      <c r="B1235">
        <v>1610</v>
      </c>
      <c r="C1235">
        <f>1/COUNTIF(B:B,Table1[[#This Row],[order_id]])</f>
        <v>0.33333333333333331</v>
      </c>
      <c r="D1235" t="str">
        <f>TEXT(Table1[[#This Row],[order_date]],"mmmm")</f>
        <v>April</v>
      </c>
      <c r="E1235" s="1">
        <v>45389</v>
      </c>
      <c r="F1235" s="1" t="str">
        <f>TEXT(Table1[[#This Row],[order_date]],"dddd")</f>
        <v>Sunday</v>
      </c>
      <c r="G1235">
        <f>HOUR(Table1[[#This Row],[order_time]])</f>
        <v>19</v>
      </c>
      <c r="H1235" s="2">
        <v>0.81494212962962964</v>
      </c>
      <c r="I1235" t="s">
        <v>18</v>
      </c>
      <c r="J1235" t="s">
        <v>19</v>
      </c>
      <c r="K1235">
        <v>4</v>
      </c>
      <c r="L1235">
        <v>50</v>
      </c>
      <c r="M1235">
        <v>200</v>
      </c>
      <c r="N1235">
        <f>IF(COUNTIFS($B$2:B1235,B1235)=1,1,0)</f>
        <v>0</v>
      </c>
    </row>
    <row r="1236" spans="1:14" x14ac:dyDescent="0.2">
      <c r="A1236">
        <v>1235</v>
      </c>
      <c r="B1236">
        <v>1610</v>
      </c>
      <c r="C1236">
        <f>1/COUNTIF(B:B,Table1[[#This Row],[order_id]])</f>
        <v>0.33333333333333331</v>
      </c>
      <c r="D1236" t="str">
        <f>TEXT(Table1[[#This Row],[order_date]],"mmmm")</f>
        <v>April</v>
      </c>
      <c r="E1236" s="1">
        <v>45389</v>
      </c>
      <c r="F1236" s="1" t="str">
        <f>TEXT(Table1[[#This Row],[order_date]],"dddd")</f>
        <v>Sunday</v>
      </c>
      <c r="G1236">
        <f>HOUR(Table1[[#This Row],[order_time]])</f>
        <v>20</v>
      </c>
      <c r="H1236" s="2">
        <v>0.85628472222222218</v>
      </c>
      <c r="I1236" t="s">
        <v>18</v>
      </c>
      <c r="J1236" t="s">
        <v>19</v>
      </c>
      <c r="K1236">
        <v>3</v>
      </c>
      <c r="L1236">
        <v>50</v>
      </c>
      <c r="M1236">
        <v>150</v>
      </c>
      <c r="N1236">
        <f>IF(COUNTIFS($B$2:B1236,B1236)=1,1,0)</f>
        <v>0</v>
      </c>
    </row>
    <row r="1237" spans="1:14" x14ac:dyDescent="0.2">
      <c r="A1237">
        <v>1236</v>
      </c>
      <c r="B1237">
        <v>1611</v>
      </c>
      <c r="C1237">
        <f>1/COUNTIF(B:B,Table1[[#This Row],[order_id]])</f>
        <v>0.5</v>
      </c>
      <c r="D1237" t="str">
        <f>TEXT(Table1[[#This Row],[order_date]],"mmmm")</f>
        <v>April</v>
      </c>
      <c r="E1237" s="1">
        <v>45389</v>
      </c>
      <c r="F1237" s="1" t="str">
        <f>TEXT(Table1[[#This Row],[order_date]],"dddd")</f>
        <v>Sunday</v>
      </c>
      <c r="G1237">
        <f>HOUR(Table1[[#This Row],[order_time]])</f>
        <v>17</v>
      </c>
      <c r="H1237" s="2">
        <v>0.73523148148148143</v>
      </c>
      <c r="I1237" t="s">
        <v>18</v>
      </c>
      <c r="J1237" t="s">
        <v>31</v>
      </c>
      <c r="K1237">
        <v>5</v>
      </c>
      <c r="L1237">
        <v>45</v>
      </c>
      <c r="M1237">
        <v>225</v>
      </c>
      <c r="N1237">
        <f>IF(COUNTIFS($B$2:B1237,B1237)=1,1,0)</f>
        <v>1</v>
      </c>
    </row>
    <row r="1238" spans="1:14" x14ac:dyDescent="0.2">
      <c r="A1238">
        <v>1237</v>
      </c>
      <c r="B1238">
        <v>1611</v>
      </c>
      <c r="C1238">
        <f>1/COUNTIF(B:B,Table1[[#This Row],[order_id]])</f>
        <v>0.5</v>
      </c>
      <c r="D1238" t="str">
        <f>TEXT(Table1[[#This Row],[order_date]],"mmmm")</f>
        <v>April</v>
      </c>
      <c r="E1238" s="1">
        <v>45389</v>
      </c>
      <c r="F1238" s="1" t="str">
        <f>TEXT(Table1[[#This Row],[order_date]],"dddd")</f>
        <v>Sunday</v>
      </c>
      <c r="G1238">
        <f>HOUR(Table1[[#This Row],[order_time]])</f>
        <v>10</v>
      </c>
      <c r="H1238" s="2">
        <v>0.42954861111111109</v>
      </c>
      <c r="I1238" t="s">
        <v>11</v>
      </c>
      <c r="J1238" t="s">
        <v>25</v>
      </c>
      <c r="K1238">
        <v>5</v>
      </c>
      <c r="L1238">
        <v>1000</v>
      </c>
      <c r="M1238">
        <v>5000</v>
      </c>
      <c r="N1238">
        <f>IF(COUNTIFS($B$2:B1238,B1238)=1,1,0)</f>
        <v>0</v>
      </c>
    </row>
    <row r="1239" spans="1:14" x14ac:dyDescent="0.2">
      <c r="A1239">
        <v>1238</v>
      </c>
      <c r="B1239">
        <v>1612</v>
      </c>
      <c r="C1239">
        <f>1/COUNTIF(B:B,Table1[[#This Row],[order_id]])</f>
        <v>0.33333333333333331</v>
      </c>
      <c r="D1239" t="str">
        <f>TEXT(Table1[[#This Row],[order_date]],"mmmm")</f>
        <v>April</v>
      </c>
      <c r="E1239" s="1">
        <v>45389</v>
      </c>
      <c r="F1239" s="1" t="str">
        <f>TEXT(Table1[[#This Row],[order_date]],"dddd")</f>
        <v>Sunday</v>
      </c>
      <c r="G1239">
        <f>HOUR(Table1[[#This Row],[order_time]])</f>
        <v>14</v>
      </c>
      <c r="H1239" s="2">
        <v>0.58636574074074077</v>
      </c>
      <c r="I1239" t="s">
        <v>9</v>
      </c>
      <c r="J1239" t="s">
        <v>10</v>
      </c>
      <c r="K1239">
        <v>5</v>
      </c>
      <c r="L1239">
        <v>20</v>
      </c>
      <c r="M1239">
        <v>100</v>
      </c>
      <c r="N1239">
        <f>IF(COUNTIFS($B$2:B1239,B1239)=1,1,0)</f>
        <v>1</v>
      </c>
    </row>
    <row r="1240" spans="1:14" x14ac:dyDescent="0.2">
      <c r="A1240">
        <v>1239</v>
      </c>
      <c r="B1240">
        <v>1612</v>
      </c>
      <c r="C1240">
        <f>1/COUNTIF(B:B,Table1[[#This Row],[order_id]])</f>
        <v>0.33333333333333331</v>
      </c>
      <c r="D1240" t="str">
        <f>TEXT(Table1[[#This Row],[order_date]],"mmmm")</f>
        <v>April</v>
      </c>
      <c r="E1240" s="1">
        <v>45389</v>
      </c>
      <c r="F1240" s="1" t="str">
        <f>TEXT(Table1[[#This Row],[order_date]],"dddd")</f>
        <v>Sunday</v>
      </c>
      <c r="G1240">
        <f>HOUR(Table1[[#This Row],[order_time]])</f>
        <v>13</v>
      </c>
      <c r="H1240" s="2">
        <v>0.55924768518518519</v>
      </c>
      <c r="I1240" t="s">
        <v>11</v>
      </c>
      <c r="J1240" t="s">
        <v>13</v>
      </c>
      <c r="K1240">
        <v>4</v>
      </c>
      <c r="L1240">
        <v>680</v>
      </c>
      <c r="M1240">
        <v>2720</v>
      </c>
      <c r="N1240">
        <f>IF(COUNTIFS($B$2:B1240,B1240)=1,1,0)</f>
        <v>0</v>
      </c>
    </row>
    <row r="1241" spans="1:14" x14ac:dyDescent="0.2">
      <c r="A1241">
        <v>1240</v>
      </c>
      <c r="B1241">
        <v>1612</v>
      </c>
      <c r="C1241">
        <f>1/COUNTIF(B:B,Table1[[#This Row],[order_id]])</f>
        <v>0.33333333333333331</v>
      </c>
      <c r="D1241" t="str">
        <f>TEXT(Table1[[#This Row],[order_date]],"mmmm")</f>
        <v>April</v>
      </c>
      <c r="E1241" s="1">
        <v>45389</v>
      </c>
      <c r="F1241" s="1" t="str">
        <f>TEXT(Table1[[#This Row],[order_date]],"dddd")</f>
        <v>Sunday</v>
      </c>
      <c r="G1241">
        <f>HOUR(Table1[[#This Row],[order_time]])</f>
        <v>12</v>
      </c>
      <c r="H1241" s="2">
        <v>0.50210648148148151</v>
      </c>
      <c r="I1241" t="s">
        <v>18</v>
      </c>
      <c r="J1241" t="s">
        <v>19</v>
      </c>
      <c r="K1241">
        <v>4</v>
      </c>
      <c r="L1241">
        <v>50</v>
      </c>
      <c r="M1241">
        <v>200</v>
      </c>
      <c r="N1241">
        <f>IF(COUNTIFS($B$2:B1241,B1241)=1,1,0)</f>
        <v>0</v>
      </c>
    </row>
    <row r="1242" spans="1:14" x14ac:dyDescent="0.2">
      <c r="A1242">
        <v>1241</v>
      </c>
      <c r="B1242">
        <v>1613</v>
      </c>
      <c r="C1242">
        <f>1/COUNTIF(B:B,Table1[[#This Row],[order_id]])</f>
        <v>0.5</v>
      </c>
      <c r="D1242" t="str">
        <f>TEXT(Table1[[#This Row],[order_date]],"mmmm")</f>
        <v>April</v>
      </c>
      <c r="E1242" s="1">
        <v>45389</v>
      </c>
      <c r="F1242" s="1" t="str">
        <f>TEXT(Table1[[#This Row],[order_date]],"dddd")</f>
        <v>Sunday</v>
      </c>
      <c r="G1242">
        <f>HOUR(Table1[[#This Row],[order_time]])</f>
        <v>16</v>
      </c>
      <c r="H1242" s="2">
        <v>0.66825231481481484</v>
      </c>
      <c r="I1242" t="s">
        <v>18</v>
      </c>
      <c r="J1242" t="s">
        <v>27</v>
      </c>
      <c r="K1242">
        <v>3</v>
      </c>
      <c r="L1242">
        <v>40</v>
      </c>
      <c r="M1242">
        <v>120</v>
      </c>
      <c r="N1242">
        <f>IF(COUNTIFS($B$2:B1242,B1242)=1,1,0)</f>
        <v>1</v>
      </c>
    </row>
    <row r="1243" spans="1:14" x14ac:dyDescent="0.2">
      <c r="A1243">
        <v>1242</v>
      </c>
      <c r="B1243">
        <v>1613</v>
      </c>
      <c r="C1243">
        <f>1/COUNTIF(B:B,Table1[[#This Row],[order_id]])</f>
        <v>0.5</v>
      </c>
      <c r="D1243" t="str">
        <f>TEXT(Table1[[#This Row],[order_date]],"mmmm")</f>
        <v>April</v>
      </c>
      <c r="E1243" s="1">
        <v>45389</v>
      </c>
      <c r="F1243" s="1" t="str">
        <f>TEXT(Table1[[#This Row],[order_date]],"dddd")</f>
        <v>Sunday</v>
      </c>
      <c r="G1243">
        <f>HOUR(Table1[[#This Row],[order_time]])</f>
        <v>11</v>
      </c>
      <c r="H1243" s="2">
        <v>0.48192129629629632</v>
      </c>
      <c r="I1243" t="s">
        <v>16</v>
      </c>
      <c r="J1243" t="s">
        <v>23</v>
      </c>
      <c r="K1243">
        <v>3</v>
      </c>
      <c r="L1243">
        <v>30</v>
      </c>
      <c r="M1243">
        <v>90</v>
      </c>
      <c r="N1243">
        <f>IF(COUNTIFS($B$2:B1243,B1243)=1,1,0)</f>
        <v>0</v>
      </c>
    </row>
    <row r="1244" spans="1:14" x14ac:dyDescent="0.2">
      <c r="A1244">
        <v>1243</v>
      </c>
      <c r="B1244">
        <v>1614</v>
      </c>
      <c r="C1244">
        <f>1/COUNTIF(B:B,Table1[[#This Row],[order_id]])</f>
        <v>0.33333333333333331</v>
      </c>
      <c r="D1244" t="str">
        <f>TEXT(Table1[[#This Row],[order_date]],"mmmm")</f>
        <v>April</v>
      </c>
      <c r="E1244" s="1">
        <v>45389</v>
      </c>
      <c r="F1244" s="1" t="str">
        <f>TEXT(Table1[[#This Row],[order_date]],"dddd")</f>
        <v>Sunday</v>
      </c>
      <c r="G1244">
        <f>HOUR(Table1[[#This Row],[order_time]])</f>
        <v>18</v>
      </c>
      <c r="H1244" s="2">
        <v>0.75460648148148146</v>
      </c>
      <c r="I1244" t="s">
        <v>9</v>
      </c>
      <c r="J1244" t="s">
        <v>10</v>
      </c>
      <c r="K1244">
        <v>5</v>
      </c>
      <c r="L1244">
        <v>20</v>
      </c>
      <c r="M1244">
        <v>100</v>
      </c>
      <c r="N1244">
        <f>IF(COUNTIFS($B$2:B1244,B1244)=1,1,0)</f>
        <v>1</v>
      </c>
    </row>
    <row r="1245" spans="1:14" x14ac:dyDescent="0.2">
      <c r="A1245">
        <v>1244</v>
      </c>
      <c r="B1245">
        <v>1614</v>
      </c>
      <c r="C1245">
        <f>1/COUNTIF(B:B,Table1[[#This Row],[order_id]])</f>
        <v>0.33333333333333331</v>
      </c>
      <c r="D1245" t="str">
        <f>TEXT(Table1[[#This Row],[order_date]],"mmmm")</f>
        <v>April</v>
      </c>
      <c r="E1245" s="1">
        <v>45389</v>
      </c>
      <c r="F1245" s="1" t="str">
        <f>TEXT(Table1[[#This Row],[order_date]],"dddd")</f>
        <v>Sunday</v>
      </c>
      <c r="G1245">
        <f>HOUR(Table1[[#This Row],[order_time]])</f>
        <v>19</v>
      </c>
      <c r="H1245" s="2">
        <v>0.80379629629629634</v>
      </c>
      <c r="I1245" t="s">
        <v>18</v>
      </c>
      <c r="J1245" t="s">
        <v>31</v>
      </c>
      <c r="K1245">
        <v>3</v>
      </c>
      <c r="L1245">
        <v>45</v>
      </c>
      <c r="M1245">
        <v>135</v>
      </c>
      <c r="N1245">
        <f>IF(COUNTIFS($B$2:B1245,B1245)=1,1,0)</f>
        <v>0</v>
      </c>
    </row>
    <row r="1246" spans="1:14" x14ac:dyDescent="0.2">
      <c r="A1246">
        <v>1245</v>
      </c>
      <c r="B1246">
        <v>1614</v>
      </c>
      <c r="C1246">
        <f>1/COUNTIF(B:B,Table1[[#This Row],[order_id]])</f>
        <v>0.33333333333333331</v>
      </c>
      <c r="D1246" t="str">
        <f>TEXT(Table1[[#This Row],[order_date]],"mmmm")</f>
        <v>April</v>
      </c>
      <c r="E1246" s="1">
        <v>45389</v>
      </c>
      <c r="F1246" s="1" t="str">
        <f>TEXT(Table1[[#This Row],[order_date]],"dddd")</f>
        <v>Sunday</v>
      </c>
      <c r="G1246">
        <f>HOUR(Table1[[#This Row],[order_time]])</f>
        <v>19</v>
      </c>
      <c r="H1246" s="2">
        <v>0.82116898148148143</v>
      </c>
      <c r="I1246" t="s">
        <v>16</v>
      </c>
      <c r="J1246" t="s">
        <v>28</v>
      </c>
      <c r="K1246">
        <v>2</v>
      </c>
      <c r="L1246">
        <v>25</v>
      </c>
      <c r="M1246">
        <v>50</v>
      </c>
      <c r="N1246">
        <f>IF(COUNTIFS($B$2:B1246,B1246)=1,1,0)</f>
        <v>0</v>
      </c>
    </row>
    <row r="1247" spans="1:14" x14ac:dyDescent="0.2">
      <c r="A1247">
        <v>1246</v>
      </c>
      <c r="B1247">
        <v>1615</v>
      </c>
      <c r="C1247">
        <f>1/COUNTIF(B:B,Table1[[#This Row],[order_id]])</f>
        <v>0.5</v>
      </c>
      <c r="D1247" t="str">
        <f>TEXT(Table1[[#This Row],[order_date]],"mmmm")</f>
        <v>April</v>
      </c>
      <c r="E1247" s="1">
        <v>45389</v>
      </c>
      <c r="F1247" s="1" t="str">
        <f>TEXT(Table1[[#This Row],[order_date]],"dddd")</f>
        <v>Sunday</v>
      </c>
      <c r="G1247">
        <f>HOUR(Table1[[#This Row],[order_time]])</f>
        <v>13</v>
      </c>
      <c r="H1247" s="2">
        <v>0.57601851851851849</v>
      </c>
      <c r="I1247" t="s">
        <v>18</v>
      </c>
      <c r="J1247" t="s">
        <v>31</v>
      </c>
      <c r="K1247">
        <v>1</v>
      </c>
      <c r="L1247">
        <v>45</v>
      </c>
      <c r="M1247">
        <v>45</v>
      </c>
      <c r="N1247">
        <f>IF(COUNTIFS($B$2:B1247,B1247)=1,1,0)</f>
        <v>1</v>
      </c>
    </row>
    <row r="1248" spans="1:14" x14ac:dyDescent="0.2">
      <c r="A1248">
        <v>1247</v>
      </c>
      <c r="B1248">
        <v>1615</v>
      </c>
      <c r="C1248">
        <f>1/COUNTIF(B:B,Table1[[#This Row],[order_id]])</f>
        <v>0.5</v>
      </c>
      <c r="D1248" t="str">
        <f>TEXT(Table1[[#This Row],[order_date]],"mmmm")</f>
        <v>April</v>
      </c>
      <c r="E1248" s="1">
        <v>45389</v>
      </c>
      <c r="F1248" s="1" t="str">
        <f>TEXT(Table1[[#This Row],[order_date]],"dddd")</f>
        <v>Sunday</v>
      </c>
      <c r="G1248">
        <f>HOUR(Table1[[#This Row],[order_time]])</f>
        <v>9</v>
      </c>
      <c r="H1248" s="2">
        <v>0.38366898148148149</v>
      </c>
      <c r="I1248" t="s">
        <v>9</v>
      </c>
      <c r="J1248" t="s">
        <v>29</v>
      </c>
      <c r="K1248">
        <v>2</v>
      </c>
      <c r="L1248">
        <v>5</v>
      </c>
      <c r="M1248">
        <v>10</v>
      </c>
      <c r="N1248">
        <f>IF(COUNTIFS($B$2:B1248,B1248)=1,1,0)</f>
        <v>0</v>
      </c>
    </row>
    <row r="1249" spans="1:14" x14ac:dyDescent="0.2">
      <c r="A1249">
        <v>1248</v>
      </c>
      <c r="B1249">
        <v>1616</v>
      </c>
      <c r="C1249">
        <f>1/COUNTIF(B:B,Table1[[#This Row],[order_id]])</f>
        <v>0.5</v>
      </c>
      <c r="D1249" t="str">
        <f>TEXT(Table1[[#This Row],[order_date]],"mmmm")</f>
        <v>April</v>
      </c>
      <c r="E1249" s="1">
        <v>45389</v>
      </c>
      <c r="F1249" s="1" t="str">
        <f>TEXT(Table1[[#This Row],[order_date]],"dddd")</f>
        <v>Sunday</v>
      </c>
      <c r="G1249">
        <f>HOUR(Table1[[#This Row],[order_time]])</f>
        <v>10</v>
      </c>
      <c r="H1249" s="2">
        <v>0.44302083333333331</v>
      </c>
      <c r="I1249" t="s">
        <v>9</v>
      </c>
      <c r="J1249" t="s">
        <v>10</v>
      </c>
      <c r="K1249">
        <v>5</v>
      </c>
      <c r="L1249">
        <v>20</v>
      </c>
      <c r="M1249">
        <v>100</v>
      </c>
      <c r="N1249">
        <f>IF(COUNTIFS($B$2:B1249,B1249)=1,1,0)</f>
        <v>1</v>
      </c>
    </row>
    <row r="1250" spans="1:14" x14ac:dyDescent="0.2">
      <c r="A1250">
        <v>1249</v>
      </c>
      <c r="B1250">
        <v>1616</v>
      </c>
      <c r="C1250">
        <f>1/COUNTIF(B:B,Table1[[#This Row],[order_id]])</f>
        <v>0.5</v>
      </c>
      <c r="D1250" t="str">
        <f>TEXT(Table1[[#This Row],[order_date]],"mmmm")</f>
        <v>April</v>
      </c>
      <c r="E1250" s="1">
        <v>45389</v>
      </c>
      <c r="F1250" s="1" t="str">
        <f>TEXT(Table1[[#This Row],[order_date]],"dddd")</f>
        <v>Sunday</v>
      </c>
      <c r="G1250">
        <f>HOUR(Table1[[#This Row],[order_time]])</f>
        <v>18</v>
      </c>
      <c r="H1250" s="2">
        <v>0.77015046296296297</v>
      </c>
      <c r="I1250" t="s">
        <v>9</v>
      </c>
      <c r="J1250" t="s">
        <v>20</v>
      </c>
      <c r="K1250">
        <v>5</v>
      </c>
      <c r="L1250">
        <v>25</v>
      </c>
      <c r="M1250">
        <v>125</v>
      </c>
      <c r="N1250">
        <f>IF(COUNTIFS($B$2:B1250,B1250)=1,1,0)</f>
        <v>0</v>
      </c>
    </row>
    <row r="1251" spans="1:14" x14ac:dyDescent="0.2">
      <c r="A1251">
        <v>1250</v>
      </c>
      <c r="B1251">
        <v>1617</v>
      </c>
      <c r="C1251">
        <f>1/COUNTIF(B:B,Table1[[#This Row],[order_id]])</f>
        <v>0.5</v>
      </c>
      <c r="D1251" t="str">
        <f>TEXT(Table1[[#This Row],[order_date]],"mmmm")</f>
        <v>April</v>
      </c>
      <c r="E1251" s="1">
        <v>45389</v>
      </c>
      <c r="F1251" s="1" t="str">
        <f>TEXT(Table1[[#This Row],[order_date]],"dddd")</f>
        <v>Sunday</v>
      </c>
      <c r="G1251">
        <f>HOUR(Table1[[#This Row],[order_time]])</f>
        <v>10</v>
      </c>
      <c r="H1251" s="2">
        <v>0.41773148148148148</v>
      </c>
      <c r="I1251" t="s">
        <v>16</v>
      </c>
      <c r="J1251" t="s">
        <v>24</v>
      </c>
      <c r="K1251">
        <v>2</v>
      </c>
      <c r="L1251">
        <v>35</v>
      </c>
      <c r="M1251">
        <v>70</v>
      </c>
      <c r="N1251">
        <f>IF(COUNTIFS($B$2:B1251,B1251)=1,1,0)</f>
        <v>1</v>
      </c>
    </row>
    <row r="1252" spans="1:14" x14ac:dyDescent="0.2">
      <c r="A1252">
        <v>1251</v>
      </c>
      <c r="B1252">
        <v>1617</v>
      </c>
      <c r="C1252">
        <f>1/COUNTIF(B:B,Table1[[#This Row],[order_id]])</f>
        <v>0.5</v>
      </c>
      <c r="D1252" t="str">
        <f>TEXT(Table1[[#This Row],[order_date]],"mmmm")</f>
        <v>April</v>
      </c>
      <c r="E1252" s="1">
        <v>45389</v>
      </c>
      <c r="F1252" s="1" t="str">
        <f>TEXT(Table1[[#This Row],[order_date]],"dddd")</f>
        <v>Sunday</v>
      </c>
      <c r="G1252">
        <f>HOUR(Table1[[#This Row],[order_time]])</f>
        <v>20</v>
      </c>
      <c r="H1252" s="2">
        <v>0.83627314814814813</v>
      </c>
      <c r="I1252" t="s">
        <v>9</v>
      </c>
      <c r="J1252" t="s">
        <v>22</v>
      </c>
      <c r="K1252">
        <v>4</v>
      </c>
      <c r="L1252">
        <v>15</v>
      </c>
      <c r="M1252">
        <v>60</v>
      </c>
      <c r="N1252">
        <f>IF(COUNTIFS($B$2:B1252,B1252)=1,1,0)</f>
        <v>0</v>
      </c>
    </row>
    <row r="1253" spans="1:14" x14ac:dyDescent="0.2">
      <c r="A1253">
        <v>1252</v>
      </c>
      <c r="B1253">
        <v>1618</v>
      </c>
      <c r="C1253">
        <f>1/COUNTIF(B:B,Table1[[#This Row],[order_id]])</f>
        <v>1</v>
      </c>
      <c r="D1253" t="str">
        <f>TEXT(Table1[[#This Row],[order_date]],"mmmm")</f>
        <v>April</v>
      </c>
      <c r="E1253" s="1">
        <v>45390</v>
      </c>
      <c r="F1253" s="1" t="str">
        <f>TEXT(Table1[[#This Row],[order_date]],"dddd")</f>
        <v>Monday</v>
      </c>
      <c r="G1253">
        <f>HOUR(Table1[[#This Row],[order_time]])</f>
        <v>16</v>
      </c>
      <c r="H1253" s="2">
        <v>0.68979166666666669</v>
      </c>
      <c r="I1253" t="s">
        <v>18</v>
      </c>
      <c r="J1253" t="s">
        <v>30</v>
      </c>
      <c r="K1253">
        <v>3</v>
      </c>
      <c r="L1253">
        <v>60</v>
      </c>
      <c r="M1253">
        <v>180</v>
      </c>
      <c r="N1253">
        <f>IF(COUNTIFS($B$2:B1253,B1253)=1,1,0)</f>
        <v>1</v>
      </c>
    </row>
    <row r="1254" spans="1:14" x14ac:dyDescent="0.2">
      <c r="A1254">
        <v>1253</v>
      </c>
      <c r="B1254">
        <v>1619</v>
      </c>
      <c r="C1254">
        <f>1/COUNTIF(B:B,Table1[[#This Row],[order_id]])</f>
        <v>1</v>
      </c>
      <c r="D1254" t="str">
        <f>TEXT(Table1[[#This Row],[order_date]],"mmmm")</f>
        <v>April</v>
      </c>
      <c r="E1254" s="1">
        <v>45390</v>
      </c>
      <c r="F1254" s="1" t="str">
        <f>TEXT(Table1[[#This Row],[order_date]],"dddd")</f>
        <v>Monday</v>
      </c>
      <c r="G1254">
        <f>HOUR(Table1[[#This Row],[order_time]])</f>
        <v>11</v>
      </c>
      <c r="H1254" s="2">
        <v>0.46393518518518517</v>
      </c>
      <c r="I1254" t="s">
        <v>9</v>
      </c>
      <c r="J1254" t="s">
        <v>22</v>
      </c>
      <c r="K1254">
        <v>2</v>
      </c>
      <c r="L1254">
        <v>15</v>
      </c>
      <c r="M1254">
        <v>30</v>
      </c>
      <c r="N1254">
        <f>IF(COUNTIFS($B$2:B1254,B1254)=1,1,0)</f>
        <v>1</v>
      </c>
    </row>
    <row r="1255" spans="1:14" x14ac:dyDescent="0.2">
      <c r="A1255">
        <v>1254</v>
      </c>
      <c r="B1255">
        <v>1620</v>
      </c>
      <c r="C1255">
        <f>1/COUNTIF(B:B,Table1[[#This Row],[order_id]])</f>
        <v>1</v>
      </c>
      <c r="D1255" t="str">
        <f>TEXT(Table1[[#This Row],[order_date]],"mmmm")</f>
        <v>April</v>
      </c>
      <c r="E1255" s="1">
        <v>45390</v>
      </c>
      <c r="F1255" s="1" t="str">
        <f>TEXT(Table1[[#This Row],[order_date]],"dddd")</f>
        <v>Monday</v>
      </c>
      <c r="G1255">
        <f>HOUR(Table1[[#This Row],[order_time]])</f>
        <v>15</v>
      </c>
      <c r="H1255" s="2">
        <v>0.65255787037037039</v>
      </c>
      <c r="I1255" t="s">
        <v>18</v>
      </c>
      <c r="J1255" t="s">
        <v>31</v>
      </c>
      <c r="K1255">
        <v>5</v>
      </c>
      <c r="L1255">
        <v>45</v>
      </c>
      <c r="M1255">
        <v>225</v>
      </c>
      <c r="N1255">
        <f>IF(COUNTIFS($B$2:B1255,B1255)=1,1,0)</f>
        <v>1</v>
      </c>
    </row>
    <row r="1256" spans="1:14" x14ac:dyDescent="0.2">
      <c r="A1256">
        <v>1255</v>
      </c>
      <c r="B1256">
        <v>1621</v>
      </c>
      <c r="C1256">
        <f>1/COUNTIF(B:B,Table1[[#This Row],[order_id]])</f>
        <v>0.33333333333333331</v>
      </c>
      <c r="D1256" t="str">
        <f>TEXT(Table1[[#This Row],[order_date]],"mmmm")</f>
        <v>April</v>
      </c>
      <c r="E1256" s="1">
        <v>45390</v>
      </c>
      <c r="F1256" s="1" t="str">
        <f>TEXT(Table1[[#This Row],[order_date]],"dddd")</f>
        <v>Monday</v>
      </c>
      <c r="G1256">
        <f>HOUR(Table1[[#This Row],[order_time]])</f>
        <v>15</v>
      </c>
      <c r="H1256" s="2">
        <v>0.66320601851851857</v>
      </c>
      <c r="I1256" t="s">
        <v>9</v>
      </c>
      <c r="J1256" t="s">
        <v>21</v>
      </c>
      <c r="K1256">
        <v>4</v>
      </c>
      <c r="L1256">
        <v>10</v>
      </c>
      <c r="M1256">
        <v>40</v>
      </c>
      <c r="N1256">
        <f>IF(COUNTIFS($B$2:B1256,B1256)=1,1,0)</f>
        <v>1</v>
      </c>
    </row>
    <row r="1257" spans="1:14" x14ac:dyDescent="0.2">
      <c r="A1257">
        <v>1256</v>
      </c>
      <c r="B1257">
        <v>1621</v>
      </c>
      <c r="C1257">
        <f>1/COUNTIF(B:B,Table1[[#This Row],[order_id]])</f>
        <v>0.33333333333333331</v>
      </c>
      <c r="D1257" t="str">
        <f>TEXT(Table1[[#This Row],[order_date]],"mmmm")</f>
        <v>April</v>
      </c>
      <c r="E1257" s="1">
        <v>45390</v>
      </c>
      <c r="F1257" s="1" t="str">
        <f>TEXT(Table1[[#This Row],[order_date]],"dddd")</f>
        <v>Monday</v>
      </c>
      <c r="G1257">
        <f>HOUR(Table1[[#This Row],[order_time]])</f>
        <v>13</v>
      </c>
      <c r="H1257" s="2">
        <v>0.5456481481481481</v>
      </c>
      <c r="I1257" t="s">
        <v>16</v>
      </c>
      <c r="J1257" t="s">
        <v>23</v>
      </c>
      <c r="K1257">
        <v>5</v>
      </c>
      <c r="L1257">
        <v>30</v>
      </c>
      <c r="M1257">
        <v>150</v>
      </c>
      <c r="N1257">
        <f>IF(COUNTIFS($B$2:B1257,B1257)=1,1,0)</f>
        <v>0</v>
      </c>
    </row>
    <row r="1258" spans="1:14" x14ac:dyDescent="0.2">
      <c r="A1258">
        <v>1257</v>
      </c>
      <c r="B1258">
        <v>1621</v>
      </c>
      <c r="C1258">
        <f>1/COUNTIF(B:B,Table1[[#This Row],[order_id]])</f>
        <v>0.33333333333333331</v>
      </c>
      <c r="D1258" t="str">
        <f>TEXT(Table1[[#This Row],[order_date]],"mmmm")</f>
        <v>April</v>
      </c>
      <c r="E1258" s="1">
        <v>45390</v>
      </c>
      <c r="F1258" s="1" t="str">
        <f>TEXT(Table1[[#This Row],[order_date]],"dddd")</f>
        <v>Monday</v>
      </c>
      <c r="G1258">
        <f>HOUR(Table1[[#This Row],[order_time]])</f>
        <v>13</v>
      </c>
      <c r="H1258" s="2">
        <v>0.54582175925925924</v>
      </c>
      <c r="I1258" t="s">
        <v>11</v>
      </c>
      <c r="J1258" t="s">
        <v>13</v>
      </c>
      <c r="K1258">
        <v>2</v>
      </c>
      <c r="L1258">
        <v>680</v>
      </c>
      <c r="M1258">
        <v>1360</v>
      </c>
      <c r="N1258">
        <f>IF(COUNTIFS($B$2:B1258,B1258)=1,1,0)</f>
        <v>0</v>
      </c>
    </row>
    <row r="1259" spans="1:14" x14ac:dyDescent="0.2">
      <c r="A1259">
        <v>1258</v>
      </c>
      <c r="B1259">
        <v>1622</v>
      </c>
      <c r="C1259">
        <f>1/COUNTIF(B:B,Table1[[#This Row],[order_id]])</f>
        <v>0.5</v>
      </c>
      <c r="D1259" t="str">
        <f>TEXT(Table1[[#This Row],[order_date]],"mmmm")</f>
        <v>April</v>
      </c>
      <c r="E1259" s="1">
        <v>45390</v>
      </c>
      <c r="F1259" s="1" t="str">
        <f>TEXT(Table1[[#This Row],[order_date]],"dddd")</f>
        <v>Monday</v>
      </c>
      <c r="G1259">
        <f>HOUR(Table1[[#This Row],[order_time]])</f>
        <v>14</v>
      </c>
      <c r="H1259" s="2">
        <v>0.61446759259259254</v>
      </c>
      <c r="I1259" t="s">
        <v>11</v>
      </c>
      <c r="J1259" t="s">
        <v>25</v>
      </c>
      <c r="K1259">
        <v>3</v>
      </c>
      <c r="L1259">
        <v>1000</v>
      </c>
      <c r="M1259">
        <v>3000</v>
      </c>
      <c r="N1259">
        <f>IF(COUNTIFS($B$2:B1259,B1259)=1,1,0)</f>
        <v>1</v>
      </c>
    </row>
    <row r="1260" spans="1:14" x14ac:dyDescent="0.2">
      <c r="A1260">
        <v>1259</v>
      </c>
      <c r="B1260">
        <v>1622</v>
      </c>
      <c r="C1260">
        <f>1/COUNTIF(B:B,Table1[[#This Row],[order_id]])</f>
        <v>0.5</v>
      </c>
      <c r="D1260" t="str">
        <f>TEXT(Table1[[#This Row],[order_date]],"mmmm")</f>
        <v>April</v>
      </c>
      <c r="E1260" s="1">
        <v>45390</v>
      </c>
      <c r="F1260" s="1" t="str">
        <f>TEXT(Table1[[#This Row],[order_date]],"dddd")</f>
        <v>Monday</v>
      </c>
      <c r="G1260">
        <f>HOUR(Table1[[#This Row],[order_time]])</f>
        <v>17</v>
      </c>
      <c r="H1260" s="2">
        <v>0.73754629629629631</v>
      </c>
      <c r="I1260" t="s">
        <v>18</v>
      </c>
      <c r="J1260" t="s">
        <v>27</v>
      </c>
      <c r="K1260">
        <v>5</v>
      </c>
      <c r="L1260">
        <v>40</v>
      </c>
      <c r="M1260">
        <v>200</v>
      </c>
      <c r="N1260">
        <f>IF(COUNTIFS($B$2:B1260,B1260)=1,1,0)</f>
        <v>0</v>
      </c>
    </row>
    <row r="1261" spans="1:14" x14ac:dyDescent="0.2">
      <c r="A1261">
        <v>1260</v>
      </c>
      <c r="B1261">
        <v>1623</v>
      </c>
      <c r="C1261">
        <f>1/COUNTIF(B:B,Table1[[#This Row],[order_id]])</f>
        <v>0.33333333333333331</v>
      </c>
      <c r="D1261" t="str">
        <f>TEXT(Table1[[#This Row],[order_date]],"mmmm")</f>
        <v>April</v>
      </c>
      <c r="E1261" s="1">
        <v>45390</v>
      </c>
      <c r="F1261" s="1" t="str">
        <f>TEXT(Table1[[#This Row],[order_date]],"dddd")</f>
        <v>Monday</v>
      </c>
      <c r="G1261">
        <f>HOUR(Table1[[#This Row],[order_time]])</f>
        <v>20</v>
      </c>
      <c r="H1261" s="2">
        <v>0.87174768518518519</v>
      </c>
      <c r="I1261" t="s">
        <v>9</v>
      </c>
      <c r="J1261" t="s">
        <v>10</v>
      </c>
      <c r="K1261">
        <v>2</v>
      </c>
      <c r="L1261">
        <v>20</v>
      </c>
      <c r="M1261">
        <v>40</v>
      </c>
      <c r="N1261">
        <f>IF(COUNTIFS($B$2:B1261,B1261)=1,1,0)</f>
        <v>1</v>
      </c>
    </row>
    <row r="1262" spans="1:14" x14ac:dyDescent="0.2">
      <c r="A1262">
        <v>1261</v>
      </c>
      <c r="B1262">
        <v>1623</v>
      </c>
      <c r="C1262">
        <f>1/COUNTIF(B:B,Table1[[#This Row],[order_id]])</f>
        <v>0.33333333333333331</v>
      </c>
      <c r="D1262" t="str">
        <f>TEXT(Table1[[#This Row],[order_date]],"mmmm")</f>
        <v>April</v>
      </c>
      <c r="E1262" s="1">
        <v>45390</v>
      </c>
      <c r="F1262" s="1" t="str">
        <f>TEXT(Table1[[#This Row],[order_date]],"dddd")</f>
        <v>Monday</v>
      </c>
      <c r="G1262">
        <f>HOUR(Table1[[#This Row],[order_time]])</f>
        <v>13</v>
      </c>
      <c r="H1262" s="2">
        <v>0.56380787037037039</v>
      </c>
      <c r="I1262" t="s">
        <v>9</v>
      </c>
      <c r="J1262" t="s">
        <v>10</v>
      </c>
      <c r="K1262">
        <v>2</v>
      </c>
      <c r="L1262">
        <v>20</v>
      </c>
      <c r="M1262">
        <v>40</v>
      </c>
      <c r="N1262">
        <f>IF(COUNTIFS($B$2:B1262,B1262)=1,1,0)</f>
        <v>0</v>
      </c>
    </row>
    <row r="1263" spans="1:14" x14ac:dyDescent="0.2">
      <c r="A1263">
        <v>1262</v>
      </c>
      <c r="B1263">
        <v>1623</v>
      </c>
      <c r="C1263">
        <f>1/COUNTIF(B:B,Table1[[#This Row],[order_id]])</f>
        <v>0.33333333333333331</v>
      </c>
      <c r="D1263" t="str">
        <f>TEXT(Table1[[#This Row],[order_date]],"mmmm")</f>
        <v>April</v>
      </c>
      <c r="E1263" s="1">
        <v>45390</v>
      </c>
      <c r="F1263" s="1" t="str">
        <f>TEXT(Table1[[#This Row],[order_date]],"dddd")</f>
        <v>Monday</v>
      </c>
      <c r="G1263">
        <f>HOUR(Table1[[#This Row],[order_time]])</f>
        <v>19</v>
      </c>
      <c r="H1263" s="2">
        <v>0.82836805555555559</v>
      </c>
      <c r="I1263" t="s">
        <v>11</v>
      </c>
      <c r="J1263" t="s">
        <v>25</v>
      </c>
      <c r="K1263">
        <v>2</v>
      </c>
      <c r="L1263">
        <v>1000</v>
      </c>
      <c r="M1263">
        <v>2000</v>
      </c>
      <c r="N1263">
        <f>IF(COUNTIFS($B$2:B1263,B1263)=1,1,0)</f>
        <v>0</v>
      </c>
    </row>
    <row r="1264" spans="1:14" x14ac:dyDescent="0.2">
      <c r="A1264">
        <v>1263</v>
      </c>
      <c r="B1264">
        <v>1624</v>
      </c>
      <c r="C1264">
        <f>1/COUNTIF(B:B,Table1[[#This Row],[order_id]])</f>
        <v>1</v>
      </c>
      <c r="D1264" t="str">
        <f>TEXT(Table1[[#This Row],[order_date]],"mmmm")</f>
        <v>April</v>
      </c>
      <c r="E1264" s="1">
        <v>45390</v>
      </c>
      <c r="F1264" s="1" t="str">
        <f>TEXT(Table1[[#This Row],[order_date]],"dddd")</f>
        <v>Monday</v>
      </c>
      <c r="G1264">
        <f>HOUR(Table1[[#This Row],[order_time]])</f>
        <v>9</v>
      </c>
      <c r="H1264" s="2">
        <v>0.39636574074074077</v>
      </c>
      <c r="I1264" t="s">
        <v>9</v>
      </c>
      <c r="J1264" t="s">
        <v>21</v>
      </c>
      <c r="K1264">
        <v>1</v>
      </c>
      <c r="L1264">
        <v>10</v>
      </c>
      <c r="M1264">
        <v>10</v>
      </c>
      <c r="N1264">
        <f>IF(COUNTIFS($B$2:B1264,B1264)=1,1,0)</f>
        <v>1</v>
      </c>
    </row>
    <row r="1265" spans="1:14" x14ac:dyDescent="0.2">
      <c r="A1265">
        <v>1264</v>
      </c>
      <c r="B1265">
        <v>1625</v>
      </c>
      <c r="C1265">
        <f>1/COUNTIF(B:B,Table1[[#This Row],[order_id]])</f>
        <v>0.33333333333333331</v>
      </c>
      <c r="D1265" t="str">
        <f>TEXT(Table1[[#This Row],[order_date]],"mmmm")</f>
        <v>April</v>
      </c>
      <c r="E1265" s="1">
        <v>45390</v>
      </c>
      <c r="F1265" s="1" t="str">
        <f>TEXT(Table1[[#This Row],[order_date]],"dddd")</f>
        <v>Monday</v>
      </c>
      <c r="G1265">
        <f>HOUR(Table1[[#This Row],[order_time]])</f>
        <v>15</v>
      </c>
      <c r="H1265" s="2">
        <v>0.6403240740740741</v>
      </c>
      <c r="I1265" t="s">
        <v>18</v>
      </c>
      <c r="J1265" t="s">
        <v>30</v>
      </c>
      <c r="K1265">
        <v>3</v>
      </c>
      <c r="L1265">
        <v>60</v>
      </c>
      <c r="M1265">
        <v>180</v>
      </c>
      <c r="N1265">
        <f>IF(COUNTIFS($B$2:B1265,B1265)=1,1,0)</f>
        <v>1</v>
      </c>
    </row>
    <row r="1266" spans="1:14" x14ac:dyDescent="0.2">
      <c r="A1266">
        <v>1265</v>
      </c>
      <c r="B1266">
        <v>1625</v>
      </c>
      <c r="C1266">
        <f>1/COUNTIF(B:B,Table1[[#This Row],[order_id]])</f>
        <v>0.33333333333333331</v>
      </c>
      <c r="D1266" t="str">
        <f>TEXT(Table1[[#This Row],[order_date]],"mmmm")</f>
        <v>April</v>
      </c>
      <c r="E1266" s="1">
        <v>45390</v>
      </c>
      <c r="F1266" s="1" t="str">
        <f>TEXT(Table1[[#This Row],[order_date]],"dddd")</f>
        <v>Monday</v>
      </c>
      <c r="G1266">
        <f>HOUR(Table1[[#This Row],[order_time]])</f>
        <v>16</v>
      </c>
      <c r="H1266" s="2">
        <v>0.69594907407407403</v>
      </c>
      <c r="I1266" t="s">
        <v>18</v>
      </c>
      <c r="J1266" t="s">
        <v>31</v>
      </c>
      <c r="K1266">
        <v>1</v>
      </c>
      <c r="L1266">
        <v>45</v>
      </c>
      <c r="M1266">
        <v>45</v>
      </c>
      <c r="N1266">
        <f>IF(COUNTIFS($B$2:B1266,B1266)=1,1,0)</f>
        <v>0</v>
      </c>
    </row>
    <row r="1267" spans="1:14" x14ac:dyDescent="0.2">
      <c r="A1267">
        <v>1266</v>
      </c>
      <c r="B1267">
        <v>1625</v>
      </c>
      <c r="C1267">
        <f>1/COUNTIF(B:B,Table1[[#This Row],[order_id]])</f>
        <v>0.33333333333333331</v>
      </c>
      <c r="D1267" t="str">
        <f>TEXT(Table1[[#This Row],[order_date]],"mmmm")</f>
        <v>April</v>
      </c>
      <c r="E1267" s="1">
        <v>45390</v>
      </c>
      <c r="F1267" s="1" t="str">
        <f>TEXT(Table1[[#This Row],[order_date]],"dddd")</f>
        <v>Monday</v>
      </c>
      <c r="G1267">
        <f>HOUR(Table1[[#This Row],[order_time]])</f>
        <v>19</v>
      </c>
      <c r="H1267" s="2">
        <v>0.82870370370370372</v>
      </c>
      <c r="I1267" t="s">
        <v>16</v>
      </c>
      <c r="J1267" t="s">
        <v>24</v>
      </c>
      <c r="K1267">
        <v>3</v>
      </c>
      <c r="L1267">
        <v>35</v>
      </c>
      <c r="M1267">
        <v>105</v>
      </c>
      <c r="N1267">
        <f>IF(COUNTIFS($B$2:B1267,B1267)=1,1,0)</f>
        <v>0</v>
      </c>
    </row>
    <row r="1268" spans="1:14" x14ac:dyDescent="0.2">
      <c r="A1268">
        <v>1267</v>
      </c>
      <c r="B1268">
        <v>1626</v>
      </c>
      <c r="C1268">
        <f>1/COUNTIF(B:B,Table1[[#This Row],[order_id]])</f>
        <v>1</v>
      </c>
      <c r="D1268" t="str">
        <f>TEXT(Table1[[#This Row],[order_date]],"mmmm")</f>
        <v>April</v>
      </c>
      <c r="E1268" s="1">
        <v>45390</v>
      </c>
      <c r="F1268" s="1" t="str">
        <f>TEXT(Table1[[#This Row],[order_date]],"dddd")</f>
        <v>Monday</v>
      </c>
      <c r="G1268">
        <f>HOUR(Table1[[#This Row],[order_time]])</f>
        <v>11</v>
      </c>
      <c r="H1268" s="2">
        <v>0.47275462962962961</v>
      </c>
      <c r="I1268" t="s">
        <v>18</v>
      </c>
      <c r="J1268" t="s">
        <v>31</v>
      </c>
      <c r="K1268">
        <v>4</v>
      </c>
      <c r="L1268">
        <v>45</v>
      </c>
      <c r="M1268">
        <v>180</v>
      </c>
      <c r="N1268">
        <f>IF(COUNTIFS($B$2:B1268,B1268)=1,1,0)</f>
        <v>1</v>
      </c>
    </row>
    <row r="1269" spans="1:14" x14ac:dyDescent="0.2">
      <c r="A1269">
        <v>1268</v>
      </c>
      <c r="B1269">
        <v>1627</v>
      </c>
      <c r="C1269">
        <f>1/COUNTIF(B:B,Table1[[#This Row],[order_id]])</f>
        <v>0.5</v>
      </c>
      <c r="D1269" t="str">
        <f>TEXT(Table1[[#This Row],[order_date]],"mmmm")</f>
        <v>April</v>
      </c>
      <c r="E1269" s="1">
        <v>45391</v>
      </c>
      <c r="F1269" s="1" t="str">
        <f>TEXT(Table1[[#This Row],[order_date]],"dddd")</f>
        <v>Tuesday</v>
      </c>
      <c r="G1269">
        <f>HOUR(Table1[[#This Row],[order_time]])</f>
        <v>10</v>
      </c>
      <c r="H1269" s="2">
        <v>0.4306828703703704</v>
      </c>
      <c r="I1269" t="s">
        <v>9</v>
      </c>
      <c r="J1269" t="s">
        <v>22</v>
      </c>
      <c r="K1269">
        <v>4</v>
      </c>
      <c r="L1269">
        <v>15</v>
      </c>
      <c r="M1269">
        <v>60</v>
      </c>
      <c r="N1269">
        <f>IF(COUNTIFS($B$2:B1269,B1269)=1,1,0)</f>
        <v>1</v>
      </c>
    </row>
    <row r="1270" spans="1:14" x14ac:dyDescent="0.2">
      <c r="A1270">
        <v>1269</v>
      </c>
      <c r="B1270">
        <v>1627</v>
      </c>
      <c r="C1270">
        <f>1/COUNTIF(B:B,Table1[[#This Row],[order_id]])</f>
        <v>0.5</v>
      </c>
      <c r="D1270" t="str">
        <f>TEXT(Table1[[#This Row],[order_date]],"mmmm")</f>
        <v>April</v>
      </c>
      <c r="E1270" s="1">
        <v>45391</v>
      </c>
      <c r="F1270" s="1" t="str">
        <f>TEXT(Table1[[#This Row],[order_date]],"dddd")</f>
        <v>Tuesday</v>
      </c>
      <c r="G1270">
        <f>HOUR(Table1[[#This Row],[order_time]])</f>
        <v>16</v>
      </c>
      <c r="H1270" s="2">
        <v>0.70479166666666671</v>
      </c>
      <c r="I1270" t="s">
        <v>18</v>
      </c>
      <c r="J1270" t="s">
        <v>27</v>
      </c>
      <c r="K1270">
        <v>2</v>
      </c>
      <c r="L1270">
        <v>40</v>
      </c>
      <c r="M1270">
        <v>80</v>
      </c>
      <c r="N1270">
        <f>IF(COUNTIFS($B$2:B1270,B1270)=1,1,0)</f>
        <v>0</v>
      </c>
    </row>
    <row r="1271" spans="1:14" x14ac:dyDescent="0.2">
      <c r="A1271">
        <v>1270</v>
      </c>
      <c r="B1271">
        <v>1628</v>
      </c>
      <c r="C1271">
        <f>1/COUNTIF(B:B,Table1[[#This Row],[order_id]])</f>
        <v>0.33333333333333331</v>
      </c>
      <c r="D1271" t="str">
        <f>TEXT(Table1[[#This Row],[order_date]],"mmmm")</f>
        <v>April</v>
      </c>
      <c r="E1271" s="1">
        <v>45391</v>
      </c>
      <c r="F1271" s="1" t="str">
        <f>TEXT(Table1[[#This Row],[order_date]],"dddd")</f>
        <v>Tuesday</v>
      </c>
      <c r="G1271">
        <f>HOUR(Table1[[#This Row],[order_time]])</f>
        <v>12</v>
      </c>
      <c r="H1271" s="2">
        <v>0.54013888888888884</v>
      </c>
      <c r="I1271" t="s">
        <v>18</v>
      </c>
      <c r="J1271" t="s">
        <v>19</v>
      </c>
      <c r="K1271">
        <v>4</v>
      </c>
      <c r="L1271">
        <v>50</v>
      </c>
      <c r="M1271">
        <v>200</v>
      </c>
      <c r="N1271">
        <f>IF(COUNTIFS($B$2:B1271,B1271)=1,1,0)</f>
        <v>1</v>
      </c>
    </row>
    <row r="1272" spans="1:14" x14ac:dyDescent="0.2">
      <c r="A1272">
        <v>1271</v>
      </c>
      <c r="B1272">
        <v>1628</v>
      </c>
      <c r="C1272">
        <f>1/COUNTIF(B:B,Table1[[#This Row],[order_id]])</f>
        <v>0.33333333333333331</v>
      </c>
      <c r="D1272" t="str">
        <f>TEXT(Table1[[#This Row],[order_date]],"mmmm")</f>
        <v>April</v>
      </c>
      <c r="E1272" s="1">
        <v>45391</v>
      </c>
      <c r="F1272" s="1" t="str">
        <f>TEXT(Table1[[#This Row],[order_date]],"dddd")</f>
        <v>Tuesday</v>
      </c>
      <c r="G1272">
        <f>HOUR(Table1[[#This Row],[order_time]])</f>
        <v>10</v>
      </c>
      <c r="H1272" s="2">
        <v>0.43373842592592593</v>
      </c>
      <c r="I1272" t="s">
        <v>16</v>
      </c>
      <c r="J1272" t="s">
        <v>23</v>
      </c>
      <c r="K1272">
        <v>4</v>
      </c>
      <c r="L1272">
        <v>30</v>
      </c>
      <c r="M1272">
        <v>120</v>
      </c>
      <c r="N1272">
        <f>IF(COUNTIFS($B$2:B1272,B1272)=1,1,0)</f>
        <v>0</v>
      </c>
    </row>
    <row r="1273" spans="1:14" x14ac:dyDescent="0.2">
      <c r="A1273">
        <v>1272</v>
      </c>
      <c r="B1273">
        <v>1628</v>
      </c>
      <c r="C1273">
        <f>1/COUNTIF(B:B,Table1[[#This Row],[order_id]])</f>
        <v>0.33333333333333331</v>
      </c>
      <c r="D1273" t="str">
        <f>TEXT(Table1[[#This Row],[order_date]],"mmmm")</f>
        <v>April</v>
      </c>
      <c r="E1273" s="1">
        <v>45391</v>
      </c>
      <c r="F1273" s="1" t="str">
        <f>TEXT(Table1[[#This Row],[order_date]],"dddd")</f>
        <v>Tuesday</v>
      </c>
      <c r="G1273">
        <f>HOUR(Table1[[#This Row],[order_time]])</f>
        <v>12</v>
      </c>
      <c r="H1273" s="2">
        <v>0.51496527777777779</v>
      </c>
      <c r="I1273" t="s">
        <v>9</v>
      </c>
      <c r="J1273" t="s">
        <v>22</v>
      </c>
      <c r="K1273">
        <v>5</v>
      </c>
      <c r="L1273">
        <v>15</v>
      </c>
      <c r="M1273">
        <v>75</v>
      </c>
      <c r="N1273">
        <f>IF(COUNTIFS($B$2:B1273,B1273)=1,1,0)</f>
        <v>0</v>
      </c>
    </row>
    <row r="1274" spans="1:14" x14ac:dyDescent="0.2">
      <c r="A1274">
        <v>1273</v>
      </c>
      <c r="B1274">
        <v>1629</v>
      </c>
      <c r="C1274">
        <f>1/COUNTIF(B:B,Table1[[#This Row],[order_id]])</f>
        <v>1</v>
      </c>
      <c r="D1274" t="str">
        <f>TEXT(Table1[[#This Row],[order_date]],"mmmm")</f>
        <v>April</v>
      </c>
      <c r="E1274" s="1">
        <v>45391</v>
      </c>
      <c r="F1274" s="1" t="str">
        <f>TEXT(Table1[[#This Row],[order_date]],"dddd")</f>
        <v>Tuesday</v>
      </c>
      <c r="G1274">
        <f>HOUR(Table1[[#This Row],[order_time]])</f>
        <v>14</v>
      </c>
      <c r="H1274" s="2">
        <v>0.58980324074074075</v>
      </c>
      <c r="I1274" t="s">
        <v>16</v>
      </c>
      <c r="J1274" t="s">
        <v>23</v>
      </c>
      <c r="K1274">
        <v>1</v>
      </c>
      <c r="L1274">
        <v>30</v>
      </c>
      <c r="M1274">
        <v>30</v>
      </c>
      <c r="N1274">
        <f>IF(COUNTIFS($B$2:B1274,B1274)=1,1,0)</f>
        <v>1</v>
      </c>
    </row>
    <row r="1275" spans="1:14" x14ac:dyDescent="0.2">
      <c r="A1275">
        <v>1274</v>
      </c>
      <c r="B1275">
        <v>1630</v>
      </c>
      <c r="C1275">
        <f>1/COUNTIF(B:B,Table1[[#This Row],[order_id]])</f>
        <v>0.33333333333333331</v>
      </c>
      <c r="D1275" t="str">
        <f>TEXT(Table1[[#This Row],[order_date]],"mmmm")</f>
        <v>April</v>
      </c>
      <c r="E1275" s="1">
        <v>45391</v>
      </c>
      <c r="F1275" s="1" t="str">
        <f>TEXT(Table1[[#This Row],[order_date]],"dddd")</f>
        <v>Tuesday</v>
      </c>
      <c r="G1275">
        <f>HOUR(Table1[[#This Row],[order_time]])</f>
        <v>14</v>
      </c>
      <c r="H1275" s="2">
        <v>0.60394675925925922</v>
      </c>
      <c r="I1275" t="s">
        <v>11</v>
      </c>
      <c r="J1275" t="s">
        <v>15</v>
      </c>
      <c r="K1275">
        <v>2</v>
      </c>
      <c r="L1275">
        <v>600</v>
      </c>
      <c r="M1275">
        <v>1200</v>
      </c>
      <c r="N1275">
        <f>IF(COUNTIFS($B$2:B1275,B1275)=1,1,0)</f>
        <v>1</v>
      </c>
    </row>
    <row r="1276" spans="1:14" x14ac:dyDescent="0.2">
      <c r="A1276">
        <v>1275</v>
      </c>
      <c r="B1276">
        <v>1630</v>
      </c>
      <c r="C1276">
        <f>1/COUNTIF(B:B,Table1[[#This Row],[order_id]])</f>
        <v>0.33333333333333331</v>
      </c>
      <c r="D1276" t="str">
        <f>TEXT(Table1[[#This Row],[order_date]],"mmmm")</f>
        <v>April</v>
      </c>
      <c r="E1276" s="1">
        <v>45391</v>
      </c>
      <c r="F1276" s="1" t="str">
        <f>TEXT(Table1[[#This Row],[order_date]],"dddd")</f>
        <v>Tuesday</v>
      </c>
      <c r="G1276">
        <f>HOUR(Table1[[#This Row],[order_time]])</f>
        <v>11</v>
      </c>
      <c r="H1276" s="2">
        <v>0.46166666666666667</v>
      </c>
      <c r="I1276" t="s">
        <v>18</v>
      </c>
      <c r="J1276" t="s">
        <v>30</v>
      </c>
      <c r="K1276">
        <v>3</v>
      </c>
      <c r="L1276">
        <v>60</v>
      </c>
      <c r="M1276">
        <v>180</v>
      </c>
      <c r="N1276">
        <f>IF(COUNTIFS($B$2:B1276,B1276)=1,1,0)</f>
        <v>0</v>
      </c>
    </row>
    <row r="1277" spans="1:14" x14ac:dyDescent="0.2">
      <c r="A1277">
        <v>1276</v>
      </c>
      <c r="B1277">
        <v>1630</v>
      </c>
      <c r="C1277">
        <f>1/COUNTIF(B:B,Table1[[#This Row],[order_id]])</f>
        <v>0.33333333333333331</v>
      </c>
      <c r="D1277" t="str">
        <f>TEXT(Table1[[#This Row],[order_date]],"mmmm")</f>
        <v>April</v>
      </c>
      <c r="E1277" s="1">
        <v>45391</v>
      </c>
      <c r="F1277" s="1" t="str">
        <f>TEXT(Table1[[#This Row],[order_date]],"dddd")</f>
        <v>Tuesday</v>
      </c>
      <c r="G1277">
        <f>HOUR(Table1[[#This Row],[order_time]])</f>
        <v>16</v>
      </c>
      <c r="H1277" s="2">
        <v>0.6943287037037037</v>
      </c>
      <c r="I1277" t="s">
        <v>9</v>
      </c>
      <c r="J1277" t="s">
        <v>22</v>
      </c>
      <c r="K1277">
        <v>3</v>
      </c>
      <c r="L1277">
        <v>15</v>
      </c>
      <c r="M1277">
        <v>45</v>
      </c>
      <c r="N1277">
        <f>IF(COUNTIFS($B$2:B1277,B1277)=1,1,0)</f>
        <v>0</v>
      </c>
    </row>
    <row r="1278" spans="1:14" x14ac:dyDescent="0.2">
      <c r="A1278">
        <v>1277</v>
      </c>
      <c r="B1278">
        <v>1631</v>
      </c>
      <c r="C1278">
        <f>1/COUNTIF(B:B,Table1[[#This Row],[order_id]])</f>
        <v>1</v>
      </c>
      <c r="D1278" t="str">
        <f>TEXT(Table1[[#This Row],[order_date]],"mmmm")</f>
        <v>April</v>
      </c>
      <c r="E1278" s="1">
        <v>45392</v>
      </c>
      <c r="F1278" s="1" t="str">
        <f>TEXT(Table1[[#This Row],[order_date]],"dddd")</f>
        <v>Wednesday</v>
      </c>
      <c r="G1278">
        <f>HOUR(Table1[[#This Row],[order_time]])</f>
        <v>9</v>
      </c>
      <c r="H1278" s="2">
        <v>0.37732638888888886</v>
      </c>
      <c r="I1278" t="s">
        <v>11</v>
      </c>
      <c r="J1278" t="s">
        <v>14</v>
      </c>
      <c r="K1278">
        <v>3</v>
      </c>
      <c r="L1278">
        <v>700</v>
      </c>
      <c r="M1278">
        <v>2100</v>
      </c>
      <c r="N1278">
        <f>IF(COUNTIFS($B$2:B1278,B1278)=1,1,0)</f>
        <v>1</v>
      </c>
    </row>
    <row r="1279" spans="1:14" x14ac:dyDescent="0.2">
      <c r="A1279">
        <v>1278</v>
      </c>
      <c r="B1279">
        <v>1632</v>
      </c>
      <c r="C1279">
        <f>1/COUNTIF(B:B,Table1[[#This Row],[order_id]])</f>
        <v>0.5</v>
      </c>
      <c r="D1279" t="str">
        <f>TEXT(Table1[[#This Row],[order_date]],"mmmm")</f>
        <v>April</v>
      </c>
      <c r="E1279" s="1">
        <v>45392</v>
      </c>
      <c r="F1279" s="1" t="str">
        <f>TEXT(Table1[[#This Row],[order_date]],"dddd")</f>
        <v>Wednesday</v>
      </c>
      <c r="G1279">
        <f>HOUR(Table1[[#This Row],[order_time]])</f>
        <v>10</v>
      </c>
      <c r="H1279" s="2">
        <v>0.45579861111111108</v>
      </c>
      <c r="I1279" t="s">
        <v>16</v>
      </c>
      <c r="J1279" t="s">
        <v>17</v>
      </c>
      <c r="K1279">
        <v>2</v>
      </c>
      <c r="L1279">
        <v>20</v>
      </c>
      <c r="M1279">
        <v>40</v>
      </c>
      <c r="N1279">
        <f>IF(COUNTIFS($B$2:B1279,B1279)=1,1,0)</f>
        <v>1</v>
      </c>
    </row>
    <row r="1280" spans="1:14" x14ac:dyDescent="0.2">
      <c r="A1280">
        <v>1279</v>
      </c>
      <c r="B1280">
        <v>1632</v>
      </c>
      <c r="C1280">
        <f>1/COUNTIF(B:B,Table1[[#This Row],[order_id]])</f>
        <v>0.5</v>
      </c>
      <c r="D1280" t="str">
        <f>TEXT(Table1[[#This Row],[order_date]],"mmmm")</f>
        <v>April</v>
      </c>
      <c r="E1280" s="1">
        <v>45392</v>
      </c>
      <c r="F1280" s="1" t="str">
        <f>TEXT(Table1[[#This Row],[order_date]],"dddd")</f>
        <v>Wednesday</v>
      </c>
      <c r="G1280">
        <f>HOUR(Table1[[#This Row],[order_time]])</f>
        <v>20</v>
      </c>
      <c r="H1280" s="2">
        <v>0.86047453703703702</v>
      </c>
      <c r="I1280" t="s">
        <v>18</v>
      </c>
      <c r="J1280" t="s">
        <v>19</v>
      </c>
      <c r="K1280">
        <v>4</v>
      </c>
      <c r="L1280">
        <v>50</v>
      </c>
      <c r="M1280">
        <v>200</v>
      </c>
      <c r="N1280">
        <f>IF(COUNTIFS($B$2:B1280,B1280)=1,1,0)</f>
        <v>0</v>
      </c>
    </row>
    <row r="1281" spans="1:14" x14ac:dyDescent="0.2">
      <c r="A1281">
        <v>1280</v>
      </c>
      <c r="B1281">
        <v>1633</v>
      </c>
      <c r="C1281">
        <f>1/COUNTIF(B:B,Table1[[#This Row],[order_id]])</f>
        <v>1</v>
      </c>
      <c r="D1281" t="str">
        <f>TEXT(Table1[[#This Row],[order_date]],"mmmm")</f>
        <v>April</v>
      </c>
      <c r="E1281" s="1">
        <v>45392</v>
      </c>
      <c r="F1281" s="1" t="str">
        <f>TEXT(Table1[[#This Row],[order_date]],"dddd")</f>
        <v>Wednesday</v>
      </c>
      <c r="G1281">
        <f>HOUR(Table1[[#This Row],[order_time]])</f>
        <v>15</v>
      </c>
      <c r="H1281" s="2">
        <v>0.64052083333333332</v>
      </c>
      <c r="I1281" t="s">
        <v>9</v>
      </c>
      <c r="J1281" t="s">
        <v>20</v>
      </c>
      <c r="K1281">
        <v>3</v>
      </c>
      <c r="L1281">
        <v>25</v>
      </c>
      <c r="M1281">
        <v>75</v>
      </c>
      <c r="N1281">
        <f>IF(COUNTIFS($B$2:B1281,B1281)=1,1,0)</f>
        <v>1</v>
      </c>
    </row>
    <row r="1282" spans="1:14" x14ac:dyDescent="0.2">
      <c r="A1282">
        <v>1281</v>
      </c>
      <c r="B1282">
        <v>1634</v>
      </c>
      <c r="C1282">
        <f>1/COUNTIF(B:B,Table1[[#This Row],[order_id]])</f>
        <v>1</v>
      </c>
      <c r="D1282" t="str">
        <f>TEXT(Table1[[#This Row],[order_date]],"mmmm")</f>
        <v>April</v>
      </c>
      <c r="E1282" s="1">
        <v>45392</v>
      </c>
      <c r="F1282" s="1" t="str">
        <f>TEXT(Table1[[#This Row],[order_date]],"dddd")</f>
        <v>Wednesday</v>
      </c>
      <c r="G1282">
        <f>HOUR(Table1[[#This Row],[order_time]])</f>
        <v>9</v>
      </c>
      <c r="H1282" s="2">
        <v>0.3831134259259259</v>
      </c>
      <c r="I1282" t="s">
        <v>16</v>
      </c>
      <c r="J1282" t="s">
        <v>17</v>
      </c>
      <c r="K1282">
        <v>2</v>
      </c>
      <c r="L1282">
        <v>20</v>
      </c>
      <c r="M1282">
        <v>40</v>
      </c>
      <c r="N1282">
        <f>IF(COUNTIFS($B$2:B1282,B1282)=1,1,0)</f>
        <v>1</v>
      </c>
    </row>
    <row r="1283" spans="1:14" x14ac:dyDescent="0.2">
      <c r="A1283">
        <v>1282</v>
      </c>
      <c r="B1283">
        <v>1635</v>
      </c>
      <c r="C1283">
        <f>1/COUNTIF(B:B,Table1[[#This Row],[order_id]])</f>
        <v>1</v>
      </c>
      <c r="D1283" t="str">
        <f>TEXT(Table1[[#This Row],[order_date]],"mmmm")</f>
        <v>April</v>
      </c>
      <c r="E1283" s="1">
        <v>45392</v>
      </c>
      <c r="F1283" s="1" t="str">
        <f>TEXT(Table1[[#This Row],[order_date]],"dddd")</f>
        <v>Wednesday</v>
      </c>
      <c r="G1283">
        <f>HOUR(Table1[[#This Row],[order_time]])</f>
        <v>20</v>
      </c>
      <c r="H1283" s="2">
        <v>0.85127314814814814</v>
      </c>
      <c r="I1283" t="s">
        <v>9</v>
      </c>
      <c r="J1283" t="s">
        <v>20</v>
      </c>
      <c r="K1283">
        <v>5</v>
      </c>
      <c r="L1283">
        <v>25</v>
      </c>
      <c r="M1283">
        <v>125</v>
      </c>
      <c r="N1283">
        <f>IF(COUNTIFS($B$2:B1283,B1283)=1,1,0)</f>
        <v>1</v>
      </c>
    </row>
    <row r="1284" spans="1:14" x14ac:dyDescent="0.2">
      <c r="A1284">
        <v>1283</v>
      </c>
      <c r="B1284">
        <v>1636</v>
      </c>
      <c r="C1284">
        <f>1/COUNTIF(B:B,Table1[[#This Row],[order_id]])</f>
        <v>0.5</v>
      </c>
      <c r="D1284" t="str">
        <f>TEXT(Table1[[#This Row],[order_date]],"mmmm")</f>
        <v>April</v>
      </c>
      <c r="E1284" s="1">
        <v>45392</v>
      </c>
      <c r="F1284" s="1" t="str">
        <f>TEXT(Table1[[#This Row],[order_date]],"dddd")</f>
        <v>Wednesday</v>
      </c>
      <c r="G1284">
        <f>HOUR(Table1[[#This Row],[order_time]])</f>
        <v>9</v>
      </c>
      <c r="H1284" s="2">
        <v>0.38828703703703704</v>
      </c>
      <c r="I1284" t="s">
        <v>18</v>
      </c>
      <c r="J1284" t="s">
        <v>19</v>
      </c>
      <c r="K1284">
        <v>2</v>
      </c>
      <c r="L1284">
        <v>50</v>
      </c>
      <c r="M1284">
        <v>100</v>
      </c>
      <c r="N1284">
        <f>IF(COUNTIFS($B$2:B1284,B1284)=1,1,0)</f>
        <v>1</v>
      </c>
    </row>
    <row r="1285" spans="1:14" x14ac:dyDescent="0.2">
      <c r="A1285">
        <v>1284</v>
      </c>
      <c r="B1285">
        <v>1636</v>
      </c>
      <c r="C1285">
        <f>1/COUNTIF(B:B,Table1[[#This Row],[order_id]])</f>
        <v>0.5</v>
      </c>
      <c r="D1285" t="str">
        <f>TEXT(Table1[[#This Row],[order_date]],"mmmm")</f>
        <v>April</v>
      </c>
      <c r="E1285" s="1">
        <v>45392</v>
      </c>
      <c r="F1285" s="1" t="str">
        <f>TEXT(Table1[[#This Row],[order_date]],"dddd")</f>
        <v>Wednesday</v>
      </c>
      <c r="G1285">
        <f>HOUR(Table1[[#This Row],[order_time]])</f>
        <v>11</v>
      </c>
      <c r="H1285" s="2">
        <v>0.4974189814814815</v>
      </c>
      <c r="I1285" t="s">
        <v>9</v>
      </c>
      <c r="J1285" t="s">
        <v>10</v>
      </c>
      <c r="K1285">
        <v>2</v>
      </c>
      <c r="L1285">
        <v>20</v>
      </c>
      <c r="M1285">
        <v>40</v>
      </c>
      <c r="N1285">
        <f>IF(COUNTIFS($B$2:B1285,B1285)=1,1,0)</f>
        <v>0</v>
      </c>
    </row>
    <row r="1286" spans="1:14" x14ac:dyDescent="0.2">
      <c r="A1286">
        <v>1285</v>
      </c>
      <c r="B1286">
        <v>1637</v>
      </c>
      <c r="C1286">
        <f>1/COUNTIF(B:B,Table1[[#This Row],[order_id]])</f>
        <v>0.5</v>
      </c>
      <c r="D1286" t="str">
        <f>TEXT(Table1[[#This Row],[order_date]],"mmmm")</f>
        <v>April</v>
      </c>
      <c r="E1286" s="1">
        <v>45392</v>
      </c>
      <c r="F1286" s="1" t="str">
        <f>TEXT(Table1[[#This Row],[order_date]],"dddd")</f>
        <v>Wednesday</v>
      </c>
      <c r="G1286">
        <f>HOUR(Table1[[#This Row],[order_time]])</f>
        <v>17</v>
      </c>
      <c r="H1286" s="2">
        <v>0.72120370370370368</v>
      </c>
      <c r="I1286" t="s">
        <v>9</v>
      </c>
      <c r="J1286" t="s">
        <v>10</v>
      </c>
      <c r="K1286">
        <v>2</v>
      </c>
      <c r="L1286">
        <v>20</v>
      </c>
      <c r="M1286">
        <v>40</v>
      </c>
      <c r="N1286">
        <f>IF(COUNTIFS($B$2:B1286,B1286)=1,1,0)</f>
        <v>1</v>
      </c>
    </row>
    <row r="1287" spans="1:14" x14ac:dyDescent="0.2">
      <c r="A1287">
        <v>1286</v>
      </c>
      <c r="B1287">
        <v>1637</v>
      </c>
      <c r="C1287">
        <f>1/COUNTIF(B:B,Table1[[#This Row],[order_id]])</f>
        <v>0.5</v>
      </c>
      <c r="D1287" t="str">
        <f>TEXT(Table1[[#This Row],[order_date]],"mmmm")</f>
        <v>April</v>
      </c>
      <c r="E1287" s="1">
        <v>45392</v>
      </c>
      <c r="F1287" s="1" t="str">
        <f>TEXT(Table1[[#This Row],[order_date]],"dddd")</f>
        <v>Wednesday</v>
      </c>
      <c r="G1287">
        <f>HOUR(Table1[[#This Row],[order_time]])</f>
        <v>12</v>
      </c>
      <c r="H1287" s="2">
        <v>0.51770833333333333</v>
      </c>
      <c r="I1287" t="s">
        <v>11</v>
      </c>
      <c r="J1287" t="s">
        <v>15</v>
      </c>
      <c r="K1287">
        <v>1</v>
      </c>
      <c r="L1287">
        <v>600</v>
      </c>
      <c r="M1287">
        <v>600</v>
      </c>
      <c r="N1287">
        <f>IF(COUNTIFS($B$2:B1287,B1287)=1,1,0)</f>
        <v>0</v>
      </c>
    </row>
    <row r="1288" spans="1:14" x14ac:dyDescent="0.2">
      <c r="A1288">
        <v>1287</v>
      </c>
      <c r="B1288">
        <v>1638</v>
      </c>
      <c r="C1288">
        <f>1/COUNTIF(B:B,Table1[[#This Row],[order_id]])</f>
        <v>1</v>
      </c>
      <c r="D1288" t="str">
        <f>TEXT(Table1[[#This Row],[order_date]],"mmmm")</f>
        <v>April</v>
      </c>
      <c r="E1288" s="1">
        <v>45392</v>
      </c>
      <c r="F1288" s="1" t="str">
        <f>TEXT(Table1[[#This Row],[order_date]],"dddd")</f>
        <v>Wednesday</v>
      </c>
      <c r="G1288">
        <f>HOUR(Table1[[#This Row],[order_time]])</f>
        <v>17</v>
      </c>
      <c r="H1288" s="2">
        <v>0.73559027777777775</v>
      </c>
      <c r="I1288" t="s">
        <v>11</v>
      </c>
      <c r="J1288" t="s">
        <v>14</v>
      </c>
      <c r="K1288">
        <v>1</v>
      </c>
      <c r="L1288">
        <v>700</v>
      </c>
      <c r="M1288">
        <v>700</v>
      </c>
      <c r="N1288">
        <f>IF(COUNTIFS($B$2:B1288,B1288)=1,1,0)</f>
        <v>1</v>
      </c>
    </row>
    <row r="1289" spans="1:14" x14ac:dyDescent="0.2">
      <c r="A1289">
        <v>1288</v>
      </c>
      <c r="B1289">
        <v>1639</v>
      </c>
      <c r="C1289">
        <f>1/COUNTIF(B:B,Table1[[#This Row],[order_id]])</f>
        <v>1</v>
      </c>
      <c r="D1289" t="str">
        <f>TEXT(Table1[[#This Row],[order_date]],"mmmm")</f>
        <v>April</v>
      </c>
      <c r="E1289" s="1">
        <v>45392</v>
      </c>
      <c r="F1289" s="1" t="str">
        <f>TEXT(Table1[[#This Row],[order_date]],"dddd")</f>
        <v>Wednesday</v>
      </c>
      <c r="G1289">
        <f>HOUR(Table1[[#This Row],[order_time]])</f>
        <v>14</v>
      </c>
      <c r="H1289" s="2">
        <v>0.62346064814814817</v>
      </c>
      <c r="I1289" t="s">
        <v>9</v>
      </c>
      <c r="J1289" t="s">
        <v>29</v>
      </c>
      <c r="K1289">
        <v>5</v>
      </c>
      <c r="L1289">
        <v>5</v>
      </c>
      <c r="M1289">
        <v>25</v>
      </c>
      <c r="N1289">
        <f>IF(COUNTIFS($B$2:B1289,B1289)=1,1,0)</f>
        <v>1</v>
      </c>
    </row>
    <row r="1290" spans="1:14" x14ac:dyDescent="0.2">
      <c r="A1290">
        <v>1289</v>
      </c>
      <c r="B1290">
        <v>1640</v>
      </c>
      <c r="C1290">
        <f>1/COUNTIF(B:B,Table1[[#This Row],[order_id]])</f>
        <v>0.5</v>
      </c>
      <c r="D1290" t="str">
        <f>TEXT(Table1[[#This Row],[order_date]],"mmmm")</f>
        <v>April</v>
      </c>
      <c r="E1290" s="1">
        <v>45393</v>
      </c>
      <c r="F1290" s="1" t="str">
        <f>TEXT(Table1[[#This Row],[order_date]],"dddd")</f>
        <v>Thursday</v>
      </c>
      <c r="G1290">
        <f>HOUR(Table1[[#This Row],[order_time]])</f>
        <v>12</v>
      </c>
      <c r="H1290" s="2">
        <v>0.50722222222222224</v>
      </c>
      <c r="I1290" t="s">
        <v>18</v>
      </c>
      <c r="J1290" t="s">
        <v>26</v>
      </c>
      <c r="K1290">
        <v>5</v>
      </c>
      <c r="L1290">
        <v>55</v>
      </c>
      <c r="M1290">
        <v>275</v>
      </c>
      <c r="N1290">
        <f>IF(COUNTIFS($B$2:B1290,B1290)=1,1,0)</f>
        <v>1</v>
      </c>
    </row>
    <row r="1291" spans="1:14" x14ac:dyDescent="0.2">
      <c r="A1291">
        <v>1290</v>
      </c>
      <c r="B1291">
        <v>1640</v>
      </c>
      <c r="C1291">
        <f>1/COUNTIF(B:B,Table1[[#This Row],[order_id]])</f>
        <v>0.5</v>
      </c>
      <c r="D1291" t="str">
        <f>TEXT(Table1[[#This Row],[order_date]],"mmmm")</f>
        <v>April</v>
      </c>
      <c r="E1291" s="1">
        <v>45393</v>
      </c>
      <c r="F1291" s="1" t="str">
        <f>TEXT(Table1[[#This Row],[order_date]],"dddd")</f>
        <v>Thursday</v>
      </c>
      <c r="G1291">
        <f>HOUR(Table1[[#This Row],[order_time]])</f>
        <v>13</v>
      </c>
      <c r="H1291" s="2">
        <v>0.55145833333333338</v>
      </c>
      <c r="I1291" t="s">
        <v>11</v>
      </c>
      <c r="J1291" t="s">
        <v>14</v>
      </c>
      <c r="K1291">
        <v>4</v>
      </c>
      <c r="L1291">
        <v>700</v>
      </c>
      <c r="M1291">
        <v>2800</v>
      </c>
      <c r="N1291">
        <f>IF(COUNTIFS($B$2:B1291,B1291)=1,1,0)</f>
        <v>0</v>
      </c>
    </row>
    <row r="1292" spans="1:14" x14ac:dyDescent="0.2">
      <c r="A1292">
        <v>1291</v>
      </c>
      <c r="B1292">
        <v>1641</v>
      </c>
      <c r="C1292">
        <f>1/COUNTIF(B:B,Table1[[#This Row],[order_id]])</f>
        <v>1</v>
      </c>
      <c r="D1292" t="str">
        <f>TEXT(Table1[[#This Row],[order_date]],"mmmm")</f>
        <v>April</v>
      </c>
      <c r="E1292" s="1">
        <v>45393</v>
      </c>
      <c r="F1292" s="1" t="str">
        <f>TEXT(Table1[[#This Row],[order_date]],"dddd")</f>
        <v>Thursday</v>
      </c>
      <c r="G1292">
        <f>HOUR(Table1[[#This Row],[order_time]])</f>
        <v>20</v>
      </c>
      <c r="H1292" s="2">
        <v>0.87290509259259264</v>
      </c>
      <c r="I1292" t="s">
        <v>18</v>
      </c>
      <c r="J1292" t="s">
        <v>31</v>
      </c>
      <c r="K1292">
        <v>1</v>
      </c>
      <c r="L1292">
        <v>45</v>
      </c>
      <c r="M1292">
        <v>45</v>
      </c>
      <c r="N1292">
        <f>IF(COUNTIFS($B$2:B1292,B1292)=1,1,0)</f>
        <v>1</v>
      </c>
    </row>
    <row r="1293" spans="1:14" x14ac:dyDescent="0.2">
      <c r="A1293">
        <v>1292</v>
      </c>
      <c r="B1293">
        <v>1642</v>
      </c>
      <c r="C1293">
        <f>1/COUNTIF(B:B,Table1[[#This Row],[order_id]])</f>
        <v>1</v>
      </c>
      <c r="D1293" t="str">
        <f>TEXT(Table1[[#This Row],[order_date]],"mmmm")</f>
        <v>April</v>
      </c>
      <c r="E1293" s="1">
        <v>45393</v>
      </c>
      <c r="F1293" s="1" t="str">
        <f>TEXT(Table1[[#This Row],[order_date]],"dddd")</f>
        <v>Thursday</v>
      </c>
      <c r="G1293">
        <f>HOUR(Table1[[#This Row],[order_time]])</f>
        <v>15</v>
      </c>
      <c r="H1293" s="2">
        <v>0.65371527777777783</v>
      </c>
      <c r="I1293" t="s">
        <v>9</v>
      </c>
      <c r="J1293" t="s">
        <v>21</v>
      </c>
      <c r="K1293">
        <v>4</v>
      </c>
      <c r="L1293">
        <v>10</v>
      </c>
      <c r="M1293">
        <v>40</v>
      </c>
      <c r="N1293">
        <f>IF(COUNTIFS($B$2:B1293,B1293)=1,1,0)</f>
        <v>1</v>
      </c>
    </row>
    <row r="1294" spans="1:14" x14ac:dyDescent="0.2">
      <c r="A1294">
        <v>1293</v>
      </c>
      <c r="B1294">
        <v>1643</v>
      </c>
      <c r="C1294">
        <f>1/COUNTIF(B:B,Table1[[#This Row],[order_id]])</f>
        <v>0.33333333333333331</v>
      </c>
      <c r="D1294" t="str">
        <f>TEXT(Table1[[#This Row],[order_date]],"mmmm")</f>
        <v>April</v>
      </c>
      <c r="E1294" s="1">
        <v>45393</v>
      </c>
      <c r="F1294" s="1" t="str">
        <f>TEXT(Table1[[#This Row],[order_date]],"dddd")</f>
        <v>Thursday</v>
      </c>
      <c r="G1294">
        <f>HOUR(Table1[[#This Row],[order_time]])</f>
        <v>10</v>
      </c>
      <c r="H1294" s="2">
        <v>0.44564814814814813</v>
      </c>
      <c r="I1294" t="s">
        <v>18</v>
      </c>
      <c r="J1294" t="s">
        <v>30</v>
      </c>
      <c r="K1294">
        <v>4</v>
      </c>
      <c r="L1294">
        <v>60</v>
      </c>
      <c r="M1294">
        <v>240</v>
      </c>
      <c r="N1294">
        <f>IF(COUNTIFS($B$2:B1294,B1294)=1,1,0)</f>
        <v>1</v>
      </c>
    </row>
    <row r="1295" spans="1:14" x14ac:dyDescent="0.2">
      <c r="A1295">
        <v>1294</v>
      </c>
      <c r="B1295">
        <v>1643</v>
      </c>
      <c r="C1295">
        <f>1/COUNTIF(B:B,Table1[[#This Row],[order_id]])</f>
        <v>0.33333333333333331</v>
      </c>
      <c r="D1295" t="str">
        <f>TEXT(Table1[[#This Row],[order_date]],"mmmm")</f>
        <v>April</v>
      </c>
      <c r="E1295" s="1">
        <v>45393</v>
      </c>
      <c r="F1295" s="1" t="str">
        <f>TEXT(Table1[[#This Row],[order_date]],"dddd")</f>
        <v>Thursday</v>
      </c>
      <c r="G1295">
        <f>HOUR(Table1[[#This Row],[order_time]])</f>
        <v>9</v>
      </c>
      <c r="H1295" s="2">
        <v>0.39846064814814813</v>
      </c>
      <c r="I1295" t="s">
        <v>16</v>
      </c>
      <c r="J1295" t="s">
        <v>24</v>
      </c>
      <c r="K1295">
        <v>2</v>
      </c>
      <c r="L1295">
        <v>35</v>
      </c>
      <c r="M1295">
        <v>70</v>
      </c>
      <c r="N1295">
        <f>IF(COUNTIFS($B$2:B1295,B1295)=1,1,0)</f>
        <v>0</v>
      </c>
    </row>
    <row r="1296" spans="1:14" x14ac:dyDescent="0.2">
      <c r="A1296">
        <v>1295</v>
      </c>
      <c r="B1296">
        <v>1643</v>
      </c>
      <c r="C1296">
        <f>1/COUNTIF(B:B,Table1[[#This Row],[order_id]])</f>
        <v>0.33333333333333331</v>
      </c>
      <c r="D1296" t="str">
        <f>TEXT(Table1[[#This Row],[order_date]],"mmmm")</f>
        <v>April</v>
      </c>
      <c r="E1296" s="1">
        <v>45393</v>
      </c>
      <c r="F1296" s="1" t="str">
        <f>TEXT(Table1[[#This Row],[order_date]],"dddd")</f>
        <v>Thursday</v>
      </c>
      <c r="G1296">
        <f>HOUR(Table1[[#This Row],[order_time]])</f>
        <v>18</v>
      </c>
      <c r="H1296" s="2">
        <v>0.77197916666666666</v>
      </c>
      <c r="I1296" t="s">
        <v>18</v>
      </c>
      <c r="J1296" t="s">
        <v>27</v>
      </c>
      <c r="K1296">
        <v>5</v>
      </c>
      <c r="L1296">
        <v>40</v>
      </c>
      <c r="M1296">
        <v>200</v>
      </c>
      <c r="N1296">
        <f>IF(COUNTIFS($B$2:B1296,B1296)=1,1,0)</f>
        <v>0</v>
      </c>
    </row>
    <row r="1297" spans="1:14" x14ac:dyDescent="0.2">
      <c r="A1297">
        <v>1296</v>
      </c>
      <c r="B1297">
        <v>1644</v>
      </c>
      <c r="C1297">
        <f>1/COUNTIF(B:B,Table1[[#This Row],[order_id]])</f>
        <v>1</v>
      </c>
      <c r="D1297" t="str">
        <f>TEXT(Table1[[#This Row],[order_date]],"mmmm")</f>
        <v>April</v>
      </c>
      <c r="E1297" s="1">
        <v>45393</v>
      </c>
      <c r="F1297" s="1" t="str">
        <f>TEXT(Table1[[#This Row],[order_date]],"dddd")</f>
        <v>Thursday</v>
      </c>
      <c r="G1297">
        <f>HOUR(Table1[[#This Row],[order_time]])</f>
        <v>11</v>
      </c>
      <c r="H1297" s="2">
        <v>0.48351851851851851</v>
      </c>
      <c r="I1297" t="s">
        <v>11</v>
      </c>
      <c r="J1297" t="s">
        <v>25</v>
      </c>
      <c r="K1297">
        <v>2</v>
      </c>
      <c r="L1297">
        <v>1000</v>
      </c>
      <c r="M1297">
        <v>2000</v>
      </c>
      <c r="N1297">
        <f>IF(COUNTIFS($B$2:B1297,B1297)=1,1,0)</f>
        <v>1</v>
      </c>
    </row>
    <row r="1298" spans="1:14" x14ac:dyDescent="0.2">
      <c r="A1298">
        <v>1297</v>
      </c>
      <c r="B1298">
        <v>1645</v>
      </c>
      <c r="C1298">
        <f>1/COUNTIF(B:B,Table1[[#This Row],[order_id]])</f>
        <v>0.33333333333333331</v>
      </c>
      <c r="D1298" t="str">
        <f>TEXT(Table1[[#This Row],[order_date]],"mmmm")</f>
        <v>April</v>
      </c>
      <c r="E1298" s="1">
        <v>45393</v>
      </c>
      <c r="F1298" s="1" t="str">
        <f>TEXT(Table1[[#This Row],[order_date]],"dddd")</f>
        <v>Thursday</v>
      </c>
      <c r="G1298">
        <f>HOUR(Table1[[#This Row],[order_time]])</f>
        <v>11</v>
      </c>
      <c r="H1298" s="2">
        <v>0.47606481481481483</v>
      </c>
      <c r="I1298" t="s">
        <v>9</v>
      </c>
      <c r="J1298" t="s">
        <v>20</v>
      </c>
      <c r="K1298">
        <v>3</v>
      </c>
      <c r="L1298">
        <v>25</v>
      </c>
      <c r="M1298">
        <v>75</v>
      </c>
      <c r="N1298">
        <f>IF(COUNTIFS($B$2:B1298,B1298)=1,1,0)</f>
        <v>1</v>
      </c>
    </row>
    <row r="1299" spans="1:14" x14ac:dyDescent="0.2">
      <c r="A1299">
        <v>1298</v>
      </c>
      <c r="B1299">
        <v>1645</v>
      </c>
      <c r="C1299">
        <f>1/COUNTIF(B:B,Table1[[#This Row],[order_id]])</f>
        <v>0.33333333333333331</v>
      </c>
      <c r="D1299" t="str">
        <f>TEXT(Table1[[#This Row],[order_date]],"mmmm")</f>
        <v>April</v>
      </c>
      <c r="E1299" s="1">
        <v>45393</v>
      </c>
      <c r="F1299" s="1" t="str">
        <f>TEXT(Table1[[#This Row],[order_date]],"dddd")</f>
        <v>Thursday</v>
      </c>
      <c r="G1299">
        <f>HOUR(Table1[[#This Row],[order_time]])</f>
        <v>14</v>
      </c>
      <c r="H1299" s="2">
        <v>0.58548611111111115</v>
      </c>
      <c r="I1299" t="s">
        <v>9</v>
      </c>
      <c r="J1299" t="s">
        <v>29</v>
      </c>
      <c r="K1299">
        <v>4</v>
      </c>
      <c r="L1299">
        <v>5</v>
      </c>
      <c r="M1299">
        <v>20</v>
      </c>
      <c r="N1299">
        <f>IF(COUNTIFS($B$2:B1299,B1299)=1,1,0)</f>
        <v>0</v>
      </c>
    </row>
    <row r="1300" spans="1:14" x14ac:dyDescent="0.2">
      <c r="A1300">
        <v>1299</v>
      </c>
      <c r="B1300">
        <v>1645</v>
      </c>
      <c r="C1300">
        <f>1/COUNTIF(B:B,Table1[[#This Row],[order_id]])</f>
        <v>0.33333333333333331</v>
      </c>
      <c r="D1300" t="str">
        <f>TEXT(Table1[[#This Row],[order_date]],"mmmm")</f>
        <v>April</v>
      </c>
      <c r="E1300" s="1">
        <v>45393</v>
      </c>
      <c r="F1300" s="1" t="str">
        <f>TEXT(Table1[[#This Row],[order_date]],"dddd")</f>
        <v>Thursday</v>
      </c>
      <c r="G1300">
        <f>HOUR(Table1[[#This Row],[order_time]])</f>
        <v>13</v>
      </c>
      <c r="H1300" s="2">
        <v>0.5617361111111111</v>
      </c>
      <c r="I1300" t="s">
        <v>16</v>
      </c>
      <c r="J1300" t="s">
        <v>24</v>
      </c>
      <c r="K1300">
        <v>3</v>
      </c>
      <c r="L1300">
        <v>35</v>
      </c>
      <c r="M1300">
        <v>105</v>
      </c>
      <c r="N1300">
        <f>IF(COUNTIFS($B$2:B1300,B1300)=1,1,0)</f>
        <v>0</v>
      </c>
    </row>
    <row r="1301" spans="1:14" x14ac:dyDescent="0.2">
      <c r="A1301">
        <v>1300</v>
      </c>
      <c r="B1301">
        <v>1646</v>
      </c>
      <c r="C1301">
        <f>1/COUNTIF(B:B,Table1[[#This Row],[order_id]])</f>
        <v>0.5</v>
      </c>
      <c r="D1301" t="str">
        <f>TEXT(Table1[[#This Row],[order_date]],"mmmm")</f>
        <v>April</v>
      </c>
      <c r="E1301" s="1">
        <v>45393</v>
      </c>
      <c r="F1301" s="1" t="str">
        <f>TEXT(Table1[[#This Row],[order_date]],"dddd")</f>
        <v>Thursday</v>
      </c>
      <c r="G1301">
        <f>HOUR(Table1[[#This Row],[order_time]])</f>
        <v>15</v>
      </c>
      <c r="H1301" s="2">
        <v>0.66435185185185186</v>
      </c>
      <c r="I1301" t="s">
        <v>9</v>
      </c>
      <c r="J1301" t="s">
        <v>22</v>
      </c>
      <c r="K1301">
        <v>1</v>
      </c>
      <c r="L1301">
        <v>15</v>
      </c>
      <c r="M1301">
        <v>15</v>
      </c>
      <c r="N1301">
        <f>IF(COUNTIFS($B$2:B1301,B1301)=1,1,0)</f>
        <v>1</v>
      </c>
    </row>
    <row r="1302" spans="1:14" x14ac:dyDescent="0.2">
      <c r="A1302">
        <v>1301</v>
      </c>
      <c r="B1302">
        <v>1646</v>
      </c>
      <c r="C1302">
        <f>1/COUNTIF(B:B,Table1[[#This Row],[order_id]])</f>
        <v>0.5</v>
      </c>
      <c r="D1302" t="str">
        <f>TEXT(Table1[[#This Row],[order_date]],"mmmm")</f>
        <v>April</v>
      </c>
      <c r="E1302" s="1">
        <v>45393</v>
      </c>
      <c r="F1302" s="1" t="str">
        <f>TEXT(Table1[[#This Row],[order_date]],"dddd")</f>
        <v>Thursday</v>
      </c>
      <c r="G1302">
        <f>HOUR(Table1[[#This Row],[order_time]])</f>
        <v>12</v>
      </c>
      <c r="H1302" s="2">
        <v>0.51906249999999998</v>
      </c>
      <c r="I1302" t="s">
        <v>9</v>
      </c>
      <c r="J1302" t="s">
        <v>10</v>
      </c>
      <c r="K1302">
        <v>4</v>
      </c>
      <c r="L1302">
        <v>20</v>
      </c>
      <c r="M1302">
        <v>80</v>
      </c>
      <c r="N1302">
        <f>IF(COUNTIFS($B$2:B1302,B1302)=1,1,0)</f>
        <v>0</v>
      </c>
    </row>
    <row r="1303" spans="1:14" x14ac:dyDescent="0.2">
      <c r="A1303">
        <v>1302</v>
      </c>
      <c r="B1303">
        <v>1647</v>
      </c>
      <c r="C1303">
        <f>1/COUNTIF(B:B,Table1[[#This Row],[order_id]])</f>
        <v>0.5</v>
      </c>
      <c r="D1303" t="str">
        <f>TEXT(Table1[[#This Row],[order_date]],"mmmm")</f>
        <v>April</v>
      </c>
      <c r="E1303" s="1">
        <v>45393</v>
      </c>
      <c r="F1303" s="1" t="str">
        <f>TEXT(Table1[[#This Row],[order_date]],"dddd")</f>
        <v>Thursday</v>
      </c>
      <c r="G1303">
        <f>HOUR(Table1[[#This Row],[order_time]])</f>
        <v>17</v>
      </c>
      <c r="H1303" s="2">
        <v>0.70841435185185186</v>
      </c>
      <c r="I1303" t="s">
        <v>9</v>
      </c>
      <c r="J1303" t="s">
        <v>21</v>
      </c>
      <c r="K1303">
        <v>4</v>
      </c>
      <c r="L1303">
        <v>10</v>
      </c>
      <c r="M1303">
        <v>40</v>
      </c>
      <c r="N1303">
        <f>IF(COUNTIFS($B$2:B1303,B1303)=1,1,0)</f>
        <v>1</v>
      </c>
    </row>
    <row r="1304" spans="1:14" x14ac:dyDescent="0.2">
      <c r="A1304">
        <v>1303</v>
      </c>
      <c r="B1304">
        <v>1647</v>
      </c>
      <c r="C1304">
        <f>1/COUNTIF(B:B,Table1[[#This Row],[order_id]])</f>
        <v>0.5</v>
      </c>
      <c r="D1304" t="str">
        <f>TEXT(Table1[[#This Row],[order_date]],"mmmm")</f>
        <v>April</v>
      </c>
      <c r="E1304" s="1">
        <v>45393</v>
      </c>
      <c r="F1304" s="1" t="str">
        <f>TEXT(Table1[[#This Row],[order_date]],"dddd")</f>
        <v>Thursday</v>
      </c>
      <c r="G1304">
        <f>HOUR(Table1[[#This Row],[order_time]])</f>
        <v>12</v>
      </c>
      <c r="H1304" s="2">
        <v>0.52501157407407406</v>
      </c>
      <c r="I1304" t="s">
        <v>18</v>
      </c>
      <c r="J1304" t="s">
        <v>26</v>
      </c>
      <c r="K1304">
        <v>1</v>
      </c>
      <c r="L1304">
        <v>55</v>
      </c>
      <c r="M1304">
        <v>55</v>
      </c>
      <c r="N1304">
        <f>IF(COUNTIFS($B$2:B1304,B1304)=1,1,0)</f>
        <v>0</v>
      </c>
    </row>
    <row r="1305" spans="1:14" x14ac:dyDescent="0.2">
      <c r="A1305">
        <v>1304</v>
      </c>
      <c r="B1305">
        <v>1648</v>
      </c>
      <c r="C1305">
        <f>1/COUNTIF(B:B,Table1[[#This Row],[order_id]])</f>
        <v>0.33333333333333331</v>
      </c>
      <c r="D1305" t="str">
        <f>TEXT(Table1[[#This Row],[order_date]],"mmmm")</f>
        <v>April</v>
      </c>
      <c r="E1305" s="1">
        <v>45393</v>
      </c>
      <c r="F1305" s="1" t="str">
        <f>TEXT(Table1[[#This Row],[order_date]],"dddd")</f>
        <v>Thursday</v>
      </c>
      <c r="G1305">
        <f>HOUR(Table1[[#This Row],[order_time]])</f>
        <v>20</v>
      </c>
      <c r="H1305" s="2">
        <v>0.83590277777777777</v>
      </c>
      <c r="I1305" t="s">
        <v>9</v>
      </c>
      <c r="J1305" t="s">
        <v>21</v>
      </c>
      <c r="K1305">
        <v>4</v>
      </c>
      <c r="L1305">
        <v>10</v>
      </c>
      <c r="M1305">
        <v>40</v>
      </c>
      <c r="N1305">
        <f>IF(COUNTIFS($B$2:B1305,B1305)=1,1,0)</f>
        <v>1</v>
      </c>
    </row>
    <row r="1306" spans="1:14" x14ac:dyDescent="0.2">
      <c r="A1306">
        <v>1305</v>
      </c>
      <c r="B1306">
        <v>1648</v>
      </c>
      <c r="C1306">
        <f>1/COUNTIF(B:B,Table1[[#This Row],[order_id]])</f>
        <v>0.33333333333333331</v>
      </c>
      <c r="D1306" t="str">
        <f>TEXT(Table1[[#This Row],[order_date]],"mmmm")</f>
        <v>April</v>
      </c>
      <c r="E1306" s="1">
        <v>45393</v>
      </c>
      <c r="F1306" s="1" t="str">
        <f>TEXT(Table1[[#This Row],[order_date]],"dddd")</f>
        <v>Thursday</v>
      </c>
      <c r="G1306">
        <f>HOUR(Table1[[#This Row],[order_time]])</f>
        <v>14</v>
      </c>
      <c r="H1306" s="2">
        <v>0.6106597222222222</v>
      </c>
      <c r="I1306" t="s">
        <v>11</v>
      </c>
      <c r="J1306" t="s">
        <v>13</v>
      </c>
      <c r="K1306">
        <v>4</v>
      </c>
      <c r="L1306">
        <v>680</v>
      </c>
      <c r="M1306">
        <v>2720</v>
      </c>
      <c r="N1306">
        <f>IF(COUNTIFS($B$2:B1306,B1306)=1,1,0)</f>
        <v>0</v>
      </c>
    </row>
    <row r="1307" spans="1:14" x14ac:dyDescent="0.2">
      <c r="A1307">
        <v>1306</v>
      </c>
      <c r="B1307">
        <v>1648</v>
      </c>
      <c r="C1307">
        <f>1/COUNTIF(B:B,Table1[[#This Row],[order_id]])</f>
        <v>0.33333333333333331</v>
      </c>
      <c r="D1307" t="str">
        <f>TEXT(Table1[[#This Row],[order_date]],"mmmm")</f>
        <v>April</v>
      </c>
      <c r="E1307" s="1">
        <v>45393</v>
      </c>
      <c r="F1307" s="1" t="str">
        <f>TEXT(Table1[[#This Row],[order_date]],"dddd")</f>
        <v>Thursday</v>
      </c>
      <c r="G1307">
        <f>HOUR(Table1[[#This Row],[order_time]])</f>
        <v>17</v>
      </c>
      <c r="H1307" s="2">
        <v>0.73234953703703709</v>
      </c>
      <c r="I1307" t="s">
        <v>11</v>
      </c>
      <c r="J1307" t="s">
        <v>14</v>
      </c>
      <c r="K1307">
        <v>1</v>
      </c>
      <c r="L1307">
        <v>700</v>
      </c>
      <c r="M1307">
        <v>700</v>
      </c>
      <c r="N1307">
        <f>IF(COUNTIFS($B$2:B1307,B1307)=1,1,0)</f>
        <v>0</v>
      </c>
    </row>
    <row r="1308" spans="1:14" x14ac:dyDescent="0.2">
      <c r="A1308">
        <v>1307</v>
      </c>
      <c r="B1308">
        <v>1649</v>
      </c>
      <c r="C1308">
        <f>1/COUNTIF(B:B,Table1[[#This Row],[order_id]])</f>
        <v>0.33333333333333331</v>
      </c>
      <c r="D1308" t="str">
        <f>TEXT(Table1[[#This Row],[order_date]],"mmmm")</f>
        <v>April</v>
      </c>
      <c r="E1308" s="1">
        <v>45393</v>
      </c>
      <c r="F1308" s="1" t="str">
        <f>TEXT(Table1[[#This Row],[order_date]],"dddd")</f>
        <v>Thursday</v>
      </c>
      <c r="G1308">
        <f>HOUR(Table1[[#This Row],[order_time]])</f>
        <v>16</v>
      </c>
      <c r="H1308" s="2">
        <v>0.67365740740740743</v>
      </c>
      <c r="I1308" t="s">
        <v>11</v>
      </c>
      <c r="J1308" t="s">
        <v>15</v>
      </c>
      <c r="K1308">
        <v>2</v>
      </c>
      <c r="L1308">
        <v>600</v>
      </c>
      <c r="M1308">
        <v>1200</v>
      </c>
      <c r="N1308">
        <f>IF(COUNTIFS($B$2:B1308,B1308)=1,1,0)</f>
        <v>1</v>
      </c>
    </row>
    <row r="1309" spans="1:14" x14ac:dyDescent="0.2">
      <c r="A1309">
        <v>1308</v>
      </c>
      <c r="B1309">
        <v>1649</v>
      </c>
      <c r="C1309">
        <f>1/COUNTIF(B:B,Table1[[#This Row],[order_id]])</f>
        <v>0.33333333333333331</v>
      </c>
      <c r="D1309" t="str">
        <f>TEXT(Table1[[#This Row],[order_date]],"mmmm")</f>
        <v>April</v>
      </c>
      <c r="E1309" s="1">
        <v>45393</v>
      </c>
      <c r="F1309" s="1" t="str">
        <f>TEXT(Table1[[#This Row],[order_date]],"dddd")</f>
        <v>Thursday</v>
      </c>
      <c r="G1309">
        <f>HOUR(Table1[[#This Row],[order_time]])</f>
        <v>10</v>
      </c>
      <c r="H1309" s="2">
        <v>0.44155092592592593</v>
      </c>
      <c r="I1309" t="s">
        <v>18</v>
      </c>
      <c r="J1309" t="s">
        <v>26</v>
      </c>
      <c r="K1309">
        <v>3</v>
      </c>
      <c r="L1309">
        <v>55</v>
      </c>
      <c r="M1309">
        <v>165</v>
      </c>
      <c r="N1309">
        <f>IF(COUNTIFS($B$2:B1309,B1309)=1,1,0)</f>
        <v>0</v>
      </c>
    </row>
    <row r="1310" spans="1:14" x14ac:dyDescent="0.2">
      <c r="A1310">
        <v>1309</v>
      </c>
      <c r="B1310">
        <v>1649</v>
      </c>
      <c r="C1310">
        <f>1/COUNTIF(B:B,Table1[[#This Row],[order_id]])</f>
        <v>0.33333333333333331</v>
      </c>
      <c r="D1310" t="str">
        <f>TEXT(Table1[[#This Row],[order_date]],"mmmm")</f>
        <v>April</v>
      </c>
      <c r="E1310" s="1">
        <v>45393</v>
      </c>
      <c r="F1310" s="1" t="str">
        <f>TEXT(Table1[[#This Row],[order_date]],"dddd")</f>
        <v>Thursday</v>
      </c>
      <c r="G1310">
        <f>HOUR(Table1[[#This Row],[order_time]])</f>
        <v>17</v>
      </c>
      <c r="H1310" s="2">
        <v>0.71431712962962968</v>
      </c>
      <c r="I1310" t="s">
        <v>9</v>
      </c>
      <c r="J1310" t="s">
        <v>21</v>
      </c>
      <c r="K1310">
        <v>3</v>
      </c>
      <c r="L1310">
        <v>10</v>
      </c>
      <c r="M1310">
        <v>30</v>
      </c>
      <c r="N1310">
        <f>IF(COUNTIFS($B$2:B1310,B1310)=1,1,0)</f>
        <v>0</v>
      </c>
    </row>
    <row r="1311" spans="1:14" x14ac:dyDescent="0.2">
      <c r="A1311">
        <v>1310</v>
      </c>
      <c r="B1311">
        <v>1650</v>
      </c>
      <c r="C1311">
        <f>1/COUNTIF(B:B,Table1[[#This Row],[order_id]])</f>
        <v>1</v>
      </c>
      <c r="D1311" t="str">
        <f>TEXT(Table1[[#This Row],[order_date]],"mmmm")</f>
        <v>April</v>
      </c>
      <c r="E1311" s="1">
        <v>45394</v>
      </c>
      <c r="F1311" s="1" t="str">
        <f>TEXT(Table1[[#This Row],[order_date]],"dddd")</f>
        <v>Friday</v>
      </c>
      <c r="G1311">
        <f>HOUR(Table1[[#This Row],[order_time]])</f>
        <v>9</v>
      </c>
      <c r="H1311" s="2">
        <v>0.41099537037037037</v>
      </c>
      <c r="I1311" t="s">
        <v>11</v>
      </c>
      <c r="J1311" t="s">
        <v>13</v>
      </c>
      <c r="K1311">
        <v>2</v>
      </c>
      <c r="L1311">
        <v>680</v>
      </c>
      <c r="M1311">
        <v>1360</v>
      </c>
      <c r="N1311">
        <f>IF(COUNTIFS($B$2:B1311,B1311)=1,1,0)</f>
        <v>1</v>
      </c>
    </row>
    <row r="1312" spans="1:14" x14ac:dyDescent="0.2">
      <c r="A1312">
        <v>1311</v>
      </c>
      <c r="B1312">
        <v>1651</v>
      </c>
      <c r="C1312">
        <f>1/COUNTIF(B:B,Table1[[#This Row],[order_id]])</f>
        <v>0.33333333333333331</v>
      </c>
      <c r="D1312" t="str">
        <f>TEXT(Table1[[#This Row],[order_date]],"mmmm")</f>
        <v>April</v>
      </c>
      <c r="E1312" s="1">
        <v>45394</v>
      </c>
      <c r="F1312" s="1" t="str">
        <f>TEXT(Table1[[#This Row],[order_date]],"dddd")</f>
        <v>Friday</v>
      </c>
      <c r="G1312">
        <f>HOUR(Table1[[#This Row],[order_time]])</f>
        <v>13</v>
      </c>
      <c r="H1312" s="2">
        <v>0.55148148148148146</v>
      </c>
      <c r="I1312" t="s">
        <v>16</v>
      </c>
      <c r="J1312" t="s">
        <v>28</v>
      </c>
      <c r="K1312">
        <v>5</v>
      </c>
      <c r="L1312">
        <v>25</v>
      </c>
      <c r="M1312">
        <v>125</v>
      </c>
      <c r="N1312">
        <f>IF(COUNTIFS($B$2:B1312,B1312)=1,1,0)</f>
        <v>1</v>
      </c>
    </row>
    <row r="1313" spans="1:14" x14ac:dyDescent="0.2">
      <c r="A1313">
        <v>1312</v>
      </c>
      <c r="B1313">
        <v>1651</v>
      </c>
      <c r="C1313">
        <f>1/COUNTIF(B:B,Table1[[#This Row],[order_id]])</f>
        <v>0.33333333333333331</v>
      </c>
      <c r="D1313" t="str">
        <f>TEXT(Table1[[#This Row],[order_date]],"mmmm")</f>
        <v>April</v>
      </c>
      <c r="E1313" s="1">
        <v>45394</v>
      </c>
      <c r="F1313" s="1" t="str">
        <f>TEXT(Table1[[#This Row],[order_date]],"dddd")</f>
        <v>Friday</v>
      </c>
      <c r="G1313">
        <f>HOUR(Table1[[#This Row],[order_time]])</f>
        <v>15</v>
      </c>
      <c r="H1313" s="2">
        <v>0.63530092592592591</v>
      </c>
      <c r="I1313" t="s">
        <v>18</v>
      </c>
      <c r="J1313" t="s">
        <v>26</v>
      </c>
      <c r="K1313">
        <v>3</v>
      </c>
      <c r="L1313">
        <v>55</v>
      </c>
      <c r="M1313">
        <v>165</v>
      </c>
      <c r="N1313">
        <f>IF(COUNTIFS($B$2:B1313,B1313)=1,1,0)</f>
        <v>0</v>
      </c>
    </row>
    <row r="1314" spans="1:14" x14ac:dyDescent="0.2">
      <c r="A1314">
        <v>1313</v>
      </c>
      <c r="B1314">
        <v>1651</v>
      </c>
      <c r="C1314">
        <f>1/COUNTIF(B:B,Table1[[#This Row],[order_id]])</f>
        <v>0.33333333333333331</v>
      </c>
      <c r="D1314" t="str">
        <f>TEXT(Table1[[#This Row],[order_date]],"mmmm")</f>
        <v>April</v>
      </c>
      <c r="E1314" s="1">
        <v>45394</v>
      </c>
      <c r="F1314" s="1" t="str">
        <f>TEXT(Table1[[#This Row],[order_date]],"dddd")</f>
        <v>Friday</v>
      </c>
      <c r="G1314">
        <f>HOUR(Table1[[#This Row],[order_time]])</f>
        <v>20</v>
      </c>
      <c r="H1314" s="2">
        <v>0.85516203703703708</v>
      </c>
      <c r="I1314" t="s">
        <v>11</v>
      </c>
      <c r="J1314" t="s">
        <v>12</v>
      </c>
      <c r="K1314">
        <v>5</v>
      </c>
      <c r="L1314">
        <v>650</v>
      </c>
      <c r="M1314">
        <v>3250</v>
      </c>
      <c r="N1314">
        <f>IF(COUNTIFS($B$2:B1314,B1314)=1,1,0)</f>
        <v>0</v>
      </c>
    </row>
    <row r="1315" spans="1:14" x14ac:dyDescent="0.2">
      <c r="A1315">
        <v>1314</v>
      </c>
      <c r="B1315">
        <v>1652</v>
      </c>
      <c r="C1315">
        <f>1/COUNTIF(B:B,Table1[[#This Row],[order_id]])</f>
        <v>0.33333333333333331</v>
      </c>
      <c r="D1315" t="str">
        <f>TEXT(Table1[[#This Row],[order_date]],"mmmm")</f>
        <v>April</v>
      </c>
      <c r="E1315" s="1">
        <v>45394</v>
      </c>
      <c r="F1315" s="1" t="str">
        <f>TEXT(Table1[[#This Row],[order_date]],"dddd")</f>
        <v>Friday</v>
      </c>
      <c r="G1315">
        <f>HOUR(Table1[[#This Row],[order_time]])</f>
        <v>12</v>
      </c>
      <c r="H1315" s="2">
        <v>0.52229166666666671</v>
      </c>
      <c r="I1315" t="s">
        <v>18</v>
      </c>
      <c r="J1315" t="s">
        <v>30</v>
      </c>
      <c r="K1315">
        <v>2</v>
      </c>
      <c r="L1315">
        <v>60</v>
      </c>
      <c r="M1315">
        <v>120</v>
      </c>
      <c r="N1315">
        <f>IF(COUNTIFS($B$2:B1315,B1315)=1,1,0)</f>
        <v>1</v>
      </c>
    </row>
    <row r="1316" spans="1:14" x14ac:dyDescent="0.2">
      <c r="A1316">
        <v>1315</v>
      </c>
      <c r="B1316">
        <v>1652</v>
      </c>
      <c r="C1316">
        <f>1/COUNTIF(B:B,Table1[[#This Row],[order_id]])</f>
        <v>0.33333333333333331</v>
      </c>
      <c r="D1316" t="str">
        <f>TEXT(Table1[[#This Row],[order_date]],"mmmm")</f>
        <v>April</v>
      </c>
      <c r="E1316" s="1">
        <v>45394</v>
      </c>
      <c r="F1316" s="1" t="str">
        <f>TEXT(Table1[[#This Row],[order_date]],"dddd")</f>
        <v>Friday</v>
      </c>
      <c r="G1316">
        <f>HOUR(Table1[[#This Row],[order_time]])</f>
        <v>13</v>
      </c>
      <c r="H1316" s="2">
        <v>0.58209490740740744</v>
      </c>
      <c r="I1316" t="s">
        <v>11</v>
      </c>
      <c r="J1316" t="s">
        <v>14</v>
      </c>
      <c r="K1316">
        <v>4</v>
      </c>
      <c r="L1316">
        <v>700</v>
      </c>
      <c r="M1316">
        <v>2800</v>
      </c>
      <c r="N1316">
        <f>IF(COUNTIFS($B$2:B1316,B1316)=1,1,0)</f>
        <v>0</v>
      </c>
    </row>
    <row r="1317" spans="1:14" x14ac:dyDescent="0.2">
      <c r="A1317">
        <v>1316</v>
      </c>
      <c r="B1317">
        <v>1652</v>
      </c>
      <c r="C1317">
        <f>1/COUNTIF(B:B,Table1[[#This Row],[order_id]])</f>
        <v>0.33333333333333331</v>
      </c>
      <c r="D1317" t="str">
        <f>TEXT(Table1[[#This Row],[order_date]],"mmmm")</f>
        <v>April</v>
      </c>
      <c r="E1317" s="1">
        <v>45394</v>
      </c>
      <c r="F1317" s="1" t="str">
        <f>TEXT(Table1[[#This Row],[order_date]],"dddd")</f>
        <v>Friday</v>
      </c>
      <c r="G1317">
        <f>HOUR(Table1[[#This Row],[order_time]])</f>
        <v>14</v>
      </c>
      <c r="H1317" s="2">
        <v>0.59781249999999997</v>
      </c>
      <c r="I1317" t="s">
        <v>18</v>
      </c>
      <c r="J1317" t="s">
        <v>31</v>
      </c>
      <c r="K1317">
        <v>5</v>
      </c>
      <c r="L1317">
        <v>45</v>
      </c>
      <c r="M1317">
        <v>225</v>
      </c>
      <c r="N1317">
        <f>IF(COUNTIFS($B$2:B1317,B1317)=1,1,0)</f>
        <v>0</v>
      </c>
    </row>
    <row r="1318" spans="1:14" x14ac:dyDescent="0.2">
      <c r="A1318">
        <v>1317</v>
      </c>
      <c r="B1318">
        <v>1653</v>
      </c>
      <c r="C1318">
        <f>1/COUNTIF(B:B,Table1[[#This Row],[order_id]])</f>
        <v>0.5</v>
      </c>
      <c r="D1318" t="str">
        <f>TEXT(Table1[[#This Row],[order_date]],"mmmm")</f>
        <v>April</v>
      </c>
      <c r="E1318" s="1">
        <v>45394</v>
      </c>
      <c r="F1318" s="1" t="str">
        <f>TEXT(Table1[[#This Row],[order_date]],"dddd")</f>
        <v>Friday</v>
      </c>
      <c r="G1318">
        <f>HOUR(Table1[[#This Row],[order_time]])</f>
        <v>17</v>
      </c>
      <c r="H1318" s="2">
        <v>0.71832175925925923</v>
      </c>
      <c r="I1318" t="s">
        <v>11</v>
      </c>
      <c r="J1318" t="s">
        <v>14</v>
      </c>
      <c r="K1318">
        <v>2</v>
      </c>
      <c r="L1318">
        <v>700</v>
      </c>
      <c r="M1318">
        <v>1400</v>
      </c>
      <c r="N1318">
        <f>IF(COUNTIFS($B$2:B1318,B1318)=1,1,0)</f>
        <v>1</v>
      </c>
    </row>
    <row r="1319" spans="1:14" x14ac:dyDescent="0.2">
      <c r="A1319">
        <v>1318</v>
      </c>
      <c r="B1319">
        <v>1653</v>
      </c>
      <c r="C1319">
        <f>1/COUNTIF(B:B,Table1[[#This Row],[order_id]])</f>
        <v>0.5</v>
      </c>
      <c r="D1319" t="str">
        <f>TEXT(Table1[[#This Row],[order_date]],"mmmm")</f>
        <v>April</v>
      </c>
      <c r="E1319" s="1">
        <v>45394</v>
      </c>
      <c r="F1319" s="1" t="str">
        <f>TEXT(Table1[[#This Row],[order_date]],"dddd")</f>
        <v>Friday</v>
      </c>
      <c r="G1319">
        <f>HOUR(Table1[[#This Row],[order_time]])</f>
        <v>20</v>
      </c>
      <c r="H1319" s="2">
        <v>0.87449074074074074</v>
      </c>
      <c r="I1319" t="s">
        <v>9</v>
      </c>
      <c r="J1319" t="s">
        <v>20</v>
      </c>
      <c r="K1319">
        <v>3</v>
      </c>
      <c r="L1319">
        <v>25</v>
      </c>
      <c r="M1319">
        <v>75</v>
      </c>
      <c r="N1319">
        <f>IF(COUNTIFS($B$2:B1319,B1319)=1,1,0)</f>
        <v>0</v>
      </c>
    </row>
    <row r="1320" spans="1:14" x14ac:dyDescent="0.2">
      <c r="A1320">
        <v>1319</v>
      </c>
      <c r="B1320">
        <v>1654</v>
      </c>
      <c r="C1320">
        <f>1/COUNTIF(B:B,Table1[[#This Row],[order_id]])</f>
        <v>1</v>
      </c>
      <c r="D1320" t="str">
        <f>TEXT(Table1[[#This Row],[order_date]],"mmmm")</f>
        <v>April</v>
      </c>
      <c r="E1320" s="1">
        <v>45394</v>
      </c>
      <c r="F1320" s="1" t="str">
        <f>TEXT(Table1[[#This Row],[order_date]],"dddd")</f>
        <v>Friday</v>
      </c>
      <c r="G1320">
        <f>HOUR(Table1[[#This Row],[order_time]])</f>
        <v>16</v>
      </c>
      <c r="H1320" s="2">
        <v>0.69505787037037037</v>
      </c>
      <c r="I1320" t="s">
        <v>18</v>
      </c>
      <c r="J1320" t="s">
        <v>31</v>
      </c>
      <c r="K1320">
        <v>1</v>
      </c>
      <c r="L1320">
        <v>45</v>
      </c>
      <c r="M1320">
        <v>45</v>
      </c>
      <c r="N1320">
        <f>IF(COUNTIFS($B$2:B1320,B1320)=1,1,0)</f>
        <v>1</v>
      </c>
    </row>
    <row r="1321" spans="1:14" x14ac:dyDescent="0.2">
      <c r="A1321">
        <v>1320</v>
      </c>
      <c r="B1321">
        <v>1655</v>
      </c>
      <c r="C1321">
        <f>1/COUNTIF(B:B,Table1[[#This Row],[order_id]])</f>
        <v>0.5</v>
      </c>
      <c r="D1321" t="str">
        <f>TEXT(Table1[[#This Row],[order_date]],"mmmm")</f>
        <v>April</v>
      </c>
      <c r="E1321" s="1">
        <v>45394</v>
      </c>
      <c r="F1321" s="1" t="str">
        <f>TEXT(Table1[[#This Row],[order_date]],"dddd")</f>
        <v>Friday</v>
      </c>
      <c r="G1321">
        <f>HOUR(Table1[[#This Row],[order_time]])</f>
        <v>18</v>
      </c>
      <c r="H1321" s="2">
        <v>0.77194444444444443</v>
      </c>
      <c r="I1321" t="s">
        <v>11</v>
      </c>
      <c r="J1321" t="s">
        <v>12</v>
      </c>
      <c r="K1321">
        <v>2</v>
      </c>
      <c r="L1321">
        <v>650</v>
      </c>
      <c r="M1321">
        <v>1300</v>
      </c>
      <c r="N1321">
        <f>IF(COUNTIFS($B$2:B1321,B1321)=1,1,0)</f>
        <v>1</v>
      </c>
    </row>
    <row r="1322" spans="1:14" x14ac:dyDescent="0.2">
      <c r="A1322">
        <v>1321</v>
      </c>
      <c r="B1322">
        <v>1655</v>
      </c>
      <c r="C1322">
        <f>1/COUNTIF(B:B,Table1[[#This Row],[order_id]])</f>
        <v>0.5</v>
      </c>
      <c r="D1322" t="str">
        <f>TEXT(Table1[[#This Row],[order_date]],"mmmm")</f>
        <v>April</v>
      </c>
      <c r="E1322" s="1">
        <v>45394</v>
      </c>
      <c r="F1322" s="1" t="str">
        <f>TEXT(Table1[[#This Row],[order_date]],"dddd")</f>
        <v>Friday</v>
      </c>
      <c r="G1322">
        <f>HOUR(Table1[[#This Row],[order_time]])</f>
        <v>11</v>
      </c>
      <c r="H1322" s="2">
        <v>0.49943287037037037</v>
      </c>
      <c r="I1322" t="s">
        <v>18</v>
      </c>
      <c r="J1322" t="s">
        <v>26</v>
      </c>
      <c r="K1322">
        <v>2</v>
      </c>
      <c r="L1322">
        <v>55</v>
      </c>
      <c r="M1322">
        <v>110</v>
      </c>
      <c r="N1322">
        <f>IF(COUNTIFS($B$2:B1322,B1322)=1,1,0)</f>
        <v>0</v>
      </c>
    </row>
    <row r="1323" spans="1:14" x14ac:dyDescent="0.2">
      <c r="A1323">
        <v>1322</v>
      </c>
      <c r="B1323">
        <v>1656</v>
      </c>
      <c r="C1323">
        <f>1/COUNTIF(B:B,Table1[[#This Row],[order_id]])</f>
        <v>1</v>
      </c>
      <c r="D1323" t="str">
        <f>TEXT(Table1[[#This Row],[order_date]],"mmmm")</f>
        <v>April</v>
      </c>
      <c r="E1323" s="1">
        <v>45394</v>
      </c>
      <c r="F1323" s="1" t="str">
        <f>TEXT(Table1[[#This Row],[order_date]],"dddd")</f>
        <v>Friday</v>
      </c>
      <c r="G1323">
        <f>HOUR(Table1[[#This Row],[order_time]])</f>
        <v>19</v>
      </c>
      <c r="H1323" s="2">
        <v>0.79215277777777782</v>
      </c>
      <c r="I1323" t="s">
        <v>18</v>
      </c>
      <c r="J1323" t="s">
        <v>19</v>
      </c>
      <c r="K1323">
        <v>4</v>
      </c>
      <c r="L1323">
        <v>50</v>
      </c>
      <c r="M1323">
        <v>200</v>
      </c>
      <c r="N1323">
        <f>IF(COUNTIFS($B$2:B1323,B1323)=1,1,0)</f>
        <v>1</v>
      </c>
    </row>
    <row r="1324" spans="1:14" x14ac:dyDescent="0.2">
      <c r="A1324">
        <v>1323</v>
      </c>
      <c r="B1324">
        <v>1657</v>
      </c>
      <c r="C1324">
        <f>1/COUNTIF(B:B,Table1[[#This Row],[order_id]])</f>
        <v>1</v>
      </c>
      <c r="D1324" t="str">
        <f>TEXT(Table1[[#This Row],[order_date]],"mmmm")</f>
        <v>April</v>
      </c>
      <c r="E1324" s="1">
        <v>45394</v>
      </c>
      <c r="F1324" s="1" t="str">
        <f>TEXT(Table1[[#This Row],[order_date]],"dddd")</f>
        <v>Friday</v>
      </c>
      <c r="G1324">
        <f>HOUR(Table1[[#This Row],[order_time]])</f>
        <v>17</v>
      </c>
      <c r="H1324" s="2">
        <v>0.73238425925925921</v>
      </c>
      <c r="I1324" t="s">
        <v>18</v>
      </c>
      <c r="J1324" t="s">
        <v>19</v>
      </c>
      <c r="K1324">
        <v>5</v>
      </c>
      <c r="L1324">
        <v>50</v>
      </c>
      <c r="M1324">
        <v>250</v>
      </c>
      <c r="N1324">
        <f>IF(COUNTIFS($B$2:B1324,B1324)=1,1,0)</f>
        <v>1</v>
      </c>
    </row>
    <row r="1325" spans="1:14" x14ac:dyDescent="0.2">
      <c r="A1325">
        <v>1324</v>
      </c>
      <c r="B1325">
        <v>1658</v>
      </c>
      <c r="C1325">
        <f>1/COUNTIF(B:B,Table1[[#This Row],[order_id]])</f>
        <v>0.33333333333333331</v>
      </c>
      <c r="D1325" t="str">
        <f>TEXT(Table1[[#This Row],[order_date]],"mmmm")</f>
        <v>April</v>
      </c>
      <c r="E1325" s="1">
        <v>45394</v>
      </c>
      <c r="F1325" s="1" t="str">
        <f>TEXT(Table1[[#This Row],[order_date]],"dddd")</f>
        <v>Friday</v>
      </c>
      <c r="G1325">
        <f>HOUR(Table1[[#This Row],[order_time]])</f>
        <v>19</v>
      </c>
      <c r="H1325" s="2">
        <v>0.82461805555555556</v>
      </c>
      <c r="I1325" t="s">
        <v>16</v>
      </c>
      <c r="J1325" t="s">
        <v>23</v>
      </c>
      <c r="K1325">
        <v>2</v>
      </c>
      <c r="L1325">
        <v>30</v>
      </c>
      <c r="M1325">
        <v>60</v>
      </c>
      <c r="N1325">
        <f>IF(COUNTIFS($B$2:B1325,B1325)=1,1,0)</f>
        <v>1</v>
      </c>
    </row>
    <row r="1326" spans="1:14" x14ac:dyDescent="0.2">
      <c r="A1326">
        <v>1325</v>
      </c>
      <c r="B1326">
        <v>1658</v>
      </c>
      <c r="C1326">
        <f>1/COUNTIF(B:B,Table1[[#This Row],[order_id]])</f>
        <v>0.33333333333333331</v>
      </c>
      <c r="D1326" t="str">
        <f>TEXT(Table1[[#This Row],[order_date]],"mmmm")</f>
        <v>April</v>
      </c>
      <c r="E1326" s="1">
        <v>45394</v>
      </c>
      <c r="F1326" s="1" t="str">
        <f>TEXT(Table1[[#This Row],[order_date]],"dddd")</f>
        <v>Friday</v>
      </c>
      <c r="G1326">
        <f>HOUR(Table1[[#This Row],[order_time]])</f>
        <v>11</v>
      </c>
      <c r="H1326" s="2">
        <v>0.46072916666666669</v>
      </c>
      <c r="I1326" t="s">
        <v>9</v>
      </c>
      <c r="J1326" t="s">
        <v>29</v>
      </c>
      <c r="K1326">
        <v>3</v>
      </c>
      <c r="L1326">
        <v>5</v>
      </c>
      <c r="M1326">
        <v>15</v>
      </c>
      <c r="N1326">
        <f>IF(COUNTIFS($B$2:B1326,B1326)=1,1,0)</f>
        <v>0</v>
      </c>
    </row>
    <row r="1327" spans="1:14" x14ac:dyDescent="0.2">
      <c r="A1327">
        <v>1326</v>
      </c>
      <c r="B1327">
        <v>1658</v>
      </c>
      <c r="C1327">
        <f>1/COUNTIF(B:B,Table1[[#This Row],[order_id]])</f>
        <v>0.33333333333333331</v>
      </c>
      <c r="D1327" t="str">
        <f>TEXT(Table1[[#This Row],[order_date]],"mmmm")</f>
        <v>April</v>
      </c>
      <c r="E1327" s="1">
        <v>45394</v>
      </c>
      <c r="F1327" s="1" t="str">
        <f>TEXT(Table1[[#This Row],[order_date]],"dddd")</f>
        <v>Friday</v>
      </c>
      <c r="G1327">
        <f>HOUR(Table1[[#This Row],[order_time]])</f>
        <v>13</v>
      </c>
      <c r="H1327" s="2">
        <v>0.54648148148148146</v>
      </c>
      <c r="I1327" t="s">
        <v>9</v>
      </c>
      <c r="J1327" t="s">
        <v>29</v>
      </c>
      <c r="K1327">
        <v>5</v>
      </c>
      <c r="L1327">
        <v>5</v>
      </c>
      <c r="M1327">
        <v>25</v>
      </c>
      <c r="N1327">
        <f>IF(COUNTIFS($B$2:B1327,B1327)=1,1,0)</f>
        <v>0</v>
      </c>
    </row>
    <row r="1328" spans="1:14" x14ac:dyDescent="0.2">
      <c r="A1328">
        <v>1327</v>
      </c>
      <c r="B1328">
        <v>1659</v>
      </c>
      <c r="C1328">
        <f>1/COUNTIF(B:B,Table1[[#This Row],[order_id]])</f>
        <v>0.5</v>
      </c>
      <c r="D1328" t="str">
        <f>TEXT(Table1[[#This Row],[order_date]],"mmmm")</f>
        <v>April</v>
      </c>
      <c r="E1328" s="1">
        <v>45395</v>
      </c>
      <c r="F1328" s="1" t="str">
        <f>TEXT(Table1[[#This Row],[order_date]],"dddd")</f>
        <v>Saturday</v>
      </c>
      <c r="G1328">
        <f>HOUR(Table1[[#This Row],[order_time]])</f>
        <v>14</v>
      </c>
      <c r="H1328" s="2">
        <v>0.59232638888888889</v>
      </c>
      <c r="I1328" t="s">
        <v>16</v>
      </c>
      <c r="J1328" t="s">
        <v>24</v>
      </c>
      <c r="K1328">
        <v>4</v>
      </c>
      <c r="L1328">
        <v>35</v>
      </c>
      <c r="M1328">
        <v>140</v>
      </c>
      <c r="N1328">
        <f>IF(COUNTIFS($B$2:B1328,B1328)=1,1,0)</f>
        <v>1</v>
      </c>
    </row>
    <row r="1329" spans="1:14" x14ac:dyDescent="0.2">
      <c r="A1329">
        <v>1328</v>
      </c>
      <c r="B1329">
        <v>1659</v>
      </c>
      <c r="C1329">
        <f>1/COUNTIF(B:B,Table1[[#This Row],[order_id]])</f>
        <v>0.5</v>
      </c>
      <c r="D1329" t="str">
        <f>TEXT(Table1[[#This Row],[order_date]],"mmmm")</f>
        <v>April</v>
      </c>
      <c r="E1329" s="1">
        <v>45395</v>
      </c>
      <c r="F1329" s="1" t="str">
        <f>TEXT(Table1[[#This Row],[order_date]],"dddd")</f>
        <v>Saturday</v>
      </c>
      <c r="G1329">
        <f>HOUR(Table1[[#This Row],[order_time]])</f>
        <v>15</v>
      </c>
      <c r="H1329" s="2">
        <v>0.63381944444444449</v>
      </c>
      <c r="I1329" t="s">
        <v>18</v>
      </c>
      <c r="J1329" t="s">
        <v>19</v>
      </c>
      <c r="K1329">
        <v>5</v>
      </c>
      <c r="L1329">
        <v>50</v>
      </c>
      <c r="M1329">
        <v>250</v>
      </c>
      <c r="N1329">
        <f>IF(COUNTIFS($B$2:B1329,B1329)=1,1,0)</f>
        <v>0</v>
      </c>
    </row>
    <row r="1330" spans="1:14" x14ac:dyDescent="0.2">
      <c r="A1330">
        <v>1329</v>
      </c>
      <c r="B1330">
        <v>1660</v>
      </c>
      <c r="C1330">
        <f>1/COUNTIF(B:B,Table1[[#This Row],[order_id]])</f>
        <v>0.33333333333333331</v>
      </c>
      <c r="D1330" t="str">
        <f>TEXT(Table1[[#This Row],[order_date]],"mmmm")</f>
        <v>April</v>
      </c>
      <c r="E1330" s="1">
        <v>45395</v>
      </c>
      <c r="F1330" s="1" t="str">
        <f>TEXT(Table1[[#This Row],[order_date]],"dddd")</f>
        <v>Saturday</v>
      </c>
      <c r="G1330">
        <f>HOUR(Table1[[#This Row],[order_time]])</f>
        <v>15</v>
      </c>
      <c r="H1330" s="2">
        <v>0.65715277777777781</v>
      </c>
      <c r="I1330" t="s">
        <v>16</v>
      </c>
      <c r="J1330" t="s">
        <v>24</v>
      </c>
      <c r="K1330">
        <v>2</v>
      </c>
      <c r="L1330">
        <v>35</v>
      </c>
      <c r="M1330">
        <v>70</v>
      </c>
      <c r="N1330">
        <f>IF(COUNTIFS($B$2:B1330,B1330)=1,1,0)</f>
        <v>1</v>
      </c>
    </row>
    <row r="1331" spans="1:14" x14ac:dyDescent="0.2">
      <c r="A1331">
        <v>1330</v>
      </c>
      <c r="B1331">
        <v>1660</v>
      </c>
      <c r="C1331">
        <f>1/COUNTIF(B:B,Table1[[#This Row],[order_id]])</f>
        <v>0.33333333333333331</v>
      </c>
      <c r="D1331" t="str">
        <f>TEXT(Table1[[#This Row],[order_date]],"mmmm")</f>
        <v>April</v>
      </c>
      <c r="E1331" s="1">
        <v>45395</v>
      </c>
      <c r="F1331" s="1" t="str">
        <f>TEXT(Table1[[#This Row],[order_date]],"dddd")</f>
        <v>Saturday</v>
      </c>
      <c r="G1331">
        <f>HOUR(Table1[[#This Row],[order_time]])</f>
        <v>17</v>
      </c>
      <c r="H1331" s="2">
        <v>0.72343749999999996</v>
      </c>
      <c r="I1331" t="s">
        <v>18</v>
      </c>
      <c r="J1331" t="s">
        <v>26</v>
      </c>
      <c r="K1331">
        <v>4</v>
      </c>
      <c r="L1331">
        <v>55</v>
      </c>
      <c r="M1331">
        <v>220</v>
      </c>
      <c r="N1331">
        <f>IF(COUNTIFS($B$2:B1331,B1331)=1,1,0)</f>
        <v>0</v>
      </c>
    </row>
    <row r="1332" spans="1:14" x14ac:dyDescent="0.2">
      <c r="A1332">
        <v>1331</v>
      </c>
      <c r="B1332">
        <v>1660</v>
      </c>
      <c r="C1332">
        <f>1/COUNTIF(B:B,Table1[[#This Row],[order_id]])</f>
        <v>0.33333333333333331</v>
      </c>
      <c r="D1332" t="str">
        <f>TEXT(Table1[[#This Row],[order_date]],"mmmm")</f>
        <v>April</v>
      </c>
      <c r="E1332" s="1">
        <v>45395</v>
      </c>
      <c r="F1332" s="1" t="str">
        <f>TEXT(Table1[[#This Row],[order_date]],"dddd")</f>
        <v>Saturday</v>
      </c>
      <c r="G1332">
        <f>HOUR(Table1[[#This Row],[order_time]])</f>
        <v>17</v>
      </c>
      <c r="H1332" s="2">
        <v>0.74076388888888889</v>
      </c>
      <c r="I1332" t="s">
        <v>16</v>
      </c>
      <c r="J1332" t="s">
        <v>28</v>
      </c>
      <c r="K1332">
        <v>2</v>
      </c>
      <c r="L1332">
        <v>25</v>
      </c>
      <c r="M1332">
        <v>50</v>
      </c>
      <c r="N1332">
        <f>IF(COUNTIFS($B$2:B1332,B1332)=1,1,0)</f>
        <v>0</v>
      </c>
    </row>
    <row r="1333" spans="1:14" x14ac:dyDescent="0.2">
      <c r="A1333">
        <v>1332</v>
      </c>
      <c r="B1333">
        <v>1661</v>
      </c>
      <c r="C1333">
        <f>1/COUNTIF(B:B,Table1[[#This Row],[order_id]])</f>
        <v>1</v>
      </c>
      <c r="D1333" t="str">
        <f>TEXT(Table1[[#This Row],[order_date]],"mmmm")</f>
        <v>April</v>
      </c>
      <c r="E1333" s="1">
        <v>45395</v>
      </c>
      <c r="F1333" s="1" t="str">
        <f>TEXT(Table1[[#This Row],[order_date]],"dddd")</f>
        <v>Saturday</v>
      </c>
      <c r="G1333">
        <f>HOUR(Table1[[#This Row],[order_time]])</f>
        <v>18</v>
      </c>
      <c r="H1333" s="2">
        <v>0.7537962962962963</v>
      </c>
      <c r="I1333" t="s">
        <v>11</v>
      </c>
      <c r="J1333" t="s">
        <v>12</v>
      </c>
      <c r="K1333">
        <v>4</v>
      </c>
      <c r="L1333">
        <v>650</v>
      </c>
      <c r="M1333">
        <v>2600</v>
      </c>
      <c r="N1333">
        <f>IF(COUNTIFS($B$2:B1333,B1333)=1,1,0)</f>
        <v>1</v>
      </c>
    </row>
    <row r="1334" spans="1:14" x14ac:dyDescent="0.2">
      <c r="A1334">
        <v>1333</v>
      </c>
      <c r="B1334">
        <v>1662</v>
      </c>
      <c r="C1334">
        <f>1/COUNTIF(B:B,Table1[[#This Row],[order_id]])</f>
        <v>1</v>
      </c>
      <c r="D1334" t="str">
        <f>TEXT(Table1[[#This Row],[order_date]],"mmmm")</f>
        <v>April</v>
      </c>
      <c r="E1334" s="1">
        <v>45396</v>
      </c>
      <c r="F1334" s="1" t="str">
        <f>TEXT(Table1[[#This Row],[order_date]],"dddd")</f>
        <v>Sunday</v>
      </c>
      <c r="G1334">
        <f>HOUR(Table1[[#This Row],[order_time]])</f>
        <v>19</v>
      </c>
      <c r="H1334" s="2">
        <v>0.81559027777777782</v>
      </c>
      <c r="I1334" t="s">
        <v>18</v>
      </c>
      <c r="J1334" t="s">
        <v>31</v>
      </c>
      <c r="K1334">
        <v>1</v>
      </c>
      <c r="L1334">
        <v>45</v>
      </c>
      <c r="M1334">
        <v>45</v>
      </c>
      <c r="N1334">
        <f>IF(COUNTIFS($B$2:B1334,B1334)=1,1,0)</f>
        <v>1</v>
      </c>
    </row>
    <row r="1335" spans="1:14" x14ac:dyDescent="0.2">
      <c r="A1335">
        <v>1334</v>
      </c>
      <c r="B1335">
        <v>1663</v>
      </c>
      <c r="C1335">
        <f>1/COUNTIF(B:B,Table1[[#This Row],[order_id]])</f>
        <v>0.33333333333333331</v>
      </c>
      <c r="D1335" t="str">
        <f>TEXT(Table1[[#This Row],[order_date]],"mmmm")</f>
        <v>April</v>
      </c>
      <c r="E1335" s="1">
        <v>45396</v>
      </c>
      <c r="F1335" s="1" t="str">
        <f>TEXT(Table1[[#This Row],[order_date]],"dddd")</f>
        <v>Sunday</v>
      </c>
      <c r="G1335">
        <f>HOUR(Table1[[#This Row],[order_time]])</f>
        <v>17</v>
      </c>
      <c r="H1335" s="2">
        <v>0.71083333333333332</v>
      </c>
      <c r="I1335" t="s">
        <v>9</v>
      </c>
      <c r="J1335" t="s">
        <v>21</v>
      </c>
      <c r="K1335">
        <v>1</v>
      </c>
      <c r="L1335">
        <v>10</v>
      </c>
      <c r="M1335">
        <v>10</v>
      </c>
      <c r="N1335">
        <f>IF(COUNTIFS($B$2:B1335,B1335)=1,1,0)</f>
        <v>1</v>
      </c>
    </row>
    <row r="1336" spans="1:14" x14ac:dyDescent="0.2">
      <c r="A1336">
        <v>1335</v>
      </c>
      <c r="B1336">
        <v>1663</v>
      </c>
      <c r="C1336">
        <f>1/COUNTIF(B:B,Table1[[#This Row],[order_id]])</f>
        <v>0.33333333333333331</v>
      </c>
      <c r="D1336" t="str">
        <f>TEXT(Table1[[#This Row],[order_date]],"mmmm")</f>
        <v>April</v>
      </c>
      <c r="E1336" s="1">
        <v>45396</v>
      </c>
      <c r="F1336" s="1" t="str">
        <f>TEXT(Table1[[#This Row],[order_date]],"dddd")</f>
        <v>Sunday</v>
      </c>
      <c r="G1336">
        <f>HOUR(Table1[[#This Row],[order_time]])</f>
        <v>14</v>
      </c>
      <c r="H1336" s="2">
        <v>0.59842592592592592</v>
      </c>
      <c r="I1336" t="s">
        <v>9</v>
      </c>
      <c r="J1336" t="s">
        <v>20</v>
      </c>
      <c r="K1336">
        <v>3</v>
      </c>
      <c r="L1336">
        <v>25</v>
      </c>
      <c r="M1336">
        <v>75</v>
      </c>
      <c r="N1336">
        <f>IF(COUNTIFS($B$2:B1336,B1336)=1,1,0)</f>
        <v>0</v>
      </c>
    </row>
    <row r="1337" spans="1:14" x14ac:dyDescent="0.2">
      <c r="A1337">
        <v>1336</v>
      </c>
      <c r="B1337">
        <v>1663</v>
      </c>
      <c r="C1337">
        <f>1/COUNTIF(B:B,Table1[[#This Row],[order_id]])</f>
        <v>0.33333333333333331</v>
      </c>
      <c r="D1337" t="str">
        <f>TEXT(Table1[[#This Row],[order_date]],"mmmm")</f>
        <v>April</v>
      </c>
      <c r="E1337" s="1">
        <v>45396</v>
      </c>
      <c r="F1337" s="1" t="str">
        <f>TEXT(Table1[[#This Row],[order_date]],"dddd")</f>
        <v>Sunday</v>
      </c>
      <c r="G1337">
        <f>HOUR(Table1[[#This Row],[order_time]])</f>
        <v>19</v>
      </c>
      <c r="H1337" s="2">
        <v>0.80035879629629625</v>
      </c>
      <c r="I1337" t="s">
        <v>18</v>
      </c>
      <c r="J1337" t="s">
        <v>27</v>
      </c>
      <c r="K1337">
        <v>3</v>
      </c>
      <c r="L1337">
        <v>40</v>
      </c>
      <c r="M1337">
        <v>120</v>
      </c>
      <c r="N1337">
        <f>IF(COUNTIFS($B$2:B1337,B1337)=1,1,0)</f>
        <v>0</v>
      </c>
    </row>
    <row r="1338" spans="1:14" x14ac:dyDescent="0.2">
      <c r="A1338">
        <v>1337</v>
      </c>
      <c r="B1338">
        <v>1664</v>
      </c>
      <c r="C1338">
        <f>1/COUNTIF(B:B,Table1[[#This Row],[order_id]])</f>
        <v>1</v>
      </c>
      <c r="D1338" t="str">
        <f>TEXT(Table1[[#This Row],[order_date]],"mmmm")</f>
        <v>April</v>
      </c>
      <c r="E1338" s="1">
        <v>45396</v>
      </c>
      <c r="F1338" s="1" t="str">
        <f>TEXT(Table1[[#This Row],[order_date]],"dddd")</f>
        <v>Sunday</v>
      </c>
      <c r="G1338">
        <f>HOUR(Table1[[#This Row],[order_time]])</f>
        <v>9</v>
      </c>
      <c r="H1338" s="2">
        <v>0.38318287037037035</v>
      </c>
      <c r="I1338" t="s">
        <v>9</v>
      </c>
      <c r="J1338" t="s">
        <v>10</v>
      </c>
      <c r="K1338">
        <v>1</v>
      </c>
      <c r="L1338">
        <v>20</v>
      </c>
      <c r="M1338">
        <v>20</v>
      </c>
      <c r="N1338">
        <f>IF(COUNTIFS($B$2:B1338,B1338)=1,1,0)</f>
        <v>1</v>
      </c>
    </row>
    <row r="1339" spans="1:14" x14ac:dyDescent="0.2">
      <c r="A1339">
        <v>1338</v>
      </c>
      <c r="B1339">
        <v>1665</v>
      </c>
      <c r="C1339">
        <f>1/COUNTIF(B:B,Table1[[#This Row],[order_id]])</f>
        <v>1</v>
      </c>
      <c r="D1339" t="str">
        <f>TEXT(Table1[[#This Row],[order_date]],"mmmm")</f>
        <v>April</v>
      </c>
      <c r="E1339" s="1">
        <v>45396</v>
      </c>
      <c r="F1339" s="1" t="str">
        <f>TEXT(Table1[[#This Row],[order_date]],"dddd")</f>
        <v>Sunday</v>
      </c>
      <c r="G1339">
        <f>HOUR(Table1[[#This Row],[order_time]])</f>
        <v>17</v>
      </c>
      <c r="H1339" s="2">
        <v>0.72520833333333334</v>
      </c>
      <c r="I1339" t="s">
        <v>18</v>
      </c>
      <c r="J1339" t="s">
        <v>27</v>
      </c>
      <c r="K1339">
        <v>2</v>
      </c>
      <c r="L1339">
        <v>40</v>
      </c>
      <c r="M1339">
        <v>80</v>
      </c>
      <c r="N1339">
        <f>IF(COUNTIFS($B$2:B1339,B1339)=1,1,0)</f>
        <v>1</v>
      </c>
    </row>
    <row r="1340" spans="1:14" x14ac:dyDescent="0.2">
      <c r="A1340">
        <v>1339</v>
      </c>
      <c r="B1340">
        <v>1666</v>
      </c>
      <c r="C1340">
        <f>1/COUNTIF(B:B,Table1[[#This Row],[order_id]])</f>
        <v>1</v>
      </c>
      <c r="D1340" t="str">
        <f>TEXT(Table1[[#This Row],[order_date]],"mmmm")</f>
        <v>April</v>
      </c>
      <c r="E1340" s="1">
        <v>45396</v>
      </c>
      <c r="F1340" s="1" t="str">
        <f>TEXT(Table1[[#This Row],[order_date]],"dddd")</f>
        <v>Sunday</v>
      </c>
      <c r="G1340">
        <f>HOUR(Table1[[#This Row],[order_time]])</f>
        <v>11</v>
      </c>
      <c r="H1340" s="2">
        <v>0.48020833333333335</v>
      </c>
      <c r="I1340" t="s">
        <v>9</v>
      </c>
      <c r="J1340" t="s">
        <v>20</v>
      </c>
      <c r="K1340">
        <v>5</v>
      </c>
      <c r="L1340">
        <v>25</v>
      </c>
      <c r="M1340">
        <v>125</v>
      </c>
      <c r="N1340">
        <f>IF(COUNTIFS($B$2:B1340,B1340)=1,1,0)</f>
        <v>1</v>
      </c>
    </row>
    <row r="1341" spans="1:14" x14ac:dyDescent="0.2">
      <c r="A1341">
        <v>1340</v>
      </c>
      <c r="B1341">
        <v>1667</v>
      </c>
      <c r="C1341">
        <f>1/COUNTIF(B:B,Table1[[#This Row],[order_id]])</f>
        <v>0.33333333333333331</v>
      </c>
      <c r="D1341" t="str">
        <f>TEXT(Table1[[#This Row],[order_date]],"mmmm")</f>
        <v>April</v>
      </c>
      <c r="E1341" s="1">
        <v>45396</v>
      </c>
      <c r="F1341" s="1" t="str">
        <f>TEXT(Table1[[#This Row],[order_date]],"dddd")</f>
        <v>Sunday</v>
      </c>
      <c r="G1341">
        <f>HOUR(Table1[[#This Row],[order_time]])</f>
        <v>18</v>
      </c>
      <c r="H1341" s="2">
        <v>0.76021990740740741</v>
      </c>
      <c r="I1341" t="s">
        <v>9</v>
      </c>
      <c r="J1341" t="s">
        <v>22</v>
      </c>
      <c r="K1341">
        <v>5</v>
      </c>
      <c r="L1341">
        <v>15</v>
      </c>
      <c r="M1341">
        <v>75</v>
      </c>
      <c r="N1341">
        <f>IF(COUNTIFS($B$2:B1341,B1341)=1,1,0)</f>
        <v>1</v>
      </c>
    </row>
    <row r="1342" spans="1:14" x14ac:dyDescent="0.2">
      <c r="A1342">
        <v>1341</v>
      </c>
      <c r="B1342">
        <v>1667</v>
      </c>
      <c r="C1342">
        <f>1/COUNTIF(B:B,Table1[[#This Row],[order_id]])</f>
        <v>0.33333333333333331</v>
      </c>
      <c r="D1342" t="str">
        <f>TEXT(Table1[[#This Row],[order_date]],"mmmm")</f>
        <v>April</v>
      </c>
      <c r="E1342" s="1">
        <v>45396</v>
      </c>
      <c r="F1342" s="1" t="str">
        <f>TEXT(Table1[[#This Row],[order_date]],"dddd")</f>
        <v>Sunday</v>
      </c>
      <c r="G1342">
        <f>HOUR(Table1[[#This Row],[order_time]])</f>
        <v>19</v>
      </c>
      <c r="H1342" s="2">
        <v>0.80320601851851847</v>
      </c>
      <c r="I1342" t="s">
        <v>9</v>
      </c>
      <c r="J1342" t="s">
        <v>22</v>
      </c>
      <c r="K1342">
        <v>4</v>
      </c>
      <c r="L1342">
        <v>15</v>
      </c>
      <c r="M1342">
        <v>60</v>
      </c>
      <c r="N1342">
        <f>IF(COUNTIFS($B$2:B1342,B1342)=1,1,0)</f>
        <v>0</v>
      </c>
    </row>
    <row r="1343" spans="1:14" x14ac:dyDescent="0.2">
      <c r="A1343">
        <v>1342</v>
      </c>
      <c r="B1343">
        <v>1667</v>
      </c>
      <c r="C1343">
        <f>1/COUNTIF(B:B,Table1[[#This Row],[order_id]])</f>
        <v>0.33333333333333331</v>
      </c>
      <c r="D1343" t="str">
        <f>TEXT(Table1[[#This Row],[order_date]],"mmmm")</f>
        <v>April</v>
      </c>
      <c r="E1343" s="1">
        <v>45396</v>
      </c>
      <c r="F1343" s="1" t="str">
        <f>TEXT(Table1[[#This Row],[order_date]],"dddd")</f>
        <v>Sunday</v>
      </c>
      <c r="G1343">
        <f>HOUR(Table1[[#This Row],[order_time]])</f>
        <v>20</v>
      </c>
      <c r="H1343" s="2">
        <v>0.8475462962962963</v>
      </c>
      <c r="I1343" t="s">
        <v>9</v>
      </c>
      <c r="J1343" t="s">
        <v>22</v>
      </c>
      <c r="K1343">
        <v>4</v>
      </c>
      <c r="L1343">
        <v>15</v>
      </c>
      <c r="M1343">
        <v>60</v>
      </c>
      <c r="N1343">
        <f>IF(COUNTIFS($B$2:B1343,B1343)=1,1,0)</f>
        <v>0</v>
      </c>
    </row>
    <row r="1344" spans="1:14" x14ac:dyDescent="0.2">
      <c r="A1344">
        <v>1343</v>
      </c>
      <c r="B1344">
        <v>1668</v>
      </c>
      <c r="C1344">
        <f>1/COUNTIF(B:B,Table1[[#This Row],[order_id]])</f>
        <v>1</v>
      </c>
      <c r="D1344" t="str">
        <f>TEXT(Table1[[#This Row],[order_date]],"mmmm")</f>
        <v>April</v>
      </c>
      <c r="E1344" s="1">
        <v>45396</v>
      </c>
      <c r="F1344" s="1" t="str">
        <f>TEXT(Table1[[#This Row],[order_date]],"dddd")</f>
        <v>Sunday</v>
      </c>
      <c r="G1344">
        <f>HOUR(Table1[[#This Row],[order_time]])</f>
        <v>18</v>
      </c>
      <c r="H1344" s="2">
        <v>0.77863425925925922</v>
      </c>
      <c r="I1344" t="s">
        <v>16</v>
      </c>
      <c r="J1344" t="s">
        <v>24</v>
      </c>
      <c r="K1344">
        <v>2</v>
      </c>
      <c r="L1344">
        <v>35</v>
      </c>
      <c r="M1344">
        <v>70</v>
      </c>
      <c r="N1344">
        <f>IF(COUNTIFS($B$2:B1344,B1344)=1,1,0)</f>
        <v>1</v>
      </c>
    </row>
    <row r="1345" spans="1:14" x14ac:dyDescent="0.2">
      <c r="A1345">
        <v>1344</v>
      </c>
      <c r="B1345">
        <v>1669</v>
      </c>
      <c r="C1345">
        <f>1/COUNTIF(B:B,Table1[[#This Row],[order_id]])</f>
        <v>0.33333333333333331</v>
      </c>
      <c r="D1345" t="str">
        <f>TEXT(Table1[[#This Row],[order_date]],"mmmm")</f>
        <v>April</v>
      </c>
      <c r="E1345" s="1">
        <v>45397</v>
      </c>
      <c r="F1345" s="1" t="str">
        <f>TEXT(Table1[[#This Row],[order_date]],"dddd")</f>
        <v>Monday</v>
      </c>
      <c r="G1345">
        <f>HOUR(Table1[[#This Row],[order_time]])</f>
        <v>10</v>
      </c>
      <c r="H1345" s="2">
        <v>0.4405324074074074</v>
      </c>
      <c r="I1345" t="s">
        <v>9</v>
      </c>
      <c r="J1345" t="s">
        <v>29</v>
      </c>
      <c r="K1345">
        <v>1</v>
      </c>
      <c r="L1345">
        <v>5</v>
      </c>
      <c r="M1345">
        <v>5</v>
      </c>
      <c r="N1345">
        <f>IF(COUNTIFS($B$2:B1345,B1345)=1,1,0)</f>
        <v>1</v>
      </c>
    </row>
    <row r="1346" spans="1:14" x14ac:dyDescent="0.2">
      <c r="A1346">
        <v>1345</v>
      </c>
      <c r="B1346">
        <v>1669</v>
      </c>
      <c r="C1346">
        <f>1/COUNTIF(B:B,Table1[[#This Row],[order_id]])</f>
        <v>0.33333333333333331</v>
      </c>
      <c r="D1346" t="str">
        <f>TEXT(Table1[[#This Row],[order_date]],"mmmm")</f>
        <v>April</v>
      </c>
      <c r="E1346" s="1">
        <v>45397</v>
      </c>
      <c r="F1346" s="1" t="str">
        <f>TEXT(Table1[[#This Row],[order_date]],"dddd")</f>
        <v>Monday</v>
      </c>
      <c r="G1346">
        <f>HOUR(Table1[[#This Row],[order_time]])</f>
        <v>14</v>
      </c>
      <c r="H1346" s="2">
        <v>0.61702546296296301</v>
      </c>
      <c r="I1346" t="s">
        <v>11</v>
      </c>
      <c r="J1346" t="s">
        <v>14</v>
      </c>
      <c r="K1346">
        <v>1</v>
      </c>
      <c r="L1346">
        <v>700</v>
      </c>
      <c r="M1346">
        <v>700</v>
      </c>
      <c r="N1346">
        <f>IF(COUNTIFS($B$2:B1346,B1346)=1,1,0)</f>
        <v>0</v>
      </c>
    </row>
    <row r="1347" spans="1:14" x14ac:dyDescent="0.2">
      <c r="A1347">
        <v>1346</v>
      </c>
      <c r="B1347">
        <v>1669</v>
      </c>
      <c r="C1347">
        <f>1/COUNTIF(B:B,Table1[[#This Row],[order_id]])</f>
        <v>0.33333333333333331</v>
      </c>
      <c r="D1347" t="str">
        <f>TEXT(Table1[[#This Row],[order_date]],"mmmm")</f>
        <v>April</v>
      </c>
      <c r="E1347" s="1">
        <v>45397</v>
      </c>
      <c r="F1347" s="1" t="str">
        <f>TEXT(Table1[[#This Row],[order_date]],"dddd")</f>
        <v>Monday</v>
      </c>
      <c r="G1347">
        <f>HOUR(Table1[[#This Row],[order_time]])</f>
        <v>16</v>
      </c>
      <c r="H1347" s="2">
        <v>0.7048726851851852</v>
      </c>
      <c r="I1347" t="s">
        <v>11</v>
      </c>
      <c r="J1347" t="s">
        <v>14</v>
      </c>
      <c r="K1347">
        <v>5</v>
      </c>
      <c r="L1347">
        <v>700</v>
      </c>
      <c r="M1347">
        <v>3500</v>
      </c>
      <c r="N1347">
        <f>IF(COUNTIFS($B$2:B1347,B1347)=1,1,0)</f>
        <v>0</v>
      </c>
    </row>
    <row r="1348" spans="1:14" x14ac:dyDescent="0.2">
      <c r="A1348">
        <v>1347</v>
      </c>
      <c r="B1348">
        <v>1670</v>
      </c>
      <c r="C1348">
        <f>1/COUNTIF(B:B,Table1[[#This Row],[order_id]])</f>
        <v>1</v>
      </c>
      <c r="D1348" t="str">
        <f>TEXT(Table1[[#This Row],[order_date]],"mmmm")</f>
        <v>April</v>
      </c>
      <c r="E1348" s="1">
        <v>45397</v>
      </c>
      <c r="F1348" s="1" t="str">
        <f>TEXT(Table1[[#This Row],[order_date]],"dddd")</f>
        <v>Monday</v>
      </c>
      <c r="G1348">
        <f>HOUR(Table1[[#This Row],[order_time]])</f>
        <v>16</v>
      </c>
      <c r="H1348" s="2">
        <v>0.70297453703703705</v>
      </c>
      <c r="I1348" t="s">
        <v>9</v>
      </c>
      <c r="J1348" t="s">
        <v>20</v>
      </c>
      <c r="K1348">
        <v>1</v>
      </c>
      <c r="L1348">
        <v>25</v>
      </c>
      <c r="M1348">
        <v>25</v>
      </c>
      <c r="N1348">
        <f>IF(COUNTIFS($B$2:B1348,B1348)=1,1,0)</f>
        <v>1</v>
      </c>
    </row>
    <row r="1349" spans="1:14" x14ac:dyDescent="0.2">
      <c r="A1349">
        <v>1348</v>
      </c>
      <c r="B1349">
        <v>1671</v>
      </c>
      <c r="C1349">
        <f>1/COUNTIF(B:B,Table1[[#This Row],[order_id]])</f>
        <v>0.5</v>
      </c>
      <c r="D1349" t="str">
        <f>TEXT(Table1[[#This Row],[order_date]],"mmmm")</f>
        <v>April</v>
      </c>
      <c r="E1349" s="1">
        <v>45397</v>
      </c>
      <c r="F1349" s="1" t="str">
        <f>TEXT(Table1[[#This Row],[order_date]],"dddd")</f>
        <v>Monday</v>
      </c>
      <c r="G1349">
        <f>HOUR(Table1[[#This Row],[order_time]])</f>
        <v>16</v>
      </c>
      <c r="H1349" s="2">
        <v>0.69387731481481485</v>
      </c>
      <c r="I1349" t="s">
        <v>11</v>
      </c>
      <c r="J1349" t="s">
        <v>25</v>
      </c>
      <c r="K1349">
        <v>1</v>
      </c>
      <c r="L1349">
        <v>1000</v>
      </c>
      <c r="M1349">
        <v>1000</v>
      </c>
      <c r="N1349">
        <f>IF(COUNTIFS($B$2:B1349,B1349)=1,1,0)</f>
        <v>1</v>
      </c>
    </row>
    <row r="1350" spans="1:14" x14ac:dyDescent="0.2">
      <c r="A1350">
        <v>1349</v>
      </c>
      <c r="B1350">
        <v>1671</v>
      </c>
      <c r="C1350">
        <f>1/COUNTIF(B:B,Table1[[#This Row],[order_id]])</f>
        <v>0.5</v>
      </c>
      <c r="D1350" t="str">
        <f>TEXT(Table1[[#This Row],[order_date]],"mmmm")</f>
        <v>April</v>
      </c>
      <c r="E1350" s="1">
        <v>45397</v>
      </c>
      <c r="F1350" s="1" t="str">
        <f>TEXT(Table1[[#This Row],[order_date]],"dddd")</f>
        <v>Monday</v>
      </c>
      <c r="G1350">
        <f>HOUR(Table1[[#This Row],[order_time]])</f>
        <v>14</v>
      </c>
      <c r="H1350" s="2">
        <v>0.59184027777777781</v>
      </c>
      <c r="I1350" t="s">
        <v>18</v>
      </c>
      <c r="J1350" t="s">
        <v>19</v>
      </c>
      <c r="K1350">
        <v>5</v>
      </c>
      <c r="L1350">
        <v>50</v>
      </c>
      <c r="M1350">
        <v>250</v>
      </c>
      <c r="N1350">
        <f>IF(COUNTIFS($B$2:B1350,B1350)=1,1,0)</f>
        <v>0</v>
      </c>
    </row>
    <row r="1351" spans="1:14" x14ac:dyDescent="0.2">
      <c r="A1351">
        <v>1350</v>
      </c>
      <c r="B1351">
        <v>1672</v>
      </c>
      <c r="C1351">
        <f>1/COUNTIF(B:B,Table1[[#This Row],[order_id]])</f>
        <v>0.5</v>
      </c>
      <c r="D1351" t="str">
        <f>TEXT(Table1[[#This Row],[order_date]],"mmmm")</f>
        <v>April</v>
      </c>
      <c r="E1351" s="1">
        <v>45397</v>
      </c>
      <c r="F1351" s="1" t="str">
        <f>TEXT(Table1[[#This Row],[order_date]],"dddd")</f>
        <v>Monday</v>
      </c>
      <c r="G1351">
        <f>HOUR(Table1[[#This Row],[order_time]])</f>
        <v>12</v>
      </c>
      <c r="H1351" s="2">
        <v>0.50120370370370371</v>
      </c>
      <c r="I1351" t="s">
        <v>18</v>
      </c>
      <c r="J1351" t="s">
        <v>27</v>
      </c>
      <c r="K1351">
        <v>2</v>
      </c>
      <c r="L1351">
        <v>40</v>
      </c>
      <c r="M1351">
        <v>80</v>
      </c>
      <c r="N1351">
        <f>IF(COUNTIFS($B$2:B1351,B1351)=1,1,0)</f>
        <v>1</v>
      </c>
    </row>
    <row r="1352" spans="1:14" x14ac:dyDescent="0.2">
      <c r="A1352">
        <v>1351</v>
      </c>
      <c r="B1352">
        <v>1672</v>
      </c>
      <c r="C1352">
        <f>1/COUNTIF(B:B,Table1[[#This Row],[order_id]])</f>
        <v>0.5</v>
      </c>
      <c r="D1352" t="str">
        <f>TEXT(Table1[[#This Row],[order_date]],"mmmm")</f>
        <v>April</v>
      </c>
      <c r="E1352" s="1">
        <v>45397</v>
      </c>
      <c r="F1352" s="1" t="str">
        <f>TEXT(Table1[[#This Row],[order_date]],"dddd")</f>
        <v>Monday</v>
      </c>
      <c r="G1352">
        <f>HOUR(Table1[[#This Row],[order_time]])</f>
        <v>11</v>
      </c>
      <c r="H1352" s="2">
        <v>0.49998842592592591</v>
      </c>
      <c r="I1352" t="s">
        <v>11</v>
      </c>
      <c r="J1352" t="s">
        <v>13</v>
      </c>
      <c r="K1352">
        <v>4</v>
      </c>
      <c r="L1352">
        <v>680</v>
      </c>
      <c r="M1352">
        <v>2720</v>
      </c>
      <c r="N1352">
        <f>IF(COUNTIFS($B$2:B1352,B1352)=1,1,0)</f>
        <v>0</v>
      </c>
    </row>
    <row r="1353" spans="1:14" x14ac:dyDescent="0.2">
      <c r="A1353">
        <v>1352</v>
      </c>
      <c r="B1353">
        <v>1673</v>
      </c>
      <c r="C1353">
        <f>1/COUNTIF(B:B,Table1[[#This Row],[order_id]])</f>
        <v>0.33333333333333331</v>
      </c>
      <c r="D1353" t="str">
        <f>TEXT(Table1[[#This Row],[order_date]],"mmmm")</f>
        <v>April</v>
      </c>
      <c r="E1353" s="1">
        <v>45398</v>
      </c>
      <c r="F1353" s="1" t="str">
        <f>TEXT(Table1[[#This Row],[order_date]],"dddd")</f>
        <v>Tuesday</v>
      </c>
      <c r="G1353">
        <f>HOUR(Table1[[#This Row],[order_time]])</f>
        <v>15</v>
      </c>
      <c r="H1353" s="2">
        <v>0.66178240740740746</v>
      </c>
      <c r="I1353" t="s">
        <v>16</v>
      </c>
      <c r="J1353" t="s">
        <v>28</v>
      </c>
      <c r="K1353">
        <v>4</v>
      </c>
      <c r="L1353">
        <v>25</v>
      </c>
      <c r="M1353">
        <v>100</v>
      </c>
      <c r="N1353">
        <f>IF(COUNTIFS($B$2:B1353,B1353)=1,1,0)</f>
        <v>1</v>
      </c>
    </row>
    <row r="1354" spans="1:14" x14ac:dyDescent="0.2">
      <c r="A1354">
        <v>1353</v>
      </c>
      <c r="B1354">
        <v>1673</v>
      </c>
      <c r="C1354">
        <f>1/COUNTIF(B:B,Table1[[#This Row],[order_id]])</f>
        <v>0.33333333333333331</v>
      </c>
      <c r="D1354" t="str">
        <f>TEXT(Table1[[#This Row],[order_date]],"mmmm")</f>
        <v>April</v>
      </c>
      <c r="E1354" s="1">
        <v>45398</v>
      </c>
      <c r="F1354" s="1" t="str">
        <f>TEXT(Table1[[#This Row],[order_date]],"dddd")</f>
        <v>Tuesday</v>
      </c>
      <c r="G1354">
        <f>HOUR(Table1[[#This Row],[order_time]])</f>
        <v>20</v>
      </c>
      <c r="H1354" s="2">
        <v>0.84989583333333329</v>
      </c>
      <c r="I1354" t="s">
        <v>18</v>
      </c>
      <c r="J1354" t="s">
        <v>26</v>
      </c>
      <c r="K1354">
        <v>5</v>
      </c>
      <c r="L1354">
        <v>55</v>
      </c>
      <c r="M1354">
        <v>275</v>
      </c>
      <c r="N1354">
        <f>IF(COUNTIFS($B$2:B1354,B1354)=1,1,0)</f>
        <v>0</v>
      </c>
    </row>
    <row r="1355" spans="1:14" x14ac:dyDescent="0.2">
      <c r="A1355">
        <v>1354</v>
      </c>
      <c r="B1355">
        <v>1673</v>
      </c>
      <c r="C1355">
        <f>1/COUNTIF(B:B,Table1[[#This Row],[order_id]])</f>
        <v>0.33333333333333331</v>
      </c>
      <c r="D1355" t="str">
        <f>TEXT(Table1[[#This Row],[order_date]],"mmmm")</f>
        <v>April</v>
      </c>
      <c r="E1355" s="1">
        <v>45398</v>
      </c>
      <c r="F1355" s="1" t="str">
        <f>TEXT(Table1[[#This Row],[order_date]],"dddd")</f>
        <v>Tuesday</v>
      </c>
      <c r="G1355">
        <f>HOUR(Table1[[#This Row],[order_time]])</f>
        <v>17</v>
      </c>
      <c r="H1355" s="2">
        <v>0.72718749999999999</v>
      </c>
      <c r="I1355" t="s">
        <v>11</v>
      </c>
      <c r="J1355" t="s">
        <v>12</v>
      </c>
      <c r="K1355">
        <v>1</v>
      </c>
      <c r="L1355">
        <v>650</v>
      </c>
      <c r="M1355">
        <v>650</v>
      </c>
      <c r="N1355">
        <f>IF(COUNTIFS($B$2:B1355,B1355)=1,1,0)</f>
        <v>0</v>
      </c>
    </row>
    <row r="1356" spans="1:14" x14ac:dyDescent="0.2">
      <c r="A1356">
        <v>1355</v>
      </c>
      <c r="B1356">
        <v>1674</v>
      </c>
      <c r="C1356">
        <f>1/COUNTIF(B:B,Table1[[#This Row],[order_id]])</f>
        <v>0.5</v>
      </c>
      <c r="D1356" t="str">
        <f>TEXT(Table1[[#This Row],[order_date]],"mmmm")</f>
        <v>April</v>
      </c>
      <c r="E1356" s="1">
        <v>45398</v>
      </c>
      <c r="F1356" s="1" t="str">
        <f>TEXT(Table1[[#This Row],[order_date]],"dddd")</f>
        <v>Tuesday</v>
      </c>
      <c r="G1356">
        <f>HOUR(Table1[[#This Row],[order_time]])</f>
        <v>15</v>
      </c>
      <c r="H1356" s="2">
        <v>0.63445601851851852</v>
      </c>
      <c r="I1356" t="s">
        <v>18</v>
      </c>
      <c r="J1356" t="s">
        <v>31</v>
      </c>
      <c r="K1356">
        <v>3</v>
      </c>
      <c r="L1356">
        <v>45</v>
      </c>
      <c r="M1356">
        <v>135</v>
      </c>
      <c r="N1356">
        <f>IF(COUNTIFS($B$2:B1356,B1356)=1,1,0)</f>
        <v>1</v>
      </c>
    </row>
    <row r="1357" spans="1:14" x14ac:dyDescent="0.2">
      <c r="A1357">
        <v>1356</v>
      </c>
      <c r="B1357">
        <v>1674</v>
      </c>
      <c r="C1357">
        <f>1/COUNTIF(B:B,Table1[[#This Row],[order_id]])</f>
        <v>0.5</v>
      </c>
      <c r="D1357" t="str">
        <f>TEXT(Table1[[#This Row],[order_date]],"mmmm")</f>
        <v>April</v>
      </c>
      <c r="E1357" s="1">
        <v>45398</v>
      </c>
      <c r="F1357" s="1" t="str">
        <f>TEXT(Table1[[#This Row],[order_date]],"dddd")</f>
        <v>Tuesday</v>
      </c>
      <c r="G1357">
        <f>HOUR(Table1[[#This Row],[order_time]])</f>
        <v>13</v>
      </c>
      <c r="H1357" s="2">
        <v>0.54939814814814814</v>
      </c>
      <c r="I1357" t="s">
        <v>11</v>
      </c>
      <c r="J1357" t="s">
        <v>25</v>
      </c>
      <c r="K1357">
        <v>4</v>
      </c>
      <c r="L1357">
        <v>1000</v>
      </c>
      <c r="M1357">
        <v>4000</v>
      </c>
      <c r="N1357">
        <f>IF(COUNTIFS($B$2:B1357,B1357)=1,1,0)</f>
        <v>0</v>
      </c>
    </row>
    <row r="1358" spans="1:14" x14ac:dyDescent="0.2">
      <c r="A1358">
        <v>1357</v>
      </c>
      <c r="B1358">
        <v>1675</v>
      </c>
      <c r="C1358">
        <f>1/COUNTIF(B:B,Table1[[#This Row],[order_id]])</f>
        <v>0.5</v>
      </c>
      <c r="D1358" t="str">
        <f>TEXT(Table1[[#This Row],[order_date]],"mmmm")</f>
        <v>April</v>
      </c>
      <c r="E1358" s="1">
        <v>45398</v>
      </c>
      <c r="F1358" s="1" t="str">
        <f>TEXT(Table1[[#This Row],[order_date]],"dddd")</f>
        <v>Tuesday</v>
      </c>
      <c r="G1358">
        <f>HOUR(Table1[[#This Row],[order_time]])</f>
        <v>9</v>
      </c>
      <c r="H1358" s="2">
        <v>0.40130787037037036</v>
      </c>
      <c r="I1358" t="s">
        <v>18</v>
      </c>
      <c r="J1358" t="s">
        <v>30</v>
      </c>
      <c r="K1358">
        <v>5</v>
      </c>
      <c r="L1358">
        <v>60</v>
      </c>
      <c r="M1358">
        <v>300</v>
      </c>
      <c r="N1358">
        <f>IF(COUNTIFS($B$2:B1358,B1358)=1,1,0)</f>
        <v>1</v>
      </c>
    </row>
    <row r="1359" spans="1:14" x14ac:dyDescent="0.2">
      <c r="A1359">
        <v>1358</v>
      </c>
      <c r="B1359">
        <v>1675</v>
      </c>
      <c r="C1359">
        <f>1/COUNTIF(B:B,Table1[[#This Row],[order_id]])</f>
        <v>0.5</v>
      </c>
      <c r="D1359" t="str">
        <f>TEXT(Table1[[#This Row],[order_date]],"mmmm")</f>
        <v>April</v>
      </c>
      <c r="E1359" s="1">
        <v>45398</v>
      </c>
      <c r="F1359" s="1" t="str">
        <f>TEXT(Table1[[#This Row],[order_date]],"dddd")</f>
        <v>Tuesday</v>
      </c>
      <c r="G1359">
        <f>HOUR(Table1[[#This Row],[order_time]])</f>
        <v>15</v>
      </c>
      <c r="H1359" s="2">
        <v>0.65890046296296301</v>
      </c>
      <c r="I1359" t="s">
        <v>18</v>
      </c>
      <c r="J1359" t="s">
        <v>30</v>
      </c>
      <c r="K1359">
        <v>2</v>
      </c>
      <c r="L1359">
        <v>60</v>
      </c>
      <c r="M1359">
        <v>120</v>
      </c>
      <c r="N1359">
        <f>IF(COUNTIFS($B$2:B1359,B1359)=1,1,0)</f>
        <v>0</v>
      </c>
    </row>
    <row r="1360" spans="1:14" x14ac:dyDescent="0.2">
      <c r="A1360">
        <v>1359</v>
      </c>
      <c r="B1360">
        <v>1676</v>
      </c>
      <c r="C1360">
        <f>1/COUNTIF(B:B,Table1[[#This Row],[order_id]])</f>
        <v>0.5</v>
      </c>
      <c r="D1360" t="str">
        <f>TEXT(Table1[[#This Row],[order_date]],"mmmm")</f>
        <v>April</v>
      </c>
      <c r="E1360" s="1">
        <v>45399</v>
      </c>
      <c r="F1360" s="1" t="str">
        <f>TEXT(Table1[[#This Row],[order_date]],"dddd")</f>
        <v>Wednesday</v>
      </c>
      <c r="G1360">
        <f>HOUR(Table1[[#This Row],[order_time]])</f>
        <v>13</v>
      </c>
      <c r="H1360" s="2">
        <v>0.56612268518518516</v>
      </c>
      <c r="I1360" t="s">
        <v>18</v>
      </c>
      <c r="J1360" t="s">
        <v>30</v>
      </c>
      <c r="K1360">
        <v>3</v>
      </c>
      <c r="L1360">
        <v>60</v>
      </c>
      <c r="M1360">
        <v>180</v>
      </c>
      <c r="N1360">
        <f>IF(COUNTIFS($B$2:B1360,B1360)=1,1,0)</f>
        <v>1</v>
      </c>
    </row>
    <row r="1361" spans="1:14" x14ac:dyDescent="0.2">
      <c r="A1361">
        <v>1360</v>
      </c>
      <c r="B1361">
        <v>1676</v>
      </c>
      <c r="C1361">
        <f>1/COUNTIF(B:B,Table1[[#This Row],[order_id]])</f>
        <v>0.5</v>
      </c>
      <c r="D1361" t="str">
        <f>TEXT(Table1[[#This Row],[order_date]],"mmmm")</f>
        <v>April</v>
      </c>
      <c r="E1361" s="1">
        <v>45399</v>
      </c>
      <c r="F1361" s="1" t="str">
        <f>TEXT(Table1[[#This Row],[order_date]],"dddd")</f>
        <v>Wednesday</v>
      </c>
      <c r="G1361">
        <f>HOUR(Table1[[#This Row],[order_time]])</f>
        <v>9</v>
      </c>
      <c r="H1361" s="2">
        <v>0.4127662037037037</v>
      </c>
      <c r="I1361" t="s">
        <v>9</v>
      </c>
      <c r="J1361" t="s">
        <v>10</v>
      </c>
      <c r="K1361">
        <v>1</v>
      </c>
      <c r="L1361">
        <v>20</v>
      </c>
      <c r="M1361">
        <v>20</v>
      </c>
      <c r="N1361">
        <f>IF(COUNTIFS($B$2:B1361,B1361)=1,1,0)</f>
        <v>0</v>
      </c>
    </row>
    <row r="1362" spans="1:14" x14ac:dyDescent="0.2">
      <c r="A1362">
        <v>1361</v>
      </c>
      <c r="B1362">
        <v>1677</v>
      </c>
      <c r="C1362">
        <f>1/COUNTIF(B:B,Table1[[#This Row],[order_id]])</f>
        <v>0.5</v>
      </c>
      <c r="D1362" t="str">
        <f>TEXT(Table1[[#This Row],[order_date]],"mmmm")</f>
        <v>April</v>
      </c>
      <c r="E1362" s="1">
        <v>45399</v>
      </c>
      <c r="F1362" s="1" t="str">
        <f>TEXT(Table1[[#This Row],[order_date]],"dddd")</f>
        <v>Wednesday</v>
      </c>
      <c r="G1362">
        <f>HOUR(Table1[[#This Row],[order_time]])</f>
        <v>15</v>
      </c>
      <c r="H1362" s="2">
        <v>0.62504629629629627</v>
      </c>
      <c r="I1362" t="s">
        <v>11</v>
      </c>
      <c r="J1362" t="s">
        <v>25</v>
      </c>
      <c r="K1362">
        <v>5</v>
      </c>
      <c r="L1362">
        <v>1000</v>
      </c>
      <c r="M1362">
        <v>5000</v>
      </c>
      <c r="N1362">
        <f>IF(COUNTIFS($B$2:B1362,B1362)=1,1,0)</f>
        <v>1</v>
      </c>
    </row>
    <row r="1363" spans="1:14" x14ac:dyDescent="0.2">
      <c r="A1363">
        <v>1362</v>
      </c>
      <c r="B1363">
        <v>1677</v>
      </c>
      <c r="C1363">
        <f>1/COUNTIF(B:B,Table1[[#This Row],[order_id]])</f>
        <v>0.5</v>
      </c>
      <c r="D1363" t="str">
        <f>TEXT(Table1[[#This Row],[order_date]],"mmmm")</f>
        <v>April</v>
      </c>
      <c r="E1363" s="1">
        <v>45399</v>
      </c>
      <c r="F1363" s="1" t="str">
        <f>TEXT(Table1[[#This Row],[order_date]],"dddd")</f>
        <v>Wednesday</v>
      </c>
      <c r="G1363">
        <f>HOUR(Table1[[#This Row],[order_time]])</f>
        <v>11</v>
      </c>
      <c r="H1363" s="2">
        <v>0.48291666666666666</v>
      </c>
      <c r="I1363" t="s">
        <v>18</v>
      </c>
      <c r="J1363" t="s">
        <v>27</v>
      </c>
      <c r="K1363">
        <v>4</v>
      </c>
      <c r="L1363">
        <v>40</v>
      </c>
      <c r="M1363">
        <v>160</v>
      </c>
      <c r="N1363">
        <f>IF(COUNTIFS($B$2:B1363,B1363)=1,1,0)</f>
        <v>0</v>
      </c>
    </row>
    <row r="1364" spans="1:14" x14ac:dyDescent="0.2">
      <c r="A1364">
        <v>1363</v>
      </c>
      <c r="B1364">
        <v>1678</v>
      </c>
      <c r="C1364">
        <f>1/COUNTIF(B:B,Table1[[#This Row],[order_id]])</f>
        <v>0.5</v>
      </c>
      <c r="D1364" t="str">
        <f>TEXT(Table1[[#This Row],[order_date]],"mmmm")</f>
        <v>April</v>
      </c>
      <c r="E1364" s="1">
        <v>45399</v>
      </c>
      <c r="F1364" s="1" t="str">
        <f>TEXT(Table1[[#This Row],[order_date]],"dddd")</f>
        <v>Wednesday</v>
      </c>
      <c r="G1364">
        <f>HOUR(Table1[[#This Row],[order_time]])</f>
        <v>20</v>
      </c>
      <c r="H1364" s="2">
        <v>0.85695601851851855</v>
      </c>
      <c r="I1364" t="s">
        <v>11</v>
      </c>
      <c r="J1364" t="s">
        <v>13</v>
      </c>
      <c r="K1364">
        <v>4</v>
      </c>
      <c r="L1364">
        <v>680</v>
      </c>
      <c r="M1364">
        <v>2720</v>
      </c>
      <c r="N1364">
        <f>IF(COUNTIFS($B$2:B1364,B1364)=1,1,0)</f>
        <v>1</v>
      </c>
    </row>
    <row r="1365" spans="1:14" x14ac:dyDescent="0.2">
      <c r="A1365">
        <v>1364</v>
      </c>
      <c r="B1365">
        <v>1678</v>
      </c>
      <c r="C1365">
        <f>1/COUNTIF(B:B,Table1[[#This Row],[order_id]])</f>
        <v>0.5</v>
      </c>
      <c r="D1365" t="str">
        <f>TEXT(Table1[[#This Row],[order_date]],"mmmm")</f>
        <v>April</v>
      </c>
      <c r="E1365" s="1">
        <v>45399</v>
      </c>
      <c r="F1365" s="1" t="str">
        <f>TEXT(Table1[[#This Row],[order_date]],"dddd")</f>
        <v>Wednesday</v>
      </c>
      <c r="G1365">
        <f>HOUR(Table1[[#This Row],[order_time]])</f>
        <v>14</v>
      </c>
      <c r="H1365" s="2">
        <v>0.61439814814814819</v>
      </c>
      <c r="I1365" t="s">
        <v>16</v>
      </c>
      <c r="J1365" t="s">
        <v>28</v>
      </c>
      <c r="K1365">
        <v>3</v>
      </c>
      <c r="L1365">
        <v>25</v>
      </c>
      <c r="M1365">
        <v>75</v>
      </c>
      <c r="N1365">
        <f>IF(COUNTIFS($B$2:B1365,B1365)=1,1,0)</f>
        <v>0</v>
      </c>
    </row>
    <row r="1366" spans="1:14" x14ac:dyDescent="0.2">
      <c r="A1366">
        <v>1365</v>
      </c>
      <c r="B1366">
        <v>1679</v>
      </c>
      <c r="C1366">
        <f>1/COUNTIF(B:B,Table1[[#This Row],[order_id]])</f>
        <v>0.33333333333333331</v>
      </c>
      <c r="D1366" t="str">
        <f>TEXT(Table1[[#This Row],[order_date]],"mmmm")</f>
        <v>April</v>
      </c>
      <c r="E1366" s="1">
        <v>45399</v>
      </c>
      <c r="F1366" s="1" t="str">
        <f>TEXT(Table1[[#This Row],[order_date]],"dddd")</f>
        <v>Wednesday</v>
      </c>
      <c r="G1366">
        <f>HOUR(Table1[[#This Row],[order_time]])</f>
        <v>16</v>
      </c>
      <c r="H1366" s="2">
        <v>0.67116898148148152</v>
      </c>
      <c r="I1366" t="s">
        <v>16</v>
      </c>
      <c r="J1366" t="s">
        <v>23</v>
      </c>
      <c r="K1366">
        <v>1</v>
      </c>
      <c r="L1366">
        <v>30</v>
      </c>
      <c r="M1366">
        <v>30</v>
      </c>
      <c r="N1366">
        <f>IF(COUNTIFS($B$2:B1366,B1366)=1,1,0)</f>
        <v>1</v>
      </c>
    </row>
    <row r="1367" spans="1:14" x14ac:dyDescent="0.2">
      <c r="A1367">
        <v>1366</v>
      </c>
      <c r="B1367">
        <v>1679</v>
      </c>
      <c r="C1367">
        <f>1/COUNTIF(B:B,Table1[[#This Row],[order_id]])</f>
        <v>0.33333333333333331</v>
      </c>
      <c r="D1367" t="str">
        <f>TEXT(Table1[[#This Row],[order_date]],"mmmm")</f>
        <v>April</v>
      </c>
      <c r="E1367" s="1">
        <v>45399</v>
      </c>
      <c r="F1367" s="1" t="str">
        <f>TEXT(Table1[[#This Row],[order_date]],"dddd")</f>
        <v>Wednesday</v>
      </c>
      <c r="G1367">
        <f>HOUR(Table1[[#This Row],[order_time]])</f>
        <v>14</v>
      </c>
      <c r="H1367" s="2">
        <v>0.62085648148148154</v>
      </c>
      <c r="I1367" t="s">
        <v>9</v>
      </c>
      <c r="J1367" t="s">
        <v>20</v>
      </c>
      <c r="K1367">
        <v>3</v>
      </c>
      <c r="L1367">
        <v>25</v>
      </c>
      <c r="M1367">
        <v>75</v>
      </c>
      <c r="N1367">
        <f>IF(COUNTIFS($B$2:B1367,B1367)=1,1,0)</f>
        <v>0</v>
      </c>
    </row>
    <row r="1368" spans="1:14" x14ac:dyDescent="0.2">
      <c r="A1368">
        <v>1367</v>
      </c>
      <c r="B1368">
        <v>1679</v>
      </c>
      <c r="C1368">
        <f>1/COUNTIF(B:B,Table1[[#This Row],[order_id]])</f>
        <v>0.33333333333333331</v>
      </c>
      <c r="D1368" t="str">
        <f>TEXT(Table1[[#This Row],[order_date]],"mmmm")</f>
        <v>April</v>
      </c>
      <c r="E1368" s="1">
        <v>45399</v>
      </c>
      <c r="F1368" s="1" t="str">
        <f>TEXT(Table1[[#This Row],[order_date]],"dddd")</f>
        <v>Wednesday</v>
      </c>
      <c r="G1368">
        <f>HOUR(Table1[[#This Row],[order_time]])</f>
        <v>16</v>
      </c>
      <c r="H1368" s="2">
        <v>0.67231481481481481</v>
      </c>
      <c r="I1368" t="s">
        <v>18</v>
      </c>
      <c r="J1368" t="s">
        <v>27</v>
      </c>
      <c r="K1368">
        <v>3</v>
      </c>
      <c r="L1368">
        <v>40</v>
      </c>
      <c r="M1368">
        <v>120</v>
      </c>
      <c r="N1368">
        <f>IF(COUNTIFS($B$2:B1368,B1368)=1,1,0)</f>
        <v>0</v>
      </c>
    </row>
    <row r="1369" spans="1:14" x14ac:dyDescent="0.2">
      <c r="A1369">
        <v>1368</v>
      </c>
      <c r="B1369">
        <v>1680</v>
      </c>
      <c r="C1369">
        <f>1/COUNTIF(B:B,Table1[[#This Row],[order_id]])</f>
        <v>1</v>
      </c>
      <c r="D1369" t="str">
        <f>TEXT(Table1[[#This Row],[order_date]],"mmmm")</f>
        <v>April</v>
      </c>
      <c r="E1369" s="1">
        <v>45399</v>
      </c>
      <c r="F1369" s="1" t="str">
        <f>TEXT(Table1[[#This Row],[order_date]],"dddd")</f>
        <v>Wednesday</v>
      </c>
      <c r="G1369">
        <f>HOUR(Table1[[#This Row],[order_time]])</f>
        <v>19</v>
      </c>
      <c r="H1369" s="2">
        <v>0.80474537037037042</v>
      </c>
      <c r="I1369" t="s">
        <v>9</v>
      </c>
      <c r="J1369" t="s">
        <v>10</v>
      </c>
      <c r="K1369">
        <v>4</v>
      </c>
      <c r="L1369">
        <v>20</v>
      </c>
      <c r="M1369">
        <v>80</v>
      </c>
      <c r="N1369">
        <f>IF(COUNTIFS($B$2:B1369,B1369)=1,1,0)</f>
        <v>1</v>
      </c>
    </row>
    <row r="1370" spans="1:14" x14ac:dyDescent="0.2">
      <c r="A1370">
        <v>1369</v>
      </c>
      <c r="B1370">
        <v>1681</v>
      </c>
      <c r="C1370">
        <f>1/COUNTIF(B:B,Table1[[#This Row],[order_id]])</f>
        <v>1</v>
      </c>
      <c r="D1370" t="str">
        <f>TEXT(Table1[[#This Row],[order_date]],"mmmm")</f>
        <v>April</v>
      </c>
      <c r="E1370" s="1">
        <v>45400</v>
      </c>
      <c r="F1370" s="1" t="str">
        <f>TEXT(Table1[[#This Row],[order_date]],"dddd")</f>
        <v>Thursday</v>
      </c>
      <c r="G1370">
        <f>HOUR(Table1[[#This Row],[order_time]])</f>
        <v>15</v>
      </c>
      <c r="H1370" s="2">
        <v>0.64063657407407404</v>
      </c>
      <c r="I1370" t="s">
        <v>18</v>
      </c>
      <c r="J1370" t="s">
        <v>26</v>
      </c>
      <c r="K1370">
        <v>4</v>
      </c>
      <c r="L1370">
        <v>55</v>
      </c>
      <c r="M1370">
        <v>220</v>
      </c>
      <c r="N1370">
        <f>IF(COUNTIFS($B$2:B1370,B1370)=1,1,0)</f>
        <v>1</v>
      </c>
    </row>
    <row r="1371" spans="1:14" x14ac:dyDescent="0.2">
      <c r="A1371">
        <v>1370</v>
      </c>
      <c r="B1371">
        <v>1682</v>
      </c>
      <c r="C1371">
        <f>1/COUNTIF(B:B,Table1[[#This Row],[order_id]])</f>
        <v>0.33333333333333331</v>
      </c>
      <c r="D1371" t="str">
        <f>TEXT(Table1[[#This Row],[order_date]],"mmmm")</f>
        <v>April</v>
      </c>
      <c r="E1371" s="1">
        <v>45400</v>
      </c>
      <c r="F1371" s="1" t="str">
        <f>TEXT(Table1[[#This Row],[order_date]],"dddd")</f>
        <v>Thursday</v>
      </c>
      <c r="G1371">
        <f>HOUR(Table1[[#This Row],[order_time]])</f>
        <v>14</v>
      </c>
      <c r="H1371" s="2">
        <v>0.60630787037037037</v>
      </c>
      <c r="I1371" t="s">
        <v>16</v>
      </c>
      <c r="J1371" t="s">
        <v>24</v>
      </c>
      <c r="K1371">
        <v>4</v>
      </c>
      <c r="L1371">
        <v>35</v>
      </c>
      <c r="M1371">
        <v>140</v>
      </c>
      <c r="N1371">
        <f>IF(COUNTIFS($B$2:B1371,B1371)=1,1,0)</f>
        <v>1</v>
      </c>
    </row>
    <row r="1372" spans="1:14" x14ac:dyDescent="0.2">
      <c r="A1372">
        <v>1371</v>
      </c>
      <c r="B1372">
        <v>1682</v>
      </c>
      <c r="C1372">
        <f>1/COUNTIF(B:B,Table1[[#This Row],[order_id]])</f>
        <v>0.33333333333333331</v>
      </c>
      <c r="D1372" t="str">
        <f>TEXT(Table1[[#This Row],[order_date]],"mmmm")</f>
        <v>April</v>
      </c>
      <c r="E1372" s="1">
        <v>45400</v>
      </c>
      <c r="F1372" s="1" t="str">
        <f>TEXT(Table1[[#This Row],[order_date]],"dddd")</f>
        <v>Thursday</v>
      </c>
      <c r="G1372">
        <f>HOUR(Table1[[#This Row],[order_time]])</f>
        <v>13</v>
      </c>
      <c r="H1372" s="2">
        <v>0.57241898148148151</v>
      </c>
      <c r="I1372" t="s">
        <v>18</v>
      </c>
      <c r="J1372" t="s">
        <v>30</v>
      </c>
      <c r="K1372">
        <v>2</v>
      </c>
      <c r="L1372">
        <v>60</v>
      </c>
      <c r="M1372">
        <v>120</v>
      </c>
      <c r="N1372">
        <f>IF(COUNTIFS($B$2:B1372,B1372)=1,1,0)</f>
        <v>0</v>
      </c>
    </row>
    <row r="1373" spans="1:14" x14ac:dyDescent="0.2">
      <c r="A1373">
        <v>1372</v>
      </c>
      <c r="B1373">
        <v>1682</v>
      </c>
      <c r="C1373">
        <f>1/COUNTIF(B:B,Table1[[#This Row],[order_id]])</f>
        <v>0.33333333333333331</v>
      </c>
      <c r="D1373" t="str">
        <f>TEXT(Table1[[#This Row],[order_date]],"mmmm")</f>
        <v>April</v>
      </c>
      <c r="E1373" s="1">
        <v>45400</v>
      </c>
      <c r="F1373" s="1" t="str">
        <f>TEXT(Table1[[#This Row],[order_date]],"dddd")</f>
        <v>Thursday</v>
      </c>
      <c r="G1373">
        <f>HOUR(Table1[[#This Row],[order_time]])</f>
        <v>20</v>
      </c>
      <c r="H1373" s="2">
        <v>0.84043981481481478</v>
      </c>
      <c r="I1373" t="s">
        <v>16</v>
      </c>
      <c r="J1373" t="s">
        <v>24</v>
      </c>
      <c r="K1373">
        <v>4</v>
      </c>
      <c r="L1373">
        <v>35</v>
      </c>
      <c r="M1373">
        <v>140</v>
      </c>
      <c r="N1373">
        <f>IF(COUNTIFS($B$2:B1373,B1373)=1,1,0)</f>
        <v>0</v>
      </c>
    </row>
    <row r="1374" spans="1:14" x14ac:dyDescent="0.2">
      <c r="A1374">
        <v>1373</v>
      </c>
      <c r="B1374">
        <v>1683</v>
      </c>
      <c r="C1374">
        <f>1/COUNTIF(B:B,Table1[[#This Row],[order_id]])</f>
        <v>0.5</v>
      </c>
      <c r="D1374" t="str">
        <f>TEXT(Table1[[#This Row],[order_date]],"mmmm")</f>
        <v>April</v>
      </c>
      <c r="E1374" s="1">
        <v>45400</v>
      </c>
      <c r="F1374" s="1" t="str">
        <f>TEXT(Table1[[#This Row],[order_date]],"dddd")</f>
        <v>Thursday</v>
      </c>
      <c r="G1374">
        <f>HOUR(Table1[[#This Row],[order_time]])</f>
        <v>16</v>
      </c>
      <c r="H1374" s="2">
        <v>0.69163194444444442</v>
      </c>
      <c r="I1374" t="s">
        <v>16</v>
      </c>
      <c r="J1374" t="s">
        <v>24</v>
      </c>
      <c r="K1374">
        <v>2</v>
      </c>
      <c r="L1374">
        <v>35</v>
      </c>
      <c r="M1374">
        <v>70</v>
      </c>
      <c r="N1374">
        <f>IF(COUNTIFS($B$2:B1374,B1374)=1,1,0)</f>
        <v>1</v>
      </c>
    </row>
    <row r="1375" spans="1:14" x14ac:dyDescent="0.2">
      <c r="A1375">
        <v>1374</v>
      </c>
      <c r="B1375">
        <v>1683</v>
      </c>
      <c r="C1375">
        <f>1/COUNTIF(B:B,Table1[[#This Row],[order_id]])</f>
        <v>0.5</v>
      </c>
      <c r="D1375" t="str">
        <f>TEXT(Table1[[#This Row],[order_date]],"mmmm")</f>
        <v>April</v>
      </c>
      <c r="E1375" s="1">
        <v>45400</v>
      </c>
      <c r="F1375" s="1" t="str">
        <f>TEXT(Table1[[#This Row],[order_date]],"dddd")</f>
        <v>Thursday</v>
      </c>
      <c r="G1375">
        <f>HOUR(Table1[[#This Row],[order_time]])</f>
        <v>9</v>
      </c>
      <c r="H1375" s="2">
        <v>0.41199074074074077</v>
      </c>
      <c r="I1375" t="s">
        <v>16</v>
      </c>
      <c r="J1375" t="s">
        <v>23</v>
      </c>
      <c r="K1375">
        <v>2</v>
      </c>
      <c r="L1375">
        <v>30</v>
      </c>
      <c r="M1375">
        <v>60</v>
      </c>
      <c r="N1375">
        <f>IF(COUNTIFS($B$2:B1375,B1375)=1,1,0)</f>
        <v>0</v>
      </c>
    </row>
    <row r="1376" spans="1:14" x14ac:dyDescent="0.2">
      <c r="A1376">
        <v>1375</v>
      </c>
      <c r="B1376">
        <v>1684</v>
      </c>
      <c r="C1376">
        <f>1/COUNTIF(B:B,Table1[[#This Row],[order_id]])</f>
        <v>0.5</v>
      </c>
      <c r="D1376" t="str">
        <f>TEXT(Table1[[#This Row],[order_date]],"mmmm")</f>
        <v>April</v>
      </c>
      <c r="E1376" s="1">
        <v>45400</v>
      </c>
      <c r="F1376" s="1" t="str">
        <f>TEXT(Table1[[#This Row],[order_date]],"dddd")</f>
        <v>Thursday</v>
      </c>
      <c r="G1376">
        <f>HOUR(Table1[[#This Row],[order_time]])</f>
        <v>16</v>
      </c>
      <c r="H1376" s="2">
        <v>0.70469907407407406</v>
      </c>
      <c r="I1376" t="s">
        <v>16</v>
      </c>
      <c r="J1376" t="s">
        <v>24</v>
      </c>
      <c r="K1376">
        <v>4</v>
      </c>
      <c r="L1376">
        <v>35</v>
      </c>
      <c r="M1376">
        <v>140</v>
      </c>
      <c r="N1376">
        <f>IF(COUNTIFS($B$2:B1376,B1376)=1,1,0)</f>
        <v>1</v>
      </c>
    </row>
    <row r="1377" spans="1:14" x14ac:dyDescent="0.2">
      <c r="A1377">
        <v>1376</v>
      </c>
      <c r="B1377">
        <v>1684</v>
      </c>
      <c r="C1377">
        <f>1/COUNTIF(B:B,Table1[[#This Row],[order_id]])</f>
        <v>0.5</v>
      </c>
      <c r="D1377" t="str">
        <f>TEXT(Table1[[#This Row],[order_date]],"mmmm")</f>
        <v>April</v>
      </c>
      <c r="E1377" s="1">
        <v>45400</v>
      </c>
      <c r="F1377" s="1" t="str">
        <f>TEXT(Table1[[#This Row],[order_date]],"dddd")</f>
        <v>Thursday</v>
      </c>
      <c r="G1377">
        <f>HOUR(Table1[[#This Row],[order_time]])</f>
        <v>18</v>
      </c>
      <c r="H1377" s="2">
        <v>0.76594907407407409</v>
      </c>
      <c r="I1377" t="s">
        <v>11</v>
      </c>
      <c r="J1377" t="s">
        <v>15</v>
      </c>
      <c r="K1377">
        <v>3</v>
      </c>
      <c r="L1377">
        <v>600</v>
      </c>
      <c r="M1377">
        <v>1800</v>
      </c>
      <c r="N1377">
        <f>IF(COUNTIFS($B$2:B1377,B1377)=1,1,0)</f>
        <v>0</v>
      </c>
    </row>
    <row r="1378" spans="1:14" x14ac:dyDescent="0.2">
      <c r="A1378">
        <v>1377</v>
      </c>
      <c r="B1378">
        <v>1685</v>
      </c>
      <c r="C1378">
        <f>1/COUNTIF(B:B,Table1[[#This Row],[order_id]])</f>
        <v>1</v>
      </c>
      <c r="D1378" t="str">
        <f>TEXT(Table1[[#This Row],[order_date]],"mmmm")</f>
        <v>April</v>
      </c>
      <c r="E1378" s="1">
        <v>45400</v>
      </c>
      <c r="F1378" s="1" t="str">
        <f>TEXT(Table1[[#This Row],[order_date]],"dddd")</f>
        <v>Thursday</v>
      </c>
      <c r="G1378">
        <f>HOUR(Table1[[#This Row],[order_time]])</f>
        <v>10</v>
      </c>
      <c r="H1378" s="2">
        <v>0.44974537037037038</v>
      </c>
      <c r="I1378" t="s">
        <v>16</v>
      </c>
      <c r="J1378" t="s">
        <v>28</v>
      </c>
      <c r="K1378">
        <v>3</v>
      </c>
      <c r="L1378">
        <v>25</v>
      </c>
      <c r="M1378">
        <v>75</v>
      </c>
      <c r="N1378">
        <f>IF(COUNTIFS($B$2:B1378,B1378)=1,1,0)</f>
        <v>1</v>
      </c>
    </row>
    <row r="1379" spans="1:14" x14ac:dyDescent="0.2">
      <c r="A1379">
        <v>1378</v>
      </c>
      <c r="B1379">
        <v>1686</v>
      </c>
      <c r="C1379">
        <f>1/COUNTIF(B:B,Table1[[#This Row],[order_id]])</f>
        <v>1</v>
      </c>
      <c r="D1379" t="str">
        <f>TEXT(Table1[[#This Row],[order_date]],"mmmm")</f>
        <v>April</v>
      </c>
      <c r="E1379" s="1">
        <v>45401</v>
      </c>
      <c r="F1379" s="1" t="str">
        <f>TEXT(Table1[[#This Row],[order_date]],"dddd")</f>
        <v>Friday</v>
      </c>
      <c r="G1379">
        <f>HOUR(Table1[[#This Row],[order_time]])</f>
        <v>14</v>
      </c>
      <c r="H1379" s="2">
        <v>0.61864583333333334</v>
      </c>
      <c r="I1379" t="s">
        <v>11</v>
      </c>
      <c r="J1379" t="s">
        <v>14</v>
      </c>
      <c r="K1379">
        <v>4</v>
      </c>
      <c r="L1379">
        <v>700</v>
      </c>
      <c r="M1379">
        <v>2800</v>
      </c>
      <c r="N1379">
        <f>IF(COUNTIFS($B$2:B1379,B1379)=1,1,0)</f>
        <v>1</v>
      </c>
    </row>
    <row r="1380" spans="1:14" x14ac:dyDescent="0.2">
      <c r="A1380">
        <v>1379</v>
      </c>
      <c r="B1380">
        <v>1687</v>
      </c>
      <c r="C1380">
        <f>1/COUNTIF(B:B,Table1[[#This Row],[order_id]])</f>
        <v>1</v>
      </c>
      <c r="D1380" t="str">
        <f>TEXT(Table1[[#This Row],[order_date]],"mmmm")</f>
        <v>April</v>
      </c>
      <c r="E1380" s="1">
        <v>45401</v>
      </c>
      <c r="F1380" s="1" t="str">
        <f>TEXT(Table1[[#This Row],[order_date]],"dddd")</f>
        <v>Friday</v>
      </c>
      <c r="G1380">
        <f>HOUR(Table1[[#This Row],[order_time]])</f>
        <v>10</v>
      </c>
      <c r="H1380" s="2">
        <v>0.44458333333333333</v>
      </c>
      <c r="I1380" t="s">
        <v>18</v>
      </c>
      <c r="J1380" t="s">
        <v>27</v>
      </c>
      <c r="K1380">
        <v>5</v>
      </c>
      <c r="L1380">
        <v>40</v>
      </c>
      <c r="M1380">
        <v>200</v>
      </c>
      <c r="N1380">
        <f>IF(COUNTIFS($B$2:B1380,B1380)=1,1,0)</f>
        <v>1</v>
      </c>
    </row>
    <row r="1381" spans="1:14" x14ac:dyDescent="0.2">
      <c r="A1381">
        <v>1380</v>
      </c>
      <c r="B1381">
        <v>1688</v>
      </c>
      <c r="C1381">
        <f>1/COUNTIF(B:B,Table1[[#This Row],[order_id]])</f>
        <v>0.5</v>
      </c>
      <c r="D1381" t="str">
        <f>TEXT(Table1[[#This Row],[order_date]],"mmmm")</f>
        <v>April</v>
      </c>
      <c r="E1381" s="1">
        <v>45401</v>
      </c>
      <c r="F1381" s="1" t="str">
        <f>TEXT(Table1[[#This Row],[order_date]],"dddd")</f>
        <v>Friday</v>
      </c>
      <c r="G1381">
        <f>HOUR(Table1[[#This Row],[order_time]])</f>
        <v>9</v>
      </c>
      <c r="H1381" s="2">
        <v>0.40954861111111113</v>
      </c>
      <c r="I1381" t="s">
        <v>18</v>
      </c>
      <c r="J1381" t="s">
        <v>30</v>
      </c>
      <c r="K1381">
        <v>5</v>
      </c>
      <c r="L1381">
        <v>60</v>
      </c>
      <c r="M1381">
        <v>300</v>
      </c>
      <c r="N1381">
        <f>IF(COUNTIFS($B$2:B1381,B1381)=1,1,0)</f>
        <v>1</v>
      </c>
    </row>
    <row r="1382" spans="1:14" x14ac:dyDescent="0.2">
      <c r="A1382">
        <v>1381</v>
      </c>
      <c r="B1382">
        <v>1688</v>
      </c>
      <c r="C1382">
        <f>1/COUNTIF(B:B,Table1[[#This Row],[order_id]])</f>
        <v>0.5</v>
      </c>
      <c r="D1382" t="str">
        <f>TEXT(Table1[[#This Row],[order_date]],"mmmm")</f>
        <v>April</v>
      </c>
      <c r="E1382" s="1">
        <v>45401</v>
      </c>
      <c r="F1382" s="1" t="str">
        <f>TEXT(Table1[[#This Row],[order_date]],"dddd")</f>
        <v>Friday</v>
      </c>
      <c r="G1382">
        <f>HOUR(Table1[[#This Row],[order_time]])</f>
        <v>16</v>
      </c>
      <c r="H1382" s="2">
        <v>0.7073842592592593</v>
      </c>
      <c r="I1382" t="s">
        <v>11</v>
      </c>
      <c r="J1382" t="s">
        <v>13</v>
      </c>
      <c r="K1382">
        <v>4</v>
      </c>
      <c r="L1382">
        <v>680</v>
      </c>
      <c r="M1382">
        <v>2720</v>
      </c>
      <c r="N1382">
        <f>IF(COUNTIFS($B$2:B1382,B1382)=1,1,0)</f>
        <v>0</v>
      </c>
    </row>
    <row r="1383" spans="1:14" x14ac:dyDescent="0.2">
      <c r="A1383">
        <v>1382</v>
      </c>
      <c r="B1383">
        <v>1689</v>
      </c>
      <c r="C1383">
        <f>1/COUNTIF(B:B,Table1[[#This Row],[order_id]])</f>
        <v>1</v>
      </c>
      <c r="D1383" t="str">
        <f>TEXT(Table1[[#This Row],[order_date]],"mmmm")</f>
        <v>April</v>
      </c>
      <c r="E1383" s="1">
        <v>45401</v>
      </c>
      <c r="F1383" s="1" t="str">
        <f>TEXT(Table1[[#This Row],[order_date]],"dddd")</f>
        <v>Friday</v>
      </c>
      <c r="G1383">
        <f>HOUR(Table1[[#This Row],[order_time]])</f>
        <v>18</v>
      </c>
      <c r="H1383" s="2">
        <v>0.765162037037037</v>
      </c>
      <c r="I1383" t="s">
        <v>18</v>
      </c>
      <c r="J1383" t="s">
        <v>31</v>
      </c>
      <c r="K1383">
        <v>2</v>
      </c>
      <c r="L1383">
        <v>45</v>
      </c>
      <c r="M1383">
        <v>90</v>
      </c>
      <c r="N1383">
        <f>IF(COUNTIFS($B$2:B1383,B1383)=1,1,0)</f>
        <v>1</v>
      </c>
    </row>
    <row r="1384" spans="1:14" x14ac:dyDescent="0.2">
      <c r="A1384">
        <v>1383</v>
      </c>
      <c r="B1384">
        <v>1690</v>
      </c>
      <c r="C1384">
        <f>1/COUNTIF(B:B,Table1[[#This Row],[order_id]])</f>
        <v>1</v>
      </c>
      <c r="D1384" t="str">
        <f>TEXT(Table1[[#This Row],[order_date]],"mmmm")</f>
        <v>April</v>
      </c>
      <c r="E1384" s="1">
        <v>45402</v>
      </c>
      <c r="F1384" s="1" t="str">
        <f>TEXT(Table1[[#This Row],[order_date]],"dddd")</f>
        <v>Saturday</v>
      </c>
      <c r="G1384">
        <f>HOUR(Table1[[#This Row],[order_time]])</f>
        <v>19</v>
      </c>
      <c r="H1384" s="2">
        <v>0.83152777777777775</v>
      </c>
      <c r="I1384" t="s">
        <v>16</v>
      </c>
      <c r="J1384" t="s">
        <v>24</v>
      </c>
      <c r="K1384">
        <v>2</v>
      </c>
      <c r="L1384">
        <v>35</v>
      </c>
      <c r="M1384">
        <v>70</v>
      </c>
      <c r="N1384">
        <f>IF(COUNTIFS($B$2:B1384,B1384)=1,1,0)</f>
        <v>1</v>
      </c>
    </row>
    <row r="1385" spans="1:14" x14ac:dyDescent="0.2">
      <c r="A1385">
        <v>1384</v>
      </c>
      <c r="B1385">
        <v>1691</v>
      </c>
      <c r="C1385">
        <f>1/COUNTIF(B:B,Table1[[#This Row],[order_id]])</f>
        <v>1</v>
      </c>
      <c r="D1385" t="str">
        <f>TEXT(Table1[[#This Row],[order_date]],"mmmm")</f>
        <v>April</v>
      </c>
      <c r="E1385" s="1">
        <v>45402</v>
      </c>
      <c r="F1385" s="1" t="str">
        <f>TEXT(Table1[[#This Row],[order_date]],"dddd")</f>
        <v>Saturday</v>
      </c>
      <c r="G1385">
        <f>HOUR(Table1[[#This Row],[order_time]])</f>
        <v>12</v>
      </c>
      <c r="H1385" s="2">
        <v>0.51443287037037033</v>
      </c>
      <c r="I1385" t="s">
        <v>9</v>
      </c>
      <c r="J1385" t="s">
        <v>10</v>
      </c>
      <c r="K1385">
        <v>1</v>
      </c>
      <c r="L1385">
        <v>20</v>
      </c>
      <c r="M1385">
        <v>20</v>
      </c>
      <c r="N1385">
        <f>IF(COUNTIFS($B$2:B1385,B1385)=1,1,0)</f>
        <v>1</v>
      </c>
    </row>
    <row r="1386" spans="1:14" x14ac:dyDescent="0.2">
      <c r="A1386">
        <v>1385</v>
      </c>
      <c r="B1386">
        <v>1692</v>
      </c>
      <c r="C1386">
        <f>1/COUNTIF(B:B,Table1[[#This Row],[order_id]])</f>
        <v>1</v>
      </c>
      <c r="D1386" t="str">
        <f>TEXT(Table1[[#This Row],[order_date]],"mmmm")</f>
        <v>April</v>
      </c>
      <c r="E1386" s="1">
        <v>45402</v>
      </c>
      <c r="F1386" s="1" t="str">
        <f>TEXT(Table1[[#This Row],[order_date]],"dddd")</f>
        <v>Saturday</v>
      </c>
      <c r="G1386">
        <f>HOUR(Table1[[#This Row],[order_time]])</f>
        <v>17</v>
      </c>
      <c r="H1386" s="2">
        <v>0.74606481481481479</v>
      </c>
      <c r="I1386" t="s">
        <v>18</v>
      </c>
      <c r="J1386" t="s">
        <v>31</v>
      </c>
      <c r="K1386">
        <v>4</v>
      </c>
      <c r="L1386">
        <v>45</v>
      </c>
      <c r="M1386">
        <v>180</v>
      </c>
      <c r="N1386">
        <f>IF(COUNTIFS($B$2:B1386,B1386)=1,1,0)</f>
        <v>1</v>
      </c>
    </row>
    <row r="1387" spans="1:14" x14ac:dyDescent="0.2">
      <c r="A1387">
        <v>1386</v>
      </c>
      <c r="B1387">
        <v>1693</v>
      </c>
      <c r="C1387">
        <f>1/COUNTIF(B:B,Table1[[#This Row],[order_id]])</f>
        <v>0.5</v>
      </c>
      <c r="D1387" t="str">
        <f>TEXT(Table1[[#This Row],[order_date]],"mmmm")</f>
        <v>April</v>
      </c>
      <c r="E1387" s="1">
        <v>45403</v>
      </c>
      <c r="F1387" s="1" t="str">
        <f>TEXT(Table1[[#This Row],[order_date]],"dddd")</f>
        <v>Sunday</v>
      </c>
      <c r="G1387">
        <f>HOUR(Table1[[#This Row],[order_time]])</f>
        <v>10</v>
      </c>
      <c r="H1387" s="2">
        <v>0.42001157407407408</v>
      </c>
      <c r="I1387" t="s">
        <v>9</v>
      </c>
      <c r="J1387" t="s">
        <v>22</v>
      </c>
      <c r="K1387">
        <v>1</v>
      </c>
      <c r="L1387">
        <v>15</v>
      </c>
      <c r="M1387">
        <v>15</v>
      </c>
      <c r="N1387">
        <f>IF(COUNTIFS($B$2:B1387,B1387)=1,1,0)</f>
        <v>1</v>
      </c>
    </row>
    <row r="1388" spans="1:14" x14ac:dyDescent="0.2">
      <c r="A1388">
        <v>1387</v>
      </c>
      <c r="B1388">
        <v>1693</v>
      </c>
      <c r="C1388">
        <f>1/COUNTIF(B:B,Table1[[#This Row],[order_id]])</f>
        <v>0.5</v>
      </c>
      <c r="D1388" t="str">
        <f>TEXT(Table1[[#This Row],[order_date]],"mmmm")</f>
        <v>April</v>
      </c>
      <c r="E1388" s="1">
        <v>45403</v>
      </c>
      <c r="F1388" s="1" t="str">
        <f>TEXT(Table1[[#This Row],[order_date]],"dddd")</f>
        <v>Sunday</v>
      </c>
      <c r="G1388">
        <f>HOUR(Table1[[#This Row],[order_time]])</f>
        <v>16</v>
      </c>
      <c r="H1388" s="2">
        <v>0.67702546296296295</v>
      </c>
      <c r="I1388" t="s">
        <v>9</v>
      </c>
      <c r="J1388" t="s">
        <v>20</v>
      </c>
      <c r="K1388">
        <v>4</v>
      </c>
      <c r="L1388">
        <v>25</v>
      </c>
      <c r="M1388">
        <v>100</v>
      </c>
      <c r="N1388">
        <f>IF(COUNTIFS($B$2:B1388,B1388)=1,1,0)</f>
        <v>0</v>
      </c>
    </row>
    <row r="1389" spans="1:14" x14ac:dyDescent="0.2">
      <c r="A1389">
        <v>1388</v>
      </c>
      <c r="B1389">
        <v>1694</v>
      </c>
      <c r="C1389">
        <f>1/COUNTIF(B:B,Table1[[#This Row],[order_id]])</f>
        <v>0.5</v>
      </c>
      <c r="D1389" t="str">
        <f>TEXT(Table1[[#This Row],[order_date]],"mmmm")</f>
        <v>April</v>
      </c>
      <c r="E1389" s="1">
        <v>45403</v>
      </c>
      <c r="F1389" s="1" t="str">
        <f>TEXT(Table1[[#This Row],[order_date]],"dddd")</f>
        <v>Sunday</v>
      </c>
      <c r="G1389">
        <f>HOUR(Table1[[#This Row],[order_time]])</f>
        <v>16</v>
      </c>
      <c r="H1389" s="2">
        <v>0.7082060185185185</v>
      </c>
      <c r="I1389" t="s">
        <v>11</v>
      </c>
      <c r="J1389" t="s">
        <v>12</v>
      </c>
      <c r="K1389">
        <v>2</v>
      </c>
      <c r="L1389">
        <v>650</v>
      </c>
      <c r="M1389">
        <v>1300</v>
      </c>
      <c r="N1389">
        <f>IF(COUNTIFS($B$2:B1389,B1389)=1,1,0)</f>
        <v>1</v>
      </c>
    </row>
    <row r="1390" spans="1:14" x14ac:dyDescent="0.2">
      <c r="A1390">
        <v>1389</v>
      </c>
      <c r="B1390">
        <v>1694</v>
      </c>
      <c r="C1390">
        <f>1/COUNTIF(B:B,Table1[[#This Row],[order_id]])</f>
        <v>0.5</v>
      </c>
      <c r="D1390" t="str">
        <f>TEXT(Table1[[#This Row],[order_date]],"mmmm")</f>
        <v>April</v>
      </c>
      <c r="E1390" s="1">
        <v>45403</v>
      </c>
      <c r="F1390" s="1" t="str">
        <f>TEXT(Table1[[#This Row],[order_date]],"dddd")</f>
        <v>Sunday</v>
      </c>
      <c r="G1390">
        <f>HOUR(Table1[[#This Row],[order_time]])</f>
        <v>10</v>
      </c>
      <c r="H1390" s="2">
        <v>0.42177083333333332</v>
      </c>
      <c r="I1390" t="s">
        <v>11</v>
      </c>
      <c r="J1390" t="s">
        <v>13</v>
      </c>
      <c r="K1390">
        <v>4</v>
      </c>
      <c r="L1390">
        <v>680</v>
      </c>
      <c r="M1390">
        <v>2720</v>
      </c>
      <c r="N1390">
        <f>IF(COUNTIFS($B$2:B1390,B1390)=1,1,0)</f>
        <v>0</v>
      </c>
    </row>
    <row r="1391" spans="1:14" x14ac:dyDescent="0.2">
      <c r="A1391">
        <v>1390</v>
      </c>
      <c r="B1391">
        <v>1695</v>
      </c>
      <c r="C1391">
        <f>1/COUNTIF(B:B,Table1[[#This Row],[order_id]])</f>
        <v>0.5</v>
      </c>
      <c r="D1391" t="str">
        <f>TEXT(Table1[[#This Row],[order_date]],"mmmm")</f>
        <v>April</v>
      </c>
      <c r="E1391" s="1">
        <v>45403</v>
      </c>
      <c r="F1391" s="1" t="str">
        <f>TEXT(Table1[[#This Row],[order_date]],"dddd")</f>
        <v>Sunday</v>
      </c>
      <c r="G1391">
        <f>HOUR(Table1[[#This Row],[order_time]])</f>
        <v>12</v>
      </c>
      <c r="H1391" s="2">
        <v>0.52285879629629628</v>
      </c>
      <c r="I1391" t="s">
        <v>11</v>
      </c>
      <c r="J1391" t="s">
        <v>25</v>
      </c>
      <c r="K1391">
        <v>4</v>
      </c>
      <c r="L1391">
        <v>1000</v>
      </c>
      <c r="M1391">
        <v>4000</v>
      </c>
      <c r="N1391">
        <f>IF(COUNTIFS($B$2:B1391,B1391)=1,1,0)</f>
        <v>1</v>
      </c>
    </row>
    <row r="1392" spans="1:14" x14ac:dyDescent="0.2">
      <c r="A1392">
        <v>1391</v>
      </c>
      <c r="B1392">
        <v>1695</v>
      </c>
      <c r="C1392">
        <f>1/COUNTIF(B:B,Table1[[#This Row],[order_id]])</f>
        <v>0.5</v>
      </c>
      <c r="D1392" t="str">
        <f>TEXT(Table1[[#This Row],[order_date]],"mmmm")</f>
        <v>April</v>
      </c>
      <c r="E1392" s="1">
        <v>45403</v>
      </c>
      <c r="F1392" s="1" t="str">
        <f>TEXT(Table1[[#This Row],[order_date]],"dddd")</f>
        <v>Sunday</v>
      </c>
      <c r="G1392">
        <f>HOUR(Table1[[#This Row],[order_time]])</f>
        <v>17</v>
      </c>
      <c r="H1392" s="2">
        <v>0.71324074074074073</v>
      </c>
      <c r="I1392" t="s">
        <v>11</v>
      </c>
      <c r="J1392" t="s">
        <v>15</v>
      </c>
      <c r="K1392">
        <v>1</v>
      </c>
      <c r="L1392">
        <v>600</v>
      </c>
      <c r="M1392">
        <v>600</v>
      </c>
      <c r="N1392">
        <f>IF(COUNTIFS($B$2:B1392,B1392)=1,1,0)</f>
        <v>0</v>
      </c>
    </row>
    <row r="1393" spans="1:14" x14ac:dyDescent="0.2">
      <c r="A1393">
        <v>1392</v>
      </c>
      <c r="B1393">
        <v>1696</v>
      </c>
      <c r="C1393">
        <f>1/COUNTIF(B:B,Table1[[#This Row],[order_id]])</f>
        <v>1</v>
      </c>
      <c r="D1393" t="str">
        <f>TEXT(Table1[[#This Row],[order_date]],"mmmm")</f>
        <v>April</v>
      </c>
      <c r="E1393" s="1">
        <v>45403</v>
      </c>
      <c r="F1393" s="1" t="str">
        <f>TEXT(Table1[[#This Row],[order_date]],"dddd")</f>
        <v>Sunday</v>
      </c>
      <c r="G1393">
        <f>HOUR(Table1[[#This Row],[order_time]])</f>
        <v>11</v>
      </c>
      <c r="H1393" s="2">
        <v>0.46945601851851854</v>
      </c>
      <c r="I1393" t="s">
        <v>11</v>
      </c>
      <c r="J1393" t="s">
        <v>12</v>
      </c>
      <c r="K1393">
        <v>1</v>
      </c>
      <c r="L1393">
        <v>650</v>
      </c>
      <c r="M1393">
        <v>650</v>
      </c>
      <c r="N1393">
        <f>IF(COUNTIFS($B$2:B1393,B1393)=1,1,0)</f>
        <v>1</v>
      </c>
    </row>
    <row r="1394" spans="1:14" x14ac:dyDescent="0.2">
      <c r="A1394">
        <v>1393</v>
      </c>
      <c r="B1394">
        <v>1697</v>
      </c>
      <c r="C1394">
        <f>1/COUNTIF(B:B,Table1[[#This Row],[order_id]])</f>
        <v>0.5</v>
      </c>
      <c r="D1394" t="str">
        <f>TEXT(Table1[[#This Row],[order_date]],"mmmm")</f>
        <v>April</v>
      </c>
      <c r="E1394" s="1">
        <v>45404</v>
      </c>
      <c r="F1394" s="1" t="str">
        <f>TEXT(Table1[[#This Row],[order_date]],"dddd")</f>
        <v>Monday</v>
      </c>
      <c r="G1394">
        <f>HOUR(Table1[[#This Row],[order_time]])</f>
        <v>15</v>
      </c>
      <c r="H1394" s="2">
        <v>0.65613425925925928</v>
      </c>
      <c r="I1394" t="s">
        <v>16</v>
      </c>
      <c r="J1394" t="s">
        <v>24</v>
      </c>
      <c r="K1394">
        <v>5</v>
      </c>
      <c r="L1394">
        <v>35</v>
      </c>
      <c r="M1394">
        <v>175</v>
      </c>
      <c r="N1394">
        <f>IF(COUNTIFS($B$2:B1394,B1394)=1,1,0)</f>
        <v>1</v>
      </c>
    </row>
    <row r="1395" spans="1:14" x14ac:dyDescent="0.2">
      <c r="A1395">
        <v>1394</v>
      </c>
      <c r="B1395">
        <v>1697</v>
      </c>
      <c r="C1395">
        <f>1/COUNTIF(B:B,Table1[[#This Row],[order_id]])</f>
        <v>0.5</v>
      </c>
      <c r="D1395" t="str">
        <f>TEXT(Table1[[#This Row],[order_date]],"mmmm")</f>
        <v>April</v>
      </c>
      <c r="E1395" s="1">
        <v>45404</v>
      </c>
      <c r="F1395" s="1" t="str">
        <f>TEXT(Table1[[#This Row],[order_date]],"dddd")</f>
        <v>Monday</v>
      </c>
      <c r="G1395">
        <f>HOUR(Table1[[#This Row],[order_time]])</f>
        <v>15</v>
      </c>
      <c r="H1395" s="2">
        <v>0.65861111111111115</v>
      </c>
      <c r="I1395" t="s">
        <v>9</v>
      </c>
      <c r="J1395" t="s">
        <v>21</v>
      </c>
      <c r="K1395">
        <v>5</v>
      </c>
      <c r="L1395">
        <v>10</v>
      </c>
      <c r="M1395">
        <v>50</v>
      </c>
      <c r="N1395">
        <f>IF(COUNTIFS($B$2:B1395,B1395)=1,1,0)</f>
        <v>0</v>
      </c>
    </row>
    <row r="1396" spans="1:14" x14ac:dyDescent="0.2">
      <c r="A1396">
        <v>1395</v>
      </c>
      <c r="B1396">
        <v>1698</v>
      </c>
      <c r="C1396">
        <f>1/COUNTIF(B:B,Table1[[#This Row],[order_id]])</f>
        <v>0.5</v>
      </c>
      <c r="D1396" t="str">
        <f>TEXT(Table1[[#This Row],[order_date]],"mmmm")</f>
        <v>April</v>
      </c>
      <c r="E1396" s="1">
        <v>45404</v>
      </c>
      <c r="F1396" s="1" t="str">
        <f>TEXT(Table1[[#This Row],[order_date]],"dddd")</f>
        <v>Monday</v>
      </c>
      <c r="G1396">
        <f>HOUR(Table1[[#This Row],[order_time]])</f>
        <v>17</v>
      </c>
      <c r="H1396" s="2">
        <v>0.7170023148148148</v>
      </c>
      <c r="I1396" t="s">
        <v>11</v>
      </c>
      <c r="J1396" t="s">
        <v>12</v>
      </c>
      <c r="K1396">
        <v>2</v>
      </c>
      <c r="L1396">
        <v>650</v>
      </c>
      <c r="M1396">
        <v>1300</v>
      </c>
      <c r="N1396">
        <f>IF(COUNTIFS($B$2:B1396,B1396)=1,1,0)</f>
        <v>1</v>
      </c>
    </row>
    <row r="1397" spans="1:14" x14ac:dyDescent="0.2">
      <c r="A1397">
        <v>1396</v>
      </c>
      <c r="B1397">
        <v>1698</v>
      </c>
      <c r="C1397">
        <f>1/COUNTIF(B:B,Table1[[#This Row],[order_id]])</f>
        <v>0.5</v>
      </c>
      <c r="D1397" t="str">
        <f>TEXT(Table1[[#This Row],[order_date]],"mmmm")</f>
        <v>April</v>
      </c>
      <c r="E1397" s="1">
        <v>45404</v>
      </c>
      <c r="F1397" s="1" t="str">
        <f>TEXT(Table1[[#This Row],[order_date]],"dddd")</f>
        <v>Monday</v>
      </c>
      <c r="G1397">
        <f>HOUR(Table1[[#This Row],[order_time]])</f>
        <v>9</v>
      </c>
      <c r="H1397" s="2">
        <v>0.41074074074074074</v>
      </c>
      <c r="I1397" t="s">
        <v>18</v>
      </c>
      <c r="J1397" t="s">
        <v>19</v>
      </c>
      <c r="K1397">
        <v>1</v>
      </c>
      <c r="L1397">
        <v>50</v>
      </c>
      <c r="M1397">
        <v>50</v>
      </c>
      <c r="N1397">
        <f>IF(COUNTIFS($B$2:B1397,B1397)=1,1,0)</f>
        <v>0</v>
      </c>
    </row>
    <row r="1398" spans="1:14" x14ac:dyDescent="0.2">
      <c r="A1398">
        <v>1397</v>
      </c>
      <c r="B1398">
        <v>1699</v>
      </c>
      <c r="C1398">
        <f>1/COUNTIF(B:B,Table1[[#This Row],[order_id]])</f>
        <v>0.33333333333333331</v>
      </c>
      <c r="D1398" t="str">
        <f>TEXT(Table1[[#This Row],[order_date]],"mmmm")</f>
        <v>April</v>
      </c>
      <c r="E1398" s="1">
        <v>45404</v>
      </c>
      <c r="F1398" s="1" t="str">
        <f>TEXT(Table1[[#This Row],[order_date]],"dddd")</f>
        <v>Monday</v>
      </c>
      <c r="G1398">
        <f>HOUR(Table1[[#This Row],[order_time]])</f>
        <v>9</v>
      </c>
      <c r="H1398" s="2">
        <v>0.38339120370370372</v>
      </c>
      <c r="I1398" t="s">
        <v>11</v>
      </c>
      <c r="J1398" t="s">
        <v>13</v>
      </c>
      <c r="K1398">
        <v>4</v>
      </c>
      <c r="L1398">
        <v>680</v>
      </c>
      <c r="M1398">
        <v>2720</v>
      </c>
      <c r="N1398">
        <f>IF(COUNTIFS($B$2:B1398,B1398)=1,1,0)</f>
        <v>1</v>
      </c>
    </row>
    <row r="1399" spans="1:14" x14ac:dyDescent="0.2">
      <c r="A1399">
        <v>1398</v>
      </c>
      <c r="B1399">
        <v>1699</v>
      </c>
      <c r="C1399">
        <f>1/COUNTIF(B:B,Table1[[#This Row],[order_id]])</f>
        <v>0.33333333333333331</v>
      </c>
      <c r="D1399" t="str">
        <f>TEXT(Table1[[#This Row],[order_date]],"mmmm")</f>
        <v>April</v>
      </c>
      <c r="E1399" s="1">
        <v>45404</v>
      </c>
      <c r="F1399" s="1" t="str">
        <f>TEXT(Table1[[#This Row],[order_date]],"dddd")</f>
        <v>Monday</v>
      </c>
      <c r="G1399">
        <f>HOUR(Table1[[#This Row],[order_time]])</f>
        <v>16</v>
      </c>
      <c r="H1399" s="2">
        <v>0.67547453703703708</v>
      </c>
      <c r="I1399" t="s">
        <v>9</v>
      </c>
      <c r="J1399" t="s">
        <v>20</v>
      </c>
      <c r="K1399">
        <v>4</v>
      </c>
      <c r="L1399">
        <v>25</v>
      </c>
      <c r="M1399">
        <v>100</v>
      </c>
      <c r="N1399">
        <f>IF(COUNTIFS($B$2:B1399,B1399)=1,1,0)</f>
        <v>0</v>
      </c>
    </row>
    <row r="1400" spans="1:14" x14ac:dyDescent="0.2">
      <c r="A1400">
        <v>1399</v>
      </c>
      <c r="B1400">
        <v>1699</v>
      </c>
      <c r="C1400">
        <f>1/COUNTIF(B:B,Table1[[#This Row],[order_id]])</f>
        <v>0.33333333333333331</v>
      </c>
      <c r="D1400" t="str">
        <f>TEXT(Table1[[#This Row],[order_date]],"mmmm")</f>
        <v>April</v>
      </c>
      <c r="E1400" s="1">
        <v>45404</v>
      </c>
      <c r="F1400" s="1" t="str">
        <f>TEXT(Table1[[#This Row],[order_date]],"dddd")</f>
        <v>Monday</v>
      </c>
      <c r="G1400">
        <f>HOUR(Table1[[#This Row],[order_time]])</f>
        <v>18</v>
      </c>
      <c r="H1400" s="2">
        <v>0.76824074074074078</v>
      </c>
      <c r="I1400" t="s">
        <v>11</v>
      </c>
      <c r="J1400" t="s">
        <v>12</v>
      </c>
      <c r="K1400">
        <v>2</v>
      </c>
      <c r="L1400">
        <v>650</v>
      </c>
      <c r="M1400">
        <v>1300</v>
      </c>
      <c r="N1400">
        <f>IF(COUNTIFS($B$2:B1400,B1400)=1,1,0)</f>
        <v>0</v>
      </c>
    </row>
    <row r="1401" spans="1:14" x14ac:dyDescent="0.2">
      <c r="A1401">
        <v>1400</v>
      </c>
      <c r="B1401">
        <v>1700</v>
      </c>
      <c r="C1401">
        <f>1/COUNTIF(B:B,Table1[[#This Row],[order_id]])</f>
        <v>1</v>
      </c>
      <c r="D1401" t="str">
        <f>TEXT(Table1[[#This Row],[order_date]],"mmmm")</f>
        <v>April</v>
      </c>
      <c r="E1401" s="1">
        <v>45404</v>
      </c>
      <c r="F1401" s="1" t="str">
        <f>TEXT(Table1[[#This Row],[order_date]],"dddd")</f>
        <v>Monday</v>
      </c>
      <c r="G1401">
        <f>HOUR(Table1[[#This Row],[order_time]])</f>
        <v>11</v>
      </c>
      <c r="H1401" s="2">
        <v>0.47974537037037035</v>
      </c>
      <c r="I1401" t="s">
        <v>11</v>
      </c>
      <c r="J1401" t="s">
        <v>14</v>
      </c>
      <c r="K1401">
        <v>1</v>
      </c>
      <c r="L1401">
        <v>700</v>
      </c>
      <c r="M1401">
        <v>700</v>
      </c>
      <c r="N1401">
        <f>IF(COUNTIFS($B$2:B1401,B1401)=1,1,0)</f>
        <v>1</v>
      </c>
    </row>
    <row r="1402" spans="1:14" x14ac:dyDescent="0.2">
      <c r="A1402">
        <v>1401</v>
      </c>
      <c r="B1402">
        <v>1701</v>
      </c>
      <c r="C1402">
        <f>1/COUNTIF(B:B,Table1[[#This Row],[order_id]])</f>
        <v>0.5</v>
      </c>
      <c r="D1402" t="str">
        <f>TEXT(Table1[[#This Row],[order_date]],"mmmm")</f>
        <v>April</v>
      </c>
      <c r="E1402" s="1">
        <v>45404</v>
      </c>
      <c r="F1402" s="1" t="str">
        <f>TEXT(Table1[[#This Row],[order_date]],"dddd")</f>
        <v>Monday</v>
      </c>
      <c r="G1402">
        <f>HOUR(Table1[[#This Row],[order_time]])</f>
        <v>16</v>
      </c>
      <c r="H1402" s="2">
        <v>0.7000925925925926</v>
      </c>
      <c r="I1402" t="s">
        <v>16</v>
      </c>
      <c r="J1402" t="s">
        <v>23</v>
      </c>
      <c r="K1402">
        <v>2</v>
      </c>
      <c r="L1402">
        <v>30</v>
      </c>
      <c r="M1402">
        <v>60</v>
      </c>
      <c r="N1402">
        <f>IF(COUNTIFS($B$2:B1402,B1402)=1,1,0)</f>
        <v>1</v>
      </c>
    </row>
    <row r="1403" spans="1:14" x14ac:dyDescent="0.2">
      <c r="A1403">
        <v>1402</v>
      </c>
      <c r="B1403">
        <v>1701</v>
      </c>
      <c r="C1403">
        <f>1/COUNTIF(B:B,Table1[[#This Row],[order_id]])</f>
        <v>0.5</v>
      </c>
      <c r="D1403" t="str">
        <f>TEXT(Table1[[#This Row],[order_date]],"mmmm")</f>
        <v>April</v>
      </c>
      <c r="E1403" s="1">
        <v>45404</v>
      </c>
      <c r="F1403" s="1" t="str">
        <f>TEXT(Table1[[#This Row],[order_date]],"dddd")</f>
        <v>Monday</v>
      </c>
      <c r="G1403">
        <f>HOUR(Table1[[#This Row],[order_time]])</f>
        <v>19</v>
      </c>
      <c r="H1403" s="2">
        <v>0.80024305555555553</v>
      </c>
      <c r="I1403" t="s">
        <v>9</v>
      </c>
      <c r="J1403" t="s">
        <v>21</v>
      </c>
      <c r="K1403">
        <v>5</v>
      </c>
      <c r="L1403">
        <v>10</v>
      </c>
      <c r="M1403">
        <v>50</v>
      </c>
      <c r="N1403">
        <f>IF(COUNTIFS($B$2:B1403,B1403)=1,1,0)</f>
        <v>0</v>
      </c>
    </row>
    <row r="1404" spans="1:14" x14ac:dyDescent="0.2">
      <c r="A1404">
        <v>1403</v>
      </c>
      <c r="B1404">
        <v>1702</v>
      </c>
      <c r="C1404">
        <f>1/COUNTIF(B:B,Table1[[#This Row],[order_id]])</f>
        <v>1</v>
      </c>
      <c r="D1404" t="str">
        <f>TEXT(Table1[[#This Row],[order_date]],"mmmm")</f>
        <v>April</v>
      </c>
      <c r="E1404" s="1">
        <v>45404</v>
      </c>
      <c r="F1404" s="1" t="str">
        <f>TEXT(Table1[[#This Row],[order_date]],"dddd")</f>
        <v>Monday</v>
      </c>
      <c r="G1404">
        <f>HOUR(Table1[[#This Row],[order_time]])</f>
        <v>9</v>
      </c>
      <c r="H1404" s="2">
        <v>0.4024652777777778</v>
      </c>
      <c r="I1404" t="s">
        <v>11</v>
      </c>
      <c r="J1404" t="s">
        <v>15</v>
      </c>
      <c r="K1404">
        <v>2</v>
      </c>
      <c r="L1404">
        <v>600</v>
      </c>
      <c r="M1404">
        <v>1200</v>
      </c>
      <c r="N1404">
        <f>IF(COUNTIFS($B$2:B1404,B1404)=1,1,0)</f>
        <v>1</v>
      </c>
    </row>
    <row r="1405" spans="1:14" x14ac:dyDescent="0.2">
      <c r="A1405">
        <v>1404</v>
      </c>
      <c r="B1405">
        <v>1703</v>
      </c>
      <c r="C1405">
        <f>1/COUNTIF(B:B,Table1[[#This Row],[order_id]])</f>
        <v>0.5</v>
      </c>
      <c r="D1405" t="str">
        <f>TEXT(Table1[[#This Row],[order_date]],"mmmm")</f>
        <v>April</v>
      </c>
      <c r="E1405" s="1">
        <v>45404</v>
      </c>
      <c r="F1405" s="1" t="str">
        <f>TEXT(Table1[[#This Row],[order_date]],"dddd")</f>
        <v>Monday</v>
      </c>
      <c r="G1405">
        <f>HOUR(Table1[[#This Row],[order_time]])</f>
        <v>20</v>
      </c>
      <c r="H1405" s="2">
        <v>0.85105324074074074</v>
      </c>
      <c r="I1405" t="s">
        <v>11</v>
      </c>
      <c r="J1405" t="s">
        <v>14</v>
      </c>
      <c r="K1405">
        <v>3</v>
      </c>
      <c r="L1405">
        <v>700</v>
      </c>
      <c r="M1405">
        <v>2100</v>
      </c>
      <c r="N1405">
        <f>IF(COUNTIFS($B$2:B1405,B1405)=1,1,0)</f>
        <v>1</v>
      </c>
    </row>
    <row r="1406" spans="1:14" x14ac:dyDescent="0.2">
      <c r="A1406">
        <v>1405</v>
      </c>
      <c r="B1406">
        <v>1703</v>
      </c>
      <c r="C1406">
        <f>1/COUNTIF(B:B,Table1[[#This Row],[order_id]])</f>
        <v>0.5</v>
      </c>
      <c r="D1406" t="str">
        <f>TEXT(Table1[[#This Row],[order_date]],"mmmm")</f>
        <v>April</v>
      </c>
      <c r="E1406" s="1">
        <v>45404</v>
      </c>
      <c r="F1406" s="1" t="str">
        <f>TEXT(Table1[[#This Row],[order_date]],"dddd")</f>
        <v>Monday</v>
      </c>
      <c r="G1406">
        <f>HOUR(Table1[[#This Row],[order_time]])</f>
        <v>16</v>
      </c>
      <c r="H1406" s="2">
        <v>0.68244212962962958</v>
      </c>
      <c r="I1406" t="s">
        <v>9</v>
      </c>
      <c r="J1406" t="s">
        <v>29</v>
      </c>
      <c r="K1406">
        <v>3</v>
      </c>
      <c r="L1406">
        <v>5</v>
      </c>
      <c r="M1406">
        <v>15</v>
      </c>
      <c r="N1406">
        <f>IF(COUNTIFS($B$2:B1406,B1406)=1,1,0)</f>
        <v>0</v>
      </c>
    </row>
    <row r="1407" spans="1:14" x14ac:dyDescent="0.2">
      <c r="A1407">
        <v>1406</v>
      </c>
      <c r="B1407">
        <v>1704</v>
      </c>
      <c r="C1407">
        <f>1/COUNTIF(B:B,Table1[[#This Row],[order_id]])</f>
        <v>0.33333333333333331</v>
      </c>
      <c r="D1407" t="str">
        <f>TEXT(Table1[[#This Row],[order_date]],"mmmm")</f>
        <v>April</v>
      </c>
      <c r="E1407" s="1">
        <v>45404</v>
      </c>
      <c r="F1407" s="1" t="str">
        <f>TEXT(Table1[[#This Row],[order_date]],"dddd")</f>
        <v>Monday</v>
      </c>
      <c r="G1407">
        <f>HOUR(Table1[[#This Row],[order_time]])</f>
        <v>11</v>
      </c>
      <c r="H1407" s="2">
        <v>0.49359953703703702</v>
      </c>
      <c r="I1407" t="s">
        <v>16</v>
      </c>
      <c r="J1407" t="s">
        <v>23</v>
      </c>
      <c r="K1407">
        <v>1</v>
      </c>
      <c r="L1407">
        <v>30</v>
      </c>
      <c r="M1407">
        <v>30</v>
      </c>
      <c r="N1407">
        <f>IF(COUNTIFS($B$2:B1407,B1407)=1,1,0)</f>
        <v>1</v>
      </c>
    </row>
    <row r="1408" spans="1:14" x14ac:dyDescent="0.2">
      <c r="A1408">
        <v>1407</v>
      </c>
      <c r="B1408">
        <v>1704</v>
      </c>
      <c r="C1408">
        <f>1/COUNTIF(B:B,Table1[[#This Row],[order_id]])</f>
        <v>0.33333333333333331</v>
      </c>
      <c r="D1408" t="str">
        <f>TEXT(Table1[[#This Row],[order_date]],"mmmm")</f>
        <v>April</v>
      </c>
      <c r="E1408" s="1">
        <v>45404</v>
      </c>
      <c r="F1408" s="1" t="str">
        <f>TEXT(Table1[[#This Row],[order_date]],"dddd")</f>
        <v>Monday</v>
      </c>
      <c r="G1408">
        <f>HOUR(Table1[[#This Row],[order_time]])</f>
        <v>9</v>
      </c>
      <c r="H1408" s="2">
        <v>0.38353009259259258</v>
      </c>
      <c r="I1408" t="s">
        <v>9</v>
      </c>
      <c r="J1408" t="s">
        <v>21</v>
      </c>
      <c r="K1408">
        <v>4</v>
      </c>
      <c r="L1408">
        <v>10</v>
      </c>
      <c r="M1408">
        <v>40</v>
      </c>
      <c r="N1408">
        <f>IF(COUNTIFS($B$2:B1408,B1408)=1,1,0)</f>
        <v>0</v>
      </c>
    </row>
    <row r="1409" spans="1:14" x14ac:dyDescent="0.2">
      <c r="A1409">
        <v>1408</v>
      </c>
      <c r="B1409">
        <v>1704</v>
      </c>
      <c r="C1409">
        <f>1/COUNTIF(B:B,Table1[[#This Row],[order_id]])</f>
        <v>0.33333333333333331</v>
      </c>
      <c r="D1409" t="str">
        <f>TEXT(Table1[[#This Row],[order_date]],"mmmm")</f>
        <v>April</v>
      </c>
      <c r="E1409" s="1">
        <v>45404</v>
      </c>
      <c r="F1409" s="1" t="str">
        <f>TEXT(Table1[[#This Row],[order_date]],"dddd")</f>
        <v>Monday</v>
      </c>
      <c r="G1409">
        <f>HOUR(Table1[[#This Row],[order_time]])</f>
        <v>12</v>
      </c>
      <c r="H1409" s="2">
        <v>0.52391203703703704</v>
      </c>
      <c r="I1409" t="s">
        <v>9</v>
      </c>
      <c r="J1409" t="s">
        <v>29</v>
      </c>
      <c r="K1409">
        <v>4</v>
      </c>
      <c r="L1409">
        <v>5</v>
      </c>
      <c r="M1409">
        <v>20</v>
      </c>
      <c r="N1409">
        <f>IF(COUNTIFS($B$2:B1409,B1409)=1,1,0)</f>
        <v>0</v>
      </c>
    </row>
    <row r="1410" spans="1:14" x14ac:dyDescent="0.2">
      <c r="A1410">
        <v>1409</v>
      </c>
      <c r="B1410">
        <v>1705</v>
      </c>
      <c r="C1410">
        <f>1/COUNTIF(B:B,Table1[[#This Row],[order_id]])</f>
        <v>1</v>
      </c>
      <c r="D1410" t="str">
        <f>TEXT(Table1[[#This Row],[order_date]],"mmmm")</f>
        <v>April</v>
      </c>
      <c r="E1410" s="1">
        <v>45404</v>
      </c>
      <c r="F1410" s="1" t="str">
        <f>TEXT(Table1[[#This Row],[order_date]],"dddd")</f>
        <v>Monday</v>
      </c>
      <c r="G1410">
        <f>HOUR(Table1[[#This Row],[order_time]])</f>
        <v>17</v>
      </c>
      <c r="H1410" s="2">
        <v>0.7167013888888889</v>
      </c>
      <c r="I1410" t="s">
        <v>9</v>
      </c>
      <c r="J1410" t="s">
        <v>29</v>
      </c>
      <c r="K1410">
        <v>1</v>
      </c>
      <c r="L1410">
        <v>5</v>
      </c>
      <c r="M1410">
        <v>5</v>
      </c>
      <c r="N1410">
        <f>IF(COUNTIFS($B$2:B1410,B1410)=1,1,0)</f>
        <v>1</v>
      </c>
    </row>
    <row r="1411" spans="1:14" x14ac:dyDescent="0.2">
      <c r="A1411">
        <v>1410</v>
      </c>
      <c r="B1411">
        <v>1706</v>
      </c>
      <c r="C1411">
        <f>1/COUNTIF(B:B,Table1[[#This Row],[order_id]])</f>
        <v>1</v>
      </c>
      <c r="D1411" t="str">
        <f>TEXT(Table1[[#This Row],[order_date]],"mmmm")</f>
        <v>April</v>
      </c>
      <c r="E1411" s="1">
        <v>45404</v>
      </c>
      <c r="F1411" s="1" t="str">
        <f>TEXT(Table1[[#This Row],[order_date]],"dddd")</f>
        <v>Monday</v>
      </c>
      <c r="G1411">
        <f>HOUR(Table1[[#This Row],[order_time]])</f>
        <v>19</v>
      </c>
      <c r="H1411" s="2">
        <v>0.81953703703703706</v>
      </c>
      <c r="I1411" t="s">
        <v>11</v>
      </c>
      <c r="J1411" t="s">
        <v>12</v>
      </c>
      <c r="K1411">
        <v>3</v>
      </c>
      <c r="L1411">
        <v>650</v>
      </c>
      <c r="M1411">
        <v>1950</v>
      </c>
      <c r="N1411">
        <f>IF(COUNTIFS($B$2:B1411,B1411)=1,1,0)</f>
        <v>1</v>
      </c>
    </row>
    <row r="1412" spans="1:14" x14ac:dyDescent="0.2">
      <c r="A1412">
        <v>1411</v>
      </c>
      <c r="B1412">
        <v>1707</v>
      </c>
      <c r="C1412">
        <f>1/COUNTIF(B:B,Table1[[#This Row],[order_id]])</f>
        <v>0.33333333333333331</v>
      </c>
      <c r="D1412" t="str">
        <f>TEXT(Table1[[#This Row],[order_date]],"mmmm")</f>
        <v>April</v>
      </c>
      <c r="E1412" s="1">
        <v>45405</v>
      </c>
      <c r="F1412" s="1" t="str">
        <f>TEXT(Table1[[#This Row],[order_date]],"dddd")</f>
        <v>Tuesday</v>
      </c>
      <c r="G1412">
        <f>HOUR(Table1[[#This Row],[order_time]])</f>
        <v>15</v>
      </c>
      <c r="H1412" s="2">
        <v>0.66460648148148149</v>
      </c>
      <c r="I1412" t="s">
        <v>9</v>
      </c>
      <c r="J1412" t="s">
        <v>29</v>
      </c>
      <c r="K1412">
        <v>3</v>
      </c>
      <c r="L1412">
        <v>5</v>
      </c>
      <c r="M1412">
        <v>15</v>
      </c>
      <c r="N1412">
        <f>IF(COUNTIFS($B$2:B1412,B1412)=1,1,0)</f>
        <v>1</v>
      </c>
    </row>
    <row r="1413" spans="1:14" x14ac:dyDescent="0.2">
      <c r="A1413">
        <v>1412</v>
      </c>
      <c r="B1413">
        <v>1707</v>
      </c>
      <c r="C1413">
        <f>1/COUNTIF(B:B,Table1[[#This Row],[order_id]])</f>
        <v>0.33333333333333331</v>
      </c>
      <c r="D1413" t="str">
        <f>TEXT(Table1[[#This Row],[order_date]],"mmmm")</f>
        <v>April</v>
      </c>
      <c r="E1413" s="1">
        <v>45405</v>
      </c>
      <c r="F1413" s="1" t="str">
        <f>TEXT(Table1[[#This Row],[order_date]],"dddd")</f>
        <v>Tuesday</v>
      </c>
      <c r="G1413">
        <f>HOUR(Table1[[#This Row],[order_time]])</f>
        <v>19</v>
      </c>
      <c r="H1413" s="2">
        <v>0.82729166666666665</v>
      </c>
      <c r="I1413" t="s">
        <v>16</v>
      </c>
      <c r="J1413" t="s">
        <v>28</v>
      </c>
      <c r="K1413">
        <v>5</v>
      </c>
      <c r="L1413">
        <v>25</v>
      </c>
      <c r="M1413">
        <v>125</v>
      </c>
      <c r="N1413">
        <f>IF(COUNTIFS($B$2:B1413,B1413)=1,1,0)</f>
        <v>0</v>
      </c>
    </row>
    <row r="1414" spans="1:14" x14ac:dyDescent="0.2">
      <c r="A1414">
        <v>1413</v>
      </c>
      <c r="B1414">
        <v>1707</v>
      </c>
      <c r="C1414">
        <f>1/COUNTIF(B:B,Table1[[#This Row],[order_id]])</f>
        <v>0.33333333333333331</v>
      </c>
      <c r="D1414" t="str">
        <f>TEXT(Table1[[#This Row],[order_date]],"mmmm")</f>
        <v>April</v>
      </c>
      <c r="E1414" s="1">
        <v>45405</v>
      </c>
      <c r="F1414" s="1" t="str">
        <f>TEXT(Table1[[#This Row],[order_date]],"dddd")</f>
        <v>Tuesday</v>
      </c>
      <c r="G1414">
        <f>HOUR(Table1[[#This Row],[order_time]])</f>
        <v>11</v>
      </c>
      <c r="H1414" s="2">
        <v>0.49692129629629628</v>
      </c>
      <c r="I1414" t="s">
        <v>9</v>
      </c>
      <c r="J1414" t="s">
        <v>21</v>
      </c>
      <c r="K1414">
        <v>4</v>
      </c>
      <c r="L1414">
        <v>10</v>
      </c>
      <c r="M1414">
        <v>40</v>
      </c>
      <c r="N1414">
        <f>IF(COUNTIFS($B$2:B1414,B1414)=1,1,0)</f>
        <v>0</v>
      </c>
    </row>
    <row r="1415" spans="1:14" x14ac:dyDescent="0.2">
      <c r="A1415">
        <v>1414</v>
      </c>
      <c r="B1415">
        <v>1708</v>
      </c>
      <c r="C1415">
        <f>1/COUNTIF(B:B,Table1[[#This Row],[order_id]])</f>
        <v>0.5</v>
      </c>
      <c r="D1415" t="str">
        <f>TEXT(Table1[[#This Row],[order_date]],"mmmm")</f>
        <v>April</v>
      </c>
      <c r="E1415" s="1">
        <v>45405</v>
      </c>
      <c r="F1415" s="1" t="str">
        <f>TEXT(Table1[[#This Row],[order_date]],"dddd")</f>
        <v>Tuesday</v>
      </c>
      <c r="G1415">
        <f>HOUR(Table1[[#This Row],[order_time]])</f>
        <v>13</v>
      </c>
      <c r="H1415" s="2">
        <v>0.56131944444444448</v>
      </c>
      <c r="I1415" t="s">
        <v>9</v>
      </c>
      <c r="J1415" t="s">
        <v>21</v>
      </c>
      <c r="K1415">
        <v>3</v>
      </c>
      <c r="L1415">
        <v>10</v>
      </c>
      <c r="M1415">
        <v>30</v>
      </c>
      <c r="N1415">
        <f>IF(COUNTIFS($B$2:B1415,B1415)=1,1,0)</f>
        <v>1</v>
      </c>
    </row>
    <row r="1416" spans="1:14" x14ac:dyDescent="0.2">
      <c r="A1416">
        <v>1415</v>
      </c>
      <c r="B1416">
        <v>1708</v>
      </c>
      <c r="C1416">
        <f>1/COUNTIF(B:B,Table1[[#This Row],[order_id]])</f>
        <v>0.5</v>
      </c>
      <c r="D1416" t="str">
        <f>TEXT(Table1[[#This Row],[order_date]],"mmmm")</f>
        <v>April</v>
      </c>
      <c r="E1416" s="1">
        <v>45405</v>
      </c>
      <c r="F1416" s="1" t="str">
        <f>TEXT(Table1[[#This Row],[order_date]],"dddd")</f>
        <v>Tuesday</v>
      </c>
      <c r="G1416">
        <f>HOUR(Table1[[#This Row],[order_time]])</f>
        <v>16</v>
      </c>
      <c r="H1416" s="2">
        <v>0.69247685185185182</v>
      </c>
      <c r="I1416" t="s">
        <v>16</v>
      </c>
      <c r="J1416" t="s">
        <v>23</v>
      </c>
      <c r="K1416">
        <v>3</v>
      </c>
      <c r="L1416">
        <v>30</v>
      </c>
      <c r="M1416">
        <v>90</v>
      </c>
      <c r="N1416">
        <f>IF(COUNTIFS($B$2:B1416,B1416)=1,1,0)</f>
        <v>0</v>
      </c>
    </row>
    <row r="1417" spans="1:14" x14ac:dyDescent="0.2">
      <c r="A1417">
        <v>1416</v>
      </c>
      <c r="B1417">
        <v>1709</v>
      </c>
      <c r="C1417">
        <f>1/COUNTIF(B:B,Table1[[#This Row],[order_id]])</f>
        <v>1</v>
      </c>
      <c r="D1417" t="str">
        <f>TEXT(Table1[[#This Row],[order_date]],"mmmm")</f>
        <v>April</v>
      </c>
      <c r="E1417" s="1">
        <v>45405</v>
      </c>
      <c r="F1417" s="1" t="str">
        <f>TEXT(Table1[[#This Row],[order_date]],"dddd")</f>
        <v>Tuesday</v>
      </c>
      <c r="G1417">
        <f>HOUR(Table1[[#This Row],[order_time]])</f>
        <v>12</v>
      </c>
      <c r="H1417" s="2">
        <v>0.52523148148148147</v>
      </c>
      <c r="I1417" t="s">
        <v>18</v>
      </c>
      <c r="J1417" t="s">
        <v>26</v>
      </c>
      <c r="K1417">
        <v>5</v>
      </c>
      <c r="L1417">
        <v>55</v>
      </c>
      <c r="M1417">
        <v>275</v>
      </c>
      <c r="N1417">
        <f>IF(COUNTIFS($B$2:B1417,B1417)=1,1,0)</f>
        <v>1</v>
      </c>
    </row>
    <row r="1418" spans="1:14" x14ac:dyDescent="0.2">
      <c r="A1418">
        <v>1417</v>
      </c>
      <c r="B1418">
        <v>1710</v>
      </c>
      <c r="C1418">
        <f>1/COUNTIF(B:B,Table1[[#This Row],[order_id]])</f>
        <v>0.5</v>
      </c>
      <c r="D1418" t="str">
        <f>TEXT(Table1[[#This Row],[order_date]],"mmmm")</f>
        <v>April</v>
      </c>
      <c r="E1418" s="1">
        <v>45405</v>
      </c>
      <c r="F1418" s="1" t="str">
        <f>TEXT(Table1[[#This Row],[order_date]],"dddd")</f>
        <v>Tuesday</v>
      </c>
      <c r="G1418">
        <f>HOUR(Table1[[#This Row],[order_time]])</f>
        <v>17</v>
      </c>
      <c r="H1418" s="2">
        <v>0.73488425925925926</v>
      </c>
      <c r="I1418" t="s">
        <v>16</v>
      </c>
      <c r="J1418" t="s">
        <v>17</v>
      </c>
      <c r="K1418">
        <v>2</v>
      </c>
      <c r="L1418">
        <v>20</v>
      </c>
      <c r="M1418">
        <v>40</v>
      </c>
      <c r="N1418">
        <f>IF(COUNTIFS($B$2:B1418,B1418)=1,1,0)</f>
        <v>1</v>
      </c>
    </row>
    <row r="1419" spans="1:14" x14ac:dyDescent="0.2">
      <c r="A1419">
        <v>1418</v>
      </c>
      <c r="B1419">
        <v>1710</v>
      </c>
      <c r="C1419">
        <f>1/COUNTIF(B:B,Table1[[#This Row],[order_id]])</f>
        <v>0.5</v>
      </c>
      <c r="D1419" t="str">
        <f>TEXT(Table1[[#This Row],[order_date]],"mmmm")</f>
        <v>April</v>
      </c>
      <c r="E1419" s="1">
        <v>45405</v>
      </c>
      <c r="F1419" s="1" t="str">
        <f>TEXT(Table1[[#This Row],[order_date]],"dddd")</f>
        <v>Tuesday</v>
      </c>
      <c r="G1419">
        <f>HOUR(Table1[[#This Row],[order_time]])</f>
        <v>11</v>
      </c>
      <c r="H1419" s="2">
        <v>0.48908564814814814</v>
      </c>
      <c r="I1419" t="s">
        <v>18</v>
      </c>
      <c r="J1419" t="s">
        <v>30</v>
      </c>
      <c r="K1419">
        <v>4</v>
      </c>
      <c r="L1419">
        <v>60</v>
      </c>
      <c r="M1419">
        <v>240</v>
      </c>
      <c r="N1419">
        <f>IF(COUNTIFS($B$2:B1419,B1419)=1,1,0)</f>
        <v>0</v>
      </c>
    </row>
    <row r="1420" spans="1:14" x14ac:dyDescent="0.2">
      <c r="A1420">
        <v>1419</v>
      </c>
      <c r="B1420">
        <v>1711</v>
      </c>
      <c r="C1420">
        <f>1/COUNTIF(B:B,Table1[[#This Row],[order_id]])</f>
        <v>1</v>
      </c>
      <c r="D1420" t="str">
        <f>TEXT(Table1[[#This Row],[order_date]],"mmmm")</f>
        <v>April</v>
      </c>
      <c r="E1420" s="1">
        <v>45405</v>
      </c>
      <c r="F1420" s="1" t="str">
        <f>TEXT(Table1[[#This Row],[order_date]],"dddd")</f>
        <v>Tuesday</v>
      </c>
      <c r="G1420">
        <f>HOUR(Table1[[#This Row],[order_time]])</f>
        <v>17</v>
      </c>
      <c r="H1420" s="2">
        <v>0.72586805555555556</v>
      </c>
      <c r="I1420" t="s">
        <v>11</v>
      </c>
      <c r="J1420" t="s">
        <v>15</v>
      </c>
      <c r="K1420">
        <v>4</v>
      </c>
      <c r="L1420">
        <v>600</v>
      </c>
      <c r="M1420">
        <v>2400</v>
      </c>
      <c r="N1420">
        <f>IF(COUNTIFS($B$2:B1420,B1420)=1,1,0)</f>
        <v>1</v>
      </c>
    </row>
    <row r="1421" spans="1:14" x14ac:dyDescent="0.2">
      <c r="A1421">
        <v>1420</v>
      </c>
      <c r="B1421">
        <v>1712</v>
      </c>
      <c r="C1421">
        <f>1/COUNTIF(B:B,Table1[[#This Row],[order_id]])</f>
        <v>1</v>
      </c>
      <c r="D1421" t="str">
        <f>TEXT(Table1[[#This Row],[order_date]],"mmmm")</f>
        <v>April</v>
      </c>
      <c r="E1421" s="1">
        <v>45405</v>
      </c>
      <c r="F1421" s="1" t="str">
        <f>TEXT(Table1[[#This Row],[order_date]],"dddd")</f>
        <v>Tuesday</v>
      </c>
      <c r="G1421">
        <f>HOUR(Table1[[#This Row],[order_time]])</f>
        <v>15</v>
      </c>
      <c r="H1421" s="2">
        <v>0.65265046296296292</v>
      </c>
      <c r="I1421" t="s">
        <v>18</v>
      </c>
      <c r="J1421" t="s">
        <v>27</v>
      </c>
      <c r="K1421">
        <v>5</v>
      </c>
      <c r="L1421">
        <v>40</v>
      </c>
      <c r="M1421">
        <v>200</v>
      </c>
      <c r="N1421">
        <f>IF(COUNTIFS($B$2:B1421,B1421)=1,1,0)</f>
        <v>1</v>
      </c>
    </row>
    <row r="1422" spans="1:14" x14ac:dyDescent="0.2">
      <c r="A1422">
        <v>1421</v>
      </c>
      <c r="B1422">
        <v>1713</v>
      </c>
      <c r="C1422">
        <f>1/COUNTIF(B:B,Table1[[#This Row],[order_id]])</f>
        <v>0.33333333333333331</v>
      </c>
      <c r="D1422" t="str">
        <f>TEXT(Table1[[#This Row],[order_date]],"mmmm")</f>
        <v>April</v>
      </c>
      <c r="E1422" s="1">
        <v>45405</v>
      </c>
      <c r="F1422" s="1" t="str">
        <f>TEXT(Table1[[#This Row],[order_date]],"dddd")</f>
        <v>Tuesday</v>
      </c>
      <c r="G1422">
        <f>HOUR(Table1[[#This Row],[order_time]])</f>
        <v>16</v>
      </c>
      <c r="H1422" s="2">
        <v>0.69923611111111106</v>
      </c>
      <c r="I1422" t="s">
        <v>11</v>
      </c>
      <c r="J1422" t="s">
        <v>13</v>
      </c>
      <c r="K1422">
        <v>5</v>
      </c>
      <c r="L1422">
        <v>680</v>
      </c>
      <c r="M1422">
        <v>3400</v>
      </c>
      <c r="N1422">
        <f>IF(COUNTIFS($B$2:B1422,B1422)=1,1,0)</f>
        <v>1</v>
      </c>
    </row>
    <row r="1423" spans="1:14" x14ac:dyDescent="0.2">
      <c r="A1423">
        <v>1422</v>
      </c>
      <c r="B1423">
        <v>1713</v>
      </c>
      <c r="C1423">
        <f>1/COUNTIF(B:B,Table1[[#This Row],[order_id]])</f>
        <v>0.33333333333333331</v>
      </c>
      <c r="D1423" t="str">
        <f>TEXT(Table1[[#This Row],[order_date]],"mmmm")</f>
        <v>April</v>
      </c>
      <c r="E1423" s="1">
        <v>45405</v>
      </c>
      <c r="F1423" s="1" t="str">
        <f>TEXT(Table1[[#This Row],[order_date]],"dddd")</f>
        <v>Tuesday</v>
      </c>
      <c r="G1423">
        <f>HOUR(Table1[[#This Row],[order_time]])</f>
        <v>16</v>
      </c>
      <c r="H1423" s="2">
        <v>0.697662037037037</v>
      </c>
      <c r="I1423" t="s">
        <v>16</v>
      </c>
      <c r="J1423" t="s">
        <v>24</v>
      </c>
      <c r="K1423">
        <v>2</v>
      </c>
      <c r="L1423">
        <v>35</v>
      </c>
      <c r="M1423">
        <v>70</v>
      </c>
      <c r="N1423">
        <f>IF(COUNTIFS($B$2:B1423,B1423)=1,1,0)</f>
        <v>0</v>
      </c>
    </row>
    <row r="1424" spans="1:14" x14ac:dyDescent="0.2">
      <c r="A1424">
        <v>1423</v>
      </c>
      <c r="B1424">
        <v>1713</v>
      </c>
      <c r="C1424">
        <f>1/COUNTIF(B:B,Table1[[#This Row],[order_id]])</f>
        <v>0.33333333333333331</v>
      </c>
      <c r="D1424" t="str">
        <f>TEXT(Table1[[#This Row],[order_date]],"mmmm")</f>
        <v>April</v>
      </c>
      <c r="E1424" s="1">
        <v>45405</v>
      </c>
      <c r="F1424" s="1" t="str">
        <f>TEXT(Table1[[#This Row],[order_date]],"dddd")</f>
        <v>Tuesday</v>
      </c>
      <c r="G1424">
        <f>HOUR(Table1[[#This Row],[order_time]])</f>
        <v>17</v>
      </c>
      <c r="H1424" s="2">
        <v>0.7437731481481481</v>
      </c>
      <c r="I1424" t="s">
        <v>11</v>
      </c>
      <c r="J1424" t="s">
        <v>13</v>
      </c>
      <c r="K1424">
        <v>5</v>
      </c>
      <c r="L1424">
        <v>680</v>
      </c>
      <c r="M1424">
        <v>3400</v>
      </c>
      <c r="N1424">
        <f>IF(COUNTIFS($B$2:B1424,B1424)=1,1,0)</f>
        <v>0</v>
      </c>
    </row>
    <row r="1425" spans="1:14" x14ac:dyDescent="0.2">
      <c r="A1425">
        <v>1424</v>
      </c>
      <c r="B1425">
        <v>1714</v>
      </c>
      <c r="C1425">
        <f>1/COUNTIF(B:B,Table1[[#This Row],[order_id]])</f>
        <v>0.33333333333333331</v>
      </c>
      <c r="D1425" t="str">
        <f>TEXT(Table1[[#This Row],[order_date]],"mmmm")</f>
        <v>April</v>
      </c>
      <c r="E1425" s="1">
        <v>45405</v>
      </c>
      <c r="F1425" s="1" t="str">
        <f>TEXT(Table1[[#This Row],[order_date]],"dddd")</f>
        <v>Tuesday</v>
      </c>
      <c r="G1425">
        <f>HOUR(Table1[[#This Row],[order_time]])</f>
        <v>15</v>
      </c>
      <c r="H1425" s="2">
        <v>0.64038194444444441</v>
      </c>
      <c r="I1425" t="s">
        <v>11</v>
      </c>
      <c r="J1425" t="s">
        <v>25</v>
      </c>
      <c r="K1425">
        <v>4</v>
      </c>
      <c r="L1425">
        <v>1000</v>
      </c>
      <c r="M1425">
        <v>4000</v>
      </c>
      <c r="N1425">
        <f>IF(COUNTIFS($B$2:B1425,B1425)=1,1,0)</f>
        <v>1</v>
      </c>
    </row>
    <row r="1426" spans="1:14" x14ac:dyDescent="0.2">
      <c r="A1426">
        <v>1425</v>
      </c>
      <c r="B1426">
        <v>1714</v>
      </c>
      <c r="C1426">
        <f>1/COUNTIF(B:B,Table1[[#This Row],[order_id]])</f>
        <v>0.33333333333333331</v>
      </c>
      <c r="D1426" t="str">
        <f>TEXT(Table1[[#This Row],[order_date]],"mmmm")</f>
        <v>April</v>
      </c>
      <c r="E1426" s="1">
        <v>45405</v>
      </c>
      <c r="F1426" s="1" t="str">
        <f>TEXT(Table1[[#This Row],[order_date]],"dddd")</f>
        <v>Tuesday</v>
      </c>
      <c r="G1426">
        <f>HOUR(Table1[[#This Row],[order_time]])</f>
        <v>20</v>
      </c>
      <c r="H1426" s="2">
        <v>0.86157407407407405</v>
      </c>
      <c r="I1426" t="s">
        <v>9</v>
      </c>
      <c r="J1426" t="s">
        <v>20</v>
      </c>
      <c r="K1426">
        <v>2</v>
      </c>
      <c r="L1426">
        <v>25</v>
      </c>
      <c r="M1426">
        <v>50</v>
      </c>
      <c r="N1426">
        <f>IF(COUNTIFS($B$2:B1426,B1426)=1,1,0)</f>
        <v>0</v>
      </c>
    </row>
    <row r="1427" spans="1:14" x14ac:dyDescent="0.2">
      <c r="A1427">
        <v>1426</v>
      </c>
      <c r="B1427">
        <v>1714</v>
      </c>
      <c r="C1427">
        <f>1/COUNTIF(B:B,Table1[[#This Row],[order_id]])</f>
        <v>0.33333333333333331</v>
      </c>
      <c r="D1427" t="str">
        <f>TEXT(Table1[[#This Row],[order_date]],"mmmm")</f>
        <v>April</v>
      </c>
      <c r="E1427" s="1">
        <v>45405</v>
      </c>
      <c r="F1427" s="1" t="str">
        <f>TEXT(Table1[[#This Row],[order_date]],"dddd")</f>
        <v>Tuesday</v>
      </c>
      <c r="G1427">
        <f>HOUR(Table1[[#This Row],[order_time]])</f>
        <v>17</v>
      </c>
      <c r="H1427" s="2">
        <v>0.74472222222222217</v>
      </c>
      <c r="I1427" t="s">
        <v>11</v>
      </c>
      <c r="J1427" t="s">
        <v>25</v>
      </c>
      <c r="K1427">
        <v>4</v>
      </c>
      <c r="L1427">
        <v>1000</v>
      </c>
      <c r="M1427">
        <v>4000</v>
      </c>
      <c r="N1427">
        <f>IF(COUNTIFS($B$2:B1427,B1427)=1,1,0)</f>
        <v>0</v>
      </c>
    </row>
    <row r="1428" spans="1:14" x14ac:dyDescent="0.2">
      <c r="A1428">
        <v>1427</v>
      </c>
      <c r="B1428">
        <v>1715</v>
      </c>
      <c r="C1428">
        <f>1/COUNTIF(B:B,Table1[[#This Row],[order_id]])</f>
        <v>0.33333333333333331</v>
      </c>
      <c r="D1428" t="str">
        <f>TEXT(Table1[[#This Row],[order_date]],"mmmm")</f>
        <v>April</v>
      </c>
      <c r="E1428" s="1">
        <v>45405</v>
      </c>
      <c r="F1428" s="1" t="str">
        <f>TEXT(Table1[[#This Row],[order_date]],"dddd")</f>
        <v>Tuesday</v>
      </c>
      <c r="G1428">
        <f>HOUR(Table1[[#This Row],[order_time]])</f>
        <v>10</v>
      </c>
      <c r="H1428" s="2">
        <v>0.41899305555555555</v>
      </c>
      <c r="I1428" t="s">
        <v>11</v>
      </c>
      <c r="J1428" t="s">
        <v>25</v>
      </c>
      <c r="K1428">
        <v>1</v>
      </c>
      <c r="L1428">
        <v>1000</v>
      </c>
      <c r="M1428">
        <v>1000</v>
      </c>
      <c r="N1428">
        <f>IF(COUNTIFS($B$2:B1428,B1428)=1,1,0)</f>
        <v>1</v>
      </c>
    </row>
    <row r="1429" spans="1:14" x14ac:dyDescent="0.2">
      <c r="A1429">
        <v>1428</v>
      </c>
      <c r="B1429">
        <v>1715</v>
      </c>
      <c r="C1429">
        <f>1/COUNTIF(B:B,Table1[[#This Row],[order_id]])</f>
        <v>0.33333333333333331</v>
      </c>
      <c r="D1429" t="str">
        <f>TEXT(Table1[[#This Row],[order_date]],"mmmm")</f>
        <v>April</v>
      </c>
      <c r="E1429" s="1">
        <v>45405</v>
      </c>
      <c r="F1429" s="1" t="str">
        <f>TEXT(Table1[[#This Row],[order_date]],"dddd")</f>
        <v>Tuesday</v>
      </c>
      <c r="G1429">
        <f>HOUR(Table1[[#This Row],[order_time]])</f>
        <v>13</v>
      </c>
      <c r="H1429" s="2">
        <v>0.57776620370370368</v>
      </c>
      <c r="I1429" t="s">
        <v>9</v>
      </c>
      <c r="J1429" t="s">
        <v>29</v>
      </c>
      <c r="K1429">
        <v>5</v>
      </c>
      <c r="L1429">
        <v>5</v>
      </c>
      <c r="M1429">
        <v>25</v>
      </c>
      <c r="N1429">
        <f>IF(COUNTIFS($B$2:B1429,B1429)=1,1,0)</f>
        <v>0</v>
      </c>
    </row>
    <row r="1430" spans="1:14" x14ac:dyDescent="0.2">
      <c r="A1430">
        <v>1429</v>
      </c>
      <c r="B1430">
        <v>1715</v>
      </c>
      <c r="C1430">
        <f>1/COUNTIF(B:B,Table1[[#This Row],[order_id]])</f>
        <v>0.33333333333333331</v>
      </c>
      <c r="D1430" t="str">
        <f>TEXT(Table1[[#This Row],[order_date]],"mmmm")</f>
        <v>April</v>
      </c>
      <c r="E1430" s="1">
        <v>45405</v>
      </c>
      <c r="F1430" s="1" t="str">
        <f>TEXT(Table1[[#This Row],[order_date]],"dddd")</f>
        <v>Tuesday</v>
      </c>
      <c r="G1430">
        <f>HOUR(Table1[[#This Row],[order_time]])</f>
        <v>10</v>
      </c>
      <c r="H1430" s="2">
        <v>0.44930555555555557</v>
      </c>
      <c r="I1430" t="s">
        <v>18</v>
      </c>
      <c r="J1430" t="s">
        <v>27</v>
      </c>
      <c r="K1430">
        <v>3</v>
      </c>
      <c r="L1430">
        <v>40</v>
      </c>
      <c r="M1430">
        <v>120</v>
      </c>
      <c r="N1430">
        <f>IF(COUNTIFS($B$2:B1430,B1430)=1,1,0)</f>
        <v>0</v>
      </c>
    </row>
    <row r="1431" spans="1:14" x14ac:dyDescent="0.2">
      <c r="A1431">
        <v>1430</v>
      </c>
      <c r="B1431">
        <v>1716</v>
      </c>
      <c r="C1431">
        <f>1/COUNTIF(B:B,Table1[[#This Row],[order_id]])</f>
        <v>1</v>
      </c>
      <c r="D1431" t="str">
        <f>TEXT(Table1[[#This Row],[order_date]],"mmmm")</f>
        <v>April</v>
      </c>
      <c r="E1431" s="1">
        <v>45405</v>
      </c>
      <c r="F1431" s="1" t="str">
        <f>TEXT(Table1[[#This Row],[order_date]],"dddd")</f>
        <v>Tuesday</v>
      </c>
      <c r="G1431">
        <f>HOUR(Table1[[#This Row],[order_time]])</f>
        <v>17</v>
      </c>
      <c r="H1431" s="2">
        <v>0.71898148148148144</v>
      </c>
      <c r="I1431" t="s">
        <v>18</v>
      </c>
      <c r="J1431" t="s">
        <v>26</v>
      </c>
      <c r="K1431">
        <v>3</v>
      </c>
      <c r="L1431">
        <v>55</v>
      </c>
      <c r="M1431">
        <v>165</v>
      </c>
      <c r="N1431">
        <f>IF(COUNTIFS($B$2:B1431,B1431)=1,1,0)</f>
        <v>1</v>
      </c>
    </row>
    <row r="1432" spans="1:14" x14ac:dyDescent="0.2">
      <c r="A1432">
        <v>1431</v>
      </c>
      <c r="B1432">
        <v>1717</v>
      </c>
      <c r="C1432">
        <f>1/COUNTIF(B:B,Table1[[#This Row],[order_id]])</f>
        <v>0.33333333333333331</v>
      </c>
      <c r="D1432" t="str">
        <f>TEXT(Table1[[#This Row],[order_date]],"mmmm")</f>
        <v>April</v>
      </c>
      <c r="E1432" s="1">
        <v>45406</v>
      </c>
      <c r="F1432" s="1" t="str">
        <f>TEXT(Table1[[#This Row],[order_date]],"dddd")</f>
        <v>Wednesday</v>
      </c>
      <c r="G1432">
        <f>HOUR(Table1[[#This Row],[order_time]])</f>
        <v>12</v>
      </c>
      <c r="H1432" s="2">
        <v>0.51537037037037037</v>
      </c>
      <c r="I1432" t="s">
        <v>16</v>
      </c>
      <c r="J1432" t="s">
        <v>23</v>
      </c>
      <c r="K1432">
        <v>5</v>
      </c>
      <c r="L1432">
        <v>30</v>
      </c>
      <c r="M1432">
        <v>150</v>
      </c>
      <c r="N1432">
        <f>IF(COUNTIFS($B$2:B1432,B1432)=1,1,0)</f>
        <v>1</v>
      </c>
    </row>
    <row r="1433" spans="1:14" x14ac:dyDescent="0.2">
      <c r="A1433">
        <v>1432</v>
      </c>
      <c r="B1433">
        <v>1717</v>
      </c>
      <c r="C1433">
        <f>1/COUNTIF(B:B,Table1[[#This Row],[order_id]])</f>
        <v>0.33333333333333331</v>
      </c>
      <c r="D1433" t="str">
        <f>TEXT(Table1[[#This Row],[order_date]],"mmmm")</f>
        <v>April</v>
      </c>
      <c r="E1433" s="1">
        <v>45406</v>
      </c>
      <c r="F1433" s="1" t="str">
        <f>TEXT(Table1[[#This Row],[order_date]],"dddd")</f>
        <v>Wednesday</v>
      </c>
      <c r="G1433">
        <f>HOUR(Table1[[#This Row],[order_time]])</f>
        <v>12</v>
      </c>
      <c r="H1433" s="2">
        <v>0.54076388888888893</v>
      </c>
      <c r="I1433" t="s">
        <v>16</v>
      </c>
      <c r="J1433" t="s">
        <v>28</v>
      </c>
      <c r="K1433">
        <v>4</v>
      </c>
      <c r="L1433">
        <v>25</v>
      </c>
      <c r="M1433">
        <v>100</v>
      </c>
      <c r="N1433">
        <f>IF(COUNTIFS($B$2:B1433,B1433)=1,1,0)</f>
        <v>0</v>
      </c>
    </row>
    <row r="1434" spans="1:14" x14ac:dyDescent="0.2">
      <c r="A1434">
        <v>1433</v>
      </c>
      <c r="B1434">
        <v>1717</v>
      </c>
      <c r="C1434">
        <f>1/COUNTIF(B:B,Table1[[#This Row],[order_id]])</f>
        <v>0.33333333333333331</v>
      </c>
      <c r="D1434" t="str">
        <f>TEXT(Table1[[#This Row],[order_date]],"mmmm")</f>
        <v>April</v>
      </c>
      <c r="E1434" s="1">
        <v>45406</v>
      </c>
      <c r="F1434" s="1" t="str">
        <f>TEXT(Table1[[#This Row],[order_date]],"dddd")</f>
        <v>Wednesday</v>
      </c>
      <c r="G1434">
        <f>HOUR(Table1[[#This Row],[order_time]])</f>
        <v>9</v>
      </c>
      <c r="H1434" s="2">
        <v>0.39427083333333335</v>
      </c>
      <c r="I1434" t="s">
        <v>18</v>
      </c>
      <c r="J1434" t="s">
        <v>27</v>
      </c>
      <c r="K1434">
        <v>4</v>
      </c>
      <c r="L1434">
        <v>40</v>
      </c>
      <c r="M1434">
        <v>160</v>
      </c>
      <c r="N1434">
        <f>IF(COUNTIFS($B$2:B1434,B1434)=1,1,0)</f>
        <v>0</v>
      </c>
    </row>
    <row r="1435" spans="1:14" x14ac:dyDescent="0.2">
      <c r="A1435">
        <v>1434</v>
      </c>
      <c r="B1435">
        <v>1718</v>
      </c>
      <c r="C1435">
        <f>1/COUNTIF(B:B,Table1[[#This Row],[order_id]])</f>
        <v>0.33333333333333331</v>
      </c>
      <c r="D1435" t="str">
        <f>TEXT(Table1[[#This Row],[order_date]],"mmmm")</f>
        <v>April</v>
      </c>
      <c r="E1435" s="1">
        <v>45406</v>
      </c>
      <c r="F1435" s="1" t="str">
        <f>TEXT(Table1[[#This Row],[order_date]],"dddd")</f>
        <v>Wednesday</v>
      </c>
      <c r="G1435">
        <f>HOUR(Table1[[#This Row],[order_time]])</f>
        <v>11</v>
      </c>
      <c r="H1435" s="2">
        <v>0.47430555555555554</v>
      </c>
      <c r="I1435" t="s">
        <v>16</v>
      </c>
      <c r="J1435" t="s">
        <v>23</v>
      </c>
      <c r="K1435">
        <v>4</v>
      </c>
      <c r="L1435">
        <v>30</v>
      </c>
      <c r="M1435">
        <v>120</v>
      </c>
      <c r="N1435">
        <f>IF(COUNTIFS($B$2:B1435,B1435)=1,1,0)</f>
        <v>1</v>
      </c>
    </row>
    <row r="1436" spans="1:14" x14ac:dyDescent="0.2">
      <c r="A1436">
        <v>1435</v>
      </c>
      <c r="B1436">
        <v>1718</v>
      </c>
      <c r="C1436">
        <f>1/COUNTIF(B:B,Table1[[#This Row],[order_id]])</f>
        <v>0.33333333333333331</v>
      </c>
      <c r="D1436" t="str">
        <f>TEXT(Table1[[#This Row],[order_date]],"mmmm")</f>
        <v>April</v>
      </c>
      <c r="E1436" s="1">
        <v>45406</v>
      </c>
      <c r="F1436" s="1" t="str">
        <f>TEXT(Table1[[#This Row],[order_date]],"dddd")</f>
        <v>Wednesday</v>
      </c>
      <c r="G1436">
        <f>HOUR(Table1[[#This Row],[order_time]])</f>
        <v>11</v>
      </c>
      <c r="H1436" s="2">
        <v>0.49681712962962965</v>
      </c>
      <c r="I1436" t="s">
        <v>9</v>
      </c>
      <c r="J1436" t="s">
        <v>20</v>
      </c>
      <c r="K1436">
        <v>5</v>
      </c>
      <c r="L1436">
        <v>25</v>
      </c>
      <c r="M1436">
        <v>125</v>
      </c>
      <c r="N1436">
        <f>IF(COUNTIFS($B$2:B1436,B1436)=1,1,0)</f>
        <v>0</v>
      </c>
    </row>
    <row r="1437" spans="1:14" x14ac:dyDescent="0.2">
      <c r="A1437">
        <v>1436</v>
      </c>
      <c r="B1437">
        <v>1718</v>
      </c>
      <c r="C1437">
        <f>1/COUNTIF(B:B,Table1[[#This Row],[order_id]])</f>
        <v>0.33333333333333331</v>
      </c>
      <c r="D1437" t="str">
        <f>TEXT(Table1[[#This Row],[order_date]],"mmmm")</f>
        <v>April</v>
      </c>
      <c r="E1437" s="1">
        <v>45406</v>
      </c>
      <c r="F1437" s="1" t="str">
        <f>TEXT(Table1[[#This Row],[order_date]],"dddd")</f>
        <v>Wednesday</v>
      </c>
      <c r="G1437">
        <f>HOUR(Table1[[#This Row],[order_time]])</f>
        <v>20</v>
      </c>
      <c r="H1437" s="2">
        <v>0.85746527777777781</v>
      </c>
      <c r="I1437" t="s">
        <v>9</v>
      </c>
      <c r="J1437" t="s">
        <v>29</v>
      </c>
      <c r="K1437">
        <v>5</v>
      </c>
      <c r="L1437">
        <v>5</v>
      </c>
      <c r="M1437">
        <v>25</v>
      </c>
      <c r="N1437">
        <f>IF(COUNTIFS($B$2:B1437,B1437)=1,1,0)</f>
        <v>0</v>
      </c>
    </row>
    <row r="1438" spans="1:14" x14ac:dyDescent="0.2">
      <c r="A1438">
        <v>1437</v>
      </c>
      <c r="B1438">
        <v>1719</v>
      </c>
      <c r="C1438">
        <f>1/COUNTIF(B:B,Table1[[#This Row],[order_id]])</f>
        <v>1</v>
      </c>
      <c r="D1438" t="str">
        <f>TEXT(Table1[[#This Row],[order_date]],"mmmm")</f>
        <v>April</v>
      </c>
      <c r="E1438" s="1">
        <v>45406</v>
      </c>
      <c r="F1438" s="1" t="str">
        <f>TEXT(Table1[[#This Row],[order_date]],"dddd")</f>
        <v>Wednesday</v>
      </c>
      <c r="G1438">
        <f>HOUR(Table1[[#This Row],[order_time]])</f>
        <v>15</v>
      </c>
      <c r="H1438" s="2">
        <v>0.65388888888888885</v>
      </c>
      <c r="I1438" t="s">
        <v>11</v>
      </c>
      <c r="J1438" t="s">
        <v>13</v>
      </c>
      <c r="K1438">
        <v>1</v>
      </c>
      <c r="L1438">
        <v>680</v>
      </c>
      <c r="M1438">
        <v>680</v>
      </c>
      <c r="N1438">
        <f>IF(COUNTIFS($B$2:B1438,B1438)=1,1,0)</f>
        <v>1</v>
      </c>
    </row>
    <row r="1439" spans="1:14" x14ac:dyDescent="0.2">
      <c r="A1439">
        <v>1438</v>
      </c>
      <c r="B1439">
        <v>1720</v>
      </c>
      <c r="C1439">
        <f>1/COUNTIF(B:B,Table1[[#This Row],[order_id]])</f>
        <v>0.33333333333333331</v>
      </c>
      <c r="D1439" t="str">
        <f>TEXT(Table1[[#This Row],[order_date]],"mmmm")</f>
        <v>April</v>
      </c>
      <c r="E1439" s="1">
        <v>45406</v>
      </c>
      <c r="F1439" s="1" t="str">
        <f>TEXT(Table1[[#This Row],[order_date]],"dddd")</f>
        <v>Wednesday</v>
      </c>
      <c r="G1439">
        <f>HOUR(Table1[[#This Row],[order_time]])</f>
        <v>11</v>
      </c>
      <c r="H1439" s="2">
        <v>0.49111111111111111</v>
      </c>
      <c r="I1439" t="s">
        <v>18</v>
      </c>
      <c r="J1439" t="s">
        <v>19</v>
      </c>
      <c r="K1439">
        <v>2</v>
      </c>
      <c r="L1439">
        <v>50</v>
      </c>
      <c r="M1439">
        <v>100</v>
      </c>
      <c r="N1439">
        <f>IF(COUNTIFS($B$2:B1439,B1439)=1,1,0)</f>
        <v>1</v>
      </c>
    </row>
    <row r="1440" spans="1:14" x14ac:dyDescent="0.2">
      <c r="A1440">
        <v>1439</v>
      </c>
      <c r="B1440">
        <v>1720</v>
      </c>
      <c r="C1440">
        <f>1/COUNTIF(B:B,Table1[[#This Row],[order_id]])</f>
        <v>0.33333333333333331</v>
      </c>
      <c r="D1440" t="str">
        <f>TEXT(Table1[[#This Row],[order_date]],"mmmm")</f>
        <v>April</v>
      </c>
      <c r="E1440" s="1">
        <v>45406</v>
      </c>
      <c r="F1440" s="1" t="str">
        <f>TEXT(Table1[[#This Row],[order_date]],"dddd")</f>
        <v>Wednesday</v>
      </c>
      <c r="G1440">
        <f>HOUR(Table1[[#This Row],[order_time]])</f>
        <v>15</v>
      </c>
      <c r="H1440" s="2">
        <v>0.65579861111111115</v>
      </c>
      <c r="I1440" t="s">
        <v>16</v>
      </c>
      <c r="J1440" t="s">
        <v>24</v>
      </c>
      <c r="K1440">
        <v>2</v>
      </c>
      <c r="L1440">
        <v>35</v>
      </c>
      <c r="M1440">
        <v>70</v>
      </c>
      <c r="N1440">
        <f>IF(COUNTIFS($B$2:B1440,B1440)=1,1,0)</f>
        <v>0</v>
      </c>
    </row>
    <row r="1441" spans="1:14" x14ac:dyDescent="0.2">
      <c r="A1441">
        <v>1440</v>
      </c>
      <c r="B1441">
        <v>1720</v>
      </c>
      <c r="C1441">
        <f>1/COUNTIF(B:B,Table1[[#This Row],[order_id]])</f>
        <v>0.33333333333333331</v>
      </c>
      <c r="D1441" t="str">
        <f>TEXT(Table1[[#This Row],[order_date]],"mmmm")</f>
        <v>April</v>
      </c>
      <c r="E1441" s="1">
        <v>45406</v>
      </c>
      <c r="F1441" s="1" t="str">
        <f>TEXT(Table1[[#This Row],[order_date]],"dddd")</f>
        <v>Wednesday</v>
      </c>
      <c r="G1441">
        <f>HOUR(Table1[[#This Row],[order_time]])</f>
        <v>18</v>
      </c>
      <c r="H1441" s="2">
        <v>0.78229166666666672</v>
      </c>
      <c r="I1441" t="s">
        <v>11</v>
      </c>
      <c r="J1441" t="s">
        <v>15</v>
      </c>
      <c r="K1441">
        <v>1</v>
      </c>
      <c r="L1441">
        <v>600</v>
      </c>
      <c r="M1441">
        <v>600</v>
      </c>
      <c r="N1441">
        <f>IF(COUNTIFS($B$2:B1441,B1441)=1,1,0)</f>
        <v>0</v>
      </c>
    </row>
    <row r="1442" spans="1:14" x14ac:dyDescent="0.2">
      <c r="A1442">
        <v>1441</v>
      </c>
      <c r="B1442">
        <v>1721</v>
      </c>
      <c r="C1442">
        <f>1/COUNTIF(B:B,Table1[[#This Row],[order_id]])</f>
        <v>1</v>
      </c>
      <c r="D1442" t="str">
        <f>TEXT(Table1[[#This Row],[order_date]],"mmmm")</f>
        <v>April</v>
      </c>
      <c r="E1442" s="1">
        <v>45406</v>
      </c>
      <c r="F1442" s="1" t="str">
        <f>TEXT(Table1[[#This Row],[order_date]],"dddd")</f>
        <v>Wednesday</v>
      </c>
      <c r="G1442">
        <f>HOUR(Table1[[#This Row],[order_time]])</f>
        <v>11</v>
      </c>
      <c r="H1442" s="2">
        <v>0.4596527777777778</v>
      </c>
      <c r="I1442" t="s">
        <v>9</v>
      </c>
      <c r="J1442" t="s">
        <v>29</v>
      </c>
      <c r="K1442">
        <v>1</v>
      </c>
      <c r="L1442">
        <v>5</v>
      </c>
      <c r="M1442">
        <v>5</v>
      </c>
      <c r="N1442">
        <f>IF(COUNTIFS($B$2:B1442,B1442)=1,1,0)</f>
        <v>1</v>
      </c>
    </row>
    <row r="1443" spans="1:14" x14ac:dyDescent="0.2">
      <c r="A1443">
        <v>1442</v>
      </c>
      <c r="B1443">
        <v>1722</v>
      </c>
      <c r="C1443">
        <f>1/COUNTIF(B:B,Table1[[#This Row],[order_id]])</f>
        <v>0.33333333333333331</v>
      </c>
      <c r="D1443" t="str">
        <f>TEXT(Table1[[#This Row],[order_date]],"mmmm")</f>
        <v>April</v>
      </c>
      <c r="E1443" s="1">
        <v>45406</v>
      </c>
      <c r="F1443" s="1" t="str">
        <f>TEXT(Table1[[#This Row],[order_date]],"dddd")</f>
        <v>Wednesday</v>
      </c>
      <c r="G1443">
        <f>HOUR(Table1[[#This Row],[order_time]])</f>
        <v>11</v>
      </c>
      <c r="H1443" s="2">
        <v>0.46348379629629627</v>
      </c>
      <c r="I1443" t="s">
        <v>18</v>
      </c>
      <c r="J1443" t="s">
        <v>27</v>
      </c>
      <c r="K1443">
        <v>2</v>
      </c>
      <c r="L1443">
        <v>40</v>
      </c>
      <c r="M1443">
        <v>80</v>
      </c>
      <c r="N1443">
        <f>IF(COUNTIFS($B$2:B1443,B1443)=1,1,0)</f>
        <v>1</v>
      </c>
    </row>
    <row r="1444" spans="1:14" x14ac:dyDescent="0.2">
      <c r="A1444">
        <v>1443</v>
      </c>
      <c r="B1444">
        <v>1722</v>
      </c>
      <c r="C1444">
        <f>1/COUNTIF(B:B,Table1[[#This Row],[order_id]])</f>
        <v>0.33333333333333331</v>
      </c>
      <c r="D1444" t="str">
        <f>TEXT(Table1[[#This Row],[order_date]],"mmmm")</f>
        <v>April</v>
      </c>
      <c r="E1444" s="1">
        <v>45406</v>
      </c>
      <c r="F1444" s="1" t="str">
        <f>TEXT(Table1[[#This Row],[order_date]],"dddd")</f>
        <v>Wednesday</v>
      </c>
      <c r="G1444">
        <f>HOUR(Table1[[#This Row],[order_time]])</f>
        <v>13</v>
      </c>
      <c r="H1444" s="2">
        <v>0.57133101851851853</v>
      </c>
      <c r="I1444" t="s">
        <v>18</v>
      </c>
      <c r="J1444" t="s">
        <v>26</v>
      </c>
      <c r="K1444">
        <v>4</v>
      </c>
      <c r="L1444">
        <v>55</v>
      </c>
      <c r="M1444">
        <v>220</v>
      </c>
      <c r="N1444">
        <f>IF(COUNTIFS($B$2:B1444,B1444)=1,1,0)</f>
        <v>0</v>
      </c>
    </row>
    <row r="1445" spans="1:14" x14ac:dyDescent="0.2">
      <c r="A1445">
        <v>1444</v>
      </c>
      <c r="B1445">
        <v>1722</v>
      </c>
      <c r="C1445">
        <f>1/COUNTIF(B:B,Table1[[#This Row],[order_id]])</f>
        <v>0.33333333333333331</v>
      </c>
      <c r="D1445" t="str">
        <f>TEXT(Table1[[#This Row],[order_date]],"mmmm")</f>
        <v>April</v>
      </c>
      <c r="E1445" s="1">
        <v>45406</v>
      </c>
      <c r="F1445" s="1" t="str">
        <f>TEXT(Table1[[#This Row],[order_date]],"dddd")</f>
        <v>Wednesday</v>
      </c>
      <c r="G1445">
        <f>HOUR(Table1[[#This Row],[order_time]])</f>
        <v>12</v>
      </c>
      <c r="H1445" s="2">
        <v>0.5247222222222222</v>
      </c>
      <c r="I1445" t="s">
        <v>9</v>
      </c>
      <c r="J1445" t="s">
        <v>21</v>
      </c>
      <c r="K1445">
        <v>5</v>
      </c>
      <c r="L1445">
        <v>10</v>
      </c>
      <c r="M1445">
        <v>50</v>
      </c>
      <c r="N1445">
        <f>IF(COUNTIFS($B$2:B1445,B1445)=1,1,0)</f>
        <v>0</v>
      </c>
    </row>
    <row r="1446" spans="1:14" x14ac:dyDescent="0.2">
      <c r="A1446">
        <v>1445</v>
      </c>
      <c r="B1446">
        <v>1723</v>
      </c>
      <c r="C1446">
        <f>1/COUNTIF(B:B,Table1[[#This Row],[order_id]])</f>
        <v>1</v>
      </c>
      <c r="D1446" t="str">
        <f>TEXT(Table1[[#This Row],[order_date]],"mmmm")</f>
        <v>April</v>
      </c>
      <c r="E1446" s="1">
        <v>45406</v>
      </c>
      <c r="F1446" s="1" t="str">
        <f>TEXT(Table1[[#This Row],[order_date]],"dddd")</f>
        <v>Wednesday</v>
      </c>
      <c r="G1446">
        <f>HOUR(Table1[[#This Row],[order_time]])</f>
        <v>13</v>
      </c>
      <c r="H1446" s="2">
        <v>0.58254629629629628</v>
      </c>
      <c r="I1446" t="s">
        <v>16</v>
      </c>
      <c r="J1446" t="s">
        <v>28</v>
      </c>
      <c r="K1446">
        <v>2</v>
      </c>
      <c r="L1446">
        <v>25</v>
      </c>
      <c r="M1446">
        <v>50</v>
      </c>
      <c r="N1446">
        <f>IF(COUNTIFS($B$2:B1446,B1446)=1,1,0)</f>
        <v>1</v>
      </c>
    </row>
    <row r="1447" spans="1:14" x14ac:dyDescent="0.2">
      <c r="A1447">
        <v>1446</v>
      </c>
      <c r="B1447">
        <v>1724</v>
      </c>
      <c r="C1447">
        <f>1/COUNTIF(B:B,Table1[[#This Row],[order_id]])</f>
        <v>1</v>
      </c>
      <c r="D1447" t="str">
        <f>TEXT(Table1[[#This Row],[order_date]],"mmmm")</f>
        <v>April</v>
      </c>
      <c r="E1447" s="1">
        <v>45406</v>
      </c>
      <c r="F1447" s="1" t="str">
        <f>TEXT(Table1[[#This Row],[order_date]],"dddd")</f>
        <v>Wednesday</v>
      </c>
      <c r="G1447">
        <f>HOUR(Table1[[#This Row],[order_time]])</f>
        <v>12</v>
      </c>
      <c r="H1447" s="2">
        <v>0.51409722222222221</v>
      </c>
      <c r="I1447" t="s">
        <v>11</v>
      </c>
      <c r="J1447" t="s">
        <v>25</v>
      </c>
      <c r="K1447">
        <v>4</v>
      </c>
      <c r="L1447">
        <v>1000</v>
      </c>
      <c r="M1447">
        <v>4000</v>
      </c>
      <c r="N1447">
        <f>IF(COUNTIFS($B$2:B1447,B1447)=1,1,0)</f>
        <v>1</v>
      </c>
    </row>
    <row r="1448" spans="1:14" x14ac:dyDescent="0.2">
      <c r="A1448">
        <v>1447</v>
      </c>
      <c r="B1448">
        <v>1725</v>
      </c>
      <c r="C1448">
        <f>1/COUNTIF(B:B,Table1[[#This Row],[order_id]])</f>
        <v>0.33333333333333331</v>
      </c>
      <c r="D1448" t="str">
        <f>TEXT(Table1[[#This Row],[order_date]],"mmmm")</f>
        <v>April</v>
      </c>
      <c r="E1448" s="1">
        <v>45407</v>
      </c>
      <c r="F1448" s="1" t="str">
        <f>TEXT(Table1[[#This Row],[order_date]],"dddd")</f>
        <v>Thursday</v>
      </c>
      <c r="G1448">
        <f>HOUR(Table1[[#This Row],[order_time]])</f>
        <v>15</v>
      </c>
      <c r="H1448" s="2">
        <v>0.65961805555555553</v>
      </c>
      <c r="I1448" t="s">
        <v>18</v>
      </c>
      <c r="J1448" t="s">
        <v>19</v>
      </c>
      <c r="K1448">
        <v>2</v>
      </c>
      <c r="L1448">
        <v>50</v>
      </c>
      <c r="M1448">
        <v>100</v>
      </c>
      <c r="N1448">
        <f>IF(COUNTIFS($B$2:B1448,B1448)=1,1,0)</f>
        <v>1</v>
      </c>
    </row>
    <row r="1449" spans="1:14" x14ac:dyDescent="0.2">
      <c r="A1449">
        <v>1448</v>
      </c>
      <c r="B1449">
        <v>1725</v>
      </c>
      <c r="C1449">
        <f>1/COUNTIF(B:B,Table1[[#This Row],[order_id]])</f>
        <v>0.33333333333333331</v>
      </c>
      <c r="D1449" t="str">
        <f>TEXT(Table1[[#This Row],[order_date]],"mmmm")</f>
        <v>April</v>
      </c>
      <c r="E1449" s="1">
        <v>45407</v>
      </c>
      <c r="F1449" s="1" t="str">
        <f>TEXT(Table1[[#This Row],[order_date]],"dddd")</f>
        <v>Thursday</v>
      </c>
      <c r="G1449">
        <f>HOUR(Table1[[#This Row],[order_time]])</f>
        <v>11</v>
      </c>
      <c r="H1449" s="2">
        <v>0.48456018518518518</v>
      </c>
      <c r="I1449" t="s">
        <v>16</v>
      </c>
      <c r="J1449" t="s">
        <v>28</v>
      </c>
      <c r="K1449">
        <v>3</v>
      </c>
      <c r="L1449">
        <v>25</v>
      </c>
      <c r="M1449">
        <v>75</v>
      </c>
      <c r="N1449">
        <f>IF(COUNTIFS($B$2:B1449,B1449)=1,1,0)</f>
        <v>0</v>
      </c>
    </row>
    <row r="1450" spans="1:14" x14ac:dyDescent="0.2">
      <c r="A1450">
        <v>1449</v>
      </c>
      <c r="B1450">
        <v>1725</v>
      </c>
      <c r="C1450">
        <f>1/COUNTIF(B:B,Table1[[#This Row],[order_id]])</f>
        <v>0.33333333333333331</v>
      </c>
      <c r="D1450" t="str">
        <f>TEXT(Table1[[#This Row],[order_date]],"mmmm")</f>
        <v>April</v>
      </c>
      <c r="E1450" s="1">
        <v>45407</v>
      </c>
      <c r="F1450" s="1" t="str">
        <f>TEXT(Table1[[#This Row],[order_date]],"dddd")</f>
        <v>Thursday</v>
      </c>
      <c r="G1450">
        <f>HOUR(Table1[[#This Row],[order_time]])</f>
        <v>18</v>
      </c>
      <c r="H1450" s="2">
        <v>0.75133101851851847</v>
      </c>
      <c r="I1450" t="s">
        <v>16</v>
      </c>
      <c r="J1450" t="s">
        <v>24</v>
      </c>
      <c r="K1450">
        <v>2</v>
      </c>
      <c r="L1450">
        <v>35</v>
      </c>
      <c r="M1450">
        <v>70</v>
      </c>
      <c r="N1450">
        <f>IF(COUNTIFS($B$2:B1450,B1450)=1,1,0)</f>
        <v>0</v>
      </c>
    </row>
    <row r="1451" spans="1:14" x14ac:dyDescent="0.2">
      <c r="A1451">
        <v>1450</v>
      </c>
      <c r="B1451">
        <v>1726</v>
      </c>
      <c r="C1451">
        <f>1/COUNTIF(B:B,Table1[[#This Row],[order_id]])</f>
        <v>0.5</v>
      </c>
      <c r="D1451" t="str">
        <f>TEXT(Table1[[#This Row],[order_date]],"mmmm")</f>
        <v>April</v>
      </c>
      <c r="E1451" s="1">
        <v>45407</v>
      </c>
      <c r="F1451" s="1" t="str">
        <f>TEXT(Table1[[#This Row],[order_date]],"dddd")</f>
        <v>Thursday</v>
      </c>
      <c r="G1451">
        <f>HOUR(Table1[[#This Row],[order_time]])</f>
        <v>15</v>
      </c>
      <c r="H1451" s="2">
        <v>0.6341782407407407</v>
      </c>
      <c r="I1451" t="s">
        <v>11</v>
      </c>
      <c r="J1451" t="s">
        <v>12</v>
      </c>
      <c r="K1451">
        <v>4</v>
      </c>
      <c r="L1451">
        <v>650</v>
      </c>
      <c r="M1451">
        <v>2600</v>
      </c>
      <c r="N1451">
        <f>IF(COUNTIFS($B$2:B1451,B1451)=1,1,0)</f>
        <v>1</v>
      </c>
    </row>
    <row r="1452" spans="1:14" x14ac:dyDescent="0.2">
      <c r="A1452">
        <v>1451</v>
      </c>
      <c r="B1452">
        <v>1726</v>
      </c>
      <c r="C1452">
        <f>1/COUNTIF(B:B,Table1[[#This Row],[order_id]])</f>
        <v>0.5</v>
      </c>
      <c r="D1452" t="str">
        <f>TEXT(Table1[[#This Row],[order_date]],"mmmm")</f>
        <v>April</v>
      </c>
      <c r="E1452" s="1">
        <v>45407</v>
      </c>
      <c r="F1452" s="1" t="str">
        <f>TEXT(Table1[[#This Row],[order_date]],"dddd")</f>
        <v>Thursday</v>
      </c>
      <c r="G1452">
        <f>HOUR(Table1[[#This Row],[order_time]])</f>
        <v>17</v>
      </c>
      <c r="H1452" s="2">
        <v>0.74723379629629627</v>
      </c>
      <c r="I1452" t="s">
        <v>9</v>
      </c>
      <c r="J1452" t="s">
        <v>22</v>
      </c>
      <c r="K1452">
        <v>2</v>
      </c>
      <c r="L1452">
        <v>15</v>
      </c>
      <c r="M1452">
        <v>30</v>
      </c>
      <c r="N1452">
        <f>IF(COUNTIFS($B$2:B1452,B1452)=1,1,0)</f>
        <v>0</v>
      </c>
    </row>
    <row r="1453" spans="1:14" x14ac:dyDescent="0.2">
      <c r="A1453">
        <v>1452</v>
      </c>
      <c r="B1453">
        <v>1727</v>
      </c>
      <c r="C1453">
        <f>1/COUNTIF(B:B,Table1[[#This Row],[order_id]])</f>
        <v>1</v>
      </c>
      <c r="D1453" t="str">
        <f>TEXT(Table1[[#This Row],[order_date]],"mmmm")</f>
        <v>April</v>
      </c>
      <c r="E1453" s="1">
        <v>45407</v>
      </c>
      <c r="F1453" s="1" t="str">
        <f>TEXT(Table1[[#This Row],[order_date]],"dddd")</f>
        <v>Thursday</v>
      </c>
      <c r="G1453">
        <f>HOUR(Table1[[#This Row],[order_time]])</f>
        <v>9</v>
      </c>
      <c r="H1453" s="2">
        <v>0.40334490740740742</v>
      </c>
      <c r="I1453" t="s">
        <v>18</v>
      </c>
      <c r="J1453" t="s">
        <v>19</v>
      </c>
      <c r="K1453">
        <v>4</v>
      </c>
      <c r="L1453">
        <v>50</v>
      </c>
      <c r="M1453">
        <v>200</v>
      </c>
      <c r="N1453">
        <f>IF(COUNTIFS($B$2:B1453,B1453)=1,1,0)</f>
        <v>1</v>
      </c>
    </row>
    <row r="1454" spans="1:14" x14ac:dyDescent="0.2">
      <c r="A1454">
        <v>1453</v>
      </c>
      <c r="B1454">
        <v>1728</v>
      </c>
      <c r="C1454">
        <f>1/COUNTIF(B:B,Table1[[#This Row],[order_id]])</f>
        <v>0.33333333333333331</v>
      </c>
      <c r="D1454" t="str">
        <f>TEXT(Table1[[#This Row],[order_date]],"mmmm")</f>
        <v>April</v>
      </c>
      <c r="E1454" s="1">
        <v>45407</v>
      </c>
      <c r="F1454" s="1" t="str">
        <f>TEXT(Table1[[#This Row],[order_date]],"dddd")</f>
        <v>Thursday</v>
      </c>
      <c r="G1454">
        <f>HOUR(Table1[[#This Row],[order_time]])</f>
        <v>19</v>
      </c>
      <c r="H1454" s="2">
        <v>0.80004629629629631</v>
      </c>
      <c r="I1454" t="s">
        <v>16</v>
      </c>
      <c r="J1454" t="s">
        <v>23</v>
      </c>
      <c r="K1454">
        <v>5</v>
      </c>
      <c r="L1454">
        <v>30</v>
      </c>
      <c r="M1454">
        <v>150</v>
      </c>
      <c r="N1454">
        <f>IF(COUNTIFS($B$2:B1454,B1454)=1,1,0)</f>
        <v>1</v>
      </c>
    </row>
    <row r="1455" spans="1:14" x14ac:dyDescent="0.2">
      <c r="A1455">
        <v>1454</v>
      </c>
      <c r="B1455">
        <v>1728</v>
      </c>
      <c r="C1455">
        <f>1/COUNTIF(B:B,Table1[[#This Row],[order_id]])</f>
        <v>0.33333333333333331</v>
      </c>
      <c r="D1455" t="str">
        <f>TEXT(Table1[[#This Row],[order_date]],"mmmm")</f>
        <v>April</v>
      </c>
      <c r="E1455" s="1">
        <v>45407</v>
      </c>
      <c r="F1455" s="1" t="str">
        <f>TEXT(Table1[[#This Row],[order_date]],"dddd")</f>
        <v>Thursday</v>
      </c>
      <c r="G1455">
        <f>HOUR(Table1[[#This Row],[order_time]])</f>
        <v>19</v>
      </c>
      <c r="H1455" s="2">
        <v>0.80259259259259264</v>
      </c>
      <c r="I1455" t="s">
        <v>11</v>
      </c>
      <c r="J1455" t="s">
        <v>15</v>
      </c>
      <c r="K1455">
        <v>4</v>
      </c>
      <c r="L1455">
        <v>600</v>
      </c>
      <c r="M1455">
        <v>2400</v>
      </c>
      <c r="N1455">
        <f>IF(COUNTIFS($B$2:B1455,B1455)=1,1,0)</f>
        <v>0</v>
      </c>
    </row>
    <row r="1456" spans="1:14" x14ac:dyDescent="0.2">
      <c r="A1456">
        <v>1455</v>
      </c>
      <c r="B1456">
        <v>1728</v>
      </c>
      <c r="C1456">
        <f>1/COUNTIF(B:B,Table1[[#This Row],[order_id]])</f>
        <v>0.33333333333333331</v>
      </c>
      <c r="D1456" t="str">
        <f>TEXT(Table1[[#This Row],[order_date]],"mmmm")</f>
        <v>April</v>
      </c>
      <c r="E1456" s="1">
        <v>45407</v>
      </c>
      <c r="F1456" s="1" t="str">
        <f>TEXT(Table1[[#This Row],[order_date]],"dddd")</f>
        <v>Thursday</v>
      </c>
      <c r="G1456">
        <f>HOUR(Table1[[#This Row],[order_time]])</f>
        <v>11</v>
      </c>
      <c r="H1456" s="2">
        <v>0.46848379629629627</v>
      </c>
      <c r="I1456" t="s">
        <v>18</v>
      </c>
      <c r="J1456" t="s">
        <v>27</v>
      </c>
      <c r="K1456">
        <v>1</v>
      </c>
      <c r="L1456">
        <v>40</v>
      </c>
      <c r="M1456">
        <v>40</v>
      </c>
      <c r="N1456">
        <f>IF(COUNTIFS($B$2:B1456,B1456)=1,1,0)</f>
        <v>0</v>
      </c>
    </row>
    <row r="1457" spans="1:14" x14ac:dyDescent="0.2">
      <c r="A1457">
        <v>1456</v>
      </c>
      <c r="B1457">
        <v>1729</v>
      </c>
      <c r="C1457">
        <f>1/COUNTIF(B:B,Table1[[#This Row],[order_id]])</f>
        <v>1</v>
      </c>
      <c r="D1457" t="str">
        <f>TEXT(Table1[[#This Row],[order_date]],"mmmm")</f>
        <v>April</v>
      </c>
      <c r="E1457" s="1">
        <v>45407</v>
      </c>
      <c r="F1457" s="1" t="str">
        <f>TEXT(Table1[[#This Row],[order_date]],"dddd")</f>
        <v>Thursday</v>
      </c>
      <c r="G1457">
        <f>HOUR(Table1[[#This Row],[order_time]])</f>
        <v>17</v>
      </c>
      <c r="H1457" s="2">
        <v>0.73421296296296301</v>
      </c>
      <c r="I1457" t="s">
        <v>18</v>
      </c>
      <c r="J1457" t="s">
        <v>31</v>
      </c>
      <c r="K1457">
        <v>1</v>
      </c>
      <c r="L1457">
        <v>45</v>
      </c>
      <c r="M1457">
        <v>45</v>
      </c>
      <c r="N1457">
        <f>IF(COUNTIFS($B$2:B1457,B1457)=1,1,0)</f>
        <v>1</v>
      </c>
    </row>
    <row r="1458" spans="1:14" x14ac:dyDescent="0.2">
      <c r="A1458">
        <v>1457</v>
      </c>
      <c r="B1458">
        <v>1730</v>
      </c>
      <c r="C1458">
        <f>1/COUNTIF(B:B,Table1[[#This Row],[order_id]])</f>
        <v>0.5</v>
      </c>
      <c r="D1458" t="str">
        <f>TEXT(Table1[[#This Row],[order_date]],"mmmm")</f>
        <v>April</v>
      </c>
      <c r="E1458" s="1">
        <v>45407</v>
      </c>
      <c r="F1458" s="1" t="str">
        <f>TEXT(Table1[[#This Row],[order_date]],"dddd")</f>
        <v>Thursday</v>
      </c>
      <c r="G1458">
        <f>HOUR(Table1[[#This Row],[order_time]])</f>
        <v>14</v>
      </c>
      <c r="H1458" s="2">
        <v>0.61950231481481477</v>
      </c>
      <c r="I1458" t="s">
        <v>11</v>
      </c>
      <c r="J1458" t="s">
        <v>25</v>
      </c>
      <c r="K1458">
        <v>4</v>
      </c>
      <c r="L1458">
        <v>1000</v>
      </c>
      <c r="M1458">
        <v>4000</v>
      </c>
      <c r="N1458">
        <f>IF(COUNTIFS($B$2:B1458,B1458)=1,1,0)</f>
        <v>1</v>
      </c>
    </row>
    <row r="1459" spans="1:14" x14ac:dyDescent="0.2">
      <c r="A1459">
        <v>1458</v>
      </c>
      <c r="B1459">
        <v>1730</v>
      </c>
      <c r="C1459">
        <f>1/COUNTIF(B:B,Table1[[#This Row],[order_id]])</f>
        <v>0.5</v>
      </c>
      <c r="D1459" t="str">
        <f>TEXT(Table1[[#This Row],[order_date]],"mmmm")</f>
        <v>April</v>
      </c>
      <c r="E1459" s="1">
        <v>45407</v>
      </c>
      <c r="F1459" s="1" t="str">
        <f>TEXT(Table1[[#This Row],[order_date]],"dddd")</f>
        <v>Thursday</v>
      </c>
      <c r="G1459">
        <f>HOUR(Table1[[#This Row],[order_time]])</f>
        <v>17</v>
      </c>
      <c r="H1459" s="2">
        <v>0.73843749999999997</v>
      </c>
      <c r="I1459" t="s">
        <v>11</v>
      </c>
      <c r="J1459" t="s">
        <v>12</v>
      </c>
      <c r="K1459">
        <v>2</v>
      </c>
      <c r="L1459">
        <v>650</v>
      </c>
      <c r="M1459">
        <v>1300</v>
      </c>
      <c r="N1459">
        <f>IF(COUNTIFS($B$2:B1459,B1459)=1,1,0)</f>
        <v>0</v>
      </c>
    </row>
    <row r="1460" spans="1:14" x14ac:dyDescent="0.2">
      <c r="A1460">
        <v>1459</v>
      </c>
      <c r="B1460">
        <v>1731</v>
      </c>
      <c r="C1460">
        <f>1/COUNTIF(B:B,Table1[[#This Row],[order_id]])</f>
        <v>0.33333333333333331</v>
      </c>
      <c r="D1460" t="str">
        <f>TEXT(Table1[[#This Row],[order_date]],"mmmm")</f>
        <v>April</v>
      </c>
      <c r="E1460" s="1">
        <v>45407</v>
      </c>
      <c r="F1460" s="1" t="str">
        <f>TEXT(Table1[[#This Row],[order_date]],"dddd")</f>
        <v>Thursday</v>
      </c>
      <c r="G1460">
        <f>HOUR(Table1[[#This Row],[order_time]])</f>
        <v>9</v>
      </c>
      <c r="H1460" s="2">
        <v>0.41028935185185184</v>
      </c>
      <c r="I1460" t="s">
        <v>16</v>
      </c>
      <c r="J1460" t="s">
        <v>28</v>
      </c>
      <c r="K1460">
        <v>3</v>
      </c>
      <c r="L1460">
        <v>25</v>
      </c>
      <c r="M1460">
        <v>75</v>
      </c>
      <c r="N1460">
        <f>IF(COUNTIFS($B$2:B1460,B1460)=1,1,0)</f>
        <v>1</v>
      </c>
    </row>
    <row r="1461" spans="1:14" x14ac:dyDescent="0.2">
      <c r="A1461">
        <v>1460</v>
      </c>
      <c r="B1461">
        <v>1731</v>
      </c>
      <c r="C1461">
        <f>1/COUNTIF(B:B,Table1[[#This Row],[order_id]])</f>
        <v>0.33333333333333331</v>
      </c>
      <c r="D1461" t="str">
        <f>TEXT(Table1[[#This Row],[order_date]],"mmmm")</f>
        <v>April</v>
      </c>
      <c r="E1461" s="1">
        <v>45407</v>
      </c>
      <c r="F1461" s="1" t="str">
        <f>TEXT(Table1[[#This Row],[order_date]],"dddd")</f>
        <v>Thursday</v>
      </c>
      <c r="G1461">
        <f>HOUR(Table1[[#This Row],[order_time]])</f>
        <v>12</v>
      </c>
      <c r="H1461" s="2">
        <v>0.50634259259259262</v>
      </c>
      <c r="I1461" t="s">
        <v>16</v>
      </c>
      <c r="J1461" t="s">
        <v>24</v>
      </c>
      <c r="K1461">
        <v>1</v>
      </c>
      <c r="L1461">
        <v>35</v>
      </c>
      <c r="M1461">
        <v>35</v>
      </c>
      <c r="N1461">
        <f>IF(COUNTIFS($B$2:B1461,B1461)=1,1,0)</f>
        <v>0</v>
      </c>
    </row>
    <row r="1462" spans="1:14" x14ac:dyDescent="0.2">
      <c r="A1462">
        <v>1461</v>
      </c>
      <c r="B1462">
        <v>1731</v>
      </c>
      <c r="C1462">
        <f>1/COUNTIF(B:B,Table1[[#This Row],[order_id]])</f>
        <v>0.33333333333333331</v>
      </c>
      <c r="D1462" t="str">
        <f>TEXT(Table1[[#This Row],[order_date]],"mmmm")</f>
        <v>April</v>
      </c>
      <c r="E1462" s="1">
        <v>45407</v>
      </c>
      <c r="F1462" s="1" t="str">
        <f>TEXT(Table1[[#This Row],[order_date]],"dddd")</f>
        <v>Thursday</v>
      </c>
      <c r="G1462">
        <f>HOUR(Table1[[#This Row],[order_time]])</f>
        <v>18</v>
      </c>
      <c r="H1462" s="2">
        <v>0.75134259259259262</v>
      </c>
      <c r="I1462" t="s">
        <v>18</v>
      </c>
      <c r="J1462" t="s">
        <v>27</v>
      </c>
      <c r="K1462">
        <v>1</v>
      </c>
      <c r="L1462">
        <v>40</v>
      </c>
      <c r="M1462">
        <v>40</v>
      </c>
      <c r="N1462">
        <f>IF(COUNTIFS($B$2:B1462,B1462)=1,1,0)</f>
        <v>0</v>
      </c>
    </row>
    <row r="1463" spans="1:14" x14ac:dyDescent="0.2">
      <c r="A1463">
        <v>1462</v>
      </c>
      <c r="B1463">
        <v>1732</v>
      </c>
      <c r="C1463">
        <f>1/COUNTIF(B:B,Table1[[#This Row],[order_id]])</f>
        <v>1</v>
      </c>
      <c r="D1463" t="str">
        <f>TEXT(Table1[[#This Row],[order_date]],"mmmm")</f>
        <v>April</v>
      </c>
      <c r="E1463" s="1">
        <v>45407</v>
      </c>
      <c r="F1463" s="1" t="str">
        <f>TEXT(Table1[[#This Row],[order_date]],"dddd")</f>
        <v>Thursday</v>
      </c>
      <c r="G1463">
        <f>HOUR(Table1[[#This Row],[order_time]])</f>
        <v>15</v>
      </c>
      <c r="H1463" s="2">
        <v>0.63840277777777776</v>
      </c>
      <c r="I1463" t="s">
        <v>9</v>
      </c>
      <c r="J1463" t="s">
        <v>22</v>
      </c>
      <c r="K1463">
        <v>3</v>
      </c>
      <c r="L1463">
        <v>15</v>
      </c>
      <c r="M1463">
        <v>45</v>
      </c>
      <c r="N1463">
        <f>IF(COUNTIFS($B$2:B1463,B1463)=1,1,0)</f>
        <v>1</v>
      </c>
    </row>
    <row r="1464" spans="1:14" x14ac:dyDescent="0.2">
      <c r="A1464">
        <v>1463</v>
      </c>
      <c r="B1464">
        <v>1733</v>
      </c>
      <c r="C1464">
        <f>1/COUNTIF(B:B,Table1[[#This Row],[order_id]])</f>
        <v>1</v>
      </c>
      <c r="D1464" t="str">
        <f>TEXT(Table1[[#This Row],[order_date]],"mmmm")</f>
        <v>April</v>
      </c>
      <c r="E1464" s="1">
        <v>45407</v>
      </c>
      <c r="F1464" s="1" t="str">
        <f>TEXT(Table1[[#This Row],[order_date]],"dddd")</f>
        <v>Thursday</v>
      </c>
      <c r="G1464">
        <f>HOUR(Table1[[#This Row],[order_time]])</f>
        <v>19</v>
      </c>
      <c r="H1464" s="2">
        <v>0.82932870370370371</v>
      </c>
      <c r="I1464" t="s">
        <v>9</v>
      </c>
      <c r="J1464" t="s">
        <v>29</v>
      </c>
      <c r="K1464">
        <v>3</v>
      </c>
      <c r="L1464">
        <v>5</v>
      </c>
      <c r="M1464">
        <v>15</v>
      </c>
      <c r="N1464">
        <f>IF(COUNTIFS($B$2:B1464,B1464)=1,1,0)</f>
        <v>1</v>
      </c>
    </row>
    <row r="1465" spans="1:14" x14ac:dyDescent="0.2">
      <c r="A1465">
        <v>1464</v>
      </c>
      <c r="B1465">
        <v>1734</v>
      </c>
      <c r="C1465">
        <f>1/COUNTIF(B:B,Table1[[#This Row],[order_id]])</f>
        <v>0.33333333333333331</v>
      </c>
      <c r="D1465" t="str">
        <f>TEXT(Table1[[#This Row],[order_date]],"mmmm")</f>
        <v>April</v>
      </c>
      <c r="E1465" s="1">
        <v>45408</v>
      </c>
      <c r="F1465" s="1" t="str">
        <f>TEXT(Table1[[#This Row],[order_date]],"dddd")</f>
        <v>Friday</v>
      </c>
      <c r="G1465">
        <f>HOUR(Table1[[#This Row],[order_time]])</f>
        <v>12</v>
      </c>
      <c r="H1465" s="2">
        <v>0.5306481481481482</v>
      </c>
      <c r="I1465" t="s">
        <v>11</v>
      </c>
      <c r="J1465" t="s">
        <v>25</v>
      </c>
      <c r="K1465">
        <v>2</v>
      </c>
      <c r="L1465">
        <v>1000</v>
      </c>
      <c r="M1465">
        <v>2000</v>
      </c>
      <c r="N1465">
        <f>IF(COUNTIFS($B$2:B1465,B1465)=1,1,0)</f>
        <v>1</v>
      </c>
    </row>
    <row r="1466" spans="1:14" x14ac:dyDescent="0.2">
      <c r="A1466">
        <v>1465</v>
      </c>
      <c r="B1466">
        <v>1734</v>
      </c>
      <c r="C1466">
        <f>1/COUNTIF(B:B,Table1[[#This Row],[order_id]])</f>
        <v>0.33333333333333331</v>
      </c>
      <c r="D1466" t="str">
        <f>TEXT(Table1[[#This Row],[order_date]],"mmmm")</f>
        <v>April</v>
      </c>
      <c r="E1466" s="1">
        <v>45408</v>
      </c>
      <c r="F1466" s="1" t="str">
        <f>TEXT(Table1[[#This Row],[order_date]],"dddd")</f>
        <v>Friday</v>
      </c>
      <c r="G1466">
        <f>HOUR(Table1[[#This Row],[order_time]])</f>
        <v>18</v>
      </c>
      <c r="H1466" s="2">
        <v>0.75008101851851849</v>
      </c>
      <c r="I1466" t="s">
        <v>16</v>
      </c>
      <c r="J1466" t="s">
        <v>17</v>
      </c>
      <c r="K1466">
        <v>1</v>
      </c>
      <c r="L1466">
        <v>20</v>
      </c>
      <c r="M1466">
        <v>20</v>
      </c>
      <c r="N1466">
        <f>IF(COUNTIFS($B$2:B1466,B1466)=1,1,0)</f>
        <v>0</v>
      </c>
    </row>
    <row r="1467" spans="1:14" x14ac:dyDescent="0.2">
      <c r="A1467">
        <v>1466</v>
      </c>
      <c r="B1467">
        <v>1734</v>
      </c>
      <c r="C1467">
        <f>1/COUNTIF(B:B,Table1[[#This Row],[order_id]])</f>
        <v>0.33333333333333331</v>
      </c>
      <c r="D1467" t="str">
        <f>TEXT(Table1[[#This Row],[order_date]],"mmmm")</f>
        <v>April</v>
      </c>
      <c r="E1467" s="1">
        <v>45408</v>
      </c>
      <c r="F1467" s="1" t="str">
        <f>TEXT(Table1[[#This Row],[order_date]],"dddd")</f>
        <v>Friday</v>
      </c>
      <c r="G1467">
        <f>HOUR(Table1[[#This Row],[order_time]])</f>
        <v>17</v>
      </c>
      <c r="H1467" s="2">
        <v>0.72200231481481481</v>
      </c>
      <c r="I1467" t="s">
        <v>18</v>
      </c>
      <c r="J1467" t="s">
        <v>31</v>
      </c>
      <c r="K1467">
        <v>1</v>
      </c>
      <c r="L1467">
        <v>45</v>
      </c>
      <c r="M1467">
        <v>45</v>
      </c>
      <c r="N1467">
        <f>IF(COUNTIFS($B$2:B1467,B1467)=1,1,0)</f>
        <v>0</v>
      </c>
    </row>
    <row r="1468" spans="1:14" x14ac:dyDescent="0.2">
      <c r="A1468">
        <v>1467</v>
      </c>
      <c r="B1468">
        <v>1735</v>
      </c>
      <c r="C1468">
        <f>1/COUNTIF(B:B,Table1[[#This Row],[order_id]])</f>
        <v>0.33333333333333331</v>
      </c>
      <c r="D1468" t="str">
        <f>TEXT(Table1[[#This Row],[order_date]],"mmmm")</f>
        <v>April</v>
      </c>
      <c r="E1468" s="1">
        <v>45408</v>
      </c>
      <c r="F1468" s="1" t="str">
        <f>TEXT(Table1[[#This Row],[order_date]],"dddd")</f>
        <v>Friday</v>
      </c>
      <c r="G1468">
        <f>HOUR(Table1[[#This Row],[order_time]])</f>
        <v>14</v>
      </c>
      <c r="H1468" s="2">
        <v>0.6103587962962963</v>
      </c>
      <c r="I1468" t="s">
        <v>18</v>
      </c>
      <c r="J1468" t="s">
        <v>27</v>
      </c>
      <c r="K1468">
        <v>3</v>
      </c>
      <c r="L1468">
        <v>40</v>
      </c>
      <c r="M1468">
        <v>120</v>
      </c>
      <c r="N1468">
        <f>IF(COUNTIFS($B$2:B1468,B1468)=1,1,0)</f>
        <v>1</v>
      </c>
    </row>
    <row r="1469" spans="1:14" x14ac:dyDescent="0.2">
      <c r="A1469">
        <v>1468</v>
      </c>
      <c r="B1469">
        <v>1735</v>
      </c>
      <c r="C1469">
        <f>1/COUNTIF(B:B,Table1[[#This Row],[order_id]])</f>
        <v>0.33333333333333331</v>
      </c>
      <c r="D1469" t="str">
        <f>TEXT(Table1[[#This Row],[order_date]],"mmmm")</f>
        <v>April</v>
      </c>
      <c r="E1469" s="1">
        <v>45408</v>
      </c>
      <c r="F1469" s="1" t="str">
        <f>TEXT(Table1[[#This Row],[order_date]],"dddd")</f>
        <v>Friday</v>
      </c>
      <c r="G1469">
        <f>HOUR(Table1[[#This Row],[order_time]])</f>
        <v>9</v>
      </c>
      <c r="H1469" s="2">
        <v>0.39200231481481479</v>
      </c>
      <c r="I1469" t="s">
        <v>9</v>
      </c>
      <c r="J1469" t="s">
        <v>22</v>
      </c>
      <c r="K1469">
        <v>1</v>
      </c>
      <c r="L1469">
        <v>15</v>
      </c>
      <c r="M1469">
        <v>15</v>
      </c>
      <c r="N1469">
        <f>IF(COUNTIFS($B$2:B1469,B1469)=1,1,0)</f>
        <v>0</v>
      </c>
    </row>
    <row r="1470" spans="1:14" x14ac:dyDescent="0.2">
      <c r="A1470">
        <v>1469</v>
      </c>
      <c r="B1470">
        <v>1735</v>
      </c>
      <c r="C1470">
        <f>1/COUNTIF(B:B,Table1[[#This Row],[order_id]])</f>
        <v>0.33333333333333331</v>
      </c>
      <c r="D1470" t="str">
        <f>TEXT(Table1[[#This Row],[order_date]],"mmmm")</f>
        <v>April</v>
      </c>
      <c r="E1470" s="1">
        <v>45408</v>
      </c>
      <c r="F1470" s="1" t="str">
        <f>TEXT(Table1[[#This Row],[order_date]],"dddd")</f>
        <v>Friday</v>
      </c>
      <c r="G1470">
        <f>HOUR(Table1[[#This Row],[order_time]])</f>
        <v>15</v>
      </c>
      <c r="H1470" s="2">
        <v>0.64984953703703707</v>
      </c>
      <c r="I1470" t="s">
        <v>9</v>
      </c>
      <c r="J1470" t="s">
        <v>22</v>
      </c>
      <c r="K1470">
        <v>3</v>
      </c>
      <c r="L1470">
        <v>15</v>
      </c>
      <c r="M1470">
        <v>45</v>
      </c>
      <c r="N1470">
        <f>IF(COUNTIFS($B$2:B1470,B1470)=1,1,0)</f>
        <v>0</v>
      </c>
    </row>
    <row r="1471" spans="1:14" x14ac:dyDescent="0.2">
      <c r="A1471">
        <v>1470</v>
      </c>
      <c r="B1471">
        <v>1736</v>
      </c>
      <c r="C1471">
        <f>1/COUNTIF(B:B,Table1[[#This Row],[order_id]])</f>
        <v>1</v>
      </c>
      <c r="D1471" t="str">
        <f>TEXT(Table1[[#This Row],[order_date]],"mmmm")</f>
        <v>April</v>
      </c>
      <c r="E1471" s="1">
        <v>45408</v>
      </c>
      <c r="F1471" s="1" t="str">
        <f>TEXT(Table1[[#This Row],[order_date]],"dddd")</f>
        <v>Friday</v>
      </c>
      <c r="G1471">
        <f>HOUR(Table1[[#This Row],[order_time]])</f>
        <v>14</v>
      </c>
      <c r="H1471" s="2">
        <v>0.60074074074074069</v>
      </c>
      <c r="I1471" t="s">
        <v>16</v>
      </c>
      <c r="J1471" t="s">
        <v>23</v>
      </c>
      <c r="K1471">
        <v>4</v>
      </c>
      <c r="L1471">
        <v>30</v>
      </c>
      <c r="M1471">
        <v>120</v>
      </c>
      <c r="N1471">
        <f>IF(COUNTIFS($B$2:B1471,B1471)=1,1,0)</f>
        <v>1</v>
      </c>
    </row>
    <row r="1472" spans="1:14" x14ac:dyDescent="0.2">
      <c r="A1472">
        <v>1471</v>
      </c>
      <c r="B1472">
        <v>1737</v>
      </c>
      <c r="C1472">
        <f>1/COUNTIF(B:B,Table1[[#This Row],[order_id]])</f>
        <v>1</v>
      </c>
      <c r="D1472" t="str">
        <f>TEXT(Table1[[#This Row],[order_date]],"mmmm")</f>
        <v>April</v>
      </c>
      <c r="E1472" s="1">
        <v>45408</v>
      </c>
      <c r="F1472" s="1" t="str">
        <f>TEXT(Table1[[#This Row],[order_date]],"dddd")</f>
        <v>Friday</v>
      </c>
      <c r="G1472">
        <f>HOUR(Table1[[#This Row],[order_time]])</f>
        <v>16</v>
      </c>
      <c r="H1472" s="2">
        <v>0.67252314814814818</v>
      </c>
      <c r="I1472" t="s">
        <v>9</v>
      </c>
      <c r="J1472" t="s">
        <v>20</v>
      </c>
      <c r="K1472">
        <v>3</v>
      </c>
      <c r="L1472">
        <v>25</v>
      </c>
      <c r="M1472">
        <v>75</v>
      </c>
      <c r="N1472">
        <f>IF(COUNTIFS($B$2:B1472,B1472)=1,1,0)</f>
        <v>1</v>
      </c>
    </row>
    <row r="1473" spans="1:14" x14ac:dyDescent="0.2">
      <c r="A1473">
        <v>1472</v>
      </c>
      <c r="B1473">
        <v>1738</v>
      </c>
      <c r="C1473">
        <f>1/COUNTIF(B:B,Table1[[#This Row],[order_id]])</f>
        <v>0.5</v>
      </c>
      <c r="D1473" t="str">
        <f>TEXT(Table1[[#This Row],[order_date]],"mmmm")</f>
        <v>April</v>
      </c>
      <c r="E1473" s="1">
        <v>45408</v>
      </c>
      <c r="F1473" s="1" t="str">
        <f>TEXT(Table1[[#This Row],[order_date]],"dddd")</f>
        <v>Friday</v>
      </c>
      <c r="G1473">
        <f>HOUR(Table1[[#This Row],[order_time]])</f>
        <v>9</v>
      </c>
      <c r="H1473" s="2">
        <v>0.39414351851851853</v>
      </c>
      <c r="I1473" t="s">
        <v>18</v>
      </c>
      <c r="J1473" t="s">
        <v>19</v>
      </c>
      <c r="K1473">
        <v>3</v>
      </c>
      <c r="L1473">
        <v>50</v>
      </c>
      <c r="M1473">
        <v>150</v>
      </c>
      <c r="N1473">
        <f>IF(COUNTIFS($B$2:B1473,B1473)=1,1,0)</f>
        <v>1</v>
      </c>
    </row>
    <row r="1474" spans="1:14" x14ac:dyDescent="0.2">
      <c r="A1474">
        <v>1473</v>
      </c>
      <c r="B1474">
        <v>1738</v>
      </c>
      <c r="C1474">
        <f>1/COUNTIF(B:B,Table1[[#This Row],[order_id]])</f>
        <v>0.5</v>
      </c>
      <c r="D1474" t="str">
        <f>TEXT(Table1[[#This Row],[order_date]],"mmmm")</f>
        <v>April</v>
      </c>
      <c r="E1474" s="1">
        <v>45408</v>
      </c>
      <c r="F1474" s="1" t="str">
        <f>TEXT(Table1[[#This Row],[order_date]],"dddd")</f>
        <v>Friday</v>
      </c>
      <c r="G1474">
        <f>HOUR(Table1[[#This Row],[order_time]])</f>
        <v>16</v>
      </c>
      <c r="H1474" s="2">
        <v>0.70134259259259257</v>
      </c>
      <c r="I1474" t="s">
        <v>16</v>
      </c>
      <c r="J1474" t="s">
        <v>24</v>
      </c>
      <c r="K1474">
        <v>2</v>
      </c>
      <c r="L1474">
        <v>35</v>
      </c>
      <c r="M1474">
        <v>70</v>
      </c>
      <c r="N1474">
        <f>IF(COUNTIFS($B$2:B1474,B1474)=1,1,0)</f>
        <v>0</v>
      </c>
    </row>
    <row r="1475" spans="1:14" x14ac:dyDescent="0.2">
      <c r="A1475">
        <v>1474</v>
      </c>
      <c r="B1475">
        <v>1739</v>
      </c>
      <c r="C1475">
        <f>1/COUNTIF(B:B,Table1[[#This Row],[order_id]])</f>
        <v>0.5</v>
      </c>
      <c r="D1475" t="str">
        <f>TEXT(Table1[[#This Row],[order_date]],"mmmm")</f>
        <v>April</v>
      </c>
      <c r="E1475" s="1">
        <v>45408</v>
      </c>
      <c r="F1475" s="1" t="str">
        <f>TEXT(Table1[[#This Row],[order_date]],"dddd")</f>
        <v>Friday</v>
      </c>
      <c r="G1475">
        <f>HOUR(Table1[[#This Row],[order_time]])</f>
        <v>15</v>
      </c>
      <c r="H1475" s="2">
        <v>0.64974537037037039</v>
      </c>
      <c r="I1475" t="s">
        <v>18</v>
      </c>
      <c r="J1475" t="s">
        <v>31</v>
      </c>
      <c r="K1475">
        <v>4</v>
      </c>
      <c r="L1475">
        <v>45</v>
      </c>
      <c r="M1475">
        <v>180</v>
      </c>
      <c r="N1475">
        <f>IF(COUNTIFS($B$2:B1475,B1475)=1,1,0)</f>
        <v>1</v>
      </c>
    </row>
    <row r="1476" spans="1:14" x14ac:dyDescent="0.2">
      <c r="A1476">
        <v>1475</v>
      </c>
      <c r="B1476">
        <v>1739</v>
      </c>
      <c r="C1476">
        <f>1/COUNTIF(B:B,Table1[[#This Row],[order_id]])</f>
        <v>0.5</v>
      </c>
      <c r="D1476" t="str">
        <f>TEXT(Table1[[#This Row],[order_date]],"mmmm")</f>
        <v>April</v>
      </c>
      <c r="E1476" s="1">
        <v>45408</v>
      </c>
      <c r="F1476" s="1" t="str">
        <f>TEXT(Table1[[#This Row],[order_date]],"dddd")</f>
        <v>Friday</v>
      </c>
      <c r="G1476">
        <f>HOUR(Table1[[#This Row],[order_time]])</f>
        <v>12</v>
      </c>
      <c r="H1476" s="2">
        <v>0.53664351851851855</v>
      </c>
      <c r="I1476" t="s">
        <v>16</v>
      </c>
      <c r="J1476" t="s">
        <v>23</v>
      </c>
      <c r="K1476">
        <v>4</v>
      </c>
      <c r="L1476">
        <v>30</v>
      </c>
      <c r="M1476">
        <v>120</v>
      </c>
      <c r="N1476">
        <f>IF(COUNTIFS($B$2:B1476,B1476)=1,1,0)</f>
        <v>0</v>
      </c>
    </row>
    <row r="1477" spans="1:14" x14ac:dyDescent="0.2">
      <c r="A1477">
        <v>1476</v>
      </c>
      <c r="B1477">
        <v>1740</v>
      </c>
      <c r="C1477">
        <f>1/COUNTIF(B:B,Table1[[#This Row],[order_id]])</f>
        <v>0.33333333333333331</v>
      </c>
      <c r="D1477" t="str">
        <f>TEXT(Table1[[#This Row],[order_date]],"mmmm")</f>
        <v>April</v>
      </c>
      <c r="E1477" s="1">
        <v>45409</v>
      </c>
      <c r="F1477" s="1" t="str">
        <f>TEXT(Table1[[#This Row],[order_date]],"dddd")</f>
        <v>Saturday</v>
      </c>
      <c r="G1477">
        <f>HOUR(Table1[[#This Row],[order_time]])</f>
        <v>9</v>
      </c>
      <c r="H1477" s="2">
        <v>0.40749999999999997</v>
      </c>
      <c r="I1477" t="s">
        <v>18</v>
      </c>
      <c r="J1477" t="s">
        <v>26</v>
      </c>
      <c r="K1477">
        <v>5</v>
      </c>
      <c r="L1477">
        <v>55</v>
      </c>
      <c r="M1477">
        <v>275</v>
      </c>
      <c r="N1477">
        <f>IF(COUNTIFS($B$2:B1477,B1477)=1,1,0)</f>
        <v>1</v>
      </c>
    </row>
    <row r="1478" spans="1:14" x14ac:dyDescent="0.2">
      <c r="A1478">
        <v>1477</v>
      </c>
      <c r="B1478">
        <v>1740</v>
      </c>
      <c r="C1478">
        <f>1/COUNTIF(B:B,Table1[[#This Row],[order_id]])</f>
        <v>0.33333333333333331</v>
      </c>
      <c r="D1478" t="str">
        <f>TEXT(Table1[[#This Row],[order_date]],"mmmm")</f>
        <v>April</v>
      </c>
      <c r="E1478" s="1">
        <v>45409</v>
      </c>
      <c r="F1478" s="1" t="str">
        <f>TEXT(Table1[[#This Row],[order_date]],"dddd")</f>
        <v>Saturday</v>
      </c>
      <c r="G1478">
        <f>HOUR(Table1[[#This Row],[order_time]])</f>
        <v>18</v>
      </c>
      <c r="H1478" s="2">
        <v>0.77231481481481479</v>
      </c>
      <c r="I1478" t="s">
        <v>18</v>
      </c>
      <c r="J1478" t="s">
        <v>26</v>
      </c>
      <c r="K1478">
        <v>4</v>
      </c>
      <c r="L1478">
        <v>55</v>
      </c>
      <c r="M1478">
        <v>220</v>
      </c>
      <c r="N1478">
        <f>IF(COUNTIFS($B$2:B1478,B1478)=1,1,0)</f>
        <v>0</v>
      </c>
    </row>
    <row r="1479" spans="1:14" x14ac:dyDescent="0.2">
      <c r="A1479">
        <v>1478</v>
      </c>
      <c r="B1479">
        <v>1740</v>
      </c>
      <c r="C1479">
        <f>1/COUNTIF(B:B,Table1[[#This Row],[order_id]])</f>
        <v>0.33333333333333331</v>
      </c>
      <c r="D1479" t="str">
        <f>TEXT(Table1[[#This Row],[order_date]],"mmmm")</f>
        <v>April</v>
      </c>
      <c r="E1479" s="1">
        <v>45409</v>
      </c>
      <c r="F1479" s="1" t="str">
        <f>TEXT(Table1[[#This Row],[order_date]],"dddd")</f>
        <v>Saturday</v>
      </c>
      <c r="G1479">
        <f>HOUR(Table1[[#This Row],[order_time]])</f>
        <v>18</v>
      </c>
      <c r="H1479" s="2">
        <v>0.78290509259259256</v>
      </c>
      <c r="I1479" t="s">
        <v>18</v>
      </c>
      <c r="J1479" t="s">
        <v>27</v>
      </c>
      <c r="K1479">
        <v>5</v>
      </c>
      <c r="L1479">
        <v>40</v>
      </c>
      <c r="M1479">
        <v>200</v>
      </c>
      <c r="N1479">
        <f>IF(COUNTIFS($B$2:B1479,B1479)=1,1,0)</f>
        <v>0</v>
      </c>
    </row>
    <row r="1480" spans="1:14" x14ac:dyDescent="0.2">
      <c r="A1480">
        <v>1479</v>
      </c>
      <c r="B1480">
        <v>1741</v>
      </c>
      <c r="C1480">
        <f>1/COUNTIF(B:B,Table1[[#This Row],[order_id]])</f>
        <v>1</v>
      </c>
      <c r="D1480" t="str">
        <f>TEXT(Table1[[#This Row],[order_date]],"mmmm")</f>
        <v>April</v>
      </c>
      <c r="E1480" s="1">
        <v>45409</v>
      </c>
      <c r="F1480" s="1" t="str">
        <f>TEXT(Table1[[#This Row],[order_date]],"dddd")</f>
        <v>Saturday</v>
      </c>
      <c r="G1480">
        <f>HOUR(Table1[[#This Row],[order_time]])</f>
        <v>14</v>
      </c>
      <c r="H1480" s="2">
        <v>0.60167824074074072</v>
      </c>
      <c r="I1480" t="s">
        <v>11</v>
      </c>
      <c r="J1480" t="s">
        <v>12</v>
      </c>
      <c r="K1480">
        <v>1</v>
      </c>
      <c r="L1480">
        <v>650</v>
      </c>
      <c r="M1480">
        <v>650</v>
      </c>
      <c r="N1480">
        <f>IF(COUNTIFS($B$2:B1480,B1480)=1,1,0)</f>
        <v>1</v>
      </c>
    </row>
    <row r="1481" spans="1:14" x14ac:dyDescent="0.2">
      <c r="A1481">
        <v>1480</v>
      </c>
      <c r="B1481">
        <v>1742</v>
      </c>
      <c r="C1481">
        <f>1/COUNTIF(B:B,Table1[[#This Row],[order_id]])</f>
        <v>0.33333333333333331</v>
      </c>
      <c r="D1481" t="str">
        <f>TEXT(Table1[[#This Row],[order_date]],"mmmm")</f>
        <v>April</v>
      </c>
      <c r="E1481" s="1">
        <v>45409</v>
      </c>
      <c r="F1481" s="1" t="str">
        <f>TEXT(Table1[[#This Row],[order_date]],"dddd")</f>
        <v>Saturday</v>
      </c>
      <c r="G1481">
        <f>HOUR(Table1[[#This Row],[order_time]])</f>
        <v>14</v>
      </c>
      <c r="H1481" s="2">
        <v>0.61935185185185182</v>
      </c>
      <c r="I1481" t="s">
        <v>9</v>
      </c>
      <c r="J1481" t="s">
        <v>20</v>
      </c>
      <c r="K1481">
        <v>2</v>
      </c>
      <c r="L1481">
        <v>25</v>
      </c>
      <c r="M1481">
        <v>50</v>
      </c>
      <c r="N1481">
        <f>IF(COUNTIFS($B$2:B1481,B1481)=1,1,0)</f>
        <v>1</v>
      </c>
    </row>
    <row r="1482" spans="1:14" x14ac:dyDescent="0.2">
      <c r="A1482">
        <v>1481</v>
      </c>
      <c r="B1482">
        <v>1742</v>
      </c>
      <c r="C1482">
        <f>1/COUNTIF(B:B,Table1[[#This Row],[order_id]])</f>
        <v>0.33333333333333331</v>
      </c>
      <c r="D1482" t="str">
        <f>TEXT(Table1[[#This Row],[order_date]],"mmmm")</f>
        <v>April</v>
      </c>
      <c r="E1482" s="1">
        <v>45409</v>
      </c>
      <c r="F1482" s="1" t="str">
        <f>TEXT(Table1[[#This Row],[order_date]],"dddd")</f>
        <v>Saturday</v>
      </c>
      <c r="G1482">
        <f>HOUR(Table1[[#This Row],[order_time]])</f>
        <v>14</v>
      </c>
      <c r="H1482" s="2">
        <v>0.60025462962962961</v>
      </c>
      <c r="I1482" t="s">
        <v>18</v>
      </c>
      <c r="J1482" t="s">
        <v>27</v>
      </c>
      <c r="K1482">
        <v>4</v>
      </c>
      <c r="L1482">
        <v>40</v>
      </c>
      <c r="M1482">
        <v>160</v>
      </c>
      <c r="N1482">
        <f>IF(COUNTIFS($B$2:B1482,B1482)=1,1,0)</f>
        <v>0</v>
      </c>
    </row>
    <row r="1483" spans="1:14" x14ac:dyDescent="0.2">
      <c r="A1483">
        <v>1482</v>
      </c>
      <c r="B1483">
        <v>1742</v>
      </c>
      <c r="C1483">
        <f>1/COUNTIF(B:B,Table1[[#This Row],[order_id]])</f>
        <v>0.33333333333333331</v>
      </c>
      <c r="D1483" t="str">
        <f>TEXT(Table1[[#This Row],[order_date]],"mmmm")</f>
        <v>April</v>
      </c>
      <c r="E1483" s="1">
        <v>45409</v>
      </c>
      <c r="F1483" s="1" t="str">
        <f>TEXT(Table1[[#This Row],[order_date]],"dddd")</f>
        <v>Saturday</v>
      </c>
      <c r="G1483">
        <f>HOUR(Table1[[#This Row],[order_time]])</f>
        <v>9</v>
      </c>
      <c r="H1483" s="2">
        <v>0.39114583333333336</v>
      </c>
      <c r="I1483" t="s">
        <v>18</v>
      </c>
      <c r="J1483" t="s">
        <v>31</v>
      </c>
      <c r="K1483">
        <v>5</v>
      </c>
      <c r="L1483">
        <v>45</v>
      </c>
      <c r="M1483">
        <v>225</v>
      </c>
      <c r="N1483">
        <f>IF(COUNTIFS($B$2:B1483,B1483)=1,1,0)</f>
        <v>0</v>
      </c>
    </row>
    <row r="1484" spans="1:14" x14ac:dyDescent="0.2">
      <c r="A1484">
        <v>1483</v>
      </c>
      <c r="B1484">
        <v>1743</v>
      </c>
      <c r="C1484">
        <f>1/COUNTIF(B:B,Table1[[#This Row],[order_id]])</f>
        <v>0.33333333333333331</v>
      </c>
      <c r="D1484" t="str">
        <f>TEXT(Table1[[#This Row],[order_date]],"mmmm")</f>
        <v>April</v>
      </c>
      <c r="E1484" s="1">
        <v>45409</v>
      </c>
      <c r="F1484" s="1" t="str">
        <f>TEXT(Table1[[#This Row],[order_date]],"dddd")</f>
        <v>Saturday</v>
      </c>
      <c r="G1484">
        <f>HOUR(Table1[[#This Row],[order_time]])</f>
        <v>10</v>
      </c>
      <c r="H1484" s="2">
        <v>0.41726851851851854</v>
      </c>
      <c r="I1484" t="s">
        <v>9</v>
      </c>
      <c r="J1484" t="s">
        <v>22</v>
      </c>
      <c r="K1484">
        <v>4</v>
      </c>
      <c r="L1484">
        <v>15</v>
      </c>
      <c r="M1484">
        <v>60</v>
      </c>
      <c r="N1484">
        <f>IF(COUNTIFS($B$2:B1484,B1484)=1,1,0)</f>
        <v>1</v>
      </c>
    </row>
    <row r="1485" spans="1:14" x14ac:dyDescent="0.2">
      <c r="A1485">
        <v>1484</v>
      </c>
      <c r="B1485">
        <v>1743</v>
      </c>
      <c r="C1485">
        <f>1/COUNTIF(B:B,Table1[[#This Row],[order_id]])</f>
        <v>0.33333333333333331</v>
      </c>
      <c r="D1485" t="str">
        <f>TEXT(Table1[[#This Row],[order_date]],"mmmm")</f>
        <v>April</v>
      </c>
      <c r="E1485" s="1">
        <v>45409</v>
      </c>
      <c r="F1485" s="1" t="str">
        <f>TEXT(Table1[[#This Row],[order_date]],"dddd")</f>
        <v>Saturday</v>
      </c>
      <c r="G1485">
        <f>HOUR(Table1[[#This Row],[order_time]])</f>
        <v>19</v>
      </c>
      <c r="H1485" s="2">
        <v>0.83265046296296297</v>
      </c>
      <c r="I1485" t="s">
        <v>9</v>
      </c>
      <c r="J1485" t="s">
        <v>10</v>
      </c>
      <c r="K1485">
        <v>4</v>
      </c>
      <c r="L1485">
        <v>20</v>
      </c>
      <c r="M1485">
        <v>80</v>
      </c>
      <c r="N1485">
        <f>IF(COUNTIFS($B$2:B1485,B1485)=1,1,0)</f>
        <v>0</v>
      </c>
    </row>
    <row r="1486" spans="1:14" x14ac:dyDescent="0.2">
      <c r="A1486">
        <v>1485</v>
      </c>
      <c r="B1486">
        <v>1743</v>
      </c>
      <c r="C1486">
        <f>1/COUNTIF(B:B,Table1[[#This Row],[order_id]])</f>
        <v>0.33333333333333331</v>
      </c>
      <c r="D1486" t="str">
        <f>TEXT(Table1[[#This Row],[order_date]],"mmmm")</f>
        <v>April</v>
      </c>
      <c r="E1486" s="1">
        <v>45409</v>
      </c>
      <c r="F1486" s="1" t="str">
        <f>TEXT(Table1[[#This Row],[order_date]],"dddd")</f>
        <v>Saturday</v>
      </c>
      <c r="G1486">
        <f>HOUR(Table1[[#This Row],[order_time]])</f>
        <v>9</v>
      </c>
      <c r="H1486" s="2">
        <v>0.37982638888888887</v>
      </c>
      <c r="I1486" t="s">
        <v>11</v>
      </c>
      <c r="J1486" t="s">
        <v>15</v>
      </c>
      <c r="K1486">
        <v>1</v>
      </c>
      <c r="L1486">
        <v>600</v>
      </c>
      <c r="M1486">
        <v>600</v>
      </c>
      <c r="N1486">
        <f>IF(COUNTIFS($B$2:B1486,B1486)=1,1,0)</f>
        <v>0</v>
      </c>
    </row>
    <row r="1487" spans="1:14" x14ac:dyDescent="0.2">
      <c r="A1487">
        <v>1486</v>
      </c>
      <c r="B1487">
        <v>1744</v>
      </c>
      <c r="C1487">
        <f>1/COUNTIF(B:B,Table1[[#This Row],[order_id]])</f>
        <v>0.33333333333333331</v>
      </c>
      <c r="D1487" t="str">
        <f>TEXT(Table1[[#This Row],[order_date]],"mmmm")</f>
        <v>April</v>
      </c>
      <c r="E1487" s="1">
        <v>45409</v>
      </c>
      <c r="F1487" s="1" t="str">
        <f>TEXT(Table1[[#This Row],[order_date]],"dddd")</f>
        <v>Saturday</v>
      </c>
      <c r="G1487">
        <f>HOUR(Table1[[#This Row],[order_time]])</f>
        <v>18</v>
      </c>
      <c r="H1487" s="2">
        <v>0.78599537037037037</v>
      </c>
      <c r="I1487" t="s">
        <v>11</v>
      </c>
      <c r="J1487" t="s">
        <v>15</v>
      </c>
      <c r="K1487">
        <v>1</v>
      </c>
      <c r="L1487">
        <v>600</v>
      </c>
      <c r="M1487">
        <v>600</v>
      </c>
      <c r="N1487">
        <f>IF(COUNTIFS($B$2:B1487,B1487)=1,1,0)</f>
        <v>1</v>
      </c>
    </row>
    <row r="1488" spans="1:14" x14ac:dyDescent="0.2">
      <c r="A1488">
        <v>1487</v>
      </c>
      <c r="B1488">
        <v>1744</v>
      </c>
      <c r="C1488">
        <f>1/COUNTIF(B:B,Table1[[#This Row],[order_id]])</f>
        <v>0.33333333333333331</v>
      </c>
      <c r="D1488" t="str">
        <f>TEXT(Table1[[#This Row],[order_date]],"mmmm")</f>
        <v>April</v>
      </c>
      <c r="E1488" s="1">
        <v>45409</v>
      </c>
      <c r="F1488" s="1" t="str">
        <f>TEXT(Table1[[#This Row],[order_date]],"dddd")</f>
        <v>Saturday</v>
      </c>
      <c r="G1488">
        <f>HOUR(Table1[[#This Row],[order_time]])</f>
        <v>13</v>
      </c>
      <c r="H1488" s="2">
        <v>0.58016203703703706</v>
      </c>
      <c r="I1488" t="s">
        <v>16</v>
      </c>
      <c r="J1488" t="s">
        <v>28</v>
      </c>
      <c r="K1488">
        <v>4</v>
      </c>
      <c r="L1488">
        <v>25</v>
      </c>
      <c r="M1488">
        <v>100</v>
      </c>
      <c r="N1488">
        <f>IF(COUNTIFS($B$2:B1488,B1488)=1,1,0)</f>
        <v>0</v>
      </c>
    </row>
    <row r="1489" spans="1:14" x14ac:dyDescent="0.2">
      <c r="A1489">
        <v>1488</v>
      </c>
      <c r="B1489">
        <v>1744</v>
      </c>
      <c r="C1489">
        <f>1/COUNTIF(B:B,Table1[[#This Row],[order_id]])</f>
        <v>0.33333333333333331</v>
      </c>
      <c r="D1489" t="str">
        <f>TEXT(Table1[[#This Row],[order_date]],"mmmm")</f>
        <v>April</v>
      </c>
      <c r="E1489" s="1">
        <v>45409</v>
      </c>
      <c r="F1489" s="1" t="str">
        <f>TEXT(Table1[[#This Row],[order_date]],"dddd")</f>
        <v>Saturday</v>
      </c>
      <c r="G1489">
        <f>HOUR(Table1[[#This Row],[order_time]])</f>
        <v>15</v>
      </c>
      <c r="H1489" s="2">
        <v>0.66491898148148143</v>
      </c>
      <c r="I1489" t="s">
        <v>18</v>
      </c>
      <c r="J1489" t="s">
        <v>27</v>
      </c>
      <c r="K1489">
        <v>1</v>
      </c>
      <c r="L1489">
        <v>40</v>
      </c>
      <c r="M1489">
        <v>40</v>
      </c>
      <c r="N1489">
        <f>IF(COUNTIFS($B$2:B1489,B1489)=1,1,0)</f>
        <v>0</v>
      </c>
    </row>
    <row r="1490" spans="1:14" x14ac:dyDescent="0.2">
      <c r="A1490">
        <v>1489</v>
      </c>
      <c r="B1490">
        <v>1745</v>
      </c>
      <c r="C1490">
        <f>1/COUNTIF(B:B,Table1[[#This Row],[order_id]])</f>
        <v>0.5</v>
      </c>
      <c r="D1490" t="str">
        <f>TEXT(Table1[[#This Row],[order_date]],"mmmm")</f>
        <v>April</v>
      </c>
      <c r="E1490" s="1">
        <v>45409</v>
      </c>
      <c r="F1490" s="1" t="str">
        <f>TEXT(Table1[[#This Row],[order_date]],"dddd")</f>
        <v>Saturday</v>
      </c>
      <c r="G1490">
        <f>HOUR(Table1[[#This Row],[order_time]])</f>
        <v>18</v>
      </c>
      <c r="H1490" s="2">
        <v>0.76109953703703703</v>
      </c>
      <c r="I1490" t="s">
        <v>18</v>
      </c>
      <c r="J1490" t="s">
        <v>26</v>
      </c>
      <c r="K1490">
        <v>3</v>
      </c>
      <c r="L1490">
        <v>55</v>
      </c>
      <c r="M1490">
        <v>165</v>
      </c>
      <c r="N1490">
        <f>IF(COUNTIFS($B$2:B1490,B1490)=1,1,0)</f>
        <v>1</v>
      </c>
    </row>
    <row r="1491" spans="1:14" x14ac:dyDescent="0.2">
      <c r="A1491">
        <v>1490</v>
      </c>
      <c r="B1491">
        <v>1745</v>
      </c>
      <c r="C1491">
        <f>1/COUNTIF(B:B,Table1[[#This Row],[order_id]])</f>
        <v>0.5</v>
      </c>
      <c r="D1491" t="str">
        <f>TEXT(Table1[[#This Row],[order_date]],"mmmm")</f>
        <v>April</v>
      </c>
      <c r="E1491" s="1">
        <v>45409</v>
      </c>
      <c r="F1491" s="1" t="str">
        <f>TEXT(Table1[[#This Row],[order_date]],"dddd")</f>
        <v>Saturday</v>
      </c>
      <c r="G1491">
        <f>HOUR(Table1[[#This Row],[order_time]])</f>
        <v>14</v>
      </c>
      <c r="H1491" s="2">
        <v>0.62049768518518522</v>
      </c>
      <c r="I1491" t="s">
        <v>11</v>
      </c>
      <c r="J1491" t="s">
        <v>14</v>
      </c>
      <c r="K1491">
        <v>1</v>
      </c>
      <c r="L1491">
        <v>700</v>
      </c>
      <c r="M1491">
        <v>700</v>
      </c>
      <c r="N1491">
        <f>IF(COUNTIFS($B$2:B1491,B1491)=1,1,0)</f>
        <v>0</v>
      </c>
    </row>
    <row r="1492" spans="1:14" x14ac:dyDescent="0.2">
      <c r="A1492">
        <v>1491</v>
      </c>
      <c r="B1492">
        <v>1746</v>
      </c>
      <c r="C1492">
        <f>1/COUNTIF(B:B,Table1[[#This Row],[order_id]])</f>
        <v>0.33333333333333331</v>
      </c>
      <c r="D1492" t="str">
        <f>TEXT(Table1[[#This Row],[order_date]],"mmmm")</f>
        <v>April</v>
      </c>
      <c r="E1492" s="1">
        <v>45409</v>
      </c>
      <c r="F1492" s="1" t="str">
        <f>TEXT(Table1[[#This Row],[order_date]],"dddd")</f>
        <v>Saturday</v>
      </c>
      <c r="G1492">
        <f>HOUR(Table1[[#This Row],[order_time]])</f>
        <v>16</v>
      </c>
      <c r="H1492" s="2">
        <v>0.67790509259259257</v>
      </c>
      <c r="I1492" t="s">
        <v>18</v>
      </c>
      <c r="J1492" t="s">
        <v>19</v>
      </c>
      <c r="K1492">
        <v>5</v>
      </c>
      <c r="L1492">
        <v>50</v>
      </c>
      <c r="M1492">
        <v>250</v>
      </c>
      <c r="N1492">
        <f>IF(COUNTIFS($B$2:B1492,B1492)=1,1,0)</f>
        <v>1</v>
      </c>
    </row>
    <row r="1493" spans="1:14" x14ac:dyDescent="0.2">
      <c r="A1493">
        <v>1492</v>
      </c>
      <c r="B1493">
        <v>1746</v>
      </c>
      <c r="C1493">
        <f>1/COUNTIF(B:B,Table1[[#This Row],[order_id]])</f>
        <v>0.33333333333333331</v>
      </c>
      <c r="D1493" t="str">
        <f>TEXT(Table1[[#This Row],[order_date]],"mmmm")</f>
        <v>April</v>
      </c>
      <c r="E1493" s="1">
        <v>45409</v>
      </c>
      <c r="F1493" s="1" t="str">
        <f>TEXT(Table1[[#This Row],[order_date]],"dddd")</f>
        <v>Saturday</v>
      </c>
      <c r="G1493">
        <f>HOUR(Table1[[#This Row],[order_time]])</f>
        <v>11</v>
      </c>
      <c r="H1493" s="2">
        <v>0.48703703703703705</v>
      </c>
      <c r="I1493" t="s">
        <v>11</v>
      </c>
      <c r="J1493" t="s">
        <v>13</v>
      </c>
      <c r="K1493">
        <v>3</v>
      </c>
      <c r="L1493">
        <v>680</v>
      </c>
      <c r="M1493">
        <v>2040</v>
      </c>
      <c r="N1493">
        <f>IF(COUNTIFS($B$2:B1493,B1493)=1,1,0)</f>
        <v>0</v>
      </c>
    </row>
    <row r="1494" spans="1:14" x14ac:dyDescent="0.2">
      <c r="A1494">
        <v>1493</v>
      </c>
      <c r="B1494">
        <v>1746</v>
      </c>
      <c r="C1494">
        <f>1/COUNTIF(B:B,Table1[[#This Row],[order_id]])</f>
        <v>0.33333333333333331</v>
      </c>
      <c r="D1494" t="str">
        <f>TEXT(Table1[[#This Row],[order_date]],"mmmm")</f>
        <v>April</v>
      </c>
      <c r="E1494" s="1">
        <v>45409</v>
      </c>
      <c r="F1494" s="1" t="str">
        <f>TEXT(Table1[[#This Row],[order_date]],"dddd")</f>
        <v>Saturday</v>
      </c>
      <c r="G1494">
        <f>HOUR(Table1[[#This Row],[order_time]])</f>
        <v>20</v>
      </c>
      <c r="H1494" s="2">
        <v>0.84767361111111106</v>
      </c>
      <c r="I1494" t="s">
        <v>9</v>
      </c>
      <c r="J1494" t="s">
        <v>21</v>
      </c>
      <c r="K1494">
        <v>5</v>
      </c>
      <c r="L1494">
        <v>10</v>
      </c>
      <c r="M1494">
        <v>50</v>
      </c>
      <c r="N1494">
        <f>IF(COUNTIFS($B$2:B1494,B1494)=1,1,0)</f>
        <v>0</v>
      </c>
    </row>
    <row r="1495" spans="1:14" x14ac:dyDescent="0.2">
      <c r="A1495">
        <v>1494</v>
      </c>
      <c r="B1495">
        <v>1747</v>
      </c>
      <c r="C1495">
        <f>1/COUNTIF(B:B,Table1[[#This Row],[order_id]])</f>
        <v>0.5</v>
      </c>
      <c r="D1495" t="str">
        <f>TEXT(Table1[[#This Row],[order_date]],"mmmm")</f>
        <v>April</v>
      </c>
      <c r="E1495" s="1">
        <v>45410</v>
      </c>
      <c r="F1495" s="1" t="str">
        <f>TEXT(Table1[[#This Row],[order_date]],"dddd")</f>
        <v>Sunday</v>
      </c>
      <c r="G1495">
        <f>HOUR(Table1[[#This Row],[order_time]])</f>
        <v>18</v>
      </c>
      <c r="H1495" s="2">
        <v>0.77381944444444439</v>
      </c>
      <c r="I1495" t="s">
        <v>16</v>
      </c>
      <c r="J1495" t="s">
        <v>17</v>
      </c>
      <c r="K1495">
        <v>1</v>
      </c>
      <c r="L1495">
        <v>20</v>
      </c>
      <c r="M1495">
        <v>20</v>
      </c>
      <c r="N1495">
        <f>IF(COUNTIFS($B$2:B1495,B1495)=1,1,0)</f>
        <v>1</v>
      </c>
    </row>
    <row r="1496" spans="1:14" x14ac:dyDescent="0.2">
      <c r="A1496">
        <v>1495</v>
      </c>
      <c r="B1496">
        <v>1747</v>
      </c>
      <c r="C1496">
        <f>1/COUNTIF(B:B,Table1[[#This Row],[order_id]])</f>
        <v>0.5</v>
      </c>
      <c r="D1496" t="str">
        <f>TEXT(Table1[[#This Row],[order_date]],"mmmm")</f>
        <v>April</v>
      </c>
      <c r="E1496" s="1">
        <v>45410</v>
      </c>
      <c r="F1496" s="1" t="str">
        <f>TEXT(Table1[[#This Row],[order_date]],"dddd")</f>
        <v>Sunday</v>
      </c>
      <c r="G1496">
        <f>HOUR(Table1[[#This Row],[order_time]])</f>
        <v>12</v>
      </c>
      <c r="H1496" s="2">
        <v>0.54082175925925924</v>
      </c>
      <c r="I1496" t="s">
        <v>16</v>
      </c>
      <c r="J1496" t="s">
        <v>17</v>
      </c>
      <c r="K1496">
        <v>4</v>
      </c>
      <c r="L1496">
        <v>20</v>
      </c>
      <c r="M1496">
        <v>80</v>
      </c>
      <c r="N1496">
        <f>IF(COUNTIFS($B$2:B1496,B1496)=1,1,0)</f>
        <v>0</v>
      </c>
    </row>
    <row r="1497" spans="1:14" x14ac:dyDescent="0.2">
      <c r="A1497">
        <v>1496</v>
      </c>
      <c r="B1497">
        <v>1748</v>
      </c>
      <c r="C1497">
        <f>1/COUNTIF(B:B,Table1[[#This Row],[order_id]])</f>
        <v>1</v>
      </c>
      <c r="D1497" t="str">
        <f>TEXT(Table1[[#This Row],[order_date]],"mmmm")</f>
        <v>April</v>
      </c>
      <c r="E1497" s="1">
        <v>45410</v>
      </c>
      <c r="F1497" s="1" t="str">
        <f>TEXT(Table1[[#This Row],[order_date]],"dddd")</f>
        <v>Sunday</v>
      </c>
      <c r="G1497">
        <f>HOUR(Table1[[#This Row],[order_time]])</f>
        <v>11</v>
      </c>
      <c r="H1497" s="2">
        <v>0.48721064814814813</v>
      </c>
      <c r="I1497" t="s">
        <v>16</v>
      </c>
      <c r="J1497" t="s">
        <v>23</v>
      </c>
      <c r="K1497">
        <v>2</v>
      </c>
      <c r="L1497">
        <v>30</v>
      </c>
      <c r="M1497">
        <v>60</v>
      </c>
      <c r="N1497">
        <f>IF(COUNTIFS($B$2:B1497,B1497)=1,1,0)</f>
        <v>1</v>
      </c>
    </row>
    <row r="1498" spans="1:14" x14ac:dyDescent="0.2">
      <c r="A1498">
        <v>1497</v>
      </c>
      <c r="B1498">
        <v>1749</v>
      </c>
      <c r="C1498">
        <f>1/COUNTIF(B:B,Table1[[#This Row],[order_id]])</f>
        <v>0.33333333333333331</v>
      </c>
      <c r="D1498" t="str">
        <f>TEXT(Table1[[#This Row],[order_date]],"mmmm")</f>
        <v>April</v>
      </c>
      <c r="E1498" s="1">
        <v>45410</v>
      </c>
      <c r="F1498" s="1" t="str">
        <f>TEXT(Table1[[#This Row],[order_date]],"dddd")</f>
        <v>Sunday</v>
      </c>
      <c r="G1498">
        <f>HOUR(Table1[[#This Row],[order_time]])</f>
        <v>16</v>
      </c>
      <c r="H1498" s="2">
        <v>0.69158564814814816</v>
      </c>
      <c r="I1498" t="s">
        <v>11</v>
      </c>
      <c r="J1498" t="s">
        <v>25</v>
      </c>
      <c r="K1498">
        <v>5</v>
      </c>
      <c r="L1498">
        <v>1000</v>
      </c>
      <c r="M1498">
        <v>5000</v>
      </c>
      <c r="N1498">
        <f>IF(COUNTIFS($B$2:B1498,B1498)=1,1,0)</f>
        <v>1</v>
      </c>
    </row>
    <row r="1499" spans="1:14" x14ac:dyDescent="0.2">
      <c r="A1499">
        <v>1498</v>
      </c>
      <c r="B1499">
        <v>1749</v>
      </c>
      <c r="C1499">
        <f>1/COUNTIF(B:B,Table1[[#This Row],[order_id]])</f>
        <v>0.33333333333333331</v>
      </c>
      <c r="D1499" t="str">
        <f>TEXT(Table1[[#This Row],[order_date]],"mmmm")</f>
        <v>April</v>
      </c>
      <c r="E1499" s="1">
        <v>45410</v>
      </c>
      <c r="F1499" s="1" t="str">
        <f>TEXT(Table1[[#This Row],[order_date]],"dddd")</f>
        <v>Sunday</v>
      </c>
      <c r="G1499">
        <f>HOUR(Table1[[#This Row],[order_time]])</f>
        <v>11</v>
      </c>
      <c r="H1499" s="2">
        <v>0.47763888888888889</v>
      </c>
      <c r="I1499" t="s">
        <v>11</v>
      </c>
      <c r="J1499" t="s">
        <v>15</v>
      </c>
      <c r="K1499">
        <v>4</v>
      </c>
      <c r="L1499">
        <v>600</v>
      </c>
      <c r="M1499">
        <v>2400</v>
      </c>
      <c r="N1499">
        <f>IF(COUNTIFS($B$2:B1499,B1499)=1,1,0)</f>
        <v>0</v>
      </c>
    </row>
    <row r="1500" spans="1:14" x14ac:dyDescent="0.2">
      <c r="A1500">
        <v>1499</v>
      </c>
      <c r="B1500">
        <v>1749</v>
      </c>
      <c r="C1500">
        <f>1/COUNTIF(B:B,Table1[[#This Row],[order_id]])</f>
        <v>0.33333333333333331</v>
      </c>
      <c r="D1500" t="str">
        <f>TEXT(Table1[[#This Row],[order_date]],"mmmm")</f>
        <v>April</v>
      </c>
      <c r="E1500" s="1">
        <v>45410</v>
      </c>
      <c r="F1500" s="1" t="str">
        <f>TEXT(Table1[[#This Row],[order_date]],"dddd")</f>
        <v>Sunday</v>
      </c>
      <c r="G1500">
        <f>HOUR(Table1[[#This Row],[order_time]])</f>
        <v>17</v>
      </c>
      <c r="H1500" s="2">
        <v>0.73273148148148148</v>
      </c>
      <c r="I1500" t="s">
        <v>18</v>
      </c>
      <c r="J1500" t="s">
        <v>30</v>
      </c>
      <c r="K1500">
        <v>2</v>
      </c>
      <c r="L1500">
        <v>60</v>
      </c>
      <c r="M1500">
        <v>120</v>
      </c>
      <c r="N1500">
        <f>IF(COUNTIFS($B$2:B1500,B1500)=1,1,0)</f>
        <v>0</v>
      </c>
    </row>
    <row r="1501" spans="1:14" x14ac:dyDescent="0.2">
      <c r="A1501">
        <v>1500</v>
      </c>
      <c r="B1501">
        <v>1750</v>
      </c>
      <c r="C1501">
        <f>1/COUNTIF(B:B,Table1[[#This Row],[order_id]])</f>
        <v>0.33333333333333331</v>
      </c>
      <c r="D1501" t="str">
        <f>TEXT(Table1[[#This Row],[order_date]],"mmmm")</f>
        <v>April</v>
      </c>
      <c r="E1501" s="1">
        <v>45410</v>
      </c>
      <c r="F1501" s="1" t="str">
        <f>TEXT(Table1[[#This Row],[order_date]],"dddd")</f>
        <v>Sunday</v>
      </c>
      <c r="G1501">
        <f>HOUR(Table1[[#This Row],[order_time]])</f>
        <v>12</v>
      </c>
      <c r="H1501" s="2">
        <v>0.50438657407407406</v>
      </c>
      <c r="I1501" t="s">
        <v>9</v>
      </c>
      <c r="J1501" t="s">
        <v>21</v>
      </c>
      <c r="K1501">
        <v>2</v>
      </c>
      <c r="L1501">
        <v>10</v>
      </c>
      <c r="M1501">
        <v>20</v>
      </c>
      <c r="N1501">
        <f>IF(COUNTIFS($B$2:B1501,B1501)=1,1,0)</f>
        <v>1</v>
      </c>
    </row>
    <row r="1502" spans="1:14" x14ac:dyDescent="0.2">
      <c r="A1502">
        <v>1501</v>
      </c>
      <c r="B1502">
        <v>1750</v>
      </c>
      <c r="C1502">
        <f>1/COUNTIF(B:B,Table1[[#This Row],[order_id]])</f>
        <v>0.33333333333333331</v>
      </c>
      <c r="D1502" t="str">
        <f>TEXT(Table1[[#This Row],[order_date]],"mmmm")</f>
        <v>April</v>
      </c>
      <c r="E1502" s="1">
        <v>45410</v>
      </c>
      <c r="F1502" s="1" t="str">
        <f>TEXT(Table1[[#This Row],[order_date]],"dddd")</f>
        <v>Sunday</v>
      </c>
      <c r="G1502">
        <f>HOUR(Table1[[#This Row],[order_time]])</f>
        <v>14</v>
      </c>
      <c r="H1502" s="2">
        <v>0.58960648148148154</v>
      </c>
      <c r="I1502" t="s">
        <v>18</v>
      </c>
      <c r="J1502" t="s">
        <v>26</v>
      </c>
      <c r="K1502">
        <v>2</v>
      </c>
      <c r="L1502">
        <v>55</v>
      </c>
      <c r="M1502">
        <v>110</v>
      </c>
      <c r="N1502">
        <f>IF(COUNTIFS($B$2:B1502,B1502)=1,1,0)</f>
        <v>0</v>
      </c>
    </row>
    <row r="1503" spans="1:14" x14ac:dyDescent="0.2">
      <c r="A1503">
        <v>1502</v>
      </c>
      <c r="B1503">
        <v>1750</v>
      </c>
      <c r="C1503">
        <f>1/COUNTIF(B:B,Table1[[#This Row],[order_id]])</f>
        <v>0.33333333333333331</v>
      </c>
      <c r="D1503" t="str">
        <f>TEXT(Table1[[#This Row],[order_date]],"mmmm")</f>
        <v>April</v>
      </c>
      <c r="E1503" s="1">
        <v>45410</v>
      </c>
      <c r="F1503" s="1" t="str">
        <f>TEXT(Table1[[#This Row],[order_date]],"dddd")</f>
        <v>Sunday</v>
      </c>
      <c r="G1503">
        <f>HOUR(Table1[[#This Row],[order_time]])</f>
        <v>20</v>
      </c>
      <c r="H1503" s="2">
        <v>0.87121527777777774</v>
      </c>
      <c r="I1503" t="s">
        <v>9</v>
      </c>
      <c r="J1503" t="s">
        <v>22</v>
      </c>
      <c r="K1503">
        <v>5</v>
      </c>
      <c r="L1503">
        <v>15</v>
      </c>
      <c r="M1503">
        <v>75</v>
      </c>
      <c r="N1503">
        <f>IF(COUNTIFS($B$2:B1503,B1503)=1,1,0)</f>
        <v>0</v>
      </c>
    </row>
    <row r="1504" spans="1:14" x14ac:dyDescent="0.2">
      <c r="A1504">
        <v>1503</v>
      </c>
      <c r="B1504">
        <v>1751</v>
      </c>
      <c r="C1504">
        <f>1/COUNTIF(B:B,Table1[[#This Row],[order_id]])</f>
        <v>0.33333333333333331</v>
      </c>
      <c r="D1504" t="str">
        <f>TEXT(Table1[[#This Row],[order_date]],"mmmm")</f>
        <v>April</v>
      </c>
      <c r="E1504" s="1">
        <v>45410</v>
      </c>
      <c r="F1504" s="1" t="str">
        <f>TEXT(Table1[[#This Row],[order_date]],"dddd")</f>
        <v>Sunday</v>
      </c>
      <c r="G1504">
        <f>HOUR(Table1[[#This Row],[order_time]])</f>
        <v>19</v>
      </c>
      <c r="H1504" s="2">
        <v>0.81013888888888885</v>
      </c>
      <c r="I1504" t="s">
        <v>9</v>
      </c>
      <c r="J1504" t="s">
        <v>10</v>
      </c>
      <c r="K1504">
        <v>2</v>
      </c>
      <c r="L1504">
        <v>20</v>
      </c>
      <c r="M1504">
        <v>40</v>
      </c>
      <c r="N1504">
        <f>IF(COUNTIFS($B$2:B1504,B1504)=1,1,0)</f>
        <v>1</v>
      </c>
    </row>
    <row r="1505" spans="1:14" x14ac:dyDescent="0.2">
      <c r="A1505">
        <v>1504</v>
      </c>
      <c r="B1505">
        <v>1751</v>
      </c>
      <c r="C1505">
        <f>1/COUNTIF(B:B,Table1[[#This Row],[order_id]])</f>
        <v>0.33333333333333331</v>
      </c>
      <c r="D1505" t="str">
        <f>TEXT(Table1[[#This Row],[order_date]],"mmmm")</f>
        <v>April</v>
      </c>
      <c r="E1505" s="1">
        <v>45410</v>
      </c>
      <c r="F1505" s="1" t="str">
        <f>TEXT(Table1[[#This Row],[order_date]],"dddd")</f>
        <v>Sunday</v>
      </c>
      <c r="G1505">
        <f>HOUR(Table1[[#This Row],[order_time]])</f>
        <v>17</v>
      </c>
      <c r="H1505" s="2">
        <v>0.71662037037037041</v>
      </c>
      <c r="I1505" t="s">
        <v>9</v>
      </c>
      <c r="J1505" t="s">
        <v>21</v>
      </c>
      <c r="K1505">
        <v>4</v>
      </c>
      <c r="L1505">
        <v>10</v>
      </c>
      <c r="M1505">
        <v>40</v>
      </c>
      <c r="N1505">
        <f>IF(COUNTIFS($B$2:B1505,B1505)=1,1,0)</f>
        <v>0</v>
      </c>
    </row>
    <row r="1506" spans="1:14" x14ac:dyDescent="0.2">
      <c r="A1506">
        <v>1505</v>
      </c>
      <c r="B1506">
        <v>1751</v>
      </c>
      <c r="C1506">
        <f>1/COUNTIF(B:B,Table1[[#This Row],[order_id]])</f>
        <v>0.33333333333333331</v>
      </c>
      <c r="D1506" t="str">
        <f>TEXT(Table1[[#This Row],[order_date]],"mmmm")</f>
        <v>April</v>
      </c>
      <c r="E1506" s="1">
        <v>45410</v>
      </c>
      <c r="F1506" s="1" t="str">
        <f>TEXT(Table1[[#This Row],[order_date]],"dddd")</f>
        <v>Sunday</v>
      </c>
      <c r="G1506">
        <f>HOUR(Table1[[#This Row],[order_time]])</f>
        <v>15</v>
      </c>
      <c r="H1506" s="2">
        <v>0.64701388888888889</v>
      </c>
      <c r="I1506" t="s">
        <v>11</v>
      </c>
      <c r="J1506" t="s">
        <v>12</v>
      </c>
      <c r="K1506">
        <v>3</v>
      </c>
      <c r="L1506">
        <v>650</v>
      </c>
      <c r="M1506">
        <v>1950</v>
      </c>
      <c r="N1506">
        <f>IF(COUNTIFS($B$2:B1506,B1506)=1,1,0)</f>
        <v>0</v>
      </c>
    </row>
    <row r="1507" spans="1:14" x14ac:dyDescent="0.2">
      <c r="A1507">
        <v>1506</v>
      </c>
      <c r="B1507">
        <v>1752</v>
      </c>
      <c r="C1507">
        <f>1/COUNTIF(B:B,Table1[[#This Row],[order_id]])</f>
        <v>1</v>
      </c>
      <c r="D1507" t="str">
        <f>TEXT(Table1[[#This Row],[order_date]],"mmmm")</f>
        <v>April</v>
      </c>
      <c r="E1507" s="1">
        <v>45410</v>
      </c>
      <c r="F1507" s="1" t="str">
        <f>TEXT(Table1[[#This Row],[order_date]],"dddd")</f>
        <v>Sunday</v>
      </c>
      <c r="G1507">
        <f>HOUR(Table1[[#This Row],[order_time]])</f>
        <v>15</v>
      </c>
      <c r="H1507" s="2">
        <v>0.62805555555555559</v>
      </c>
      <c r="I1507" t="s">
        <v>16</v>
      </c>
      <c r="J1507" t="s">
        <v>17</v>
      </c>
      <c r="K1507">
        <v>1</v>
      </c>
      <c r="L1507">
        <v>20</v>
      </c>
      <c r="M1507">
        <v>20</v>
      </c>
      <c r="N1507">
        <f>IF(COUNTIFS($B$2:B1507,B1507)=1,1,0)</f>
        <v>1</v>
      </c>
    </row>
    <row r="1508" spans="1:14" x14ac:dyDescent="0.2">
      <c r="A1508">
        <v>1507</v>
      </c>
      <c r="B1508">
        <v>1753</v>
      </c>
      <c r="C1508">
        <f>1/COUNTIF(B:B,Table1[[#This Row],[order_id]])</f>
        <v>1</v>
      </c>
      <c r="D1508" t="str">
        <f>TEXT(Table1[[#This Row],[order_date]],"mmmm")</f>
        <v>April</v>
      </c>
      <c r="E1508" s="1">
        <v>45410</v>
      </c>
      <c r="F1508" s="1" t="str">
        <f>TEXT(Table1[[#This Row],[order_date]],"dddd")</f>
        <v>Sunday</v>
      </c>
      <c r="G1508">
        <f>HOUR(Table1[[#This Row],[order_time]])</f>
        <v>10</v>
      </c>
      <c r="H1508" s="2">
        <v>0.43748842592592591</v>
      </c>
      <c r="I1508" t="s">
        <v>18</v>
      </c>
      <c r="J1508" t="s">
        <v>26</v>
      </c>
      <c r="K1508">
        <v>2</v>
      </c>
      <c r="L1508">
        <v>55</v>
      </c>
      <c r="M1508">
        <v>110</v>
      </c>
      <c r="N1508">
        <f>IF(COUNTIFS($B$2:B1508,B1508)=1,1,0)</f>
        <v>1</v>
      </c>
    </row>
    <row r="1509" spans="1:14" x14ac:dyDescent="0.2">
      <c r="A1509">
        <v>1508</v>
      </c>
      <c r="B1509">
        <v>1754</v>
      </c>
      <c r="C1509">
        <f>1/COUNTIF(B:B,Table1[[#This Row],[order_id]])</f>
        <v>0.33333333333333331</v>
      </c>
      <c r="D1509" t="str">
        <f>TEXT(Table1[[#This Row],[order_date]],"mmmm")</f>
        <v>April</v>
      </c>
      <c r="E1509" s="1">
        <v>45410</v>
      </c>
      <c r="F1509" s="1" t="str">
        <f>TEXT(Table1[[#This Row],[order_date]],"dddd")</f>
        <v>Sunday</v>
      </c>
      <c r="G1509">
        <f>HOUR(Table1[[#This Row],[order_time]])</f>
        <v>15</v>
      </c>
      <c r="H1509" s="2">
        <v>0.64443287037037034</v>
      </c>
      <c r="I1509" t="s">
        <v>9</v>
      </c>
      <c r="J1509" t="s">
        <v>20</v>
      </c>
      <c r="K1509">
        <v>2</v>
      </c>
      <c r="L1509">
        <v>25</v>
      </c>
      <c r="M1509">
        <v>50</v>
      </c>
      <c r="N1509">
        <f>IF(COUNTIFS($B$2:B1509,B1509)=1,1,0)</f>
        <v>1</v>
      </c>
    </row>
    <row r="1510" spans="1:14" x14ac:dyDescent="0.2">
      <c r="A1510">
        <v>1509</v>
      </c>
      <c r="B1510">
        <v>1754</v>
      </c>
      <c r="C1510">
        <f>1/COUNTIF(B:B,Table1[[#This Row],[order_id]])</f>
        <v>0.33333333333333331</v>
      </c>
      <c r="D1510" t="str">
        <f>TEXT(Table1[[#This Row],[order_date]],"mmmm")</f>
        <v>April</v>
      </c>
      <c r="E1510" s="1">
        <v>45410</v>
      </c>
      <c r="F1510" s="1" t="str">
        <f>TEXT(Table1[[#This Row],[order_date]],"dddd")</f>
        <v>Sunday</v>
      </c>
      <c r="G1510">
        <f>HOUR(Table1[[#This Row],[order_time]])</f>
        <v>11</v>
      </c>
      <c r="H1510" s="2">
        <v>0.46592592592592591</v>
      </c>
      <c r="I1510" t="s">
        <v>16</v>
      </c>
      <c r="J1510" t="s">
        <v>24</v>
      </c>
      <c r="K1510">
        <v>3</v>
      </c>
      <c r="L1510">
        <v>35</v>
      </c>
      <c r="M1510">
        <v>105</v>
      </c>
      <c r="N1510">
        <f>IF(COUNTIFS($B$2:B1510,B1510)=1,1,0)</f>
        <v>0</v>
      </c>
    </row>
    <row r="1511" spans="1:14" x14ac:dyDescent="0.2">
      <c r="A1511">
        <v>1510</v>
      </c>
      <c r="B1511">
        <v>1754</v>
      </c>
      <c r="C1511">
        <f>1/COUNTIF(B:B,Table1[[#This Row],[order_id]])</f>
        <v>0.33333333333333331</v>
      </c>
      <c r="D1511" t="str">
        <f>TEXT(Table1[[#This Row],[order_date]],"mmmm")</f>
        <v>April</v>
      </c>
      <c r="E1511" s="1">
        <v>45410</v>
      </c>
      <c r="F1511" s="1" t="str">
        <f>TEXT(Table1[[#This Row],[order_date]],"dddd")</f>
        <v>Sunday</v>
      </c>
      <c r="G1511">
        <f>HOUR(Table1[[#This Row],[order_time]])</f>
        <v>13</v>
      </c>
      <c r="H1511" s="2">
        <v>0.55508101851851854</v>
      </c>
      <c r="I1511" t="s">
        <v>18</v>
      </c>
      <c r="J1511" t="s">
        <v>19</v>
      </c>
      <c r="K1511">
        <v>5</v>
      </c>
      <c r="L1511">
        <v>50</v>
      </c>
      <c r="M1511">
        <v>250</v>
      </c>
      <c r="N1511">
        <f>IF(COUNTIFS($B$2:B1511,B1511)=1,1,0)</f>
        <v>0</v>
      </c>
    </row>
    <row r="1512" spans="1:14" x14ac:dyDescent="0.2">
      <c r="A1512">
        <v>1511</v>
      </c>
      <c r="B1512">
        <v>1755</v>
      </c>
      <c r="C1512">
        <f>1/COUNTIF(B:B,Table1[[#This Row],[order_id]])</f>
        <v>0.5</v>
      </c>
      <c r="D1512" t="str">
        <f>TEXT(Table1[[#This Row],[order_date]],"mmmm")</f>
        <v>April</v>
      </c>
      <c r="E1512" s="1">
        <v>45410</v>
      </c>
      <c r="F1512" s="1" t="str">
        <f>TEXT(Table1[[#This Row],[order_date]],"dddd")</f>
        <v>Sunday</v>
      </c>
      <c r="G1512">
        <f>HOUR(Table1[[#This Row],[order_time]])</f>
        <v>18</v>
      </c>
      <c r="H1512" s="2">
        <v>0.78249999999999997</v>
      </c>
      <c r="I1512" t="s">
        <v>9</v>
      </c>
      <c r="J1512" t="s">
        <v>29</v>
      </c>
      <c r="K1512">
        <v>4</v>
      </c>
      <c r="L1512">
        <v>5</v>
      </c>
      <c r="M1512">
        <v>20</v>
      </c>
      <c r="N1512">
        <f>IF(COUNTIFS($B$2:B1512,B1512)=1,1,0)</f>
        <v>1</v>
      </c>
    </row>
    <row r="1513" spans="1:14" x14ac:dyDescent="0.2">
      <c r="A1513">
        <v>1512</v>
      </c>
      <c r="B1513">
        <v>1755</v>
      </c>
      <c r="C1513">
        <f>1/COUNTIF(B:B,Table1[[#This Row],[order_id]])</f>
        <v>0.5</v>
      </c>
      <c r="D1513" t="str">
        <f>TEXT(Table1[[#This Row],[order_date]],"mmmm")</f>
        <v>April</v>
      </c>
      <c r="E1513" s="1">
        <v>45410</v>
      </c>
      <c r="F1513" s="1" t="str">
        <f>TEXT(Table1[[#This Row],[order_date]],"dddd")</f>
        <v>Sunday</v>
      </c>
      <c r="G1513">
        <f>HOUR(Table1[[#This Row],[order_time]])</f>
        <v>20</v>
      </c>
      <c r="H1513" s="2">
        <v>0.84998842592592594</v>
      </c>
      <c r="I1513" t="s">
        <v>11</v>
      </c>
      <c r="J1513" t="s">
        <v>14</v>
      </c>
      <c r="K1513">
        <v>5</v>
      </c>
      <c r="L1513">
        <v>700</v>
      </c>
      <c r="M1513">
        <v>3500</v>
      </c>
      <c r="N1513">
        <f>IF(COUNTIFS($B$2:B1513,B1513)=1,1,0)</f>
        <v>0</v>
      </c>
    </row>
    <row r="1514" spans="1:14" x14ac:dyDescent="0.2">
      <c r="A1514">
        <v>1513</v>
      </c>
      <c r="B1514">
        <v>1756</v>
      </c>
      <c r="C1514">
        <f>1/COUNTIF(B:B,Table1[[#This Row],[order_id]])</f>
        <v>0.33333333333333331</v>
      </c>
      <c r="D1514" t="str">
        <f>TEXT(Table1[[#This Row],[order_date]],"mmmm")</f>
        <v>April</v>
      </c>
      <c r="E1514" s="1">
        <v>45410</v>
      </c>
      <c r="F1514" s="1" t="str">
        <f>TEXT(Table1[[#This Row],[order_date]],"dddd")</f>
        <v>Sunday</v>
      </c>
      <c r="G1514">
        <f>HOUR(Table1[[#This Row],[order_time]])</f>
        <v>16</v>
      </c>
      <c r="H1514" s="2">
        <v>0.7006944444444444</v>
      </c>
      <c r="I1514" t="s">
        <v>16</v>
      </c>
      <c r="J1514" t="s">
        <v>23</v>
      </c>
      <c r="K1514">
        <v>1</v>
      </c>
      <c r="L1514">
        <v>30</v>
      </c>
      <c r="M1514">
        <v>30</v>
      </c>
      <c r="N1514">
        <f>IF(COUNTIFS($B$2:B1514,B1514)=1,1,0)</f>
        <v>1</v>
      </c>
    </row>
    <row r="1515" spans="1:14" x14ac:dyDescent="0.2">
      <c r="A1515">
        <v>1514</v>
      </c>
      <c r="B1515">
        <v>1756</v>
      </c>
      <c r="C1515">
        <f>1/COUNTIF(B:B,Table1[[#This Row],[order_id]])</f>
        <v>0.33333333333333331</v>
      </c>
      <c r="D1515" t="str">
        <f>TEXT(Table1[[#This Row],[order_date]],"mmmm")</f>
        <v>April</v>
      </c>
      <c r="E1515" s="1">
        <v>45410</v>
      </c>
      <c r="F1515" s="1" t="str">
        <f>TEXT(Table1[[#This Row],[order_date]],"dddd")</f>
        <v>Sunday</v>
      </c>
      <c r="G1515">
        <f>HOUR(Table1[[#This Row],[order_time]])</f>
        <v>19</v>
      </c>
      <c r="H1515" s="2">
        <v>0.82244212962962959</v>
      </c>
      <c r="I1515" t="s">
        <v>11</v>
      </c>
      <c r="J1515" t="s">
        <v>25</v>
      </c>
      <c r="K1515">
        <v>3</v>
      </c>
      <c r="L1515">
        <v>1000</v>
      </c>
      <c r="M1515">
        <v>3000</v>
      </c>
      <c r="N1515">
        <f>IF(COUNTIFS($B$2:B1515,B1515)=1,1,0)</f>
        <v>0</v>
      </c>
    </row>
    <row r="1516" spans="1:14" x14ac:dyDescent="0.2">
      <c r="A1516">
        <v>1515</v>
      </c>
      <c r="B1516">
        <v>1756</v>
      </c>
      <c r="C1516">
        <f>1/COUNTIF(B:B,Table1[[#This Row],[order_id]])</f>
        <v>0.33333333333333331</v>
      </c>
      <c r="D1516" t="str">
        <f>TEXT(Table1[[#This Row],[order_date]],"mmmm")</f>
        <v>April</v>
      </c>
      <c r="E1516" s="1">
        <v>45410</v>
      </c>
      <c r="F1516" s="1" t="str">
        <f>TEXT(Table1[[#This Row],[order_date]],"dddd")</f>
        <v>Sunday</v>
      </c>
      <c r="G1516">
        <f>HOUR(Table1[[#This Row],[order_time]])</f>
        <v>15</v>
      </c>
      <c r="H1516" s="2">
        <v>0.63004629629629627</v>
      </c>
      <c r="I1516" t="s">
        <v>9</v>
      </c>
      <c r="J1516" t="s">
        <v>10</v>
      </c>
      <c r="K1516">
        <v>2</v>
      </c>
      <c r="L1516">
        <v>20</v>
      </c>
      <c r="M1516">
        <v>40</v>
      </c>
      <c r="N1516">
        <f>IF(COUNTIFS($B$2:B1516,B1516)=1,1,0)</f>
        <v>0</v>
      </c>
    </row>
    <row r="1517" spans="1:14" x14ac:dyDescent="0.2">
      <c r="A1517">
        <v>1516</v>
      </c>
      <c r="B1517">
        <v>1757</v>
      </c>
      <c r="C1517">
        <f>1/COUNTIF(B:B,Table1[[#This Row],[order_id]])</f>
        <v>1</v>
      </c>
      <c r="D1517" t="str">
        <f>TEXT(Table1[[#This Row],[order_date]],"mmmm")</f>
        <v>April</v>
      </c>
      <c r="E1517" s="1">
        <v>45411</v>
      </c>
      <c r="F1517" s="1" t="str">
        <f>TEXT(Table1[[#This Row],[order_date]],"dddd")</f>
        <v>Monday</v>
      </c>
      <c r="G1517">
        <f>HOUR(Table1[[#This Row],[order_time]])</f>
        <v>11</v>
      </c>
      <c r="H1517" s="2">
        <v>0.46311342592592591</v>
      </c>
      <c r="I1517" t="s">
        <v>18</v>
      </c>
      <c r="J1517" t="s">
        <v>26</v>
      </c>
      <c r="K1517">
        <v>2</v>
      </c>
      <c r="L1517">
        <v>55</v>
      </c>
      <c r="M1517">
        <v>110</v>
      </c>
      <c r="N1517">
        <f>IF(COUNTIFS($B$2:B1517,B1517)=1,1,0)</f>
        <v>1</v>
      </c>
    </row>
    <row r="1518" spans="1:14" x14ac:dyDescent="0.2">
      <c r="A1518">
        <v>1517</v>
      </c>
      <c r="B1518">
        <v>1758</v>
      </c>
      <c r="C1518">
        <f>1/COUNTIF(B:B,Table1[[#This Row],[order_id]])</f>
        <v>0.33333333333333331</v>
      </c>
      <c r="D1518" t="str">
        <f>TEXT(Table1[[#This Row],[order_date]],"mmmm")</f>
        <v>April</v>
      </c>
      <c r="E1518" s="1">
        <v>45411</v>
      </c>
      <c r="F1518" s="1" t="str">
        <f>TEXT(Table1[[#This Row],[order_date]],"dddd")</f>
        <v>Monday</v>
      </c>
      <c r="G1518">
        <f>HOUR(Table1[[#This Row],[order_time]])</f>
        <v>9</v>
      </c>
      <c r="H1518" s="2">
        <v>0.38879629629629631</v>
      </c>
      <c r="I1518" t="s">
        <v>9</v>
      </c>
      <c r="J1518" t="s">
        <v>20</v>
      </c>
      <c r="K1518">
        <v>4</v>
      </c>
      <c r="L1518">
        <v>25</v>
      </c>
      <c r="M1518">
        <v>100</v>
      </c>
      <c r="N1518">
        <f>IF(COUNTIFS($B$2:B1518,B1518)=1,1,0)</f>
        <v>1</v>
      </c>
    </row>
    <row r="1519" spans="1:14" x14ac:dyDescent="0.2">
      <c r="A1519">
        <v>1518</v>
      </c>
      <c r="B1519">
        <v>1758</v>
      </c>
      <c r="C1519">
        <f>1/COUNTIF(B:B,Table1[[#This Row],[order_id]])</f>
        <v>0.33333333333333331</v>
      </c>
      <c r="D1519" t="str">
        <f>TEXT(Table1[[#This Row],[order_date]],"mmmm")</f>
        <v>April</v>
      </c>
      <c r="E1519" s="1">
        <v>45411</v>
      </c>
      <c r="F1519" s="1" t="str">
        <f>TEXT(Table1[[#This Row],[order_date]],"dddd")</f>
        <v>Monday</v>
      </c>
      <c r="G1519">
        <f>HOUR(Table1[[#This Row],[order_time]])</f>
        <v>10</v>
      </c>
      <c r="H1519" s="2">
        <v>0.41670138888888891</v>
      </c>
      <c r="I1519" t="s">
        <v>9</v>
      </c>
      <c r="J1519" t="s">
        <v>10</v>
      </c>
      <c r="K1519">
        <v>4</v>
      </c>
      <c r="L1519">
        <v>20</v>
      </c>
      <c r="M1519">
        <v>80</v>
      </c>
      <c r="N1519">
        <f>IF(COUNTIFS($B$2:B1519,B1519)=1,1,0)</f>
        <v>0</v>
      </c>
    </row>
    <row r="1520" spans="1:14" x14ac:dyDescent="0.2">
      <c r="A1520">
        <v>1519</v>
      </c>
      <c r="B1520">
        <v>1758</v>
      </c>
      <c r="C1520">
        <f>1/COUNTIF(B:B,Table1[[#This Row],[order_id]])</f>
        <v>0.33333333333333331</v>
      </c>
      <c r="D1520" t="str">
        <f>TEXT(Table1[[#This Row],[order_date]],"mmmm")</f>
        <v>April</v>
      </c>
      <c r="E1520" s="1">
        <v>45411</v>
      </c>
      <c r="F1520" s="1" t="str">
        <f>TEXT(Table1[[#This Row],[order_date]],"dddd")</f>
        <v>Monday</v>
      </c>
      <c r="G1520">
        <f>HOUR(Table1[[#This Row],[order_time]])</f>
        <v>9</v>
      </c>
      <c r="H1520" s="2">
        <v>0.39541666666666669</v>
      </c>
      <c r="I1520" t="s">
        <v>16</v>
      </c>
      <c r="J1520" t="s">
        <v>28</v>
      </c>
      <c r="K1520">
        <v>4</v>
      </c>
      <c r="L1520">
        <v>25</v>
      </c>
      <c r="M1520">
        <v>100</v>
      </c>
      <c r="N1520">
        <f>IF(COUNTIFS($B$2:B1520,B1520)=1,1,0)</f>
        <v>0</v>
      </c>
    </row>
    <row r="1521" spans="1:14" x14ac:dyDescent="0.2">
      <c r="A1521">
        <v>1520</v>
      </c>
      <c r="B1521">
        <v>1759</v>
      </c>
      <c r="C1521">
        <f>1/COUNTIF(B:B,Table1[[#This Row],[order_id]])</f>
        <v>0.33333333333333331</v>
      </c>
      <c r="D1521" t="str">
        <f>TEXT(Table1[[#This Row],[order_date]],"mmmm")</f>
        <v>April</v>
      </c>
      <c r="E1521" s="1">
        <v>45411</v>
      </c>
      <c r="F1521" s="1" t="str">
        <f>TEXT(Table1[[#This Row],[order_date]],"dddd")</f>
        <v>Monday</v>
      </c>
      <c r="G1521">
        <f>HOUR(Table1[[#This Row],[order_time]])</f>
        <v>13</v>
      </c>
      <c r="H1521" s="2">
        <v>0.57495370370370369</v>
      </c>
      <c r="I1521" t="s">
        <v>11</v>
      </c>
      <c r="J1521" t="s">
        <v>15</v>
      </c>
      <c r="K1521">
        <v>4</v>
      </c>
      <c r="L1521">
        <v>600</v>
      </c>
      <c r="M1521">
        <v>2400</v>
      </c>
      <c r="N1521">
        <f>IF(COUNTIFS($B$2:B1521,B1521)=1,1,0)</f>
        <v>1</v>
      </c>
    </row>
    <row r="1522" spans="1:14" x14ac:dyDescent="0.2">
      <c r="A1522">
        <v>1521</v>
      </c>
      <c r="B1522">
        <v>1759</v>
      </c>
      <c r="C1522">
        <f>1/COUNTIF(B:B,Table1[[#This Row],[order_id]])</f>
        <v>0.33333333333333331</v>
      </c>
      <c r="D1522" t="str">
        <f>TEXT(Table1[[#This Row],[order_date]],"mmmm")</f>
        <v>April</v>
      </c>
      <c r="E1522" s="1">
        <v>45411</v>
      </c>
      <c r="F1522" s="1" t="str">
        <f>TEXT(Table1[[#This Row],[order_date]],"dddd")</f>
        <v>Monday</v>
      </c>
      <c r="G1522">
        <f>HOUR(Table1[[#This Row],[order_time]])</f>
        <v>9</v>
      </c>
      <c r="H1522" s="2">
        <v>0.41392361111111109</v>
      </c>
      <c r="I1522" t="s">
        <v>9</v>
      </c>
      <c r="J1522" t="s">
        <v>20</v>
      </c>
      <c r="K1522">
        <v>3</v>
      </c>
      <c r="L1522">
        <v>25</v>
      </c>
      <c r="M1522">
        <v>75</v>
      </c>
      <c r="N1522">
        <f>IF(COUNTIFS($B$2:B1522,B1522)=1,1,0)</f>
        <v>0</v>
      </c>
    </row>
    <row r="1523" spans="1:14" x14ac:dyDescent="0.2">
      <c r="A1523">
        <v>1522</v>
      </c>
      <c r="B1523">
        <v>1759</v>
      </c>
      <c r="C1523">
        <f>1/COUNTIF(B:B,Table1[[#This Row],[order_id]])</f>
        <v>0.33333333333333331</v>
      </c>
      <c r="D1523" t="str">
        <f>TEXT(Table1[[#This Row],[order_date]],"mmmm")</f>
        <v>April</v>
      </c>
      <c r="E1523" s="1">
        <v>45411</v>
      </c>
      <c r="F1523" s="1" t="str">
        <f>TEXT(Table1[[#This Row],[order_date]],"dddd")</f>
        <v>Monday</v>
      </c>
      <c r="G1523">
        <f>HOUR(Table1[[#This Row],[order_time]])</f>
        <v>13</v>
      </c>
      <c r="H1523" s="2">
        <v>0.55701388888888892</v>
      </c>
      <c r="I1523" t="s">
        <v>11</v>
      </c>
      <c r="J1523" t="s">
        <v>25</v>
      </c>
      <c r="K1523">
        <v>3</v>
      </c>
      <c r="L1523">
        <v>1000</v>
      </c>
      <c r="M1523">
        <v>3000</v>
      </c>
      <c r="N1523">
        <f>IF(COUNTIFS($B$2:B1523,B1523)=1,1,0)</f>
        <v>0</v>
      </c>
    </row>
    <row r="1524" spans="1:14" x14ac:dyDescent="0.2">
      <c r="A1524">
        <v>1523</v>
      </c>
      <c r="B1524">
        <v>1760</v>
      </c>
      <c r="C1524">
        <f>1/COUNTIF(B:B,Table1[[#This Row],[order_id]])</f>
        <v>0.33333333333333331</v>
      </c>
      <c r="D1524" t="str">
        <f>TEXT(Table1[[#This Row],[order_date]],"mmmm")</f>
        <v>April</v>
      </c>
      <c r="E1524" s="1">
        <v>45411</v>
      </c>
      <c r="F1524" s="1" t="str">
        <f>TEXT(Table1[[#This Row],[order_date]],"dddd")</f>
        <v>Monday</v>
      </c>
      <c r="G1524">
        <f>HOUR(Table1[[#This Row],[order_time]])</f>
        <v>16</v>
      </c>
      <c r="H1524" s="2">
        <v>0.70148148148148148</v>
      </c>
      <c r="I1524" t="s">
        <v>18</v>
      </c>
      <c r="J1524" t="s">
        <v>31</v>
      </c>
      <c r="K1524">
        <v>2</v>
      </c>
      <c r="L1524">
        <v>45</v>
      </c>
      <c r="M1524">
        <v>90</v>
      </c>
      <c r="N1524">
        <f>IF(COUNTIFS($B$2:B1524,B1524)=1,1,0)</f>
        <v>1</v>
      </c>
    </row>
    <row r="1525" spans="1:14" x14ac:dyDescent="0.2">
      <c r="A1525">
        <v>1524</v>
      </c>
      <c r="B1525">
        <v>1760</v>
      </c>
      <c r="C1525">
        <f>1/COUNTIF(B:B,Table1[[#This Row],[order_id]])</f>
        <v>0.33333333333333331</v>
      </c>
      <c r="D1525" t="str">
        <f>TEXT(Table1[[#This Row],[order_date]],"mmmm")</f>
        <v>April</v>
      </c>
      <c r="E1525" s="1">
        <v>45411</v>
      </c>
      <c r="F1525" s="1" t="str">
        <f>TEXT(Table1[[#This Row],[order_date]],"dddd")</f>
        <v>Monday</v>
      </c>
      <c r="G1525">
        <f>HOUR(Table1[[#This Row],[order_time]])</f>
        <v>18</v>
      </c>
      <c r="H1525" s="2">
        <v>0.7736574074074074</v>
      </c>
      <c r="I1525" t="s">
        <v>11</v>
      </c>
      <c r="J1525" t="s">
        <v>12</v>
      </c>
      <c r="K1525">
        <v>5</v>
      </c>
      <c r="L1525">
        <v>650</v>
      </c>
      <c r="M1525">
        <v>3250</v>
      </c>
      <c r="N1525">
        <f>IF(COUNTIFS($B$2:B1525,B1525)=1,1,0)</f>
        <v>0</v>
      </c>
    </row>
    <row r="1526" spans="1:14" x14ac:dyDescent="0.2">
      <c r="A1526">
        <v>1525</v>
      </c>
      <c r="B1526">
        <v>1760</v>
      </c>
      <c r="C1526">
        <f>1/COUNTIF(B:B,Table1[[#This Row],[order_id]])</f>
        <v>0.33333333333333331</v>
      </c>
      <c r="D1526" t="str">
        <f>TEXT(Table1[[#This Row],[order_date]],"mmmm")</f>
        <v>April</v>
      </c>
      <c r="E1526" s="1">
        <v>45411</v>
      </c>
      <c r="F1526" s="1" t="str">
        <f>TEXT(Table1[[#This Row],[order_date]],"dddd")</f>
        <v>Monday</v>
      </c>
      <c r="G1526">
        <f>HOUR(Table1[[#This Row],[order_time]])</f>
        <v>13</v>
      </c>
      <c r="H1526" s="2">
        <v>0.57771990740740742</v>
      </c>
      <c r="I1526" t="s">
        <v>9</v>
      </c>
      <c r="J1526" t="s">
        <v>20</v>
      </c>
      <c r="K1526">
        <v>4</v>
      </c>
      <c r="L1526">
        <v>25</v>
      </c>
      <c r="M1526">
        <v>100</v>
      </c>
      <c r="N1526">
        <f>IF(COUNTIFS($B$2:B1526,B1526)=1,1,0)</f>
        <v>0</v>
      </c>
    </row>
    <row r="1527" spans="1:14" x14ac:dyDescent="0.2">
      <c r="A1527">
        <v>1526</v>
      </c>
      <c r="B1527">
        <v>1761</v>
      </c>
      <c r="C1527">
        <f>1/COUNTIF(B:B,Table1[[#This Row],[order_id]])</f>
        <v>0.33333333333333331</v>
      </c>
      <c r="D1527" t="str">
        <f>TEXT(Table1[[#This Row],[order_date]],"mmmm")</f>
        <v>April</v>
      </c>
      <c r="E1527" s="1">
        <v>45411</v>
      </c>
      <c r="F1527" s="1" t="str">
        <f>TEXT(Table1[[#This Row],[order_date]],"dddd")</f>
        <v>Monday</v>
      </c>
      <c r="G1527">
        <f>HOUR(Table1[[#This Row],[order_time]])</f>
        <v>17</v>
      </c>
      <c r="H1527" s="2">
        <v>0.74114583333333328</v>
      </c>
      <c r="I1527" t="s">
        <v>16</v>
      </c>
      <c r="J1527" t="s">
        <v>28</v>
      </c>
      <c r="K1527">
        <v>3</v>
      </c>
      <c r="L1527">
        <v>25</v>
      </c>
      <c r="M1527">
        <v>75</v>
      </c>
      <c r="N1527">
        <f>IF(COUNTIFS($B$2:B1527,B1527)=1,1,0)</f>
        <v>1</v>
      </c>
    </row>
    <row r="1528" spans="1:14" x14ac:dyDescent="0.2">
      <c r="A1528">
        <v>1527</v>
      </c>
      <c r="B1528">
        <v>1761</v>
      </c>
      <c r="C1528">
        <f>1/COUNTIF(B:B,Table1[[#This Row],[order_id]])</f>
        <v>0.33333333333333331</v>
      </c>
      <c r="D1528" t="str">
        <f>TEXT(Table1[[#This Row],[order_date]],"mmmm")</f>
        <v>April</v>
      </c>
      <c r="E1528" s="1">
        <v>45411</v>
      </c>
      <c r="F1528" s="1" t="str">
        <f>TEXT(Table1[[#This Row],[order_date]],"dddd")</f>
        <v>Monday</v>
      </c>
      <c r="G1528">
        <f>HOUR(Table1[[#This Row],[order_time]])</f>
        <v>14</v>
      </c>
      <c r="H1528" s="2">
        <v>0.60508101851851848</v>
      </c>
      <c r="I1528" t="s">
        <v>18</v>
      </c>
      <c r="J1528" t="s">
        <v>30</v>
      </c>
      <c r="K1528">
        <v>5</v>
      </c>
      <c r="L1528">
        <v>60</v>
      </c>
      <c r="M1528">
        <v>300</v>
      </c>
      <c r="N1528">
        <f>IF(COUNTIFS($B$2:B1528,B1528)=1,1,0)</f>
        <v>0</v>
      </c>
    </row>
    <row r="1529" spans="1:14" x14ac:dyDescent="0.2">
      <c r="A1529">
        <v>1528</v>
      </c>
      <c r="B1529">
        <v>1761</v>
      </c>
      <c r="C1529">
        <f>1/COUNTIF(B:B,Table1[[#This Row],[order_id]])</f>
        <v>0.33333333333333331</v>
      </c>
      <c r="D1529" t="str">
        <f>TEXT(Table1[[#This Row],[order_date]],"mmmm")</f>
        <v>April</v>
      </c>
      <c r="E1529" s="1">
        <v>45411</v>
      </c>
      <c r="F1529" s="1" t="str">
        <f>TEXT(Table1[[#This Row],[order_date]],"dddd")</f>
        <v>Monday</v>
      </c>
      <c r="G1529">
        <f>HOUR(Table1[[#This Row],[order_time]])</f>
        <v>12</v>
      </c>
      <c r="H1529" s="2">
        <v>0.50969907407407411</v>
      </c>
      <c r="I1529" t="s">
        <v>11</v>
      </c>
      <c r="J1529" t="s">
        <v>25</v>
      </c>
      <c r="K1529">
        <v>1</v>
      </c>
      <c r="L1529">
        <v>1000</v>
      </c>
      <c r="M1529">
        <v>1000</v>
      </c>
      <c r="N1529">
        <f>IF(COUNTIFS($B$2:B1529,B1529)=1,1,0)</f>
        <v>0</v>
      </c>
    </row>
    <row r="1530" spans="1:14" x14ac:dyDescent="0.2">
      <c r="A1530">
        <v>1529</v>
      </c>
      <c r="B1530">
        <v>1762</v>
      </c>
      <c r="C1530">
        <f>1/COUNTIF(B:B,Table1[[#This Row],[order_id]])</f>
        <v>0.5</v>
      </c>
      <c r="D1530" t="str">
        <f>TEXT(Table1[[#This Row],[order_date]],"mmmm")</f>
        <v>April</v>
      </c>
      <c r="E1530" s="1">
        <v>45411</v>
      </c>
      <c r="F1530" s="1" t="str">
        <f>TEXT(Table1[[#This Row],[order_date]],"dddd")</f>
        <v>Monday</v>
      </c>
      <c r="G1530">
        <f>HOUR(Table1[[#This Row],[order_time]])</f>
        <v>12</v>
      </c>
      <c r="H1530" s="2">
        <v>0.50990740740740736</v>
      </c>
      <c r="I1530" t="s">
        <v>11</v>
      </c>
      <c r="J1530" t="s">
        <v>25</v>
      </c>
      <c r="K1530">
        <v>5</v>
      </c>
      <c r="L1530">
        <v>1000</v>
      </c>
      <c r="M1530">
        <v>5000</v>
      </c>
      <c r="N1530">
        <f>IF(COUNTIFS($B$2:B1530,B1530)=1,1,0)</f>
        <v>1</v>
      </c>
    </row>
    <row r="1531" spans="1:14" x14ac:dyDescent="0.2">
      <c r="A1531">
        <v>1530</v>
      </c>
      <c r="B1531">
        <v>1762</v>
      </c>
      <c r="C1531">
        <f>1/COUNTIF(B:B,Table1[[#This Row],[order_id]])</f>
        <v>0.5</v>
      </c>
      <c r="D1531" t="str">
        <f>TEXT(Table1[[#This Row],[order_date]],"mmmm")</f>
        <v>April</v>
      </c>
      <c r="E1531" s="1">
        <v>45411</v>
      </c>
      <c r="F1531" s="1" t="str">
        <f>TEXT(Table1[[#This Row],[order_date]],"dddd")</f>
        <v>Monday</v>
      </c>
      <c r="G1531">
        <f>HOUR(Table1[[#This Row],[order_time]])</f>
        <v>12</v>
      </c>
      <c r="H1531" s="2">
        <v>0.52469907407407412</v>
      </c>
      <c r="I1531" t="s">
        <v>11</v>
      </c>
      <c r="J1531" t="s">
        <v>25</v>
      </c>
      <c r="K1531">
        <v>2</v>
      </c>
      <c r="L1531">
        <v>1000</v>
      </c>
      <c r="M1531">
        <v>2000</v>
      </c>
      <c r="N1531">
        <f>IF(COUNTIFS($B$2:B1531,B1531)=1,1,0)</f>
        <v>0</v>
      </c>
    </row>
    <row r="1532" spans="1:14" x14ac:dyDescent="0.2">
      <c r="A1532">
        <v>1531</v>
      </c>
      <c r="B1532">
        <v>1763</v>
      </c>
      <c r="C1532">
        <f>1/COUNTIF(B:B,Table1[[#This Row],[order_id]])</f>
        <v>1</v>
      </c>
      <c r="D1532" t="str">
        <f>TEXT(Table1[[#This Row],[order_date]],"mmmm")</f>
        <v>April</v>
      </c>
      <c r="E1532" s="1">
        <v>45411</v>
      </c>
      <c r="F1532" s="1" t="str">
        <f>TEXT(Table1[[#This Row],[order_date]],"dddd")</f>
        <v>Monday</v>
      </c>
      <c r="G1532">
        <f>HOUR(Table1[[#This Row],[order_time]])</f>
        <v>18</v>
      </c>
      <c r="H1532" s="2">
        <v>0.76138888888888889</v>
      </c>
      <c r="I1532" t="s">
        <v>16</v>
      </c>
      <c r="J1532" t="s">
        <v>23</v>
      </c>
      <c r="K1532">
        <v>4</v>
      </c>
      <c r="L1532">
        <v>30</v>
      </c>
      <c r="M1532">
        <v>120</v>
      </c>
      <c r="N1532">
        <f>IF(COUNTIFS($B$2:B1532,B1532)=1,1,0)</f>
        <v>1</v>
      </c>
    </row>
    <row r="1533" spans="1:14" x14ac:dyDescent="0.2">
      <c r="A1533">
        <v>1532</v>
      </c>
      <c r="B1533">
        <v>1764</v>
      </c>
      <c r="C1533">
        <f>1/COUNTIF(B:B,Table1[[#This Row],[order_id]])</f>
        <v>0.33333333333333331</v>
      </c>
      <c r="D1533" t="str">
        <f>TEXT(Table1[[#This Row],[order_date]],"mmmm")</f>
        <v>April</v>
      </c>
      <c r="E1533" s="1">
        <v>45411</v>
      </c>
      <c r="F1533" s="1" t="str">
        <f>TEXT(Table1[[#This Row],[order_date]],"dddd")</f>
        <v>Monday</v>
      </c>
      <c r="G1533">
        <f>HOUR(Table1[[#This Row],[order_time]])</f>
        <v>17</v>
      </c>
      <c r="H1533" s="2">
        <v>0.7477893518518518</v>
      </c>
      <c r="I1533" t="s">
        <v>16</v>
      </c>
      <c r="J1533" t="s">
        <v>17</v>
      </c>
      <c r="K1533">
        <v>4</v>
      </c>
      <c r="L1533">
        <v>20</v>
      </c>
      <c r="M1533">
        <v>80</v>
      </c>
      <c r="N1533">
        <f>IF(COUNTIFS($B$2:B1533,B1533)=1,1,0)</f>
        <v>1</v>
      </c>
    </row>
    <row r="1534" spans="1:14" x14ac:dyDescent="0.2">
      <c r="A1534">
        <v>1533</v>
      </c>
      <c r="B1534">
        <v>1764</v>
      </c>
      <c r="C1534">
        <f>1/COUNTIF(B:B,Table1[[#This Row],[order_id]])</f>
        <v>0.33333333333333331</v>
      </c>
      <c r="D1534" t="str">
        <f>TEXT(Table1[[#This Row],[order_date]],"mmmm")</f>
        <v>April</v>
      </c>
      <c r="E1534" s="1">
        <v>45411</v>
      </c>
      <c r="F1534" s="1" t="str">
        <f>TEXT(Table1[[#This Row],[order_date]],"dddd")</f>
        <v>Monday</v>
      </c>
      <c r="G1534">
        <f>HOUR(Table1[[#This Row],[order_time]])</f>
        <v>13</v>
      </c>
      <c r="H1534" s="2">
        <v>0.57072916666666662</v>
      </c>
      <c r="I1534" t="s">
        <v>18</v>
      </c>
      <c r="J1534" t="s">
        <v>31</v>
      </c>
      <c r="K1534">
        <v>2</v>
      </c>
      <c r="L1534">
        <v>45</v>
      </c>
      <c r="M1534">
        <v>90</v>
      </c>
      <c r="N1534">
        <f>IF(COUNTIFS($B$2:B1534,B1534)=1,1,0)</f>
        <v>0</v>
      </c>
    </row>
    <row r="1535" spans="1:14" x14ac:dyDescent="0.2">
      <c r="A1535">
        <v>1534</v>
      </c>
      <c r="B1535">
        <v>1764</v>
      </c>
      <c r="C1535">
        <f>1/COUNTIF(B:B,Table1[[#This Row],[order_id]])</f>
        <v>0.33333333333333331</v>
      </c>
      <c r="D1535" t="str">
        <f>TEXT(Table1[[#This Row],[order_date]],"mmmm")</f>
        <v>April</v>
      </c>
      <c r="E1535" s="1">
        <v>45411</v>
      </c>
      <c r="F1535" s="1" t="str">
        <f>TEXT(Table1[[#This Row],[order_date]],"dddd")</f>
        <v>Monday</v>
      </c>
      <c r="G1535">
        <f>HOUR(Table1[[#This Row],[order_time]])</f>
        <v>9</v>
      </c>
      <c r="H1535" s="2">
        <v>0.3959259259259259</v>
      </c>
      <c r="I1535" t="s">
        <v>16</v>
      </c>
      <c r="J1535" t="s">
        <v>24</v>
      </c>
      <c r="K1535">
        <v>5</v>
      </c>
      <c r="L1535">
        <v>35</v>
      </c>
      <c r="M1535">
        <v>175</v>
      </c>
      <c r="N1535">
        <f>IF(COUNTIFS($B$2:B1535,B1535)=1,1,0)</f>
        <v>0</v>
      </c>
    </row>
    <row r="1536" spans="1:14" x14ac:dyDescent="0.2">
      <c r="A1536">
        <v>1535</v>
      </c>
      <c r="B1536">
        <v>1765</v>
      </c>
      <c r="C1536">
        <f>1/COUNTIF(B:B,Table1[[#This Row],[order_id]])</f>
        <v>0.5</v>
      </c>
      <c r="D1536" t="str">
        <f>TEXT(Table1[[#This Row],[order_date]],"mmmm")</f>
        <v>April</v>
      </c>
      <c r="E1536" s="1">
        <v>45412</v>
      </c>
      <c r="F1536" s="1" t="str">
        <f>TEXT(Table1[[#This Row],[order_date]],"dddd")</f>
        <v>Tuesday</v>
      </c>
      <c r="G1536">
        <f>HOUR(Table1[[#This Row],[order_time]])</f>
        <v>12</v>
      </c>
      <c r="H1536" s="2">
        <v>0.50370370370370365</v>
      </c>
      <c r="I1536" t="s">
        <v>16</v>
      </c>
      <c r="J1536" t="s">
        <v>17</v>
      </c>
      <c r="K1536">
        <v>1</v>
      </c>
      <c r="L1536">
        <v>20</v>
      </c>
      <c r="M1536">
        <v>20</v>
      </c>
      <c r="N1536">
        <f>IF(COUNTIFS($B$2:B1536,B1536)=1,1,0)</f>
        <v>1</v>
      </c>
    </row>
    <row r="1537" spans="1:14" x14ac:dyDescent="0.2">
      <c r="A1537">
        <v>1536</v>
      </c>
      <c r="B1537">
        <v>1765</v>
      </c>
      <c r="C1537">
        <f>1/COUNTIF(B:B,Table1[[#This Row],[order_id]])</f>
        <v>0.5</v>
      </c>
      <c r="D1537" t="str">
        <f>TEXT(Table1[[#This Row],[order_date]],"mmmm")</f>
        <v>April</v>
      </c>
      <c r="E1537" s="1">
        <v>45412</v>
      </c>
      <c r="F1537" s="1" t="str">
        <f>TEXT(Table1[[#This Row],[order_date]],"dddd")</f>
        <v>Tuesday</v>
      </c>
      <c r="G1537">
        <f>HOUR(Table1[[#This Row],[order_time]])</f>
        <v>15</v>
      </c>
      <c r="H1537" s="2">
        <v>0.64700231481481485</v>
      </c>
      <c r="I1537" t="s">
        <v>11</v>
      </c>
      <c r="J1537" t="s">
        <v>13</v>
      </c>
      <c r="K1537">
        <v>2</v>
      </c>
      <c r="L1537">
        <v>680</v>
      </c>
      <c r="M1537">
        <v>1360</v>
      </c>
      <c r="N1537">
        <f>IF(COUNTIFS($B$2:B1537,B1537)=1,1,0)</f>
        <v>0</v>
      </c>
    </row>
    <row r="1538" spans="1:14" x14ac:dyDescent="0.2">
      <c r="A1538">
        <v>1537</v>
      </c>
      <c r="B1538">
        <v>1766</v>
      </c>
      <c r="C1538">
        <f>1/COUNTIF(B:B,Table1[[#This Row],[order_id]])</f>
        <v>0.5</v>
      </c>
      <c r="D1538" t="str">
        <f>TEXT(Table1[[#This Row],[order_date]],"mmmm")</f>
        <v>April</v>
      </c>
      <c r="E1538" s="1">
        <v>45412</v>
      </c>
      <c r="F1538" s="1" t="str">
        <f>TEXT(Table1[[#This Row],[order_date]],"dddd")</f>
        <v>Tuesday</v>
      </c>
      <c r="G1538">
        <f>HOUR(Table1[[#This Row],[order_time]])</f>
        <v>19</v>
      </c>
      <c r="H1538" s="2">
        <v>0.81101851851851847</v>
      </c>
      <c r="I1538" t="s">
        <v>18</v>
      </c>
      <c r="J1538" t="s">
        <v>26</v>
      </c>
      <c r="K1538">
        <v>2</v>
      </c>
      <c r="L1538">
        <v>55</v>
      </c>
      <c r="M1538">
        <v>110</v>
      </c>
      <c r="N1538">
        <f>IF(COUNTIFS($B$2:B1538,B1538)=1,1,0)</f>
        <v>1</v>
      </c>
    </row>
    <row r="1539" spans="1:14" x14ac:dyDescent="0.2">
      <c r="A1539">
        <v>1538</v>
      </c>
      <c r="B1539">
        <v>1766</v>
      </c>
      <c r="C1539">
        <f>1/COUNTIF(B:B,Table1[[#This Row],[order_id]])</f>
        <v>0.5</v>
      </c>
      <c r="D1539" t="str">
        <f>TEXT(Table1[[#This Row],[order_date]],"mmmm")</f>
        <v>April</v>
      </c>
      <c r="E1539" s="1">
        <v>45412</v>
      </c>
      <c r="F1539" s="1" t="str">
        <f>TEXT(Table1[[#This Row],[order_date]],"dddd")</f>
        <v>Tuesday</v>
      </c>
      <c r="G1539">
        <f>HOUR(Table1[[#This Row],[order_time]])</f>
        <v>18</v>
      </c>
      <c r="H1539" s="2">
        <v>0.76310185185185186</v>
      </c>
      <c r="I1539" t="s">
        <v>9</v>
      </c>
      <c r="J1539" t="s">
        <v>20</v>
      </c>
      <c r="K1539">
        <v>2</v>
      </c>
      <c r="L1539">
        <v>25</v>
      </c>
      <c r="M1539">
        <v>50</v>
      </c>
      <c r="N1539">
        <f>IF(COUNTIFS($B$2:B1539,B1539)=1,1,0)</f>
        <v>0</v>
      </c>
    </row>
    <row r="1540" spans="1:14" x14ac:dyDescent="0.2">
      <c r="A1540">
        <v>1539</v>
      </c>
      <c r="B1540">
        <v>1767</v>
      </c>
      <c r="C1540">
        <f>1/COUNTIF(B:B,Table1[[#This Row],[order_id]])</f>
        <v>0.33333333333333331</v>
      </c>
      <c r="D1540" t="str">
        <f>TEXT(Table1[[#This Row],[order_date]],"mmmm")</f>
        <v>April</v>
      </c>
      <c r="E1540" s="1">
        <v>45412</v>
      </c>
      <c r="F1540" s="1" t="str">
        <f>TEXT(Table1[[#This Row],[order_date]],"dddd")</f>
        <v>Tuesday</v>
      </c>
      <c r="G1540">
        <f>HOUR(Table1[[#This Row],[order_time]])</f>
        <v>19</v>
      </c>
      <c r="H1540" s="2">
        <v>0.79988425925925921</v>
      </c>
      <c r="I1540" t="s">
        <v>11</v>
      </c>
      <c r="J1540" t="s">
        <v>14</v>
      </c>
      <c r="K1540">
        <v>4</v>
      </c>
      <c r="L1540">
        <v>700</v>
      </c>
      <c r="M1540">
        <v>2800</v>
      </c>
      <c r="N1540">
        <f>IF(COUNTIFS($B$2:B1540,B1540)=1,1,0)</f>
        <v>1</v>
      </c>
    </row>
    <row r="1541" spans="1:14" x14ac:dyDescent="0.2">
      <c r="A1541">
        <v>1540</v>
      </c>
      <c r="B1541">
        <v>1767</v>
      </c>
      <c r="C1541">
        <f>1/COUNTIF(B:B,Table1[[#This Row],[order_id]])</f>
        <v>0.33333333333333331</v>
      </c>
      <c r="D1541" t="str">
        <f>TEXT(Table1[[#This Row],[order_date]],"mmmm")</f>
        <v>April</v>
      </c>
      <c r="E1541" s="1">
        <v>45412</v>
      </c>
      <c r="F1541" s="1" t="str">
        <f>TEXT(Table1[[#This Row],[order_date]],"dddd")</f>
        <v>Tuesday</v>
      </c>
      <c r="G1541">
        <f>HOUR(Table1[[#This Row],[order_time]])</f>
        <v>14</v>
      </c>
      <c r="H1541" s="2">
        <v>0.59770833333333329</v>
      </c>
      <c r="I1541" t="s">
        <v>16</v>
      </c>
      <c r="J1541" t="s">
        <v>28</v>
      </c>
      <c r="K1541">
        <v>3</v>
      </c>
      <c r="L1541">
        <v>25</v>
      </c>
      <c r="M1541">
        <v>75</v>
      </c>
      <c r="N1541">
        <f>IF(COUNTIFS($B$2:B1541,B1541)=1,1,0)</f>
        <v>0</v>
      </c>
    </row>
    <row r="1542" spans="1:14" x14ac:dyDescent="0.2">
      <c r="A1542">
        <v>1541</v>
      </c>
      <c r="B1542">
        <v>1767</v>
      </c>
      <c r="C1542">
        <f>1/COUNTIF(B:B,Table1[[#This Row],[order_id]])</f>
        <v>0.33333333333333331</v>
      </c>
      <c r="D1542" t="str">
        <f>TEXT(Table1[[#This Row],[order_date]],"mmmm")</f>
        <v>April</v>
      </c>
      <c r="E1542" s="1">
        <v>45412</v>
      </c>
      <c r="F1542" s="1" t="str">
        <f>TEXT(Table1[[#This Row],[order_date]],"dddd")</f>
        <v>Tuesday</v>
      </c>
      <c r="G1542">
        <f>HOUR(Table1[[#This Row],[order_time]])</f>
        <v>18</v>
      </c>
      <c r="H1542" s="2">
        <v>0.77608796296296301</v>
      </c>
      <c r="I1542" t="s">
        <v>16</v>
      </c>
      <c r="J1542" t="s">
        <v>24</v>
      </c>
      <c r="K1542">
        <v>5</v>
      </c>
      <c r="L1542">
        <v>35</v>
      </c>
      <c r="M1542">
        <v>175</v>
      </c>
      <c r="N1542">
        <f>IF(COUNTIFS($B$2:B1542,B1542)=1,1,0)</f>
        <v>0</v>
      </c>
    </row>
    <row r="1543" spans="1:14" x14ac:dyDescent="0.2">
      <c r="A1543">
        <v>1542</v>
      </c>
      <c r="B1543">
        <v>1768</v>
      </c>
      <c r="C1543">
        <f>1/COUNTIF(B:B,Table1[[#This Row],[order_id]])</f>
        <v>0.5</v>
      </c>
      <c r="D1543" t="str">
        <f>TEXT(Table1[[#This Row],[order_date]],"mmmm")</f>
        <v>April</v>
      </c>
      <c r="E1543" s="1">
        <v>45412</v>
      </c>
      <c r="F1543" s="1" t="str">
        <f>TEXT(Table1[[#This Row],[order_date]],"dddd")</f>
        <v>Tuesday</v>
      </c>
      <c r="G1543">
        <f>HOUR(Table1[[#This Row],[order_time]])</f>
        <v>18</v>
      </c>
      <c r="H1543" s="2">
        <v>0.76288194444444446</v>
      </c>
      <c r="I1543" t="s">
        <v>11</v>
      </c>
      <c r="J1543" t="s">
        <v>15</v>
      </c>
      <c r="K1543">
        <v>1</v>
      </c>
      <c r="L1543">
        <v>600</v>
      </c>
      <c r="M1543">
        <v>600</v>
      </c>
      <c r="N1543">
        <f>IF(COUNTIFS($B$2:B1543,B1543)=1,1,0)</f>
        <v>1</v>
      </c>
    </row>
    <row r="1544" spans="1:14" x14ac:dyDescent="0.2">
      <c r="A1544">
        <v>1543</v>
      </c>
      <c r="B1544">
        <v>1768</v>
      </c>
      <c r="C1544">
        <f>1/COUNTIF(B:B,Table1[[#This Row],[order_id]])</f>
        <v>0.5</v>
      </c>
      <c r="D1544" t="str">
        <f>TEXT(Table1[[#This Row],[order_date]],"mmmm")</f>
        <v>April</v>
      </c>
      <c r="E1544" s="1">
        <v>45412</v>
      </c>
      <c r="F1544" s="1" t="str">
        <f>TEXT(Table1[[#This Row],[order_date]],"dddd")</f>
        <v>Tuesday</v>
      </c>
      <c r="G1544">
        <f>HOUR(Table1[[#This Row],[order_time]])</f>
        <v>15</v>
      </c>
      <c r="H1544" s="2">
        <v>0.6589814814814815</v>
      </c>
      <c r="I1544" t="s">
        <v>18</v>
      </c>
      <c r="J1544" t="s">
        <v>19</v>
      </c>
      <c r="K1544">
        <v>2</v>
      </c>
      <c r="L1544">
        <v>50</v>
      </c>
      <c r="M1544">
        <v>100</v>
      </c>
      <c r="N1544">
        <f>IF(COUNTIFS($B$2:B1544,B1544)=1,1,0)</f>
        <v>0</v>
      </c>
    </row>
    <row r="1545" spans="1:14" x14ac:dyDescent="0.2">
      <c r="A1545">
        <v>1544</v>
      </c>
      <c r="B1545">
        <v>1769</v>
      </c>
      <c r="C1545">
        <f>1/COUNTIF(B:B,Table1[[#This Row],[order_id]])</f>
        <v>1</v>
      </c>
      <c r="D1545" t="str">
        <f>TEXT(Table1[[#This Row],[order_date]],"mmmm")</f>
        <v>April</v>
      </c>
      <c r="E1545" s="1">
        <v>45412</v>
      </c>
      <c r="F1545" s="1" t="str">
        <f>TEXT(Table1[[#This Row],[order_date]],"dddd")</f>
        <v>Tuesday</v>
      </c>
      <c r="G1545">
        <f>HOUR(Table1[[#This Row],[order_time]])</f>
        <v>13</v>
      </c>
      <c r="H1545" s="2">
        <v>0.55383101851851857</v>
      </c>
      <c r="I1545" t="s">
        <v>16</v>
      </c>
      <c r="J1545" t="s">
        <v>23</v>
      </c>
      <c r="K1545">
        <v>1</v>
      </c>
      <c r="L1545">
        <v>30</v>
      </c>
      <c r="M1545">
        <v>30</v>
      </c>
      <c r="N1545">
        <f>IF(COUNTIFS($B$2:B1545,B1545)=1,1,0)</f>
        <v>1</v>
      </c>
    </row>
    <row r="1546" spans="1:14" x14ac:dyDescent="0.2">
      <c r="A1546">
        <v>1545</v>
      </c>
      <c r="B1546">
        <v>1770</v>
      </c>
      <c r="C1546">
        <f>1/COUNTIF(B:B,Table1[[#This Row],[order_id]])</f>
        <v>1</v>
      </c>
      <c r="D1546" t="str">
        <f>TEXT(Table1[[#This Row],[order_date]],"mmmm")</f>
        <v>April</v>
      </c>
      <c r="E1546" s="1">
        <v>45412</v>
      </c>
      <c r="F1546" s="1" t="str">
        <f>TEXT(Table1[[#This Row],[order_date]],"dddd")</f>
        <v>Tuesday</v>
      </c>
      <c r="G1546">
        <f>HOUR(Table1[[#This Row],[order_time]])</f>
        <v>19</v>
      </c>
      <c r="H1546" s="2">
        <v>0.81216435185185187</v>
      </c>
      <c r="I1546" t="s">
        <v>11</v>
      </c>
      <c r="J1546" t="s">
        <v>25</v>
      </c>
      <c r="K1546">
        <v>5</v>
      </c>
      <c r="L1546">
        <v>1000</v>
      </c>
      <c r="M1546">
        <v>5000</v>
      </c>
      <c r="N1546">
        <f>IF(COUNTIFS($B$2:B1546,B1546)=1,1,0)</f>
        <v>1</v>
      </c>
    </row>
    <row r="1547" spans="1:14" x14ac:dyDescent="0.2">
      <c r="A1547">
        <v>1546</v>
      </c>
      <c r="B1547">
        <v>1771</v>
      </c>
      <c r="C1547">
        <f>1/COUNTIF(B:B,Table1[[#This Row],[order_id]])</f>
        <v>0.33333333333333331</v>
      </c>
      <c r="D1547" t="str">
        <f>TEXT(Table1[[#This Row],[order_date]],"mmmm")</f>
        <v>April</v>
      </c>
      <c r="E1547" s="1">
        <v>45412</v>
      </c>
      <c r="F1547" s="1" t="str">
        <f>TEXT(Table1[[#This Row],[order_date]],"dddd")</f>
        <v>Tuesday</v>
      </c>
      <c r="G1547">
        <f>HOUR(Table1[[#This Row],[order_time]])</f>
        <v>19</v>
      </c>
      <c r="H1547" s="2">
        <v>0.80371527777777774</v>
      </c>
      <c r="I1547" t="s">
        <v>9</v>
      </c>
      <c r="J1547" t="s">
        <v>21</v>
      </c>
      <c r="K1547">
        <v>3</v>
      </c>
      <c r="L1547">
        <v>10</v>
      </c>
      <c r="M1547">
        <v>30</v>
      </c>
      <c r="N1547">
        <f>IF(COUNTIFS($B$2:B1547,B1547)=1,1,0)</f>
        <v>1</v>
      </c>
    </row>
    <row r="1548" spans="1:14" x14ac:dyDescent="0.2">
      <c r="A1548">
        <v>1547</v>
      </c>
      <c r="B1548">
        <v>1771</v>
      </c>
      <c r="C1548">
        <f>1/COUNTIF(B:B,Table1[[#This Row],[order_id]])</f>
        <v>0.33333333333333331</v>
      </c>
      <c r="D1548" t="str">
        <f>TEXT(Table1[[#This Row],[order_date]],"mmmm")</f>
        <v>April</v>
      </c>
      <c r="E1548" s="1">
        <v>45412</v>
      </c>
      <c r="F1548" s="1" t="str">
        <f>TEXT(Table1[[#This Row],[order_date]],"dddd")</f>
        <v>Tuesday</v>
      </c>
      <c r="G1548">
        <f>HOUR(Table1[[#This Row],[order_time]])</f>
        <v>10</v>
      </c>
      <c r="H1548" s="2">
        <v>0.42780092592592595</v>
      </c>
      <c r="I1548" t="s">
        <v>11</v>
      </c>
      <c r="J1548" t="s">
        <v>25</v>
      </c>
      <c r="K1548">
        <v>4</v>
      </c>
      <c r="L1548">
        <v>1000</v>
      </c>
      <c r="M1548">
        <v>4000</v>
      </c>
      <c r="N1548">
        <f>IF(COUNTIFS($B$2:B1548,B1548)=1,1,0)</f>
        <v>0</v>
      </c>
    </row>
    <row r="1549" spans="1:14" x14ac:dyDescent="0.2">
      <c r="A1549">
        <v>1548</v>
      </c>
      <c r="B1549">
        <v>1771</v>
      </c>
      <c r="C1549">
        <f>1/COUNTIF(B:B,Table1[[#This Row],[order_id]])</f>
        <v>0.33333333333333331</v>
      </c>
      <c r="D1549" t="str">
        <f>TEXT(Table1[[#This Row],[order_date]],"mmmm")</f>
        <v>April</v>
      </c>
      <c r="E1549" s="1">
        <v>45412</v>
      </c>
      <c r="F1549" s="1" t="str">
        <f>TEXT(Table1[[#This Row],[order_date]],"dddd")</f>
        <v>Tuesday</v>
      </c>
      <c r="G1549">
        <f>HOUR(Table1[[#This Row],[order_time]])</f>
        <v>10</v>
      </c>
      <c r="H1549" s="2">
        <v>0.45731481481481484</v>
      </c>
      <c r="I1549" t="s">
        <v>16</v>
      </c>
      <c r="J1549" t="s">
        <v>24</v>
      </c>
      <c r="K1549">
        <v>3</v>
      </c>
      <c r="L1549">
        <v>35</v>
      </c>
      <c r="M1549">
        <v>105</v>
      </c>
      <c r="N1549">
        <f>IF(COUNTIFS($B$2:B1549,B1549)=1,1,0)</f>
        <v>0</v>
      </c>
    </row>
    <row r="1550" spans="1:14" x14ac:dyDescent="0.2">
      <c r="A1550">
        <v>1549</v>
      </c>
      <c r="B1550">
        <v>1772</v>
      </c>
      <c r="C1550">
        <f>1/COUNTIF(B:B,Table1[[#This Row],[order_id]])</f>
        <v>0.5</v>
      </c>
      <c r="D1550" t="str">
        <f>TEXT(Table1[[#This Row],[order_date]],"mmmm")</f>
        <v>April</v>
      </c>
      <c r="E1550" s="1">
        <v>45412</v>
      </c>
      <c r="F1550" s="1" t="str">
        <f>TEXT(Table1[[#This Row],[order_date]],"dddd")</f>
        <v>Tuesday</v>
      </c>
      <c r="G1550">
        <f>HOUR(Table1[[#This Row],[order_time]])</f>
        <v>13</v>
      </c>
      <c r="H1550" s="2">
        <v>0.57778935185185187</v>
      </c>
      <c r="I1550" t="s">
        <v>9</v>
      </c>
      <c r="J1550" t="s">
        <v>22</v>
      </c>
      <c r="K1550">
        <v>4</v>
      </c>
      <c r="L1550">
        <v>15</v>
      </c>
      <c r="M1550">
        <v>60</v>
      </c>
      <c r="N1550">
        <f>IF(COUNTIFS($B$2:B1550,B1550)=1,1,0)</f>
        <v>1</v>
      </c>
    </row>
    <row r="1551" spans="1:14" x14ac:dyDescent="0.2">
      <c r="A1551">
        <v>1550</v>
      </c>
      <c r="B1551">
        <v>1772</v>
      </c>
      <c r="C1551">
        <f>1/COUNTIF(B:B,Table1[[#This Row],[order_id]])</f>
        <v>0.5</v>
      </c>
      <c r="D1551" t="str">
        <f>TEXT(Table1[[#This Row],[order_date]],"mmmm")</f>
        <v>April</v>
      </c>
      <c r="E1551" s="1">
        <v>45412</v>
      </c>
      <c r="F1551" s="1" t="str">
        <f>TEXT(Table1[[#This Row],[order_date]],"dddd")</f>
        <v>Tuesday</v>
      </c>
      <c r="G1551">
        <f>HOUR(Table1[[#This Row],[order_time]])</f>
        <v>11</v>
      </c>
      <c r="H1551" s="2">
        <v>0.48488425925925926</v>
      </c>
      <c r="I1551" t="s">
        <v>11</v>
      </c>
      <c r="J1551" t="s">
        <v>12</v>
      </c>
      <c r="K1551">
        <v>3</v>
      </c>
      <c r="L1551">
        <v>650</v>
      </c>
      <c r="M1551">
        <v>1950</v>
      </c>
      <c r="N1551">
        <f>IF(COUNTIFS($B$2:B1551,B1551)=1,1,0)</f>
        <v>0</v>
      </c>
    </row>
    <row r="1552" spans="1:14" x14ac:dyDescent="0.2">
      <c r="A1552">
        <v>1551</v>
      </c>
      <c r="B1552">
        <v>1773</v>
      </c>
      <c r="C1552">
        <f>1/COUNTIF(B:B,Table1[[#This Row],[order_id]])</f>
        <v>1</v>
      </c>
      <c r="D1552" t="str">
        <f>TEXT(Table1[[#This Row],[order_date]],"mmmm")</f>
        <v>May</v>
      </c>
      <c r="E1552" s="1">
        <v>45413</v>
      </c>
      <c r="F1552" s="1" t="str">
        <f>TEXT(Table1[[#This Row],[order_date]],"dddd")</f>
        <v>Wednesday</v>
      </c>
      <c r="G1552">
        <f>HOUR(Table1[[#This Row],[order_time]])</f>
        <v>20</v>
      </c>
      <c r="H1552" s="2">
        <v>0.85499999999999998</v>
      </c>
      <c r="I1552" t="s">
        <v>16</v>
      </c>
      <c r="J1552" t="s">
        <v>24</v>
      </c>
      <c r="K1552">
        <v>5</v>
      </c>
      <c r="L1552">
        <v>35</v>
      </c>
      <c r="M1552">
        <v>175</v>
      </c>
      <c r="N1552">
        <f>IF(COUNTIFS($B$2:B1552,B1552)=1,1,0)</f>
        <v>1</v>
      </c>
    </row>
    <row r="1553" spans="1:14" x14ac:dyDescent="0.2">
      <c r="A1553">
        <v>1552</v>
      </c>
      <c r="B1553">
        <v>1774</v>
      </c>
      <c r="C1553">
        <f>1/COUNTIF(B:B,Table1[[#This Row],[order_id]])</f>
        <v>0.33333333333333331</v>
      </c>
      <c r="D1553" t="str">
        <f>TEXT(Table1[[#This Row],[order_date]],"mmmm")</f>
        <v>May</v>
      </c>
      <c r="E1553" s="1">
        <v>45413</v>
      </c>
      <c r="F1553" s="1" t="str">
        <f>TEXT(Table1[[#This Row],[order_date]],"dddd")</f>
        <v>Wednesday</v>
      </c>
      <c r="G1553">
        <f>HOUR(Table1[[#This Row],[order_time]])</f>
        <v>11</v>
      </c>
      <c r="H1553" s="2">
        <v>0.46356481481481482</v>
      </c>
      <c r="I1553" t="s">
        <v>9</v>
      </c>
      <c r="J1553" t="s">
        <v>10</v>
      </c>
      <c r="K1553">
        <v>4</v>
      </c>
      <c r="L1553">
        <v>20</v>
      </c>
      <c r="M1553">
        <v>80</v>
      </c>
      <c r="N1553">
        <f>IF(COUNTIFS($B$2:B1553,B1553)=1,1,0)</f>
        <v>1</v>
      </c>
    </row>
    <row r="1554" spans="1:14" x14ac:dyDescent="0.2">
      <c r="A1554">
        <v>1553</v>
      </c>
      <c r="B1554">
        <v>1774</v>
      </c>
      <c r="C1554">
        <f>1/COUNTIF(B:B,Table1[[#This Row],[order_id]])</f>
        <v>0.33333333333333331</v>
      </c>
      <c r="D1554" t="str">
        <f>TEXT(Table1[[#This Row],[order_date]],"mmmm")</f>
        <v>May</v>
      </c>
      <c r="E1554" s="1">
        <v>45413</v>
      </c>
      <c r="F1554" s="1" t="str">
        <f>TEXT(Table1[[#This Row],[order_date]],"dddd")</f>
        <v>Wednesday</v>
      </c>
      <c r="G1554">
        <f>HOUR(Table1[[#This Row],[order_time]])</f>
        <v>19</v>
      </c>
      <c r="H1554" s="2">
        <v>0.80148148148148146</v>
      </c>
      <c r="I1554" t="s">
        <v>16</v>
      </c>
      <c r="J1554" t="s">
        <v>17</v>
      </c>
      <c r="K1554">
        <v>3</v>
      </c>
      <c r="L1554">
        <v>20</v>
      </c>
      <c r="M1554">
        <v>60</v>
      </c>
      <c r="N1554">
        <f>IF(COUNTIFS($B$2:B1554,B1554)=1,1,0)</f>
        <v>0</v>
      </c>
    </row>
    <row r="1555" spans="1:14" x14ac:dyDescent="0.2">
      <c r="A1555">
        <v>1554</v>
      </c>
      <c r="B1555">
        <v>1774</v>
      </c>
      <c r="C1555">
        <f>1/COUNTIF(B:B,Table1[[#This Row],[order_id]])</f>
        <v>0.33333333333333331</v>
      </c>
      <c r="D1555" t="str">
        <f>TEXT(Table1[[#This Row],[order_date]],"mmmm")</f>
        <v>May</v>
      </c>
      <c r="E1555" s="1">
        <v>45413</v>
      </c>
      <c r="F1555" s="1" t="str">
        <f>TEXT(Table1[[#This Row],[order_date]],"dddd")</f>
        <v>Wednesday</v>
      </c>
      <c r="G1555">
        <f>HOUR(Table1[[#This Row],[order_time]])</f>
        <v>18</v>
      </c>
      <c r="H1555" s="2">
        <v>0.75311342592592589</v>
      </c>
      <c r="I1555" t="s">
        <v>16</v>
      </c>
      <c r="J1555" t="s">
        <v>23</v>
      </c>
      <c r="K1555">
        <v>4</v>
      </c>
      <c r="L1555">
        <v>30</v>
      </c>
      <c r="M1555">
        <v>120</v>
      </c>
      <c r="N1555">
        <f>IF(COUNTIFS($B$2:B1555,B1555)=1,1,0)</f>
        <v>0</v>
      </c>
    </row>
    <row r="1556" spans="1:14" x14ac:dyDescent="0.2">
      <c r="A1556">
        <v>1555</v>
      </c>
      <c r="B1556">
        <v>1775</v>
      </c>
      <c r="C1556">
        <f>1/COUNTIF(B:B,Table1[[#This Row],[order_id]])</f>
        <v>0.5</v>
      </c>
      <c r="D1556" t="str">
        <f>TEXT(Table1[[#This Row],[order_date]],"mmmm")</f>
        <v>May</v>
      </c>
      <c r="E1556" s="1">
        <v>45413</v>
      </c>
      <c r="F1556" s="1" t="str">
        <f>TEXT(Table1[[#This Row],[order_date]],"dddd")</f>
        <v>Wednesday</v>
      </c>
      <c r="G1556">
        <f>HOUR(Table1[[#This Row],[order_time]])</f>
        <v>14</v>
      </c>
      <c r="H1556" s="2">
        <v>0.61192129629629632</v>
      </c>
      <c r="I1556" t="s">
        <v>18</v>
      </c>
      <c r="J1556" t="s">
        <v>31</v>
      </c>
      <c r="K1556">
        <v>3</v>
      </c>
      <c r="L1556">
        <v>45</v>
      </c>
      <c r="M1556">
        <v>135</v>
      </c>
      <c r="N1556">
        <f>IF(COUNTIFS($B$2:B1556,B1556)=1,1,0)</f>
        <v>1</v>
      </c>
    </row>
    <row r="1557" spans="1:14" x14ac:dyDescent="0.2">
      <c r="A1557">
        <v>1556</v>
      </c>
      <c r="B1557">
        <v>1775</v>
      </c>
      <c r="C1557">
        <f>1/COUNTIF(B:B,Table1[[#This Row],[order_id]])</f>
        <v>0.5</v>
      </c>
      <c r="D1557" t="str">
        <f>TEXT(Table1[[#This Row],[order_date]],"mmmm")</f>
        <v>May</v>
      </c>
      <c r="E1557" s="1">
        <v>45413</v>
      </c>
      <c r="F1557" s="1" t="str">
        <f>TEXT(Table1[[#This Row],[order_date]],"dddd")</f>
        <v>Wednesday</v>
      </c>
      <c r="G1557">
        <f>HOUR(Table1[[#This Row],[order_time]])</f>
        <v>10</v>
      </c>
      <c r="H1557" s="2">
        <v>0.44017361111111108</v>
      </c>
      <c r="I1557" t="s">
        <v>18</v>
      </c>
      <c r="J1557" t="s">
        <v>27</v>
      </c>
      <c r="K1557">
        <v>5</v>
      </c>
      <c r="L1557">
        <v>40</v>
      </c>
      <c r="M1557">
        <v>200</v>
      </c>
      <c r="N1557">
        <f>IF(COUNTIFS($B$2:B1557,B1557)=1,1,0)</f>
        <v>0</v>
      </c>
    </row>
    <row r="1558" spans="1:14" x14ac:dyDescent="0.2">
      <c r="A1558">
        <v>1557</v>
      </c>
      <c r="B1558">
        <v>1776</v>
      </c>
      <c r="C1558">
        <f>1/COUNTIF(B:B,Table1[[#This Row],[order_id]])</f>
        <v>1</v>
      </c>
      <c r="D1558" t="str">
        <f>TEXT(Table1[[#This Row],[order_date]],"mmmm")</f>
        <v>May</v>
      </c>
      <c r="E1558" s="1">
        <v>45413</v>
      </c>
      <c r="F1558" s="1" t="str">
        <f>TEXT(Table1[[#This Row],[order_date]],"dddd")</f>
        <v>Wednesday</v>
      </c>
      <c r="G1558">
        <f>HOUR(Table1[[#This Row],[order_time]])</f>
        <v>16</v>
      </c>
      <c r="H1558" s="2">
        <v>0.66878472222222218</v>
      </c>
      <c r="I1558" t="s">
        <v>11</v>
      </c>
      <c r="J1558" t="s">
        <v>14</v>
      </c>
      <c r="K1558">
        <v>3</v>
      </c>
      <c r="L1558">
        <v>700</v>
      </c>
      <c r="M1558">
        <v>2100</v>
      </c>
      <c r="N1558">
        <f>IF(COUNTIFS($B$2:B1558,B1558)=1,1,0)</f>
        <v>1</v>
      </c>
    </row>
    <row r="1559" spans="1:14" x14ac:dyDescent="0.2">
      <c r="A1559">
        <v>1558</v>
      </c>
      <c r="B1559">
        <v>1777</v>
      </c>
      <c r="C1559">
        <f>1/COUNTIF(B:B,Table1[[#This Row],[order_id]])</f>
        <v>0.33333333333333331</v>
      </c>
      <c r="D1559" t="str">
        <f>TEXT(Table1[[#This Row],[order_date]],"mmmm")</f>
        <v>May</v>
      </c>
      <c r="E1559" s="1">
        <v>45413</v>
      </c>
      <c r="F1559" s="1" t="str">
        <f>TEXT(Table1[[#This Row],[order_date]],"dddd")</f>
        <v>Wednesday</v>
      </c>
      <c r="G1559">
        <f>HOUR(Table1[[#This Row],[order_time]])</f>
        <v>20</v>
      </c>
      <c r="H1559" s="2">
        <v>0.83379629629629626</v>
      </c>
      <c r="I1559" t="s">
        <v>16</v>
      </c>
      <c r="J1559" t="s">
        <v>24</v>
      </c>
      <c r="K1559">
        <v>2</v>
      </c>
      <c r="L1559">
        <v>35</v>
      </c>
      <c r="M1559">
        <v>70</v>
      </c>
      <c r="N1559">
        <f>IF(COUNTIFS($B$2:B1559,B1559)=1,1,0)</f>
        <v>1</v>
      </c>
    </row>
    <row r="1560" spans="1:14" x14ac:dyDescent="0.2">
      <c r="A1560">
        <v>1559</v>
      </c>
      <c r="B1560">
        <v>1777</v>
      </c>
      <c r="C1560">
        <f>1/COUNTIF(B:B,Table1[[#This Row],[order_id]])</f>
        <v>0.33333333333333331</v>
      </c>
      <c r="D1560" t="str">
        <f>TEXT(Table1[[#This Row],[order_date]],"mmmm")</f>
        <v>May</v>
      </c>
      <c r="E1560" s="1">
        <v>45413</v>
      </c>
      <c r="F1560" s="1" t="str">
        <f>TEXT(Table1[[#This Row],[order_date]],"dddd")</f>
        <v>Wednesday</v>
      </c>
      <c r="G1560">
        <f>HOUR(Table1[[#This Row],[order_time]])</f>
        <v>19</v>
      </c>
      <c r="H1560" s="2">
        <v>0.79723379629629632</v>
      </c>
      <c r="I1560" t="s">
        <v>18</v>
      </c>
      <c r="J1560" t="s">
        <v>31</v>
      </c>
      <c r="K1560">
        <v>4</v>
      </c>
      <c r="L1560">
        <v>45</v>
      </c>
      <c r="M1560">
        <v>180</v>
      </c>
      <c r="N1560">
        <f>IF(COUNTIFS($B$2:B1560,B1560)=1,1,0)</f>
        <v>0</v>
      </c>
    </row>
    <row r="1561" spans="1:14" x14ac:dyDescent="0.2">
      <c r="A1561">
        <v>1560</v>
      </c>
      <c r="B1561">
        <v>1777</v>
      </c>
      <c r="C1561">
        <f>1/COUNTIF(B:B,Table1[[#This Row],[order_id]])</f>
        <v>0.33333333333333331</v>
      </c>
      <c r="D1561" t="str">
        <f>TEXT(Table1[[#This Row],[order_date]],"mmmm")</f>
        <v>May</v>
      </c>
      <c r="E1561" s="1">
        <v>45413</v>
      </c>
      <c r="F1561" s="1" t="str">
        <f>TEXT(Table1[[#This Row],[order_date]],"dddd")</f>
        <v>Wednesday</v>
      </c>
      <c r="G1561">
        <f>HOUR(Table1[[#This Row],[order_time]])</f>
        <v>12</v>
      </c>
      <c r="H1561" s="2">
        <v>0.54056712962962961</v>
      </c>
      <c r="I1561" t="s">
        <v>11</v>
      </c>
      <c r="J1561" t="s">
        <v>13</v>
      </c>
      <c r="K1561">
        <v>2</v>
      </c>
      <c r="L1561">
        <v>680</v>
      </c>
      <c r="M1561">
        <v>1360</v>
      </c>
      <c r="N1561">
        <f>IF(COUNTIFS($B$2:B1561,B1561)=1,1,0)</f>
        <v>0</v>
      </c>
    </row>
    <row r="1562" spans="1:14" x14ac:dyDescent="0.2">
      <c r="A1562">
        <v>1561</v>
      </c>
      <c r="B1562">
        <v>1778</v>
      </c>
      <c r="C1562">
        <f>1/COUNTIF(B:B,Table1[[#This Row],[order_id]])</f>
        <v>1</v>
      </c>
      <c r="D1562" t="str">
        <f>TEXT(Table1[[#This Row],[order_date]],"mmmm")</f>
        <v>May</v>
      </c>
      <c r="E1562" s="1">
        <v>45414</v>
      </c>
      <c r="F1562" s="1" t="str">
        <f>TEXT(Table1[[#This Row],[order_date]],"dddd")</f>
        <v>Thursday</v>
      </c>
      <c r="G1562">
        <f>HOUR(Table1[[#This Row],[order_time]])</f>
        <v>17</v>
      </c>
      <c r="H1562" s="2">
        <v>0.74664351851851851</v>
      </c>
      <c r="I1562" t="s">
        <v>16</v>
      </c>
      <c r="J1562" t="s">
        <v>24</v>
      </c>
      <c r="K1562">
        <v>2</v>
      </c>
      <c r="L1562">
        <v>35</v>
      </c>
      <c r="M1562">
        <v>70</v>
      </c>
      <c r="N1562">
        <f>IF(COUNTIFS($B$2:B1562,B1562)=1,1,0)</f>
        <v>1</v>
      </c>
    </row>
    <row r="1563" spans="1:14" x14ac:dyDescent="0.2">
      <c r="A1563">
        <v>1562</v>
      </c>
      <c r="B1563">
        <v>1779</v>
      </c>
      <c r="C1563">
        <f>1/COUNTIF(B:B,Table1[[#This Row],[order_id]])</f>
        <v>0.5</v>
      </c>
      <c r="D1563" t="str">
        <f>TEXT(Table1[[#This Row],[order_date]],"mmmm")</f>
        <v>May</v>
      </c>
      <c r="E1563" s="1">
        <v>45414</v>
      </c>
      <c r="F1563" s="1" t="str">
        <f>TEXT(Table1[[#This Row],[order_date]],"dddd")</f>
        <v>Thursday</v>
      </c>
      <c r="G1563">
        <f>HOUR(Table1[[#This Row],[order_time]])</f>
        <v>17</v>
      </c>
      <c r="H1563" s="2">
        <v>0.71665509259259264</v>
      </c>
      <c r="I1563" t="s">
        <v>9</v>
      </c>
      <c r="J1563" t="s">
        <v>22</v>
      </c>
      <c r="K1563">
        <v>5</v>
      </c>
      <c r="L1563">
        <v>15</v>
      </c>
      <c r="M1563">
        <v>75</v>
      </c>
      <c r="N1563">
        <f>IF(COUNTIFS($B$2:B1563,B1563)=1,1,0)</f>
        <v>1</v>
      </c>
    </row>
    <row r="1564" spans="1:14" x14ac:dyDescent="0.2">
      <c r="A1564">
        <v>1563</v>
      </c>
      <c r="B1564">
        <v>1779</v>
      </c>
      <c r="C1564">
        <f>1/COUNTIF(B:B,Table1[[#This Row],[order_id]])</f>
        <v>0.5</v>
      </c>
      <c r="D1564" t="str">
        <f>TEXT(Table1[[#This Row],[order_date]],"mmmm")</f>
        <v>May</v>
      </c>
      <c r="E1564" s="1">
        <v>45414</v>
      </c>
      <c r="F1564" s="1" t="str">
        <f>TEXT(Table1[[#This Row],[order_date]],"dddd")</f>
        <v>Thursday</v>
      </c>
      <c r="G1564">
        <f>HOUR(Table1[[#This Row],[order_time]])</f>
        <v>9</v>
      </c>
      <c r="H1564" s="2">
        <v>0.40736111111111112</v>
      </c>
      <c r="I1564" t="s">
        <v>16</v>
      </c>
      <c r="J1564" t="s">
        <v>28</v>
      </c>
      <c r="K1564">
        <v>1</v>
      </c>
      <c r="L1564">
        <v>25</v>
      </c>
      <c r="M1564">
        <v>25</v>
      </c>
      <c r="N1564">
        <f>IF(COUNTIFS($B$2:B1564,B1564)=1,1,0)</f>
        <v>0</v>
      </c>
    </row>
    <row r="1565" spans="1:14" x14ac:dyDescent="0.2">
      <c r="A1565">
        <v>1564</v>
      </c>
      <c r="B1565">
        <v>1780</v>
      </c>
      <c r="C1565">
        <f>1/COUNTIF(B:B,Table1[[#This Row],[order_id]])</f>
        <v>0.5</v>
      </c>
      <c r="D1565" t="str">
        <f>TEXT(Table1[[#This Row],[order_date]],"mmmm")</f>
        <v>May</v>
      </c>
      <c r="E1565" s="1">
        <v>45414</v>
      </c>
      <c r="F1565" s="1" t="str">
        <f>TEXT(Table1[[#This Row],[order_date]],"dddd")</f>
        <v>Thursday</v>
      </c>
      <c r="G1565">
        <f>HOUR(Table1[[#This Row],[order_time]])</f>
        <v>13</v>
      </c>
      <c r="H1565" s="2">
        <v>0.5433796296296296</v>
      </c>
      <c r="I1565" t="s">
        <v>16</v>
      </c>
      <c r="J1565" t="s">
        <v>28</v>
      </c>
      <c r="K1565">
        <v>3</v>
      </c>
      <c r="L1565">
        <v>25</v>
      </c>
      <c r="M1565">
        <v>75</v>
      </c>
      <c r="N1565">
        <f>IF(COUNTIFS($B$2:B1565,B1565)=1,1,0)</f>
        <v>1</v>
      </c>
    </row>
    <row r="1566" spans="1:14" x14ac:dyDescent="0.2">
      <c r="A1566">
        <v>1565</v>
      </c>
      <c r="B1566">
        <v>1780</v>
      </c>
      <c r="C1566">
        <f>1/COUNTIF(B:B,Table1[[#This Row],[order_id]])</f>
        <v>0.5</v>
      </c>
      <c r="D1566" t="str">
        <f>TEXT(Table1[[#This Row],[order_date]],"mmmm")</f>
        <v>May</v>
      </c>
      <c r="E1566" s="1">
        <v>45414</v>
      </c>
      <c r="F1566" s="1" t="str">
        <f>TEXT(Table1[[#This Row],[order_date]],"dddd")</f>
        <v>Thursday</v>
      </c>
      <c r="G1566">
        <f>HOUR(Table1[[#This Row],[order_time]])</f>
        <v>17</v>
      </c>
      <c r="H1566" s="2">
        <v>0.74083333333333334</v>
      </c>
      <c r="I1566" t="s">
        <v>16</v>
      </c>
      <c r="J1566" t="s">
        <v>17</v>
      </c>
      <c r="K1566">
        <v>5</v>
      </c>
      <c r="L1566">
        <v>20</v>
      </c>
      <c r="M1566">
        <v>100</v>
      </c>
      <c r="N1566">
        <f>IF(COUNTIFS($B$2:B1566,B1566)=1,1,0)</f>
        <v>0</v>
      </c>
    </row>
    <row r="1567" spans="1:14" x14ac:dyDescent="0.2">
      <c r="A1567">
        <v>1566</v>
      </c>
      <c r="B1567">
        <v>1781</v>
      </c>
      <c r="C1567">
        <f>1/COUNTIF(B:B,Table1[[#This Row],[order_id]])</f>
        <v>1</v>
      </c>
      <c r="D1567" t="str">
        <f>TEXT(Table1[[#This Row],[order_date]],"mmmm")</f>
        <v>May</v>
      </c>
      <c r="E1567" s="1">
        <v>45414</v>
      </c>
      <c r="F1567" s="1" t="str">
        <f>TEXT(Table1[[#This Row],[order_date]],"dddd")</f>
        <v>Thursday</v>
      </c>
      <c r="G1567">
        <f>HOUR(Table1[[#This Row],[order_time]])</f>
        <v>13</v>
      </c>
      <c r="H1567" s="2">
        <v>0.55081018518518521</v>
      </c>
      <c r="I1567" t="s">
        <v>16</v>
      </c>
      <c r="J1567" t="s">
        <v>28</v>
      </c>
      <c r="K1567">
        <v>1</v>
      </c>
      <c r="L1567">
        <v>25</v>
      </c>
      <c r="M1567">
        <v>25</v>
      </c>
      <c r="N1567">
        <f>IF(COUNTIFS($B$2:B1567,B1567)=1,1,0)</f>
        <v>1</v>
      </c>
    </row>
    <row r="1568" spans="1:14" x14ac:dyDescent="0.2">
      <c r="A1568">
        <v>1567</v>
      </c>
      <c r="B1568">
        <v>1782</v>
      </c>
      <c r="C1568">
        <f>1/COUNTIF(B:B,Table1[[#This Row],[order_id]])</f>
        <v>0.33333333333333331</v>
      </c>
      <c r="D1568" t="str">
        <f>TEXT(Table1[[#This Row],[order_date]],"mmmm")</f>
        <v>May</v>
      </c>
      <c r="E1568" s="1">
        <v>45414</v>
      </c>
      <c r="F1568" s="1" t="str">
        <f>TEXT(Table1[[#This Row],[order_date]],"dddd")</f>
        <v>Thursday</v>
      </c>
      <c r="G1568">
        <f>HOUR(Table1[[#This Row],[order_time]])</f>
        <v>16</v>
      </c>
      <c r="H1568" s="2">
        <v>0.67577546296296298</v>
      </c>
      <c r="I1568" t="s">
        <v>9</v>
      </c>
      <c r="J1568" t="s">
        <v>22</v>
      </c>
      <c r="K1568">
        <v>4</v>
      </c>
      <c r="L1568">
        <v>15</v>
      </c>
      <c r="M1568">
        <v>60</v>
      </c>
      <c r="N1568">
        <f>IF(COUNTIFS($B$2:B1568,B1568)=1,1,0)</f>
        <v>1</v>
      </c>
    </row>
    <row r="1569" spans="1:14" x14ac:dyDescent="0.2">
      <c r="A1569">
        <v>1568</v>
      </c>
      <c r="B1569">
        <v>1782</v>
      </c>
      <c r="C1569">
        <f>1/COUNTIF(B:B,Table1[[#This Row],[order_id]])</f>
        <v>0.33333333333333331</v>
      </c>
      <c r="D1569" t="str">
        <f>TEXT(Table1[[#This Row],[order_date]],"mmmm")</f>
        <v>May</v>
      </c>
      <c r="E1569" s="1">
        <v>45414</v>
      </c>
      <c r="F1569" s="1" t="str">
        <f>TEXT(Table1[[#This Row],[order_date]],"dddd")</f>
        <v>Thursday</v>
      </c>
      <c r="G1569">
        <f>HOUR(Table1[[#This Row],[order_time]])</f>
        <v>19</v>
      </c>
      <c r="H1569" s="2">
        <v>0.8311574074074074</v>
      </c>
      <c r="I1569" t="s">
        <v>16</v>
      </c>
      <c r="J1569" t="s">
        <v>24</v>
      </c>
      <c r="K1569">
        <v>3</v>
      </c>
      <c r="L1569">
        <v>35</v>
      </c>
      <c r="M1569">
        <v>105</v>
      </c>
      <c r="N1569">
        <f>IF(COUNTIFS($B$2:B1569,B1569)=1,1,0)</f>
        <v>0</v>
      </c>
    </row>
    <row r="1570" spans="1:14" x14ac:dyDescent="0.2">
      <c r="A1570">
        <v>1569</v>
      </c>
      <c r="B1570">
        <v>1782</v>
      </c>
      <c r="C1570">
        <f>1/COUNTIF(B:B,Table1[[#This Row],[order_id]])</f>
        <v>0.33333333333333331</v>
      </c>
      <c r="D1570" t="str">
        <f>TEXT(Table1[[#This Row],[order_date]],"mmmm")</f>
        <v>May</v>
      </c>
      <c r="E1570" s="1">
        <v>45414</v>
      </c>
      <c r="F1570" s="1" t="str">
        <f>TEXT(Table1[[#This Row],[order_date]],"dddd")</f>
        <v>Thursday</v>
      </c>
      <c r="G1570">
        <f>HOUR(Table1[[#This Row],[order_time]])</f>
        <v>18</v>
      </c>
      <c r="H1570" s="2">
        <v>0.7790393518518518</v>
      </c>
      <c r="I1570" t="s">
        <v>18</v>
      </c>
      <c r="J1570" t="s">
        <v>27</v>
      </c>
      <c r="K1570">
        <v>5</v>
      </c>
      <c r="L1570">
        <v>40</v>
      </c>
      <c r="M1570">
        <v>200</v>
      </c>
      <c r="N1570">
        <f>IF(COUNTIFS($B$2:B1570,B1570)=1,1,0)</f>
        <v>0</v>
      </c>
    </row>
    <row r="1571" spans="1:14" x14ac:dyDescent="0.2">
      <c r="A1571">
        <v>1570</v>
      </c>
      <c r="B1571">
        <v>1783</v>
      </c>
      <c r="C1571">
        <f>1/COUNTIF(B:B,Table1[[#This Row],[order_id]])</f>
        <v>0.5</v>
      </c>
      <c r="D1571" t="str">
        <f>TEXT(Table1[[#This Row],[order_date]],"mmmm")</f>
        <v>May</v>
      </c>
      <c r="E1571" s="1">
        <v>45414</v>
      </c>
      <c r="F1571" s="1" t="str">
        <f>TEXT(Table1[[#This Row],[order_date]],"dddd")</f>
        <v>Thursday</v>
      </c>
      <c r="G1571">
        <f>HOUR(Table1[[#This Row],[order_time]])</f>
        <v>19</v>
      </c>
      <c r="H1571" s="2">
        <v>0.81631944444444449</v>
      </c>
      <c r="I1571" t="s">
        <v>18</v>
      </c>
      <c r="J1571" t="s">
        <v>27</v>
      </c>
      <c r="K1571">
        <v>5</v>
      </c>
      <c r="L1571">
        <v>40</v>
      </c>
      <c r="M1571">
        <v>200</v>
      </c>
      <c r="N1571">
        <f>IF(COUNTIFS($B$2:B1571,B1571)=1,1,0)</f>
        <v>1</v>
      </c>
    </row>
    <row r="1572" spans="1:14" x14ac:dyDescent="0.2">
      <c r="A1572">
        <v>1571</v>
      </c>
      <c r="B1572">
        <v>1783</v>
      </c>
      <c r="C1572">
        <f>1/COUNTIF(B:B,Table1[[#This Row],[order_id]])</f>
        <v>0.5</v>
      </c>
      <c r="D1572" t="str">
        <f>TEXT(Table1[[#This Row],[order_date]],"mmmm")</f>
        <v>May</v>
      </c>
      <c r="E1572" s="1">
        <v>45414</v>
      </c>
      <c r="F1572" s="1" t="str">
        <f>TEXT(Table1[[#This Row],[order_date]],"dddd")</f>
        <v>Thursday</v>
      </c>
      <c r="G1572">
        <f>HOUR(Table1[[#This Row],[order_time]])</f>
        <v>16</v>
      </c>
      <c r="H1572" s="2">
        <v>0.68231481481481482</v>
      </c>
      <c r="I1572" t="s">
        <v>18</v>
      </c>
      <c r="J1572" t="s">
        <v>30</v>
      </c>
      <c r="K1572">
        <v>2</v>
      </c>
      <c r="L1572">
        <v>60</v>
      </c>
      <c r="M1572">
        <v>120</v>
      </c>
      <c r="N1572">
        <f>IF(COUNTIFS($B$2:B1572,B1572)=1,1,0)</f>
        <v>0</v>
      </c>
    </row>
    <row r="1573" spans="1:14" x14ac:dyDescent="0.2">
      <c r="A1573">
        <v>1572</v>
      </c>
      <c r="B1573">
        <v>1784</v>
      </c>
      <c r="C1573">
        <f>1/COUNTIF(B:B,Table1[[#This Row],[order_id]])</f>
        <v>1</v>
      </c>
      <c r="D1573" t="str">
        <f>TEXT(Table1[[#This Row],[order_date]],"mmmm")</f>
        <v>May</v>
      </c>
      <c r="E1573" s="1">
        <v>45414</v>
      </c>
      <c r="F1573" s="1" t="str">
        <f>TEXT(Table1[[#This Row],[order_date]],"dddd")</f>
        <v>Thursday</v>
      </c>
      <c r="G1573">
        <f>HOUR(Table1[[#This Row],[order_time]])</f>
        <v>14</v>
      </c>
      <c r="H1573" s="2">
        <v>0.62017361111111113</v>
      </c>
      <c r="I1573" t="s">
        <v>11</v>
      </c>
      <c r="J1573" t="s">
        <v>15</v>
      </c>
      <c r="K1573">
        <v>4</v>
      </c>
      <c r="L1573">
        <v>600</v>
      </c>
      <c r="M1573">
        <v>2400</v>
      </c>
      <c r="N1573">
        <f>IF(COUNTIFS($B$2:B1573,B1573)=1,1,0)</f>
        <v>1</v>
      </c>
    </row>
    <row r="1574" spans="1:14" x14ac:dyDescent="0.2">
      <c r="A1574">
        <v>1573</v>
      </c>
      <c r="B1574">
        <v>1785</v>
      </c>
      <c r="C1574">
        <f>1/COUNTIF(B:B,Table1[[#This Row],[order_id]])</f>
        <v>0.33333333333333331</v>
      </c>
      <c r="D1574" t="str">
        <f>TEXT(Table1[[#This Row],[order_date]],"mmmm")</f>
        <v>May</v>
      </c>
      <c r="E1574" s="1">
        <v>45415</v>
      </c>
      <c r="F1574" s="1" t="str">
        <f>TEXT(Table1[[#This Row],[order_date]],"dddd")</f>
        <v>Friday</v>
      </c>
      <c r="G1574">
        <f>HOUR(Table1[[#This Row],[order_time]])</f>
        <v>12</v>
      </c>
      <c r="H1574" s="2">
        <v>0.5044791666666667</v>
      </c>
      <c r="I1574" t="s">
        <v>9</v>
      </c>
      <c r="J1574" t="s">
        <v>21</v>
      </c>
      <c r="K1574">
        <v>3</v>
      </c>
      <c r="L1574">
        <v>10</v>
      </c>
      <c r="M1574">
        <v>30</v>
      </c>
      <c r="N1574">
        <f>IF(COUNTIFS($B$2:B1574,B1574)=1,1,0)</f>
        <v>1</v>
      </c>
    </row>
    <row r="1575" spans="1:14" x14ac:dyDescent="0.2">
      <c r="A1575">
        <v>1574</v>
      </c>
      <c r="B1575">
        <v>1785</v>
      </c>
      <c r="C1575">
        <f>1/COUNTIF(B:B,Table1[[#This Row],[order_id]])</f>
        <v>0.33333333333333331</v>
      </c>
      <c r="D1575" t="str">
        <f>TEXT(Table1[[#This Row],[order_date]],"mmmm")</f>
        <v>May</v>
      </c>
      <c r="E1575" s="1">
        <v>45415</v>
      </c>
      <c r="F1575" s="1" t="str">
        <f>TEXT(Table1[[#This Row],[order_date]],"dddd")</f>
        <v>Friday</v>
      </c>
      <c r="G1575">
        <f>HOUR(Table1[[#This Row],[order_time]])</f>
        <v>14</v>
      </c>
      <c r="H1575" s="2">
        <v>0.61107638888888893</v>
      </c>
      <c r="I1575" t="s">
        <v>11</v>
      </c>
      <c r="J1575" t="s">
        <v>13</v>
      </c>
      <c r="K1575">
        <v>1</v>
      </c>
      <c r="L1575">
        <v>680</v>
      </c>
      <c r="M1575">
        <v>680</v>
      </c>
      <c r="N1575">
        <f>IF(COUNTIFS($B$2:B1575,B1575)=1,1,0)</f>
        <v>0</v>
      </c>
    </row>
    <row r="1576" spans="1:14" x14ac:dyDescent="0.2">
      <c r="A1576">
        <v>1575</v>
      </c>
      <c r="B1576">
        <v>1785</v>
      </c>
      <c r="C1576">
        <f>1/COUNTIF(B:B,Table1[[#This Row],[order_id]])</f>
        <v>0.33333333333333331</v>
      </c>
      <c r="D1576" t="str">
        <f>TEXT(Table1[[#This Row],[order_date]],"mmmm")</f>
        <v>May</v>
      </c>
      <c r="E1576" s="1">
        <v>45415</v>
      </c>
      <c r="F1576" s="1" t="str">
        <f>TEXT(Table1[[#This Row],[order_date]],"dddd")</f>
        <v>Friday</v>
      </c>
      <c r="G1576">
        <f>HOUR(Table1[[#This Row],[order_time]])</f>
        <v>16</v>
      </c>
      <c r="H1576" s="2">
        <v>0.68138888888888893</v>
      </c>
      <c r="I1576" t="s">
        <v>11</v>
      </c>
      <c r="J1576" t="s">
        <v>25</v>
      </c>
      <c r="K1576">
        <v>5</v>
      </c>
      <c r="L1576">
        <v>1000</v>
      </c>
      <c r="M1576">
        <v>5000</v>
      </c>
      <c r="N1576">
        <f>IF(COUNTIFS($B$2:B1576,B1576)=1,1,0)</f>
        <v>0</v>
      </c>
    </row>
    <row r="1577" spans="1:14" x14ac:dyDescent="0.2">
      <c r="A1577">
        <v>1576</v>
      </c>
      <c r="B1577">
        <v>1786</v>
      </c>
      <c r="C1577">
        <f>1/COUNTIF(B:B,Table1[[#This Row],[order_id]])</f>
        <v>0.33333333333333331</v>
      </c>
      <c r="D1577" t="str">
        <f>TEXT(Table1[[#This Row],[order_date]],"mmmm")</f>
        <v>May</v>
      </c>
      <c r="E1577" s="1">
        <v>45415</v>
      </c>
      <c r="F1577" s="1" t="str">
        <f>TEXT(Table1[[#This Row],[order_date]],"dddd")</f>
        <v>Friday</v>
      </c>
      <c r="G1577">
        <f>HOUR(Table1[[#This Row],[order_time]])</f>
        <v>19</v>
      </c>
      <c r="H1577" s="2">
        <v>0.81990740740740742</v>
      </c>
      <c r="I1577" t="s">
        <v>11</v>
      </c>
      <c r="J1577" t="s">
        <v>15</v>
      </c>
      <c r="K1577">
        <v>4</v>
      </c>
      <c r="L1577">
        <v>600</v>
      </c>
      <c r="M1577">
        <v>2400</v>
      </c>
      <c r="N1577">
        <f>IF(COUNTIFS($B$2:B1577,B1577)=1,1,0)</f>
        <v>1</v>
      </c>
    </row>
    <row r="1578" spans="1:14" x14ac:dyDescent="0.2">
      <c r="A1578">
        <v>1577</v>
      </c>
      <c r="B1578">
        <v>1786</v>
      </c>
      <c r="C1578">
        <f>1/COUNTIF(B:B,Table1[[#This Row],[order_id]])</f>
        <v>0.33333333333333331</v>
      </c>
      <c r="D1578" t="str">
        <f>TEXT(Table1[[#This Row],[order_date]],"mmmm")</f>
        <v>May</v>
      </c>
      <c r="E1578" s="1">
        <v>45415</v>
      </c>
      <c r="F1578" s="1" t="str">
        <f>TEXT(Table1[[#This Row],[order_date]],"dddd")</f>
        <v>Friday</v>
      </c>
      <c r="G1578">
        <f>HOUR(Table1[[#This Row],[order_time]])</f>
        <v>19</v>
      </c>
      <c r="H1578" s="2">
        <v>0.80442129629629633</v>
      </c>
      <c r="I1578" t="s">
        <v>18</v>
      </c>
      <c r="J1578" t="s">
        <v>19</v>
      </c>
      <c r="K1578">
        <v>5</v>
      </c>
      <c r="L1578">
        <v>50</v>
      </c>
      <c r="M1578">
        <v>250</v>
      </c>
      <c r="N1578">
        <f>IF(COUNTIFS($B$2:B1578,B1578)=1,1,0)</f>
        <v>0</v>
      </c>
    </row>
    <row r="1579" spans="1:14" x14ac:dyDescent="0.2">
      <c r="A1579">
        <v>1578</v>
      </c>
      <c r="B1579">
        <v>1786</v>
      </c>
      <c r="C1579">
        <f>1/COUNTIF(B:B,Table1[[#This Row],[order_id]])</f>
        <v>0.33333333333333331</v>
      </c>
      <c r="D1579" t="str">
        <f>TEXT(Table1[[#This Row],[order_date]],"mmmm")</f>
        <v>May</v>
      </c>
      <c r="E1579" s="1">
        <v>45415</v>
      </c>
      <c r="F1579" s="1" t="str">
        <f>TEXT(Table1[[#This Row],[order_date]],"dddd")</f>
        <v>Friday</v>
      </c>
      <c r="G1579">
        <f>HOUR(Table1[[#This Row],[order_time]])</f>
        <v>11</v>
      </c>
      <c r="H1579" s="2">
        <v>0.49552083333333335</v>
      </c>
      <c r="I1579" t="s">
        <v>16</v>
      </c>
      <c r="J1579" t="s">
        <v>28</v>
      </c>
      <c r="K1579">
        <v>2</v>
      </c>
      <c r="L1579">
        <v>25</v>
      </c>
      <c r="M1579">
        <v>50</v>
      </c>
      <c r="N1579">
        <f>IF(COUNTIFS($B$2:B1579,B1579)=1,1,0)</f>
        <v>0</v>
      </c>
    </row>
    <row r="1580" spans="1:14" x14ac:dyDescent="0.2">
      <c r="A1580">
        <v>1579</v>
      </c>
      <c r="B1580">
        <v>1787</v>
      </c>
      <c r="C1580">
        <f>1/COUNTIF(B:B,Table1[[#This Row],[order_id]])</f>
        <v>1</v>
      </c>
      <c r="D1580" t="str">
        <f>TEXT(Table1[[#This Row],[order_date]],"mmmm")</f>
        <v>May</v>
      </c>
      <c r="E1580" s="1">
        <v>45415</v>
      </c>
      <c r="F1580" s="1" t="str">
        <f>TEXT(Table1[[#This Row],[order_date]],"dddd")</f>
        <v>Friday</v>
      </c>
      <c r="G1580">
        <f>HOUR(Table1[[#This Row],[order_time]])</f>
        <v>17</v>
      </c>
      <c r="H1580" s="2">
        <v>0.71607638888888892</v>
      </c>
      <c r="I1580" t="s">
        <v>16</v>
      </c>
      <c r="J1580" t="s">
        <v>23</v>
      </c>
      <c r="K1580">
        <v>1</v>
      </c>
      <c r="L1580">
        <v>30</v>
      </c>
      <c r="M1580">
        <v>30</v>
      </c>
      <c r="N1580">
        <f>IF(COUNTIFS($B$2:B1580,B1580)=1,1,0)</f>
        <v>1</v>
      </c>
    </row>
    <row r="1581" spans="1:14" x14ac:dyDescent="0.2">
      <c r="A1581">
        <v>1580</v>
      </c>
      <c r="B1581">
        <v>1788</v>
      </c>
      <c r="C1581">
        <f>1/COUNTIF(B:B,Table1[[#This Row],[order_id]])</f>
        <v>0.33333333333333331</v>
      </c>
      <c r="D1581" t="str">
        <f>TEXT(Table1[[#This Row],[order_date]],"mmmm")</f>
        <v>May</v>
      </c>
      <c r="E1581" s="1">
        <v>45415</v>
      </c>
      <c r="F1581" s="1" t="str">
        <f>TEXT(Table1[[#This Row],[order_date]],"dddd")</f>
        <v>Friday</v>
      </c>
      <c r="G1581">
        <f>HOUR(Table1[[#This Row],[order_time]])</f>
        <v>9</v>
      </c>
      <c r="H1581" s="2">
        <v>0.38416666666666666</v>
      </c>
      <c r="I1581" t="s">
        <v>9</v>
      </c>
      <c r="J1581" t="s">
        <v>21</v>
      </c>
      <c r="K1581">
        <v>3</v>
      </c>
      <c r="L1581">
        <v>10</v>
      </c>
      <c r="M1581">
        <v>30</v>
      </c>
      <c r="N1581">
        <f>IF(COUNTIFS($B$2:B1581,B1581)=1,1,0)</f>
        <v>1</v>
      </c>
    </row>
    <row r="1582" spans="1:14" x14ac:dyDescent="0.2">
      <c r="A1582">
        <v>1581</v>
      </c>
      <c r="B1582">
        <v>1788</v>
      </c>
      <c r="C1582">
        <f>1/COUNTIF(B:B,Table1[[#This Row],[order_id]])</f>
        <v>0.33333333333333331</v>
      </c>
      <c r="D1582" t="str">
        <f>TEXT(Table1[[#This Row],[order_date]],"mmmm")</f>
        <v>May</v>
      </c>
      <c r="E1582" s="1">
        <v>45415</v>
      </c>
      <c r="F1582" s="1" t="str">
        <f>TEXT(Table1[[#This Row],[order_date]],"dddd")</f>
        <v>Friday</v>
      </c>
      <c r="G1582">
        <f>HOUR(Table1[[#This Row],[order_time]])</f>
        <v>16</v>
      </c>
      <c r="H1582" s="2">
        <v>0.68240740740740746</v>
      </c>
      <c r="I1582" t="s">
        <v>11</v>
      </c>
      <c r="J1582" t="s">
        <v>25</v>
      </c>
      <c r="K1582">
        <v>4</v>
      </c>
      <c r="L1582">
        <v>1000</v>
      </c>
      <c r="M1582">
        <v>4000</v>
      </c>
      <c r="N1582">
        <f>IF(COUNTIFS($B$2:B1582,B1582)=1,1,0)</f>
        <v>0</v>
      </c>
    </row>
    <row r="1583" spans="1:14" x14ac:dyDescent="0.2">
      <c r="A1583">
        <v>1582</v>
      </c>
      <c r="B1583">
        <v>1788</v>
      </c>
      <c r="C1583">
        <f>1/COUNTIF(B:B,Table1[[#This Row],[order_id]])</f>
        <v>0.33333333333333331</v>
      </c>
      <c r="D1583" t="str">
        <f>TEXT(Table1[[#This Row],[order_date]],"mmmm")</f>
        <v>May</v>
      </c>
      <c r="E1583" s="1">
        <v>45415</v>
      </c>
      <c r="F1583" s="1" t="str">
        <f>TEXT(Table1[[#This Row],[order_date]],"dddd")</f>
        <v>Friday</v>
      </c>
      <c r="G1583">
        <f>HOUR(Table1[[#This Row],[order_time]])</f>
        <v>16</v>
      </c>
      <c r="H1583" s="2">
        <v>0.70108796296296294</v>
      </c>
      <c r="I1583" t="s">
        <v>18</v>
      </c>
      <c r="J1583" t="s">
        <v>19</v>
      </c>
      <c r="K1583">
        <v>4</v>
      </c>
      <c r="L1583">
        <v>50</v>
      </c>
      <c r="M1583">
        <v>200</v>
      </c>
      <c r="N1583">
        <f>IF(COUNTIFS($B$2:B1583,B1583)=1,1,0)</f>
        <v>0</v>
      </c>
    </row>
    <row r="1584" spans="1:14" x14ac:dyDescent="0.2">
      <c r="A1584">
        <v>1583</v>
      </c>
      <c r="B1584">
        <v>1789</v>
      </c>
      <c r="C1584">
        <f>1/COUNTIF(B:B,Table1[[#This Row],[order_id]])</f>
        <v>1</v>
      </c>
      <c r="D1584" t="str">
        <f>TEXT(Table1[[#This Row],[order_date]],"mmmm")</f>
        <v>May</v>
      </c>
      <c r="E1584" s="1">
        <v>45415</v>
      </c>
      <c r="F1584" s="1" t="str">
        <f>TEXT(Table1[[#This Row],[order_date]],"dddd")</f>
        <v>Friday</v>
      </c>
      <c r="G1584">
        <f>HOUR(Table1[[#This Row],[order_time]])</f>
        <v>13</v>
      </c>
      <c r="H1584" s="2">
        <v>0.55644675925925924</v>
      </c>
      <c r="I1584" t="s">
        <v>11</v>
      </c>
      <c r="J1584" t="s">
        <v>25</v>
      </c>
      <c r="K1584">
        <v>5</v>
      </c>
      <c r="L1584">
        <v>1000</v>
      </c>
      <c r="M1584">
        <v>5000</v>
      </c>
      <c r="N1584">
        <f>IF(COUNTIFS($B$2:B1584,B1584)=1,1,0)</f>
        <v>1</v>
      </c>
    </row>
    <row r="1585" spans="1:14" x14ac:dyDescent="0.2">
      <c r="A1585">
        <v>1584</v>
      </c>
      <c r="B1585">
        <v>1790</v>
      </c>
      <c r="C1585">
        <f>1/COUNTIF(B:B,Table1[[#This Row],[order_id]])</f>
        <v>0.33333333333333331</v>
      </c>
      <c r="D1585" t="str">
        <f>TEXT(Table1[[#This Row],[order_date]],"mmmm")</f>
        <v>May</v>
      </c>
      <c r="E1585" s="1">
        <v>45415</v>
      </c>
      <c r="F1585" s="1" t="str">
        <f>TEXT(Table1[[#This Row],[order_date]],"dddd")</f>
        <v>Friday</v>
      </c>
      <c r="G1585">
        <f>HOUR(Table1[[#This Row],[order_time]])</f>
        <v>16</v>
      </c>
      <c r="H1585" s="2">
        <v>0.69508101851851856</v>
      </c>
      <c r="I1585" t="s">
        <v>9</v>
      </c>
      <c r="J1585" t="s">
        <v>21</v>
      </c>
      <c r="K1585">
        <v>4</v>
      </c>
      <c r="L1585">
        <v>10</v>
      </c>
      <c r="M1585">
        <v>40</v>
      </c>
      <c r="N1585">
        <f>IF(COUNTIFS($B$2:B1585,B1585)=1,1,0)</f>
        <v>1</v>
      </c>
    </row>
    <row r="1586" spans="1:14" x14ac:dyDescent="0.2">
      <c r="A1586">
        <v>1585</v>
      </c>
      <c r="B1586">
        <v>1790</v>
      </c>
      <c r="C1586">
        <f>1/COUNTIF(B:B,Table1[[#This Row],[order_id]])</f>
        <v>0.33333333333333331</v>
      </c>
      <c r="D1586" t="str">
        <f>TEXT(Table1[[#This Row],[order_date]],"mmmm")</f>
        <v>May</v>
      </c>
      <c r="E1586" s="1">
        <v>45415</v>
      </c>
      <c r="F1586" s="1" t="str">
        <f>TEXT(Table1[[#This Row],[order_date]],"dddd")</f>
        <v>Friday</v>
      </c>
      <c r="G1586">
        <f>HOUR(Table1[[#This Row],[order_time]])</f>
        <v>19</v>
      </c>
      <c r="H1586" s="2">
        <v>0.82774305555555561</v>
      </c>
      <c r="I1586" t="s">
        <v>9</v>
      </c>
      <c r="J1586" t="s">
        <v>22</v>
      </c>
      <c r="K1586">
        <v>5</v>
      </c>
      <c r="L1586">
        <v>15</v>
      </c>
      <c r="M1586">
        <v>75</v>
      </c>
      <c r="N1586">
        <f>IF(COUNTIFS($B$2:B1586,B1586)=1,1,0)</f>
        <v>0</v>
      </c>
    </row>
    <row r="1587" spans="1:14" x14ac:dyDescent="0.2">
      <c r="A1587">
        <v>1586</v>
      </c>
      <c r="B1587">
        <v>1790</v>
      </c>
      <c r="C1587">
        <f>1/COUNTIF(B:B,Table1[[#This Row],[order_id]])</f>
        <v>0.33333333333333331</v>
      </c>
      <c r="D1587" t="str">
        <f>TEXT(Table1[[#This Row],[order_date]],"mmmm")</f>
        <v>May</v>
      </c>
      <c r="E1587" s="1">
        <v>45415</v>
      </c>
      <c r="F1587" s="1" t="str">
        <f>TEXT(Table1[[#This Row],[order_date]],"dddd")</f>
        <v>Friday</v>
      </c>
      <c r="G1587">
        <f>HOUR(Table1[[#This Row],[order_time]])</f>
        <v>20</v>
      </c>
      <c r="H1587" s="2">
        <v>0.86534722222222227</v>
      </c>
      <c r="I1587" t="s">
        <v>18</v>
      </c>
      <c r="J1587" t="s">
        <v>19</v>
      </c>
      <c r="K1587">
        <v>1</v>
      </c>
      <c r="L1587">
        <v>50</v>
      </c>
      <c r="M1587">
        <v>50</v>
      </c>
      <c r="N1587">
        <f>IF(COUNTIFS($B$2:B1587,B1587)=1,1,0)</f>
        <v>0</v>
      </c>
    </row>
    <row r="1588" spans="1:14" x14ac:dyDescent="0.2">
      <c r="A1588">
        <v>1587</v>
      </c>
      <c r="B1588">
        <v>1791</v>
      </c>
      <c r="C1588">
        <f>1/COUNTIF(B:B,Table1[[#This Row],[order_id]])</f>
        <v>0.33333333333333331</v>
      </c>
      <c r="D1588" t="str">
        <f>TEXT(Table1[[#This Row],[order_date]],"mmmm")</f>
        <v>May</v>
      </c>
      <c r="E1588" s="1">
        <v>45415</v>
      </c>
      <c r="F1588" s="1" t="str">
        <f>TEXT(Table1[[#This Row],[order_date]],"dddd")</f>
        <v>Friday</v>
      </c>
      <c r="G1588">
        <f>HOUR(Table1[[#This Row],[order_time]])</f>
        <v>19</v>
      </c>
      <c r="H1588" s="2">
        <v>0.80379629629629634</v>
      </c>
      <c r="I1588" t="s">
        <v>16</v>
      </c>
      <c r="J1588" t="s">
        <v>24</v>
      </c>
      <c r="K1588">
        <v>4</v>
      </c>
      <c r="L1588">
        <v>35</v>
      </c>
      <c r="M1588">
        <v>140</v>
      </c>
      <c r="N1588">
        <f>IF(COUNTIFS($B$2:B1588,B1588)=1,1,0)</f>
        <v>1</v>
      </c>
    </row>
    <row r="1589" spans="1:14" x14ac:dyDescent="0.2">
      <c r="A1589">
        <v>1588</v>
      </c>
      <c r="B1589">
        <v>1791</v>
      </c>
      <c r="C1589">
        <f>1/COUNTIF(B:B,Table1[[#This Row],[order_id]])</f>
        <v>0.33333333333333331</v>
      </c>
      <c r="D1589" t="str">
        <f>TEXT(Table1[[#This Row],[order_date]],"mmmm")</f>
        <v>May</v>
      </c>
      <c r="E1589" s="1">
        <v>45415</v>
      </c>
      <c r="F1589" s="1" t="str">
        <f>TEXT(Table1[[#This Row],[order_date]],"dddd")</f>
        <v>Friday</v>
      </c>
      <c r="G1589">
        <f>HOUR(Table1[[#This Row],[order_time]])</f>
        <v>12</v>
      </c>
      <c r="H1589" s="2">
        <v>0.51555555555555554</v>
      </c>
      <c r="I1589" t="s">
        <v>11</v>
      </c>
      <c r="J1589" t="s">
        <v>25</v>
      </c>
      <c r="K1589">
        <v>2</v>
      </c>
      <c r="L1589">
        <v>1000</v>
      </c>
      <c r="M1589">
        <v>2000</v>
      </c>
      <c r="N1589">
        <f>IF(COUNTIFS($B$2:B1589,B1589)=1,1,0)</f>
        <v>0</v>
      </c>
    </row>
    <row r="1590" spans="1:14" x14ac:dyDescent="0.2">
      <c r="A1590">
        <v>1589</v>
      </c>
      <c r="B1590">
        <v>1791</v>
      </c>
      <c r="C1590">
        <f>1/COUNTIF(B:B,Table1[[#This Row],[order_id]])</f>
        <v>0.33333333333333331</v>
      </c>
      <c r="D1590" t="str">
        <f>TEXT(Table1[[#This Row],[order_date]],"mmmm")</f>
        <v>May</v>
      </c>
      <c r="E1590" s="1">
        <v>45415</v>
      </c>
      <c r="F1590" s="1" t="str">
        <f>TEXT(Table1[[#This Row],[order_date]],"dddd")</f>
        <v>Friday</v>
      </c>
      <c r="G1590">
        <f>HOUR(Table1[[#This Row],[order_time]])</f>
        <v>17</v>
      </c>
      <c r="H1590" s="2">
        <v>0.73815972222222226</v>
      </c>
      <c r="I1590" t="s">
        <v>16</v>
      </c>
      <c r="J1590" t="s">
        <v>28</v>
      </c>
      <c r="K1590">
        <v>5</v>
      </c>
      <c r="L1590">
        <v>25</v>
      </c>
      <c r="M1590">
        <v>125</v>
      </c>
      <c r="N1590">
        <f>IF(COUNTIFS($B$2:B1590,B1590)=1,1,0)</f>
        <v>0</v>
      </c>
    </row>
    <row r="1591" spans="1:14" x14ac:dyDescent="0.2">
      <c r="A1591">
        <v>1590</v>
      </c>
      <c r="B1591">
        <v>1792</v>
      </c>
      <c r="C1591">
        <f>1/COUNTIF(B:B,Table1[[#This Row],[order_id]])</f>
        <v>1</v>
      </c>
      <c r="D1591" t="str">
        <f>TEXT(Table1[[#This Row],[order_date]],"mmmm")</f>
        <v>May</v>
      </c>
      <c r="E1591" s="1">
        <v>45415</v>
      </c>
      <c r="F1591" s="1" t="str">
        <f>TEXT(Table1[[#This Row],[order_date]],"dddd")</f>
        <v>Friday</v>
      </c>
      <c r="G1591">
        <f>HOUR(Table1[[#This Row],[order_time]])</f>
        <v>9</v>
      </c>
      <c r="H1591" s="2">
        <v>0.39304398148148151</v>
      </c>
      <c r="I1591" t="s">
        <v>18</v>
      </c>
      <c r="J1591" t="s">
        <v>19</v>
      </c>
      <c r="K1591">
        <v>4</v>
      </c>
      <c r="L1591">
        <v>50</v>
      </c>
      <c r="M1591">
        <v>200</v>
      </c>
      <c r="N1591">
        <f>IF(COUNTIFS($B$2:B1591,B1591)=1,1,0)</f>
        <v>1</v>
      </c>
    </row>
    <row r="1592" spans="1:14" x14ac:dyDescent="0.2">
      <c r="A1592">
        <v>1591</v>
      </c>
      <c r="B1592">
        <v>1793</v>
      </c>
      <c r="C1592">
        <f>1/COUNTIF(B:B,Table1[[#This Row],[order_id]])</f>
        <v>0.5</v>
      </c>
      <c r="D1592" t="str">
        <f>TEXT(Table1[[#This Row],[order_date]],"mmmm")</f>
        <v>May</v>
      </c>
      <c r="E1592" s="1">
        <v>45416</v>
      </c>
      <c r="F1592" s="1" t="str">
        <f>TEXT(Table1[[#This Row],[order_date]],"dddd")</f>
        <v>Saturday</v>
      </c>
      <c r="G1592">
        <f>HOUR(Table1[[#This Row],[order_time]])</f>
        <v>9</v>
      </c>
      <c r="H1592" s="2">
        <v>0.39921296296296294</v>
      </c>
      <c r="I1592" t="s">
        <v>16</v>
      </c>
      <c r="J1592" t="s">
        <v>24</v>
      </c>
      <c r="K1592">
        <v>2</v>
      </c>
      <c r="L1592">
        <v>35</v>
      </c>
      <c r="M1592">
        <v>70</v>
      </c>
      <c r="N1592">
        <f>IF(COUNTIFS($B$2:B1592,B1592)=1,1,0)</f>
        <v>1</v>
      </c>
    </row>
    <row r="1593" spans="1:14" x14ac:dyDescent="0.2">
      <c r="A1593">
        <v>1592</v>
      </c>
      <c r="B1593">
        <v>1793</v>
      </c>
      <c r="C1593">
        <f>1/COUNTIF(B:B,Table1[[#This Row],[order_id]])</f>
        <v>0.5</v>
      </c>
      <c r="D1593" t="str">
        <f>TEXT(Table1[[#This Row],[order_date]],"mmmm")</f>
        <v>May</v>
      </c>
      <c r="E1593" s="1">
        <v>45416</v>
      </c>
      <c r="F1593" s="1" t="str">
        <f>TEXT(Table1[[#This Row],[order_date]],"dddd")</f>
        <v>Saturday</v>
      </c>
      <c r="G1593">
        <f>HOUR(Table1[[#This Row],[order_time]])</f>
        <v>17</v>
      </c>
      <c r="H1593" s="2">
        <v>0.72289351851851846</v>
      </c>
      <c r="I1593" t="s">
        <v>11</v>
      </c>
      <c r="J1593" t="s">
        <v>12</v>
      </c>
      <c r="K1593">
        <v>5</v>
      </c>
      <c r="L1593">
        <v>650</v>
      </c>
      <c r="M1593">
        <v>3250</v>
      </c>
      <c r="N1593">
        <f>IF(COUNTIFS($B$2:B1593,B1593)=1,1,0)</f>
        <v>0</v>
      </c>
    </row>
    <row r="1594" spans="1:14" x14ac:dyDescent="0.2">
      <c r="A1594">
        <v>1593</v>
      </c>
      <c r="B1594">
        <v>1794</v>
      </c>
      <c r="C1594">
        <f>1/COUNTIF(B:B,Table1[[#This Row],[order_id]])</f>
        <v>1</v>
      </c>
      <c r="D1594" t="str">
        <f>TEXT(Table1[[#This Row],[order_date]],"mmmm")</f>
        <v>May</v>
      </c>
      <c r="E1594" s="1">
        <v>45416</v>
      </c>
      <c r="F1594" s="1" t="str">
        <f>TEXT(Table1[[#This Row],[order_date]],"dddd")</f>
        <v>Saturday</v>
      </c>
      <c r="G1594">
        <f>HOUR(Table1[[#This Row],[order_time]])</f>
        <v>19</v>
      </c>
      <c r="H1594" s="2">
        <v>0.79737268518518523</v>
      </c>
      <c r="I1594" t="s">
        <v>16</v>
      </c>
      <c r="J1594" t="s">
        <v>24</v>
      </c>
      <c r="K1594">
        <v>1</v>
      </c>
      <c r="L1594">
        <v>35</v>
      </c>
      <c r="M1594">
        <v>35</v>
      </c>
      <c r="N1594">
        <f>IF(COUNTIFS($B$2:B1594,B1594)=1,1,0)</f>
        <v>1</v>
      </c>
    </row>
    <row r="1595" spans="1:14" x14ac:dyDescent="0.2">
      <c r="A1595">
        <v>1594</v>
      </c>
      <c r="B1595">
        <v>1795</v>
      </c>
      <c r="C1595">
        <f>1/COUNTIF(B:B,Table1[[#This Row],[order_id]])</f>
        <v>0.5</v>
      </c>
      <c r="D1595" t="str">
        <f>TEXT(Table1[[#This Row],[order_date]],"mmmm")</f>
        <v>May</v>
      </c>
      <c r="E1595" s="1">
        <v>45416</v>
      </c>
      <c r="F1595" s="1" t="str">
        <f>TEXT(Table1[[#This Row],[order_date]],"dddd")</f>
        <v>Saturday</v>
      </c>
      <c r="G1595">
        <f>HOUR(Table1[[#This Row],[order_time]])</f>
        <v>15</v>
      </c>
      <c r="H1595" s="2">
        <v>0.65988425925925931</v>
      </c>
      <c r="I1595" t="s">
        <v>9</v>
      </c>
      <c r="J1595" t="s">
        <v>29</v>
      </c>
      <c r="K1595">
        <v>3</v>
      </c>
      <c r="L1595">
        <v>5</v>
      </c>
      <c r="M1595">
        <v>15</v>
      </c>
      <c r="N1595">
        <f>IF(COUNTIFS($B$2:B1595,B1595)=1,1,0)</f>
        <v>1</v>
      </c>
    </row>
    <row r="1596" spans="1:14" x14ac:dyDescent="0.2">
      <c r="A1596">
        <v>1595</v>
      </c>
      <c r="B1596">
        <v>1795</v>
      </c>
      <c r="C1596">
        <f>1/COUNTIF(B:B,Table1[[#This Row],[order_id]])</f>
        <v>0.5</v>
      </c>
      <c r="D1596" t="str">
        <f>TEXT(Table1[[#This Row],[order_date]],"mmmm")</f>
        <v>May</v>
      </c>
      <c r="E1596" s="1">
        <v>45416</v>
      </c>
      <c r="F1596" s="1" t="str">
        <f>TEXT(Table1[[#This Row],[order_date]],"dddd")</f>
        <v>Saturday</v>
      </c>
      <c r="G1596">
        <f>HOUR(Table1[[#This Row],[order_time]])</f>
        <v>20</v>
      </c>
      <c r="H1596" s="2">
        <v>0.83408564814814812</v>
      </c>
      <c r="I1596" t="s">
        <v>16</v>
      </c>
      <c r="J1596" t="s">
        <v>28</v>
      </c>
      <c r="K1596">
        <v>2</v>
      </c>
      <c r="L1596">
        <v>25</v>
      </c>
      <c r="M1596">
        <v>50</v>
      </c>
      <c r="N1596">
        <f>IF(COUNTIFS($B$2:B1596,B1596)=1,1,0)</f>
        <v>0</v>
      </c>
    </row>
    <row r="1597" spans="1:14" x14ac:dyDescent="0.2">
      <c r="A1597">
        <v>1596</v>
      </c>
      <c r="B1597">
        <v>1796</v>
      </c>
      <c r="C1597">
        <f>1/COUNTIF(B:B,Table1[[#This Row],[order_id]])</f>
        <v>0.5</v>
      </c>
      <c r="D1597" t="str">
        <f>TEXT(Table1[[#This Row],[order_date]],"mmmm")</f>
        <v>May</v>
      </c>
      <c r="E1597" s="1">
        <v>45416</v>
      </c>
      <c r="F1597" s="1" t="str">
        <f>TEXT(Table1[[#This Row],[order_date]],"dddd")</f>
        <v>Saturday</v>
      </c>
      <c r="G1597">
        <f>HOUR(Table1[[#This Row],[order_time]])</f>
        <v>11</v>
      </c>
      <c r="H1597" s="2">
        <v>0.46129629629629632</v>
      </c>
      <c r="I1597" t="s">
        <v>11</v>
      </c>
      <c r="J1597" t="s">
        <v>13</v>
      </c>
      <c r="K1597">
        <v>1</v>
      </c>
      <c r="L1597">
        <v>680</v>
      </c>
      <c r="M1597">
        <v>680</v>
      </c>
      <c r="N1597">
        <f>IF(COUNTIFS($B$2:B1597,B1597)=1,1,0)</f>
        <v>1</v>
      </c>
    </row>
    <row r="1598" spans="1:14" x14ac:dyDescent="0.2">
      <c r="A1598">
        <v>1597</v>
      </c>
      <c r="B1598">
        <v>1796</v>
      </c>
      <c r="C1598">
        <f>1/COUNTIF(B:B,Table1[[#This Row],[order_id]])</f>
        <v>0.5</v>
      </c>
      <c r="D1598" t="str">
        <f>TEXT(Table1[[#This Row],[order_date]],"mmmm")</f>
        <v>May</v>
      </c>
      <c r="E1598" s="1">
        <v>45416</v>
      </c>
      <c r="F1598" s="1" t="str">
        <f>TEXT(Table1[[#This Row],[order_date]],"dddd")</f>
        <v>Saturday</v>
      </c>
      <c r="G1598">
        <f>HOUR(Table1[[#This Row],[order_time]])</f>
        <v>17</v>
      </c>
      <c r="H1598" s="2">
        <v>0.73726851851851849</v>
      </c>
      <c r="I1598" t="s">
        <v>9</v>
      </c>
      <c r="J1598" t="s">
        <v>22</v>
      </c>
      <c r="K1598">
        <v>2</v>
      </c>
      <c r="L1598">
        <v>15</v>
      </c>
      <c r="M1598">
        <v>30</v>
      </c>
      <c r="N1598">
        <f>IF(COUNTIFS($B$2:B1598,B1598)=1,1,0)</f>
        <v>0</v>
      </c>
    </row>
    <row r="1599" spans="1:14" x14ac:dyDescent="0.2">
      <c r="A1599">
        <v>1598</v>
      </c>
      <c r="B1599">
        <v>1797</v>
      </c>
      <c r="C1599">
        <f>1/COUNTIF(B:B,Table1[[#This Row],[order_id]])</f>
        <v>0.5</v>
      </c>
      <c r="D1599" t="str">
        <f>TEXT(Table1[[#This Row],[order_date]],"mmmm")</f>
        <v>May</v>
      </c>
      <c r="E1599" s="1">
        <v>45416</v>
      </c>
      <c r="F1599" s="1" t="str">
        <f>TEXT(Table1[[#This Row],[order_date]],"dddd")</f>
        <v>Saturday</v>
      </c>
      <c r="G1599">
        <f>HOUR(Table1[[#This Row],[order_time]])</f>
        <v>19</v>
      </c>
      <c r="H1599" s="2">
        <v>0.81754629629629627</v>
      </c>
      <c r="I1599" t="s">
        <v>16</v>
      </c>
      <c r="J1599" t="s">
        <v>28</v>
      </c>
      <c r="K1599">
        <v>1</v>
      </c>
      <c r="L1599">
        <v>25</v>
      </c>
      <c r="M1599">
        <v>25</v>
      </c>
      <c r="N1599">
        <f>IF(COUNTIFS($B$2:B1599,B1599)=1,1,0)</f>
        <v>1</v>
      </c>
    </row>
    <row r="1600" spans="1:14" x14ac:dyDescent="0.2">
      <c r="A1600">
        <v>1599</v>
      </c>
      <c r="B1600">
        <v>1797</v>
      </c>
      <c r="C1600">
        <f>1/COUNTIF(B:B,Table1[[#This Row],[order_id]])</f>
        <v>0.5</v>
      </c>
      <c r="D1600" t="str">
        <f>TEXT(Table1[[#This Row],[order_date]],"mmmm")</f>
        <v>May</v>
      </c>
      <c r="E1600" s="1">
        <v>45416</v>
      </c>
      <c r="F1600" s="1" t="str">
        <f>TEXT(Table1[[#This Row],[order_date]],"dddd")</f>
        <v>Saturday</v>
      </c>
      <c r="G1600">
        <f>HOUR(Table1[[#This Row],[order_time]])</f>
        <v>18</v>
      </c>
      <c r="H1600" s="2">
        <v>0.75672453703703701</v>
      </c>
      <c r="I1600" t="s">
        <v>9</v>
      </c>
      <c r="J1600" t="s">
        <v>21</v>
      </c>
      <c r="K1600">
        <v>3</v>
      </c>
      <c r="L1600">
        <v>10</v>
      </c>
      <c r="M1600">
        <v>30</v>
      </c>
      <c r="N1600">
        <f>IF(COUNTIFS($B$2:B1600,B1600)=1,1,0)</f>
        <v>0</v>
      </c>
    </row>
    <row r="1601" spans="1:14" x14ac:dyDescent="0.2">
      <c r="A1601">
        <v>1600</v>
      </c>
      <c r="B1601">
        <v>1798</v>
      </c>
      <c r="C1601">
        <f>1/COUNTIF(B:B,Table1[[#This Row],[order_id]])</f>
        <v>0.5</v>
      </c>
      <c r="D1601" t="str">
        <f>TEXT(Table1[[#This Row],[order_date]],"mmmm")</f>
        <v>May</v>
      </c>
      <c r="E1601" s="1">
        <v>45416</v>
      </c>
      <c r="F1601" s="1" t="str">
        <f>TEXT(Table1[[#This Row],[order_date]],"dddd")</f>
        <v>Saturday</v>
      </c>
      <c r="G1601">
        <f>HOUR(Table1[[#This Row],[order_time]])</f>
        <v>17</v>
      </c>
      <c r="H1601" s="2">
        <v>0.72342592592592592</v>
      </c>
      <c r="I1601" t="s">
        <v>11</v>
      </c>
      <c r="J1601" t="s">
        <v>15</v>
      </c>
      <c r="K1601">
        <v>1</v>
      </c>
      <c r="L1601">
        <v>600</v>
      </c>
      <c r="M1601">
        <v>600</v>
      </c>
      <c r="N1601">
        <f>IF(COUNTIFS($B$2:B1601,B1601)=1,1,0)</f>
        <v>1</v>
      </c>
    </row>
    <row r="1602" spans="1:14" x14ac:dyDescent="0.2">
      <c r="A1602">
        <v>1601</v>
      </c>
      <c r="B1602">
        <v>1798</v>
      </c>
      <c r="C1602">
        <f>1/COUNTIF(B:B,Table1[[#This Row],[order_id]])</f>
        <v>0.5</v>
      </c>
      <c r="D1602" t="str">
        <f>TEXT(Table1[[#This Row],[order_date]],"mmmm")</f>
        <v>May</v>
      </c>
      <c r="E1602" s="1">
        <v>45416</v>
      </c>
      <c r="F1602" s="1" t="str">
        <f>TEXT(Table1[[#This Row],[order_date]],"dddd")</f>
        <v>Saturday</v>
      </c>
      <c r="G1602">
        <f>HOUR(Table1[[#This Row],[order_time]])</f>
        <v>11</v>
      </c>
      <c r="H1602" s="2">
        <v>0.4869560185185185</v>
      </c>
      <c r="I1602" t="s">
        <v>9</v>
      </c>
      <c r="J1602" t="s">
        <v>22</v>
      </c>
      <c r="K1602">
        <v>1</v>
      </c>
      <c r="L1602">
        <v>15</v>
      </c>
      <c r="M1602">
        <v>15</v>
      </c>
      <c r="N1602">
        <f>IF(COUNTIFS($B$2:B1602,B1602)=1,1,0)</f>
        <v>0</v>
      </c>
    </row>
    <row r="1603" spans="1:14" x14ac:dyDescent="0.2">
      <c r="A1603">
        <v>1602</v>
      </c>
      <c r="B1603">
        <v>1799</v>
      </c>
      <c r="C1603">
        <f>1/COUNTIF(B:B,Table1[[#This Row],[order_id]])</f>
        <v>1</v>
      </c>
      <c r="D1603" t="str">
        <f>TEXT(Table1[[#This Row],[order_date]],"mmmm")</f>
        <v>May</v>
      </c>
      <c r="E1603" s="1">
        <v>45416</v>
      </c>
      <c r="F1603" s="1" t="str">
        <f>TEXT(Table1[[#This Row],[order_date]],"dddd")</f>
        <v>Saturday</v>
      </c>
      <c r="G1603">
        <f>HOUR(Table1[[#This Row],[order_time]])</f>
        <v>19</v>
      </c>
      <c r="H1603" s="2">
        <v>0.82276620370370368</v>
      </c>
      <c r="I1603" t="s">
        <v>11</v>
      </c>
      <c r="J1603" t="s">
        <v>12</v>
      </c>
      <c r="K1603">
        <v>1</v>
      </c>
      <c r="L1603">
        <v>650</v>
      </c>
      <c r="M1603">
        <v>650</v>
      </c>
      <c r="N1603">
        <f>IF(COUNTIFS($B$2:B1603,B1603)=1,1,0)</f>
        <v>1</v>
      </c>
    </row>
    <row r="1604" spans="1:14" x14ac:dyDescent="0.2">
      <c r="A1604">
        <v>1603</v>
      </c>
      <c r="B1604">
        <v>1800</v>
      </c>
      <c r="C1604">
        <f>1/COUNTIF(B:B,Table1[[#This Row],[order_id]])</f>
        <v>0.33333333333333331</v>
      </c>
      <c r="D1604" t="str">
        <f>TEXT(Table1[[#This Row],[order_date]],"mmmm")</f>
        <v>May</v>
      </c>
      <c r="E1604" s="1">
        <v>45416</v>
      </c>
      <c r="F1604" s="1" t="str">
        <f>TEXT(Table1[[#This Row],[order_date]],"dddd")</f>
        <v>Saturday</v>
      </c>
      <c r="G1604">
        <f>HOUR(Table1[[#This Row],[order_time]])</f>
        <v>10</v>
      </c>
      <c r="H1604" s="2">
        <v>0.42313657407407407</v>
      </c>
      <c r="I1604" t="s">
        <v>9</v>
      </c>
      <c r="J1604" t="s">
        <v>21</v>
      </c>
      <c r="K1604">
        <v>4</v>
      </c>
      <c r="L1604">
        <v>10</v>
      </c>
      <c r="M1604">
        <v>40</v>
      </c>
      <c r="N1604">
        <f>IF(COUNTIFS($B$2:B1604,B1604)=1,1,0)</f>
        <v>1</v>
      </c>
    </row>
    <row r="1605" spans="1:14" x14ac:dyDescent="0.2">
      <c r="A1605">
        <v>1604</v>
      </c>
      <c r="B1605">
        <v>1800</v>
      </c>
      <c r="C1605">
        <f>1/COUNTIF(B:B,Table1[[#This Row],[order_id]])</f>
        <v>0.33333333333333331</v>
      </c>
      <c r="D1605" t="str">
        <f>TEXT(Table1[[#This Row],[order_date]],"mmmm")</f>
        <v>May</v>
      </c>
      <c r="E1605" s="1">
        <v>45416</v>
      </c>
      <c r="F1605" s="1" t="str">
        <f>TEXT(Table1[[#This Row],[order_date]],"dddd")</f>
        <v>Saturday</v>
      </c>
      <c r="G1605">
        <f>HOUR(Table1[[#This Row],[order_time]])</f>
        <v>17</v>
      </c>
      <c r="H1605" s="2">
        <v>0.74087962962962961</v>
      </c>
      <c r="I1605" t="s">
        <v>18</v>
      </c>
      <c r="J1605" t="s">
        <v>26</v>
      </c>
      <c r="K1605">
        <v>1</v>
      </c>
      <c r="L1605">
        <v>55</v>
      </c>
      <c r="M1605">
        <v>55</v>
      </c>
      <c r="N1605">
        <f>IF(COUNTIFS($B$2:B1605,B1605)=1,1,0)</f>
        <v>0</v>
      </c>
    </row>
    <row r="1606" spans="1:14" x14ac:dyDescent="0.2">
      <c r="A1606">
        <v>1605</v>
      </c>
      <c r="B1606">
        <v>1800</v>
      </c>
      <c r="C1606">
        <f>1/COUNTIF(B:B,Table1[[#This Row],[order_id]])</f>
        <v>0.33333333333333331</v>
      </c>
      <c r="D1606" t="str">
        <f>TEXT(Table1[[#This Row],[order_date]],"mmmm")</f>
        <v>May</v>
      </c>
      <c r="E1606" s="1">
        <v>45416</v>
      </c>
      <c r="F1606" s="1" t="str">
        <f>TEXT(Table1[[#This Row],[order_date]],"dddd")</f>
        <v>Saturday</v>
      </c>
      <c r="G1606">
        <f>HOUR(Table1[[#This Row],[order_time]])</f>
        <v>20</v>
      </c>
      <c r="H1606" s="2">
        <v>0.86571759259259262</v>
      </c>
      <c r="I1606" t="s">
        <v>11</v>
      </c>
      <c r="J1606" t="s">
        <v>12</v>
      </c>
      <c r="K1606">
        <v>3</v>
      </c>
      <c r="L1606">
        <v>650</v>
      </c>
      <c r="M1606">
        <v>1950</v>
      </c>
      <c r="N1606">
        <f>IF(COUNTIFS($B$2:B1606,B1606)=1,1,0)</f>
        <v>0</v>
      </c>
    </row>
    <row r="1607" spans="1:14" x14ac:dyDescent="0.2">
      <c r="A1607">
        <v>1606</v>
      </c>
      <c r="B1607">
        <v>1801</v>
      </c>
      <c r="C1607">
        <f>1/COUNTIF(B:B,Table1[[#This Row],[order_id]])</f>
        <v>0.5</v>
      </c>
      <c r="D1607" t="str">
        <f>TEXT(Table1[[#This Row],[order_date]],"mmmm")</f>
        <v>May</v>
      </c>
      <c r="E1607" s="1">
        <v>45416</v>
      </c>
      <c r="F1607" s="1" t="str">
        <f>TEXT(Table1[[#This Row],[order_date]],"dddd")</f>
        <v>Saturday</v>
      </c>
      <c r="G1607">
        <f>HOUR(Table1[[#This Row],[order_time]])</f>
        <v>17</v>
      </c>
      <c r="H1607" s="2">
        <v>0.7107175925925926</v>
      </c>
      <c r="I1607" t="s">
        <v>18</v>
      </c>
      <c r="J1607" t="s">
        <v>26</v>
      </c>
      <c r="K1607">
        <v>5</v>
      </c>
      <c r="L1607">
        <v>55</v>
      </c>
      <c r="M1607">
        <v>275</v>
      </c>
      <c r="N1607">
        <f>IF(COUNTIFS($B$2:B1607,B1607)=1,1,0)</f>
        <v>1</v>
      </c>
    </row>
    <row r="1608" spans="1:14" x14ac:dyDescent="0.2">
      <c r="A1608">
        <v>1607</v>
      </c>
      <c r="B1608">
        <v>1801</v>
      </c>
      <c r="C1608">
        <f>1/COUNTIF(B:B,Table1[[#This Row],[order_id]])</f>
        <v>0.5</v>
      </c>
      <c r="D1608" t="str">
        <f>TEXT(Table1[[#This Row],[order_date]],"mmmm")</f>
        <v>May</v>
      </c>
      <c r="E1608" s="1">
        <v>45416</v>
      </c>
      <c r="F1608" s="1" t="str">
        <f>TEXT(Table1[[#This Row],[order_date]],"dddd")</f>
        <v>Saturday</v>
      </c>
      <c r="G1608">
        <f>HOUR(Table1[[#This Row],[order_time]])</f>
        <v>16</v>
      </c>
      <c r="H1608" s="2">
        <v>0.7056944444444444</v>
      </c>
      <c r="I1608" t="s">
        <v>11</v>
      </c>
      <c r="J1608" t="s">
        <v>13</v>
      </c>
      <c r="K1608">
        <v>2</v>
      </c>
      <c r="L1608">
        <v>680</v>
      </c>
      <c r="M1608">
        <v>1360</v>
      </c>
      <c r="N1608">
        <f>IF(COUNTIFS($B$2:B1608,B1608)=1,1,0)</f>
        <v>0</v>
      </c>
    </row>
    <row r="1609" spans="1:14" x14ac:dyDescent="0.2">
      <c r="A1609">
        <v>1608</v>
      </c>
      <c r="B1609">
        <v>1802</v>
      </c>
      <c r="C1609">
        <f>1/COUNTIF(B:B,Table1[[#This Row],[order_id]])</f>
        <v>0.33333333333333331</v>
      </c>
      <c r="D1609" t="str">
        <f>TEXT(Table1[[#This Row],[order_date]],"mmmm")</f>
        <v>May</v>
      </c>
      <c r="E1609" s="1">
        <v>45416</v>
      </c>
      <c r="F1609" s="1" t="str">
        <f>TEXT(Table1[[#This Row],[order_date]],"dddd")</f>
        <v>Saturday</v>
      </c>
      <c r="G1609">
        <f>HOUR(Table1[[#This Row],[order_time]])</f>
        <v>20</v>
      </c>
      <c r="H1609" s="2">
        <v>0.84832175925925923</v>
      </c>
      <c r="I1609" t="s">
        <v>9</v>
      </c>
      <c r="J1609" t="s">
        <v>29</v>
      </c>
      <c r="K1609">
        <v>4</v>
      </c>
      <c r="L1609">
        <v>5</v>
      </c>
      <c r="M1609">
        <v>20</v>
      </c>
      <c r="N1609">
        <f>IF(COUNTIFS($B$2:B1609,B1609)=1,1,0)</f>
        <v>1</v>
      </c>
    </row>
    <row r="1610" spans="1:14" x14ac:dyDescent="0.2">
      <c r="A1610">
        <v>1609</v>
      </c>
      <c r="B1610">
        <v>1802</v>
      </c>
      <c r="C1610">
        <f>1/COUNTIF(B:B,Table1[[#This Row],[order_id]])</f>
        <v>0.33333333333333331</v>
      </c>
      <c r="D1610" t="str">
        <f>TEXT(Table1[[#This Row],[order_date]],"mmmm")</f>
        <v>May</v>
      </c>
      <c r="E1610" s="1">
        <v>45416</v>
      </c>
      <c r="F1610" s="1" t="str">
        <f>TEXT(Table1[[#This Row],[order_date]],"dddd")</f>
        <v>Saturday</v>
      </c>
      <c r="G1610">
        <f>HOUR(Table1[[#This Row],[order_time]])</f>
        <v>12</v>
      </c>
      <c r="H1610" s="2">
        <v>0.50813657407407409</v>
      </c>
      <c r="I1610" t="s">
        <v>11</v>
      </c>
      <c r="J1610" t="s">
        <v>14</v>
      </c>
      <c r="K1610">
        <v>4</v>
      </c>
      <c r="L1610">
        <v>700</v>
      </c>
      <c r="M1610">
        <v>2800</v>
      </c>
      <c r="N1610">
        <f>IF(COUNTIFS($B$2:B1610,B1610)=1,1,0)</f>
        <v>0</v>
      </c>
    </row>
    <row r="1611" spans="1:14" x14ac:dyDescent="0.2">
      <c r="A1611">
        <v>1610</v>
      </c>
      <c r="B1611">
        <v>1802</v>
      </c>
      <c r="C1611">
        <f>1/COUNTIF(B:B,Table1[[#This Row],[order_id]])</f>
        <v>0.33333333333333331</v>
      </c>
      <c r="D1611" t="str">
        <f>TEXT(Table1[[#This Row],[order_date]],"mmmm")</f>
        <v>May</v>
      </c>
      <c r="E1611" s="1">
        <v>45416</v>
      </c>
      <c r="F1611" s="1" t="str">
        <f>TEXT(Table1[[#This Row],[order_date]],"dddd")</f>
        <v>Saturday</v>
      </c>
      <c r="G1611">
        <f>HOUR(Table1[[#This Row],[order_time]])</f>
        <v>20</v>
      </c>
      <c r="H1611" s="2">
        <v>0.83387731481481486</v>
      </c>
      <c r="I1611" t="s">
        <v>11</v>
      </c>
      <c r="J1611" t="s">
        <v>14</v>
      </c>
      <c r="K1611">
        <v>3</v>
      </c>
      <c r="L1611">
        <v>700</v>
      </c>
      <c r="M1611">
        <v>2100</v>
      </c>
      <c r="N1611">
        <f>IF(COUNTIFS($B$2:B1611,B1611)=1,1,0)</f>
        <v>0</v>
      </c>
    </row>
    <row r="1612" spans="1:14" x14ac:dyDescent="0.2">
      <c r="A1612">
        <v>1611</v>
      </c>
      <c r="B1612">
        <v>1803</v>
      </c>
      <c r="C1612">
        <f>1/COUNTIF(B:B,Table1[[#This Row],[order_id]])</f>
        <v>1</v>
      </c>
      <c r="D1612" t="str">
        <f>TEXT(Table1[[#This Row],[order_date]],"mmmm")</f>
        <v>May</v>
      </c>
      <c r="E1612" s="1">
        <v>45417</v>
      </c>
      <c r="F1612" s="1" t="str">
        <f>TEXT(Table1[[#This Row],[order_date]],"dddd")</f>
        <v>Sunday</v>
      </c>
      <c r="G1612">
        <f>HOUR(Table1[[#This Row],[order_time]])</f>
        <v>14</v>
      </c>
      <c r="H1612" s="2">
        <v>0.60245370370370366</v>
      </c>
      <c r="I1612" t="s">
        <v>16</v>
      </c>
      <c r="J1612" t="s">
        <v>23</v>
      </c>
      <c r="K1612">
        <v>4</v>
      </c>
      <c r="L1612">
        <v>30</v>
      </c>
      <c r="M1612">
        <v>120</v>
      </c>
      <c r="N1612">
        <f>IF(COUNTIFS($B$2:B1612,B1612)=1,1,0)</f>
        <v>1</v>
      </c>
    </row>
    <row r="1613" spans="1:14" x14ac:dyDescent="0.2">
      <c r="A1613">
        <v>1612</v>
      </c>
      <c r="B1613">
        <v>1804</v>
      </c>
      <c r="C1613">
        <f>1/COUNTIF(B:B,Table1[[#This Row],[order_id]])</f>
        <v>1</v>
      </c>
      <c r="D1613" t="str">
        <f>TEXT(Table1[[#This Row],[order_date]],"mmmm")</f>
        <v>May</v>
      </c>
      <c r="E1613" s="1">
        <v>45417</v>
      </c>
      <c r="F1613" s="1" t="str">
        <f>TEXT(Table1[[#This Row],[order_date]],"dddd")</f>
        <v>Sunday</v>
      </c>
      <c r="G1613">
        <f>HOUR(Table1[[#This Row],[order_time]])</f>
        <v>18</v>
      </c>
      <c r="H1613" s="2">
        <v>0.77348379629629627</v>
      </c>
      <c r="I1613" t="s">
        <v>11</v>
      </c>
      <c r="J1613" t="s">
        <v>14</v>
      </c>
      <c r="K1613">
        <v>1</v>
      </c>
      <c r="L1613">
        <v>700</v>
      </c>
      <c r="M1613">
        <v>700</v>
      </c>
      <c r="N1613">
        <f>IF(COUNTIFS($B$2:B1613,B1613)=1,1,0)</f>
        <v>1</v>
      </c>
    </row>
    <row r="1614" spans="1:14" x14ac:dyDescent="0.2">
      <c r="A1614">
        <v>1613</v>
      </c>
      <c r="B1614">
        <v>1805</v>
      </c>
      <c r="C1614">
        <f>1/COUNTIF(B:B,Table1[[#This Row],[order_id]])</f>
        <v>0.5</v>
      </c>
      <c r="D1614" t="str">
        <f>TEXT(Table1[[#This Row],[order_date]],"mmmm")</f>
        <v>May</v>
      </c>
      <c r="E1614" s="1">
        <v>45417</v>
      </c>
      <c r="F1614" s="1" t="str">
        <f>TEXT(Table1[[#This Row],[order_date]],"dddd")</f>
        <v>Sunday</v>
      </c>
      <c r="G1614">
        <f>HOUR(Table1[[#This Row],[order_time]])</f>
        <v>20</v>
      </c>
      <c r="H1614" s="2">
        <v>0.8542939814814815</v>
      </c>
      <c r="I1614" t="s">
        <v>18</v>
      </c>
      <c r="J1614" t="s">
        <v>26</v>
      </c>
      <c r="K1614">
        <v>4</v>
      </c>
      <c r="L1614">
        <v>55</v>
      </c>
      <c r="M1614">
        <v>220</v>
      </c>
      <c r="N1614">
        <f>IF(COUNTIFS($B$2:B1614,B1614)=1,1,0)</f>
        <v>1</v>
      </c>
    </row>
    <row r="1615" spans="1:14" x14ac:dyDescent="0.2">
      <c r="A1615">
        <v>1614</v>
      </c>
      <c r="B1615">
        <v>1805</v>
      </c>
      <c r="C1615">
        <f>1/COUNTIF(B:B,Table1[[#This Row],[order_id]])</f>
        <v>0.5</v>
      </c>
      <c r="D1615" t="str">
        <f>TEXT(Table1[[#This Row],[order_date]],"mmmm")</f>
        <v>May</v>
      </c>
      <c r="E1615" s="1">
        <v>45417</v>
      </c>
      <c r="F1615" s="1" t="str">
        <f>TEXT(Table1[[#This Row],[order_date]],"dddd")</f>
        <v>Sunday</v>
      </c>
      <c r="G1615">
        <f>HOUR(Table1[[#This Row],[order_time]])</f>
        <v>18</v>
      </c>
      <c r="H1615" s="2">
        <v>0.75780092592592596</v>
      </c>
      <c r="I1615" t="s">
        <v>16</v>
      </c>
      <c r="J1615" t="s">
        <v>28</v>
      </c>
      <c r="K1615">
        <v>2</v>
      </c>
      <c r="L1615">
        <v>25</v>
      </c>
      <c r="M1615">
        <v>50</v>
      </c>
      <c r="N1615">
        <f>IF(COUNTIFS($B$2:B1615,B1615)=1,1,0)</f>
        <v>0</v>
      </c>
    </row>
    <row r="1616" spans="1:14" x14ac:dyDescent="0.2">
      <c r="A1616">
        <v>1615</v>
      </c>
      <c r="B1616">
        <v>1806</v>
      </c>
      <c r="C1616">
        <f>1/COUNTIF(B:B,Table1[[#This Row],[order_id]])</f>
        <v>0.33333333333333331</v>
      </c>
      <c r="D1616" t="str">
        <f>TEXT(Table1[[#This Row],[order_date]],"mmmm")</f>
        <v>May</v>
      </c>
      <c r="E1616" s="1">
        <v>45417</v>
      </c>
      <c r="F1616" s="1" t="str">
        <f>TEXT(Table1[[#This Row],[order_date]],"dddd")</f>
        <v>Sunday</v>
      </c>
      <c r="G1616">
        <f>HOUR(Table1[[#This Row],[order_time]])</f>
        <v>10</v>
      </c>
      <c r="H1616" s="2">
        <v>0.44049768518518517</v>
      </c>
      <c r="I1616" t="s">
        <v>11</v>
      </c>
      <c r="J1616" t="s">
        <v>13</v>
      </c>
      <c r="K1616">
        <v>4</v>
      </c>
      <c r="L1616">
        <v>680</v>
      </c>
      <c r="M1616">
        <v>2720</v>
      </c>
      <c r="N1616">
        <f>IF(COUNTIFS($B$2:B1616,B1616)=1,1,0)</f>
        <v>1</v>
      </c>
    </row>
    <row r="1617" spans="1:14" x14ac:dyDescent="0.2">
      <c r="A1617">
        <v>1616</v>
      </c>
      <c r="B1617">
        <v>1806</v>
      </c>
      <c r="C1617">
        <f>1/COUNTIF(B:B,Table1[[#This Row],[order_id]])</f>
        <v>0.33333333333333331</v>
      </c>
      <c r="D1617" t="str">
        <f>TEXT(Table1[[#This Row],[order_date]],"mmmm")</f>
        <v>May</v>
      </c>
      <c r="E1617" s="1">
        <v>45417</v>
      </c>
      <c r="F1617" s="1" t="str">
        <f>TEXT(Table1[[#This Row],[order_date]],"dddd")</f>
        <v>Sunday</v>
      </c>
      <c r="G1617">
        <f>HOUR(Table1[[#This Row],[order_time]])</f>
        <v>19</v>
      </c>
      <c r="H1617" s="2">
        <v>0.81125000000000003</v>
      </c>
      <c r="I1617" t="s">
        <v>11</v>
      </c>
      <c r="J1617" t="s">
        <v>13</v>
      </c>
      <c r="K1617">
        <v>1</v>
      </c>
      <c r="L1617">
        <v>680</v>
      </c>
      <c r="M1617">
        <v>680</v>
      </c>
      <c r="N1617">
        <f>IF(COUNTIFS($B$2:B1617,B1617)=1,1,0)</f>
        <v>0</v>
      </c>
    </row>
    <row r="1618" spans="1:14" x14ac:dyDescent="0.2">
      <c r="A1618">
        <v>1617</v>
      </c>
      <c r="B1618">
        <v>1806</v>
      </c>
      <c r="C1618">
        <f>1/COUNTIF(B:B,Table1[[#This Row],[order_id]])</f>
        <v>0.33333333333333331</v>
      </c>
      <c r="D1618" t="str">
        <f>TEXT(Table1[[#This Row],[order_date]],"mmmm")</f>
        <v>May</v>
      </c>
      <c r="E1618" s="1">
        <v>45417</v>
      </c>
      <c r="F1618" s="1" t="str">
        <f>TEXT(Table1[[#This Row],[order_date]],"dddd")</f>
        <v>Sunday</v>
      </c>
      <c r="G1618">
        <f>HOUR(Table1[[#This Row],[order_time]])</f>
        <v>12</v>
      </c>
      <c r="H1618" s="2">
        <v>0.50118055555555552</v>
      </c>
      <c r="I1618" t="s">
        <v>18</v>
      </c>
      <c r="J1618" t="s">
        <v>27</v>
      </c>
      <c r="K1618">
        <v>3</v>
      </c>
      <c r="L1618">
        <v>40</v>
      </c>
      <c r="M1618">
        <v>120</v>
      </c>
      <c r="N1618">
        <f>IF(COUNTIFS($B$2:B1618,B1618)=1,1,0)</f>
        <v>0</v>
      </c>
    </row>
    <row r="1619" spans="1:14" x14ac:dyDescent="0.2">
      <c r="A1619">
        <v>1618</v>
      </c>
      <c r="B1619">
        <v>1807</v>
      </c>
      <c r="C1619">
        <f>1/COUNTIF(B:B,Table1[[#This Row],[order_id]])</f>
        <v>0.5</v>
      </c>
      <c r="D1619" t="str">
        <f>TEXT(Table1[[#This Row],[order_date]],"mmmm")</f>
        <v>May</v>
      </c>
      <c r="E1619" s="1">
        <v>45417</v>
      </c>
      <c r="F1619" s="1" t="str">
        <f>TEXT(Table1[[#This Row],[order_date]],"dddd")</f>
        <v>Sunday</v>
      </c>
      <c r="G1619">
        <f>HOUR(Table1[[#This Row],[order_time]])</f>
        <v>19</v>
      </c>
      <c r="H1619" s="2">
        <v>0.8032407407407407</v>
      </c>
      <c r="I1619" t="s">
        <v>16</v>
      </c>
      <c r="J1619" t="s">
        <v>24</v>
      </c>
      <c r="K1619">
        <v>4</v>
      </c>
      <c r="L1619">
        <v>35</v>
      </c>
      <c r="M1619">
        <v>140</v>
      </c>
      <c r="N1619">
        <f>IF(COUNTIFS($B$2:B1619,B1619)=1,1,0)</f>
        <v>1</v>
      </c>
    </row>
    <row r="1620" spans="1:14" x14ac:dyDescent="0.2">
      <c r="A1620">
        <v>1619</v>
      </c>
      <c r="B1620">
        <v>1807</v>
      </c>
      <c r="C1620">
        <f>1/COUNTIF(B:B,Table1[[#This Row],[order_id]])</f>
        <v>0.5</v>
      </c>
      <c r="D1620" t="str">
        <f>TEXT(Table1[[#This Row],[order_date]],"mmmm")</f>
        <v>May</v>
      </c>
      <c r="E1620" s="1">
        <v>45417</v>
      </c>
      <c r="F1620" s="1" t="str">
        <f>TEXT(Table1[[#This Row],[order_date]],"dddd")</f>
        <v>Sunday</v>
      </c>
      <c r="G1620">
        <f>HOUR(Table1[[#This Row],[order_time]])</f>
        <v>19</v>
      </c>
      <c r="H1620" s="2">
        <v>0.81511574074074078</v>
      </c>
      <c r="I1620" t="s">
        <v>9</v>
      </c>
      <c r="J1620" t="s">
        <v>29</v>
      </c>
      <c r="K1620">
        <v>1</v>
      </c>
      <c r="L1620">
        <v>5</v>
      </c>
      <c r="M1620">
        <v>5</v>
      </c>
      <c r="N1620">
        <f>IF(COUNTIFS($B$2:B1620,B1620)=1,1,0)</f>
        <v>0</v>
      </c>
    </row>
    <row r="1621" spans="1:14" x14ac:dyDescent="0.2">
      <c r="A1621">
        <v>1620</v>
      </c>
      <c r="B1621">
        <v>1808</v>
      </c>
      <c r="C1621">
        <f>1/COUNTIF(B:B,Table1[[#This Row],[order_id]])</f>
        <v>0.33333333333333331</v>
      </c>
      <c r="D1621" t="str">
        <f>TEXT(Table1[[#This Row],[order_date]],"mmmm")</f>
        <v>May</v>
      </c>
      <c r="E1621" s="1">
        <v>45417</v>
      </c>
      <c r="F1621" s="1" t="str">
        <f>TEXT(Table1[[#This Row],[order_date]],"dddd")</f>
        <v>Sunday</v>
      </c>
      <c r="G1621">
        <f>HOUR(Table1[[#This Row],[order_time]])</f>
        <v>15</v>
      </c>
      <c r="H1621" s="2">
        <v>0.65113425925925927</v>
      </c>
      <c r="I1621" t="s">
        <v>11</v>
      </c>
      <c r="J1621" t="s">
        <v>13</v>
      </c>
      <c r="K1621">
        <v>4</v>
      </c>
      <c r="L1621">
        <v>680</v>
      </c>
      <c r="M1621">
        <v>2720</v>
      </c>
      <c r="N1621">
        <f>IF(COUNTIFS($B$2:B1621,B1621)=1,1,0)</f>
        <v>1</v>
      </c>
    </row>
    <row r="1622" spans="1:14" x14ac:dyDescent="0.2">
      <c r="A1622">
        <v>1621</v>
      </c>
      <c r="B1622">
        <v>1808</v>
      </c>
      <c r="C1622">
        <f>1/COUNTIF(B:B,Table1[[#This Row],[order_id]])</f>
        <v>0.33333333333333331</v>
      </c>
      <c r="D1622" t="str">
        <f>TEXT(Table1[[#This Row],[order_date]],"mmmm")</f>
        <v>May</v>
      </c>
      <c r="E1622" s="1">
        <v>45417</v>
      </c>
      <c r="F1622" s="1" t="str">
        <f>TEXT(Table1[[#This Row],[order_date]],"dddd")</f>
        <v>Sunday</v>
      </c>
      <c r="G1622">
        <f>HOUR(Table1[[#This Row],[order_time]])</f>
        <v>18</v>
      </c>
      <c r="H1622" s="2">
        <v>0.76667824074074076</v>
      </c>
      <c r="I1622" t="s">
        <v>11</v>
      </c>
      <c r="J1622" t="s">
        <v>12</v>
      </c>
      <c r="K1622">
        <v>3</v>
      </c>
      <c r="L1622">
        <v>650</v>
      </c>
      <c r="M1622">
        <v>1950</v>
      </c>
      <c r="N1622">
        <f>IF(COUNTIFS($B$2:B1622,B1622)=1,1,0)</f>
        <v>0</v>
      </c>
    </row>
    <row r="1623" spans="1:14" x14ac:dyDescent="0.2">
      <c r="A1623">
        <v>1622</v>
      </c>
      <c r="B1623">
        <v>1808</v>
      </c>
      <c r="C1623">
        <f>1/COUNTIF(B:B,Table1[[#This Row],[order_id]])</f>
        <v>0.33333333333333331</v>
      </c>
      <c r="D1623" t="str">
        <f>TEXT(Table1[[#This Row],[order_date]],"mmmm")</f>
        <v>May</v>
      </c>
      <c r="E1623" s="1">
        <v>45417</v>
      </c>
      <c r="F1623" s="1" t="str">
        <f>TEXT(Table1[[#This Row],[order_date]],"dddd")</f>
        <v>Sunday</v>
      </c>
      <c r="G1623">
        <f>HOUR(Table1[[#This Row],[order_time]])</f>
        <v>13</v>
      </c>
      <c r="H1623" s="2">
        <v>0.58193287037037034</v>
      </c>
      <c r="I1623" t="s">
        <v>16</v>
      </c>
      <c r="J1623" t="s">
        <v>23</v>
      </c>
      <c r="K1623">
        <v>2</v>
      </c>
      <c r="L1623">
        <v>30</v>
      </c>
      <c r="M1623">
        <v>60</v>
      </c>
      <c r="N1623">
        <f>IF(COUNTIFS($B$2:B1623,B1623)=1,1,0)</f>
        <v>0</v>
      </c>
    </row>
    <row r="1624" spans="1:14" x14ac:dyDescent="0.2">
      <c r="A1624">
        <v>1623</v>
      </c>
      <c r="B1624">
        <v>1809</v>
      </c>
      <c r="C1624">
        <f>1/COUNTIF(B:B,Table1[[#This Row],[order_id]])</f>
        <v>1</v>
      </c>
      <c r="D1624" t="str">
        <f>TEXT(Table1[[#This Row],[order_date]],"mmmm")</f>
        <v>May</v>
      </c>
      <c r="E1624" s="1">
        <v>45417</v>
      </c>
      <c r="F1624" s="1" t="str">
        <f>TEXT(Table1[[#This Row],[order_date]],"dddd")</f>
        <v>Sunday</v>
      </c>
      <c r="G1624">
        <f>HOUR(Table1[[#This Row],[order_time]])</f>
        <v>14</v>
      </c>
      <c r="H1624" s="2">
        <v>0.6139930555555555</v>
      </c>
      <c r="I1624" t="s">
        <v>11</v>
      </c>
      <c r="J1624" t="s">
        <v>13</v>
      </c>
      <c r="K1624">
        <v>4</v>
      </c>
      <c r="L1624">
        <v>680</v>
      </c>
      <c r="M1624">
        <v>2720</v>
      </c>
      <c r="N1624">
        <f>IF(COUNTIFS($B$2:B1624,B1624)=1,1,0)</f>
        <v>1</v>
      </c>
    </row>
    <row r="1625" spans="1:14" x14ac:dyDescent="0.2">
      <c r="A1625">
        <v>1624</v>
      </c>
      <c r="B1625">
        <v>1810</v>
      </c>
      <c r="C1625">
        <f>1/COUNTIF(B:B,Table1[[#This Row],[order_id]])</f>
        <v>1</v>
      </c>
      <c r="D1625" t="str">
        <f>TEXT(Table1[[#This Row],[order_date]],"mmmm")</f>
        <v>May</v>
      </c>
      <c r="E1625" s="1">
        <v>45417</v>
      </c>
      <c r="F1625" s="1" t="str">
        <f>TEXT(Table1[[#This Row],[order_date]],"dddd")</f>
        <v>Sunday</v>
      </c>
      <c r="G1625">
        <f>HOUR(Table1[[#This Row],[order_time]])</f>
        <v>11</v>
      </c>
      <c r="H1625" s="2">
        <v>0.48841435185185184</v>
      </c>
      <c r="I1625" t="s">
        <v>11</v>
      </c>
      <c r="J1625" t="s">
        <v>13</v>
      </c>
      <c r="K1625">
        <v>2</v>
      </c>
      <c r="L1625">
        <v>680</v>
      </c>
      <c r="M1625">
        <v>1360</v>
      </c>
      <c r="N1625">
        <f>IF(COUNTIFS($B$2:B1625,B1625)=1,1,0)</f>
        <v>1</v>
      </c>
    </row>
    <row r="1626" spans="1:14" x14ac:dyDescent="0.2">
      <c r="A1626">
        <v>1625</v>
      </c>
      <c r="B1626">
        <v>1811</v>
      </c>
      <c r="C1626">
        <f>1/COUNTIF(B:B,Table1[[#This Row],[order_id]])</f>
        <v>1</v>
      </c>
      <c r="D1626" t="str">
        <f>TEXT(Table1[[#This Row],[order_date]],"mmmm")</f>
        <v>May</v>
      </c>
      <c r="E1626" s="1">
        <v>45418</v>
      </c>
      <c r="F1626" s="1" t="str">
        <f>TEXT(Table1[[#This Row],[order_date]],"dddd")</f>
        <v>Monday</v>
      </c>
      <c r="G1626">
        <f>HOUR(Table1[[#This Row],[order_time]])</f>
        <v>17</v>
      </c>
      <c r="H1626" s="2">
        <v>0.74449074074074073</v>
      </c>
      <c r="I1626" t="s">
        <v>9</v>
      </c>
      <c r="J1626" t="s">
        <v>22</v>
      </c>
      <c r="K1626">
        <v>5</v>
      </c>
      <c r="L1626">
        <v>15</v>
      </c>
      <c r="M1626">
        <v>75</v>
      </c>
      <c r="N1626">
        <f>IF(COUNTIFS($B$2:B1626,B1626)=1,1,0)</f>
        <v>1</v>
      </c>
    </row>
    <row r="1627" spans="1:14" x14ac:dyDescent="0.2">
      <c r="A1627">
        <v>1626</v>
      </c>
      <c r="B1627">
        <v>1812</v>
      </c>
      <c r="C1627">
        <f>1/COUNTIF(B:B,Table1[[#This Row],[order_id]])</f>
        <v>0.33333333333333331</v>
      </c>
      <c r="D1627" t="str">
        <f>TEXT(Table1[[#This Row],[order_date]],"mmmm")</f>
        <v>May</v>
      </c>
      <c r="E1627" s="1">
        <v>45418</v>
      </c>
      <c r="F1627" s="1" t="str">
        <f>TEXT(Table1[[#This Row],[order_date]],"dddd")</f>
        <v>Monday</v>
      </c>
      <c r="G1627">
        <f>HOUR(Table1[[#This Row],[order_time]])</f>
        <v>10</v>
      </c>
      <c r="H1627" s="2">
        <v>0.41940972222222223</v>
      </c>
      <c r="I1627" t="s">
        <v>11</v>
      </c>
      <c r="J1627" t="s">
        <v>12</v>
      </c>
      <c r="K1627">
        <v>4</v>
      </c>
      <c r="L1627">
        <v>650</v>
      </c>
      <c r="M1627">
        <v>2600</v>
      </c>
      <c r="N1627">
        <f>IF(COUNTIFS($B$2:B1627,B1627)=1,1,0)</f>
        <v>1</v>
      </c>
    </row>
    <row r="1628" spans="1:14" x14ac:dyDescent="0.2">
      <c r="A1628">
        <v>1627</v>
      </c>
      <c r="B1628">
        <v>1812</v>
      </c>
      <c r="C1628">
        <f>1/COUNTIF(B:B,Table1[[#This Row],[order_id]])</f>
        <v>0.33333333333333331</v>
      </c>
      <c r="D1628" t="str">
        <f>TEXT(Table1[[#This Row],[order_date]],"mmmm")</f>
        <v>May</v>
      </c>
      <c r="E1628" s="1">
        <v>45418</v>
      </c>
      <c r="F1628" s="1" t="str">
        <f>TEXT(Table1[[#This Row],[order_date]],"dddd")</f>
        <v>Monday</v>
      </c>
      <c r="G1628">
        <f>HOUR(Table1[[#This Row],[order_time]])</f>
        <v>11</v>
      </c>
      <c r="H1628" s="2">
        <v>0.47503472222222221</v>
      </c>
      <c r="I1628" t="s">
        <v>11</v>
      </c>
      <c r="J1628" t="s">
        <v>14</v>
      </c>
      <c r="K1628">
        <v>5</v>
      </c>
      <c r="L1628">
        <v>700</v>
      </c>
      <c r="M1628">
        <v>3500</v>
      </c>
      <c r="N1628">
        <f>IF(COUNTIFS($B$2:B1628,B1628)=1,1,0)</f>
        <v>0</v>
      </c>
    </row>
    <row r="1629" spans="1:14" x14ac:dyDescent="0.2">
      <c r="A1629">
        <v>1628</v>
      </c>
      <c r="B1629">
        <v>1812</v>
      </c>
      <c r="C1629">
        <f>1/COUNTIF(B:B,Table1[[#This Row],[order_id]])</f>
        <v>0.33333333333333331</v>
      </c>
      <c r="D1629" t="str">
        <f>TEXT(Table1[[#This Row],[order_date]],"mmmm")</f>
        <v>May</v>
      </c>
      <c r="E1629" s="1">
        <v>45418</v>
      </c>
      <c r="F1629" s="1" t="str">
        <f>TEXT(Table1[[#This Row],[order_date]],"dddd")</f>
        <v>Monday</v>
      </c>
      <c r="G1629">
        <f>HOUR(Table1[[#This Row],[order_time]])</f>
        <v>20</v>
      </c>
      <c r="H1629" s="2">
        <v>0.85370370370370374</v>
      </c>
      <c r="I1629" t="s">
        <v>16</v>
      </c>
      <c r="J1629" t="s">
        <v>23</v>
      </c>
      <c r="K1629">
        <v>1</v>
      </c>
      <c r="L1629">
        <v>30</v>
      </c>
      <c r="M1629">
        <v>30</v>
      </c>
      <c r="N1629">
        <f>IF(COUNTIFS($B$2:B1629,B1629)=1,1,0)</f>
        <v>0</v>
      </c>
    </row>
    <row r="1630" spans="1:14" x14ac:dyDescent="0.2">
      <c r="A1630">
        <v>1629</v>
      </c>
      <c r="B1630">
        <v>1813</v>
      </c>
      <c r="C1630">
        <f>1/COUNTIF(B:B,Table1[[#This Row],[order_id]])</f>
        <v>1</v>
      </c>
      <c r="D1630" t="str">
        <f>TEXT(Table1[[#This Row],[order_date]],"mmmm")</f>
        <v>May</v>
      </c>
      <c r="E1630" s="1">
        <v>45418</v>
      </c>
      <c r="F1630" s="1" t="str">
        <f>TEXT(Table1[[#This Row],[order_date]],"dddd")</f>
        <v>Monday</v>
      </c>
      <c r="G1630">
        <f>HOUR(Table1[[#This Row],[order_time]])</f>
        <v>11</v>
      </c>
      <c r="H1630" s="2">
        <v>0.46587962962962964</v>
      </c>
      <c r="I1630" t="s">
        <v>16</v>
      </c>
      <c r="J1630" t="s">
        <v>24</v>
      </c>
      <c r="K1630">
        <v>3</v>
      </c>
      <c r="L1630">
        <v>35</v>
      </c>
      <c r="M1630">
        <v>105</v>
      </c>
      <c r="N1630">
        <f>IF(COUNTIFS($B$2:B1630,B1630)=1,1,0)</f>
        <v>1</v>
      </c>
    </row>
    <row r="1631" spans="1:14" x14ac:dyDescent="0.2">
      <c r="A1631">
        <v>1630</v>
      </c>
      <c r="B1631">
        <v>1814</v>
      </c>
      <c r="C1631">
        <f>1/COUNTIF(B:B,Table1[[#This Row],[order_id]])</f>
        <v>1</v>
      </c>
      <c r="D1631" t="str">
        <f>TEXT(Table1[[#This Row],[order_date]],"mmmm")</f>
        <v>May</v>
      </c>
      <c r="E1631" s="1">
        <v>45418</v>
      </c>
      <c r="F1631" s="1" t="str">
        <f>TEXT(Table1[[#This Row],[order_date]],"dddd")</f>
        <v>Monday</v>
      </c>
      <c r="G1631">
        <f>HOUR(Table1[[#This Row],[order_time]])</f>
        <v>15</v>
      </c>
      <c r="H1631" s="2">
        <v>0.6468518518518519</v>
      </c>
      <c r="I1631" t="s">
        <v>16</v>
      </c>
      <c r="J1631" t="s">
        <v>23</v>
      </c>
      <c r="K1631">
        <v>4</v>
      </c>
      <c r="L1631">
        <v>30</v>
      </c>
      <c r="M1631">
        <v>120</v>
      </c>
      <c r="N1631">
        <f>IF(COUNTIFS($B$2:B1631,B1631)=1,1,0)</f>
        <v>1</v>
      </c>
    </row>
    <row r="1632" spans="1:14" x14ac:dyDescent="0.2">
      <c r="A1632">
        <v>1631</v>
      </c>
      <c r="B1632">
        <v>1815</v>
      </c>
      <c r="C1632">
        <f>1/COUNTIF(B:B,Table1[[#This Row],[order_id]])</f>
        <v>0.5</v>
      </c>
      <c r="D1632" t="str">
        <f>TEXT(Table1[[#This Row],[order_date]],"mmmm")</f>
        <v>May</v>
      </c>
      <c r="E1632" s="1">
        <v>45418</v>
      </c>
      <c r="F1632" s="1" t="str">
        <f>TEXT(Table1[[#This Row],[order_date]],"dddd")</f>
        <v>Monday</v>
      </c>
      <c r="G1632">
        <f>HOUR(Table1[[#This Row],[order_time]])</f>
        <v>12</v>
      </c>
      <c r="H1632" s="2">
        <v>0.5005208333333333</v>
      </c>
      <c r="I1632" t="s">
        <v>9</v>
      </c>
      <c r="J1632" t="s">
        <v>21</v>
      </c>
      <c r="K1632">
        <v>5</v>
      </c>
      <c r="L1632">
        <v>10</v>
      </c>
      <c r="M1632">
        <v>50</v>
      </c>
      <c r="N1632">
        <f>IF(COUNTIFS($B$2:B1632,B1632)=1,1,0)</f>
        <v>1</v>
      </c>
    </row>
    <row r="1633" spans="1:14" x14ac:dyDescent="0.2">
      <c r="A1633">
        <v>1632</v>
      </c>
      <c r="B1633">
        <v>1815</v>
      </c>
      <c r="C1633">
        <f>1/COUNTIF(B:B,Table1[[#This Row],[order_id]])</f>
        <v>0.5</v>
      </c>
      <c r="D1633" t="str">
        <f>TEXT(Table1[[#This Row],[order_date]],"mmmm")</f>
        <v>May</v>
      </c>
      <c r="E1633" s="1">
        <v>45418</v>
      </c>
      <c r="F1633" s="1" t="str">
        <f>TEXT(Table1[[#This Row],[order_date]],"dddd")</f>
        <v>Monday</v>
      </c>
      <c r="G1633">
        <f>HOUR(Table1[[#This Row],[order_time]])</f>
        <v>20</v>
      </c>
      <c r="H1633" s="2">
        <v>0.86307870370370365</v>
      </c>
      <c r="I1633" t="s">
        <v>9</v>
      </c>
      <c r="J1633" t="s">
        <v>20</v>
      </c>
      <c r="K1633">
        <v>2</v>
      </c>
      <c r="L1633">
        <v>25</v>
      </c>
      <c r="M1633">
        <v>50</v>
      </c>
      <c r="N1633">
        <f>IF(COUNTIFS($B$2:B1633,B1633)=1,1,0)</f>
        <v>0</v>
      </c>
    </row>
    <row r="1634" spans="1:14" x14ac:dyDescent="0.2">
      <c r="A1634">
        <v>1633</v>
      </c>
      <c r="B1634">
        <v>1816</v>
      </c>
      <c r="C1634">
        <f>1/COUNTIF(B:B,Table1[[#This Row],[order_id]])</f>
        <v>0.5</v>
      </c>
      <c r="D1634" t="str">
        <f>TEXT(Table1[[#This Row],[order_date]],"mmmm")</f>
        <v>May</v>
      </c>
      <c r="E1634" s="1">
        <v>45418</v>
      </c>
      <c r="F1634" s="1" t="str">
        <f>TEXT(Table1[[#This Row],[order_date]],"dddd")</f>
        <v>Monday</v>
      </c>
      <c r="G1634">
        <f>HOUR(Table1[[#This Row],[order_time]])</f>
        <v>12</v>
      </c>
      <c r="H1634" s="2">
        <v>0.54112268518518514</v>
      </c>
      <c r="I1634" t="s">
        <v>11</v>
      </c>
      <c r="J1634" t="s">
        <v>12</v>
      </c>
      <c r="K1634">
        <v>4</v>
      </c>
      <c r="L1634">
        <v>650</v>
      </c>
      <c r="M1634">
        <v>2600</v>
      </c>
      <c r="N1634">
        <f>IF(COUNTIFS($B$2:B1634,B1634)=1,1,0)</f>
        <v>1</v>
      </c>
    </row>
    <row r="1635" spans="1:14" x14ac:dyDescent="0.2">
      <c r="A1635">
        <v>1634</v>
      </c>
      <c r="B1635">
        <v>1816</v>
      </c>
      <c r="C1635">
        <f>1/COUNTIF(B:B,Table1[[#This Row],[order_id]])</f>
        <v>0.5</v>
      </c>
      <c r="D1635" t="str">
        <f>TEXT(Table1[[#This Row],[order_date]],"mmmm")</f>
        <v>May</v>
      </c>
      <c r="E1635" s="1">
        <v>45418</v>
      </c>
      <c r="F1635" s="1" t="str">
        <f>TEXT(Table1[[#This Row],[order_date]],"dddd")</f>
        <v>Monday</v>
      </c>
      <c r="G1635">
        <f>HOUR(Table1[[#This Row],[order_time]])</f>
        <v>18</v>
      </c>
      <c r="H1635" s="2">
        <v>0.75434027777777779</v>
      </c>
      <c r="I1635" t="s">
        <v>16</v>
      </c>
      <c r="J1635" t="s">
        <v>23</v>
      </c>
      <c r="K1635">
        <v>5</v>
      </c>
      <c r="L1635">
        <v>30</v>
      </c>
      <c r="M1635">
        <v>150</v>
      </c>
      <c r="N1635">
        <f>IF(COUNTIFS($B$2:B1635,B1635)=1,1,0)</f>
        <v>0</v>
      </c>
    </row>
    <row r="1636" spans="1:14" x14ac:dyDescent="0.2">
      <c r="A1636">
        <v>1635</v>
      </c>
      <c r="B1636">
        <v>1817</v>
      </c>
      <c r="C1636">
        <f>1/COUNTIF(B:B,Table1[[#This Row],[order_id]])</f>
        <v>0.5</v>
      </c>
      <c r="D1636" t="str">
        <f>TEXT(Table1[[#This Row],[order_date]],"mmmm")</f>
        <v>May</v>
      </c>
      <c r="E1636" s="1">
        <v>45418</v>
      </c>
      <c r="F1636" s="1" t="str">
        <f>TEXT(Table1[[#This Row],[order_date]],"dddd")</f>
        <v>Monday</v>
      </c>
      <c r="G1636">
        <f>HOUR(Table1[[#This Row],[order_time]])</f>
        <v>14</v>
      </c>
      <c r="H1636" s="2">
        <v>0.60358796296296291</v>
      </c>
      <c r="I1636" t="s">
        <v>11</v>
      </c>
      <c r="J1636" t="s">
        <v>25</v>
      </c>
      <c r="K1636">
        <v>4</v>
      </c>
      <c r="L1636">
        <v>1000</v>
      </c>
      <c r="M1636">
        <v>4000</v>
      </c>
      <c r="N1636">
        <f>IF(COUNTIFS($B$2:B1636,B1636)=1,1,0)</f>
        <v>1</v>
      </c>
    </row>
    <row r="1637" spans="1:14" x14ac:dyDescent="0.2">
      <c r="A1637">
        <v>1636</v>
      </c>
      <c r="B1637">
        <v>1817</v>
      </c>
      <c r="C1637">
        <f>1/COUNTIF(B:B,Table1[[#This Row],[order_id]])</f>
        <v>0.5</v>
      </c>
      <c r="D1637" t="str">
        <f>TEXT(Table1[[#This Row],[order_date]],"mmmm")</f>
        <v>May</v>
      </c>
      <c r="E1637" s="1">
        <v>45418</v>
      </c>
      <c r="F1637" s="1" t="str">
        <f>TEXT(Table1[[#This Row],[order_date]],"dddd")</f>
        <v>Monday</v>
      </c>
      <c r="G1637">
        <f>HOUR(Table1[[#This Row],[order_time]])</f>
        <v>16</v>
      </c>
      <c r="H1637" s="2">
        <v>0.70387731481481486</v>
      </c>
      <c r="I1637" t="s">
        <v>16</v>
      </c>
      <c r="J1637" t="s">
        <v>28</v>
      </c>
      <c r="K1637">
        <v>5</v>
      </c>
      <c r="L1637">
        <v>25</v>
      </c>
      <c r="M1637">
        <v>125</v>
      </c>
      <c r="N1637">
        <f>IF(COUNTIFS($B$2:B1637,B1637)=1,1,0)</f>
        <v>0</v>
      </c>
    </row>
    <row r="1638" spans="1:14" x14ac:dyDescent="0.2">
      <c r="A1638">
        <v>1637</v>
      </c>
      <c r="B1638">
        <v>1818</v>
      </c>
      <c r="C1638">
        <f>1/COUNTIF(B:B,Table1[[#This Row],[order_id]])</f>
        <v>1</v>
      </c>
      <c r="D1638" t="str">
        <f>TEXT(Table1[[#This Row],[order_date]],"mmmm")</f>
        <v>May</v>
      </c>
      <c r="E1638" s="1">
        <v>45418</v>
      </c>
      <c r="F1638" s="1" t="str">
        <f>TEXT(Table1[[#This Row],[order_date]],"dddd")</f>
        <v>Monday</v>
      </c>
      <c r="G1638">
        <f>HOUR(Table1[[#This Row],[order_time]])</f>
        <v>16</v>
      </c>
      <c r="H1638" s="2">
        <v>0.68346064814814811</v>
      </c>
      <c r="I1638" t="s">
        <v>11</v>
      </c>
      <c r="J1638" t="s">
        <v>15</v>
      </c>
      <c r="K1638">
        <v>3</v>
      </c>
      <c r="L1638">
        <v>600</v>
      </c>
      <c r="M1638">
        <v>1800</v>
      </c>
      <c r="N1638">
        <f>IF(COUNTIFS($B$2:B1638,B1638)=1,1,0)</f>
        <v>1</v>
      </c>
    </row>
    <row r="1639" spans="1:14" x14ac:dyDescent="0.2">
      <c r="A1639">
        <v>1638</v>
      </c>
      <c r="B1639">
        <v>1819</v>
      </c>
      <c r="C1639">
        <f>1/COUNTIF(B:B,Table1[[#This Row],[order_id]])</f>
        <v>0.33333333333333331</v>
      </c>
      <c r="D1639" t="str">
        <f>TEXT(Table1[[#This Row],[order_date]],"mmmm")</f>
        <v>May</v>
      </c>
      <c r="E1639" s="1">
        <v>45418</v>
      </c>
      <c r="F1639" s="1" t="str">
        <f>TEXT(Table1[[#This Row],[order_date]],"dddd")</f>
        <v>Monday</v>
      </c>
      <c r="G1639">
        <f>HOUR(Table1[[#This Row],[order_time]])</f>
        <v>11</v>
      </c>
      <c r="H1639" s="2">
        <v>0.47629629629629627</v>
      </c>
      <c r="I1639" t="s">
        <v>18</v>
      </c>
      <c r="J1639" t="s">
        <v>31</v>
      </c>
      <c r="K1639">
        <v>1</v>
      </c>
      <c r="L1639">
        <v>45</v>
      </c>
      <c r="M1639">
        <v>45</v>
      </c>
      <c r="N1639">
        <f>IF(COUNTIFS($B$2:B1639,B1639)=1,1,0)</f>
        <v>1</v>
      </c>
    </row>
    <row r="1640" spans="1:14" x14ac:dyDescent="0.2">
      <c r="A1640">
        <v>1639</v>
      </c>
      <c r="B1640">
        <v>1819</v>
      </c>
      <c r="C1640">
        <f>1/COUNTIF(B:B,Table1[[#This Row],[order_id]])</f>
        <v>0.33333333333333331</v>
      </c>
      <c r="D1640" t="str">
        <f>TEXT(Table1[[#This Row],[order_date]],"mmmm")</f>
        <v>May</v>
      </c>
      <c r="E1640" s="1">
        <v>45418</v>
      </c>
      <c r="F1640" s="1" t="str">
        <f>TEXT(Table1[[#This Row],[order_date]],"dddd")</f>
        <v>Monday</v>
      </c>
      <c r="G1640">
        <f>HOUR(Table1[[#This Row],[order_time]])</f>
        <v>13</v>
      </c>
      <c r="H1640" s="2">
        <v>0.5597685185185185</v>
      </c>
      <c r="I1640" t="s">
        <v>16</v>
      </c>
      <c r="J1640" t="s">
        <v>23</v>
      </c>
      <c r="K1640">
        <v>5</v>
      </c>
      <c r="L1640">
        <v>30</v>
      </c>
      <c r="M1640">
        <v>150</v>
      </c>
      <c r="N1640">
        <f>IF(COUNTIFS($B$2:B1640,B1640)=1,1,0)</f>
        <v>0</v>
      </c>
    </row>
    <row r="1641" spans="1:14" x14ac:dyDescent="0.2">
      <c r="A1641">
        <v>1640</v>
      </c>
      <c r="B1641">
        <v>1819</v>
      </c>
      <c r="C1641">
        <f>1/COUNTIF(B:B,Table1[[#This Row],[order_id]])</f>
        <v>0.33333333333333331</v>
      </c>
      <c r="D1641" t="str">
        <f>TEXT(Table1[[#This Row],[order_date]],"mmmm")</f>
        <v>May</v>
      </c>
      <c r="E1641" s="1">
        <v>45418</v>
      </c>
      <c r="F1641" s="1" t="str">
        <f>TEXT(Table1[[#This Row],[order_date]],"dddd")</f>
        <v>Monday</v>
      </c>
      <c r="G1641">
        <f>HOUR(Table1[[#This Row],[order_time]])</f>
        <v>10</v>
      </c>
      <c r="H1641" s="2">
        <v>0.45609953703703704</v>
      </c>
      <c r="I1641" t="s">
        <v>16</v>
      </c>
      <c r="J1641" t="s">
        <v>24</v>
      </c>
      <c r="K1641">
        <v>4</v>
      </c>
      <c r="L1641">
        <v>35</v>
      </c>
      <c r="M1641">
        <v>140</v>
      </c>
      <c r="N1641">
        <f>IF(COUNTIFS($B$2:B1641,B1641)=1,1,0)</f>
        <v>0</v>
      </c>
    </row>
    <row r="1642" spans="1:14" x14ac:dyDescent="0.2">
      <c r="A1642">
        <v>1641</v>
      </c>
      <c r="B1642">
        <v>1820</v>
      </c>
      <c r="C1642">
        <f>1/COUNTIF(B:B,Table1[[#This Row],[order_id]])</f>
        <v>0.5</v>
      </c>
      <c r="D1642" t="str">
        <f>TEXT(Table1[[#This Row],[order_date]],"mmmm")</f>
        <v>May</v>
      </c>
      <c r="E1642" s="1">
        <v>45418</v>
      </c>
      <c r="F1642" s="1" t="str">
        <f>TEXT(Table1[[#This Row],[order_date]],"dddd")</f>
        <v>Monday</v>
      </c>
      <c r="G1642">
        <f>HOUR(Table1[[#This Row],[order_time]])</f>
        <v>10</v>
      </c>
      <c r="H1642" s="2">
        <v>0.42844907407407407</v>
      </c>
      <c r="I1642" t="s">
        <v>11</v>
      </c>
      <c r="J1642" t="s">
        <v>15</v>
      </c>
      <c r="K1642">
        <v>5</v>
      </c>
      <c r="L1642">
        <v>600</v>
      </c>
      <c r="M1642">
        <v>3000</v>
      </c>
      <c r="N1642">
        <f>IF(COUNTIFS($B$2:B1642,B1642)=1,1,0)</f>
        <v>1</v>
      </c>
    </row>
    <row r="1643" spans="1:14" x14ac:dyDescent="0.2">
      <c r="A1643">
        <v>1642</v>
      </c>
      <c r="B1643">
        <v>1820</v>
      </c>
      <c r="C1643">
        <f>1/COUNTIF(B:B,Table1[[#This Row],[order_id]])</f>
        <v>0.5</v>
      </c>
      <c r="D1643" t="str">
        <f>TEXT(Table1[[#This Row],[order_date]],"mmmm")</f>
        <v>May</v>
      </c>
      <c r="E1643" s="1">
        <v>45418</v>
      </c>
      <c r="F1643" s="1" t="str">
        <f>TEXT(Table1[[#This Row],[order_date]],"dddd")</f>
        <v>Monday</v>
      </c>
      <c r="G1643">
        <f>HOUR(Table1[[#This Row],[order_time]])</f>
        <v>19</v>
      </c>
      <c r="H1643" s="2">
        <v>0.82194444444444448</v>
      </c>
      <c r="I1643" t="s">
        <v>16</v>
      </c>
      <c r="J1643" t="s">
        <v>23</v>
      </c>
      <c r="K1643">
        <v>3</v>
      </c>
      <c r="L1643">
        <v>30</v>
      </c>
      <c r="M1643">
        <v>90</v>
      </c>
      <c r="N1643">
        <f>IF(COUNTIFS($B$2:B1643,B1643)=1,1,0)</f>
        <v>0</v>
      </c>
    </row>
    <row r="1644" spans="1:14" x14ac:dyDescent="0.2">
      <c r="A1644">
        <v>1643</v>
      </c>
      <c r="B1644">
        <v>1821</v>
      </c>
      <c r="C1644">
        <f>1/COUNTIF(B:B,Table1[[#This Row],[order_id]])</f>
        <v>1</v>
      </c>
      <c r="D1644" t="str">
        <f>TEXT(Table1[[#This Row],[order_date]],"mmmm")</f>
        <v>May</v>
      </c>
      <c r="E1644" s="1">
        <v>45419</v>
      </c>
      <c r="F1644" s="1" t="str">
        <f>TEXT(Table1[[#This Row],[order_date]],"dddd")</f>
        <v>Tuesday</v>
      </c>
      <c r="G1644">
        <f>HOUR(Table1[[#This Row],[order_time]])</f>
        <v>11</v>
      </c>
      <c r="H1644" s="2">
        <v>0.4649652777777778</v>
      </c>
      <c r="I1644" t="s">
        <v>18</v>
      </c>
      <c r="J1644" t="s">
        <v>27</v>
      </c>
      <c r="K1644">
        <v>2</v>
      </c>
      <c r="L1644">
        <v>40</v>
      </c>
      <c r="M1644">
        <v>80</v>
      </c>
      <c r="N1644">
        <f>IF(COUNTIFS($B$2:B1644,B1644)=1,1,0)</f>
        <v>1</v>
      </c>
    </row>
    <row r="1645" spans="1:14" x14ac:dyDescent="0.2">
      <c r="A1645">
        <v>1644</v>
      </c>
      <c r="B1645">
        <v>1822</v>
      </c>
      <c r="C1645">
        <f>1/COUNTIF(B:B,Table1[[#This Row],[order_id]])</f>
        <v>1</v>
      </c>
      <c r="D1645" t="str">
        <f>TEXT(Table1[[#This Row],[order_date]],"mmmm")</f>
        <v>May</v>
      </c>
      <c r="E1645" s="1">
        <v>45419</v>
      </c>
      <c r="F1645" s="1" t="str">
        <f>TEXT(Table1[[#This Row],[order_date]],"dddd")</f>
        <v>Tuesday</v>
      </c>
      <c r="G1645">
        <f>HOUR(Table1[[#This Row],[order_time]])</f>
        <v>18</v>
      </c>
      <c r="H1645" s="2">
        <v>0.78578703703703701</v>
      </c>
      <c r="I1645" t="s">
        <v>18</v>
      </c>
      <c r="J1645" t="s">
        <v>31</v>
      </c>
      <c r="K1645">
        <v>4</v>
      </c>
      <c r="L1645">
        <v>45</v>
      </c>
      <c r="M1645">
        <v>180</v>
      </c>
      <c r="N1645">
        <f>IF(COUNTIFS($B$2:B1645,B1645)=1,1,0)</f>
        <v>1</v>
      </c>
    </row>
    <row r="1646" spans="1:14" x14ac:dyDescent="0.2">
      <c r="A1646">
        <v>1645</v>
      </c>
      <c r="B1646">
        <v>1823</v>
      </c>
      <c r="C1646">
        <f>1/COUNTIF(B:B,Table1[[#This Row],[order_id]])</f>
        <v>1</v>
      </c>
      <c r="D1646" t="str">
        <f>TEXT(Table1[[#This Row],[order_date]],"mmmm")</f>
        <v>May</v>
      </c>
      <c r="E1646" s="1">
        <v>45419</v>
      </c>
      <c r="F1646" s="1" t="str">
        <f>TEXT(Table1[[#This Row],[order_date]],"dddd")</f>
        <v>Tuesday</v>
      </c>
      <c r="G1646">
        <f>HOUR(Table1[[#This Row],[order_time]])</f>
        <v>16</v>
      </c>
      <c r="H1646" s="2">
        <v>0.6734606481481481</v>
      </c>
      <c r="I1646" t="s">
        <v>9</v>
      </c>
      <c r="J1646" t="s">
        <v>22</v>
      </c>
      <c r="K1646">
        <v>3</v>
      </c>
      <c r="L1646">
        <v>15</v>
      </c>
      <c r="M1646">
        <v>45</v>
      </c>
      <c r="N1646">
        <f>IF(COUNTIFS($B$2:B1646,B1646)=1,1,0)</f>
        <v>1</v>
      </c>
    </row>
    <row r="1647" spans="1:14" x14ac:dyDescent="0.2">
      <c r="A1647">
        <v>1646</v>
      </c>
      <c r="B1647">
        <v>1824</v>
      </c>
      <c r="C1647">
        <f>1/COUNTIF(B:B,Table1[[#This Row],[order_id]])</f>
        <v>1</v>
      </c>
      <c r="D1647" t="str">
        <f>TEXT(Table1[[#This Row],[order_date]],"mmmm")</f>
        <v>May</v>
      </c>
      <c r="E1647" s="1">
        <v>45419</v>
      </c>
      <c r="F1647" s="1" t="str">
        <f>TEXT(Table1[[#This Row],[order_date]],"dddd")</f>
        <v>Tuesday</v>
      </c>
      <c r="G1647">
        <f>HOUR(Table1[[#This Row],[order_time]])</f>
        <v>17</v>
      </c>
      <c r="H1647" s="2">
        <v>0.7409606481481481</v>
      </c>
      <c r="I1647" t="s">
        <v>16</v>
      </c>
      <c r="J1647" t="s">
        <v>24</v>
      </c>
      <c r="K1647">
        <v>2</v>
      </c>
      <c r="L1647">
        <v>35</v>
      </c>
      <c r="M1647">
        <v>70</v>
      </c>
      <c r="N1647">
        <f>IF(COUNTIFS($B$2:B1647,B1647)=1,1,0)</f>
        <v>1</v>
      </c>
    </row>
    <row r="1648" spans="1:14" x14ac:dyDescent="0.2">
      <c r="A1648">
        <v>1647</v>
      </c>
      <c r="B1648">
        <v>1825</v>
      </c>
      <c r="C1648">
        <f>1/COUNTIF(B:B,Table1[[#This Row],[order_id]])</f>
        <v>0.5</v>
      </c>
      <c r="D1648" t="str">
        <f>TEXT(Table1[[#This Row],[order_date]],"mmmm")</f>
        <v>May</v>
      </c>
      <c r="E1648" s="1">
        <v>45420</v>
      </c>
      <c r="F1648" s="1" t="str">
        <f>TEXT(Table1[[#This Row],[order_date]],"dddd")</f>
        <v>Wednesday</v>
      </c>
      <c r="G1648">
        <f>HOUR(Table1[[#This Row],[order_time]])</f>
        <v>18</v>
      </c>
      <c r="H1648" s="2">
        <v>0.76901620370370372</v>
      </c>
      <c r="I1648" t="s">
        <v>16</v>
      </c>
      <c r="J1648" t="s">
        <v>17</v>
      </c>
      <c r="K1648">
        <v>1</v>
      </c>
      <c r="L1648">
        <v>20</v>
      </c>
      <c r="M1648">
        <v>20</v>
      </c>
      <c r="N1648">
        <f>IF(COUNTIFS($B$2:B1648,B1648)=1,1,0)</f>
        <v>1</v>
      </c>
    </row>
    <row r="1649" spans="1:14" x14ac:dyDescent="0.2">
      <c r="A1649">
        <v>1648</v>
      </c>
      <c r="B1649">
        <v>1825</v>
      </c>
      <c r="C1649">
        <f>1/COUNTIF(B:B,Table1[[#This Row],[order_id]])</f>
        <v>0.5</v>
      </c>
      <c r="D1649" t="str">
        <f>TEXT(Table1[[#This Row],[order_date]],"mmmm")</f>
        <v>May</v>
      </c>
      <c r="E1649" s="1">
        <v>45420</v>
      </c>
      <c r="F1649" s="1" t="str">
        <f>TEXT(Table1[[#This Row],[order_date]],"dddd")</f>
        <v>Wednesday</v>
      </c>
      <c r="G1649">
        <f>HOUR(Table1[[#This Row],[order_time]])</f>
        <v>16</v>
      </c>
      <c r="H1649" s="2">
        <v>0.66753472222222221</v>
      </c>
      <c r="I1649" t="s">
        <v>18</v>
      </c>
      <c r="J1649" t="s">
        <v>27</v>
      </c>
      <c r="K1649">
        <v>4</v>
      </c>
      <c r="L1649">
        <v>40</v>
      </c>
      <c r="M1649">
        <v>160</v>
      </c>
      <c r="N1649">
        <f>IF(COUNTIFS($B$2:B1649,B1649)=1,1,0)</f>
        <v>0</v>
      </c>
    </row>
    <row r="1650" spans="1:14" x14ac:dyDescent="0.2">
      <c r="A1650">
        <v>1649</v>
      </c>
      <c r="B1650">
        <v>1826</v>
      </c>
      <c r="C1650">
        <f>1/COUNTIF(B:B,Table1[[#This Row],[order_id]])</f>
        <v>0.33333333333333331</v>
      </c>
      <c r="D1650" t="str">
        <f>TEXT(Table1[[#This Row],[order_date]],"mmmm")</f>
        <v>May</v>
      </c>
      <c r="E1650" s="1">
        <v>45420</v>
      </c>
      <c r="F1650" s="1" t="str">
        <f>TEXT(Table1[[#This Row],[order_date]],"dddd")</f>
        <v>Wednesday</v>
      </c>
      <c r="G1650">
        <f>HOUR(Table1[[#This Row],[order_time]])</f>
        <v>18</v>
      </c>
      <c r="H1650" s="2">
        <v>0.77644675925925921</v>
      </c>
      <c r="I1650" t="s">
        <v>18</v>
      </c>
      <c r="J1650" t="s">
        <v>27</v>
      </c>
      <c r="K1650">
        <v>3</v>
      </c>
      <c r="L1650">
        <v>40</v>
      </c>
      <c r="M1650">
        <v>120</v>
      </c>
      <c r="N1650">
        <f>IF(COUNTIFS($B$2:B1650,B1650)=1,1,0)</f>
        <v>1</v>
      </c>
    </row>
    <row r="1651" spans="1:14" x14ac:dyDescent="0.2">
      <c r="A1651">
        <v>1650</v>
      </c>
      <c r="B1651">
        <v>1826</v>
      </c>
      <c r="C1651">
        <f>1/COUNTIF(B:B,Table1[[#This Row],[order_id]])</f>
        <v>0.33333333333333331</v>
      </c>
      <c r="D1651" t="str">
        <f>TEXT(Table1[[#This Row],[order_date]],"mmmm")</f>
        <v>May</v>
      </c>
      <c r="E1651" s="1">
        <v>45420</v>
      </c>
      <c r="F1651" s="1" t="str">
        <f>TEXT(Table1[[#This Row],[order_date]],"dddd")</f>
        <v>Wednesday</v>
      </c>
      <c r="G1651">
        <f>HOUR(Table1[[#This Row],[order_time]])</f>
        <v>12</v>
      </c>
      <c r="H1651" s="2">
        <v>0.52740740740740744</v>
      </c>
      <c r="I1651" t="s">
        <v>11</v>
      </c>
      <c r="J1651" t="s">
        <v>12</v>
      </c>
      <c r="K1651">
        <v>5</v>
      </c>
      <c r="L1651">
        <v>650</v>
      </c>
      <c r="M1651">
        <v>3250</v>
      </c>
      <c r="N1651">
        <f>IF(COUNTIFS($B$2:B1651,B1651)=1,1,0)</f>
        <v>0</v>
      </c>
    </row>
    <row r="1652" spans="1:14" x14ac:dyDescent="0.2">
      <c r="A1652">
        <v>1651</v>
      </c>
      <c r="B1652">
        <v>1826</v>
      </c>
      <c r="C1652">
        <f>1/COUNTIF(B:B,Table1[[#This Row],[order_id]])</f>
        <v>0.33333333333333331</v>
      </c>
      <c r="D1652" t="str">
        <f>TEXT(Table1[[#This Row],[order_date]],"mmmm")</f>
        <v>May</v>
      </c>
      <c r="E1652" s="1">
        <v>45420</v>
      </c>
      <c r="F1652" s="1" t="str">
        <f>TEXT(Table1[[#This Row],[order_date]],"dddd")</f>
        <v>Wednesday</v>
      </c>
      <c r="G1652">
        <f>HOUR(Table1[[#This Row],[order_time]])</f>
        <v>12</v>
      </c>
      <c r="H1652" s="2">
        <v>0.50040509259259258</v>
      </c>
      <c r="I1652" t="s">
        <v>11</v>
      </c>
      <c r="J1652" t="s">
        <v>15</v>
      </c>
      <c r="K1652">
        <v>3</v>
      </c>
      <c r="L1652">
        <v>600</v>
      </c>
      <c r="M1652">
        <v>1800</v>
      </c>
      <c r="N1652">
        <f>IF(COUNTIFS($B$2:B1652,B1652)=1,1,0)</f>
        <v>0</v>
      </c>
    </row>
    <row r="1653" spans="1:14" x14ac:dyDescent="0.2">
      <c r="A1653">
        <v>1652</v>
      </c>
      <c r="B1653">
        <v>1827</v>
      </c>
      <c r="C1653">
        <f>1/COUNTIF(B:B,Table1[[#This Row],[order_id]])</f>
        <v>0.33333333333333331</v>
      </c>
      <c r="D1653" t="str">
        <f>TEXT(Table1[[#This Row],[order_date]],"mmmm")</f>
        <v>May</v>
      </c>
      <c r="E1653" s="1">
        <v>45420</v>
      </c>
      <c r="F1653" s="1" t="str">
        <f>TEXT(Table1[[#This Row],[order_date]],"dddd")</f>
        <v>Wednesday</v>
      </c>
      <c r="G1653">
        <f>HOUR(Table1[[#This Row],[order_time]])</f>
        <v>9</v>
      </c>
      <c r="H1653" s="2">
        <v>0.41465277777777776</v>
      </c>
      <c r="I1653" t="s">
        <v>18</v>
      </c>
      <c r="J1653" t="s">
        <v>19</v>
      </c>
      <c r="K1653">
        <v>4</v>
      </c>
      <c r="L1653">
        <v>50</v>
      </c>
      <c r="M1653">
        <v>200</v>
      </c>
      <c r="N1653">
        <f>IF(COUNTIFS($B$2:B1653,B1653)=1,1,0)</f>
        <v>1</v>
      </c>
    </row>
    <row r="1654" spans="1:14" x14ac:dyDescent="0.2">
      <c r="A1654">
        <v>1653</v>
      </c>
      <c r="B1654">
        <v>1827</v>
      </c>
      <c r="C1654">
        <f>1/COUNTIF(B:B,Table1[[#This Row],[order_id]])</f>
        <v>0.33333333333333331</v>
      </c>
      <c r="D1654" t="str">
        <f>TEXT(Table1[[#This Row],[order_date]],"mmmm")</f>
        <v>May</v>
      </c>
      <c r="E1654" s="1">
        <v>45420</v>
      </c>
      <c r="F1654" s="1" t="str">
        <f>TEXT(Table1[[#This Row],[order_date]],"dddd")</f>
        <v>Wednesday</v>
      </c>
      <c r="G1654">
        <f>HOUR(Table1[[#This Row],[order_time]])</f>
        <v>10</v>
      </c>
      <c r="H1654" s="2">
        <v>0.43199074074074073</v>
      </c>
      <c r="I1654" t="s">
        <v>11</v>
      </c>
      <c r="J1654" t="s">
        <v>13</v>
      </c>
      <c r="K1654">
        <v>4</v>
      </c>
      <c r="L1654">
        <v>680</v>
      </c>
      <c r="M1654">
        <v>2720</v>
      </c>
      <c r="N1654">
        <f>IF(COUNTIFS($B$2:B1654,B1654)=1,1,0)</f>
        <v>0</v>
      </c>
    </row>
    <row r="1655" spans="1:14" x14ac:dyDescent="0.2">
      <c r="A1655">
        <v>1654</v>
      </c>
      <c r="B1655">
        <v>1827</v>
      </c>
      <c r="C1655">
        <f>1/COUNTIF(B:B,Table1[[#This Row],[order_id]])</f>
        <v>0.33333333333333331</v>
      </c>
      <c r="D1655" t="str">
        <f>TEXT(Table1[[#This Row],[order_date]],"mmmm")</f>
        <v>May</v>
      </c>
      <c r="E1655" s="1">
        <v>45420</v>
      </c>
      <c r="F1655" s="1" t="str">
        <f>TEXT(Table1[[#This Row],[order_date]],"dddd")</f>
        <v>Wednesday</v>
      </c>
      <c r="G1655">
        <f>HOUR(Table1[[#This Row],[order_time]])</f>
        <v>17</v>
      </c>
      <c r="H1655" s="2">
        <v>0.73329861111111116</v>
      </c>
      <c r="I1655" t="s">
        <v>9</v>
      </c>
      <c r="J1655" t="s">
        <v>21</v>
      </c>
      <c r="K1655">
        <v>5</v>
      </c>
      <c r="L1655">
        <v>10</v>
      </c>
      <c r="M1655">
        <v>50</v>
      </c>
      <c r="N1655">
        <f>IF(COUNTIFS($B$2:B1655,B1655)=1,1,0)</f>
        <v>0</v>
      </c>
    </row>
    <row r="1656" spans="1:14" x14ac:dyDescent="0.2">
      <c r="A1656">
        <v>1655</v>
      </c>
      <c r="B1656">
        <v>1828</v>
      </c>
      <c r="C1656">
        <f>1/COUNTIF(B:B,Table1[[#This Row],[order_id]])</f>
        <v>0.33333333333333331</v>
      </c>
      <c r="D1656" t="str">
        <f>TEXT(Table1[[#This Row],[order_date]],"mmmm")</f>
        <v>May</v>
      </c>
      <c r="E1656" s="1">
        <v>45420</v>
      </c>
      <c r="F1656" s="1" t="str">
        <f>TEXT(Table1[[#This Row],[order_date]],"dddd")</f>
        <v>Wednesday</v>
      </c>
      <c r="G1656">
        <f>HOUR(Table1[[#This Row],[order_time]])</f>
        <v>12</v>
      </c>
      <c r="H1656" s="2">
        <v>0.50748842592592591</v>
      </c>
      <c r="I1656" t="s">
        <v>18</v>
      </c>
      <c r="J1656" t="s">
        <v>27</v>
      </c>
      <c r="K1656">
        <v>1</v>
      </c>
      <c r="L1656">
        <v>40</v>
      </c>
      <c r="M1656">
        <v>40</v>
      </c>
      <c r="N1656">
        <f>IF(COUNTIFS($B$2:B1656,B1656)=1,1,0)</f>
        <v>1</v>
      </c>
    </row>
    <row r="1657" spans="1:14" x14ac:dyDescent="0.2">
      <c r="A1657">
        <v>1656</v>
      </c>
      <c r="B1657">
        <v>1828</v>
      </c>
      <c r="C1657">
        <f>1/COUNTIF(B:B,Table1[[#This Row],[order_id]])</f>
        <v>0.33333333333333331</v>
      </c>
      <c r="D1657" t="str">
        <f>TEXT(Table1[[#This Row],[order_date]],"mmmm")</f>
        <v>May</v>
      </c>
      <c r="E1657" s="1">
        <v>45420</v>
      </c>
      <c r="F1657" s="1" t="str">
        <f>TEXT(Table1[[#This Row],[order_date]],"dddd")</f>
        <v>Wednesday</v>
      </c>
      <c r="G1657">
        <f>HOUR(Table1[[#This Row],[order_time]])</f>
        <v>18</v>
      </c>
      <c r="H1657" s="2">
        <v>0.75295138888888891</v>
      </c>
      <c r="I1657" t="s">
        <v>18</v>
      </c>
      <c r="J1657" t="s">
        <v>30</v>
      </c>
      <c r="K1657">
        <v>5</v>
      </c>
      <c r="L1657">
        <v>60</v>
      </c>
      <c r="M1657">
        <v>300</v>
      </c>
      <c r="N1657">
        <f>IF(COUNTIFS($B$2:B1657,B1657)=1,1,0)</f>
        <v>0</v>
      </c>
    </row>
    <row r="1658" spans="1:14" x14ac:dyDescent="0.2">
      <c r="A1658">
        <v>1657</v>
      </c>
      <c r="B1658">
        <v>1828</v>
      </c>
      <c r="C1658">
        <f>1/COUNTIF(B:B,Table1[[#This Row],[order_id]])</f>
        <v>0.33333333333333331</v>
      </c>
      <c r="D1658" t="str">
        <f>TEXT(Table1[[#This Row],[order_date]],"mmmm")</f>
        <v>May</v>
      </c>
      <c r="E1658" s="1">
        <v>45420</v>
      </c>
      <c r="F1658" s="1" t="str">
        <f>TEXT(Table1[[#This Row],[order_date]],"dddd")</f>
        <v>Wednesday</v>
      </c>
      <c r="G1658">
        <f>HOUR(Table1[[#This Row],[order_time]])</f>
        <v>12</v>
      </c>
      <c r="H1658" s="2">
        <v>0.5196412037037037</v>
      </c>
      <c r="I1658" t="s">
        <v>16</v>
      </c>
      <c r="J1658" t="s">
        <v>23</v>
      </c>
      <c r="K1658">
        <v>3</v>
      </c>
      <c r="L1658">
        <v>30</v>
      </c>
      <c r="M1658">
        <v>90</v>
      </c>
      <c r="N1658">
        <f>IF(COUNTIFS($B$2:B1658,B1658)=1,1,0)</f>
        <v>0</v>
      </c>
    </row>
    <row r="1659" spans="1:14" x14ac:dyDescent="0.2">
      <c r="A1659">
        <v>1658</v>
      </c>
      <c r="B1659">
        <v>1829</v>
      </c>
      <c r="C1659">
        <f>1/COUNTIF(B:B,Table1[[#This Row],[order_id]])</f>
        <v>0.5</v>
      </c>
      <c r="D1659" t="str">
        <f>TEXT(Table1[[#This Row],[order_date]],"mmmm")</f>
        <v>May</v>
      </c>
      <c r="E1659" s="1">
        <v>45420</v>
      </c>
      <c r="F1659" s="1" t="str">
        <f>TEXT(Table1[[#This Row],[order_date]],"dddd")</f>
        <v>Wednesday</v>
      </c>
      <c r="G1659">
        <f>HOUR(Table1[[#This Row],[order_time]])</f>
        <v>15</v>
      </c>
      <c r="H1659" s="2">
        <v>0.65969907407407402</v>
      </c>
      <c r="I1659" t="s">
        <v>11</v>
      </c>
      <c r="J1659" t="s">
        <v>13</v>
      </c>
      <c r="K1659">
        <v>4</v>
      </c>
      <c r="L1659">
        <v>680</v>
      </c>
      <c r="M1659">
        <v>2720</v>
      </c>
      <c r="N1659">
        <f>IF(COUNTIFS($B$2:B1659,B1659)=1,1,0)</f>
        <v>1</v>
      </c>
    </row>
    <row r="1660" spans="1:14" x14ac:dyDescent="0.2">
      <c r="A1660">
        <v>1659</v>
      </c>
      <c r="B1660">
        <v>1829</v>
      </c>
      <c r="C1660">
        <f>1/COUNTIF(B:B,Table1[[#This Row],[order_id]])</f>
        <v>0.5</v>
      </c>
      <c r="D1660" t="str">
        <f>TEXT(Table1[[#This Row],[order_date]],"mmmm")</f>
        <v>May</v>
      </c>
      <c r="E1660" s="1">
        <v>45420</v>
      </c>
      <c r="F1660" s="1" t="str">
        <f>TEXT(Table1[[#This Row],[order_date]],"dddd")</f>
        <v>Wednesday</v>
      </c>
      <c r="G1660">
        <f>HOUR(Table1[[#This Row],[order_time]])</f>
        <v>9</v>
      </c>
      <c r="H1660" s="2">
        <v>0.3986689814814815</v>
      </c>
      <c r="I1660" t="s">
        <v>18</v>
      </c>
      <c r="J1660" t="s">
        <v>31</v>
      </c>
      <c r="K1660">
        <v>3</v>
      </c>
      <c r="L1660">
        <v>45</v>
      </c>
      <c r="M1660">
        <v>135</v>
      </c>
      <c r="N1660">
        <f>IF(COUNTIFS($B$2:B1660,B1660)=1,1,0)</f>
        <v>0</v>
      </c>
    </row>
    <row r="1661" spans="1:14" x14ac:dyDescent="0.2">
      <c r="A1661">
        <v>1660</v>
      </c>
      <c r="B1661">
        <v>1830</v>
      </c>
      <c r="C1661">
        <f>1/COUNTIF(B:B,Table1[[#This Row],[order_id]])</f>
        <v>0.33333333333333331</v>
      </c>
      <c r="D1661" t="str">
        <f>TEXT(Table1[[#This Row],[order_date]],"mmmm")</f>
        <v>May</v>
      </c>
      <c r="E1661" s="1">
        <v>45420</v>
      </c>
      <c r="F1661" s="1" t="str">
        <f>TEXT(Table1[[#This Row],[order_date]],"dddd")</f>
        <v>Wednesday</v>
      </c>
      <c r="G1661">
        <f>HOUR(Table1[[#This Row],[order_time]])</f>
        <v>17</v>
      </c>
      <c r="H1661" s="2">
        <v>0.74368055555555557</v>
      </c>
      <c r="I1661" t="s">
        <v>18</v>
      </c>
      <c r="J1661" t="s">
        <v>27</v>
      </c>
      <c r="K1661">
        <v>3</v>
      </c>
      <c r="L1661">
        <v>40</v>
      </c>
      <c r="M1661">
        <v>120</v>
      </c>
      <c r="N1661">
        <f>IF(COUNTIFS($B$2:B1661,B1661)=1,1,0)</f>
        <v>1</v>
      </c>
    </row>
    <row r="1662" spans="1:14" x14ac:dyDescent="0.2">
      <c r="A1662">
        <v>1661</v>
      </c>
      <c r="B1662">
        <v>1830</v>
      </c>
      <c r="C1662">
        <f>1/COUNTIF(B:B,Table1[[#This Row],[order_id]])</f>
        <v>0.33333333333333331</v>
      </c>
      <c r="D1662" t="str">
        <f>TEXT(Table1[[#This Row],[order_date]],"mmmm")</f>
        <v>May</v>
      </c>
      <c r="E1662" s="1">
        <v>45420</v>
      </c>
      <c r="F1662" s="1" t="str">
        <f>TEXT(Table1[[#This Row],[order_date]],"dddd")</f>
        <v>Wednesday</v>
      </c>
      <c r="G1662">
        <f>HOUR(Table1[[#This Row],[order_time]])</f>
        <v>16</v>
      </c>
      <c r="H1662" s="2">
        <v>0.68637731481481479</v>
      </c>
      <c r="I1662" t="s">
        <v>11</v>
      </c>
      <c r="J1662" t="s">
        <v>25</v>
      </c>
      <c r="K1662">
        <v>2</v>
      </c>
      <c r="L1662">
        <v>1000</v>
      </c>
      <c r="M1662">
        <v>2000</v>
      </c>
      <c r="N1662">
        <f>IF(COUNTIFS($B$2:B1662,B1662)=1,1,0)</f>
        <v>0</v>
      </c>
    </row>
    <row r="1663" spans="1:14" x14ac:dyDescent="0.2">
      <c r="A1663">
        <v>1662</v>
      </c>
      <c r="B1663">
        <v>1830</v>
      </c>
      <c r="C1663">
        <f>1/COUNTIF(B:B,Table1[[#This Row],[order_id]])</f>
        <v>0.33333333333333331</v>
      </c>
      <c r="D1663" t="str">
        <f>TEXT(Table1[[#This Row],[order_date]],"mmmm")</f>
        <v>May</v>
      </c>
      <c r="E1663" s="1">
        <v>45420</v>
      </c>
      <c r="F1663" s="1" t="str">
        <f>TEXT(Table1[[#This Row],[order_date]],"dddd")</f>
        <v>Wednesday</v>
      </c>
      <c r="G1663">
        <f>HOUR(Table1[[#This Row],[order_time]])</f>
        <v>11</v>
      </c>
      <c r="H1663" s="2">
        <v>0.49594907407407407</v>
      </c>
      <c r="I1663" t="s">
        <v>11</v>
      </c>
      <c r="J1663" t="s">
        <v>13</v>
      </c>
      <c r="K1663">
        <v>5</v>
      </c>
      <c r="L1663">
        <v>680</v>
      </c>
      <c r="M1663">
        <v>3400</v>
      </c>
      <c r="N1663">
        <f>IF(COUNTIFS($B$2:B1663,B1663)=1,1,0)</f>
        <v>0</v>
      </c>
    </row>
    <row r="1664" spans="1:14" x14ac:dyDescent="0.2">
      <c r="A1664">
        <v>1663</v>
      </c>
      <c r="B1664">
        <v>1831</v>
      </c>
      <c r="C1664">
        <f>1/COUNTIF(B:B,Table1[[#This Row],[order_id]])</f>
        <v>0.5</v>
      </c>
      <c r="D1664" t="str">
        <f>TEXT(Table1[[#This Row],[order_date]],"mmmm")</f>
        <v>May</v>
      </c>
      <c r="E1664" s="1">
        <v>45420</v>
      </c>
      <c r="F1664" s="1" t="str">
        <f>TEXT(Table1[[#This Row],[order_date]],"dddd")</f>
        <v>Wednesday</v>
      </c>
      <c r="G1664">
        <f>HOUR(Table1[[#This Row],[order_time]])</f>
        <v>11</v>
      </c>
      <c r="H1664" s="2">
        <v>0.46991898148148148</v>
      </c>
      <c r="I1664" t="s">
        <v>9</v>
      </c>
      <c r="J1664" t="s">
        <v>29</v>
      </c>
      <c r="K1664">
        <v>5</v>
      </c>
      <c r="L1664">
        <v>5</v>
      </c>
      <c r="M1664">
        <v>25</v>
      </c>
      <c r="N1664">
        <f>IF(COUNTIFS($B$2:B1664,B1664)=1,1,0)</f>
        <v>1</v>
      </c>
    </row>
    <row r="1665" spans="1:14" x14ac:dyDescent="0.2">
      <c r="A1665">
        <v>1664</v>
      </c>
      <c r="B1665">
        <v>1831</v>
      </c>
      <c r="C1665">
        <f>1/COUNTIF(B:B,Table1[[#This Row],[order_id]])</f>
        <v>0.5</v>
      </c>
      <c r="D1665" t="str">
        <f>TEXT(Table1[[#This Row],[order_date]],"mmmm")</f>
        <v>May</v>
      </c>
      <c r="E1665" s="1">
        <v>45420</v>
      </c>
      <c r="F1665" s="1" t="str">
        <f>TEXT(Table1[[#This Row],[order_date]],"dddd")</f>
        <v>Wednesday</v>
      </c>
      <c r="G1665">
        <f>HOUR(Table1[[#This Row],[order_time]])</f>
        <v>18</v>
      </c>
      <c r="H1665" s="2">
        <v>0.76423611111111112</v>
      </c>
      <c r="I1665" t="s">
        <v>16</v>
      </c>
      <c r="J1665" t="s">
        <v>24</v>
      </c>
      <c r="K1665">
        <v>3</v>
      </c>
      <c r="L1665">
        <v>35</v>
      </c>
      <c r="M1665">
        <v>105</v>
      </c>
      <c r="N1665">
        <f>IF(COUNTIFS($B$2:B1665,B1665)=1,1,0)</f>
        <v>0</v>
      </c>
    </row>
    <row r="1666" spans="1:14" x14ac:dyDescent="0.2">
      <c r="A1666">
        <v>1665</v>
      </c>
      <c r="B1666">
        <v>1832</v>
      </c>
      <c r="C1666">
        <f>1/COUNTIF(B:B,Table1[[#This Row],[order_id]])</f>
        <v>0.33333333333333331</v>
      </c>
      <c r="D1666" t="str">
        <f>TEXT(Table1[[#This Row],[order_date]],"mmmm")</f>
        <v>May</v>
      </c>
      <c r="E1666" s="1">
        <v>45420</v>
      </c>
      <c r="F1666" s="1" t="str">
        <f>TEXT(Table1[[#This Row],[order_date]],"dddd")</f>
        <v>Wednesday</v>
      </c>
      <c r="G1666">
        <f>HOUR(Table1[[#This Row],[order_time]])</f>
        <v>16</v>
      </c>
      <c r="H1666" s="2">
        <v>0.67221064814814813</v>
      </c>
      <c r="I1666" t="s">
        <v>16</v>
      </c>
      <c r="J1666" t="s">
        <v>28</v>
      </c>
      <c r="K1666">
        <v>2</v>
      </c>
      <c r="L1666">
        <v>25</v>
      </c>
      <c r="M1666">
        <v>50</v>
      </c>
      <c r="N1666">
        <f>IF(COUNTIFS($B$2:B1666,B1666)=1,1,0)</f>
        <v>1</v>
      </c>
    </row>
    <row r="1667" spans="1:14" x14ac:dyDescent="0.2">
      <c r="A1667">
        <v>1666</v>
      </c>
      <c r="B1667">
        <v>1832</v>
      </c>
      <c r="C1667">
        <f>1/COUNTIF(B:B,Table1[[#This Row],[order_id]])</f>
        <v>0.33333333333333331</v>
      </c>
      <c r="D1667" t="str">
        <f>TEXT(Table1[[#This Row],[order_date]],"mmmm")</f>
        <v>May</v>
      </c>
      <c r="E1667" s="1">
        <v>45420</v>
      </c>
      <c r="F1667" s="1" t="str">
        <f>TEXT(Table1[[#This Row],[order_date]],"dddd")</f>
        <v>Wednesday</v>
      </c>
      <c r="G1667">
        <f>HOUR(Table1[[#This Row],[order_time]])</f>
        <v>14</v>
      </c>
      <c r="H1667" s="2">
        <v>0.58883101851851849</v>
      </c>
      <c r="I1667" t="s">
        <v>9</v>
      </c>
      <c r="J1667" t="s">
        <v>21</v>
      </c>
      <c r="K1667">
        <v>2</v>
      </c>
      <c r="L1667">
        <v>10</v>
      </c>
      <c r="M1667">
        <v>20</v>
      </c>
      <c r="N1667">
        <f>IF(COUNTIFS($B$2:B1667,B1667)=1,1,0)</f>
        <v>0</v>
      </c>
    </row>
    <row r="1668" spans="1:14" x14ac:dyDescent="0.2">
      <c r="A1668">
        <v>1667</v>
      </c>
      <c r="B1668">
        <v>1832</v>
      </c>
      <c r="C1668">
        <f>1/COUNTIF(B:B,Table1[[#This Row],[order_id]])</f>
        <v>0.33333333333333331</v>
      </c>
      <c r="D1668" t="str">
        <f>TEXT(Table1[[#This Row],[order_date]],"mmmm")</f>
        <v>May</v>
      </c>
      <c r="E1668" s="1">
        <v>45420</v>
      </c>
      <c r="F1668" s="1" t="str">
        <f>TEXT(Table1[[#This Row],[order_date]],"dddd")</f>
        <v>Wednesday</v>
      </c>
      <c r="G1668">
        <f>HOUR(Table1[[#This Row],[order_time]])</f>
        <v>16</v>
      </c>
      <c r="H1668" s="2">
        <v>0.70702546296296298</v>
      </c>
      <c r="I1668" t="s">
        <v>16</v>
      </c>
      <c r="J1668" t="s">
        <v>23</v>
      </c>
      <c r="K1668">
        <v>5</v>
      </c>
      <c r="L1668">
        <v>30</v>
      </c>
      <c r="M1668">
        <v>150</v>
      </c>
      <c r="N1668">
        <f>IF(COUNTIFS($B$2:B1668,B1668)=1,1,0)</f>
        <v>0</v>
      </c>
    </row>
    <row r="1669" spans="1:14" x14ac:dyDescent="0.2">
      <c r="A1669">
        <v>1668</v>
      </c>
      <c r="B1669">
        <v>1833</v>
      </c>
      <c r="C1669">
        <f>1/COUNTIF(B:B,Table1[[#This Row],[order_id]])</f>
        <v>0.5</v>
      </c>
      <c r="D1669" t="str">
        <f>TEXT(Table1[[#This Row],[order_date]],"mmmm")</f>
        <v>May</v>
      </c>
      <c r="E1669" s="1">
        <v>45420</v>
      </c>
      <c r="F1669" s="1" t="str">
        <f>TEXT(Table1[[#This Row],[order_date]],"dddd")</f>
        <v>Wednesday</v>
      </c>
      <c r="G1669">
        <f>HOUR(Table1[[#This Row],[order_time]])</f>
        <v>10</v>
      </c>
      <c r="H1669" s="2">
        <v>0.43684027777777779</v>
      </c>
      <c r="I1669" t="s">
        <v>11</v>
      </c>
      <c r="J1669" t="s">
        <v>15</v>
      </c>
      <c r="K1669">
        <v>5</v>
      </c>
      <c r="L1669">
        <v>600</v>
      </c>
      <c r="M1669">
        <v>3000</v>
      </c>
      <c r="N1669">
        <f>IF(COUNTIFS($B$2:B1669,B1669)=1,1,0)</f>
        <v>1</v>
      </c>
    </row>
    <row r="1670" spans="1:14" x14ac:dyDescent="0.2">
      <c r="A1670">
        <v>1669</v>
      </c>
      <c r="B1670">
        <v>1833</v>
      </c>
      <c r="C1670">
        <f>1/COUNTIF(B:B,Table1[[#This Row],[order_id]])</f>
        <v>0.5</v>
      </c>
      <c r="D1670" t="str">
        <f>TEXT(Table1[[#This Row],[order_date]],"mmmm")</f>
        <v>May</v>
      </c>
      <c r="E1670" s="1">
        <v>45420</v>
      </c>
      <c r="F1670" s="1" t="str">
        <f>TEXT(Table1[[#This Row],[order_date]],"dddd")</f>
        <v>Wednesday</v>
      </c>
      <c r="G1670">
        <f>HOUR(Table1[[#This Row],[order_time]])</f>
        <v>10</v>
      </c>
      <c r="H1670" s="2">
        <v>0.42592592592592593</v>
      </c>
      <c r="I1670" t="s">
        <v>18</v>
      </c>
      <c r="J1670" t="s">
        <v>27</v>
      </c>
      <c r="K1670">
        <v>4</v>
      </c>
      <c r="L1670">
        <v>40</v>
      </c>
      <c r="M1670">
        <v>160</v>
      </c>
      <c r="N1670">
        <f>IF(COUNTIFS($B$2:B1670,B1670)=1,1,0)</f>
        <v>0</v>
      </c>
    </row>
    <row r="1671" spans="1:14" x14ac:dyDescent="0.2">
      <c r="A1671">
        <v>1670</v>
      </c>
      <c r="B1671">
        <v>1834</v>
      </c>
      <c r="C1671">
        <f>1/COUNTIF(B:B,Table1[[#This Row],[order_id]])</f>
        <v>0.5</v>
      </c>
      <c r="D1671" t="str">
        <f>TEXT(Table1[[#This Row],[order_date]],"mmmm")</f>
        <v>May</v>
      </c>
      <c r="E1671" s="1">
        <v>45421</v>
      </c>
      <c r="F1671" s="1" t="str">
        <f>TEXT(Table1[[#This Row],[order_date]],"dddd")</f>
        <v>Thursday</v>
      </c>
      <c r="G1671">
        <f>HOUR(Table1[[#This Row],[order_time]])</f>
        <v>15</v>
      </c>
      <c r="H1671" s="2">
        <v>0.65134259259259264</v>
      </c>
      <c r="I1671" t="s">
        <v>18</v>
      </c>
      <c r="J1671" t="s">
        <v>31</v>
      </c>
      <c r="K1671">
        <v>1</v>
      </c>
      <c r="L1671">
        <v>45</v>
      </c>
      <c r="M1671">
        <v>45</v>
      </c>
      <c r="N1671">
        <f>IF(COUNTIFS($B$2:B1671,B1671)=1,1,0)</f>
        <v>1</v>
      </c>
    </row>
    <row r="1672" spans="1:14" x14ac:dyDescent="0.2">
      <c r="A1672">
        <v>1671</v>
      </c>
      <c r="B1672">
        <v>1834</v>
      </c>
      <c r="C1672">
        <f>1/COUNTIF(B:B,Table1[[#This Row],[order_id]])</f>
        <v>0.5</v>
      </c>
      <c r="D1672" t="str">
        <f>TEXT(Table1[[#This Row],[order_date]],"mmmm")</f>
        <v>May</v>
      </c>
      <c r="E1672" s="1">
        <v>45421</v>
      </c>
      <c r="F1672" s="1" t="str">
        <f>TEXT(Table1[[#This Row],[order_date]],"dddd")</f>
        <v>Thursday</v>
      </c>
      <c r="G1672">
        <f>HOUR(Table1[[#This Row],[order_time]])</f>
        <v>20</v>
      </c>
      <c r="H1672" s="2">
        <v>0.8649768518518518</v>
      </c>
      <c r="I1672" t="s">
        <v>11</v>
      </c>
      <c r="J1672" t="s">
        <v>14</v>
      </c>
      <c r="K1672">
        <v>2</v>
      </c>
      <c r="L1672">
        <v>700</v>
      </c>
      <c r="M1672">
        <v>1400</v>
      </c>
      <c r="N1672">
        <f>IF(COUNTIFS($B$2:B1672,B1672)=1,1,0)</f>
        <v>0</v>
      </c>
    </row>
    <row r="1673" spans="1:14" x14ac:dyDescent="0.2">
      <c r="A1673">
        <v>1672</v>
      </c>
      <c r="B1673">
        <v>1835</v>
      </c>
      <c r="C1673">
        <f>1/COUNTIF(B:B,Table1[[#This Row],[order_id]])</f>
        <v>0.5</v>
      </c>
      <c r="D1673" t="str">
        <f>TEXT(Table1[[#This Row],[order_date]],"mmmm")</f>
        <v>May</v>
      </c>
      <c r="E1673" s="1">
        <v>45421</v>
      </c>
      <c r="F1673" s="1" t="str">
        <f>TEXT(Table1[[#This Row],[order_date]],"dddd")</f>
        <v>Thursday</v>
      </c>
      <c r="G1673">
        <f>HOUR(Table1[[#This Row],[order_time]])</f>
        <v>11</v>
      </c>
      <c r="H1673" s="2">
        <v>0.48657407407407405</v>
      </c>
      <c r="I1673" t="s">
        <v>11</v>
      </c>
      <c r="J1673" t="s">
        <v>14</v>
      </c>
      <c r="K1673">
        <v>3</v>
      </c>
      <c r="L1673">
        <v>700</v>
      </c>
      <c r="M1673">
        <v>2100</v>
      </c>
      <c r="N1673">
        <f>IF(COUNTIFS($B$2:B1673,B1673)=1,1,0)</f>
        <v>1</v>
      </c>
    </row>
    <row r="1674" spans="1:14" x14ac:dyDescent="0.2">
      <c r="A1674">
        <v>1673</v>
      </c>
      <c r="B1674">
        <v>1835</v>
      </c>
      <c r="C1674">
        <f>1/COUNTIF(B:B,Table1[[#This Row],[order_id]])</f>
        <v>0.5</v>
      </c>
      <c r="D1674" t="str">
        <f>TEXT(Table1[[#This Row],[order_date]],"mmmm")</f>
        <v>May</v>
      </c>
      <c r="E1674" s="1">
        <v>45421</v>
      </c>
      <c r="F1674" s="1" t="str">
        <f>TEXT(Table1[[#This Row],[order_date]],"dddd")</f>
        <v>Thursday</v>
      </c>
      <c r="G1674">
        <f>HOUR(Table1[[#This Row],[order_time]])</f>
        <v>13</v>
      </c>
      <c r="H1674" s="2">
        <v>0.57008101851851856</v>
      </c>
      <c r="I1674" t="s">
        <v>16</v>
      </c>
      <c r="J1674" t="s">
        <v>28</v>
      </c>
      <c r="K1674">
        <v>3</v>
      </c>
      <c r="L1674">
        <v>25</v>
      </c>
      <c r="M1674">
        <v>75</v>
      </c>
      <c r="N1674">
        <f>IF(COUNTIFS($B$2:B1674,B1674)=1,1,0)</f>
        <v>0</v>
      </c>
    </row>
    <row r="1675" spans="1:14" x14ac:dyDescent="0.2">
      <c r="A1675">
        <v>1674</v>
      </c>
      <c r="B1675">
        <v>1836</v>
      </c>
      <c r="C1675">
        <f>1/COUNTIF(B:B,Table1[[#This Row],[order_id]])</f>
        <v>0.5</v>
      </c>
      <c r="D1675" t="str">
        <f>TEXT(Table1[[#This Row],[order_date]],"mmmm")</f>
        <v>May</v>
      </c>
      <c r="E1675" s="1">
        <v>45421</v>
      </c>
      <c r="F1675" s="1" t="str">
        <f>TEXT(Table1[[#This Row],[order_date]],"dddd")</f>
        <v>Thursday</v>
      </c>
      <c r="G1675">
        <f>HOUR(Table1[[#This Row],[order_time]])</f>
        <v>19</v>
      </c>
      <c r="H1675" s="2">
        <v>0.8162962962962963</v>
      </c>
      <c r="I1675" t="s">
        <v>11</v>
      </c>
      <c r="J1675" t="s">
        <v>12</v>
      </c>
      <c r="K1675">
        <v>5</v>
      </c>
      <c r="L1675">
        <v>650</v>
      </c>
      <c r="M1675">
        <v>3250</v>
      </c>
      <c r="N1675">
        <f>IF(COUNTIFS($B$2:B1675,B1675)=1,1,0)</f>
        <v>1</v>
      </c>
    </row>
    <row r="1676" spans="1:14" x14ac:dyDescent="0.2">
      <c r="A1676">
        <v>1675</v>
      </c>
      <c r="B1676">
        <v>1836</v>
      </c>
      <c r="C1676">
        <f>1/COUNTIF(B:B,Table1[[#This Row],[order_id]])</f>
        <v>0.5</v>
      </c>
      <c r="D1676" t="str">
        <f>TEXT(Table1[[#This Row],[order_date]],"mmmm")</f>
        <v>May</v>
      </c>
      <c r="E1676" s="1">
        <v>45421</v>
      </c>
      <c r="F1676" s="1" t="str">
        <f>TEXT(Table1[[#This Row],[order_date]],"dddd")</f>
        <v>Thursday</v>
      </c>
      <c r="G1676">
        <f>HOUR(Table1[[#This Row],[order_time]])</f>
        <v>13</v>
      </c>
      <c r="H1676" s="2">
        <v>0.5809375</v>
      </c>
      <c r="I1676" t="s">
        <v>18</v>
      </c>
      <c r="J1676" t="s">
        <v>26</v>
      </c>
      <c r="K1676">
        <v>1</v>
      </c>
      <c r="L1676">
        <v>55</v>
      </c>
      <c r="M1676">
        <v>55</v>
      </c>
      <c r="N1676">
        <f>IF(COUNTIFS($B$2:B1676,B1676)=1,1,0)</f>
        <v>0</v>
      </c>
    </row>
    <row r="1677" spans="1:14" x14ac:dyDescent="0.2">
      <c r="A1677">
        <v>1676</v>
      </c>
      <c r="B1677">
        <v>1837</v>
      </c>
      <c r="C1677">
        <f>1/COUNTIF(B:B,Table1[[#This Row],[order_id]])</f>
        <v>1</v>
      </c>
      <c r="D1677" t="str">
        <f>TEXT(Table1[[#This Row],[order_date]],"mmmm")</f>
        <v>May</v>
      </c>
      <c r="E1677" s="1">
        <v>45421</v>
      </c>
      <c r="F1677" s="1" t="str">
        <f>TEXT(Table1[[#This Row],[order_date]],"dddd")</f>
        <v>Thursday</v>
      </c>
      <c r="G1677">
        <f>HOUR(Table1[[#This Row],[order_time]])</f>
        <v>18</v>
      </c>
      <c r="H1677" s="2">
        <v>0.78738425925925926</v>
      </c>
      <c r="I1677" t="s">
        <v>18</v>
      </c>
      <c r="J1677" t="s">
        <v>19</v>
      </c>
      <c r="K1677">
        <v>4</v>
      </c>
      <c r="L1677">
        <v>50</v>
      </c>
      <c r="M1677">
        <v>200</v>
      </c>
      <c r="N1677">
        <f>IF(COUNTIFS($B$2:B1677,B1677)=1,1,0)</f>
        <v>1</v>
      </c>
    </row>
    <row r="1678" spans="1:14" x14ac:dyDescent="0.2">
      <c r="A1678">
        <v>1677</v>
      </c>
      <c r="B1678">
        <v>1838</v>
      </c>
      <c r="C1678">
        <f>1/COUNTIF(B:B,Table1[[#This Row],[order_id]])</f>
        <v>1</v>
      </c>
      <c r="D1678" t="str">
        <f>TEXT(Table1[[#This Row],[order_date]],"mmmm")</f>
        <v>May</v>
      </c>
      <c r="E1678" s="1">
        <v>45421</v>
      </c>
      <c r="F1678" s="1" t="str">
        <f>TEXT(Table1[[#This Row],[order_date]],"dddd")</f>
        <v>Thursday</v>
      </c>
      <c r="G1678">
        <f>HOUR(Table1[[#This Row],[order_time]])</f>
        <v>15</v>
      </c>
      <c r="H1678" s="2">
        <v>0.64891203703703704</v>
      </c>
      <c r="I1678" t="s">
        <v>11</v>
      </c>
      <c r="J1678" t="s">
        <v>25</v>
      </c>
      <c r="K1678">
        <v>5</v>
      </c>
      <c r="L1678">
        <v>1000</v>
      </c>
      <c r="M1678">
        <v>5000</v>
      </c>
      <c r="N1678">
        <f>IF(COUNTIFS($B$2:B1678,B1678)=1,1,0)</f>
        <v>1</v>
      </c>
    </row>
    <row r="1679" spans="1:14" x14ac:dyDescent="0.2">
      <c r="A1679">
        <v>1678</v>
      </c>
      <c r="B1679">
        <v>1839</v>
      </c>
      <c r="C1679">
        <f>1/COUNTIF(B:B,Table1[[#This Row],[order_id]])</f>
        <v>1</v>
      </c>
      <c r="D1679" t="str">
        <f>TEXT(Table1[[#This Row],[order_date]],"mmmm")</f>
        <v>May</v>
      </c>
      <c r="E1679" s="1">
        <v>45422</v>
      </c>
      <c r="F1679" s="1" t="str">
        <f>TEXT(Table1[[#This Row],[order_date]],"dddd")</f>
        <v>Friday</v>
      </c>
      <c r="G1679">
        <f>HOUR(Table1[[#This Row],[order_time]])</f>
        <v>10</v>
      </c>
      <c r="H1679" s="2">
        <v>0.45484953703703701</v>
      </c>
      <c r="I1679" t="s">
        <v>16</v>
      </c>
      <c r="J1679" t="s">
        <v>24</v>
      </c>
      <c r="K1679">
        <v>1</v>
      </c>
      <c r="L1679">
        <v>35</v>
      </c>
      <c r="M1679">
        <v>35</v>
      </c>
      <c r="N1679">
        <f>IF(COUNTIFS($B$2:B1679,B1679)=1,1,0)</f>
        <v>1</v>
      </c>
    </row>
    <row r="1680" spans="1:14" x14ac:dyDescent="0.2">
      <c r="A1680">
        <v>1679</v>
      </c>
      <c r="B1680">
        <v>1840</v>
      </c>
      <c r="C1680">
        <f>1/COUNTIF(B:B,Table1[[#This Row],[order_id]])</f>
        <v>1</v>
      </c>
      <c r="D1680" t="str">
        <f>TEXT(Table1[[#This Row],[order_date]],"mmmm")</f>
        <v>May</v>
      </c>
      <c r="E1680" s="1">
        <v>45422</v>
      </c>
      <c r="F1680" s="1" t="str">
        <f>TEXT(Table1[[#This Row],[order_date]],"dddd")</f>
        <v>Friday</v>
      </c>
      <c r="G1680">
        <f>HOUR(Table1[[#This Row],[order_time]])</f>
        <v>17</v>
      </c>
      <c r="H1680" s="2">
        <v>0.74959490740740742</v>
      </c>
      <c r="I1680" t="s">
        <v>16</v>
      </c>
      <c r="J1680" t="s">
        <v>17</v>
      </c>
      <c r="K1680">
        <v>3</v>
      </c>
      <c r="L1680">
        <v>20</v>
      </c>
      <c r="M1680">
        <v>60</v>
      </c>
      <c r="N1680">
        <f>IF(COUNTIFS($B$2:B1680,B1680)=1,1,0)</f>
        <v>1</v>
      </c>
    </row>
    <row r="1681" spans="1:14" x14ac:dyDescent="0.2">
      <c r="A1681">
        <v>1680</v>
      </c>
      <c r="B1681">
        <v>1841</v>
      </c>
      <c r="C1681">
        <f>1/COUNTIF(B:B,Table1[[#This Row],[order_id]])</f>
        <v>0.5</v>
      </c>
      <c r="D1681" t="str">
        <f>TEXT(Table1[[#This Row],[order_date]],"mmmm")</f>
        <v>May</v>
      </c>
      <c r="E1681" s="1">
        <v>45422</v>
      </c>
      <c r="F1681" s="1" t="str">
        <f>TEXT(Table1[[#This Row],[order_date]],"dddd")</f>
        <v>Friday</v>
      </c>
      <c r="G1681">
        <f>HOUR(Table1[[#This Row],[order_time]])</f>
        <v>9</v>
      </c>
      <c r="H1681" s="2">
        <v>0.38564814814814813</v>
      </c>
      <c r="I1681" t="s">
        <v>9</v>
      </c>
      <c r="J1681" t="s">
        <v>29</v>
      </c>
      <c r="K1681">
        <v>3</v>
      </c>
      <c r="L1681">
        <v>5</v>
      </c>
      <c r="M1681">
        <v>15</v>
      </c>
      <c r="N1681">
        <f>IF(COUNTIFS($B$2:B1681,B1681)=1,1,0)</f>
        <v>1</v>
      </c>
    </row>
    <row r="1682" spans="1:14" x14ac:dyDescent="0.2">
      <c r="A1682">
        <v>1681</v>
      </c>
      <c r="B1682">
        <v>1841</v>
      </c>
      <c r="C1682">
        <f>1/COUNTIF(B:B,Table1[[#This Row],[order_id]])</f>
        <v>0.5</v>
      </c>
      <c r="D1682" t="str">
        <f>TEXT(Table1[[#This Row],[order_date]],"mmmm")</f>
        <v>May</v>
      </c>
      <c r="E1682" s="1">
        <v>45422</v>
      </c>
      <c r="F1682" s="1" t="str">
        <f>TEXT(Table1[[#This Row],[order_date]],"dddd")</f>
        <v>Friday</v>
      </c>
      <c r="G1682">
        <f>HOUR(Table1[[#This Row],[order_time]])</f>
        <v>10</v>
      </c>
      <c r="H1682" s="2">
        <v>0.45270833333333332</v>
      </c>
      <c r="I1682" t="s">
        <v>11</v>
      </c>
      <c r="J1682" t="s">
        <v>14</v>
      </c>
      <c r="K1682">
        <v>5</v>
      </c>
      <c r="L1682">
        <v>700</v>
      </c>
      <c r="M1682">
        <v>3500</v>
      </c>
      <c r="N1682">
        <f>IF(COUNTIFS($B$2:B1682,B1682)=1,1,0)</f>
        <v>0</v>
      </c>
    </row>
    <row r="1683" spans="1:14" x14ac:dyDescent="0.2">
      <c r="A1683">
        <v>1682</v>
      </c>
      <c r="B1683">
        <v>1842</v>
      </c>
      <c r="C1683">
        <f>1/COUNTIF(B:B,Table1[[#This Row],[order_id]])</f>
        <v>0.33333333333333331</v>
      </c>
      <c r="D1683" t="str">
        <f>TEXT(Table1[[#This Row],[order_date]],"mmmm")</f>
        <v>May</v>
      </c>
      <c r="E1683" s="1">
        <v>45422</v>
      </c>
      <c r="F1683" s="1" t="str">
        <f>TEXT(Table1[[#This Row],[order_date]],"dddd")</f>
        <v>Friday</v>
      </c>
      <c r="G1683">
        <f>HOUR(Table1[[#This Row],[order_time]])</f>
        <v>15</v>
      </c>
      <c r="H1683" s="2">
        <v>0.65348379629629627</v>
      </c>
      <c r="I1683" t="s">
        <v>9</v>
      </c>
      <c r="J1683" t="s">
        <v>29</v>
      </c>
      <c r="K1683">
        <v>4</v>
      </c>
      <c r="L1683">
        <v>5</v>
      </c>
      <c r="M1683">
        <v>20</v>
      </c>
      <c r="N1683">
        <f>IF(COUNTIFS($B$2:B1683,B1683)=1,1,0)</f>
        <v>1</v>
      </c>
    </row>
    <row r="1684" spans="1:14" x14ac:dyDescent="0.2">
      <c r="A1684">
        <v>1683</v>
      </c>
      <c r="B1684">
        <v>1842</v>
      </c>
      <c r="C1684">
        <f>1/COUNTIF(B:B,Table1[[#This Row],[order_id]])</f>
        <v>0.33333333333333331</v>
      </c>
      <c r="D1684" t="str">
        <f>TEXT(Table1[[#This Row],[order_date]],"mmmm")</f>
        <v>May</v>
      </c>
      <c r="E1684" s="1">
        <v>45422</v>
      </c>
      <c r="F1684" s="1" t="str">
        <f>TEXT(Table1[[#This Row],[order_date]],"dddd")</f>
        <v>Friday</v>
      </c>
      <c r="G1684">
        <f>HOUR(Table1[[#This Row],[order_time]])</f>
        <v>16</v>
      </c>
      <c r="H1684" s="2">
        <v>0.69642361111111106</v>
      </c>
      <c r="I1684" t="s">
        <v>11</v>
      </c>
      <c r="J1684" t="s">
        <v>13</v>
      </c>
      <c r="K1684">
        <v>4</v>
      </c>
      <c r="L1684">
        <v>680</v>
      </c>
      <c r="M1684">
        <v>2720</v>
      </c>
      <c r="N1684">
        <f>IF(COUNTIFS($B$2:B1684,B1684)=1,1,0)</f>
        <v>0</v>
      </c>
    </row>
    <row r="1685" spans="1:14" x14ac:dyDescent="0.2">
      <c r="A1685">
        <v>1684</v>
      </c>
      <c r="B1685">
        <v>1842</v>
      </c>
      <c r="C1685">
        <f>1/COUNTIF(B:B,Table1[[#This Row],[order_id]])</f>
        <v>0.33333333333333331</v>
      </c>
      <c r="D1685" t="str">
        <f>TEXT(Table1[[#This Row],[order_date]],"mmmm")</f>
        <v>May</v>
      </c>
      <c r="E1685" s="1">
        <v>45422</v>
      </c>
      <c r="F1685" s="1" t="str">
        <f>TEXT(Table1[[#This Row],[order_date]],"dddd")</f>
        <v>Friday</v>
      </c>
      <c r="G1685">
        <f>HOUR(Table1[[#This Row],[order_time]])</f>
        <v>15</v>
      </c>
      <c r="H1685" s="2">
        <v>0.62571759259259263</v>
      </c>
      <c r="I1685" t="s">
        <v>18</v>
      </c>
      <c r="J1685" t="s">
        <v>26</v>
      </c>
      <c r="K1685">
        <v>2</v>
      </c>
      <c r="L1685">
        <v>55</v>
      </c>
      <c r="M1685">
        <v>110</v>
      </c>
      <c r="N1685">
        <f>IF(COUNTIFS($B$2:B1685,B1685)=1,1,0)</f>
        <v>0</v>
      </c>
    </row>
    <row r="1686" spans="1:14" x14ac:dyDescent="0.2">
      <c r="A1686">
        <v>1685</v>
      </c>
      <c r="B1686">
        <v>1843</v>
      </c>
      <c r="C1686">
        <f>1/COUNTIF(B:B,Table1[[#This Row],[order_id]])</f>
        <v>0.33333333333333331</v>
      </c>
      <c r="D1686" t="str">
        <f>TEXT(Table1[[#This Row],[order_date]],"mmmm")</f>
        <v>May</v>
      </c>
      <c r="E1686" s="1">
        <v>45422</v>
      </c>
      <c r="F1686" s="1" t="str">
        <f>TEXT(Table1[[#This Row],[order_date]],"dddd")</f>
        <v>Friday</v>
      </c>
      <c r="G1686">
        <f>HOUR(Table1[[#This Row],[order_time]])</f>
        <v>9</v>
      </c>
      <c r="H1686" s="2">
        <v>0.41528935185185184</v>
      </c>
      <c r="I1686" t="s">
        <v>11</v>
      </c>
      <c r="J1686" t="s">
        <v>12</v>
      </c>
      <c r="K1686">
        <v>5</v>
      </c>
      <c r="L1686">
        <v>650</v>
      </c>
      <c r="M1686">
        <v>3250</v>
      </c>
      <c r="N1686">
        <f>IF(COUNTIFS($B$2:B1686,B1686)=1,1,0)</f>
        <v>1</v>
      </c>
    </row>
    <row r="1687" spans="1:14" x14ac:dyDescent="0.2">
      <c r="A1687">
        <v>1686</v>
      </c>
      <c r="B1687">
        <v>1843</v>
      </c>
      <c r="C1687">
        <f>1/COUNTIF(B:B,Table1[[#This Row],[order_id]])</f>
        <v>0.33333333333333331</v>
      </c>
      <c r="D1687" t="str">
        <f>TEXT(Table1[[#This Row],[order_date]],"mmmm")</f>
        <v>May</v>
      </c>
      <c r="E1687" s="1">
        <v>45422</v>
      </c>
      <c r="F1687" s="1" t="str">
        <f>TEXT(Table1[[#This Row],[order_date]],"dddd")</f>
        <v>Friday</v>
      </c>
      <c r="G1687">
        <f>HOUR(Table1[[#This Row],[order_time]])</f>
        <v>18</v>
      </c>
      <c r="H1687" s="2">
        <v>0.7897453703703704</v>
      </c>
      <c r="I1687" t="s">
        <v>16</v>
      </c>
      <c r="J1687" t="s">
        <v>28</v>
      </c>
      <c r="K1687">
        <v>5</v>
      </c>
      <c r="L1687">
        <v>25</v>
      </c>
      <c r="M1687">
        <v>125</v>
      </c>
      <c r="N1687">
        <f>IF(COUNTIFS($B$2:B1687,B1687)=1,1,0)</f>
        <v>0</v>
      </c>
    </row>
    <row r="1688" spans="1:14" x14ac:dyDescent="0.2">
      <c r="A1688">
        <v>1687</v>
      </c>
      <c r="B1688">
        <v>1843</v>
      </c>
      <c r="C1688">
        <f>1/COUNTIF(B:B,Table1[[#This Row],[order_id]])</f>
        <v>0.33333333333333331</v>
      </c>
      <c r="D1688" t="str">
        <f>TEXT(Table1[[#This Row],[order_date]],"mmmm")</f>
        <v>May</v>
      </c>
      <c r="E1688" s="1">
        <v>45422</v>
      </c>
      <c r="F1688" s="1" t="str">
        <f>TEXT(Table1[[#This Row],[order_date]],"dddd")</f>
        <v>Friday</v>
      </c>
      <c r="G1688">
        <f>HOUR(Table1[[#This Row],[order_time]])</f>
        <v>15</v>
      </c>
      <c r="H1688" s="2">
        <v>0.65120370370370373</v>
      </c>
      <c r="I1688" t="s">
        <v>16</v>
      </c>
      <c r="J1688" t="s">
        <v>28</v>
      </c>
      <c r="K1688">
        <v>2</v>
      </c>
      <c r="L1688">
        <v>25</v>
      </c>
      <c r="M1688">
        <v>50</v>
      </c>
      <c r="N1688">
        <f>IF(COUNTIFS($B$2:B1688,B1688)=1,1,0)</f>
        <v>0</v>
      </c>
    </row>
    <row r="1689" spans="1:14" x14ac:dyDescent="0.2">
      <c r="A1689">
        <v>1688</v>
      </c>
      <c r="B1689">
        <v>1844</v>
      </c>
      <c r="C1689">
        <f>1/COUNTIF(B:B,Table1[[#This Row],[order_id]])</f>
        <v>1</v>
      </c>
      <c r="D1689" t="str">
        <f>TEXT(Table1[[#This Row],[order_date]],"mmmm")</f>
        <v>May</v>
      </c>
      <c r="E1689" s="1">
        <v>45422</v>
      </c>
      <c r="F1689" s="1" t="str">
        <f>TEXT(Table1[[#This Row],[order_date]],"dddd")</f>
        <v>Friday</v>
      </c>
      <c r="G1689">
        <f>HOUR(Table1[[#This Row],[order_time]])</f>
        <v>20</v>
      </c>
      <c r="H1689" s="2">
        <v>0.87327546296296299</v>
      </c>
      <c r="I1689" t="s">
        <v>9</v>
      </c>
      <c r="J1689" t="s">
        <v>21</v>
      </c>
      <c r="K1689">
        <v>5</v>
      </c>
      <c r="L1689">
        <v>10</v>
      </c>
      <c r="M1689">
        <v>50</v>
      </c>
      <c r="N1689">
        <f>IF(COUNTIFS($B$2:B1689,B1689)=1,1,0)</f>
        <v>1</v>
      </c>
    </row>
    <row r="1690" spans="1:14" x14ac:dyDescent="0.2">
      <c r="A1690">
        <v>1689</v>
      </c>
      <c r="B1690">
        <v>1845</v>
      </c>
      <c r="C1690">
        <f>1/COUNTIF(B:B,Table1[[#This Row],[order_id]])</f>
        <v>0.33333333333333331</v>
      </c>
      <c r="D1690" t="str">
        <f>TEXT(Table1[[#This Row],[order_date]],"mmmm")</f>
        <v>May</v>
      </c>
      <c r="E1690" s="1">
        <v>45422</v>
      </c>
      <c r="F1690" s="1" t="str">
        <f>TEXT(Table1[[#This Row],[order_date]],"dddd")</f>
        <v>Friday</v>
      </c>
      <c r="G1690">
        <f>HOUR(Table1[[#This Row],[order_time]])</f>
        <v>18</v>
      </c>
      <c r="H1690" s="2">
        <v>0.75475694444444441</v>
      </c>
      <c r="I1690" t="s">
        <v>16</v>
      </c>
      <c r="J1690" t="s">
        <v>28</v>
      </c>
      <c r="K1690">
        <v>1</v>
      </c>
      <c r="L1690">
        <v>25</v>
      </c>
      <c r="M1690">
        <v>25</v>
      </c>
      <c r="N1690">
        <f>IF(COUNTIFS($B$2:B1690,B1690)=1,1,0)</f>
        <v>1</v>
      </c>
    </row>
    <row r="1691" spans="1:14" x14ac:dyDescent="0.2">
      <c r="A1691">
        <v>1690</v>
      </c>
      <c r="B1691">
        <v>1845</v>
      </c>
      <c r="C1691">
        <f>1/COUNTIF(B:B,Table1[[#This Row],[order_id]])</f>
        <v>0.33333333333333331</v>
      </c>
      <c r="D1691" t="str">
        <f>TEXT(Table1[[#This Row],[order_date]],"mmmm")</f>
        <v>May</v>
      </c>
      <c r="E1691" s="1">
        <v>45422</v>
      </c>
      <c r="F1691" s="1" t="str">
        <f>TEXT(Table1[[#This Row],[order_date]],"dddd")</f>
        <v>Friday</v>
      </c>
      <c r="G1691">
        <f>HOUR(Table1[[#This Row],[order_time]])</f>
        <v>20</v>
      </c>
      <c r="H1691" s="2">
        <v>0.86305555555555558</v>
      </c>
      <c r="I1691" t="s">
        <v>16</v>
      </c>
      <c r="J1691" t="s">
        <v>28</v>
      </c>
      <c r="K1691">
        <v>1</v>
      </c>
      <c r="L1691">
        <v>25</v>
      </c>
      <c r="M1691">
        <v>25</v>
      </c>
      <c r="N1691">
        <f>IF(COUNTIFS($B$2:B1691,B1691)=1,1,0)</f>
        <v>0</v>
      </c>
    </row>
    <row r="1692" spans="1:14" x14ac:dyDescent="0.2">
      <c r="A1692">
        <v>1691</v>
      </c>
      <c r="B1692">
        <v>1845</v>
      </c>
      <c r="C1692">
        <f>1/COUNTIF(B:B,Table1[[#This Row],[order_id]])</f>
        <v>0.33333333333333331</v>
      </c>
      <c r="D1692" t="str">
        <f>TEXT(Table1[[#This Row],[order_date]],"mmmm")</f>
        <v>May</v>
      </c>
      <c r="E1692" s="1">
        <v>45422</v>
      </c>
      <c r="F1692" s="1" t="str">
        <f>TEXT(Table1[[#This Row],[order_date]],"dddd")</f>
        <v>Friday</v>
      </c>
      <c r="G1692">
        <f>HOUR(Table1[[#This Row],[order_time]])</f>
        <v>10</v>
      </c>
      <c r="H1692" s="2">
        <v>0.43511574074074072</v>
      </c>
      <c r="I1692" t="s">
        <v>9</v>
      </c>
      <c r="J1692" t="s">
        <v>20</v>
      </c>
      <c r="K1692">
        <v>3</v>
      </c>
      <c r="L1692">
        <v>25</v>
      </c>
      <c r="M1692">
        <v>75</v>
      </c>
      <c r="N1692">
        <f>IF(COUNTIFS($B$2:B1692,B1692)=1,1,0)</f>
        <v>0</v>
      </c>
    </row>
    <row r="1693" spans="1:14" x14ac:dyDescent="0.2">
      <c r="A1693">
        <v>1692</v>
      </c>
      <c r="B1693">
        <v>1846</v>
      </c>
      <c r="C1693">
        <f>1/COUNTIF(B:B,Table1[[#This Row],[order_id]])</f>
        <v>1</v>
      </c>
      <c r="D1693" t="str">
        <f>TEXT(Table1[[#This Row],[order_date]],"mmmm")</f>
        <v>May</v>
      </c>
      <c r="E1693" s="1">
        <v>45422</v>
      </c>
      <c r="F1693" s="1" t="str">
        <f>TEXT(Table1[[#This Row],[order_date]],"dddd")</f>
        <v>Friday</v>
      </c>
      <c r="G1693">
        <f>HOUR(Table1[[#This Row],[order_time]])</f>
        <v>11</v>
      </c>
      <c r="H1693" s="2">
        <v>0.46273148148148147</v>
      </c>
      <c r="I1693" t="s">
        <v>9</v>
      </c>
      <c r="J1693" t="s">
        <v>10</v>
      </c>
      <c r="K1693">
        <v>4</v>
      </c>
      <c r="L1693">
        <v>20</v>
      </c>
      <c r="M1693">
        <v>80</v>
      </c>
      <c r="N1693">
        <f>IF(COUNTIFS($B$2:B1693,B1693)=1,1,0)</f>
        <v>1</v>
      </c>
    </row>
    <row r="1694" spans="1:14" x14ac:dyDescent="0.2">
      <c r="A1694">
        <v>1693</v>
      </c>
      <c r="B1694">
        <v>1847</v>
      </c>
      <c r="C1694">
        <f>1/COUNTIF(B:B,Table1[[#This Row],[order_id]])</f>
        <v>0.5</v>
      </c>
      <c r="D1694" t="str">
        <f>TEXT(Table1[[#This Row],[order_date]],"mmmm")</f>
        <v>May</v>
      </c>
      <c r="E1694" s="1">
        <v>45423</v>
      </c>
      <c r="F1694" s="1" t="str">
        <f>TEXT(Table1[[#This Row],[order_date]],"dddd")</f>
        <v>Saturday</v>
      </c>
      <c r="G1694">
        <f>HOUR(Table1[[#This Row],[order_time]])</f>
        <v>18</v>
      </c>
      <c r="H1694" s="2">
        <v>0.75927083333333334</v>
      </c>
      <c r="I1694" t="s">
        <v>16</v>
      </c>
      <c r="J1694" t="s">
        <v>23</v>
      </c>
      <c r="K1694">
        <v>1</v>
      </c>
      <c r="L1694">
        <v>30</v>
      </c>
      <c r="M1694">
        <v>30</v>
      </c>
      <c r="N1694">
        <f>IF(COUNTIFS($B$2:B1694,B1694)=1,1,0)</f>
        <v>1</v>
      </c>
    </row>
    <row r="1695" spans="1:14" x14ac:dyDescent="0.2">
      <c r="A1695">
        <v>1694</v>
      </c>
      <c r="B1695">
        <v>1847</v>
      </c>
      <c r="C1695">
        <f>1/COUNTIF(B:B,Table1[[#This Row],[order_id]])</f>
        <v>0.5</v>
      </c>
      <c r="D1695" t="str">
        <f>TEXT(Table1[[#This Row],[order_date]],"mmmm")</f>
        <v>May</v>
      </c>
      <c r="E1695" s="1">
        <v>45423</v>
      </c>
      <c r="F1695" s="1" t="str">
        <f>TEXT(Table1[[#This Row],[order_date]],"dddd")</f>
        <v>Saturday</v>
      </c>
      <c r="G1695">
        <f>HOUR(Table1[[#This Row],[order_time]])</f>
        <v>9</v>
      </c>
      <c r="H1695" s="2">
        <v>0.41471064814814818</v>
      </c>
      <c r="I1695" t="s">
        <v>16</v>
      </c>
      <c r="J1695" t="s">
        <v>23</v>
      </c>
      <c r="K1695">
        <v>4</v>
      </c>
      <c r="L1695">
        <v>30</v>
      </c>
      <c r="M1695">
        <v>120</v>
      </c>
      <c r="N1695">
        <f>IF(COUNTIFS($B$2:B1695,B1695)=1,1,0)</f>
        <v>0</v>
      </c>
    </row>
    <row r="1696" spans="1:14" x14ac:dyDescent="0.2">
      <c r="A1696">
        <v>1695</v>
      </c>
      <c r="B1696">
        <v>1848</v>
      </c>
      <c r="C1696">
        <f>1/COUNTIF(B:B,Table1[[#This Row],[order_id]])</f>
        <v>1</v>
      </c>
      <c r="D1696" t="str">
        <f>TEXT(Table1[[#This Row],[order_date]],"mmmm")</f>
        <v>May</v>
      </c>
      <c r="E1696" s="1">
        <v>45423</v>
      </c>
      <c r="F1696" s="1" t="str">
        <f>TEXT(Table1[[#This Row],[order_date]],"dddd")</f>
        <v>Saturday</v>
      </c>
      <c r="G1696">
        <f>HOUR(Table1[[#This Row],[order_time]])</f>
        <v>19</v>
      </c>
      <c r="H1696" s="2">
        <v>0.80763888888888891</v>
      </c>
      <c r="I1696" t="s">
        <v>9</v>
      </c>
      <c r="J1696" t="s">
        <v>10</v>
      </c>
      <c r="K1696">
        <v>3</v>
      </c>
      <c r="L1696">
        <v>20</v>
      </c>
      <c r="M1696">
        <v>60</v>
      </c>
      <c r="N1696">
        <f>IF(COUNTIFS($B$2:B1696,B1696)=1,1,0)</f>
        <v>1</v>
      </c>
    </row>
    <row r="1697" spans="1:14" x14ac:dyDescent="0.2">
      <c r="A1697">
        <v>1696</v>
      </c>
      <c r="B1697">
        <v>1849</v>
      </c>
      <c r="C1697">
        <f>1/COUNTIF(B:B,Table1[[#This Row],[order_id]])</f>
        <v>0.33333333333333331</v>
      </c>
      <c r="D1697" t="str">
        <f>TEXT(Table1[[#This Row],[order_date]],"mmmm")</f>
        <v>May</v>
      </c>
      <c r="E1697" s="1">
        <v>45423</v>
      </c>
      <c r="F1697" s="1" t="str">
        <f>TEXT(Table1[[#This Row],[order_date]],"dddd")</f>
        <v>Saturday</v>
      </c>
      <c r="G1697">
        <f>HOUR(Table1[[#This Row],[order_time]])</f>
        <v>17</v>
      </c>
      <c r="H1697" s="2">
        <v>0.73402777777777772</v>
      </c>
      <c r="I1697" t="s">
        <v>9</v>
      </c>
      <c r="J1697" t="s">
        <v>21</v>
      </c>
      <c r="K1697">
        <v>4</v>
      </c>
      <c r="L1697">
        <v>10</v>
      </c>
      <c r="M1697">
        <v>40</v>
      </c>
      <c r="N1697">
        <f>IF(COUNTIFS($B$2:B1697,B1697)=1,1,0)</f>
        <v>1</v>
      </c>
    </row>
    <row r="1698" spans="1:14" x14ac:dyDescent="0.2">
      <c r="A1698">
        <v>1697</v>
      </c>
      <c r="B1698">
        <v>1849</v>
      </c>
      <c r="C1698">
        <f>1/COUNTIF(B:B,Table1[[#This Row],[order_id]])</f>
        <v>0.33333333333333331</v>
      </c>
      <c r="D1698" t="str">
        <f>TEXT(Table1[[#This Row],[order_date]],"mmmm")</f>
        <v>May</v>
      </c>
      <c r="E1698" s="1">
        <v>45423</v>
      </c>
      <c r="F1698" s="1" t="str">
        <f>TEXT(Table1[[#This Row],[order_date]],"dddd")</f>
        <v>Saturday</v>
      </c>
      <c r="G1698">
        <f>HOUR(Table1[[#This Row],[order_time]])</f>
        <v>18</v>
      </c>
      <c r="H1698" s="2">
        <v>0.77695601851851848</v>
      </c>
      <c r="I1698" t="s">
        <v>9</v>
      </c>
      <c r="J1698" t="s">
        <v>10</v>
      </c>
      <c r="K1698">
        <v>2</v>
      </c>
      <c r="L1698">
        <v>20</v>
      </c>
      <c r="M1698">
        <v>40</v>
      </c>
      <c r="N1698">
        <f>IF(COUNTIFS($B$2:B1698,B1698)=1,1,0)</f>
        <v>0</v>
      </c>
    </row>
    <row r="1699" spans="1:14" x14ac:dyDescent="0.2">
      <c r="A1699">
        <v>1698</v>
      </c>
      <c r="B1699">
        <v>1849</v>
      </c>
      <c r="C1699">
        <f>1/COUNTIF(B:B,Table1[[#This Row],[order_id]])</f>
        <v>0.33333333333333331</v>
      </c>
      <c r="D1699" t="str">
        <f>TEXT(Table1[[#This Row],[order_date]],"mmmm")</f>
        <v>May</v>
      </c>
      <c r="E1699" s="1">
        <v>45423</v>
      </c>
      <c r="F1699" s="1" t="str">
        <f>TEXT(Table1[[#This Row],[order_date]],"dddd")</f>
        <v>Saturday</v>
      </c>
      <c r="G1699">
        <f>HOUR(Table1[[#This Row],[order_time]])</f>
        <v>11</v>
      </c>
      <c r="H1699" s="2">
        <v>0.47386574074074073</v>
      </c>
      <c r="I1699" t="s">
        <v>11</v>
      </c>
      <c r="J1699" t="s">
        <v>12</v>
      </c>
      <c r="K1699">
        <v>2</v>
      </c>
      <c r="L1699">
        <v>650</v>
      </c>
      <c r="M1699">
        <v>1300</v>
      </c>
      <c r="N1699">
        <f>IF(COUNTIFS($B$2:B1699,B1699)=1,1,0)</f>
        <v>0</v>
      </c>
    </row>
    <row r="1700" spans="1:14" x14ac:dyDescent="0.2">
      <c r="A1700">
        <v>1699</v>
      </c>
      <c r="B1700">
        <v>1850</v>
      </c>
      <c r="C1700">
        <f>1/COUNTIF(B:B,Table1[[#This Row],[order_id]])</f>
        <v>0.33333333333333331</v>
      </c>
      <c r="D1700" t="str">
        <f>TEXT(Table1[[#This Row],[order_date]],"mmmm")</f>
        <v>May</v>
      </c>
      <c r="E1700" s="1">
        <v>45423</v>
      </c>
      <c r="F1700" s="1" t="str">
        <f>TEXT(Table1[[#This Row],[order_date]],"dddd")</f>
        <v>Saturday</v>
      </c>
      <c r="G1700">
        <f>HOUR(Table1[[#This Row],[order_time]])</f>
        <v>13</v>
      </c>
      <c r="H1700" s="2">
        <v>0.56817129629629626</v>
      </c>
      <c r="I1700" t="s">
        <v>11</v>
      </c>
      <c r="J1700" t="s">
        <v>12</v>
      </c>
      <c r="K1700">
        <v>2</v>
      </c>
      <c r="L1700">
        <v>650</v>
      </c>
      <c r="M1700">
        <v>1300</v>
      </c>
      <c r="N1700">
        <f>IF(COUNTIFS($B$2:B1700,B1700)=1,1,0)</f>
        <v>1</v>
      </c>
    </row>
    <row r="1701" spans="1:14" x14ac:dyDescent="0.2">
      <c r="A1701">
        <v>1700</v>
      </c>
      <c r="B1701">
        <v>1850</v>
      </c>
      <c r="C1701">
        <f>1/COUNTIF(B:B,Table1[[#This Row],[order_id]])</f>
        <v>0.33333333333333331</v>
      </c>
      <c r="D1701" t="str">
        <f>TEXT(Table1[[#This Row],[order_date]],"mmmm")</f>
        <v>May</v>
      </c>
      <c r="E1701" s="1">
        <v>45423</v>
      </c>
      <c r="F1701" s="1" t="str">
        <f>TEXT(Table1[[#This Row],[order_date]],"dddd")</f>
        <v>Saturday</v>
      </c>
      <c r="G1701">
        <f>HOUR(Table1[[#This Row],[order_time]])</f>
        <v>11</v>
      </c>
      <c r="H1701" s="2">
        <v>0.48841435185185184</v>
      </c>
      <c r="I1701" t="s">
        <v>18</v>
      </c>
      <c r="J1701" t="s">
        <v>19</v>
      </c>
      <c r="K1701">
        <v>1</v>
      </c>
      <c r="L1701">
        <v>50</v>
      </c>
      <c r="M1701">
        <v>50</v>
      </c>
      <c r="N1701">
        <f>IF(COUNTIFS($B$2:B1701,B1701)=1,1,0)</f>
        <v>0</v>
      </c>
    </row>
    <row r="1702" spans="1:14" x14ac:dyDescent="0.2">
      <c r="A1702">
        <v>1701</v>
      </c>
      <c r="B1702">
        <v>1850</v>
      </c>
      <c r="C1702">
        <f>1/COUNTIF(B:B,Table1[[#This Row],[order_id]])</f>
        <v>0.33333333333333331</v>
      </c>
      <c r="D1702" t="str">
        <f>TEXT(Table1[[#This Row],[order_date]],"mmmm")</f>
        <v>May</v>
      </c>
      <c r="E1702" s="1">
        <v>45423</v>
      </c>
      <c r="F1702" s="1" t="str">
        <f>TEXT(Table1[[#This Row],[order_date]],"dddd")</f>
        <v>Saturday</v>
      </c>
      <c r="G1702">
        <f>HOUR(Table1[[#This Row],[order_time]])</f>
        <v>14</v>
      </c>
      <c r="H1702" s="2">
        <v>0.6060416666666667</v>
      </c>
      <c r="I1702" t="s">
        <v>18</v>
      </c>
      <c r="J1702" t="s">
        <v>26</v>
      </c>
      <c r="K1702">
        <v>2</v>
      </c>
      <c r="L1702">
        <v>55</v>
      </c>
      <c r="M1702">
        <v>110</v>
      </c>
      <c r="N1702">
        <f>IF(COUNTIFS($B$2:B1702,B1702)=1,1,0)</f>
        <v>0</v>
      </c>
    </row>
    <row r="1703" spans="1:14" x14ac:dyDescent="0.2">
      <c r="A1703">
        <v>1702</v>
      </c>
      <c r="B1703">
        <v>1851</v>
      </c>
      <c r="C1703">
        <f>1/COUNTIF(B:B,Table1[[#This Row],[order_id]])</f>
        <v>0.33333333333333331</v>
      </c>
      <c r="D1703" t="str">
        <f>TEXT(Table1[[#This Row],[order_date]],"mmmm")</f>
        <v>May</v>
      </c>
      <c r="E1703" s="1">
        <v>45423</v>
      </c>
      <c r="F1703" s="1" t="str">
        <f>TEXT(Table1[[#This Row],[order_date]],"dddd")</f>
        <v>Saturday</v>
      </c>
      <c r="G1703">
        <f>HOUR(Table1[[#This Row],[order_time]])</f>
        <v>12</v>
      </c>
      <c r="H1703" s="2">
        <v>0.51782407407407405</v>
      </c>
      <c r="I1703" t="s">
        <v>18</v>
      </c>
      <c r="J1703" t="s">
        <v>19</v>
      </c>
      <c r="K1703">
        <v>1</v>
      </c>
      <c r="L1703">
        <v>50</v>
      </c>
      <c r="M1703">
        <v>50</v>
      </c>
      <c r="N1703">
        <f>IF(COUNTIFS($B$2:B1703,B1703)=1,1,0)</f>
        <v>1</v>
      </c>
    </row>
    <row r="1704" spans="1:14" x14ac:dyDescent="0.2">
      <c r="A1704">
        <v>1703</v>
      </c>
      <c r="B1704">
        <v>1851</v>
      </c>
      <c r="C1704">
        <f>1/COUNTIF(B:B,Table1[[#This Row],[order_id]])</f>
        <v>0.33333333333333331</v>
      </c>
      <c r="D1704" t="str">
        <f>TEXT(Table1[[#This Row],[order_date]],"mmmm")</f>
        <v>May</v>
      </c>
      <c r="E1704" s="1">
        <v>45423</v>
      </c>
      <c r="F1704" s="1" t="str">
        <f>TEXT(Table1[[#This Row],[order_date]],"dddd")</f>
        <v>Saturday</v>
      </c>
      <c r="G1704">
        <f>HOUR(Table1[[#This Row],[order_time]])</f>
        <v>11</v>
      </c>
      <c r="H1704" s="2">
        <v>0.48052083333333334</v>
      </c>
      <c r="I1704" t="s">
        <v>9</v>
      </c>
      <c r="J1704" t="s">
        <v>22</v>
      </c>
      <c r="K1704">
        <v>2</v>
      </c>
      <c r="L1704">
        <v>15</v>
      </c>
      <c r="M1704">
        <v>30</v>
      </c>
      <c r="N1704">
        <f>IF(COUNTIFS($B$2:B1704,B1704)=1,1,0)</f>
        <v>0</v>
      </c>
    </row>
    <row r="1705" spans="1:14" x14ac:dyDescent="0.2">
      <c r="A1705">
        <v>1704</v>
      </c>
      <c r="B1705">
        <v>1851</v>
      </c>
      <c r="C1705">
        <f>1/COUNTIF(B:B,Table1[[#This Row],[order_id]])</f>
        <v>0.33333333333333331</v>
      </c>
      <c r="D1705" t="str">
        <f>TEXT(Table1[[#This Row],[order_date]],"mmmm")</f>
        <v>May</v>
      </c>
      <c r="E1705" s="1">
        <v>45423</v>
      </c>
      <c r="F1705" s="1" t="str">
        <f>TEXT(Table1[[#This Row],[order_date]],"dddd")</f>
        <v>Saturday</v>
      </c>
      <c r="G1705">
        <f>HOUR(Table1[[#This Row],[order_time]])</f>
        <v>19</v>
      </c>
      <c r="H1705" s="2">
        <v>0.82203703703703701</v>
      </c>
      <c r="I1705" t="s">
        <v>16</v>
      </c>
      <c r="J1705" t="s">
        <v>23</v>
      </c>
      <c r="K1705">
        <v>3</v>
      </c>
      <c r="L1705">
        <v>30</v>
      </c>
      <c r="M1705">
        <v>90</v>
      </c>
      <c r="N1705">
        <f>IF(COUNTIFS($B$2:B1705,B1705)=1,1,0)</f>
        <v>0</v>
      </c>
    </row>
    <row r="1706" spans="1:14" x14ac:dyDescent="0.2">
      <c r="A1706">
        <v>1705</v>
      </c>
      <c r="B1706">
        <v>1852</v>
      </c>
      <c r="C1706">
        <f>1/COUNTIF(B:B,Table1[[#This Row],[order_id]])</f>
        <v>0.5</v>
      </c>
      <c r="D1706" t="str">
        <f>TEXT(Table1[[#This Row],[order_date]],"mmmm")</f>
        <v>May</v>
      </c>
      <c r="E1706" s="1">
        <v>45423</v>
      </c>
      <c r="F1706" s="1" t="str">
        <f>TEXT(Table1[[#This Row],[order_date]],"dddd")</f>
        <v>Saturday</v>
      </c>
      <c r="G1706">
        <f>HOUR(Table1[[#This Row],[order_time]])</f>
        <v>19</v>
      </c>
      <c r="H1706" s="2">
        <v>0.83002314814814815</v>
      </c>
      <c r="I1706" t="s">
        <v>11</v>
      </c>
      <c r="J1706" t="s">
        <v>14</v>
      </c>
      <c r="K1706">
        <v>4</v>
      </c>
      <c r="L1706">
        <v>700</v>
      </c>
      <c r="M1706">
        <v>2800</v>
      </c>
      <c r="N1706">
        <f>IF(COUNTIFS($B$2:B1706,B1706)=1,1,0)</f>
        <v>1</v>
      </c>
    </row>
    <row r="1707" spans="1:14" x14ac:dyDescent="0.2">
      <c r="A1707">
        <v>1706</v>
      </c>
      <c r="B1707">
        <v>1852</v>
      </c>
      <c r="C1707">
        <f>1/COUNTIF(B:B,Table1[[#This Row],[order_id]])</f>
        <v>0.5</v>
      </c>
      <c r="D1707" t="str">
        <f>TEXT(Table1[[#This Row],[order_date]],"mmmm")</f>
        <v>May</v>
      </c>
      <c r="E1707" s="1">
        <v>45423</v>
      </c>
      <c r="F1707" s="1" t="str">
        <f>TEXT(Table1[[#This Row],[order_date]],"dddd")</f>
        <v>Saturday</v>
      </c>
      <c r="G1707">
        <f>HOUR(Table1[[#This Row],[order_time]])</f>
        <v>10</v>
      </c>
      <c r="H1707" s="2">
        <v>0.42214120370370373</v>
      </c>
      <c r="I1707" t="s">
        <v>9</v>
      </c>
      <c r="J1707" t="s">
        <v>21</v>
      </c>
      <c r="K1707">
        <v>5</v>
      </c>
      <c r="L1707">
        <v>10</v>
      </c>
      <c r="M1707">
        <v>50</v>
      </c>
      <c r="N1707">
        <f>IF(COUNTIFS($B$2:B1707,B1707)=1,1,0)</f>
        <v>0</v>
      </c>
    </row>
    <row r="1708" spans="1:14" x14ac:dyDescent="0.2">
      <c r="A1708">
        <v>1707</v>
      </c>
      <c r="B1708">
        <v>1853</v>
      </c>
      <c r="C1708">
        <f>1/COUNTIF(B:B,Table1[[#This Row],[order_id]])</f>
        <v>0.33333333333333331</v>
      </c>
      <c r="D1708" t="str">
        <f>TEXT(Table1[[#This Row],[order_date]],"mmmm")</f>
        <v>May</v>
      </c>
      <c r="E1708" s="1">
        <v>45424</v>
      </c>
      <c r="F1708" s="1" t="str">
        <f>TEXT(Table1[[#This Row],[order_date]],"dddd")</f>
        <v>Sunday</v>
      </c>
      <c r="G1708">
        <f>HOUR(Table1[[#This Row],[order_time]])</f>
        <v>16</v>
      </c>
      <c r="H1708" s="2">
        <v>0.68532407407407403</v>
      </c>
      <c r="I1708" t="s">
        <v>16</v>
      </c>
      <c r="J1708" t="s">
        <v>23</v>
      </c>
      <c r="K1708">
        <v>5</v>
      </c>
      <c r="L1708">
        <v>30</v>
      </c>
      <c r="M1708">
        <v>150</v>
      </c>
      <c r="N1708">
        <f>IF(COUNTIFS($B$2:B1708,B1708)=1,1,0)</f>
        <v>1</v>
      </c>
    </row>
    <row r="1709" spans="1:14" x14ac:dyDescent="0.2">
      <c r="A1709">
        <v>1708</v>
      </c>
      <c r="B1709">
        <v>1853</v>
      </c>
      <c r="C1709">
        <f>1/COUNTIF(B:B,Table1[[#This Row],[order_id]])</f>
        <v>0.33333333333333331</v>
      </c>
      <c r="D1709" t="str">
        <f>TEXT(Table1[[#This Row],[order_date]],"mmmm")</f>
        <v>May</v>
      </c>
      <c r="E1709" s="1">
        <v>45424</v>
      </c>
      <c r="F1709" s="1" t="str">
        <f>TEXT(Table1[[#This Row],[order_date]],"dddd")</f>
        <v>Sunday</v>
      </c>
      <c r="G1709">
        <f>HOUR(Table1[[#This Row],[order_time]])</f>
        <v>13</v>
      </c>
      <c r="H1709" s="2">
        <v>0.55640046296296297</v>
      </c>
      <c r="I1709" t="s">
        <v>16</v>
      </c>
      <c r="J1709" t="s">
        <v>24</v>
      </c>
      <c r="K1709">
        <v>5</v>
      </c>
      <c r="L1709">
        <v>35</v>
      </c>
      <c r="M1709">
        <v>175</v>
      </c>
      <c r="N1709">
        <f>IF(COUNTIFS($B$2:B1709,B1709)=1,1,0)</f>
        <v>0</v>
      </c>
    </row>
    <row r="1710" spans="1:14" x14ac:dyDescent="0.2">
      <c r="A1710">
        <v>1709</v>
      </c>
      <c r="B1710">
        <v>1853</v>
      </c>
      <c r="C1710">
        <f>1/COUNTIF(B:B,Table1[[#This Row],[order_id]])</f>
        <v>0.33333333333333331</v>
      </c>
      <c r="D1710" t="str">
        <f>TEXT(Table1[[#This Row],[order_date]],"mmmm")</f>
        <v>May</v>
      </c>
      <c r="E1710" s="1">
        <v>45424</v>
      </c>
      <c r="F1710" s="1" t="str">
        <f>TEXT(Table1[[#This Row],[order_date]],"dddd")</f>
        <v>Sunday</v>
      </c>
      <c r="G1710">
        <f>HOUR(Table1[[#This Row],[order_time]])</f>
        <v>20</v>
      </c>
      <c r="H1710" s="2">
        <v>0.84400462962962963</v>
      </c>
      <c r="I1710" t="s">
        <v>18</v>
      </c>
      <c r="J1710" t="s">
        <v>30</v>
      </c>
      <c r="K1710">
        <v>2</v>
      </c>
      <c r="L1710">
        <v>60</v>
      </c>
      <c r="M1710">
        <v>120</v>
      </c>
      <c r="N1710">
        <f>IF(COUNTIFS($B$2:B1710,B1710)=1,1,0)</f>
        <v>0</v>
      </c>
    </row>
    <row r="1711" spans="1:14" x14ac:dyDescent="0.2">
      <c r="A1711">
        <v>1710</v>
      </c>
      <c r="B1711">
        <v>1854</v>
      </c>
      <c r="C1711">
        <f>1/COUNTIF(B:B,Table1[[#This Row],[order_id]])</f>
        <v>0.33333333333333331</v>
      </c>
      <c r="D1711" t="str">
        <f>TEXT(Table1[[#This Row],[order_date]],"mmmm")</f>
        <v>May</v>
      </c>
      <c r="E1711" s="1">
        <v>45424</v>
      </c>
      <c r="F1711" s="1" t="str">
        <f>TEXT(Table1[[#This Row],[order_date]],"dddd")</f>
        <v>Sunday</v>
      </c>
      <c r="G1711">
        <f>HOUR(Table1[[#This Row],[order_time]])</f>
        <v>16</v>
      </c>
      <c r="H1711" s="2">
        <v>0.66862268518518519</v>
      </c>
      <c r="I1711" t="s">
        <v>16</v>
      </c>
      <c r="J1711" t="s">
        <v>17</v>
      </c>
      <c r="K1711">
        <v>2</v>
      </c>
      <c r="L1711">
        <v>20</v>
      </c>
      <c r="M1711">
        <v>40</v>
      </c>
      <c r="N1711">
        <f>IF(COUNTIFS($B$2:B1711,B1711)=1,1,0)</f>
        <v>1</v>
      </c>
    </row>
    <row r="1712" spans="1:14" x14ac:dyDescent="0.2">
      <c r="A1712">
        <v>1711</v>
      </c>
      <c r="B1712">
        <v>1854</v>
      </c>
      <c r="C1712">
        <f>1/COUNTIF(B:B,Table1[[#This Row],[order_id]])</f>
        <v>0.33333333333333331</v>
      </c>
      <c r="D1712" t="str">
        <f>TEXT(Table1[[#This Row],[order_date]],"mmmm")</f>
        <v>May</v>
      </c>
      <c r="E1712" s="1">
        <v>45424</v>
      </c>
      <c r="F1712" s="1" t="str">
        <f>TEXT(Table1[[#This Row],[order_date]],"dddd")</f>
        <v>Sunday</v>
      </c>
      <c r="G1712">
        <f>HOUR(Table1[[#This Row],[order_time]])</f>
        <v>19</v>
      </c>
      <c r="H1712" s="2">
        <v>0.79319444444444442</v>
      </c>
      <c r="I1712" t="s">
        <v>9</v>
      </c>
      <c r="J1712" t="s">
        <v>29</v>
      </c>
      <c r="K1712">
        <v>5</v>
      </c>
      <c r="L1712">
        <v>5</v>
      </c>
      <c r="M1712">
        <v>25</v>
      </c>
      <c r="N1712">
        <f>IF(COUNTIFS($B$2:B1712,B1712)=1,1,0)</f>
        <v>0</v>
      </c>
    </row>
    <row r="1713" spans="1:14" x14ac:dyDescent="0.2">
      <c r="A1713">
        <v>1712</v>
      </c>
      <c r="B1713">
        <v>1854</v>
      </c>
      <c r="C1713">
        <f>1/COUNTIF(B:B,Table1[[#This Row],[order_id]])</f>
        <v>0.33333333333333331</v>
      </c>
      <c r="D1713" t="str">
        <f>TEXT(Table1[[#This Row],[order_date]],"mmmm")</f>
        <v>May</v>
      </c>
      <c r="E1713" s="1">
        <v>45424</v>
      </c>
      <c r="F1713" s="1" t="str">
        <f>TEXT(Table1[[#This Row],[order_date]],"dddd")</f>
        <v>Sunday</v>
      </c>
      <c r="G1713">
        <f>HOUR(Table1[[#This Row],[order_time]])</f>
        <v>12</v>
      </c>
      <c r="H1713" s="2">
        <v>0.51751157407407411</v>
      </c>
      <c r="I1713" t="s">
        <v>18</v>
      </c>
      <c r="J1713" t="s">
        <v>27</v>
      </c>
      <c r="K1713">
        <v>1</v>
      </c>
      <c r="L1713">
        <v>40</v>
      </c>
      <c r="M1713">
        <v>40</v>
      </c>
      <c r="N1713">
        <f>IF(COUNTIFS($B$2:B1713,B1713)=1,1,0)</f>
        <v>0</v>
      </c>
    </row>
    <row r="1714" spans="1:14" x14ac:dyDescent="0.2">
      <c r="A1714">
        <v>1713</v>
      </c>
      <c r="B1714">
        <v>1855</v>
      </c>
      <c r="C1714">
        <f>1/COUNTIF(B:B,Table1[[#This Row],[order_id]])</f>
        <v>0.5</v>
      </c>
      <c r="D1714" t="str">
        <f>TEXT(Table1[[#This Row],[order_date]],"mmmm")</f>
        <v>May</v>
      </c>
      <c r="E1714" s="1">
        <v>45424</v>
      </c>
      <c r="F1714" s="1" t="str">
        <f>TEXT(Table1[[#This Row],[order_date]],"dddd")</f>
        <v>Sunday</v>
      </c>
      <c r="G1714">
        <f>HOUR(Table1[[#This Row],[order_time]])</f>
        <v>9</v>
      </c>
      <c r="H1714" s="2">
        <v>0.38892361111111112</v>
      </c>
      <c r="I1714" t="s">
        <v>11</v>
      </c>
      <c r="J1714" t="s">
        <v>15</v>
      </c>
      <c r="K1714">
        <v>4</v>
      </c>
      <c r="L1714">
        <v>600</v>
      </c>
      <c r="M1714">
        <v>2400</v>
      </c>
      <c r="N1714">
        <f>IF(COUNTIFS($B$2:B1714,B1714)=1,1,0)</f>
        <v>1</v>
      </c>
    </row>
    <row r="1715" spans="1:14" x14ac:dyDescent="0.2">
      <c r="A1715">
        <v>1714</v>
      </c>
      <c r="B1715">
        <v>1855</v>
      </c>
      <c r="C1715">
        <f>1/COUNTIF(B:B,Table1[[#This Row],[order_id]])</f>
        <v>0.5</v>
      </c>
      <c r="D1715" t="str">
        <f>TEXT(Table1[[#This Row],[order_date]],"mmmm")</f>
        <v>May</v>
      </c>
      <c r="E1715" s="1">
        <v>45424</v>
      </c>
      <c r="F1715" s="1" t="str">
        <f>TEXT(Table1[[#This Row],[order_date]],"dddd")</f>
        <v>Sunday</v>
      </c>
      <c r="G1715">
        <f>HOUR(Table1[[#This Row],[order_time]])</f>
        <v>10</v>
      </c>
      <c r="H1715" s="2">
        <v>0.45682870370370371</v>
      </c>
      <c r="I1715" t="s">
        <v>18</v>
      </c>
      <c r="J1715" t="s">
        <v>19</v>
      </c>
      <c r="K1715">
        <v>3</v>
      </c>
      <c r="L1715">
        <v>50</v>
      </c>
      <c r="M1715">
        <v>150</v>
      </c>
      <c r="N1715">
        <f>IF(COUNTIFS($B$2:B1715,B1715)=1,1,0)</f>
        <v>0</v>
      </c>
    </row>
    <row r="1716" spans="1:14" x14ac:dyDescent="0.2">
      <c r="A1716">
        <v>1715</v>
      </c>
      <c r="B1716">
        <v>1856</v>
      </c>
      <c r="C1716">
        <f>1/COUNTIF(B:B,Table1[[#This Row],[order_id]])</f>
        <v>0.5</v>
      </c>
      <c r="D1716" t="str">
        <f>TEXT(Table1[[#This Row],[order_date]],"mmmm")</f>
        <v>May</v>
      </c>
      <c r="E1716" s="1">
        <v>45425</v>
      </c>
      <c r="F1716" s="1" t="str">
        <f>TEXT(Table1[[#This Row],[order_date]],"dddd")</f>
        <v>Monday</v>
      </c>
      <c r="G1716">
        <f>HOUR(Table1[[#This Row],[order_time]])</f>
        <v>13</v>
      </c>
      <c r="H1716" s="2">
        <v>0.58011574074074079</v>
      </c>
      <c r="I1716" t="s">
        <v>18</v>
      </c>
      <c r="J1716" t="s">
        <v>27</v>
      </c>
      <c r="K1716">
        <v>5</v>
      </c>
      <c r="L1716">
        <v>40</v>
      </c>
      <c r="M1716">
        <v>200</v>
      </c>
      <c r="N1716">
        <f>IF(COUNTIFS($B$2:B1716,B1716)=1,1,0)</f>
        <v>1</v>
      </c>
    </row>
    <row r="1717" spans="1:14" x14ac:dyDescent="0.2">
      <c r="A1717">
        <v>1716</v>
      </c>
      <c r="B1717">
        <v>1856</v>
      </c>
      <c r="C1717">
        <f>1/COUNTIF(B:B,Table1[[#This Row],[order_id]])</f>
        <v>0.5</v>
      </c>
      <c r="D1717" t="str">
        <f>TEXT(Table1[[#This Row],[order_date]],"mmmm")</f>
        <v>May</v>
      </c>
      <c r="E1717" s="1">
        <v>45425</v>
      </c>
      <c r="F1717" s="1" t="str">
        <f>TEXT(Table1[[#This Row],[order_date]],"dddd")</f>
        <v>Monday</v>
      </c>
      <c r="G1717">
        <f>HOUR(Table1[[#This Row],[order_time]])</f>
        <v>11</v>
      </c>
      <c r="H1717" s="2">
        <v>0.47425925925925927</v>
      </c>
      <c r="I1717" t="s">
        <v>16</v>
      </c>
      <c r="J1717" t="s">
        <v>28</v>
      </c>
      <c r="K1717">
        <v>4</v>
      </c>
      <c r="L1717">
        <v>25</v>
      </c>
      <c r="M1717">
        <v>100</v>
      </c>
      <c r="N1717">
        <f>IF(COUNTIFS($B$2:B1717,B1717)=1,1,0)</f>
        <v>0</v>
      </c>
    </row>
    <row r="1718" spans="1:14" x14ac:dyDescent="0.2">
      <c r="A1718">
        <v>1717</v>
      </c>
      <c r="B1718">
        <v>1857</v>
      </c>
      <c r="C1718">
        <f>1/COUNTIF(B:B,Table1[[#This Row],[order_id]])</f>
        <v>1</v>
      </c>
      <c r="D1718" t="str">
        <f>TEXT(Table1[[#This Row],[order_date]],"mmmm")</f>
        <v>May</v>
      </c>
      <c r="E1718" s="1">
        <v>45425</v>
      </c>
      <c r="F1718" s="1" t="str">
        <f>TEXT(Table1[[#This Row],[order_date]],"dddd")</f>
        <v>Monday</v>
      </c>
      <c r="G1718">
        <f>HOUR(Table1[[#This Row],[order_time]])</f>
        <v>19</v>
      </c>
      <c r="H1718" s="2">
        <v>0.82023148148148151</v>
      </c>
      <c r="I1718" t="s">
        <v>9</v>
      </c>
      <c r="J1718" t="s">
        <v>22</v>
      </c>
      <c r="K1718">
        <v>3</v>
      </c>
      <c r="L1718">
        <v>15</v>
      </c>
      <c r="M1718">
        <v>45</v>
      </c>
      <c r="N1718">
        <f>IF(COUNTIFS($B$2:B1718,B1718)=1,1,0)</f>
        <v>1</v>
      </c>
    </row>
    <row r="1719" spans="1:14" x14ac:dyDescent="0.2">
      <c r="A1719">
        <v>1718</v>
      </c>
      <c r="B1719">
        <v>1858</v>
      </c>
      <c r="C1719">
        <f>1/COUNTIF(B:B,Table1[[#This Row],[order_id]])</f>
        <v>0.5</v>
      </c>
      <c r="D1719" t="str">
        <f>TEXT(Table1[[#This Row],[order_date]],"mmmm")</f>
        <v>May</v>
      </c>
      <c r="E1719" s="1">
        <v>45425</v>
      </c>
      <c r="F1719" s="1" t="str">
        <f>TEXT(Table1[[#This Row],[order_date]],"dddd")</f>
        <v>Monday</v>
      </c>
      <c r="G1719">
        <f>HOUR(Table1[[#This Row],[order_time]])</f>
        <v>12</v>
      </c>
      <c r="H1719" s="2">
        <v>0.50832175925925926</v>
      </c>
      <c r="I1719" t="s">
        <v>9</v>
      </c>
      <c r="J1719" t="s">
        <v>22</v>
      </c>
      <c r="K1719">
        <v>4</v>
      </c>
      <c r="L1719">
        <v>15</v>
      </c>
      <c r="M1719">
        <v>60</v>
      </c>
      <c r="N1719">
        <f>IF(COUNTIFS($B$2:B1719,B1719)=1,1,0)</f>
        <v>1</v>
      </c>
    </row>
    <row r="1720" spans="1:14" x14ac:dyDescent="0.2">
      <c r="A1720">
        <v>1719</v>
      </c>
      <c r="B1720">
        <v>1858</v>
      </c>
      <c r="C1720">
        <f>1/COUNTIF(B:B,Table1[[#This Row],[order_id]])</f>
        <v>0.5</v>
      </c>
      <c r="D1720" t="str">
        <f>TEXT(Table1[[#This Row],[order_date]],"mmmm")</f>
        <v>May</v>
      </c>
      <c r="E1720" s="1">
        <v>45425</v>
      </c>
      <c r="F1720" s="1" t="str">
        <f>TEXT(Table1[[#This Row],[order_date]],"dddd")</f>
        <v>Monday</v>
      </c>
      <c r="G1720">
        <f>HOUR(Table1[[#This Row],[order_time]])</f>
        <v>18</v>
      </c>
      <c r="H1720" s="2">
        <v>0.75620370370370371</v>
      </c>
      <c r="I1720" t="s">
        <v>18</v>
      </c>
      <c r="J1720" t="s">
        <v>27</v>
      </c>
      <c r="K1720">
        <v>5</v>
      </c>
      <c r="L1720">
        <v>40</v>
      </c>
      <c r="M1720">
        <v>200</v>
      </c>
      <c r="N1720">
        <f>IF(COUNTIFS($B$2:B1720,B1720)=1,1,0)</f>
        <v>0</v>
      </c>
    </row>
    <row r="1721" spans="1:14" x14ac:dyDescent="0.2">
      <c r="A1721">
        <v>1720</v>
      </c>
      <c r="B1721">
        <v>1859</v>
      </c>
      <c r="C1721">
        <f>1/COUNTIF(B:B,Table1[[#This Row],[order_id]])</f>
        <v>0.5</v>
      </c>
      <c r="D1721" t="str">
        <f>TEXT(Table1[[#This Row],[order_date]],"mmmm")</f>
        <v>May</v>
      </c>
      <c r="E1721" s="1">
        <v>45425</v>
      </c>
      <c r="F1721" s="1" t="str">
        <f>TEXT(Table1[[#This Row],[order_date]],"dddd")</f>
        <v>Monday</v>
      </c>
      <c r="G1721">
        <f>HOUR(Table1[[#This Row],[order_time]])</f>
        <v>9</v>
      </c>
      <c r="H1721" s="2">
        <v>0.38068287037037035</v>
      </c>
      <c r="I1721" t="s">
        <v>18</v>
      </c>
      <c r="J1721" t="s">
        <v>31</v>
      </c>
      <c r="K1721">
        <v>4</v>
      </c>
      <c r="L1721">
        <v>45</v>
      </c>
      <c r="M1721">
        <v>180</v>
      </c>
      <c r="N1721">
        <f>IF(COUNTIFS($B$2:B1721,B1721)=1,1,0)</f>
        <v>1</v>
      </c>
    </row>
    <row r="1722" spans="1:14" x14ac:dyDescent="0.2">
      <c r="A1722">
        <v>1721</v>
      </c>
      <c r="B1722">
        <v>1859</v>
      </c>
      <c r="C1722">
        <f>1/COUNTIF(B:B,Table1[[#This Row],[order_id]])</f>
        <v>0.5</v>
      </c>
      <c r="D1722" t="str">
        <f>TEXT(Table1[[#This Row],[order_date]],"mmmm")</f>
        <v>May</v>
      </c>
      <c r="E1722" s="1">
        <v>45425</v>
      </c>
      <c r="F1722" s="1" t="str">
        <f>TEXT(Table1[[#This Row],[order_date]],"dddd")</f>
        <v>Monday</v>
      </c>
      <c r="G1722">
        <f>HOUR(Table1[[#This Row],[order_time]])</f>
        <v>18</v>
      </c>
      <c r="H1722" s="2">
        <v>0.78160879629629632</v>
      </c>
      <c r="I1722" t="s">
        <v>11</v>
      </c>
      <c r="J1722" t="s">
        <v>15</v>
      </c>
      <c r="K1722">
        <v>1</v>
      </c>
      <c r="L1722">
        <v>600</v>
      </c>
      <c r="M1722">
        <v>600</v>
      </c>
      <c r="N1722">
        <f>IF(COUNTIFS($B$2:B1722,B1722)=1,1,0)</f>
        <v>0</v>
      </c>
    </row>
    <row r="1723" spans="1:14" x14ac:dyDescent="0.2">
      <c r="A1723">
        <v>1722</v>
      </c>
      <c r="B1723">
        <v>1860</v>
      </c>
      <c r="C1723">
        <f>1/COUNTIF(B:B,Table1[[#This Row],[order_id]])</f>
        <v>1</v>
      </c>
      <c r="D1723" t="str">
        <f>TEXT(Table1[[#This Row],[order_date]],"mmmm")</f>
        <v>May</v>
      </c>
      <c r="E1723" s="1">
        <v>45426</v>
      </c>
      <c r="F1723" s="1" t="str">
        <f>TEXT(Table1[[#This Row],[order_date]],"dddd")</f>
        <v>Tuesday</v>
      </c>
      <c r="G1723">
        <f>HOUR(Table1[[#This Row],[order_time]])</f>
        <v>18</v>
      </c>
      <c r="H1723" s="2">
        <v>0.76085648148148144</v>
      </c>
      <c r="I1723" t="s">
        <v>9</v>
      </c>
      <c r="J1723" t="s">
        <v>29</v>
      </c>
      <c r="K1723">
        <v>2</v>
      </c>
      <c r="L1723">
        <v>5</v>
      </c>
      <c r="M1723">
        <v>10</v>
      </c>
      <c r="N1723">
        <f>IF(COUNTIFS($B$2:B1723,B1723)=1,1,0)</f>
        <v>1</v>
      </c>
    </row>
    <row r="1724" spans="1:14" x14ac:dyDescent="0.2">
      <c r="A1724">
        <v>1723</v>
      </c>
      <c r="B1724">
        <v>1861</v>
      </c>
      <c r="C1724">
        <f>1/COUNTIF(B:B,Table1[[#This Row],[order_id]])</f>
        <v>0.33333333333333331</v>
      </c>
      <c r="D1724" t="str">
        <f>TEXT(Table1[[#This Row],[order_date]],"mmmm")</f>
        <v>May</v>
      </c>
      <c r="E1724" s="1">
        <v>45426</v>
      </c>
      <c r="F1724" s="1" t="str">
        <f>TEXT(Table1[[#This Row],[order_date]],"dddd")</f>
        <v>Tuesday</v>
      </c>
      <c r="G1724">
        <f>HOUR(Table1[[#This Row],[order_time]])</f>
        <v>18</v>
      </c>
      <c r="H1724" s="2">
        <v>0.76831018518518523</v>
      </c>
      <c r="I1724" t="s">
        <v>11</v>
      </c>
      <c r="J1724" t="s">
        <v>15</v>
      </c>
      <c r="K1724">
        <v>5</v>
      </c>
      <c r="L1724">
        <v>600</v>
      </c>
      <c r="M1724">
        <v>3000</v>
      </c>
      <c r="N1724">
        <f>IF(COUNTIFS($B$2:B1724,B1724)=1,1,0)</f>
        <v>1</v>
      </c>
    </row>
    <row r="1725" spans="1:14" x14ac:dyDescent="0.2">
      <c r="A1725">
        <v>1724</v>
      </c>
      <c r="B1725">
        <v>1861</v>
      </c>
      <c r="C1725">
        <f>1/COUNTIF(B:B,Table1[[#This Row],[order_id]])</f>
        <v>0.33333333333333331</v>
      </c>
      <c r="D1725" t="str">
        <f>TEXT(Table1[[#This Row],[order_date]],"mmmm")</f>
        <v>May</v>
      </c>
      <c r="E1725" s="1">
        <v>45426</v>
      </c>
      <c r="F1725" s="1" t="str">
        <f>TEXT(Table1[[#This Row],[order_date]],"dddd")</f>
        <v>Tuesday</v>
      </c>
      <c r="G1725">
        <f>HOUR(Table1[[#This Row],[order_time]])</f>
        <v>18</v>
      </c>
      <c r="H1725" s="2">
        <v>0.79053240740740738</v>
      </c>
      <c r="I1725" t="s">
        <v>16</v>
      </c>
      <c r="J1725" t="s">
        <v>24</v>
      </c>
      <c r="K1725">
        <v>5</v>
      </c>
      <c r="L1725">
        <v>35</v>
      </c>
      <c r="M1725">
        <v>175</v>
      </c>
      <c r="N1725">
        <f>IF(COUNTIFS($B$2:B1725,B1725)=1,1,0)</f>
        <v>0</v>
      </c>
    </row>
    <row r="1726" spans="1:14" x14ac:dyDescent="0.2">
      <c r="A1726">
        <v>1725</v>
      </c>
      <c r="B1726">
        <v>1861</v>
      </c>
      <c r="C1726">
        <f>1/COUNTIF(B:B,Table1[[#This Row],[order_id]])</f>
        <v>0.33333333333333331</v>
      </c>
      <c r="D1726" t="str">
        <f>TEXT(Table1[[#This Row],[order_date]],"mmmm")</f>
        <v>May</v>
      </c>
      <c r="E1726" s="1">
        <v>45426</v>
      </c>
      <c r="F1726" s="1" t="str">
        <f>TEXT(Table1[[#This Row],[order_date]],"dddd")</f>
        <v>Tuesday</v>
      </c>
      <c r="G1726">
        <f>HOUR(Table1[[#This Row],[order_time]])</f>
        <v>18</v>
      </c>
      <c r="H1726" s="2">
        <v>0.78024305555555551</v>
      </c>
      <c r="I1726" t="s">
        <v>16</v>
      </c>
      <c r="J1726" t="s">
        <v>17</v>
      </c>
      <c r="K1726">
        <v>3</v>
      </c>
      <c r="L1726">
        <v>20</v>
      </c>
      <c r="M1726">
        <v>60</v>
      </c>
      <c r="N1726">
        <f>IF(COUNTIFS($B$2:B1726,B1726)=1,1,0)</f>
        <v>0</v>
      </c>
    </row>
    <row r="1727" spans="1:14" x14ac:dyDescent="0.2">
      <c r="A1727">
        <v>1726</v>
      </c>
      <c r="B1727">
        <v>1862</v>
      </c>
      <c r="C1727">
        <f>1/COUNTIF(B:B,Table1[[#This Row],[order_id]])</f>
        <v>0.33333333333333331</v>
      </c>
      <c r="D1727" t="str">
        <f>TEXT(Table1[[#This Row],[order_date]],"mmmm")</f>
        <v>May</v>
      </c>
      <c r="E1727" s="1">
        <v>45426</v>
      </c>
      <c r="F1727" s="1" t="str">
        <f>TEXT(Table1[[#This Row],[order_date]],"dddd")</f>
        <v>Tuesday</v>
      </c>
      <c r="G1727">
        <f>HOUR(Table1[[#This Row],[order_time]])</f>
        <v>12</v>
      </c>
      <c r="H1727" s="2">
        <v>0.53953703703703704</v>
      </c>
      <c r="I1727" t="s">
        <v>9</v>
      </c>
      <c r="J1727" t="s">
        <v>20</v>
      </c>
      <c r="K1727">
        <v>1</v>
      </c>
      <c r="L1727">
        <v>25</v>
      </c>
      <c r="M1727">
        <v>25</v>
      </c>
      <c r="N1727">
        <f>IF(COUNTIFS($B$2:B1727,B1727)=1,1,0)</f>
        <v>1</v>
      </c>
    </row>
    <row r="1728" spans="1:14" x14ac:dyDescent="0.2">
      <c r="A1728">
        <v>1727</v>
      </c>
      <c r="B1728">
        <v>1862</v>
      </c>
      <c r="C1728">
        <f>1/COUNTIF(B:B,Table1[[#This Row],[order_id]])</f>
        <v>0.33333333333333331</v>
      </c>
      <c r="D1728" t="str">
        <f>TEXT(Table1[[#This Row],[order_date]],"mmmm")</f>
        <v>May</v>
      </c>
      <c r="E1728" s="1">
        <v>45426</v>
      </c>
      <c r="F1728" s="1" t="str">
        <f>TEXT(Table1[[#This Row],[order_date]],"dddd")</f>
        <v>Tuesday</v>
      </c>
      <c r="G1728">
        <f>HOUR(Table1[[#This Row],[order_time]])</f>
        <v>18</v>
      </c>
      <c r="H1728" s="2">
        <v>0.7568287037037037</v>
      </c>
      <c r="I1728" t="s">
        <v>9</v>
      </c>
      <c r="J1728" t="s">
        <v>22</v>
      </c>
      <c r="K1728">
        <v>2</v>
      </c>
      <c r="L1728">
        <v>15</v>
      </c>
      <c r="M1728">
        <v>30</v>
      </c>
      <c r="N1728">
        <f>IF(COUNTIFS($B$2:B1728,B1728)=1,1,0)</f>
        <v>0</v>
      </c>
    </row>
    <row r="1729" spans="1:14" x14ac:dyDescent="0.2">
      <c r="A1729">
        <v>1728</v>
      </c>
      <c r="B1729">
        <v>1862</v>
      </c>
      <c r="C1729">
        <f>1/COUNTIF(B:B,Table1[[#This Row],[order_id]])</f>
        <v>0.33333333333333331</v>
      </c>
      <c r="D1729" t="str">
        <f>TEXT(Table1[[#This Row],[order_date]],"mmmm")</f>
        <v>May</v>
      </c>
      <c r="E1729" s="1">
        <v>45426</v>
      </c>
      <c r="F1729" s="1" t="str">
        <f>TEXT(Table1[[#This Row],[order_date]],"dddd")</f>
        <v>Tuesday</v>
      </c>
      <c r="G1729">
        <f>HOUR(Table1[[#This Row],[order_time]])</f>
        <v>20</v>
      </c>
      <c r="H1729" s="2">
        <v>0.84034722222222225</v>
      </c>
      <c r="I1729" t="s">
        <v>11</v>
      </c>
      <c r="J1729" t="s">
        <v>14</v>
      </c>
      <c r="K1729">
        <v>2</v>
      </c>
      <c r="L1729">
        <v>700</v>
      </c>
      <c r="M1729">
        <v>1400</v>
      </c>
      <c r="N1729">
        <f>IF(COUNTIFS($B$2:B1729,B1729)=1,1,0)</f>
        <v>0</v>
      </c>
    </row>
    <row r="1730" spans="1:14" x14ac:dyDescent="0.2">
      <c r="A1730">
        <v>1729</v>
      </c>
      <c r="B1730">
        <v>1863</v>
      </c>
      <c r="C1730">
        <f>1/COUNTIF(B:B,Table1[[#This Row],[order_id]])</f>
        <v>1</v>
      </c>
      <c r="D1730" t="str">
        <f>TEXT(Table1[[#This Row],[order_date]],"mmmm")</f>
        <v>May</v>
      </c>
      <c r="E1730" s="1">
        <v>45426</v>
      </c>
      <c r="F1730" s="1" t="str">
        <f>TEXT(Table1[[#This Row],[order_date]],"dddd")</f>
        <v>Tuesday</v>
      </c>
      <c r="G1730">
        <f>HOUR(Table1[[#This Row],[order_time]])</f>
        <v>11</v>
      </c>
      <c r="H1730" s="2">
        <v>0.46237268518518521</v>
      </c>
      <c r="I1730" t="s">
        <v>11</v>
      </c>
      <c r="J1730" t="s">
        <v>12</v>
      </c>
      <c r="K1730">
        <v>2</v>
      </c>
      <c r="L1730">
        <v>650</v>
      </c>
      <c r="M1730">
        <v>1300</v>
      </c>
      <c r="N1730">
        <f>IF(COUNTIFS($B$2:B1730,B1730)=1,1,0)</f>
        <v>1</v>
      </c>
    </row>
    <row r="1731" spans="1:14" x14ac:dyDescent="0.2">
      <c r="A1731">
        <v>1730</v>
      </c>
      <c r="B1731">
        <v>1864</v>
      </c>
      <c r="C1731">
        <f>1/COUNTIF(B:B,Table1[[#This Row],[order_id]])</f>
        <v>1</v>
      </c>
      <c r="D1731" t="str">
        <f>TEXT(Table1[[#This Row],[order_date]],"mmmm")</f>
        <v>May</v>
      </c>
      <c r="E1731" s="1">
        <v>45426</v>
      </c>
      <c r="F1731" s="1" t="str">
        <f>TEXT(Table1[[#This Row],[order_date]],"dddd")</f>
        <v>Tuesday</v>
      </c>
      <c r="G1731">
        <f>HOUR(Table1[[#This Row],[order_time]])</f>
        <v>19</v>
      </c>
      <c r="H1731" s="2">
        <v>0.79395833333333332</v>
      </c>
      <c r="I1731" t="s">
        <v>18</v>
      </c>
      <c r="J1731" t="s">
        <v>26</v>
      </c>
      <c r="K1731">
        <v>1</v>
      </c>
      <c r="L1731">
        <v>55</v>
      </c>
      <c r="M1731">
        <v>55</v>
      </c>
      <c r="N1731">
        <f>IF(COUNTIFS($B$2:B1731,B1731)=1,1,0)</f>
        <v>1</v>
      </c>
    </row>
    <row r="1732" spans="1:14" x14ac:dyDescent="0.2">
      <c r="A1732">
        <v>1731</v>
      </c>
      <c r="B1732">
        <v>1865</v>
      </c>
      <c r="C1732">
        <f>1/COUNTIF(B:B,Table1[[#This Row],[order_id]])</f>
        <v>0.33333333333333331</v>
      </c>
      <c r="D1732" t="str">
        <f>TEXT(Table1[[#This Row],[order_date]],"mmmm")</f>
        <v>May</v>
      </c>
      <c r="E1732" s="1">
        <v>45426</v>
      </c>
      <c r="F1732" s="1" t="str">
        <f>TEXT(Table1[[#This Row],[order_date]],"dddd")</f>
        <v>Tuesday</v>
      </c>
      <c r="G1732">
        <f>HOUR(Table1[[#This Row],[order_time]])</f>
        <v>15</v>
      </c>
      <c r="H1732" s="2">
        <v>0.62513888888888891</v>
      </c>
      <c r="I1732" t="s">
        <v>18</v>
      </c>
      <c r="J1732" t="s">
        <v>31</v>
      </c>
      <c r="K1732">
        <v>3</v>
      </c>
      <c r="L1732">
        <v>45</v>
      </c>
      <c r="M1732">
        <v>135</v>
      </c>
      <c r="N1732">
        <f>IF(COUNTIFS($B$2:B1732,B1732)=1,1,0)</f>
        <v>1</v>
      </c>
    </row>
    <row r="1733" spans="1:14" x14ac:dyDescent="0.2">
      <c r="A1733">
        <v>1732</v>
      </c>
      <c r="B1733">
        <v>1865</v>
      </c>
      <c r="C1733">
        <f>1/COUNTIF(B:B,Table1[[#This Row],[order_id]])</f>
        <v>0.33333333333333331</v>
      </c>
      <c r="D1733" t="str">
        <f>TEXT(Table1[[#This Row],[order_date]],"mmmm")</f>
        <v>May</v>
      </c>
      <c r="E1733" s="1">
        <v>45426</v>
      </c>
      <c r="F1733" s="1" t="str">
        <f>TEXT(Table1[[#This Row],[order_date]],"dddd")</f>
        <v>Tuesday</v>
      </c>
      <c r="G1733">
        <f>HOUR(Table1[[#This Row],[order_time]])</f>
        <v>12</v>
      </c>
      <c r="H1733" s="2">
        <v>0.52986111111111112</v>
      </c>
      <c r="I1733" t="s">
        <v>9</v>
      </c>
      <c r="J1733" t="s">
        <v>22</v>
      </c>
      <c r="K1733">
        <v>5</v>
      </c>
      <c r="L1733">
        <v>15</v>
      </c>
      <c r="M1733">
        <v>75</v>
      </c>
      <c r="N1733">
        <f>IF(COUNTIFS($B$2:B1733,B1733)=1,1,0)</f>
        <v>0</v>
      </c>
    </row>
    <row r="1734" spans="1:14" x14ac:dyDescent="0.2">
      <c r="A1734">
        <v>1733</v>
      </c>
      <c r="B1734">
        <v>1865</v>
      </c>
      <c r="C1734">
        <f>1/COUNTIF(B:B,Table1[[#This Row],[order_id]])</f>
        <v>0.33333333333333331</v>
      </c>
      <c r="D1734" t="str">
        <f>TEXT(Table1[[#This Row],[order_date]],"mmmm")</f>
        <v>May</v>
      </c>
      <c r="E1734" s="1">
        <v>45426</v>
      </c>
      <c r="F1734" s="1" t="str">
        <f>TEXT(Table1[[#This Row],[order_date]],"dddd")</f>
        <v>Tuesday</v>
      </c>
      <c r="G1734">
        <f>HOUR(Table1[[#This Row],[order_time]])</f>
        <v>19</v>
      </c>
      <c r="H1734" s="2">
        <v>0.79931712962962964</v>
      </c>
      <c r="I1734" t="s">
        <v>11</v>
      </c>
      <c r="J1734" t="s">
        <v>25</v>
      </c>
      <c r="K1734">
        <v>4</v>
      </c>
      <c r="L1734">
        <v>1000</v>
      </c>
      <c r="M1734">
        <v>4000</v>
      </c>
      <c r="N1734">
        <f>IF(COUNTIFS($B$2:B1734,B1734)=1,1,0)</f>
        <v>0</v>
      </c>
    </row>
    <row r="1735" spans="1:14" x14ac:dyDescent="0.2">
      <c r="A1735">
        <v>1734</v>
      </c>
      <c r="B1735">
        <v>1866</v>
      </c>
      <c r="C1735">
        <f>1/COUNTIF(B:B,Table1[[#This Row],[order_id]])</f>
        <v>1</v>
      </c>
      <c r="D1735" t="str">
        <f>TEXT(Table1[[#This Row],[order_date]],"mmmm")</f>
        <v>May</v>
      </c>
      <c r="E1735" s="1">
        <v>45426</v>
      </c>
      <c r="F1735" s="1" t="str">
        <f>TEXT(Table1[[#This Row],[order_date]],"dddd")</f>
        <v>Tuesday</v>
      </c>
      <c r="G1735">
        <f>HOUR(Table1[[#This Row],[order_time]])</f>
        <v>11</v>
      </c>
      <c r="H1735" s="2">
        <v>0.46042824074074074</v>
      </c>
      <c r="I1735" t="s">
        <v>9</v>
      </c>
      <c r="J1735" t="s">
        <v>20</v>
      </c>
      <c r="K1735">
        <v>3</v>
      </c>
      <c r="L1735">
        <v>25</v>
      </c>
      <c r="M1735">
        <v>75</v>
      </c>
      <c r="N1735">
        <f>IF(COUNTIFS($B$2:B1735,B1735)=1,1,0)</f>
        <v>1</v>
      </c>
    </row>
    <row r="1736" spans="1:14" x14ac:dyDescent="0.2">
      <c r="A1736">
        <v>1735</v>
      </c>
      <c r="B1736">
        <v>1867</v>
      </c>
      <c r="C1736">
        <f>1/COUNTIF(B:B,Table1[[#This Row],[order_id]])</f>
        <v>0.33333333333333331</v>
      </c>
      <c r="D1736" t="str">
        <f>TEXT(Table1[[#This Row],[order_date]],"mmmm")</f>
        <v>May</v>
      </c>
      <c r="E1736" s="1">
        <v>45426</v>
      </c>
      <c r="F1736" s="1" t="str">
        <f>TEXT(Table1[[#This Row],[order_date]],"dddd")</f>
        <v>Tuesday</v>
      </c>
      <c r="G1736">
        <f>HOUR(Table1[[#This Row],[order_time]])</f>
        <v>15</v>
      </c>
      <c r="H1736" s="2">
        <v>0.65153935185185186</v>
      </c>
      <c r="I1736" t="s">
        <v>18</v>
      </c>
      <c r="J1736" t="s">
        <v>30</v>
      </c>
      <c r="K1736">
        <v>3</v>
      </c>
      <c r="L1736">
        <v>60</v>
      </c>
      <c r="M1736">
        <v>180</v>
      </c>
      <c r="N1736">
        <f>IF(COUNTIFS($B$2:B1736,B1736)=1,1,0)</f>
        <v>1</v>
      </c>
    </row>
    <row r="1737" spans="1:14" x14ac:dyDescent="0.2">
      <c r="A1737">
        <v>1736</v>
      </c>
      <c r="B1737">
        <v>1867</v>
      </c>
      <c r="C1737">
        <f>1/COUNTIF(B:B,Table1[[#This Row],[order_id]])</f>
        <v>0.33333333333333331</v>
      </c>
      <c r="D1737" t="str">
        <f>TEXT(Table1[[#This Row],[order_date]],"mmmm")</f>
        <v>May</v>
      </c>
      <c r="E1737" s="1">
        <v>45426</v>
      </c>
      <c r="F1737" s="1" t="str">
        <f>TEXT(Table1[[#This Row],[order_date]],"dddd")</f>
        <v>Tuesday</v>
      </c>
      <c r="G1737">
        <f>HOUR(Table1[[#This Row],[order_time]])</f>
        <v>9</v>
      </c>
      <c r="H1737" s="2">
        <v>0.39427083333333335</v>
      </c>
      <c r="I1737" t="s">
        <v>9</v>
      </c>
      <c r="J1737" t="s">
        <v>21</v>
      </c>
      <c r="K1737">
        <v>4</v>
      </c>
      <c r="L1737">
        <v>10</v>
      </c>
      <c r="M1737">
        <v>40</v>
      </c>
      <c r="N1737">
        <f>IF(COUNTIFS($B$2:B1737,B1737)=1,1,0)</f>
        <v>0</v>
      </c>
    </row>
    <row r="1738" spans="1:14" x14ac:dyDescent="0.2">
      <c r="A1738">
        <v>1737</v>
      </c>
      <c r="B1738">
        <v>1867</v>
      </c>
      <c r="C1738">
        <f>1/COUNTIF(B:B,Table1[[#This Row],[order_id]])</f>
        <v>0.33333333333333331</v>
      </c>
      <c r="D1738" t="str">
        <f>TEXT(Table1[[#This Row],[order_date]],"mmmm")</f>
        <v>May</v>
      </c>
      <c r="E1738" s="1">
        <v>45426</v>
      </c>
      <c r="F1738" s="1" t="str">
        <f>TEXT(Table1[[#This Row],[order_date]],"dddd")</f>
        <v>Tuesday</v>
      </c>
      <c r="G1738">
        <f>HOUR(Table1[[#This Row],[order_time]])</f>
        <v>13</v>
      </c>
      <c r="H1738" s="2">
        <v>0.55246527777777776</v>
      </c>
      <c r="I1738" t="s">
        <v>18</v>
      </c>
      <c r="J1738" t="s">
        <v>19</v>
      </c>
      <c r="K1738">
        <v>1</v>
      </c>
      <c r="L1738">
        <v>50</v>
      </c>
      <c r="M1738">
        <v>50</v>
      </c>
      <c r="N1738">
        <f>IF(COUNTIFS($B$2:B1738,B1738)=1,1,0)</f>
        <v>0</v>
      </c>
    </row>
    <row r="1739" spans="1:14" x14ac:dyDescent="0.2">
      <c r="A1739">
        <v>1738</v>
      </c>
      <c r="B1739">
        <v>1868</v>
      </c>
      <c r="C1739">
        <f>1/COUNTIF(B:B,Table1[[#This Row],[order_id]])</f>
        <v>0.5</v>
      </c>
      <c r="D1739" t="str">
        <f>TEXT(Table1[[#This Row],[order_date]],"mmmm")</f>
        <v>May</v>
      </c>
      <c r="E1739" s="1">
        <v>45427</v>
      </c>
      <c r="F1739" s="1" t="str">
        <f>TEXT(Table1[[#This Row],[order_date]],"dddd")</f>
        <v>Wednesday</v>
      </c>
      <c r="G1739">
        <f>HOUR(Table1[[#This Row],[order_time]])</f>
        <v>12</v>
      </c>
      <c r="H1739" s="2">
        <v>0.50025462962962963</v>
      </c>
      <c r="I1739" t="s">
        <v>11</v>
      </c>
      <c r="J1739" t="s">
        <v>12</v>
      </c>
      <c r="K1739">
        <v>4</v>
      </c>
      <c r="L1739">
        <v>650</v>
      </c>
      <c r="M1739">
        <v>2600</v>
      </c>
      <c r="N1739">
        <f>IF(COUNTIFS($B$2:B1739,B1739)=1,1,0)</f>
        <v>1</v>
      </c>
    </row>
    <row r="1740" spans="1:14" x14ac:dyDescent="0.2">
      <c r="A1740">
        <v>1739</v>
      </c>
      <c r="B1740">
        <v>1868</v>
      </c>
      <c r="C1740">
        <f>1/COUNTIF(B:B,Table1[[#This Row],[order_id]])</f>
        <v>0.5</v>
      </c>
      <c r="D1740" t="str">
        <f>TEXT(Table1[[#This Row],[order_date]],"mmmm")</f>
        <v>May</v>
      </c>
      <c r="E1740" s="1">
        <v>45427</v>
      </c>
      <c r="F1740" s="1" t="str">
        <f>TEXT(Table1[[#This Row],[order_date]],"dddd")</f>
        <v>Wednesday</v>
      </c>
      <c r="G1740">
        <f>HOUR(Table1[[#This Row],[order_time]])</f>
        <v>15</v>
      </c>
      <c r="H1740" s="2">
        <v>0.63091435185185185</v>
      </c>
      <c r="I1740" t="s">
        <v>18</v>
      </c>
      <c r="J1740" t="s">
        <v>30</v>
      </c>
      <c r="K1740">
        <v>5</v>
      </c>
      <c r="L1740">
        <v>60</v>
      </c>
      <c r="M1740">
        <v>300</v>
      </c>
      <c r="N1740">
        <f>IF(COUNTIFS($B$2:B1740,B1740)=1,1,0)</f>
        <v>0</v>
      </c>
    </row>
    <row r="1741" spans="1:14" x14ac:dyDescent="0.2">
      <c r="A1741">
        <v>1740</v>
      </c>
      <c r="B1741">
        <v>1869</v>
      </c>
      <c r="C1741">
        <f>1/COUNTIF(B:B,Table1[[#This Row],[order_id]])</f>
        <v>0.5</v>
      </c>
      <c r="D1741" t="str">
        <f>TEXT(Table1[[#This Row],[order_date]],"mmmm")</f>
        <v>May</v>
      </c>
      <c r="E1741" s="1">
        <v>45427</v>
      </c>
      <c r="F1741" s="1" t="str">
        <f>TEXT(Table1[[#This Row],[order_date]],"dddd")</f>
        <v>Wednesday</v>
      </c>
      <c r="G1741">
        <f>HOUR(Table1[[#This Row],[order_time]])</f>
        <v>20</v>
      </c>
      <c r="H1741" s="2">
        <v>0.85938657407407404</v>
      </c>
      <c r="I1741" t="s">
        <v>18</v>
      </c>
      <c r="J1741" t="s">
        <v>26</v>
      </c>
      <c r="K1741">
        <v>1</v>
      </c>
      <c r="L1741">
        <v>55</v>
      </c>
      <c r="M1741">
        <v>55</v>
      </c>
      <c r="N1741">
        <f>IF(COUNTIFS($B$2:B1741,B1741)=1,1,0)</f>
        <v>1</v>
      </c>
    </row>
    <row r="1742" spans="1:14" x14ac:dyDescent="0.2">
      <c r="A1742">
        <v>1741</v>
      </c>
      <c r="B1742">
        <v>1869</v>
      </c>
      <c r="C1742">
        <f>1/COUNTIF(B:B,Table1[[#This Row],[order_id]])</f>
        <v>0.5</v>
      </c>
      <c r="D1742" t="str">
        <f>TEXT(Table1[[#This Row],[order_date]],"mmmm")</f>
        <v>May</v>
      </c>
      <c r="E1742" s="1">
        <v>45427</v>
      </c>
      <c r="F1742" s="1" t="str">
        <f>TEXT(Table1[[#This Row],[order_date]],"dddd")</f>
        <v>Wednesday</v>
      </c>
      <c r="G1742">
        <f>HOUR(Table1[[#This Row],[order_time]])</f>
        <v>14</v>
      </c>
      <c r="H1742" s="2">
        <v>0.58922453703703703</v>
      </c>
      <c r="I1742" t="s">
        <v>16</v>
      </c>
      <c r="J1742" t="s">
        <v>28</v>
      </c>
      <c r="K1742">
        <v>2</v>
      </c>
      <c r="L1742">
        <v>25</v>
      </c>
      <c r="M1742">
        <v>50</v>
      </c>
      <c r="N1742">
        <f>IF(COUNTIFS($B$2:B1742,B1742)=1,1,0)</f>
        <v>0</v>
      </c>
    </row>
    <row r="1743" spans="1:14" x14ac:dyDescent="0.2">
      <c r="A1743">
        <v>1742</v>
      </c>
      <c r="B1743">
        <v>1870</v>
      </c>
      <c r="C1743">
        <f>1/COUNTIF(B:B,Table1[[#This Row],[order_id]])</f>
        <v>0.33333333333333331</v>
      </c>
      <c r="D1743" t="str">
        <f>TEXT(Table1[[#This Row],[order_date]],"mmmm")</f>
        <v>May</v>
      </c>
      <c r="E1743" s="1">
        <v>45427</v>
      </c>
      <c r="F1743" s="1" t="str">
        <f>TEXT(Table1[[#This Row],[order_date]],"dddd")</f>
        <v>Wednesday</v>
      </c>
      <c r="G1743">
        <f>HOUR(Table1[[#This Row],[order_time]])</f>
        <v>15</v>
      </c>
      <c r="H1743" s="2">
        <v>0.64709490740740738</v>
      </c>
      <c r="I1743" t="s">
        <v>18</v>
      </c>
      <c r="J1743" t="s">
        <v>31</v>
      </c>
      <c r="K1743">
        <v>4</v>
      </c>
      <c r="L1743">
        <v>45</v>
      </c>
      <c r="M1743">
        <v>180</v>
      </c>
      <c r="N1743">
        <f>IF(COUNTIFS($B$2:B1743,B1743)=1,1,0)</f>
        <v>1</v>
      </c>
    </row>
    <row r="1744" spans="1:14" x14ac:dyDescent="0.2">
      <c r="A1744">
        <v>1743</v>
      </c>
      <c r="B1744">
        <v>1870</v>
      </c>
      <c r="C1744">
        <f>1/COUNTIF(B:B,Table1[[#This Row],[order_id]])</f>
        <v>0.33333333333333331</v>
      </c>
      <c r="D1744" t="str">
        <f>TEXT(Table1[[#This Row],[order_date]],"mmmm")</f>
        <v>May</v>
      </c>
      <c r="E1744" s="1">
        <v>45427</v>
      </c>
      <c r="F1744" s="1" t="str">
        <f>TEXT(Table1[[#This Row],[order_date]],"dddd")</f>
        <v>Wednesday</v>
      </c>
      <c r="G1744">
        <f>HOUR(Table1[[#This Row],[order_time]])</f>
        <v>10</v>
      </c>
      <c r="H1744" s="2">
        <v>0.42681712962962964</v>
      </c>
      <c r="I1744" t="s">
        <v>11</v>
      </c>
      <c r="J1744" t="s">
        <v>25</v>
      </c>
      <c r="K1744">
        <v>5</v>
      </c>
      <c r="L1744">
        <v>1000</v>
      </c>
      <c r="M1744">
        <v>5000</v>
      </c>
      <c r="N1744">
        <f>IF(COUNTIFS($B$2:B1744,B1744)=1,1,0)</f>
        <v>0</v>
      </c>
    </row>
    <row r="1745" spans="1:14" x14ac:dyDescent="0.2">
      <c r="A1745">
        <v>1744</v>
      </c>
      <c r="B1745">
        <v>1870</v>
      </c>
      <c r="C1745">
        <f>1/COUNTIF(B:B,Table1[[#This Row],[order_id]])</f>
        <v>0.33333333333333331</v>
      </c>
      <c r="D1745" t="str">
        <f>TEXT(Table1[[#This Row],[order_date]],"mmmm")</f>
        <v>May</v>
      </c>
      <c r="E1745" s="1">
        <v>45427</v>
      </c>
      <c r="F1745" s="1" t="str">
        <f>TEXT(Table1[[#This Row],[order_date]],"dddd")</f>
        <v>Wednesday</v>
      </c>
      <c r="G1745">
        <f>HOUR(Table1[[#This Row],[order_time]])</f>
        <v>9</v>
      </c>
      <c r="H1745" s="2">
        <v>0.3850810185185185</v>
      </c>
      <c r="I1745" t="s">
        <v>9</v>
      </c>
      <c r="J1745" t="s">
        <v>10</v>
      </c>
      <c r="K1745">
        <v>2</v>
      </c>
      <c r="L1745">
        <v>20</v>
      </c>
      <c r="M1745">
        <v>40</v>
      </c>
      <c r="N1745">
        <f>IF(COUNTIFS($B$2:B1745,B1745)=1,1,0)</f>
        <v>0</v>
      </c>
    </row>
    <row r="1746" spans="1:14" x14ac:dyDescent="0.2">
      <c r="A1746">
        <v>1745</v>
      </c>
      <c r="B1746">
        <v>1871</v>
      </c>
      <c r="C1746">
        <f>1/COUNTIF(B:B,Table1[[#This Row],[order_id]])</f>
        <v>0.5</v>
      </c>
      <c r="D1746" t="str">
        <f>TEXT(Table1[[#This Row],[order_date]],"mmmm")</f>
        <v>May</v>
      </c>
      <c r="E1746" s="1">
        <v>45427</v>
      </c>
      <c r="F1746" s="1" t="str">
        <f>TEXT(Table1[[#This Row],[order_date]],"dddd")</f>
        <v>Wednesday</v>
      </c>
      <c r="G1746">
        <f>HOUR(Table1[[#This Row],[order_time]])</f>
        <v>13</v>
      </c>
      <c r="H1746" s="2">
        <v>0.55212962962962964</v>
      </c>
      <c r="I1746" t="s">
        <v>16</v>
      </c>
      <c r="J1746" t="s">
        <v>17</v>
      </c>
      <c r="K1746">
        <v>1</v>
      </c>
      <c r="L1746">
        <v>20</v>
      </c>
      <c r="M1746">
        <v>20</v>
      </c>
      <c r="N1746">
        <f>IF(COUNTIFS($B$2:B1746,B1746)=1,1,0)</f>
        <v>1</v>
      </c>
    </row>
    <row r="1747" spans="1:14" x14ac:dyDescent="0.2">
      <c r="A1747">
        <v>1746</v>
      </c>
      <c r="B1747">
        <v>1871</v>
      </c>
      <c r="C1747">
        <f>1/COUNTIF(B:B,Table1[[#This Row],[order_id]])</f>
        <v>0.5</v>
      </c>
      <c r="D1747" t="str">
        <f>TEXT(Table1[[#This Row],[order_date]],"mmmm")</f>
        <v>May</v>
      </c>
      <c r="E1747" s="1">
        <v>45427</v>
      </c>
      <c r="F1747" s="1" t="str">
        <f>TEXT(Table1[[#This Row],[order_date]],"dddd")</f>
        <v>Wednesday</v>
      </c>
      <c r="G1747">
        <f>HOUR(Table1[[#This Row],[order_time]])</f>
        <v>12</v>
      </c>
      <c r="H1747" s="2">
        <v>0.52607638888888886</v>
      </c>
      <c r="I1747" t="s">
        <v>11</v>
      </c>
      <c r="J1747" t="s">
        <v>15</v>
      </c>
      <c r="K1747">
        <v>1</v>
      </c>
      <c r="L1747">
        <v>600</v>
      </c>
      <c r="M1747">
        <v>600</v>
      </c>
      <c r="N1747">
        <f>IF(COUNTIFS($B$2:B1747,B1747)=1,1,0)</f>
        <v>0</v>
      </c>
    </row>
    <row r="1748" spans="1:14" x14ac:dyDescent="0.2">
      <c r="A1748">
        <v>1747</v>
      </c>
      <c r="B1748">
        <v>1872</v>
      </c>
      <c r="C1748">
        <f>1/COUNTIF(B:B,Table1[[#This Row],[order_id]])</f>
        <v>0.33333333333333331</v>
      </c>
      <c r="D1748" t="str">
        <f>TEXT(Table1[[#This Row],[order_date]],"mmmm")</f>
        <v>May</v>
      </c>
      <c r="E1748" s="1">
        <v>45427</v>
      </c>
      <c r="F1748" s="1" t="str">
        <f>TEXT(Table1[[#This Row],[order_date]],"dddd")</f>
        <v>Wednesday</v>
      </c>
      <c r="G1748">
        <f>HOUR(Table1[[#This Row],[order_time]])</f>
        <v>18</v>
      </c>
      <c r="H1748" s="2">
        <v>0.7661458333333333</v>
      </c>
      <c r="I1748" t="s">
        <v>16</v>
      </c>
      <c r="J1748" t="s">
        <v>17</v>
      </c>
      <c r="K1748">
        <v>2</v>
      </c>
      <c r="L1748">
        <v>20</v>
      </c>
      <c r="M1748">
        <v>40</v>
      </c>
      <c r="N1748">
        <f>IF(COUNTIFS($B$2:B1748,B1748)=1,1,0)</f>
        <v>1</v>
      </c>
    </row>
    <row r="1749" spans="1:14" x14ac:dyDescent="0.2">
      <c r="A1749">
        <v>1748</v>
      </c>
      <c r="B1749">
        <v>1872</v>
      </c>
      <c r="C1749">
        <f>1/COUNTIF(B:B,Table1[[#This Row],[order_id]])</f>
        <v>0.33333333333333331</v>
      </c>
      <c r="D1749" t="str">
        <f>TEXT(Table1[[#This Row],[order_date]],"mmmm")</f>
        <v>May</v>
      </c>
      <c r="E1749" s="1">
        <v>45427</v>
      </c>
      <c r="F1749" s="1" t="str">
        <f>TEXT(Table1[[#This Row],[order_date]],"dddd")</f>
        <v>Wednesday</v>
      </c>
      <c r="G1749">
        <f>HOUR(Table1[[#This Row],[order_time]])</f>
        <v>17</v>
      </c>
      <c r="H1749" s="2">
        <v>0.74973379629629633</v>
      </c>
      <c r="I1749" t="s">
        <v>18</v>
      </c>
      <c r="J1749" t="s">
        <v>27</v>
      </c>
      <c r="K1749">
        <v>1</v>
      </c>
      <c r="L1749">
        <v>40</v>
      </c>
      <c r="M1749">
        <v>40</v>
      </c>
      <c r="N1749">
        <f>IF(COUNTIFS($B$2:B1749,B1749)=1,1,0)</f>
        <v>0</v>
      </c>
    </row>
    <row r="1750" spans="1:14" x14ac:dyDescent="0.2">
      <c r="A1750">
        <v>1749</v>
      </c>
      <c r="B1750">
        <v>1872</v>
      </c>
      <c r="C1750">
        <f>1/COUNTIF(B:B,Table1[[#This Row],[order_id]])</f>
        <v>0.33333333333333331</v>
      </c>
      <c r="D1750" t="str">
        <f>TEXT(Table1[[#This Row],[order_date]],"mmmm")</f>
        <v>May</v>
      </c>
      <c r="E1750" s="1">
        <v>45427</v>
      </c>
      <c r="F1750" s="1" t="str">
        <f>TEXT(Table1[[#This Row],[order_date]],"dddd")</f>
        <v>Wednesday</v>
      </c>
      <c r="G1750">
        <f>HOUR(Table1[[#This Row],[order_time]])</f>
        <v>13</v>
      </c>
      <c r="H1750" s="2">
        <v>0.54224537037037035</v>
      </c>
      <c r="I1750" t="s">
        <v>11</v>
      </c>
      <c r="J1750" t="s">
        <v>12</v>
      </c>
      <c r="K1750">
        <v>5</v>
      </c>
      <c r="L1750">
        <v>650</v>
      </c>
      <c r="M1750">
        <v>3250</v>
      </c>
      <c r="N1750">
        <f>IF(COUNTIFS($B$2:B1750,B1750)=1,1,0)</f>
        <v>0</v>
      </c>
    </row>
    <row r="1751" spans="1:14" x14ac:dyDescent="0.2">
      <c r="A1751">
        <v>1750</v>
      </c>
      <c r="B1751">
        <v>1873</v>
      </c>
      <c r="C1751">
        <f>1/COUNTIF(B:B,Table1[[#This Row],[order_id]])</f>
        <v>0.33333333333333331</v>
      </c>
      <c r="D1751" t="str">
        <f>TEXT(Table1[[#This Row],[order_date]],"mmmm")</f>
        <v>May</v>
      </c>
      <c r="E1751" s="1">
        <v>45427</v>
      </c>
      <c r="F1751" s="1" t="str">
        <f>TEXT(Table1[[#This Row],[order_date]],"dddd")</f>
        <v>Wednesday</v>
      </c>
      <c r="G1751">
        <f>HOUR(Table1[[#This Row],[order_time]])</f>
        <v>17</v>
      </c>
      <c r="H1751" s="2">
        <v>0.70846064814814813</v>
      </c>
      <c r="I1751" t="s">
        <v>11</v>
      </c>
      <c r="J1751" t="s">
        <v>13</v>
      </c>
      <c r="K1751">
        <v>2</v>
      </c>
      <c r="L1751">
        <v>680</v>
      </c>
      <c r="M1751">
        <v>1360</v>
      </c>
      <c r="N1751">
        <f>IF(COUNTIFS($B$2:B1751,B1751)=1,1,0)</f>
        <v>1</v>
      </c>
    </row>
    <row r="1752" spans="1:14" x14ac:dyDescent="0.2">
      <c r="A1752">
        <v>1751</v>
      </c>
      <c r="B1752">
        <v>1873</v>
      </c>
      <c r="C1752">
        <f>1/COUNTIF(B:B,Table1[[#This Row],[order_id]])</f>
        <v>0.33333333333333331</v>
      </c>
      <c r="D1752" t="str">
        <f>TEXT(Table1[[#This Row],[order_date]],"mmmm")</f>
        <v>May</v>
      </c>
      <c r="E1752" s="1">
        <v>45427</v>
      </c>
      <c r="F1752" s="1" t="str">
        <f>TEXT(Table1[[#This Row],[order_date]],"dddd")</f>
        <v>Wednesday</v>
      </c>
      <c r="G1752">
        <f>HOUR(Table1[[#This Row],[order_time]])</f>
        <v>11</v>
      </c>
      <c r="H1752" s="2">
        <v>0.49170138888888887</v>
      </c>
      <c r="I1752" t="s">
        <v>11</v>
      </c>
      <c r="J1752" t="s">
        <v>12</v>
      </c>
      <c r="K1752">
        <v>1</v>
      </c>
      <c r="L1752">
        <v>650</v>
      </c>
      <c r="M1752">
        <v>650</v>
      </c>
      <c r="N1752">
        <f>IF(COUNTIFS($B$2:B1752,B1752)=1,1,0)</f>
        <v>0</v>
      </c>
    </row>
    <row r="1753" spans="1:14" x14ac:dyDescent="0.2">
      <c r="A1753">
        <v>1752</v>
      </c>
      <c r="B1753">
        <v>1873</v>
      </c>
      <c r="C1753">
        <f>1/COUNTIF(B:B,Table1[[#This Row],[order_id]])</f>
        <v>0.33333333333333331</v>
      </c>
      <c r="D1753" t="str">
        <f>TEXT(Table1[[#This Row],[order_date]],"mmmm")</f>
        <v>May</v>
      </c>
      <c r="E1753" s="1">
        <v>45427</v>
      </c>
      <c r="F1753" s="1" t="str">
        <f>TEXT(Table1[[#This Row],[order_date]],"dddd")</f>
        <v>Wednesday</v>
      </c>
      <c r="G1753">
        <f>HOUR(Table1[[#This Row],[order_time]])</f>
        <v>15</v>
      </c>
      <c r="H1753" s="2">
        <v>0.63748842592592592</v>
      </c>
      <c r="I1753" t="s">
        <v>9</v>
      </c>
      <c r="J1753" t="s">
        <v>10</v>
      </c>
      <c r="K1753">
        <v>1</v>
      </c>
      <c r="L1753">
        <v>20</v>
      </c>
      <c r="M1753">
        <v>20</v>
      </c>
      <c r="N1753">
        <f>IF(COUNTIFS($B$2:B1753,B1753)=1,1,0)</f>
        <v>0</v>
      </c>
    </row>
    <row r="1754" spans="1:14" x14ac:dyDescent="0.2">
      <c r="A1754">
        <v>1753</v>
      </c>
      <c r="B1754">
        <v>1874</v>
      </c>
      <c r="C1754">
        <f>1/COUNTIF(B:B,Table1[[#This Row],[order_id]])</f>
        <v>0.33333333333333331</v>
      </c>
      <c r="D1754" t="str">
        <f>TEXT(Table1[[#This Row],[order_date]],"mmmm")</f>
        <v>May</v>
      </c>
      <c r="E1754" s="1">
        <v>45427</v>
      </c>
      <c r="F1754" s="1" t="str">
        <f>TEXT(Table1[[#This Row],[order_date]],"dddd")</f>
        <v>Wednesday</v>
      </c>
      <c r="G1754">
        <f>HOUR(Table1[[#This Row],[order_time]])</f>
        <v>14</v>
      </c>
      <c r="H1754" s="2">
        <v>0.60895833333333338</v>
      </c>
      <c r="I1754" t="s">
        <v>11</v>
      </c>
      <c r="J1754" t="s">
        <v>15</v>
      </c>
      <c r="K1754">
        <v>3</v>
      </c>
      <c r="L1754">
        <v>600</v>
      </c>
      <c r="M1754">
        <v>1800</v>
      </c>
      <c r="N1754">
        <f>IF(COUNTIFS($B$2:B1754,B1754)=1,1,0)</f>
        <v>1</v>
      </c>
    </row>
    <row r="1755" spans="1:14" x14ac:dyDescent="0.2">
      <c r="A1755">
        <v>1754</v>
      </c>
      <c r="B1755">
        <v>1874</v>
      </c>
      <c r="C1755">
        <f>1/COUNTIF(B:B,Table1[[#This Row],[order_id]])</f>
        <v>0.33333333333333331</v>
      </c>
      <c r="D1755" t="str">
        <f>TEXT(Table1[[#This Row],[order_date]],"mmmm")</f>
        <v>May</v>
      </c>
      <c r="E1755" s="1">
        <v>45427</v>
      </c>
      <c r="F1755" s="1" t="str">
        <f>TEXT(Table1[[#This Row],[order_date]],"dddd")</f>
        <v>Wednesday</v>
      </c>
      <c r="G1755">
        <f>HOUR(Table1[[#This Row],[order_time]])</f>
        <v>16</v>
      </c>
      <c r="H1755" s="2">
        <v>0.70280092592592591</v>
      </c>
      <c r="I1755" t="s">
        <v>16</v>
      </c>
      <c r="J1755" t="s">
        <v>17</v>
      </c>
      <c r="K1755">
        <v>5</v>
      </c>
      <c r="L1755">
        <v>20</v>
      </c>
      <c r="M1755">
        <v>100</v>
      </c>
      <c r="N1755">
        <f>IF(COUNTIFS($B$2:B1755,B1755)=1,1,0)</f>
        <v>0</v>
      </c>
    </row>
    <row r="1756" spans="1:14" x14ac:dyDescent="0.2">
      <c r="A1756">
        <v>1755</v>
      </c>
      <c r="B1756">
        <v>1874</v>
      </c>
      <c r="C1756">
        <f>1/COUNTIF(B:B,Table1[[#This Row],[order_id]])</f>
        <v>0.33333333333333331</v>
      </c>
      <c r="D1756" t="str">
        <f>TEXT(Table1[[#This Row],[order_date]],"mmmm")</f>
        <v>May</v>
      </c>
      <c r="E1756" s="1">
        <v>45427</v>
      </c>
      <c r="F1756" s="1" t="str">
        <f>TEXT(Table1[[#This Row],[order_date]],"dddd")</f>
        <v>Wednesday</v>
      </c>
      <c r="G1756">
        <f>HOUR(Table1[[#This Row],[order_time]])</f>
        <v>17</v>
      </c>
      <c r="H1756" s="2">
        <v>0.72847222222222219</v>
      </c>
      <c r="I1756" t="s">
        <v>18</v>
      </c>
      <c r="J1756" t="s">
        <v>19</v>
      </c>
      <c r="K1756">
        <v>1</v>
      </c>
      <c r="L1756">
        <v>50</v>
      </c>
      <c r="M1756">
        <v>50</v>
      </c>
      <c r="N1756">
        <f>IF(COUNTIFS($B$2:B1756,B1756)=1,1,0)</f>
        <v>0</v>
      </c>
    </row>
    <row r="1757" spans="1:14" x14ac:dyDescent="0.2">
      <c r="A1757">
        <v>1756</v>
      </c>
      <c r="B1757">
        <v>1875</v>
      </c>
      <c r="C1757">
        <f>1/COUNTIF(B:B,Table1[[#This Row],[order_id]])</f>
        <v>1</v>
      </c>
      <c r="D1757" t="str">
        <f>TEXT(Table1[[#This Row],[order_date]],"mmmm")</f>
        <v>May</v>
      </c>
      <c r="E1757" s="1">
        <v>45427</v>
      </c>
      <c r="F1757" s="1" t="str">
        <f>TEXT(Table1[[#This Row],[order_date]],"dddd")</f>
        <v>Wednesday</v>
      </c>
      <c r="G1757">
        <f>HOUR(Table1[[#This Row],[order_time]])</f>
        <v>17</v>
      </c>
      <c r="H1757" s="2">
        <v>0.73302083333333334</v>
      </c>
      <c r="I1757" t="s">
        <v>11</v>
      </c>
      <c r="J1757" t="s">
        <v>15</v>
      </c>
      <c r="K1757">
        <v>5</v>
      </c>
      <c r="L1757">
        <v>600</v>
      </c>
      <c r="M1757">
        <v>3000</v>
      </c>
      <c r="N1757">
        <f>IF(COUNTIFS($B$2:B1757,B1757)=1,1,0)</f>
        <v>1</v>
      </c>
    </row>
    <row r="1758" spans="1:14" x14ac:dyDescent="0.2">
      <c r="A1758">
        <v>1757</v>
      </c>
      <c r="B1758">
        <v>1876</v>
      </c>
      <c r="C1758">
        <f>1/COUNTIF(B:B,Table1[[#This Row],[order_id]])</f>
        <v>0.5</v>
      </c>
      <c r="D1758" t="str">
        <f>TEXT(Table1[[#This Row],[order_date]],"mmmm")</f>
        <v>May</v>
      </c>
      <c r="E1758" s="1">
        <v>45427</v>
      </c>
      <c r="F1758" s="1" t="str">
        <f>TEXT(Table1[[#This Row],[order_date]],"dddd")</f>
        <v>Wednesday</v>
      </c>
      <c r="G1758">
        <f>HOUR(Table1[[#This Row],[order_time]])</f>
        <v>18</v>
      </c>
      <c r="H1758" s="2">
        <v>0.76111111111111107</v>
      </c>
      <c r="I1758" t="s">
        <v>18</v>
      </c>
      <c r="J1758" t="s">
        <v>19</v>
      </c>
      <c r="K1758">
        <v>3</v>
      </c>
      <c r="L1758">
        <v>50</v>
      </c>
      <c r="M1758">
        <v>150</v>
      </c>
      <c r="N1758">
        <f>IF(COUNTIFS($B$2:B1758,B1758)=1,1,0)</f>
        <v>1</v>
      </c>
    </row>
    <row r="1759" spans="1:14" x14ac:dyDescent="0.2">
      <c r="A1759">
        <v>1758</v>
      </c>
      <c r="B1759">
        <v>1876</v>
      </c>
      <c r="C1759">
        <f>1/COUNTIF(B:B,Table1[[#This Row],[order_id]])</f>
        <v>0.5</v>
      </c>
      <c r="D1759" t="str">
        <f>TEXT(Table1[[#This Row],[order_date]],"mmmm")</f>
        <v>May</v>
      </c>
      <c r="E1759" s="1">
        <v>45427</v>
      </c>
      <c r="F1759" s="1" t="str">
        <f>TEXT(Table1[[#This Row],[order_date]],"dddd")</f>
        <v>Wednesday</v>
      </c>
      <c r="G1759">
        <f>HOUR(Table1[[#This Row],[order_time]])</f>
        <v>18</v>
      </c>
      <c r="H1759" s="2">
        <v>0.7741203703703704</v>
      </c>
      <c r="I1759" t="s">
        <v>18</v>
      </c>
      <c r="J1759" t="s">
        <v>26</v>
      </c>
      <c r="K1759">
        <v>4</v>
      </c>
      <c r="L1759">
        <v>55</v>
      </c>
      <c r="M1759">
        <v>220</v>
      </c>
      <c r="N1759">
        <f>IF(COUNTIFS($B$2:B1759,B1759)=1,1,0)</f>
        <v>0</v>
      </c>
    </row>
    <row r="1760" spans="1:14" x14ac:dyDescent="0.2">
      <c r="A1760">
        <v>1759</v>
      </c>
      <c r="B1760">
        <v>1877</v>
      </c>
      <c r="C1760">
        <f>1/COUNTIF(B:B,Table1[[#This Row],[order_id]])</f>
        <v>1</v>
      </c>
      <c r="D1760" t="str">
        <f>TEXT(Table1[[#This Row],[order_date]],"mmmm")</f>
        <v>May</v>
      </c>
      <c r="E1760" s="1">
        <v>45427</v>
      </c>
      <c r="F1760" s="1" t="str">
        <f>TEXT(Table1[[#This Row],[order_date]],"dddd")</f>
        <v>Wednesday</v>
      </c>
      <c r="G1760">
        <f>HOUR(Table1[[#This Row],[order_time]])</f>
        <v>14</v>
      </c>
      <c r="H1760" s="2">
        <v>0.61138888888888887</v>
      </c>
      <c r="I1760" t="s">
        <v>16</v>
      </c>
      <c r="J1760" t="s">
        <v>23</v>
      </c>
      <c r="K1760">
        <v>2</v>
      </c>
      <c r="L1760">
        <v>30</v>
      </c>
      <c r="M1760">
        <v>60</v>
      </c>
      <c r="N1760">
        <f>IF(COUNTIFS($B$2:B1760,B1760)=1,1,0)</f>
        <v>1</v>
      </c>
    </row>
    <row r="1761" spans="1:14" x14ac:dyDescent="0.2">
      <c r="A1761">
        <v>1760</v>
      </c>
      <c r="B1761">
        <v>1878</v>
      </c>
      <c r="C1761">
        <f>1/COUNTIF(B:B,Table1[[#This Row],[order_id]])</f>
        <v>0.33333333333333331</v>
      </c>
      <c r="D1761" t="str">
        <f>TEXT(Table1[[#This Row],[order_date]],"mmmm")</f>
        <v>May</v>
      </c>
      <c r="E1761" s="1">
        <v>45428</v>
      </c>
      <c r="F1761" s="1" t="str">
        <f>TEXT(Table1[[#This Row],[order_date]],"dddd")</f>
        <v>Thursday</v>
      </c>
      <c r="G1761">
        <f>HOUR(Table1[[#This Row],[order_time]])</f>
        <v>13</v>
      </c>
      <c r="H1761" s="2">
        <v>0.57173611111111111</v>
      </c>
      <c r="I1761" t="s">
        <v>16</v>
      </c>
      <c r="J1761" t="s">
        <v>28</v>
      </c>
      <c r="K1761">
        <v>2</v>
      </c>
      <c r="L1761">
        <v>25</v>
      </c>
      <c r="M1761">
        <v>50</v>
      </c>
      <c r="N1761">
        <f>IF(COUNTIFS($B$2:B1761,B1761)=1,1,0)</f>
        <v>1</v>
      </c>
    </row>
    <row r="1762" spans="1:14" x14ac:dyDescent="0.2">
      <c r="A1762">
        <v>1761</v>
      </c>
      <c r="B1762">
        <v>1878</v>
      </c>
      <c r="C1762">
        <f>1/COUNTIF(B:B,Table1[[#This Row],[order_id]])</f>
        <v>0.33333333333333331</v>
      </c>
      <c r="D1762" t="str">
        <f>TEXT(Table1[[#This Row],[order_date]],"mmmm")</f>
        <v>May</v>
      </c>
      <c r="E1762" s="1">
        <v>45428</v>
      </c>
      <c r="F1762" s="1" t="str">
        <f>TEXT(Table1[[#This Row],[order_date]],"dddd")</f>
        <v>Thursday</v>
      </c>
      <c r="G1762">
        <f>HOUR(Table1[[#This Row],[order_time]])</f>
        <v>14</v>
      </c>
      <c r="H1762" s="2">
        <v>0.59960648148148143</v>
      </c>
      <c r="I1762" t="s">
        <v>16</v>
      </c>
      <c r="J1762" t="s">
        <v>28</v>
      </c>
      <c r="K1762">
        <v>4</v>
      </c>
      <c r="L1762">
        <v>25</v>
      </c>
      <c r="M1762">
        <v>100</v>
      </c>
      <c r="N1762">
        <f>IF(COUNTIFS($B$2:B1762,B1762)=1,1,0)</f>
        <v>0</v>
      </c>
    </row>
    <row r="1763" spans="1:14" x14ac:dyDescent="0.2">
      <c r="A1763">
        <v>1762</v>
      </c>
      <c r="B1763">
        <v>1878</v>
      </c>
      <c r="C1763">
        <f>1/COUNTIF(B:B,Table1[[#This Row],[order_id]])</f>
        <v>0.33333333333333331</v>
      </c>
      <c r="D1763" t="str">
        <f>TEXT(Table1[[#This Row],[order_date]],"mmmm")</f>
        <v>May</v>
      </c>
      <c r="E1763" s="1">
        <v>45428</v>
      </c>
      <c r="F1763" s="1" t="str">
        <f>TEXT(Table1[[#This Row],[order_date]],"dddd")</f>
        <v>Thursday</v>
      </c>
      <c r="G1763">
        <f>HOUR(Table1[[#This Row],[order_time]])</f>
        <v>19</v>
      </c>
      <c r="H1763" s="2">
        <v>0.81120370370370365</v>
      </c>
      <c r="I1763" t="s">
        <v>9</v>
      </c>
      <c r="J1763" t="s">
        <v>10</v>
      </c>
      <c r="K1763">
        <v>4</v>
      </c>
      <c r="L1763">
        <v>20</v>
      </c>
      <c r="M1763">
        <v>80</v>
      </c>
      <c r="N1763">
        <f>IF(COUNTIFS($B$2:B1763,B1763)=1,1,0)</f>
        <v>0</v>
      </c>
    </row>
    <row r="1764" spans="1:14" x14ac:dyDescent="0.2">
      <c r="A1764">
        <v>1763</v>
      </c>
      <c r="B1764">
        <v>1879</v>
      </c>
      <c r="C1764">
        <f>1/COUNTIF(B:B,Table1[[#This Row],[order_id]])</f>
        <v>1</v>
      </c>
      <c r="D1764" t="str">
        <f>TEXT(Table1[[#This Row],[order_date]],"mmmm")</f>
        <v>May</v>
      </c>
      <c r="E1764" s="1">
        <v>45428</v>
      </c>
      <c r="F1764" s="1" t="str">
        <f>TEXT(Table1[[#This Row],[order_date]],"dddd")</f>
        <v>Thursday</v>
      </c>
      <c r="G1764">
        <f>HOUR(Table1[[#This Row],[order_time]])</f>
        <v>16</v>
      </c>
      <c r="H1764" s="2">
        <v>0.6725578703703704</v>
      </c>
      <c r="I1764" t="s">
        <v>11</v>
      </c>
      <c r="J1764" t="s">
        <v>14</v>
      </c>
      <c r="K1764">
        <v>1</v>
      </c>
      <c r="L1764">
        <v>700</v>
      </c>
      <c r="M1764">
        <v>700</v>
      </c>
      <c r="N1764">
        <f>IF(COUNTIFS($B$2:B1764,B1764)=1,1,0)</f>
        <v>1</v>
      </c>
    </row>
    <row r="1765" spans="1:14" x14ac:dyDescent="0.2">
      <c r="A1765">
        <v>1764</v>
      </c>
      <c r="B1765">
        <v>1880</v>
      </c>
      <c r="C1765">
        <f>1/COUNTIF(B:B,Table1[[#This Row],[order_id]])</f>
        <v>0.5</v>
      </c>
      <c r="D1765" t="str">
        <f>TEXT(Table1[[#This Row],[order_date]],"mmmm")</f>
        <v>May</v>
      </c>
      <c r="E1765" s="1">
        <v>45428</v>
      </c>
      <c r="F1765" s="1" t="str">
        <f>TEXT(Table1[[#This Row],[order_date]],"dddd")</f>
        <v>Thursday</v>
      </c>
      <c r="G1765">
        <f>HOUR(Table1[[#This Row],[order_time]])</f>
        <v>19</v>
      </c>
      <c r="H1765" s="2">
        <v>0.79964120370370373</v>
      </c>
      <c r="I1765" t="s">
        <v>11</v>
      </c>
      <c r="J1765" t="s">
        <v>13</v>
      </c>
      <c r="K1765">
        <v>5</v>
      </c>
      <c r="L1765">
        <v>680</v>
      </c>
      <c r="M1765">
        <v>3400</v>
      </c>
      <c r="N1765">
        <f>IF(COUNTIFS($B$2:B1765,B1765)=1,1,0)</f>
        <v>1</v>
      </c>
    </row>
    <row r="1766" spans="1:14" x14ac:dyDescent="0.2">
      <c r="A1766">
        <v>1765</v>
      </c>
      <c r="B1766">
        <v>1880</v>
      </c>
      <c r="C1766">
        <f>1/COUNTIF(B:B,Table1[[#This Row],[order_id]])</f>
        <v>0.5</v>
      </c>
      <c r="D1766" t="str">
        <f>TEXT(Table1[[#This Row],[order_date]],"mmmm")</f>
        <v>May</v>
      </c>
      <c r="E1766" s="1">
        <v>45428</v>
      </c>
      <c r="F1766" s="1" t="str">
        <f>TEXT(Table1[[#This Row],[order_date]],"dddd")</f>
        <v>Thursday</v>
      </c>
      <c r="G1766">
        <f>HOUR(Table1[[#This Row],[order_time]])</f>
        <v>18</v>
      </c>
      <c r="H1766" s="2">
        <v>0.76179398148148147</v>
      </c>
      <c r="I1766" t="s">
        <v>9</v>
      </c>
      <c r="J1766" t="s">
        <v>10</v>
      </c>
      <c r="K1766">
        <v>5</v>
      </c>
      <c r="L1766">
        <v>20</v>
      </c>
      <c r="M1766">
        <v>100</v>
      </c>
      <c r="N1766">
        <f>IF(COUNTIFS($B$2:B1766,B1766)=1,1,0)</f>
        <v>0</v>
      </c>
    </row>
    <row r="1767" spans="1:14" x14ac:dyDescent="0.2">
      <c r="A1767">
        <v>1766</v>
      </c>
      <c r="B1767">
        <v>1881</v>
      </c>
      <c r="C1767">
        <f>1/COUNTIF(B:B,Table1[[#This Row],[order_id]])</f>
        <v>0.5</v>
      </c>
      <c r="D1767" t="str">
        <f>TEXT(Table1[[#This Row],[order_date]],"mmmm")</f>
        <v>May</v>
      </c>
      <c r="E1767" s="1">
        <v>45428</v>
      </c>
      <c r="F1767" s="1" t="str">
        <f>TEXT(Table1[[#This Row],[order_date]],"dddd")</f>
        <v>Thursday</v>
      </c>
      <c r="G1767">
        <f>HOUR(Table1[[#This Row],[order_time]])</f>
        <v>12</v>
      </c>
      <c r="H1767" s="2">
        <v>0.51405092592592594</v>
      </c>
      <c r="I1767" t="s">
        <v>16</v>
      </c>
      <c r="J1767" t="s">
        <v>23</v>
      </c>
      <c r="K1767">
        <v>4</v>
      </c>
      <c r="L1767">
        <v>30</v>
      </c>
      <c r="M1767">
        <v>120</v>
      </c>
      <c r="N1767">
        <f>IF(COUNTIFS($B$2:B1767,B1767)=1,1,0)</f>
        <v>1</v>
      </c>
    </row>
    <row r="1768" spans="1:14" x14ac:dyDescent="0.2">
      <c r="A1768">
        <v>1767</v>
      </c>
      <c r="B1768">
        <v>1881</v>
      </c>
      <c r="C1768">
        <f>1/COUNTIF(B:B,Table1[[#This Row],[order_id]])</f>
        <v>0.5</v>
      </c>
      <c r="D1768" t="str">
        <f>TEXT(Table1[[#This Row],[order_date]],"mmmm")</f>
        <v>May</v>
      </c>
      <c r="E1768" s="1">
        <v>45428</v>
      </c>
      <c r="F1768" s="1" t="str">
        <f>TEXT(Table1[[#This Row],[order_date]],"dddd")</f>
        <v>Thursday</v>
      </c>
      <c r="G1768">
        <f>HOUR(Table1[[#This Row],[order_time]])</f>
        <v>20</v>
      </c>
      <c r="H1768" s="2">
        <v>0.85576388888888888</v>
      </c>
      <c r="I1768" t="s">
        <v>16</v>
      </c>
      <c r="J1768" t="s">
        <v>23</v>
      </c>
      <c r="K1768">
        <v>4</v>
      </c>
      <c r="L1768">
        <v>30</v>
      </c>
      <c r="M1768">
        <v>120</v>
      </c>
      <c r="N1768">
        <f>IF(COUNTIFS($B$2:B1768,B1768)=1,1,0)</f>
        <v>0</v>
      </c>
    </row>
    <row r="1769" spans="1:14" x14ac:dyDescent="0.2">
      <c r="A1769">
        <v>1768</v>
      </c>
      <c r="B1769">
        <v>1882</v>
      </c>
      <c r="C1769">
        <f>1/COUNTIF(B:B,Table1[[#This Row],[order_id]])</f>
        <v>0.5</v>
      </c>
      <c r="D1769" t="str">
        <f>TEXT(Table1[[#This Row],[order_date]],"mmmm")</f>
        <v>May</v>
      </c>
      <c r="E1769" s="1">
        <v>45428</v>
      </c>
      <c r="F1769" s="1" t="str">
        <f>TEXT(Table1[[#This Row],[order_date]],"dddd")</f>
        <v>Thursday</v>
      </c>
      <c r="G1769">
        <f>HOUR(Table1[[#This Row],[order_time]])</f>
        <v>20</v>
      </c>
      <c r="H1769" s="2">
        <v>0.86424768518518513</v>
      </c>
      <c r="I1769" t="s">
        <v>16</v>
      </c>
      <c r="J1769" t="s">
        <v>23</v>
      </c>
      <c r="K1769">
        <v>4</v>
      </c>
      <c r="L1769">
        <v>30</v>
      </c>
      <c r="M1769">
        <v>120</v>
      </c>
      <c r="N1769">
        <f>IF(COUNTIFS($B$2:B1769,B1769)=1,1,0)</f>
        <v>1</v>
      </c>
    </row>
    <row r="1770" spans="1:14" x14ac:dyDescent="0.2">
      <c r="A1770">
        <v>1769</v>
      </c>
      <c r="B1770">
        <v>1882</v>
      </c>
      <c r="C1770">
        <f>1/COUNTIF(B:B,Table1[[#This Row],[order_id]])</f>
        <v>0.5</v>
      </c>
      <c r="D1770" t="str">
        <f>TEXT(Table1[[#This Row],[order_date]],"mmmm")</f>
        <v>May</v>
      </c>
      <c r="E1770" s="1">
        <v>45428</v>
      </c>
      <c r="F1770" s="1" t="str">
        <f>TEXT(Table1[[#This Row],[order_date]],"dddd")</f>
        <v>Thursday</v>
      </c>
      <c r="G1770">
        <f>HOUR(Table1[[#This Row],[order_time]])</f>
        <v>20</v>
      </c>
      <c r="H1770" s="2">
        <v>0.83660879629629625</v>
      </c>
      <c r="I1770" t="s">
        <v>11</v>
      </c>
      <c r="J1770" t="s">
        <v>15</v>
      </c>
      <c r="K1770">
        <v>5</v>
      </c>
      <c r="L1770">
        <v>600</v>
      </c>
      <c r="M1770">
        <v>3000</v>
      </c>
      <c r="N1770">
        <f>IF(COUNTIFS($B$2:B1770,B1770)=1,1,0)</f>
        <v>0</v>
      </c>
    </row>
    <row r="1771" spans="1:14" x14ac:dyDescent="0.2">
      <c r="A1771">
        <v>1770</v>
      </c>
      <c r="B1771">
        <v>1883</v>
      </c>
      <c r="C1771">
        <f>1/COUNTIF(B:B,Table1[[#This Row],[order_id]])</f>
        <v>1</v>
      </c>
      <c r="D1771" t="str">
        <f>TEXT(Table1[[#This Row],[order_date]],"mmmm")</f>
        <v>May</v>
      </c>
      <c r="E1771" s="1">
        <v>45428</v>
      </c>
      <c r="F1771" s="1" t="str">
        <f>TEXT(Table1[[#This Row],[order_date]],"dddd")</f>
        <v>Thursday</v>
      </c>
      <c r="G1771">
        <f>HOUR(Table1[[#This Row],[order_time]])</f>
        <v>19</v>
      </c>
      <c r="H1771" s="2">
        <v>0.81422453703703701</v>
      </c>
      <c r="I1771" t="s">
        <v>16</v>
      </c>
      <c r="J1771" t="s">
        <v>23</v>
      </c>
      <c r="K1771">
        <v>2</v>
      </c>
      <c r="L1771">
        <v>30</v>
      </c>
      <c r="M1771">
        <v>60</v>
      </c>
      <c r="N1771">
        <f>IF(COUNTIFS($B$2:B1771,B1771)=1,1,0)</f>
        <v>1</v>
      </c>
    </row>
    <row r="1772" spans="1:14" x14ac:dyDescent="0.2">
      <c r="A1772">
        <v>1771</v>
      </c>
      <c r="B1772">
        <v>1884</v>
      </c>
      <c r="C1772">
        <f>1/COUNTIF(B:B,Table1[[#This Row],[order_id]])</f>
        <v>1</v>
      </c>
      <c r="D1772" t="str">
        <f>TEXT(Table1[[#This Row],[order_date]],"mmmm")</f>
        <v>May</v>
      </c>
      <c r="E1772" s="1">
        <v>45429</v>
      </c>
      <c r="F1772" s="1" t="str">
        <f>TEXT(Table1[[#This Row],[order_date]],"dddd")</f>
        <v>Friday</v>
      </c>
      <c r="G1772">
        <f>HOUR(Table1[[#This Row],[order_time]])</f>
        <v>9</v>
      </c>
      <c r="H1772" s="2">
        <v>0.39395833333333335</v>
      </c>
      <c r="I1772" t="s">
        <v>16</v>
      </c>
      <c r="J1772" t="s">
        <v>23</v>
      </c>
      <c r="K1772">
        <v>1</v>
      </c>
      <c r="L1772">
        <v>30</v>
      </c>
      <c r="M1772">
        <v>30</v>
      </c>
      <c r="N1772">
        <f>IF(COUNTIFS($B$2:B1772,B1772)=1,1,0)</f>
        <v>1</v>
      </c>
    </row>
    <row r="1773" spans="1:14" x14ac:dyDescent="0.2">
      <c r="A1773">
        <v>1772</v>
      </c>
      <c r="B1773">
        <v>1885</v>
      </c>
      <c r="C1773">
        <f>1/COUNTIF(B:B,Table1[[#This Row],[order_id]])</f>
        <v>0.33333333333333331</v>
      </c>
      <c r="D1773" t="str">
        <f>TEXT(Table1[[#This Row],[order_date]],"mmmm")</f>
        <v>May</v>
      </c>
      <c r="E1773" s="1">
        <v>45429</v>
      </c>
      <c r="F1773" s="1" t="str">
        <f>TEXT(Table1[[#This Row],[order_date]],"dddd")</f>
        <v>Friday</v>
      </c>
      <c r="G1773">
        <f>HOUR(Table1[[#This Row],[order_time]])</f>
        <v>11</v>
      </c>
      <c r="H1773" s="2">
        <v>0.47410879629629632</v>
      </c>
      <c r="I1773" t="s">
        <v>9</v>
      </c>
      <c r="J1773" t="s">
        <v>22</v>
      </c>
      <c r="K1773">
        <v>2</v>
      </c>
      <c r="L1773">
        <v>15</v>
      </c>
      <c r="M1773">
        <v>30</v>
      </c>
      <c r="N1773">
        <f>IF(COUNTIFS($B$2:B1773,B1773)=1,1,0)</f>
        <v>1</v>
      </c>
    </row>
    <row r="1774" spans="1:14" x14ac:dyDescent="0.2">
      <c r="A1774">
        <v>1773</v>
      </c>
      <c r="B1774">
        <v>1885</v>
      </c>
      <c r="C1774">
        <f>1/COUNTIF(B:B,Table1[[#This Row],[order_id]])</f>
        <v>0.33333333333333331</v>
      </c>
      <c r="D1774" t="str">
        <f>TEXT(Table1[[#This Row],[order_date]],"mmmm")</f>
        <v>May</v>
      </c>
      <c r="E1774" s="1">
        <v>45429</v>
      </c>
      <c r="F1774" s="1" t="str">
        <f>TEXT(Table1[[#This Row],[order_date]],"dddd")</f>
        <v>Friday</v>
      </c>
      <c r="G1774">
        <f>HOUR(Table1[[#This Row],[order_time]])</f>
        <v>17</v>
      </c>
      <c r="H1774" s="2">
        <v>0.7326273148148148</v>
      </c>
      <c r="I1774" t="s">
        <v>16</v>
      </c>
      <c r="J1774" t="s">
        <v>23</v>
      </c>
      <c r="K1774">
        <v>1</v>
      </c>
      <c r="L1774">
        <v>30</v>
      </c>
      <c r="M1774">
        <v>30</v>
      </c>
      <c r="N1774">
        <f>IF(COUNTIFS($B$2:B1774,B1774)=1,1,0)</f>
        <v>0</v>
      </c>
    </row>
    <row r="1775" spans="1:14" x14ac:dyDescent="0.2">
      <c r="A1775">
        <v>1774</v>
      </c>
      <c r="B1775">
        <v>1885</v>
      </c>
      <c r="C1775">
        <f>1/COUNTIF(B:B,Table1[[#This Row],[order_id]])</f>
        <v>0.33333333333333331</v>
      </c>
      <c r="D1775" t="str">
        <f>TEXT(Table1[[#This Row],[order_date]],"mmmm")</f>
        <v>May</v>
      </c>
      <c r="E1775" s="1">
        <v>45429</v>
      </c>
      <c r="F1775" s="1" t="str">
        <f>TEXT(Table1[[#This Row],[order_date]],"dddd")</f>
        <v>Friday</v>
      </c>
      <c r="G1775">
        <f>HOUR(Table1[[#This Row],[order_time]])</f>
        <v>13</v>
      </c>
      <c r="H1775" s="2">
        <v>0.56574074074074077</v>
      </c>
      <c r="I1775" t="s">
        <v>9</v>
      </c>
      <c r="J1775" t="s">
        <v>10</v>
      </c>
      <c r="K1775">
        <v>5</v>
      </c>
      <c r="L1775">
        <v>20</v>
      </c>
      <c r="M1775">
        <v>100</v>
      </c>
      <c r="N1775">
        <f>IF(COUNTIFS($B$2:B1775,B1775)=1,1,0)</f>
        <v>0</v>
      </c>
    </row>
    <row r="1776" spans="1:14" x14ac:dyDescent="0.2">
      <c r="A1776">
        <v>1775</v>
      </c>
      <c r="B1776">
        <v>1886</v>
      </c>
      <c r="C1776">
        <f>1/COUNTIF(B:B,Table1[[#This Row],[order_id]])</f>
        <v>0.33333333333333331</v>
      </c>
      <c r="D1776" t="str">
        <f>TEXT(Table1[[#This Row],[order_date]],"mmmm")</f>
        <v>May</v>
      </c>
      <c r="E1776" s="1">
        <v>45429</v>
      </c>
      <c r="F1776" s="1" t="str">
        <f>TEXT(Table1[[#This Row],[order_date]],"dddd")</f>
        <v>Friday</v>
      </c>
      <c r="G1776">
        <f>HOUR(Table1[[#This Row],[order_time]])</f>
        <v>13</v>
      </c>
      <c r="H1776" s="2">
        <v>0.54495370370370366</v>
      </c>
      <c r="I1776" t="s">
        <v>11</v>
      </c>
      <c r="J1776" t="s">
        <v>13</v>
      </c>
      <c r="K1776">
        <v>3</v>
      </c>
      <c r="L1776">
        <v>680</v>
      </c>
      <c r="M1776">
        <v>2040</v>
      </c>
      <c r="N1776">
        <f>IF(COUNTIFS($B$2:B1776,B1776)=1,1,0)</f>
        <v>1</v>
      </c>
    </row>
    <row r="1777" spans="1:14" x14ac:dyDescent="0.2">
      <c r="A1777">
        <v>1776</v>
      </c>
      <c r="B1777">
        <v>1886</v>
      </c>
      <c r="C1777">
        <f>1/COUNTIF(B:B,Table1[[#This Row],[order_id]])</f>
        <v>0.33333333333333331</v>
      </c>
      <c r="D1777" t="str">
        <f>TEXT(Table1[[#This Row],[order_date]],"mmmm")</f>
        <v>May</v>
      </c>
      <c r="E1777" s="1">
        <v>45429</v>
      </c>
      <c r="F1777" s="1" t="str">
        <f>TEXT(Table1[[#This Row],[order_date]],"dddd")</f>
        <v>Friday</v>
      </c>
      <c r="G1777">
        <f>HOUR(Table1[[#This Row],[order_time]])</f>
        <v>20</v>
      </c>
      <c r="H1777" s="2">
        <v>0.84107638888888892</v>
      </c>
      <c r="I1777" t="s">
        <v>9</v>
      </c>
      <c r="J1777" t="s">
        <v>22</v>
      </c>
      <c r="K1777">
        <v>3</v>
      </c>
      <c r="L1777">
        <v>15</v>
      </c>
      <c r="M1777">
        <v>45</v>
      </c>
      <c r="N1777">
        <f>IF(COUNTIFS($B$2:B1777,B1777)=1,1,0)</f>
        <v>0</v>
      </c>
    </row>
    <row r="1778" spans="1:14" x14ac:dyDescent="0.2">
      <c r="A1778">
        <v>1777</v>
      </c>
      <c r="B1778">
        <v>1886</v>
      </c>
      <c r="C1778">
        <f>1/COUNTIF(B:B,Table1[[#This Row],[order_id]])</f>
        <v>0.33333333333333331</v>
      </c>
      <c r="D1778" t="str">
        <f>TEXT(Table1[[#This Row],[order_date]],"mmmm")</f>
        <v>May</v>
      </c>
      <c r="E1778" s="1">
        <v>45429</v>
      </c>
      <c r="F1778" s="1" t="str">
        <f>TEXT(Table1[[#This Row],[order_date]],"dddd")</f>
        <v>Friday</v>
      </c>
      <c r="G1778">
        <f>HOUR(Table1[[#This Row],[order_time]])</f>
        <v>18</v>
      </c>
      <c r="H1778" s="2">
        <v>0.75364583333333335</v>
      </c>
      <c r="I1778" t="s">
        <v>16</v>
      </c>
      <c r="J1778" t="s">
        <v>23</v>
      </c>
      <c r="K1778">
        <v>4</v>
      </c>
      <c r="L1778">
        <v>30</v>
      </c>
      <c r="M1778">
        <v>120</v>
      </c>
      <c r="N1778">
        <f>IF(COUNTIFS($B$2:B1778,B1778)=1,1,0)</f>
        <v>0</v>
      </c>
    </row>
    <row r="1779" spans="1:14" x14ac:dyDescent="0.2">
      <c r="A1779">
        <v>1778</v>
      </c>
      <c r="B1779">
        <v>1887</v>
      </c>
      <c r="C1779">
        <f>1/COUNTIF(B:B,Table1[[#This Row],[order_id]])</f>
        <v>0.33333333333333331</v>
      </c>
      <c r="D1779" t="str">
        <f>TEXT(Table1[[#This Row],[order_date]],"mmmm")</f>
        <v>May</v>
      </c>
      <c r="E1779" s="1">
        <v>45430</v>
      </c>
      <c r="F1779" s="1" t="str">
        <f>TEXT(Table1[[#This Row],[order_date]],"dddd")</f>
        <v>Saturday</v>
      </c>
      <c r="G1779">
        <f>HOUR(Table1[[#This Row],[order_time]])</f>
        <v>20</v>
      </c>
      <c r="H1779" s="2">
        <v>0.86781249999999999</v>
      </c>
      <c r="I1779" t="s">
        <v>9</v>
      </c>
      <c r="J1779" t="s">
        <v>20</v>
      </c>
      <c r="K1779">
        <v>2</v>
      </c>
      <c r="L1779">
        <v>25</v>
      </c>
      <c r="M1779">
        <v>50</v>
      </c>
      <c r="N1779">
        <f>IF(COUNTIFS($B$2:B1779,B1779)=1,1,0)</f>
        <v>1</v>
      </c>
    </row>
    <row r="1780" spans="1:14" x14ac:dyDescent="0.2">
      <c r="A1780">
        <v>1779</v>
      </c>
      <c r="B1780">
        <v>1887</v>
      </c>
      <c r="C1780">
        <f>1/COUNTIF(B:B,Table1[[#This Row],[order_id]])</f>
        <v>0.33333333333333331</v>
      </c>
      <c r="D1780" t="str">
        <f>TEXT(Table1[[#This Row],[order_date]],"mmmm")</f>
        <v>May</v>
      </c>
      <c r="E1780" s="1">
        <v>45430</v>
      </c>
      <c r="F1780" s="1" t="str">
        <f>TEXT(Table1[[#This Row],[order_date]],"dddd")</f>
        <v>Saturday</v>
      </c>
      <c r="G1780">
        <f>HOUR(Table1[[#This Row],[order_time]])</f>
        <v>17</v>
      </c>
      <c r="H1780" s="2">
        <v>0.72670138888888891</v>
      </c>
      <c r="I1780" t="s">
        <v>11</v>
      </c>
      <c r="J1780" t="s">
        <v>12</v>
      </c>
      <c r="K1780">
        <v>1</v>
      </c>
      <c r="L1780">
        <v>650</v>
      </c>
      <c r="M1780">
        <v>650</v>
      </c>
      <c r="N1780">
        <f>IF(COUNTIFS($B$2:B1780,B1780)=1,1,0)</f>
        <v>0</v>
      </c>
    </row>
    <row r="1781" spans="1:14" x14ac:dyDescent="0.2">
      <c r="A1781">
        <v>1780</v>
      </c>
      <c r="B1781">
        <v>1887</v>
      </c>
      <c r="C1781">
        <f>1/COUNTIF(B:B,Table1[[#This Row],[order_id]])</f>
        <v>0.33333333333333331</v>
      </c>
      <c r="D1781" t="str">
        <f>TEXT(Table1[[#This Row],[order_date]],"mmmm")</f>
        <v>May</v>
      </c>
      <c r="E1781" s="1">
        <v>45430</v>
      </c>
      <c r="F1781" s="1" t="str">
        <f>TEXT(Table1[[#This Row],[order_date]],"dddd")</f>
        <v>Saturday</v>
      </c>
      <c r="G1781">
        <f>HOUR(Table1[[#This Row],[order_time]])</f>
        <v>19</v>
      </c>
      <c r="H1781" s="2">
        <v>0.81766203703703699</v>
      </c>
      <c r="I1781" t="s">
        <v>16</v>
      </c>
      <c r="J1781" t="s">
        <v>28</v>
      </c>
      <c r="K1781">
        <v>2</v>
      </c>
      <c r="L1781">
        <v>25</v>
      </c>
      <c r="M1781">
        <v>50</v>
      </c>
      <c r="N1781">
        <f>IF(COUNTIFS($B$2:B1781,B1781)=1,1,0)</f>
        <v>0</v>
      </c>
    </row>
    <row r="1782" spans="1:14" x14ac:dyDescent="0.2">
      <c r="A1782">
        <v>1781</v>
      </c>
      <c r="B1782">
        <v>1888</v>
      </c>
      <c r="C1782">
        <f>1/COUNTIF(B:B,Table1[[#This Row],[order_id]])</f>
        <v>0.5</v>
      </c>
      <c r="D1782" t="str">
        <f>TEXT(Table1[[#This Row],[order_date]],"mmmm")</f>
        <v>May</v>
      </c>
      <c r="E1782" s="1">
        <v>45430</v>
      </c>
      <c r="F1782" s="1" t="str">
        <f>TEXT(Table1[[#This Row],[order_date]],"dddd")</f>
        <v>Saturday</v>
      </c>
      <c r="G1782">
        <f>HOUR(Table1[[#This Row],[order_time]])</f>
        <v>15</v>
      </c>
      <c r="H1782" s="2">
        <v>0.65651620370370367</v>
      </c>
      <c r="I1782" t="s">
        <v>11</v>
      </c>
      <c r="J1782" t="s">
        <v>13</v>
      </c>
      <c r="K1782">
        <v>4</v>
      </c>
      <c r="L1782">
        <v>680</v>
      </c>
      <c r="M1782">
        <v>2720</v>
      </c>
      <c r="N1782">
        <f>IF(COUNTIFS($B$2:B1782,B1782)=1,1,0)</f>
        <v>1</v>
      </c>
    </row>
    <row r="1783" spans="1:14" x14ac:dyDescent="0.2">
      <c r="A1783">
        <v>1782</v>
      </c>
      <c r="B1783">
        <v>1888</v>
      </c>
      <c r="C1783">
        <f>1/COUNTIF(B:B,Table1[[#This Row],[order_id]])</f>
        <v>0.5</v>
      </c>
      <c r="D1783" t="str">
        <f>TEXT(Table1[[#This Row],[order_date]],"mmmm")</f>
        <v>May</v>
      </c>
      <c r="E1783" s="1">
        <v>45430</v>
      </c>
      <c r="F1783" s="1" t="str">
        <f>TEXT(Table1[[#This Row],[order_date]],"dddd")</f>
        <v>Saturday</v>
      </c>
      <c r="G1783">
        <f>HOUR(Table1[[#This Row],[order_time]])</f>
        <v>12</v>
      </c>
      <c r="H1783" s="2">
        <v>0.51984953703703707</v>
      </c>
      <c r="I1783" t="s">
        <v>11</v>
      </c>
      <c r="J1783" t="s">
        <v>25</v>
      </c>
      <c r="K1783">
        <v>4</v>
      </c>
      <c r="L1783">
        <v>1000</v>
      </c>
      <c r="M1783">
        <v>4000</v>
      </c>
      <c r="N1783">
        <f>IF(COUNTIFS($B$2:B1783,B1783)=1,1,0)</f>
        <v>0</v>
      </c>
    </row>
    <row r="1784" spans="1:14" x14ac:dyDescent="0.2">
      <c r="A1784">
        <v>1783</v>
      </c>
      <c r="B1784">
        <v>1889</v>
      </c>
      <c r="C1784">
        <f>1/COUNTIF(B:B,Table1[[#This Row],[order_id]])</f>
        <v>0.5</v>
      </c>
      <c r="D1784" t="str">
        <f>TEXT(Table1[[#This Row],[order_date]],"mmmm")</f>
        <v>May</v>
      </c>
      <c r="E1784" s="1">
        <v>45430</v>
      </c>
      <c r="F1784" s="1" t="str">
        <f>TEXT(Table1[[#This Row],[order_date]],"dddd")</f>
        <v>Saturday</v>
      </c>
      <c r="G1784">
        <f>HOUR(Table1[[#This Row],[order_time]])</f>
        <v>20</v>
      </c>
      <c r="H1784" s="2">
        <v>0.85346064814814815</v>
      </c>
      <c r="I1784" t="s">
        <v>11</v>
      </c>
      <c r="J1784" t="s">
        <v>14</v>
      </c>
      <c r="K1784">
        <v>5</v>
      </c>
      <c r="L1784">
        <v>700</v>
      </c>
      <c r="M1784">
        <v>3500</v>
      </c>
      <c r="N1784">
        <f>IF(COUNTIFS($B$2:B1784,B1784)=1,1,0)</f>
        <v>1</v>
      </c>
    </row>
    <row r="1785" spans="1:14" x14ac:dyDescent="0.2">
      <c r="A1785">
        <v>1784</v>
      </c>
      <c r="B1785">
        <v>1889</v>
      </c>
      <c r="C1785">
        <f>1/COUNTIF(B:B,Table1[[#This Row],[order_id]])</f>
        <v>0.5</v>
      </c>
      <c r="D1785" t="str">
        <f>TEXT(Table1[[#This Row],[order_date]],"mmmm")</f>
        <v>May</v>
      </c>
      <c r="E1785" s="1">
        <v>45430</v>
      </c>
      <c r="F1785" s="1" t="str">
        <f>TEXT(Table1[[#This Row],[order_date]],"dddd")</f>
        <v>Saturday</v>
      </c>
      <c r="G1785">
        <f>HOUR(Table1[[#This Row],[order_time]])</f>
        <v>18</v>
      </c>
      <c r="H1785" s="2">
        <v>0.78993055555555558</v>
      </c>
      <c r="I1785" t="s">
        <v>9</v>
      </c>
      <c r="J1785" t="s">
        <v>29</v>
      </c>
      <c r="K1785">
        <v>5</v>
      </c>
      <c r="L1785">
        <v>5</v>
      </c>
      <c r="M1785">
        <v>25</v>
      </c>
      <c r="N1785">
        <f>IF(COUNTIFS($B$2:B1785,B1785)=1,1,0)</f>
        <v>0</v>
      </c>
    </row>
    <row r="1786" spans="1:14" x14ac:dyDescent="0.2">
      <c r="A1786">
        <v>1785</v>
      </c>
      <c r="B1786">
        <v>1890</v>
      </c>
      <c r="C1786">
        <f>1/COUNTIF(B:B,Table1[[#This Row],[order_id]])</f>
        <v>0.33333333333333331</v>
      </c>
      <c r="D1786" t="str">
        <f>TEXT(Table1[[#This Row],[order_date]],"mmmm")</f>
        <v>May</v>
      </c>
      <c r="E1786" s="1">
        <v>45430</v>
      </c>
      <c r="F1786" s="1" t="str">
        <f>TEXT(Table1[[#This Row],[order_date]],"dddd")</f>
        <v>Saturday</v>
      </c>
      <c r="G1786">
        <f>HOUR(Table1[[#This Row],[order_time]])</f>
        <v>10</v>
      </c>
      <c r="H1786" s="2">
        <v>0.44011574074074072</v>
      </c>
      <c r="I1786" t="s">
        <v>18</v>
      </c>
      <c r="J1786" t="s">
        <v>30</v>
      </c>
      <c r="K1786">
        <v>5</v>
      </c>
      <c r="L1786">
        <v>60</v>
      </c>
      <c r="M1786">
        <v>300</v>
      </c>
      <c r="N1786">
        <f>IF(COUNTIFS($B$2:B1786,B1786)=1,1,0)</f>
        <v>1</v>
      </c>
    </row>
    <row r="1787" spans="1:14" x14ac:dyDescent="0.2">
      <c r="A1787">
        <v>1786</v>
      </c>
      <c r="B1787">
        <v>1890</v>
      </c>
      <c r="C1787">
        <f>1/COUNTIF(B:B,Table1[[#This Row],[order_id]])</f>
        <v>0.33333333333333331</v>
      </c>
      <c r="D1787" t="str">
        <f>TEXT(Table1[[#This Row],[order_date]],"mmmm")</f>
        <v>May</v>
      </c>
      <c r="E1787" s="1">
        <v>45430</v>
      </c>
      <c r="F1787" s="1" t="str">
        <f>TEXT(Table1[[#This Row],[order_date]],"dddd")</f>
        <v>Saturday</v>
      </c>
      <c r="G1787">
        <f>HOUR(Table1[[#This Row],[order_time]])</f>
        <v>12</v>
      </c>
      <c r="H1787" s="2">
        <v>0.50937500000000002</v>
      </c>
      <c r="I1787" t="s">
        <v>16</v>
      </c>
      <c r="J1787" t="s">
        <v>23</v>
      </c>
      <c r="K1787">
        <v>4</v>
      </c>
      <c r="L1787">
        <v>30</v>
      </c>
      <c r="M1787">
        <v>120</v>
      </c>
      <c r="N1787">
        <f>IF(COUNTIFS($B$2:B1787,B1787)=1,1,0)</f>
        <v>0</v>
      </c>
    </row>
    <row r="1788" spans="1:14" x14ac:dyDescent="0.2">
      <c r="A1788">
        <v>1787</v>
      </c>
      <c r="B1788">
        <v>1890</v>
      </c>
      <c r="C1788">
        <f>1/COUNTIF(B:B,Table1[[#This Row],[order_id]])</f>
        <v>0.33333333333333331</v>
      </c>
      <c r="D1788" t="str">
        <f>TEXT(Table1[[#This Row],[order_date]],"mmmm")</f>
        <v>May</v>
      </c>
      <c r="E1788" s="1">
        <v>45430</v>
      </c>
      <c r="F1788" s="1" t="str">
        <f>TEXT(Table1[[#This Row],[order_date]],"dddd")</f>
        <v>Saturday</v>
      </c>
      <c r="G1788">
        <f>HOUR(Table1[[#This Row],[order_time]])</f>
        <v>11</v>
      </c>
      <c r="H1788" s="2">
        <v>0.48988425925925927</v>
      </c>
      <c r="I1788" t="s">
        <v>16</v>
      </c>
      <c r="J1788" t="s">
        <v>17</v>
      </c>
      <c r="K1788">
        <v>4</v>
      </c>
      <c r="L1788">
        <v>20</v>
      </c>
      <c r="M1788">
        <v>80</v>
      </c>
      <c r="N1788">
        <f>IF(COUNTIFS($B$2:B1788,B1788)=1,1,0)</f>
        <v>0</v>
      </c>
    </row>
    <row r="1789" spans="1:14" x14ac:dyDescent="0.2">
      <c r="A1789">
        <v>1788</v>
      </c>
      <c r="B1789">
        <v>1891</v>
      </c>
      <c r="C1789">
        <f>1/COUNTIF(B:B,Table1[[#This Row],[order_id]])</f>
        <v>0.5</v>
      </c>
      <c r="D1789" t="str">
        <f>TEXT(Table1[[#This Row],[order_date]],"mmmm")</f>
        <v>May</v>
      </c>
      <c r="E1789" s="1">
        <v>45430</v>
      </c>
      <c r="F1789" s="1" t="str">
        <f>TEXT(Table1[[#This Row],[order_date]],"dddd")</f>
        <v>Saturday</v>
      </c>
      <c r="G1789">
        <f>HOUR(Table1[[#This Row],[order_time]])</f>
        <v>20</v>
      </c>
      <c r="H1789" s="2">
        <v>0.85633101851851856</v>
      </c>
      <c r="I1789" t="s">
        <v>18</v>
      </c>
      <c r="J1789" t="s">
        <v>19</v>
      </c>
      <c r="K1789">
        <v>4</v>
      </c>
      <c r="L1789">
        <v>50</v>
      </c>
      <c r="M1789">
        <v>200</v>
      </c>
      <c r="N1789">
        <f>IF(COUNTIFS($B$2:B1789,B1789)=1,1,0)</f>
        <v>1</v>
      </c>
    </row>
    <row r="1790" spans="1:14" x14ac:dyDescent="0.2">
      <c r="A1790">
        <v>1789</v>
      </c>
      <c r="B1790">
        <v>1891</v>
      </c>
      <c r="C1790">
        <f>1/COUNTIF(B:B,Table1[[#This Row],[order_id]])</f>
        <v>0.5</v>
      </c>
      <c r="D1790" t="str">
        <f>TEXT(Table1[[#This Row],[order_date]],"mmmm")</f>
        <v>May</v>
      </c>
      <c r="E1790" s="1">
        <v>45430</v>
      </c>
      <c r="F1790" s="1" t="str">
        <f>TEXT(Table1[[#This Row],[order_date]],"dddd")</f>
        <v>Saturday</v>
      </c>
      <c r="G1790">
        <f>HOUR(Table1[[#This Row],[order_time]])</f>
        <v>14</v>
      </c>
      <c r="H1790" s="2">
        <v>0.61303240740740739</v>
      </c>
      <c r="I1790" t="s">
        <v>18</v>
      </c>
      <c r="J1790" t="s">
        <v>27</v>
      </c>
      <c r="K1790">
        <v>1</v>
      </c>
      <c r="L1790">
        <v>40</v>
      </c>
      <c r="M1790">
        <v>40</v>
      </c>
      <c r="N1790">
        <f>IF(COUNTIFS($B$2:B1790,B1790)=1,1,0)</f>
        <v>0</v>
      </c>
    </row>
    <row r="1791" spans="1:14" x14ac:dyDescent="0.2">
      <c r="A1791">
        <v>1790</v>
      </c>
      <c r="B1791">
        <v>1892</v>
      </c>
      <c r="C1791">
        <f>1/COUNTIF(B:B,Table1[[#This Row],[order_id]])</f>
        <v>0.5</v>
      </c>
      <c r="D1791" t="str">
        <f>TEXT(Table1[[#This Row],[order_date]],"mmmm")</f>
        <v>May</v>
      </c>
      <c r="E1791" s="1">
        <v>45431</v>
      </c>
      <c r="F1791" s="1" t="str">
        <f>TEXT(Table1[[#This Row],[order_date]],"dddd")</f>
        <v>Sunday</v>
      </c>
      <c r="G1791">
        <f>HOUR(Table1[[#This Row],[order_time]])</f>
        <v>20</v>
      </c>
      <c r="H1791" s="2">
        <v>0.85078703703703706</v>
      </c>
      <c r="I1791" t="s">
        <v>11</v>
      </c>
      <c r="J1791" t="s">
        <v>15</v>
      </c>
      <c r="K1791">
        <v>4</v>
      </c>
      <c r="L1791">
        <v>600</v>
      </c>
      <c r="M1791">
        <v>2400</v>
      </c>
      <c r="N1791">
        <f>IF(COUNTIFS($B$2:B1791,B1791)=1,1,0)</f>
        <v>1</v>
      </c>
    </row>
    <row r="1792" spans="1:14" x14ac:dyDescent="0.2">
      <c r="A1792">
        <v>1791</v>
      </c>
      <c r="B1792">
        <v>1892</v>
      </c>
      <c r="C1792">
        <f>1/COUNTIF(B:B,Table1[[#This Row],[order_id]])</f>
        <v>0.5</v>
      </c>
      <c r="D1792" t="str">
        <f>TEXT(Table1[[#This Row],[order_date]],"mmmm")</f>
        <v>May</v>
      </c>
      <c r="E1792" s="1">
        <v>45431</v>
      </c>
      <c r="F1792" s="1" t="str">
        <f>TEXT(Table1[[#This Row],[order_date]],"dddd")</f>
        <v>Sunday</v>
      </c>
      <c r="G1792">
        <f>HOUR(Table1[[#This Row],[order_time]])</f>
        <v>11</v>
      </c>
      <c r="H1792" s="2">
        <v>0.49496527777777777</v>
      </c>
      <c r="I1792" t="s">
        <v>9</v>
      </c>
      <c r="J1792" t="s">
        <v>22</v>
      </c>
      <c r="K1792">
        <v>5</v>
      </c>
      <c r="L1792">
        <v>15</v>
      </c>
      <c r="M1792">
        <v>75</v>
      </c>
      <c r="N1792">
        <f>IF(COUNTIFS($B$2:B1792,B1792)=1,1,0)</f>
        <v>0</v>
      </c>
    </row>
    <row r="1793" spans="1:14" x14ac:dyDescent="0.2">
      <c r="A1793">
        <v>1792</v>
      </c>
      <c r="B1793">
        <v>1893</v>
      </c>
      <c r="C1793">
        <f>1/COUNTIF(B:B,Table1[[#This Row],[order_id]])</f>
        <v>1</v>
      </c>
      <c r="D1793" t="str">
        <f>TEXT(Table1[[#This Row],[order_date]],"mmmm")</f>
        <v>May</v>
      </c>
      <c r="E1793" s="1">
        <v>45431</v>
      </c>
      <c r="F1793" s="1" t="str">
        <f>TEXT(Table1[[#This Row],[order_date]],"dddd")</f>
        <v>Sunday</v>
      </c>
      <c r="G1793">
        <f>HOUR(Table1[[#This Row],[order_time]])</f>
        <v>14</v>
      </c>
      <c r="H1793" s="2">
        <v>0.61503472222222222</v>
      </c>
      <c r="I1793" t="s">
        <v>16</v>
      </c>
      <c r="J1793" t="s">
        <v>17</v>
      </c>
      <c r="K1793">
        <v>5</v>
      </c>
      <c r="L1793">
        <v>20</v>
      </c>
      <c r="M1793">
        <v>100</v>
      </c>
      <c r="N1793">
        <f>IF(COUNTIFS($B$2:B1793,B1793)=1,1,0)</f>
        <v>1</v>
      </c>
    </row>
    <row r="1794" spans="1:14" x14ac:dyDescent="0.2">
      <c r="A1794">
        <v>1793</v>
      </c>
      <c r="B1794">
        <v>1894</v>
      </c>
      <c r="C1794">
        <f>1/COUNTIF(B:B,Table1[[#This Row],[order_id]])</f>
        <v>0.5</v>
      </c>
      <c r="D1794" t="str">
        <f>TEXT(Table1[[#This Row],[order_date]],"mmmm")</f>
        <v>May</v>
      </c>
      <c r="E1794" s="1">
        <v>45431</v>
      </c>
      <c r="F1794" s="1" t="str">
        <f>TEXT(Table1[[#This Row],[order_date]],"dddd")</f>
        <v>Sunday</v>
      </c>
      <c r="G1794">
        <f>HOUR(Table1[[#This Row],[order_time]])</f>
        <v>19</v>
      </c>
      <c r="H1794" s="2">
        <v>0.80275462962962962</v>
      </c>
      <c r="I1794" t="s">
        <v>18</v>
      </c>
      <c r="J1794" t="s">
        <v>30</v>
      </c>
      <c r="K1794">
        <v>1</v>
      </c>
      <c r="L1794">
        <v>60</v>
      </c>
      <c r="M1794">
        <v>60</v>
      </c>
      <c r="N1794">
        <f>IF(COUNTIFS($B$2:B1794,B1794)=1,1,0)</f>
        <v>1</v>
      </c>
    </row>
    <row r="1795" spans="1:14" x14ac:dyDescent="0.2">
      <c r="A1795">
        <v>1794</v>
      </c>
      <c r="B1795">
        <v>1894</v>
      </c>
      <c r="C1795">
        <f>1/COUNTIF(B:B,Table1[[#This Row],[order_id]])</f>
        <v>0.5</v>
      </c>
      <c r="D1795" t="str">
        <f>TEXT(Table1[[#This Row],[order_date]],"mmmm")</f>
        <v>May</v>
      </c>
      <c r="E1795" s="1">
        <v>45431</v>
      </c>
      <c r="F1795" s="1" t="str">
        <f>TEXT(Table1[[#This Row],[order_date]],"dddd")</f>
        <v>Sunday</v>
      </c>
      <c r="G1795">
        <f>HOUR(Table1[[#This Row],[order_time]])</f>
        <v>18</v>
      </c>
      <c r="H1795" s="2">
        <v>0.7908101851851852</v>
      </c>
      <c r="I1795" t="s">
        <v>18</v>
      </c>
      <c r="J1795" t="s">
        <v>30</v>
      </c>
      <c r="K1795">
        <v>3</v>
      </c>
      <c r="L1795">
        <v>60</v>
      </c>
      <c r="M1795">
        <v>180</v>
      </c>
      <c r="N1795">
        <f>IF(COUNTIFS($B$2:B1795,B1795)=1,1,0)</f>
        <v>0</v>
      </c>
    </row>
    <row r="1796" spans="1:14" x14ac:dyDescent="0.2">
      <c r="A1796">
        <v>1795</v>
      </c>
      <c r="B1796">
        <v>1895</v>
      </c>
      <c r="C1796">
        <f>1/COUNTIF(B:B,Table1[[#This Row],[order_id]])</f>
        <v>1</v>
      </c>
      <c r="D1796" t="str">
        <f>TEXT(Table1[[#This Row],[order_date]],"mmmm")</f>
        <v>May</v>
      </c>
      <c r="E1796" s="1">
        <v>45431</v>
      </c>
      <c r="F1796" s="1" t="str">
        <f>TEXT(Table1[[#This Row],[order_date]],"dddd")</f>
        <v>Sunday</v>
      </c>
      <c r="G1796">
        <f>HOUR(Table1[[#This Row],[order_time]])</f>
        <v>13</v>
      </c>
      <c r="H1796" s="2">
        <v>0.57133101851851853</v>
      </c>
      <c r="I1796" t="s">
        <v>18</v>
      </c>
      <c r="J1796" t="s">
        <v>19</v>
      </c>
      <c r="K1796">
        <v>1</v>
      </c>
      <c r="L1796">
        <v>50</v>
      </c>
      <c r="M1796">
        <v>50</v>
      </c>
      <c r="N1796">
        <f>IF(COUNTIFS($B$2:B1796,B1796)=1,1,0)</f>
        <v>1</v>
      </c>
    </row>
    <row r="1797" spans="1:14" x14ac:dyDescent="0.2">
      <c r="A1797">
        <v>1796</v>
      </c>
      <c r="B1797">
        <v>1896</v>
      </c>
      <c r="C1797">
        <f>1/COUNTIF(B:B,Table1[[#This Row],[order_id]])</f>
        <v>1</v>
      </c>
      <c r="D1797" t="str">
        <f>TEXT(Table1[[#This Row],[order_date]],"mmmm")</f>
        <v>May</v>
      </c>
      <c r="E1797" s="1">
        <v>45431</v>
      </c>
      <c r="F1797" s="1" t="str">
        <f>TEXT(Table1[[#This Row],[order_date]],"dddd")</f>
        <v>Sunday</v>
      </c>
      <c r="G1797">
        <f>HOUR(Table1[[#This Row],[order_time]])</f>
        <v>14</v>
      </c>
      <c r="H1797" s="2">
        <v>0.60635416666666664</v>
      </c>
      <c r="I1797" t="s">
        <v>11</v>
      </c>
      <c r="J1797" t="s">
        <v>12</v>
      </c>
      <c r="K1797">
        <v>1</v>
      </c>
      <c r="L1797">
        <v>650</v>
      </c>
      <c r="M1797">
        <v>650</v>
      </c>
      <c r="N1797">
        <f>IF(COUNTIFS($B$2:B1797,B1797)=1,1,0)</f>
        <v>1</v>
      </c>
    </row>
    <row r="1798" spans="1:14" x14ac:dyDescent="0.2">
      <c r="A1798">
        <v>1797</v>
      </c>
      <c r="B1798">
        <v>1897</v>
      </c>
      <c r="C1798">
        <f>1/COUNTIF(B:B,Table1[[#This Row],[order_id]])</f>
        <v>0.5</v>
      </c>
      <c r="D1798" t="str">
        <f>TEXT(Table1[[#This Row],[order_date]],"mmmm")</f>
        <v>May</v>
      </c>
      <c r="E1798" s="1">
        <v>45431</v>
      </c>
      <c r="F1798" s="1" t="str">
        <f>TEXT(Table1[[#This Row],[order_date]],"dddd")</f>
        <v>Sunday</v>
      </c>
      <c r="G1798">
        <f>HOUR(Table1[[#This Row],[order_time]])</f>
        <v>13</v>
      </c>
      <c r="H1798" s="2">
        <v>0.55160879629629633</v>
      </c>
      <c r="I1798" t="s">
        <v>11</v>
      </c>
      <c r="J1798" t="s">
        <v>14</v>
      </c>
      <c r="K1798">
        <v>1</v>
      </c>
      <c r="L1798">
        <v>700</v>
      </c>
      <c r="M1798">
        <v>700</v>
      </c>
      <c r="N1798">
        <f>IF(COUNTIFS($B$2:B1798,B1798)=1,1,0)</f>
        <v>1</v>
      </c>
    </row>
    <row r="1799" spans="1:14" x14ac:dyDescent="0.2">
      <c r="A1799">
        <v>1798</v>
      </c>
      <c r="B1799">
        <v>1897</v>
      </c>
      <c r="C1799">
        <f>1/COUNTIF(B:B,Table1[[#This Row],[order_id]])</f>
        <v>0.5</v>
      </c>
      <c r="D1799" t="str">
        <f>TEXT(Table1[[#This Row],[order_date]],"mmmm")</f>
        <v>May</v>
      </c>
      <c r="E1799" s="1">
        <v>45431</v>
      </c>
      <c r="F1799" s="1" t="str">
        <f>TEXT(Table1[[#This Row],[order_date]],"dddd")</f>
        <v>Sunday</v>
      </c>
      <c r="G1799">
        <f>HOUR(Table1[[#This Row],[order_time]])</f>
        <v>14</v>
      </c>
      <c r="H1799" s="2">
        <v>0.58545138888888892</v>
      </c>
      <c r="I1799" t="s">
        <v>18</v>
      </c>
      <c r="J1799" t="s">
        <v>31</v>
      </c>
      <c r="K1799">
        <v>2</v>
      </c>
      <c r="L1799">
        <v>45</v>
      </c>
      <c r="M1799">
        <v>90</v>
      </c>
      <c r="N1799">
        <f>IF(COUNTIFS($B$2:B1799,B1799)=1,1,0)</f>
        <v>0</v>
      </c>
    </row>
    <row r="1800" spans="1:14" x14ac:dyDescent="0.2">
      <c r="A1800">
        <v>1799</v>
      </c>
      <c r="B1800">
        <v>1898</v>
      </c>
      <c r="C1800">
        <f>1/COUNTIF(B:B,Table1[[#This Row],[order_id]])</f>
        <v>0.33333333333333331</v>
      </c>
      <c r="D1800" t="str">
        <f>TEXT(Table1[[#This Row],[order_date]],"mmmm")</f>
        <v>May</v>
      </c>
      <c r="E1800" s="1">
        <v>45432</v>
      </c>
      <c r="F1800" s="1" t="str">
        <f>TEXT(Table1[[#This Row],[order_date]],"dddd")</f>
        <v>Monday</v>
      </c>
      <c r="G1800">
        <f>HOUR(Table1[[#This Row],[order_time]])</f>
        <v>10</v>
      </c>
      <c r="H1800" s="2">
        <v>0.41888888888888887</v>
      </c>
      <c r="I1800" t="s">
        <v>18</v>
      </c>
      <c r="J1800" t="s">
        <v>26</v>
      </c>
      <c r="K1800">
        <v>3</v>
      </c>
      <c r="L1800">
        <v>55</v>
      </c>
      <c r="M1800">
        <v>165</v>
      </c>
      <c r="N1800">
        <f>IF(COUNTIFS($B$2:B1800,B1800)=1,1,0)</f>
        <v>1</v>
      </c>
    </row>
    <row r="1801" spans="1:14" x14ac:dyDescent="0.2">
      <c r="A1801">
        <v>1800</v>
      </c>
      <c r="B1801">
        <v>1898</v>
      </c>
      <c r="C1801">
        <f>1/COUNTIF(B:B,Table1[[#This Row],[order_id]])</f>
        <v>0.33333333333333331</v>
      </c>
      <c r="D1801" t="str">
        <f>TEXT(Table1[[#This Row],[order_date]],"mmmm")</f>
        <v>May</v>
      </c>
      <c r="E1801" s="1">
        <v>45432</v>
      </c>
      <c r="F1801" s="1" t="str">
        <f>TEXT(Table1[[#This Row],[order_date]],"dddd")</f>
        <v>Monday</v>
      </c>
      <c r="G1801">
        <f>HOUR(Table1[[#This Row],[order_time]])</f>
        <v>18</v>
      </c>
      <c r="H1801" s="2">
        <v>0.76375000000000004</v>
      </c>
      <c r="I1801" t="s">
        <v>11</v>
      </c>
      <c r="J1801" t="s">
        <v>15</v>
      </c>
      <c r="K1801">
        <v>3</v>
      </c>
      <c r="L1801">
        <v>600</v>
      </c>
      <c r="M1801">
        <v>1800</v>
      </c>
      <c r="N1801">
        <f>IF(COUNTIFS($B$2:B1801,B1801)=1,1,0)</f>
        <v>0</v>
      </c>
    </row>
    <row r="1802" spans="1:14" x14ac:dyDescent="0.2">
      <c r="A1802">
        <v>1801</v>
      </c>
      <c r="B1802">
        <v>1898</v>
      </c>
      <c r="C1802">
        <f>1/COUNTIF(B:B,Table1[[#This Row],[order_id]])</f>
        <v>0.33333333333333331</v>
      </c>
      <c r="D1802" t="str">
        <f>TEXT(Table1[[#This Row],[order_date]],"mmmm")</f>
        <v>May</v>
      </c>
      <c r="E1802" s="1">
        <v>45432</v>
      </c>
      <c r="F1802" s="1" t="str">
        <f>TEXT(Table1[[#This Row],[order_date]],"dddd")</f>
        <v>Monday</v>
      </c>
      <c r="G1802">
        <f>HOUR(Table1[[#This Row],[order_time]])</f>
        <v>13</v>
      </c>
      <c r="H1802" s="2">
        <v>0.56756944444444446</v>
      </c>
      <c r="I1802" t="s">
        <v>18</v>
      </c>
      <c r="J1802" t="s">
        <v>31</v>
      </c>
      <c r="K1802">
        <v>2</v>
      </c>
      <c r="L1802">
        <v>45</v>
      </c>
      <c r="M1802">
        <v>90</v>
      </c>
      <c r="N1802">
        <f>IF(COUNTIFS($B$2:B1802,B1802)=1,1,0)</f>
        <v>0</v>
      </c>
    </row>
    <row r="1803" spans="1:14" x14ac:dyDescent="0.2">
      <c r="A1803">
        <v>1802</v>
      </c>
      <c r="B1803">
        <v>1899</v>
      </c>
      <c r="C1803">
        <f>1/COUNTIF(B:B,Table1[[#This Row],[order_id]])</f>
        <v>1</v>
      </c>
      <c r="D1803" t="str">
        <f>TEXT(Table1[[#This Row],[order_date]],"mmmm")</f>
        <v>May</v>
      </c>
      <c r="E1803" s="1">
        <v>45432</v>
      </c>
      <c r="F1803" s="1" t="str">
        <f>TEXT(Table1[[#This Row],[order_date]],"dddd")</f>
        <v>Monday</v>
      </c>
      <c r="G1803">
        <f>HOUR(Table1[[#This Row],[order_time]])</f>
        <v>16</v>
      </c>
      <c r="H1803" s="2">
        <v>0.66905092592592597</v>
      </c>
      <c r="I1803" t="s">
        <v>18</v>
      </c>
      <c r="J1803" t="s">
        <v>30</v>
      </c>
      <c r="K1803">
        <v>2</v>
      </c>
      <c r="L1803">
        <v>60</v>
      </c>
      <c r="M1803">
        <v>120</v>
      </c>
      <c r="N1803">
        <f>IF(COUNTIFS($B$2:B1803,B1803)=1,1,0)</f>
        <v>1</v>
      </c>
    </row>
    <row r="1804" spans="1:14" x14ac:dyDescent="0.2">
      <c r="A1804">
        <v>1803</v>
      </c>
      <c r="B1804">
        <v>1900</v>
      </c>
      <c r="C1804">
        <f>1/COUNTIF(B:B,Table1[[#This Row],[order_id]])</f>
        <v>1</v>
      </c>
      <c r="D1804" t="str">
        <f>TEXT(Table1[[#This Row],[order_date]],"mmmm")</f>
        <v>May</v>
      </c>
      <c r="E1804" s="1">
        <v>45432</v>
      </c>
      <c r="F1804" s="1" t="str">
        <f>TEXT(Table1[[#This Row],[order_date]],"dddd")</f>
        <v>Monday</v>
      </c>
      <c r="G1804">
        <f>HOUR(Table1[[#This Row],[order_time]])</f>
        <v>13</v>
      </c>
      <c r="H1804" s="2">
        <v>0.56866898148148148</v>
      </c>
      <c r="I1804" t="s">
        <v>16</v>
      </c>
      <c r="J1804" t="s">
        <v>24</v>
      </c>
      <c r="K1804">
        <v>1</v>
      </c>
      <c r="L1804">
        <v>35</v>
      </c>
      <c r="M1804">
        <v>35</v>
      </c>
      <c r="N1804">
        <f>IF(COUNTIFS($B$2:B1804,B1804)=1,1,0)</f>
        <v>1</v>
      </c>
    </row>
    <row r="1805" spans="1:14" x14ac:dyDescent="0.2">
      <c r="A1805">
        <v>1804</v>
      </c>
      <c r="B1805">
        <v>1901</v>
      </c>
      <c r="C1805">
        <f>1/COUNTIF(B:B,Table1[[#This Row],[order_id]])</f>
        <v>0.5</v>
      </c>
      <c r="D1805" t="str">
        <f>TEXT(Table1[[#This Row],[order_date]],"mmmm")</f>
        <v>May</v>
      </c>
      <c r="E1805" s="1">
        <v>45432</v>
      </c>
      <c r="F1805" s="1" t="str">
        <f>TEXT(Table1[[#This Row],[order_date]],"dddd")</f>
        <v>Monday</v>
      </c>
      <c r="G1805">
        <f>HOUR(Table1[[#This Row],[order_time]])</f>
        <v>12</v>
      </c>
      <c r="H1805" s="2">
        <v>0.51781250000000001</v>
      </c>
      <c r="I1805" t="s">
        <v>16</v>
      </c>
      <c r="J1805" t="s">
        <v>17</v>
      </c>
      <c r="K1805">
        <v>2</v>
      </c>
      <c r="L1805">
        <v>20</v>
      </c>
      <c r="M1805">
        <v>40</v>
      </c>
      <c r="N1805">
        <f>IF(COUNTIFS($B$2:B1805,B1805)=1,1,0)</f>
        <v>1</v>
      </c>
    </row>
    <row r="1806" spans="1:14" x14ac:dyDescent="0.2">
      <c r="A1806">
        <v>1805</v>
      </c>
      <c r="B1806">
        <v>1901</v>
      </c>
      <c r="C1806">
        <f>1/COUNTIF(B:B,Table1[[#This Row],[order_id]])</f>
        <v>0.5</v>
      </c>
      <c r="D1806" t="str">
        <f>TEXT(Table1[[#This Row],[order_date]],"mmmm")</f>
        <v>May</v>
      </c>
      <c r="E1806" s="1">
        <v>45432</v>
      </c>
      <c r="F1806" s="1" t="str">
        <f>TEXT(Table1[[#This Row],[order_date]],"dddd")</f>
        <v>Monday</v>
      </c>
      <c r="G1806">
        <f>HOUR(Table1[[#This Row],[order_time]])</f>
        <v>12</v>
      </c>
      <c r="H1806" s="2">
        <v>0.5346643518518519</v>
      </c>
      <c r="I1806" t="s">
        <v>9</v>
      </c>
      <c r="J1806" t="s">
        <v>20</v>
      </c>
      <c r="K1806">
        <v>1</v>
      </c>
      <c r="L1806">
        <v>25</v>
      </c>
      <c r="M1806">
        <v>25</v>
      </c>
      <c r="N1806">
        <f>IF(COUNTIFS($B$2:B1806,B1806)=1,1,0)</f>
        <v>0</v>
      </c>
    </row>
    <row r="1807" spans="1:14" x14ac:dyDescent="0.2">
      <c r="A1807">
        <v>1806</v>
      </c>
      <c r="B1807">
        <v>1902</v>
      </c>
      <c r="C1807">
        <f>1/COUNTIF(B:B,Table1[[#This Row],[order_id]])</f>
        <v>1</v>
      </c>
      <c r="D1807" t="str">
        <f>TEXT(Table1[[#This Row],[order_date]],"mmmm")</f>
        <v>May</v>
      </c>
      <c r="E1807" s="1">
        <v>45432</v>
      </c>
      <c r="F1807" s="1" t="str">
        <f>TEXT(Table1[[#This Row],[order_date]],"dddd")</f>
        <v>Monday</v>
      </c>
      <c r="G1807">
        <f>HOUR(Table1[[#This Row],[order_time]])</f>
        <v>12</v>
      </c>
      <c r="H1807" s="2">
        <v>0.51254629629629633</v>
      </c>
      <c r="I1807" t="s">
        <v>11</v>
      </c>
      <c r="J1807" t="s">
        <v>12</v>
      </c>
      <c r="K1807">
        <v>2</v>
      </c>
      <c r="L1807">
        <v>650</v>
      </c>
      <c r="M1807">
        <v>1300</v>
      </c>
      <c r="N1807">
        <f>IF(COUNTIFS($B$2:B1807,B1807)=1,1,0)</f>
        <v>1</v>
      </c>
    </row>
    <row r="1808" spans="1:14" x14ac:dyDescent="0.2">
      <c r="A1808">
        <v>1807</v>
      </c>
      <c r="B1808">
        <v>1903</v>
      </c>
      <c r="C1808">
        <f>1/COUNTIF(B:B,Table1[[#This Row],[order_id]])</f>
        <v>0.5</v>
      </c>
      <c r="D1808" t="str">
        <f>TEXT(Table1[[#This Row],[order_date]],"mmmm")</f>
        <v>May</v>
      </c>
      <c r="E1808" s="1">
        <v>45432</v>
      </c>
      <c r="F1808" s="1" t="str">
        <f>TEXT(Table1[[#This Row],[order_date]],"dddd")</f>
        <v>Monday</v>
      </c>
      <c r="G1808">
        <f>HOUR(Table1[[#This Row],[order_time]])</f>
        <v>19</v>
      </c>
      <c r="H1808" s="2">
        <v>0.79616898148148152</v>
      </c>
      <c r="I1808" t="s">
        <v>16</v>
      </c>
      <c r="J1808" t="s">
        <v>28</v>
      </c>
      <c r="K1808">
        <v>1</v>
      </c>
      <c r="L1808">
        <v>25</v>
      </c>
      <c r="M1808">
        <v>25</v>
      </c>
      <c r="N1808">
        <f>IF(COUNTIFS($B$2:B1808,B1808)=1,1,0)</f>
        <v>1</v>
      </c>
    </row>
    <row r="1809" spans="1:14" x14ac:dyDescent="0.2">
      <c r="A1809">
        <v>1808</v>
      </c>
      <c r="B1809">
        <v>1903</v>
      </c>
      <c r="C1809">
        <f>1/COUNTIF(B:B,Table1[[#This Row],[order_id]])</f>
        <v>0.5</v>
      </c>
      <c r="D1809" t="str">
        <f>TEXT(Table1[[#This Row],[order_date]],"mmmm")</f>
        <v>May</v>
      </c>
      <c r="E1809" s="1">
        <v>45432</v>
      </c>
      <c r="F1809" s="1" t="str">
        <f>TEXT(Table1[[#This Row],[order_date]],"dddd")</f>
        <v>Monday</v>
      </c>
      <c r="G1809">
        <f>HOUR(Table1[[#This Row],[order_time]])</f>
        <v>11</v>
      </c>
      <c r="H1809" s="2">
        <v>0.47106481481481483</v>
      </c>
      <c r="I1809" t="s">
        <v>9</v>
      </c>
      <c r="J1809" t="s">
        <v>29</v>
      </c>
      <c r="K1809">
        <v>3</v>
      </c>
      <c r="L1809">
        <v>5</v>
      </c>
      <c r="M1809">
        <v>15</v>
      </c>
      <c r="N1809">
        <f>IF(COUNTIFS($B$2:B1809,B1809)=1,1,0)</f>
        <v>0</v>
      </c>
    </row>
    <row r="1810" spans="1:14" x14ac:dyDescent="0.2">
      <c r="A1810">
        <v>1809</v>
      </c>
      <c r="B1810">
        <v>1904</v>
      </c>
      <c r="C1810">
        <f>1/COUNTIF(B:B,Table1[[#This Row],[order_id]])</f>
        <v>0.33333333333333331</v>
      </c>
      <c r="D1810" t="str">
        <f>TEXT(Table1[[#This Row],[order_date]],"mmmm")</f>
        <v>May</v>
      </c>
      <c r="E1810" s="1">
        <v>45432</v>
      </c>
      <c r="F1810" s="1" t="str">
        <f>TEXT(Table1[[#This Row],[order_date]],"dddd")</f>
        <v>Monday</v>
      </c>
      <c r="G1810">
        <f>HOUR(Table1[[#This Row],[order_time]])</f>
        <v>9</v>
      </c>
      <c r="H1810" s="2">
        <v>0.37928240740740743</v>
      </c>
      <c r="I1810" t="s">
        <v>16</v>
      </c>
      <c r="J1810" t="s">
        <v>23</v>
      </c>
      <c r="K1810">
        <v>5</v>
      </c>
      <c r="L1810">
        <v>30</v>
      </c>
      <c r="M1810">
        <v>150</v>
      </c>
      <c r="N1810">
        <f>IF(COUNTIFS($B$2:B1810,B1810)=1,1,0)</f>
        <v>1</v>
      </c>
    </row>
    <row r="1811" spans="1:14" x14ac:dyDescent="0.2">
      <c r="A1811">
        <v>1810</v>
      </c>
      <c r="B1811">
        <v>1904</v>
      </c>
      <c r="C1811">
        <f>1/COUNTIF(B:B,Table1[[#This Row],[order_id]])</f>
        <v>0.33333333333333331</v>
      </c>
      <c r="D1811" t="str">
        <f>TEXT(Table1[[#This Row],[order_date]],"mmmm")</f>
        <v>May</v>
      </c>
      <c r="E1811" s="1">
        <v>45432</v>
      </c>
      <c r="F1811" s="1" t="str">
        <f>TEXT(Table1[[#This Row],[order_date]],"dddd")</f>
        <v>Monday</v>
      </c>
      <c r="G1811">
        <f>HOUR(Table1[[#This Row],[order_time]])</f>
        <v>11</v>
      </c>
      <c r="H1811" s="2">
        <v>0.49516203703703704</v>
      </c>
      <c r="I1811" t="s">
        <v>16</v>
      </c>
      <c r="J1811" t="s">
        <v>23</v>
      </c>
      <c r="K1811">
        <v>4</v>
      </c>
      <c r="L1811">
        <v>30</v>
      </c>
      <c r="M1811">
        <v>120</v>
      </c>
      <c r="N1811">
        <f>IF(COUNTIFS($B$2:B1811,B1811)=1,1,0)</f>
        <v>0</v>
      </c>
    </row>
    <row r="1812" spans="1:14" x14ac:dyDescent="0.2">
      <c r="A1812">
        <v>1811</v>
      </c>
      <c r="B1812">
        <v>1904</v>
      </c>
      <c r="C1812">
        <f>1/COUNTIF(B:B,Table1[[#This Row],[order_id]])</f>
        <v>0.33333333333333331</v>
      </c>
      <c r="D1812" t="str">
        <f>TEXT(Table1[[#This Row],[order_date]],"mmmm")</f>
        <v>May</v>
      </c>
      <c r="E1812" s="1">
        <v>45432</v>
      </c>
      <c r="F1812" s="1" t="str">
        <f>TEXT(Table1[[#This Row],[order_date]],"dddd")</f>
        <v>Monday</v>
      </c>
      <c r="G1812">
        <f>HOUR(Table1[[#This Row],[order_time]])</f>
        <v>16</v>
      </c>
      <c r="H1812" s="2">
        <v>0.70071759259259259</v>
      </c>
      <c r="I1812" t="s">
        <v>11</v>
      </c>
      <c r="J1812" t="s">
        <v>15</v>
      </c>
      <c r="K1812">
        <v>2</v>
      </c>
      <c r="L1812">
        <v>600</v>
      </c>
      <c r="M1812">
        <v>1200</v>
      </c>
      <c r="N1812">
        <f>IF(COUNTIFS($B$2:B1812,B1812)=1,1,0)</f>
        <v>0</v>
      </c>
    </row>
    <row r="1813" spans="1:14" x14ac:dyDescent="0.2">
      <c r="A1813">
        <v>1812</v>
      </c>
      <c r="B1813">
        <v>1905</v>
      </c>
      <c r="C1813">
        <f>1/COUNTIF(B:B,Table1[[#This Row],[order_id]])</f>
        <v>0.33333333333333331</v>
      </c>
      <c r="D1813" t="str">
        <f>TEXT(Table1[[#This Row],[order_date]],"mmmm")</f>
        <v>May</v>
      </c>
      <c r="E1813" s="1">
        <v>45432</v>
      </c>
      <c r="F1813" s="1" t="str">
        <f>TEXT(Table1[[#This Row],[order_date]],"dddd")</f>
        <v>Monday</v>
      </c>
      <c r="G1813">
        <f>HOUR(Table1[[#This Row],[order_time]])</f>
        <v>14</v>
      </c>
      <c r="H1813" s="2">
        <v>0.59035879629629628</v>
      </c>
      <c r="I1813" t="s">
        <v>11</v>
      </c>
      <c r="J1813" t="s">
        <v>12</v>
      </c>
      <c r="K1813">
        <v>1</v>
      </c>
      <c r="L1813">
        <v>650</v>
      </c>
      <c r="M1813">
        <v>650</v>
      </c>
      <c r="N1813">
        <f>IF(COUNTIFS($B$2:B1813,B1813)=1,1,0)</f>
        <v>1</v>
      </c>
    </row>
    <row r="1814" spans="1:14" x14ac:dyDescent="0.2">
      <c r="A1814">
        <v>1813</v>
      </c>
      <c r="B1814">
        <v>1905</v>
      </c>
      <c r="C1814">
        <f>1/COUNTIF(B:B,Table1[[#This Row],[order_id]])</f>
        <v>0.33333333333333331</v>
      </c>
      <c r="D1814" t="str">
        <f>TEXT(Table1[[#This Row],[order_date]],"mmmm")</f>
        <v>May</v>
      </c>
      <c r="E1814" s="1">
        <v>45432</v>
      </c>
      <c r="F1814" s="1" t="str">
        <f>TEXT(Table1[[#This Row],[order_date]],"dddd")</f>
        <v>Monday</v>
      </c>
      <c r="G1814">
        <f>HOUR(Table1[[#This Row],[order_time]])</f>
        <v>16</v>
      </c>
      <c r="H1814" s="2">
        <v>0.671875</v>
      </c>
      <c r="I1814" t="s">
        <v>9</v>
      </c>
      <c r="J1814" t="s">
        <v>21</v>
      </c>
      <c r="K1814">
        <v>5</v>
      </c>
      <c r="L1814">
        <v>10</v>
      </c>
      <c r="M1814">
        <v>50</v>
      </c>
      <c r="N1814">
        <f>IF(COUNTIFS($B$2:B1814,B1814)=1,1,0)</f>
        <v>0</v>
      </c>
    </row>
    <row r="1815" spans="1:14" x14ac:dyDescent="0.2">
      <c r="A1815">
        <v>1814</v>
      </c>
      <c r="B1815">
        <v>1905</v>
      </c>
      <c r="C1815">
        <f>1/COUNTIF(B:B,Table1[[#This Row],[order_id]])</f>
        <v>0.33333333333333331</v>
      </c>
      <c r="D1815" t="str">
        <f>TEXT(Table1[[#This Row],[order_date]],"mmmm")</f>
        <v>May</v>
      </c>
      <c r="E1815" s="1">
        <v>45432</v>
      </c>
      <c r="F1815" s="1" t="str">
        <f>TEXT(Table1[[#This Row],[order_date]],"dddd")</f>
        <v>Monday</v>
      </c>
      <c r="G1815">
        <f>HOUR(Table1[[#This Row],[order_time]])</f>
        <v>19</v>
      </c>
      <c r="H1815" s="2">
        <v>0.80953703703703705</v>
      </c>
      <c r="I1815" t="s">
        <v>16</v>
      </c>
      <c r="J1815" t="s">
        <v>28</v>
      </c>
      <c r="K1815">
        <v>3</v>
      </c>
      <c r="L1815">
        <v>25</v>
      </c>
      <c r="M1815">
        <v>75</v>
      </c>
      <c r="N1815">
        <f>IF(COUNTIFS($B$2:B1815,B1815)=1,1,0)</f>
        <v>0</v>
      </c>
    </row>
    <row r="1816" spans="1:14" x14ac:dyDescent="0.2">
      <c r="A1816">
        <v>1815</v>
      </c>
      <c r="B1816">
        <v>1906</v>
      </c>
      <c r="C1816">
        <f>1/COUNTIF(B:B,Table1[[#This Row],[order_id]])</f>
        <v>1</v>
      </c>
      <c r="D1816" t="str">
        <f>TEXT(Table1[[#This Row],[order_date]],"mmmm")</f>
        <v>May</v>
      </c>
      <c r="E1816" s="1">
        <v>45432</v>
      </c>
      <c r="F1816" s="1" t="str">
        <f>TEXT(Table1[[#This Row],[order_date]],"dddd")</f>
        <v>Monday</v>
      </c>
      <c r="G1816">
        <f>HOUR(Table1[[#This Row],[order_time]])</f>
        <v>15</v>
      </c>
      <c r="H1816" s="2">
        <v>0.64969907407407412</v>
      </c>
      <c r="I1816" t="s">
        <v>11</v>
      </c>
      <c r="J1816" t="s">
        <v>13</v>
      </c>
      <c r="K1816">
        <v>2</v>
      </c>
      <c r="L1816">
        <v>680</v>
      </c>
      <c r="M1816">
        <v>1360</v>
      </c>
      <c r="N1816">
        <f>IF(COUNTIFS($B$2:B1816,B1816)=1,1,0)</f>
        <v>1</v>
      </c>
    </row>
    <row r="1817" spans="1:14" x14ac:dyDescent="0.2">
      <c r="A1817">
        <v>1816</v>
      </c>
      <c r="B1817">
        <v>1907</v>
      </c>
      <c r="C1817">
        <f>1/COUNTIF(B:B,Table1[[#This Row],[order_id]])</f>
        <v>0.5</v>
      </c>
      <c r="D1817" t="str">
        <f>TEXT(Table1[[#This Row],[order_date]],"mmmm")</f>
        <v>May</v>
      </c>
      <c r="E1817" s="1">
        <v>45433</v>
      </c>
      <c r="F1817" s="1" t="str">
        <f>TEXT(Table1[[#This Row],[order_date]],"dddd")</f>
        <v>Tuesday</v>
      </c>
      <c r="G1817">
        <f>HOUR(Table1[[#This Row],[order_time]])</f>
        <v>13</v>
      </c>
      <c r="H1817" s="2">
        <v>0.57523148148148151</v>
      </c>
      <c r="I1817" t="s">
        <v>16</v>
      </c>
      <c r="J1817" t="s">
        <v>17</v>
      </c>
      <c r="K1817">
        <v>1</v>
      </c>
      <c r="L1817">
        <v>20</v>
      </c>
      <c r="M1817">
        <v>20</v>
      </c>
      <c r="N1817">
        <f>IF(COUNTIFS($B$2:B1817,B1817)=1,1,0)</f>
        <v>1</v>
      </c>
    </row>
    <row r="1818" spans="1:14" x14ac:dyDescent="0.2">
      <c r="A1818">
        <v>1817</v>
      </c>
      <c r="B1818">
        <v>1907</v>
      </c>
      <c r="C1818">
        <f>1/COUNTIF(B:B,Table1[[#This Row],[order_id]])</f>
        <v>0.5</v>
      </c>
      <c r="D1818" t="str">
        <f>TEXT(Table1[[#This Row],[order_date]],"mmmm")</f>
        <v>May</v>
      </c>
      <c r="E1818" s="1">
        <v>45433</v>
      </c>
      <c r="F1818" s="1" t="str">
        <f>TEXT(Table1[[#This Row],[order_date]],"dddd")</f>
        <v>Tuesday</v>
      </c>
      <c r="G1818">
        <f>HOUR(Table1[[#This Row],[order_time]])</f>
        <v>20</v>
      </c>
      <c r="H1818" s="2">
        <v>0.85207175925925926</v>
      </c>
      <c r="I1818" t="s">
        <v>16</v>
      </c>
      <c r="J1818" t="s">
        <v>24</v>
      </c>
      <c r="K1818">
        <v>1</v>
      </c>
      <c r="L1818">
        <v>35</v>
      </c>
      <c r="M1818">
        <v>35</v>
      </c>
      <c r="N1818">
        <f>IF(COUNTIFS($B$2:B1818,B1818)=1,1,0)</f>
        <v>0</v>
      </c>
    </row>
    <row r="1819" spans="1:14" x14ac:dyDescent="0.2">
      <c r="A1819">
        <v>1818</v>
      </c>
      <c r="B1819">
        <v>1908</v>
      </c>
      <c r="C1819">
        <f>1/COUNTIF(B:B,Table1[[#This Row],[order_id]])</f>
        <v>1</v>
      </c>
      <c r="D1819" t="str">
        <f>TEXT(Table1[[#This Row],[order_date]],"mmmm")</f>
        <v>May</v>
      </c>
      <c r="E1819" s="1">
        <v>45433</v>
      </c>
      <c r="F1819" s="1" t="str">
        <f>TEXT(Table1[[#This Row],[order_date]],"dddd")</f>
        <v>Tuesday</v>
      </c>
      <c r="G1819">
        <f>HOUR(Table1[[#This Row],[order_time]])</f>
        <v>19</v>
      </c>
      <c r="H1819" s="2">
        <v>0.82136574074074076</v>
      </c>
      <c r="I1819" t="s">
        <v>11</v>
      </c>
      <c r="J1819" t="s">
        <v>12</v>
      </c>
      <c r="K1819">
        <v>4</v>
      </c>
      <c r="L1819">
        <v>650</v>
      </c>
      <c r="M1819">
        <v>2600</v>
      </c>
      <c r="N1819">
        <f>IF(COUNTIFS($B$2:B1819,B1819)=1,1,0)</f>
        <v>1</v>
      </c>
    </row>
    <row r="1820" spans="1:14" x14ac:dyDescent="0.2">
      <c r="A1820">
        <v>1819</v>
      </c>
      <c r="B1820">
        <v>1909</v>
      </c>
      <c r="C1820">
        <f>1/COUNTIF(B:B,Table1[[#This Row],[order_id]])</f>
        <v>0.5</v>
      </c>
      <c r="D1820" t="str">
        <f>TEXT(Table1[[#This Row],[order_date]],"mmmm")</f>
        <v>May</v>
      </c>
      <c r="E1820" s="1">
        <v>45433</v>
      </c>
      <c r="F1820" s="1" t="str">
        <f>TEXT(Table1[[#This Row],[order_date]],"dddd")</f>
        <v>Tuesday</v>
      </c>
      <c r="G1820">
        <f>HOUR(Table1[[#This Row],[order_time]])</f>
        <v>17</v>
      </c>
      <c r="H1820" s="2">
        <v>0.73670138888888892</v>
      </c>
      <c r="I1820" t="s">
        <v>11</v>
      </c>
      <c r="J1820" t="s">
        <v>25</v>
      </c>
      <c r="K1820">
        <v>2</v>
      </c>
      <c r="L1820">
        <v>1000</v>
      </c>
      <c r="M1820">
        <v>2000</v>
      </c>
      <c r="N1820">
        <f>IF(COUNTIFS($B$2:B1820,B1820)=1,1,0)</f>
        <v>1</v>
      </c>
    </row>
    <row r="1821" spans="1:14" x14ac:dyDescent="0.2">
      <c r="A1821">
        <v>1820</v>
      </c>
      <c r="B1821">
        <v>1909</v>
      </c>
      <c r="C1821">
        <f>1/COUNTIF(B:B,Table1[[#This Row],[order_id]])</f>
        <v>0.5</v>
      </c>
      <c r="D1821" t="str">
        <f>TEXT(Table1[[#This Row],[order_date]],"mmmm")</f>
        <v>May</v>
      </c>
      <c r="E1821" s="1">
        <v>45433</v>
      </c>
      <c r="F1821" s="1" t="str">
        <f>TEXT(Table1[[#This Row],[order_date]],"dddd")</f>
        <v>Tuesday</v>
      </c>
      <c r="G1821">
        <f>HOUR(Table1[[#This Row],[order_time]])</f>
        <v>10</v>
      </c>
      <c r="H1821" s="2">
        <v>0.45263888888888887</v>
      </c>
      <c r="I1821" t="s">
        <v>9</v>
      </c>
      <c r="J1821" t="s">
        <v>21</v>
      </c>
      <c r="K1821">
        <v>4</v>
      </c>
      <c r="L1821">
        <v>10</v>
      </c>
      <c r="M1821">
        <v>40</v>
      </c>
      <c r="N1821">
        <f>IF(COUNTIFS($B$2:B1821,B1821)=1,1,0)</f>
        <v>0</v>
      </c>
    </row>
    <row r="1822" spans="1:14" x14ac:dyDescent="0.2">
      <c r="A1822">
        <v>1821</v>
      </c>
      <c r="B1822">
        <v>1910</v>
      </c>
      <c r="C1822">
        <f>1/COUNTIF(B:B,Table1[[#This Row],[order_id]])</f>
        <v>1</v>
      </c>
      <c r="D1822" t="str">
        <f>TEXT(Table1[[#This Row],[order_date]],"mmmm")</f>
        <v>May</v>
      </c>
      <c r="E1822" s="1">
        <v>45433</v>
      </c>
      <c r="F1822" s="1" t="str">
        <f>TEXT(Table1[[#This Row],[order_date]],"dddd")</f>
        <v>Tuesday</v>
      </c>
      <c r="G1822">
        <f>HOUR(Table1[[#This Row],[order_time]])</f>
        <v>14</v>
      </c>
      <c r="H1822" s="2">
        <v>0.61756944444444439</v>
      </c>
      <c r="I1822" t="s">
        <v>18</v>
      </c>
      <c r="J1822" t="s">
        <v>27</v>
      </c>
      <c r="K1822">
        <v>2</v>
      </c>
      <c r="L1822">
        <v>40</v>
      </c>
      <c r="M1822">
        <v>80</v>
      </c>
      <c r="N1822">
        <f>IF(COUNTIFS($B$2:B1822,B1822)=1,1,0)</f>
        <v>1</v>
      </c>
    </row>
    <row r="1823" spans="1:14" x14ac:dyDescent="0.2">
      <c r="A1823">
        <v>1822</v>
      </c>
      <c r="B1823">
        <v>1911</v>
      </c>
      <c r="C1823">
        <f>1/COUNTIF(B:B,Table1[[#This Row],[order_id]])</f>
        <v>1</v>
      </c>
      <c r="D1823" t="str">
        <f>TEXT(Table1[[#This Row],[order_date]],"mmmm")</f>
        <v>May</v>
      </c>
      <c r="E1823" s="1">
        <v>45433</v>
      </c>
      <c r="F1823" s="1" t="str">
        <f>TEXT(Table1[[#This Row],[order_date]],"dddd")</f>
        <v>Tuesday</v>
      </c>
      <c r="G1823">
        <f>HOUR(Table1[[#This Row],[order_time]])</f>
        <v>10</v>
      </c>
      <c r="H1823" s="2">
        <v>0.42064814814814816</v>
      </c>
      <c r="I1823" t="s">
        <v>9</v>
      </c>
      <c r="J1823" t="s">
        <v>22</v>
      </c>
      <c r="K1823">
        <v>2</v>
      </c>
      <c r="L1823">
        <v>15</v>
      </c>
      <c r="M1823">
        <v>30</v>
      </c>
      <c r="N1823">
        <f>IF(COUNTIFS($B$2:B1823,B1823)=1,1,0)</f>
        <v>1</v>
      </c>
    </row>
    <row r="1824" spans="1:14" x14ac:dyDescent="0.2">
      <c r="A1824">
        <v>1823</v>
      </c>
      <c r="B1824">
        <v>1912</v>
      </c>
      <c r="C1824">
        <f>1/COUNTIF(B:B,Table1[[#This Row],[order_id]])</f>
        <v>1</v>
      </c>
      <c r="D1824" t="str">
        <f>TEXT(Table1[[#This Row],[order_date]],"mmmm")</f>
        <v>May</v>
      </c>
      <c r="E1824" s="1">
        <v>45433</v>
      </c>
      <c r="F1824" s="1" t="str">
        <f>TEXT(Table1[[#This Row],[order_date]],"dddd")</f>
        <v>Tuesday</v>
      </c>
      <c r="G1824">
        <f>HOUR(Table1[[#This Row],[order_time]])</f>
        <v>20</v>
      </c>
      <c r="H1824" s="2">
        <v>0.86826388888888884</v>
      </c>
      <c r="I1824" t="s">
        <v>16</v>
      </c>
      <c r="J1824" t="s">
        <v>23</v>
      </c>
      <c r="K1824">
        <v>4</v>
      </c>
      <c r="L1824">
        <v>30</v>
      </c>
      <c r="M1824">
        <v>120</v>
      </c>
      <c r="N1824">
        <f>IF(COUNTIFS($B$2:B1824,B1824)=1,1,0)</f>
        <v>1</v>
      </c>
    </row>
    <row r="1825" spans="1:14" x14ac:dyDescent="0.2">
      <c r="A1825">
        <v>1824</v>
      </c>
      <c r="B1825">
        <v>1913</v>
      </c>
      <c r="C1825">
        <f>1/COUNTIF(B:B,Table1[[#This Row],[order_id]])</f>
        <v>0.5</v>
      </c>
      <c r="D1825" t="str">
        <f>TEXT(Table1[[#This Row],[order_date]],"mmmm")</f>
        <v>May</v>
      </c>
      <c r="E1825" s="1">
        <v>45433</v>
      </c>
      <c r="F1825" s="1" t="str">
        <f>TEXT(Table1[[#This Row],[order_date]],"dddd")</f>
        <v>Tuesday</v>
      </c>
      <c r="G1825">
        <f>HOUR(Table1[[#This Row],[order_time]])</f>
        <v>12</v>
      </c>
      <c r="H1825" s="2">
        <v>0.54017361111111106</v>
      </c>
      <c r="I1825" t="s">
        <v>11</v>
      </c>
      <c r="J1825" t="s">
        <v>13</v>
      </c>
      <c r="K1825">
        <v>5</v>
      </c>
      <c r="L1825">
        <v>680</v>
      </c>
      <c r="M1825">
        <v>3400</v>
      </c>
      <c r="N1825">
        <f>IF(COUNTIFS($B$2:B1825,B1825)=1,1,0)</f>
        <v>1</v>
      </c>
    </row>
    <row r="1826" spans="1:14" x14ac:dyDescent="0.2">
      <c r="A1826">
        <v>1825</v>
      </c>
      <c r="B1826">
        <v>1913</v>
      </c>
      <c r="C1826">
        <f>1/COUNTIF(B:B,Table1[[#This Row],[order_id]])</f>
        <v>0.5</v>
      </c>
      <c r="D1826" t="str">
        <f>TEXT(Table1[[#This Row],[order_date]],"mmmm")</f>
        <v>May</v>
      </c>
      <c r="E1826" s="1">
        <v>45433</v>
      </c>
      <c r="F1826" s="1" t="str">
        <f>TEXT(Table1[[#This Row],[order_date]],"dddd")</f>
        <v>Tuesday</v>
      </c>
      <c r="G1826">
        <f>HOUR(Table1[[#This Row],[order_time]])</f>
        <v>16</v>
      </c>
      <c r="H1826" s="2">
        <v>0.69357638888888884</v>
      </c>
      <c r="I1826" t="s">
        <v>9</v>
      </c>
      <c r="J1826" t="s">
        <v>10</v>
      </c>
      <c r="K1826">
        <v>5</v>
      </c>
      <c r="L1826">
        <v>20</v>
      </c>
      <c r="M1826">
        <v>100</v>
      </c>
      <c r="N1826">
        <f>IF(COUNTIFS($B$2:B1826,B1826)=1,1,0)</f>
        <v>0</v>
      </c>
    </row>
    <row r="1827" spans="1:14" x14ac:dyDescent="0.2">
      <c r="A1827">
        <v>1826</v>
      </c>
      <c r="B1827">
        <v>1914</v>
      </c>
      <c r="C1827">
        <f>1/COUNTIF(B:B,Table1[[#This Row],[order_id]])</f>
        <v>1</v>
      </c>
      <c r="D1827" t="str">
        <f>TEXT(Table1[[#This Row],[order_date]],"mmmm")</f>
        <v>May</v>
      </c>
      <c r="E1827" s="1">
        <v>45433</v>
      </c>
      <c r="F1827" s="1" t="str">
        <f>TEXT(Table1[[#This Row],[order_date]],"dddd")</f>
        <v>Tuesday</v>
      </c>
      <c r="G1827">
        <f>HOUR(Table1[[#This Row],[order_time]])</f>
        <v>20</v>
      </c>
      <c r="H1827" s="2">
        <v>0.8425231481481481</v>
      </c>
      <c r="I1827" t="s">
        <v>9</v>
      </c>
      <c r="J1827" t="s">
        <v>22</v>
      </c>
      <c r="K1827">
        <v>1</v>
      </c>
      <c r="L1827">
        <v>15</v>
      </c>
      <c r="M1827">
        <v>15</v>
      </c>
      <c r="N1827">
        <f>IF(COUNTIFS($B$2:B1827,B1827)=1,1,0)</f>
        <v>1</v>
      </c>
    </row>
    <row r="1828" spans="1:14" x14ac:dyDescent="0.2">
      <c r="A1828">
        <v>1827</v>
      </c>
      <c r="B1828">
        <v>1915</v>
      </c>
      <c r="C1828">
        <f>1/COUNTIF(B:B,Table1[[#This Row],[order_id]])</f>
        <v>0.5</v>
      </c>
      <c r="D1828" t="str">
        <f>TEXT(Table1[[#This Row],[order_date]],"mmmm")</f>
        <v>May</v>
      </c>
      <c r="E1828" s="1">
        <v>45433</v>
      </c>
      <c r="F1828" s="1" t="str">
        <f>TEXT(Table1[[#This Row],[order_date]],"dddd")</f>
        <v>Tuesday</v>
      </c>
      <c r="G1828">
        <f>HOUR(Table1[[#This Row],[order_time]])</f>
        <v>17</v>
      </c>
      <c r="H1828" s="2">
        <v>0.72343749999999996</v>
      </c>
      <c r="I1828" t="s">
        <v>9</v>
      </c>
      <c r="J1828" t="s">
        <v>20</v>
      </c>
      <c r="K1828">
        <v>1</v>
      </c>
      <c r="L1828">
        <v>25</v>
      </c>
      <c r="M1828">
        <v>25</v>
      </c>
      <c r="N1828">
        <f>IF(COUNTIFS($B$2:B1828,B1828)=1,1,0)</f>
        <v>1</v>
      </c>
    </row>
    <row r="1829" spans="1:14" x14ac:dyDescent="0.2">
      <c r="A1829">
        <v>1828</v>
      </c>
      <c r="B1829">
        <v>1915</v>
      </c>
      <c r="C1829">
        <f>1/COUNTIF(B:B,Table1[[#This Row],[order_id]])</f>
        <v>0.5</v>
      </c>
      <c r="D1829" t="str">
        <f>TEXT(Table1[[#This Row],[order_date]],"mmmm")</f>
        <v>May</v>
      </c>
      <c r="E1829" s="1">
        <v>45433</v>
      </c>
      <c r="F1829" s="1" t="str">
        <f>TEXT(Table1[[#This Row],[order_date]],"dddd")</f>
        <v>Tuesday</v>
      </c>
      <c r="G1829">
        <f>HOUR(Table1[[#This Row],[order_time]])</f>
        <v>16</v>
      </c>
      <c r="H1829" s="2">
        <v>0.68435185185185188</v>
      </c>
      <c r="I1829" t="s">
        <v>9</v>
      </c>
      <c r="J1829" t="s">
        <v>22</v>
      </c>
      <c r="K1829">
        <v>5</v>
      </c>
      <c r="L1829">
        <v>15</v>
      </c>
      <c r="M1829">
        <v>75</v>
      </c>
      <c r="N1829">
        <f>IF(COUNTIFS($B$2:B1829,B1829)=1,1,0)</f>
        <v>0</v>
      </c>
    </row>
    <row r="1830" spans="1:14" x14ac:dyDescent="0.2">
      <c r="A1830">
        <v>1829</v>
      </c>
      <c r="B1830">
        <v>1916</v>
      </c>
      <c r="C1830">
        <f>1/COUNTIF(B:B,Table1[[#This Row],[order_id]])</f>
        <v>0.5</v>
      </c>
      <c r="D1830" t="str">
        <f>TEXT(Table1[[#This Row],[order_date]],"mmmm")</f>
        <v>May</v>
      </c>
      <c r="E1830" s="1">
        <v>45434</v>
      </c>
      <c r="F1830" s="1" t="str">
        <f>TEXT(Table1[[#This Row],[order_date]],"dddd")</f>
        <v>Wednesday</v>
      </c>
      <c r="G1830">
        <f>HOUR(Table1[[#This Row],[order_time]])</f>
        <v>18</v>
      </c>
      <c r="H1830" s="2">
        <v>0.75958333333333339</v>
      </c>
      <c r="I1830" t="s">
        <v>11</v>
      </c>
      <c r="J1830" t="s">
        <v>14</v>
      </c>
      <c r="K1830">
        <v>1</v>
      </c>
      <c r="L1830">
        <v>700</v>
      </c>
      <c r="M1830">
        <v>700</v>
      </c>
      <c r="N1830">
        <f>IF(COUNTIFS($B$2:B1830,B1830)=1,1,0)</f>
        <v>1</v>
      </c>
    </row>
    <row r="1831" spans="1:14" x14ac:dyDescent="0.2">
      <c r="A1831">
        <v>1830</v>
      </c>
      <c r="B1831">
        <v>1916</v>
      </c>
      <c r="C1831">
        <f>1/COUNTIF(B:B,Table1[[#This Row],[order_id]])</f>
        <v>0.5</v>
      </c>
      <c r="D1831" t="str">
        <f>TEXT(Table1[[#This Row],[order_date]],"mmmm")</f>
        <v>May</v>
      </c>
      <c r="E1831" s="1">
        <v>45434</v>
      </c>
      <c r="F1831" s="1" t="str">
        <f>TEXT(Table1[[#This Row],[order_date]],"dddd")</f>
        <v>Wednesday</v>
      </c>
      <c r="G1831">
        <f>HOUR(Table1[[#This Row],[order_time]])</f>
        <v>16</v>
      </c>
      <c r="H1831" s="2">
        <v>0.68603009259259262</v>
      </c>
      <c r="I1831" t="s">
        <v>9</v>
      </c>
      <c r="J1831" t="s">
        <v>10</v>
      </c>
      <c r="K1831">
        <v>4</v>
      </c>
      <c r="L1831">
        <v>20</v>
      </c>
      <c r="M1831">
        <v>80</v>
      </c>
      <c r="N1831">
        <f>IF(COUNTIFS($B$2:B1831,B1831)=1,1,0)</f>
        <v>0</v>
      </c>
    </row>
    <row r="1832" spans="1:14" x14ac:dyDescent="0.2">
      <c r="A1832">
        <v>1831</v>
      </c>
      <c r="B1832">
        <v>1917</v>
      </c>
      <c r="C1832">
        <f>1/COUNTIF(B:B,Table1[[#This Row],[order_id]])</f>
        <v>0.33333333333333331</v>
      </c>
      <c r="D1832" t="str">
        <f>TEXT(Table1[[#This Row],[order_date]],"mmmm")</f>
        <v>May</v>
      </c>
      <c r="E1832" s="1">
        <v>45434</v>
      </c>
      <c r="F1832" s="1" t="str">
        <f>TEXT(Table1[[#This Row],[order_date]],"dddd")</f>
        <v>Wednesday</v>
      </c>
      <c r="G1832">
        <f>HOUR(Table1[[#This Row],[order_time]])</f>
        <v>15</v>
      </c>
      <c r="H1832" s="2">
        <v>0.65123842592592596</v>
      </c>
      <c r="I1832" t="s">
        <v>9</v>
      </c>
      <c r="J1832" t="s">
        <v>10</v>
      </c>
      <c r="K1832">
        <v>1</v>
      </c>
      <c r="L1832">
        <v>20</v>
      </c>
      <c r="M1832">
        <v>20</v>
      </c>
      <c r="N1832">
        <f>IF(COUNTIFS($B$2:B1832,B1832)=1,1,0)</f>
        <v>1</v>
      </c>
    </row>
    <row r="1833" spans="1:14" x14ac:dyDescent="0.2">
      <c r="A1833">
        <v>1832</v>
      </c>
      <c r="B1833">
        <v>1917</v>
      </c>
      <c r="C1833">
        <f>1/COUNTIF(B:B,Table1[[#This Row],[order_id]])</f>
        <v>0.33333333333333331</v>
      </c>
      <c r="D1833" t="str">
        <f>TEXT(Table1[[#This Row],[order_date]],"mmmm")</f>
        <v>May</v>
      </c>
      <c r="E1833" s="1">
        <v>45434</v>
      </c>
      <c r="F1833" s="1" t="str">
        <f>TEXT(Table1[[#This Row],[order_date]],"dddd")</f>
        <v>Wednesday</v>
      </c>
      <c r="G1833">
        <f>HOUR(Table1[[#This Row],[order_time]])</f>
        <v>9</v>
      </c>
      <c r="H1833" s="2">
        <v>0.39048611111111109</v>
      </c>
      <c r="I1833" t="s">
        <v>18</v>
      </c>
      <c r="J1833" t="s">
        <v>27</v>
      </c>
      <c r="K1833">
        <v>1</v>
      </c>
      <c r="L1833">
        <v>40</v>
      </c>
      <c r="M1833">
        <v>40</v>
      </c>
      <c r="N1833">
        <f>IF(COUNTIFS($B$2:B1833,B1833)=1,1,0)</f>
        <v>0</v>
      </c>
    </row>
    <row r="1834" spans="1:14" x14ac:dyDescent="0.2">
      <c r="A1834">
        <v>1833</v>
      </c>
      <c r="B1834">
        <v>1917</v>
      </c>
      <c r="C1834">
        <f>1/COUNTIF(B:B,Table1[[#This Row],[order_id]])</f>
        <v>0.33333333333333331</v>
      </c>
      <c r="D1834" t="str">
        <f>TEXT(Table1[[#This Row],[order_date]],"mmmm")</f>
        <v>May</v>
      </c>
      <c r="E1834" s="1">
        <v>45434</v>
      </c>
      <c r="F1834" s="1" t="str">
        <f>TEXT(Table1[[#This Row],[order_date]],"dddd")</f>
        <v>Wednesday</v>
      </c>
      <c r="G1834">
        <f>HOUR(Table1[[#This Row],[order_time]])</f>
        <v>12</v>
      </c>
      <c r="H1834" s="2">
        <v>0.51563657407407404</v>
      </c>
      <c r="I1834" t="s">
        <v>18</v>
      </c>
      <c r="J1834" t="s">
        <v>31</v>
      </c>
      <c r="K1834">
        <v>4</v>
      </c>
      <c r="L1834">
        <v>45</v>
      </c>
      <c r="M1834">
        <v>180</v>
      </c>
      <c r="N1834">
        <f>IF(COUNTIFS($B$2:B1834,B1834)=1,1,0)</f>
        <v>0</v>
      </c>
    </row>
    <row r="1835" spans="1:14" x14ac:dyDescent="0.2">
      <c r="A1835">
        <v>1834</v>
      </c>
      <c r="B1835">
        <v>1918</v>
      </c>
      <c r="C1835">
        <f>1/COUNTIF(B:B,Table1[[#This Row],[order_id]])</f>
        <v>0.5</v>
      </c>
      <c r="D1835" t="str">
        <f>TEXT(Table1[[#This Row],[order_date]],"mmmm")</f>
        <v>May</v>
      </c>
      <c r="E1835" s="1">
        <v>45434</v>
      </c>
      <c r="F1835" s="1" t="str">
        <f>TEXT(Table1[[#This Row],[order_date]],"dddd")</f>
        <v>Wednesday</v>
      </c>
      <c r="G1835">
        <f>HOUR(Table1[[#This Row],[order_time]])</f>
        <v>19</v>
      </c>
      <c r="H1835" s="2">
        <v>0.80631944444444448</v>
      </c>
      <c r="I1835" t="s">
        <v>9</v>
      </c>
      <c r="J1835" t="s">
        <v>21</v>
      </c>
      <c r="K1835">
        <v>5</v>
      </c>
      <c r="L1835">
        <v>10</v>
      </c>
      <c r="M1835">
        <v>50</v>
      </c>
      <c r="N1835">
        <f>IF(COUNTIFS($B$2:B1835,B1835)=1,1,0)</f>
        <v>1</v>
      </c>
    </row>
    <row r="1836" spans="1:14" x14ac:dyDescent="0.2">
      <c r="A1836">
        <v>1835</v>
      </c>
      <c r="B1836">
        <v>1918</v>
      </c>
      <c r="C1836">
        <f>1/COUNTIF(B:B,Table1[[#This Row],[order_id]])</f>
        <v>0.5</v>
      </c>
      <c r="D1836" t="str">
        <f>TEXT(Table1[[#This Row],[order_date]],"mmmm")</f>
        <v>May</v>
      </c>
      <c r="E1836" s="1">
        <v>45434</v>
      </c>
      <c r="F1836" s="1" t="str">
        <f>TEXT(Table1[[#This Row],[order_date]],"dddd")</f>
        <v>Wednesday</v>
      </c>
      <c r="G1836">
        <f>HOUR(Table1[[#This Row],[order_time]])</f>
        <v>13</v>
      </c>
      <c r="H1836" s="2">
        <v>0.55421296296296296</v>
      </c>
      <c r="I1836" t="s">
        <v>16</v>
      </c>
      <c r="J1836" t="s">
        <v>17</v>
      </c>
      <c r="K1836">
        <v>3</v>
      </c>
      <c r="L1836">
        <v>20</v>
      </c>
      <c r="M1836">
        <v>60</v>
      </c>
      <c r="N1836">
        <f>IF(COUNTIFS($B$2:B1836,B1836)=1,1,0)</f>
        <v>0</v>
      </c>
    </row>
    <row r="1837" spans="1:14" x14ac:dyDescent="0.2">
      <c r="A1837">
        <v>1836</v>
      </c>
      <c r="B1837">
        <v>1919</v>
      </c>
      <c r="C1837">
        <f>1/COUNTIF(B:B,Table1[[#This Row],[order_id]])</f>
        <v>0.33333333333333331</v>
      </c>
      <c r="D1837" t="str">
        <f>TEXT(Table1[[#This Row],[order_date]],"mmmm")</f>
        <v>May</v>
      </c>
      <c r="E1837" s="1">
        <v>45435</v>
      </c>
      <c r="F1837" s="1" t="str">
        <f>TEXT(Table1[[#This Row],[order_date]],"dddd")</f>
        <v>Thursday</v>
      </c>
      <c r="G1837">
        <f>HOUR(Table1[[#This Row],[order_time]])</f>
        <v>19</v>
      </c>
      <c r="H1837" s="2">
        <v>0.79983796296296295</v>
      </c>
      <c r="I1837" t="s">
        <v>18</v>
      </c>
      <c r="J1837" t="s">
        <v>30</v>
      </c>
      <c r="K1837">
        <v>5</v>
      </c>
      <c r="L1837">
        <v>60</v>
      </c>
      <c r="M1837">
        <v>300</v>
      </c>
      <c r="N1837">
        <f>IF(COUNTIFS($B$2:B1837,B1837)=1,1,0)</f>
        <v>1</v>
      </c>
    </row>
    <row r="1838" spans="1:14" x14ac:dyDescent="0.2">
      <c r="A1838">
        <v>1837</v>
      </c>
      <c r="B1838">
        <v>1919</v>
      </c>
      <c r="C1838">
        <f>1/COUNTIF(B:B,Table1[[#This Row],[order_id]])</f>
        <v>0.33333333333333331</v>
      </c>
      <c r="D1838" t="str">
        <f>TEXT(Table1[[#This Row],[order_date]],"mmmm")</f>
        <v>May</v>
      </c>
      <c r="E1838" s="1">
        <v>45435</v>
      </c>
      <c r="F1838" s="1" t="str">
        <f>TEXT(Table1[[#This Row],[order_date]],"dddd")</f>
        <v>Thursday</v>
      </c>
      <c r="G1838">
        <f>HOUR(Table1[[#This Row],[order_time]])</f>
        <v>11</v>
      </c>
      <c r="H1838" s="2">
        <v>0.47585648148148146</v>
      </c>
      <c r="I1838" t="s">
        <v>18</v>
      </c>
      <c r="J1838" t="s">
        <v>30</v>
      </c>
      <c r="K1838">
        <v>3</v>
      </c>
      <c r="L1838">
        <v>60</v>
      </c>
      <c r="M1838">
        <v>180</v>
      </c>
      <c r="N1838">
        <f>IF(COUNTIFS($B$2:B1838,B1838)=1,1,0)</f>
        <v>0</v>
      </c>
    </row>
    <row r="1839" spans="1:14" x14ac:dyDescent="0.2">
      <c r="A1839">
        <v>1838</v>
      </c>
      <c r="B1839">
        <v>1919</v>
      </c>
      <c r="C1839">
        <f>1/COUNTIF(B:B,Table1[[#This Row],[order_id]])</f>
        <v>0.33333333333333331</v>
      </c>
      <c r="D1839" t="str">
        <f>TEXT(Table1[[#This Row],[order_date]],"mmmm")</f>
        <v>May</v>
      </c>
      <c r="E1839" s="1">
        <v>45435</v>
      </c>
      <c r="F1839" s="1" t="str">
        <f>TEXT(Table1[[#This Row],[order_date]],"dddd")</f>
        <v>Thursday</v>
      </c>
      <c r="G1839">
        <f>HOUR(Table1[[#This Row],[order_time]])</f>
        <v>17</v>
      </c>
      <c r="H1839" s="2">
        <v>0.74239583333333337</v>
      </c>
      <c r="I1839" t="s">
        <v>16</v>
      </c>
      <c r="J1839" t="s">
        <v>28</v>
      </c>
      <c r="K1839">
        <v>2</v>
      </c>
      <c r="L1839">
        <v>25</v>
      </c>
      <c r="M1839">
        <v>50</v>
      </c>
      <c r="N1839">
        <f>IF(COUNTIFS($B$2:B1839,B1839)=1,1,0)</f>
        <v>0</v>
      </c>
    </row>
    <row r="1840" spans="1:14" x14ac:dyDescent="0.2">
      <c r="A1840">
        <v>1839</v>
      </c>
      <c r="B1840">
        <v>1920</v>
      </c>
      <c r="C1840">
        <f>1/COUNTIF(B:B,Table1[[#This Row],[order_id]])</f>
        <v>0.5</v>
      </c>
      <c r="D1840" t="str">
        <f>TEXT(Table1[[#This Row],[order_date]],"mmmm")</f>
        <v>May</v>
      </c>
      <c r="E1840" s="1">
        <v>45435</v>
      </c>
      <c r="F1840" s="1" t="str">
        <f>TEXT(Table1[[#This Row],[order_date]],"dddd")</f>
        <v>Thursday</v>
      </c>
      <c r="G1840">
        <f>HOUR(Table1[[#This Row],[order_time]])</f>
        <v>18</v>
      </c>
      <c r="H1840" s="2">
        <v>0.77675925925925926</v>
      </c>
      <c r="I1840" t="s">
        <v>9</v>
      </c>
      <c r="J1840" t="s">
        <v>20</v>
      </c>
      <c r="K1840">
        <v>4</v>
      </c>
      <c r="L1840">
        <v>25</v>
      </c>
      <c r="M1840">
        <v>100</v>
      </c>
      <c r="N1840">
        <f>IF(COUNTIFS($B$2:B1840,B1840)=1,1,0)</f>
        <v>1</v>
      </c>
    </row>
    <row r="1841" spans="1:14" x14ac:dyDescent="0.2">
      <c r="A1841">
        <v>1840</v>
      </c>
      <c r="B1841">
        <v>1920</v>
      </c>
      <c r="C1841">
        <f>1/COUNTIF(B:B,Table1[[#This Row],[order_id]])</f>
        <v>0.5</v>
      </c>
      <c r="D1841" t="str">
        <f>TEXT(Table1[[#This Row],[order_date]],"mmmm")</f>
        <v>May</v>
      </c>
      <c r="E1841" s="1">
        <v>45435</v>
      </c>
      <c r="F1841" s="1" t="str">
        <f>TEXT(Table1[[#This Row],[order_date]],"dddd")</f>
        <v>Thursday</v>
      </c>
      <c r="G1841">
        <f>HOUR(Table1[[#This Row],[order_time]])</f>
        <v>17</v>
      </c>
      <c r="H1841" s="2">
        <v>0.73894675925925923</v>
      </c>
      <c r="I1841" t="s">
        <v>9</v>
      </c>
      <c r="J1841" t="s">
        <v>10</v>
      </c>
      <c r="K1841">
        <v>2</v>
      </c>
      <c r="L1841">
        <v>20</v>
      </c>
      <c r="M1841">
        <v>40</v>
      </c>
      <c r="N1841">
        <f>IF(COUNTIFS($B$2:B1841,B1841)=1,1,0)</f>
        <v>0</v>
      </c>
    </row>
    <row r="1842" spans="1:14" x14ac:dyDescent="0.2">
      <c r="A1842">
        <v>1841</v>
      </c>
      <c r="B1842">
        <v>1921</v>
      </c>
      <c r="C1842">
        <f>1/COUNTIF(B:B,Table1[[#This Row],[order_id]])</f>
        <v>1</v>
      </c>
      <c r="D1842" t="str">
        <f>TEXT(Table1[[#This Row],[order_date]],"mmmm")</f>
        <v>May</v>
      </c>
      <c r="E1842" s="1">
        <v>45435</v>
      </c>
      <c r="F1842" s="1" t="str">
        <f>TEXT(Table1[[#This Row],[order_date]],"dddd")</f>
        <v>Thursday</v>
      </c>
      <c r="G1842">
        <f>HOUR(Table1[[#This Row],[order_time]])</f>
        <v>10</v>
      </c>
      <c r="H1842" s="2">
        <v>0.41689814814814813</v>
      </c>
      <c r="I1842" t="s">
        <v>9</v>
      </c>
      <c r="J1842" t="s">
        <v>20</v>
      </c>
      <c r="K1842">
        <v>2</v>
      </c>
      <c r="L1842">
        <v>25</v>
      </c>
      <c r="M1842">
        <v>50</v>
      </c>
      <c r="N1842">
        <f>IF(COUNTIFS($B$2:B1842,B1842)=1,1,0)</f>
        <v>1</v>
      </c>
    </row>
    <row r="1843" spans="1:14" x14ac:dyDescent="0.2">
      <c r="A1843">
        <v>1842</v>
      </c>
      <c r="B1843">
        <v>1922</v>
      </c>
      <c r="C1843">
        <f>1/COUNTIF(B:B,Table1[[#This Row],[order_id]])</f>
        <v>0.33333333333333331</v>
      </c>
      <c r="D1843" t="str">
        <f>TEXT(Table1[[#This Row],[order_date]],"mmmm")</f>
        <v>May</v>
      </c>
      <c r="E1843" s="1">
        <v>45435</v>
      </c>
      <c r="F1843" s="1" t="str">
        <f>TEXT(Table1[[#This Row],[order_date]],"dddd")</f>
        <v>Thursday</v>
      </c>
      <c r="G1843">
        <f>HOUR(Table1[[#This Row],[order_time]])</f>
        <v>15</v>
      </c>
      <c r="H1843" s="2">
        <v>0.63004629629629627</v>
      </c>
      <c r="I1843" t="s">
        <v>11</v>
      </c>
      <c r="J1843" t="s">
        <v>15</v>
      </c>
      <c r="K1843">
        <v>4</v>
      </c>
      <c r="L1843">
        <v>600</v>
      </c>
      <c r="M1843">
        <v>2400</v>
      </c>
      <c r="N1843">
        <f>IF(COUNTIFS($B$2:B1843,B1843)=1,1,0)</f>
        <v>1</v>
      </c>
    </row>
    <row r="1844" spans="1:14" x14ac:dyDescent="0.2">
      <c r="A1844">
        <v>1843</v>
      </c>
      <c r="B1844">
        <v>1922</v>
      </c>
      <c r="C1844">
        <f>1/COUNTIF(B:B,Table1[[#This Row],[order_id]])</f>
        <v>0.33333333333333331</v>
      </c>
      <c r="D1844" t="str">
        <f>TEXT(Table1[[#This Row],[order_date]],"mmmm")</f>
        <v>May</v>
      </c>
      <c r="E1844" s="1">
        <v>45435</v>
      </c>
      <c r="F1844" s="1" t="str">
        <f>TEXT(Table1[[#This Row],[order_date]],"dddd")</f>
        <v>Thursday</v>
      </c>
      <c r="G1844">
        <f>HOUR(Table1[[#This Row],[order_time]])</f>
        <v>15</v>
      </c>
      <c r="H1844" s="2">
        <v>0.64755787037037038</v>
      </c>
      <c r="I1844" t="s">
        <v>9</v>
      </c>
      <c r="J1844" t="s">
        <v>10</v>
      </c>
      <c r="K1844">
        <v>5</v>
      </c>
      <c r="L1844">
        <v>20</v>
      </c>
      <c r="M1844">
        <v>100</v>
      </c>
      <c r="N1844">
        <f>IF(COUNTIFS($B$2:B1844,B1844)=1,1,0)</f>
        <v>0</v>
      </c>
    </row>
    <row r="1845" spans="1:14" x14ac:dyDescent="0.2">
      <c r="A1845">
        <v>1844</v>
      </c>
      <c r="B1845">
        <v>1922</v>
      </c>
      <c r="C1845">
        <f>1/COUNTIF(B:B,Table1[[#This Row],[order_id]])</f>
        <v>0.33333333333333331</v>
      </c>
      <c r="D1845" t="str">
        <f>TEXT(Table1[[#This Row],[order_date]],"mmmm")</f>
        <v>May</v>
      </c>
      <c r="E1845" s="1">
        <v>45435</v>
      </c>
      <c r="F1845" s="1" t="str">
        <f>TEXT(Table1[[#This Row],[order_date]],"dddd")</f>
        <v>Thursday</v>
      </c>
      <c r="G1845">
        <f>HOUR(Table1[[#This Row],[order_time]])</f>
        <v>9</v>
      </c>
      <c r="H1845" s="2">
        <v>0.39641203703703703</v>
      </c>
      <c r="I1845" t="s">
        <v>9</v>
      </c>
      <c r="J1845" t="s">
        <v>20</v>
      </c>
      <c r="K1845">
        <v>5</v>
      </c>
      <c r="L1845">
        <v>25</v>
      </c>
      <c r="M1845">
        <v>125</v>
      </c>
      <c r="N1845">
        <f>IF(COUNTIFS($B$2:B1845,B1845)=1,1,0)</f>
        <v>0</v>
      </c>
    </row>
    <row r="1846" spans="1:14" x14ac:dyDescent="0.2">
      <c r="A1846">
        <v>1845</v>
      </c>
      <c r="B1846">
        <v>1923</v>
      </c>
      <c r="C1846">
        <f>1/COUNTIF(B:B,Table1[[#This Row],[order_id]])</f>
        <v>1</v>
      </c>
      <c r="D1846" t="str">
        <f>TEXT(Table1[[#This Row],[order_date]],"mmmm")</f>
        <v>May</v>
      </c>
      <c r="E1846" s="1">
        <v>45435</v>
      </c>
      <c r="F1846" s="1" t="str">
        <f>TEXT(Table1[[#This Row],[order_date]],"dddd")</f>
        <v>Thursday</v>
      </c>
      <c r="G1846">
        <f>HOUR(Table1[[#This Row],[order_time]])</f>
        <v>10</v>
      </c>
      <c r="H1846" s="2">
        <v>0.41918981481481482</v>
      </c>
      <c r="I1846" t="s">
        <v>18</v>
      </c>
      <c r="J1846" t="s">
        <v>31</v>
      </c>
      <c r="K1846">
        <v>2</v>
      </c>
      <c r="L1846">
        <v>45</v>
      </c>
      <c r="M1846">
        <v>90</v>
      </c>
      <c r="N1846">
        <f>IF(COUNTIFS($B$2:B1846,B1846)=1,1,0)</f>
        <v>1</v>
      </c>
    </row>
    <row r="1847" spans="1:14" x14ac:dyDescent="0.2">
      <c r="A1847">
        <v>1846</v>
      </c>
      <c r="B1847">
        <v>1924</v>
      </c>
      <c r="C1847">
        <f>1/COUNTIF(B:B,Table1[[#This Row],[order_id]])</f>
        <v>1</v>
      </c>
      <c r="D1847" t="str">
        <f>TEXT(Table1[[#This Row],[order_date]],"mmmm")</f>
        <v>May</v>
      </c>
      <c r="E1847" s="1">
        <v>45435</v>
      </c>
      <c r="F1847" s="1" t="str">
        <f>TEXT(Table1[[#This Row],[order_date]],"dddd")</f>
        <v>Thursday</v>
      </c>
      <c r="G1847">
        <f>HOUR(Table1[[#This Row],[order_time]])</f>
        <v>10</v>
      </c>
      <c r="H1847" s="2">
        <v>0.42172453703703705</v>
      </c>
      <c r="I1847" t="s">
        <v>9</v>
      </c>
      <c r="J1847" t="s">
        <v>29</v>
      </c>
      <c r="K1847">
        <v>5</v>
      </c>
      <c r="L1847">
        <v>5</v>
      </c>
      <c r="M1847">
        <v>25</v>
      </c>
      <c r="N1847">
        <f>IF(COUNTIFS($B$2:B1847,B1847)=1,1,0)</f>
        <v>1</v>
      </c>
    </row>
    <row r="1848" spans="1:14" x14ac:dyDescent="0.2">
      <c r="A1848">
        <v>1847</v>
      </c>
      <c r="B1848">
        <v>1925</v>
      </c>
      <c r="C1848">
        <f>1/COUNTIF(B:B,Table1[[#This Row],[order_id]])</f>
        <v>1</v>
      </c>
      <c r="D1848" t="str">
        <f>TEXT(Table1[[#This Row],[order_date]],"mmmm")</f>
        <v>May</v>
      </c>
      <c r="E1848" s="1">
        <v>45436</v>
      </c>
      <c r="F1848" s="1" t="str">
        <f>TEXT(Table1[[#This Row],[order_date]],"dddd")</f>
        <v>Friday</v>
      </c>
      <c r="G1848">
        <f>HOUR(Table1[[#This Row],[order_time]])</f>
        <v>18</v>
      </c>
      <c r="H1848" s="2">
        <v>0.78995370370370366</v>
      </c>
      <c r="I1848" t="s">
        <v>16</v>
      </c>
      <c r="J1848" t="s">
        <v>17</v>
      </c>
      <c r="K1848">
        <v>1</v>
      </c>
      <c r="L1848">
        <v>20</v>
      </c>
      <c r="M1848">
        <v>20</v>
      </c>
      <c r="N1848">
        <f>IF(COUNTIFS($B$2:B1848,B1848)=1,1,0)</f>
        <v>1</v>
      </c>
    </row>
    <row r="1849" spans="1:14" x14ac:dyDescent="0.2">
      <c r="A1849">
        <v>1848</v>
      </c>
      <c r="B1849">
        <v>1926</v>
      </c>
      <c r="C1849">
        <f>1/COUNTIF(B:B,Table1[[#This Row],[order_id]])</f>
        <v>0.33333333333333331</v>
      </c>
      <c r="D1849" t="str">
        <f>TEXT(Table1[[#This Row],[order_date]],"mmmm")</f>
        <v>May</v>
      </c>
      <c r="E1849" s="1">
        <v>45436</v>
      </c>
      <c r="F1849" s="1" t="str">
        <f>TEXT(Table1[[#This Row],[order_date]],"dddd")</f>
        <v>Friday</v>
      </c>
      <c r="G1849">
        <f>HOUR(Table1[[#This Row],[order_time]])</f>
        <v>12</v>
      </c>
      <c r="H1849" s="2">
        <v>0.52746527777777774</v>
      </c>
      <c r="I1849" t="s">
        <v>11</v>
      </c>
      <c r="J1849" t="s">
        <v>13</v>
      </c>
      <c r="K1849">
        <v>5</v>
      </c>
      <c r="L1849">
        <v>680</v>
      </c>
      <c r="M1849">
        <v>3400</v>
      </c>
      <c r="N1849">
        <f>IF(COUNTIFS($B$2:B1849,B1849)=1,1,0)</f>
        <v>1</v>
      </c>
    </row>
    <row r="1850" spans="1:14" x14ac:dyDescent="0.2">
      <c r="A1850">
        <v>1849</v>
      </c>
      <c r="B1850">
        <v>1926</v>
      </c>
      <c r="C1850">
        <f>1/COUNTIF(B:B,Table1[[#This Row],[order_id]])</f>
        <v>0.33333333333333331</v>
      </c>
      <c r="D1850" t="str">
        <f>TEXT(Table1[[#This Row],[order_date]],"mmmm")</f>
        <v>May</v>
      </c>
      <c r="E1850" s="1">
        <v>45436</v>
      </c>
      <c r="F1850" s="1" t="str">
        <f>TEXT(Table1[[#This Row],[order_date]],"dddd")</f>
        <v>Friday</v>
      </c>
      <c r="G1850">
        <f>HOUR(Table1[[#This Row],[order_time]])</f>
        <v>15</v>
      </c>
      <c r="H1850" s="2">
        <v>0.65138888888888891</v>
      </c>
      <c r="I1850" t="s">
        <v>18</v>
      </c>
      <c r="J1850" t="s">
        <v>27</v>
      </c>
      <c r="K1850">
        <v>3</v>
      </c>
      <c r="L1850">
        <v>40</v>
      </c>
      <c r="M1850">
        <v>120</v>
      </c>
      <c r="N1850">
        <f>IF(COUNTIFS($B$2:B1850,B1850)=1,1,0)</f>
        <v>0</v>
      </c>
    </row>
    <row r="1851" spans="1:14" x14ac:dyDescent="0.2">
      <c r="A1851">
        <v>1850</v>
      </c>
      <c r="B1851">
        <v>1926</v>
      </c>
      <c r="C1851">
        <f>1/COUNTIF(B:B,Table1[[#This Row],[order_id]])</f>
        <v>0.33333333333333331</v>
      </c>
      <c r="D1851" t="str">
        <f>TEXT(Table1[[#This Row],[order_date]],"mmmm")</f>
        <v>May</v>
      </c>
      <c r="E1851" s="1">
        <v>45436</v>
      </c>
      <c r="F1851" s="1" t="str">
        <f>TEXT(Table1[[#This Row],[order_date]],"dddd")</f>
        <v>Friday</v>
      </c>
      <c r="G1851">
        <f>HOUR(Table1[[#This Row],[order_time]])</f>
        <v>18</v>
      </c>
      <c r="H1851" s="2">
        <v>0.76877314814814812</v>
      </c>
      <c r="I1851" t="s">
        <v>16</v>
      </c>
      <c r="J1851" t="s">
        <v>23</v>
      </c>
      <c r="K1851">
        <v>1</v>
      </c>
      <c r="L1851">
        <v>30</v>
      </c>
      <c r="M1851">
        <v>30</v>
      </c>
      <c r="N1851">
        <f>IF(COUNTIFS($B$2:B1851,B1851)=1,1,0)</f>
        <v>0</v>
      </c>
    </row>
    <row r="1852" spans="1:14" x14ac:dyDescent="0.2">
      <c r="A1852">
        <v>1851</v>
      </c>
      <c r="B1852">
        <v>1927</v>
      </c>
      <c r="C1852">
        <f>1/COUNTIF(B:B,Table1[[#This Row],[order_id]])</f>
        <v>1</v>
      </c>
      <c r="D1852" t="str">
        <f>TEXT(Table1[[#This Row],[order_date]],"mmmm")</f>
        <v>May</v>
      </c>
      <c r="E1852" s="1">
        <v>45436</v>
      </c>
      <c r="F1852" s="1" t="str">
        <f>TEXT(Table1[[#This Row],[order_date]],"dddd")</f>
        <v>Friday</v>
      </c>
      <c r="G1852">
        <f>HOUR(Table1[[#This Row],[order_time]])</f>
        <v>11</v>
      </c>
      <c r="H1852" s="2">
        <v>0.48881944444444442</v>
      </c>
      <c r="I1852" t="s">
        <v>18</v>
      </c>
      <c r="J1852" t="s">
        <v>31</v>
      </c>
      <c r="K1852">
        <v>2</v>
      </c>
      <c r="L1852">
        <v>45</v>
      </c>
      <c r="M1852">
        <v>90</v>
      </c>
      <c r="N1852">
        <f>IF(COUNTIFS($B$2:B1852,B1852)=1,1,0)</f>
        <v>1</v>
      </c>
    </row>
    <row r="1853" spans="1:14" x14ac:dyDescent="0.2">
      <c r="A1853">
        <v>1852</v>
      </c>
      <c r="B1853">
        <v>1928</v>
      </c>
      <c r="C1853">
        <f>1/COUNTIF(B:B,Table1[[#This Row],[order_id]])</f>
        <v>1</v>
      </c>
      <c r="D1853" t="str">
        <f>TEXT(Table1[[#This Row],[order_date]],"mmmm")</f>
        <v>May</v>
      </c>
      <c r="E1853" s="1">
        <v>45436</v>
      </c>
      <c r="F1853" s="1" t="str">
        <f>TEXT(Table1[[#This Row],[order_date]],"dddd")</f>
        <v>Friday</v>
      </c>
      <c r="G1853">
        <f>HOUR(Table1[[#This Row],[order_time]])</f>
        <v>14</v>
      </c>
      <c r="H1853" s="2">
        <v>0.59269675925925924</v>
      </c>
      <c r="I1853" t="s">
        <v>18</v>
      </c>
      <c r="J1853" t="s">
        <v>19</v>
      </c>
      <c r="K1853">
        <v>2</v>
      </c>
      <c r="L1853">
        <v>50</v>
      </c>
      <c r="M1853">
        <v>100</v>
      </c>
      <c r="N1853">
        <f>IF(COUNTIFS($B$2:B1853,B1853)=1,1,0)</f>
        <v>1</v>
      </c>
    </row>
    <row r="1854" spans="1:14" x14ac:dyDescent="0.2">
      <c r="A1854">
        <v>1853</v>
      </c>
      <c r="B1854">
        <v>1929</v>
      </c>
      <c r="C1854">
        <f>1/COUNTIF(B:B,Table1[[#This Row],[order_id]])</f>
        <v>0.5</v>
      </c>
      <c r="D1854" t="str">
        <f>TEXT(Table1[[#This Row],[order_date]],"mmmm")</f>
        <v>May</v>
      </c>
      <c r="E1854" s="1">
        <v>45436</v>
      </c>
      <c r="F1854" s="1" t="str">
        <f>TEXT(Table1[[#This Row],[order_date]],"dddd")</f>
        <v>Friday</v>
      </c>
      <c r="G1854">
        <f>HOUR(Table1[[#This Row],[order_time]])</f>
        <v>16</v>
      </c>
      <c r="H1854" s="2">
        <v>0.69724537037037038</v>
      </c>
      <c r="I1854" t="s">
        <v>11</v>
      </c>
      <c r="J1854" t="s">
        <v>13</v>
      </c>
      <c r="K1854">
        <v>2</v>
      </c>
      <c r="L1854">
        <v>680</v>
      </c>
      <c r="M1854">
        <v>1360</v>
      </c>
      <c r="N1854">
        <f>IF(COUNTIFS($B$2:B1854,B1854)=1,1,0)</f>
        <v>1</v>
      </c>
    </row>
    <row r="1855" spans="1:14" x14ac:dyDescent="0.2">
      <c r="A1855">
        <v>1854</v>
      </c>
      <c r="B1855">
        <v>1929</v>
      </c>
      <c r="C1855">
        <f>1/COUNTIF(B:B,Table1[[#This Row],[order_id]])</f>
        <v>0.5</v>
      </c>
      <c r="D1855" t="str">
        <f>TEXT(Table1[[#This Row],[order_date]],"mmmm")</f>
        <v>May</v>
      </c>
      <c r="E1855" s="1">
        <v>45436</v>
      </c>
      <c r="F1855" s="1" t="str">
        <f>TEXT(Table1[[#This Row],[order_date]],"dddd")</f>
        <v>Friday</v>
      </c>
      <c r="G1855">
        <f>HOUR(Table1[[#This Row],[order_time]])</f>
        <v>19</v>
      </c>
      <c r="H1855" s="2">
        <v>0.80556712962962962</v>
      </c>
      <c r="I1855" t="s">
        <v>11</v>
      </c>
      <c r="J1855" t="s">
        <v>25</v>
      </c>
      <c r="K1855">
        <v>2</v>
      </c>
      <c r="L1855">
        <v>1000</v>
      </c>
      <c r="M1855">
        <v>2000</v>
      </c>
      <c r="N1855">
        <f>IF(COUNTIFS($B$2:B1855,B1855)=1,1,0)</f>
        <v>0</v>
      </c>
    </row>
    <row r="1856" spans="1:14" x14ac:dyDescent="0.2">
      <c r="A1856">
        <v>1855</v>
      </c>
      <c r="B1856">
        <v>1930</v>
      </c>
      <c r="C1856">
        <f>1/COUNTIF(B:B,Table1[[#This Row],[order_id]])</f>
        <v>0.33333333333333331</v>
      </c>
      <c r="D1856" t="str">
        <f>TEXT(Table1[[#This Row],[order_date]],"mmmm")</f>
        <v>May</v>
      </c>
      <c r="E1856" s="1">
        <v>45437</v>
      </c>
      <c r="F1856" s="1" t="str">
        <f>TEXT(Table1[[#This Row],[order_date]],"dddd")</f>
        <v>Saturday</v>
      </c>
      <c r="G1856">
        <f>HOUR(Table1[[#This Row],[order_time]])</f>
        <v>15</v>
      </c>
      <c r="H1856" s="2">
        <v>0.65237268518518521</v>
      </c>
      <c r="I1856" t="s">
        <v>16</v>
      </c>
      <c r="J1856" t="s">
        <v>28</v>
      </c>
      <c r="K1856">
        <v>1</v>
      </c>
      <c r="L1856">
        <v>25</v>
      </c>
      <c r="M1856">
        <v>25</v>
      </c>
      <c r="N1856">
        <f>IF(COUNTIFS($B$2:B1856,B1856)=1,1,0)</f>
        <v>1</v>
      </c>
    </row>
    <row r="1857" spans="1:14" x14ac:dyDescent="0.2">
      <c r="A1857">
        <v>1856</v>
      </c>
      <c r="B1857">
        <v>1930</v>
      </c>
      <c r="C1857">
        <f>1/COUNTIF(B:B,Table1[[#This Row],[order_id]])</f>
        <v>0.33333333333333331</v>
      </c>
      <c r="D1857" t="str">
        <f>TEXT(Table1[[#This Row],[order_date]],"mmmm")</f>
        <v>May</v>
      </c>
      <c r="E1857" s="1">
        <v>45437</v>
      </c>
      <c r="F1857" s="1" t="str">
        <f>TEXT(Table1[[#This Row],[order_date]],"dddd")</f>
        <v>Saturday</v>
      </c>
      <c r="G1857">
        <f>HOUR(Table1[[#This Row],[order_time]])</f>
        <v>15</v>
      </c>
      <c r="H1857" s="2">
        <v>0.64706018518518515</v>
      </c>
      <c r="I1857" t="s">
        <v>11</v>
      </c>
      <c r="J1857" t="s">
        <v>13</v>
      </c>
      <c r="K1857">
        <v>4</v>
      </c>
      <c r="L1857">
        <v>680</v>
      </c>
      <c r="M1857">
        <v>2720</v>
      </c>
      <c r="N1857">
        <f>IF(COUNTIFS($B$2:B1857,B1857)=1,1,0)</f>
        <v>0</v>
      </c>
    </row>
    <row r="1858" spans="1:14" x14ac:dyDescent="0.2">
      <c r="A1858">
        <v>1857</v>
      </c>
      <c r="B1858">
        <v>1930</v>
      </c>
      <c r="C1858">
        <f>1/COUNTIF(B:B,Table1[[#This Row],[order_id]])</f>
        <v>0.33333333333333331</v>
      </c>
      <c r="D1858" t="str">
        <f>TEXT(Table1[[#This Row],[order_date]],"mmmm")</f>
        <v>May</v>
      </c>
      <c r="E1858" s="1">
        <v>45437</v>
      </c>
      <c r="F1858" s="1" t="str">
        <f>TEXT(Table1[[#This Row],[order_date]],"dddd")</f>
        <v>Saturday</v>
      </c>
      <c r="G1858">
        <f>HOUR(Table1[[#This Row],[order_time]])</f>
        <v>12</v>
      </c>
      <c r="H1858" s="2">
        <v>0.53749999999999998</v>
      </c>
      <c r="I1858" t="s">
        <v>16</v>
      </c>
      <c r="J1858" t="s">
        <v>24</v>
      </c>
      <c r="K1858">
        <v>1</v>
      </c>
      <c r="L1858">
        <v>35</v>
      </c>
      <c r="M1858">
        <v>35</v>
      </c>
      <c r="N1858">
        <f>IF(COUNTIFS($B$2:B1858,B1858)=1,1,0)</f>
        <v>0</v>
      </c>
    </row>
    <row r="1859" spans="1:14" x14ac:dyDescent="0.2">
      <c r="A1859">
        <v>1858</v>
      </c>
      <c r="B1859">
        <v>1931</v>
      </c>
      <c r="C1859">
        <f>1/COUNTIF(B:B,Table1[[#This Row],[order_id]])</f>
        <v>0.33333333333333331</v>
      </c>
      <c r="D1859" t="str">
        <f>TEXT(Table1[[#This Row],[order_date]],"mmmm")</f>
        <v>May</v>
      </c>
      <c r="E1859" s="1">
        <v>45437</v>
      </c>
      <c r="F1859" s="1" t="str">
        <f>TEXT(Table1[[#This Row],[order_date]],"dddd")</f>
        <v>Saturday</v>
      </c>
      <c r="G1859">
        <f>HOUR(Table1[[#This Row],[order_time]])</f>
        <v>18</v>
      </c>
      <c r="H1859" s="2">
        <v>0.77162037037037035</v>
      </c>
      <c r="I1859" t="s">
        <v>11</v>
      </c>
      <c r="J1859" t="s">
        <v>25</v>
      </c>
      <c r="K1859">
        <v>2</v>
      </c>
      <c r="L1859">
        <v>1000</v>
      </c>
      <c r="M1859">
        <v>2000</v>
      </c>
      <c r="N1859">
        <f>IF(COUNTIFS($B$2:B1859,B1859)=1,1,0)</f>
        <v>1</v>
      </c>
    </row>
    <row r="1860" spans="1:14" x14ac:dyDescent="0.2">
      <c r="A1860">
        <v>1859</v>
      </c>
      <c r="B1860">
        <v>1931</v>
      </c>
      <c r="C1860">
        <f>1/COUNTIF(B:B,Table1[[#This Row],[order_id]])</f>
        <v>0.33333333333333331</v>
      </c>
      <c r="D1860" t="str">
        <f>TEXT(Table1[[#This Row],[order_date]],"mmmm")</f>
        <v>May</v>
      </c>
      <c r="E1860" s="1">
        <v>45437</v>
      </c>
      <c r="F1860" s="1" t="str">
        <f>TEXT(Table1[[#This Row],[order_date]],"dddd")</f>
        <v>Saturday</v>
      </c>
      <c r="G1860">
        <f>HOUR(Table1[[#This Row],[order_time]])</f>
        <v>20</v>
      </c>
      <c r="H1860" s="2">
        <v>0.85223379629629625</v>
      </c>
      <c r="I1860" t="s">
        <v>9</v>
      </c>
      <c r="J1860" t="s">
        <v>29</v>
      </c>
      <c r="K1860">
        <v>4</v>
      </c>
      <c r="L1860">
        <v>5</v>
      </c>
      <c r="M1860">
        <v>20</v>
      </c>
      <c r="N1860">
        <f>IF(COUNTIFS($B$2:B1860,B1860)=1,1,0)</f>
        <v>0</v>
      </c>
    </row>
    <row r="1861" spans="1:14" x14ac:dyDescent="0.2">
      <c r="A1861">
        <v>1860</v>
      </c>
      <c r="B1861">
        <v>1931</v>
      </c>
      <c r="C1861">
        <f>1/COUNTIF(B:B,Table1[[#This Row],[order_id]])</f>
        <v>0.33333333333333331</v>
      </c>
      <c r="D1861" t="str">
        <f>TEXT(Table1[[#This Row],[order_date]],"mmmm")</f>
        <v>May</v>
      </c>
      <c r="E1861" s="1">
        <v>45437</v>
      </c>
      <c r="F1861" s="1" t="str">
        <f>TEXT(Table1[[#This Row],[order_date]],"dddd")</f>
        <v>Saturday</v>
      </c>
      <c r="G1861">
        <f>HOUR(Table1[[#This Row],[order_time]])</f>
        <v>15</v>
      </c>
      <c r="H1861" s="2">
        <v>0.64763888888888888</v>
      </c>
      <c r="I1861" t="s">
        <v>18</v>
      </c>
      <c r="J1861" t="s">
        <v>31</v>
      </c>
      <c r="K1861">
        <v>3</v>
      </c>
      <c r="L1861">
        <v>45</v>
      </c>
      <c r="M1861">
        <v>135</v>
      </c>
      <c r="N1861">
        <f>IF(COUNTIFS($B$2:B1861,B1861)=1,1,0)</f>
        <v>0</v>
      </c>
    </row>
    <row r="1862" spans="1:14" x14ac:dyDescent="0.2">
      <c r="A1862">
        <v>1861</v>
      </c>
      <c r="B1862">
        <v>1932</v>
      </c>
      <c r="C1862">
        <f>1/COUNTIF(B:B,Table1[[#This Row],[order_id]])</f>
        <v>0.33333333333333331</v>
      </c>
      <c r="D1862" t="str">
        <f>TEXT(Table1[[#This Row],[order_date]],"mmmm")</f>
        <v>May</v>
      </c>
      <c r="E1862" s="1">
        <v>45437</v>
      </c>
      <c r="F1862" s="1" t="str">
        <f>TEXT(Table1[[#This Row],[order_date]],"dddd")</f>
        <v>Saturday</v>
      </c>
      <c r="G1862">
        <f>HOUR(Table1[[#This Row],[order_time]])</f>
        <v>13</v>
      </c>
      <c r="H1862" s="2">
        <v>0.56445601851851857</v>
      </c>
      <c r="I1862" t="s">
        <v>16</v>
      </c>
      <c r="J1862" t="s">
        <v>17</v>
      </c>
      <c r="K1862">
        <v>4</v>
      </c>
      <c r="L1862">
        <v>20</v>
      </c>
      <c r="M1862">
        <v>80</v>
      </c>
      <c r="N1862">
        <f>IF(COUNTIFS($B$2:B1862,B1862)=1,1,0)</f>
        <v>1</v>
      </c>
    </row>
    <row r="1863" spans="1:14" x14ac:dyDescent="0.2">
      <c r="A1863">
        <v>1862</v>
      </c>
      <c r="B1863">
        <v>1932</v>
      </c>
      <c r="C1863">
        <f>1/COUNTIF(B:B,Table1[[#This Row],[order_id]])</f>
        <v>0.33333333333333331</v>
      </c>
      <c r="D1863" t="str">
        <f>TEXT(Table1[[#This Row],[order_date]],"mmmm")</f>
        <v>May</v>
      </c>
      <c r="E1863" s="1">
        <v>45437</v>
      </c>
      <c r="F1863" s="1" t="str">
        <f>TEXT(Table1[[#This Row],[order_date]],"dddd")</f>
        <v>Saturday</v>
      </c>
      <c r="G1863">
        <f>HOUR(Table1[[#This Row],[order_time]])</f>
        <v>19</v>
      </c>
      <c r="H1863" s="2">
        <v>0.79267361111111112</v>
      </c>
      <c r="I1863" t="s">
        <v>18</v>
      </c>
      <c r="J1863" t="s">
        <v>27</v>
      </c>
      <c r="K1863">
        <v>4</v>
      </c>
      <c r="L1863">
        <v>40</v>
      </c>
      <c r="M1863">
        <v>160</v>
      </c>
      <c r="N1863">
        <f>IF(COUNTIFS($B$2:B1863,B1863)=1,1,0)</f>
        <v>0</v>
      </c>
    </row>
    <row r="1864" spans="1:14" x14ac:dyDescent="0.2">
      <c r="A1864">
        <v>1863</v>
      </c>
      <c r="B1864">
        <v>1932</v>
      </c>
      <c r="C1864">
        <f>1/COUNTIF(B:B,Table1[[#This Row],[order_id]])</f>
        <v>0.33333333333333331</v>
      </c>
      <c r="D1864" t="str">
        <f>TEXT(Table1[[#This Row],[order_date]],"mmmm")</f>
        <v>May</v>
      </c>
      <c r="E1864" s="1">
        <v>45437</v>
      </c>
      <c r="F1864" s="1" t="str">
        <f>TEXT(Table1[[#This Row],[order_date]],"dddd")</f>
        <v>Saturday</v>
      </c>
      <c r="G1864">
        <f>HOUR(Table1[[#This Row],[order_time]])</f>
        <v>14</v>
      </c>
      <c r="H1864" s="2">
        <v>0.58333333333333337</v>
      </c>
      <c r="I1864" t="s">
        <v>9</v>
      </c>
      <c r="J1864" t="s">
        <v>21</v>
      </c>
      <c r="K1864">
        <v>4</v>
      </c>
      <c r="L1864">
        <v>10</v>
      </c>
      <c r="M1864">
        <v>40</v>
      </c>
      <c r="N1864">
        <f>IF(COUNTIFS($B$2:B1864,B1864)=1,1,0)</f>
        <v>0</v>
      </c>
    </row>
    <row r="1865" spans="1:14" x14ac:dyDescent="0.2">
      <c r="A1865">
        <v>1864</v>
      </c>
      <c r="B1865">
        <v>1933</v>
      </c>
      <c r="C1865">
        <f>1/COUNTIF(B:B,Table1[[#This Row],[order_id]])</f>
        <v>1</v>
      </c>
      <c r="D1865" t="str">
        <f>TEXT(Table1[[#This Row],[order_date]],"mmmm")</f>
        <v>May</v>
      </c>
      <c r="E1865" s="1">
        <v>45437</v>
      </c>
      <c r="F1865" s="1" t="str">
        <f>TEXT(Table1[[#This Row],[order_date]],"dddd")</f>
        <v>Saturday</v>
      </c>
      <c r="G1865">
        <f>HOUR(Table1[[#This Row],[order_time]])</f>
        <v>13</v>
      </c>
      <c r="H1865" s="2">
        <v>0.55134259259259255</v>
      </c>
      <c r="I1865" t="s">
        <v>9</v>
      </c>
      <c r="J1865" t="s">
        <v>10</v>
      </c>
      <c r="K1865">
        <v>1</v>
      </c>
      <c r="L1865">
        <v>20</v>
      </c>
      <c r="M1865">
        <v>20</v>
      </c>
      <c r="N1865">
        <f>IF(COUNTIFS($B$2:B1865,B1865)=1,1,0)</f>
        <v>1</v>
      </c>
    </row>
    <row r="1866" spans="1:14" x14ac:dyDescent="0.2">
      <c r="A1866">
        <v>1865</v>
      </c>
      <c r="B1866">
        <v>1934</v>
      </c>
      <c r="C1866">
        <f>1/COUNTIF(B:B,Table1[[#This Row],[order_id]])</f>
        <v>1</v>
      </c>
      <c r="D1866" t="str">
        <f>TEXT(Table1[[#This Row],[order_date]],"mmmm")</f>
        <v>May</v>
      </c>
      <c r="E1866" s="1">
        <v>45438</v>
      </c>
      <c r="F1866" s="1" t="str">
        <f>TEXT(Table1[[#This Row],[order_date]],"dddd")</f>
        <v>Sunday</v>
      </c>
      <c r="G1866">
        <f>HOUR(Table1[[#This Row],[order_time]])</f>
        <v>14</v>
      </c>
      <c r="H1866" s="2">
        <v>0.62361111111111112</v>
      </c>
      <c r="I1866" t="s">
        <v>11</v>
      </c>
      <c r="J1866" t="s">
        <v>12</v>
      </c>
      <c r="K1866">
        <v>1</v>
      </c>
      <c r="L1866">
        <v>650</v>
      </c>
      <c r="M1866">
        <v>650</v>
      </c>
      <c r="N1866">
        <f>IF(COUNTIFS($B$2:B1866,B1866)=1,1,0)</f>
        <v>1</v>
      </c>
    </row>
    <row r="1867" spans="1:14" x14ac:dyDescent="0.2">
      <c r="A1867">
        <v>1866</v>
      </c>
      <c r="B1867">
        <v>1935</v>
      </c>
      <c r="C1867">
        <f>1/COUNTIF(B:B,Table1[[#This Row],[order_id]])</f>
        <v>1</v>
      </c>
      <c r="D1867" t="str">
        <f>TEXT(Table1[[#This Row],[order_date]],"mmmm")</f>
        <v>May</v>
      </c>
      <c r="E1867" s="1">
        <v>45438</v>
      </c>
      <c r="F1867" s="1" t="str">
        <f>TEXT(Table1[[#This Row],[order_date]],"dddd")</f>
        <v>Sunday</v>
      </c>
      <c r="G1867">
        <f>HOUR(Table1[[#This Row],[order_time]])</f>
        <v>14</v>
      </c>
      <c r="H1867" s="2">
        <v>0.61263888888888884</v>
      </c>
      <c r="I1867" t="s">
        <v>11</v>
      </c>
      <c r="J1867" t="s">
        <v>25</v>
      </c>
      <c r="K1867">
        <v>2</v>
      </c>
      <c r="L1867">
        <v>1000</v>
      </c>
      <c r="M1867">
        <v>2000</v>
      </c>
      <c r="N1867">
        <f>IF(COUNTIFS($B$2:B1867,B1867)=1,1,0)</f>
        <v>1</v>
      </c>
    </row>
    <row r="1868" spans="1:14" x14ac:dyDescent="0.2">
      <c r="A1868">
        <v>1867</v>
      </c>
      <c r="B1868">
        <v>1936</v>
      </c>
      <c r="C1868">
        <f>1/COUNTIF(B:B,Table1[[#This Row],[order_id]])</f>
        <v>0.5</v>
      </c>
      <c r="D1868" t="str">
        <f>TEXT(Table1[[#This Row],[order_date]],"mmmm")</f>
        <v>May</v>
      </c>
      <c r="E1868" s="1">
        <v>45438</v>
      </c>
      <c r="F1868" s="1" t="str">
        <f>TEXT(Table1[[#This Row],[order_date]],"dddd")</f>
        <v>Sunday</v>
      </c>
      <c r="G1868">
        <f>HOUR(Table1[[#This Row],[order_time]])</f>
        <v>11</v>
      </c>
      <c r="H1868" s="2">
        <v>0.47315972222222225</v>
      </c>
      <c r="I1868" t="s">
        <v>11</v>
      </c>
      <c r="J1868" t="s">
        <v>25</v>
      </c>
      <c r="K1868">
        <v>3</v>
      </c>
      <c r="L1868">
        <v>1000</v>
      </c>
      <c r="M1868">
        <v>3000</v>
      </c>
      <c r="N1868">
        <f>IF(COUNTIFS($B$2:B1868,B1868)=1,1,0)</f>
        <v>1</v>
      </c>
    </row>
    <row r="1869" spans="1:14" x14ac:dyDescent="0.2">
      <c r="A1869">
        <v>1868</v>
      </c>
      <c r="B1869">
        <v>1936</v>
      </c>
      <c r="C1869">
        <f>1/COUNTIF(B:B,Table1[[#This Row],[order_id]])</f>
        <v>0.5</v>
      </c>
      <c r="D1869" t="str">
        <f>TEXT(Table1[[#This Row],[order_date]],"mmmm")</f>
        <v>May</v>
      </c>
      <c r="E1869" s="1">
        <v>45438</v>
      </c>
      <c r="F1869" s="1" t="str">
        <f>TEXT(Table1[[#This Row],[order_date]],"dddd")</f>
        <v>Sunday</v>
      </c>
      <c r="G1869">
        <f>HOUR(Table1[[#This Row],[order_time]])</f>
        <v>10</v>
      </c>
      <c r="H1869" s="2">
        <v>0.44962962962962966</v>
      </c>
      <c r="I1869" t="s">
        <v>16</v>
      </c>
      <c r="J1869" t="s">
        <v>23</v>
      </c>
      <c r="K1869">
        <v>3</v>
      </c>
      <c r="L1869">
        <v>30</v>
      </c>
      <c r="M1869">
        <v>90</v>
      </c>
      <c r="N1869">
        <f>IF(COUNTIFS($B$2:B1869,B1869)=1,1,0)</f>
        <v>0</v>
      </c>
    </row>
    <row r="1870" spans="1:14" x14ac:dyDescent="0.2">
      <c r="A1870">
        <v>1869</v>
      </c>
      <c r="B1870">
        <v>1937</v>
      </c>
      <c r="C1870">
        <f>1/COUNTIF(B:B,Table1[[#This Row],[order_id]])</f>
        <v>1</v>
      </c>
      <c r="D1870" t="str">
        <f>TEXT(Table1[[#This Row],[order_date]],"mmmm")</f>
        <v>May</v>
      </c>
      <c r="E1870" s="1">
        <v>45439</v>
      </c>
      <c r="F1870" s="1" t="str">
        <f>TEXT(Table1[[#This Row],[order_date]],"dddd")</f>
        <v>Monday</v>
      </c>
      <c r="G1870">
        <f>HOUR(Table1[[#This Row],[order_time]])</f>
        <v>10</v>
      </c>
      <c r="H1870" s="2">
        <v>0.4510763888888889</v>
      </c>
      <c r="I1870" t="s">
        <v>16</v>
      </c>
      <c r="J1870" t="s">
        <v>24</v>
      </c>
      <c r="K1870">
        <v>1</v>
      </c>
      <c r="L1870">
        <v>35</v>
      </c>
      <c r="M1870">
        <v>35</v>
      </c>
      <c r="N1870">
        <f>IF(COUNTIFS($B$2:B1870,B1870)=1,1,0)</f>
        <v>1</v>
      </c>
    </row>
    <row r="1871" spans="1:14" x14ac:dyDescent="0.2">
      <c r="A1871">
        <v>1870</v>
      </c>
      <c r="B1871">
        <v>1938</v>
      </c>
      <c r="C1871">
        <f>1/COUNTIF(B:B,Table1[[#This Row],[order_id]])</f>
        <v>0.33333333333333331</v>
      </c>
      <c r="D1871" t="str">
        <f>TEXT(Table1[[#This Row],[order_date]],"mmmm")</f>
        <v>May</v>
      </c>
      <c r="E1871" s="1">
        <v>45439</v>
      </c>
      <c r="F1871" s="1" t="str">
        <f>TEXT(Table1[[#This Row],[order_date]],"dddd")</f>
        <v>Monday</v>
      </c>
      <c r="G1871">
        <f>HOUR(Table1[[#This Row],[order_time]])</f>
        <v>16</v>
      </c>
      <c r="H1871" s="2">
        <v>0.69694444444444448</v>
      </c>
      <c r="I1871" t="s">
        <v>18</v>
      </c>
      <c r="J1871" t="s">
        <v>19</v>
      </c>
      <c r="K1871">
        <v>3</v>
      </c>
      <c r="L1871">
        <v>50</v>
      </c>
      <c r="M1871">
        <v>150</v>
      </c>
      <c r="N1871">
        <f>IF(COUNTIFS($B$2:B1871,B1871)=1,1,0)</f>
        <v>1</v>
      </c>
    </row>
    <row r="1872" spans="1:14" x14ac:dyDescent="0.2">
      <c r="A1872">
        <v>1871</v>
      </c>
      <c r="B1872">
        <v>1938</v>
      </c>
      <c r="C1872">
        <f>1/COUNTIF(B:B,Table1[[#This Row],[order_id]])</f>
        <v>0.33333333333333331</v>
      </c>
      <c r="D1872" t="str">
        <f>TEXT(Table1[[#This Row],[order_date]],"mmmm")</f>
        <v>May</v>
      </c>
      <c r="E1872" s="1">
        <v>45439</v>
      </c>
      <c r="F1872" s="1" t="str">
        <f>TEXT(Table1[[#This Row],[order_date]],"dddd")</f>
        <v>Monday</v>
      </c>
      <c r="G1872">
        <f>HOUR(Table1[[#This Row],[order_time]])</f>
        <v>14</v>
      </c>
      <c r="H1872" s="2">
        <v>0.614375</v>
      </c>
      <c r="I1872" t="s">
        <v>9</v>
      </c>
      <c r="J1872" t="s">
        <v>20</v>
      </c>
      <c r="K1872">
        <v>5</v>
      </c>
      <c r="L1872">
        <v>25</v>
      </c>
      <c r="M1872">
        <v>125</v>
      </c>
      <c r="N1872">
        <f>IF(COUNTIFS($B$2:B1872,B1872)=1,1,0)</f>
        <v>0</v>
      </c>
    </row>
    <row r="1873" spans="1:14" x14ac:dyDescent="0.2">
      <c r="A1873">
        <v>1872</v>
      </c>
      <c r="B1873">
        <v>1938</v>
      </c>
      <c r="C1873">
        <f>1/COUNTIF(B:B,Table1[[#This Row],[order_id]])</f>
        <v>0.33333333333333331</v>
      </c>
      <c r="D1873" t="str">
        <f>TEXT(Table1[[#This Row],[order_date]],"mmmm")</f>
        <v>May</v>
      </c>
      <c r="E1873" s="1">
        <v>45439</v>
      </c>
      <c r="F1873" s="1" t="str">
        <f>TEXT(Table1[[#This Row],[order_date]],"dddd")</f>
        <v>Monday</v>
      </c>
      <c r="G1873">
        <f>HOUR(Table1[[#This Row],[order_time]])</f>
        <v>13</v>
      </c>
      <c r="H1873" s="2">
        <v>0.5720601851851852</v>
      </c>
      <c r="I1873" t="s">
        <v>18</v>
      </c>
      <c r="J1873" t="s">
        <v>30</v>
      </c>
      <c r="K1873">
        <v>2</v>
      </c>
      <c r="L1873">
        <v>60</v>
      </c>
      <c r="M1873">
        <v>120</v>
      </c>
      <c r="N1873">
        <f>IF(COUNTIFS($B$2:B1873,B1873)=1,1,0)</f>
        <v>0</v>
      </c>
    </row>
    <row r="1874" spans="1:14" x14ac:dyDescent="0.2">
      <c r="A1874">
        <v>1873</v>
      </c>
      <c r="B1874">
        <v>1939</v>
      </c>
      <c r="C1874">
        <f>1/COUNTIF(B:B,Table1[[#This Row],[order_id]])</f>
        <v>0.5</v>
      </c>
      <c r="D1874" t="str">
        <f>TEXT(Table1[[#This Row],[order_date]],"mmmm")</f>
        <v>May</v>
      </c>
      <c r="E1874" s="1">
        <v>45439</v>
      </c>
      <c r="F1874" s="1" t="str">
        <f>TEXT(Table1[[#This Row],[order_date]],"dddd")</f>
        <v>Monday</v>
      </c>
      <c r="G1874">
        <f>HOUR(Table1[[#This Row],[order_time]])</f>
        <v>13</v>
      </c>
      <c r="H1874" s="2">
        <v>0.57552083333333337</v>
      </c>
      <c r="I1874" t="s">
        <v>18</v>
      </c>
      <c r="J1874" t="s">
        <v>27</v>
      </c>
      <c r="K1874">
        <v>1</v>
      </c>
      <c r="L1874">
        <v>40</v>
      </c>
      <c r="M1874">
        <v>40</v>
      </c>
      <c r="N1874">
        <f>IF(COUNTIFS($B$2:B1874,B1874)=1,1,0)</f>
        <v>1</v>
      </c>
    </row>
    <row r="1875" spans="1:14" x14ac:dyDescent="0.2">
      <c r="A1875">
        <v>1874</v>
      </c>
      <c r="B1875">
        <v>1939</v>
      </c>
      <c r="C1875">
        <f>1/COUNTIF(B:B,Table1[[#This Row],[order_id]])</f>
        <v>0.5</v>
      </c>
      <c r="D1875" t="str">
        <f>TEXT(Table1[[#This Row],[order_date]],"mmmm")</f>
        <v>May</v>
      </c>
      <c r="E1875" s="1">
        <v>45439</v>
      </c>
      <c r="F1875" s="1" t="str">
        <f>TEXT(Table1[[#This Row],[order_date]],"dddd")</f>
        <v>Monday</v>
      </c>
      <c r="G1875">
        <f>HOUR(Table1[[#This Row],[order_time]])</f>
        <v>18</v>
      </c>
      <c r="H1875" s="2">
        <v>0.75087962962962962</v>
      </c>
      <c r="I1875" t="s">
        <v>18</v>
      </c>
      <c r="J1875" t="s">
        <v>30</v>
      </c>
      <c r="K1875">
        <v>5</v>
      </c>
      <c r="L1875">
        <v>60</v>
      </c>
      <c r="M1875">
        <v>300</v>
      </c>
      <c r="N1875">
        <f>IF(COUNTIFS($B$2:B1875,B1875)=1,1,0)</f>
        <v>0</v>
      </c>
    </row>
    <row r="1876" spans="1:14" x14ac:dyDescent="0.2">
      <c r="A1876">
        <v>1875</v>
      </c>
      <c r="B1876">
        <v>1940</v>
      </c>
      <c r="C1876">
        <f>1/COUNTIF(B:B,Table1[[#This Row],[order_id]])</f>
        <v>0.33333333333333331</v>
      </c>
      <c r="D1876" t="str">
        <f>TEXT(Table1[[#This Row],[order_date]],"mmmm")</f>
        <v>May</v>
      </c>
      <c r="E1876" s="1">
        <v>45439</v>
      </c>
      <c r="F1876" s="1" t="str">
        <f>TEXT(Table1[[#This Row],[order_date]],"dddd")</f>
        <v>Monday</v>
      </c>
      <c r="G1876">
        <f>HOUR(Table1[[#This Row],[order_time]])</f>
        <v>12</v>
      </c>
      <c r="H1876" s="2">
        <v>0.54069444444444448</v>
      </c>
      <c r="I1876" t="s">
        <v>9</v>
      </c>
      <c r="J1876" t="s">
        <v>29</v>
      </c>
      <c r="K1876">
        <v>5</v>
      </c>
      <c r="L1876">
        <v>5</v>
      </c>
      <c r="M1876">
        <v>25</v>
      </c>
      <c r="N1876">
        <f>IF(COUNTIFS($B$2:B1876,B1876)=1,1,0)</f>
        <v>1</v>
      </c>
    </row>
    <row r="1877" spans="1:14" x14ac:dyDescent="0.2">
      <c r="A1877">
        <v>1876</v>
      </c>
      <c r="B1877">
        <v>1940</v>
      </c>
      <c r="C1877">
        <f>1/COUNTIF(B:B,Table1[[#This Row],[order_id]])</f>
        <v>0.33333333333333331</v>
      </c>
      <c r="D1877" t="str">
        <f>TEXT(Table1[[#This Row],[order_date]],"mmmm")</f>
        <v>May</v>
      </c>
      <c r="E1877" s="1">
        <v>45439</v>
      </c>
      <c r="F1877" s="1" t="str">
        <f>TEXT(Table1[[#This Row],[order_date]],"dddd")</f>
        <v>Monday</v>
      </c>
      <c r="G1877">
        <f>HOUR(Table1[[#This Row],[order_time]])</f>
        <v>17</v>
      </c>
      <c r="H1877" s="2">
        <v>0.71232638888888888</v>
      </c>
      <c r="I1877" t="s">
        <v>11</v>
      </c>
      <c r="J1877" t="s">
        <v>25</v>
      </c>
      <c r="K1877">
        <v>5</v>
      </c>
      <c r="L1877">
        <v>1000</v>
      </c>
      <c r="M1877">
        <v>5000</v>
      </c>
      <c r="N1877">
        <f>IF(COUNTIFS($B$2:B1877,B1877)=1,1,0)</f>
        <v>0</v>
      </c>
    </row>
    <row r="1878" spans="1:14" x14ac:dyDescent="0.2">
      <c r="A1878">
        <v>1877</v>
      </c>
      <c r="B1878">
        <v>1940</v>
      </c>
      <c r="C1878">
        <f>1/COUNTIF(B:B,Table1[[#This Row],[order_id]])</f>
        <v>0.33333333333333331</v>
      </c>
      <c r="D1878" t="str">
        <f>TEXT(Table1[[#This Row],[order_date]],"mmmm")</f>
        <v>May</v>
      </c>
      <c r="E1878" s="1">
        <v>45439</v>
      </c>
      <c r="F1878" s="1" t="str">
        <f>TEXT(Table1[[#This Row],[order_date]],"dddd")</f>
        <v>Monday</v>
      </c>
      <c r="G1878">
        <f>HOUR(Table1[[#This Row],[order_time]])</f>
        <v>13</v>
      </c>
      <c r="H1878" s="2">
        <v>0.57799768518518524</v>
      </c>
      <c r="I1878" t="s">
        <v>11</v>
      </c>
      <c r="J1878" t="s">
        <v>12</v>
      </c>
      <c r="K1878">
        <v>2</v>
      </c>
      <c r="L1878">
        <v>650</v>
      </c>
      <c r="M1878">
        <v>1300</v>
      </c>
      <c r="N1878">
        <f>IF(COUNTIFS($B$2:B1878,B1878)=1,1,0)</f>
        <v>0</v>
      </c>
    </row>
    <row r="1879" spans="1:14" x14ac:dyDescent="0.2">
      <c r="A1879">
        <v>1878</v>
      </c>
      <c r="B1879">
        <v>1941</v>
      </c>
      <c r="C1879">
        <f>1/COUNTIF(B:B,Table1[[#This Row],[order_id]])</f>
        <v>0.5</v>
      </c>
      <c r="D1879" t="str">
        <f>TEXT(Table1[[#This Row],[order_date]],"mmmm")</f>
        <v>May</v>
      </c>
      <c r="E1879" s="1">
        <v>45439</v>
      </c>
      <c r="F1879" s="1" t="str">
        <f>TEXT(Table1[[#This Row],[order_date]],"dddd")</f>
        <v>Monday</v>
      </c>
      <c r="G1879">
        <f>HOUR(Table1[[#This Row],[order_time]])</f>
        <v>13</v>
      </c>
      <c r="H1879" s="2">
        <v>0.57026620370370373</v>
      </c>
      <c r="I1879" t="s">
        <v>16</v>
      </c>
      <c r="J1879" t="s">
        <v>17</v>
      </c>
      <c r="K1879">
        <v>2</v>
      </c>
      <c r="L1879">
        <v>20</v>
      </c>
      <c r="M1879">
        <v>40</v>
      </c>
      <c r="N1879">
        <f>IF(COUNTIFS($B$2:B1879,B1879)=1,1,0)</f>
        <v>1</v>
      </c>
    </row>
    <row r="1880" spans="1:14" x14ac:dyDescent="0.2">
      <c r="A1880">
        <v>1879</v>
      </c>
      <c r="B1880">
        <v>1941</v>
      </c>
      <c r="C1880">
        <f>1/COUNTIF(B:B,Table1[[#This Row],[order_id]])</f>
        <v>0.5</v>
      </c>
      <c r="D1880" t="str">
        <f>TEXT(Table1[[#This Row],[order_date]],"mmmm")</f>
        <v>May</v>
      </c>
      <c r="E1880" s="1">
        <v>45439</v>
      </c>
      <c r="F1880" s="1" t="str">
        <f>TEXT(Table1[[#This Row],[order_date]],"dddd")</f>
        <v>Monday</v>
      </c>
      <c r="G1880">
        <f>HOUR(Table1[[#This Row],[order_time]])</f>
        <v>19</v>
      </c>
      <c r="H1880" s="2">
        <v>0.79456018518518523</v>
      </c>
      <c r="I1880" t="s">
        <v>11</v>
      </c>
      <c r="J1880" t="s">
        <v>25</v>
      </c>
      <c r="K1880">
        <v>3</v>
      </c>
      <c r="L1880">
        <v>1000</v>
      </c>
      <c r="M1880">
        <v>3000</v>
      </c>
      <c r="N1880">
        <f>IF(COUNTIFS($B$2:B1880,B1880)=1,1,0)</f>
        <v>0</v>
      </c>
    </row>
    <row r="1881" spans="1:14" x14ac:dyDescent="0.2">
      <c r="A1881">
        <v>1880</v>
      </c>
      <c r="B1881">
        <v>1942</v>
      </c>
      <c r="C1881">
        <f>1/COUNTIF(B:B,Table1[[#This Row],[order_id]])</f>
        <v>1</v>
      </c>
      <c r="D1881" t="str">
        <f>TEXT(Table1[[#This Row],[order_date]],"mmmm")</f>
        <v>May</v>
      </c>
      <c r="E1881" s="1">
        <v>45439</v>
      </c>
      <c r="F1881" s="1" t="str">
        <f>TEXT(Table1[[#This Row],[order_date]],"dddd")</f>
        <v>Monday</v>
      </c>
      <c r="G1881">
        <f>HOUR(Table1[[#This Row],[order_time]])</f>
        <v>18</v>
      </c>
      <c r="H1881" s="2">
        <v>0.78385416666666663</v>
      </c>
      <c r="I1881" t="s">
        <v>16</v>
      </c>
      <c r="J1881" t="s">
        <v>17</v>
      </c>
      <c r="K1881">
        <v>2</v>
      </c>
      <c r="L1881">
        <v>20</v>
      </c>
      <c r="M1881">
        <v>40</v>
      </c>
      <c r="N1881">
        <f>IF(COUNTIFS($B$2:B1881,B1881)=1,1,0)</f>
        <v>1</v>
      </c>
    </row>
    <row r="1882" spans="1:14" x14ac:dyDescent="0.2">
      <c r="A1882">
        <v>1881</v>
      </c>
      <c r="B1882">
        <v>1943</v>
      </c>
      <c r="C1882">
        <f>1/COUNTIF(B:B,Table1[[#This Row],[order_id]])</f>
        <v>1</v>
      </c>
      <c r="D1882" t="str">
        <f>TEXT(Table1[[#This Row],[order_date]],"mmmm")</f>
        <v>May</v>
      </c>
      <c r="E1882" s="1">
        <v>45439</v>
      </c>
      <c r="F1882" s="1" t="str">
        <f>TEXT(Table1[[#This Row],[order_date]],"dddd")</f>
        <v>Monday</v>
      </c>
      <c r="G1882">
        <f>HOUR(Table1[[#This Row],[order_time]])</f>
        <v>15</v>
      </c>
      <c r="H1882" s="2">
        <v>0.63164351851851852</v>
      </c>
      <c r="I1882" t="s">
        <v>18</v>
      </c>
      <c r="J1882" t="s">
        <v>26</v>
      </c>
      <c r="K1882">
        <v>1</v>
      </c>
      <c r="L1882">
        <v>55</v>
      </c>
      <c r="M1882">
        <v>55</v>
      </c>
      <c r="N1882">
        <f>IF(COUNTIFS($B$2:B1882,B1882)=1,1,0)</f>
        <v>1</v>
      </c>
    </row>
    <row r="1883" spans="1:14" x14ac:dyDescent="0.2">
      <c r="A1883">
        <v>1882</v>
      </c>
      <c r="B1883">
        <v>1944</v>
      </c>
      <c r="C1883">
        <f>1/COUNTIF(B:B,Table1[[#This Row],[order_id]])</f>
        <v>0.33333333333333331</v>
      </c>
      <c r="D1883" t="str">
        <f>TEXT(Table1[[#This Row],[order_date]],"mmmm")</f>
        <v>May</v>
      </c>
      <c r="E1883" s="1">
        <v>45440</v>
      </c>
      <c r="F1883" s="1" t="str">
        <f>TEXT(Table1[[#This Row],[order_date]],"dddd")</f>
        <v>Tuesday</v>
      </c>
      <c r="G1883">
        <f>HOUR(Table1[[#This Row],[order_time]])</f>
        <v>19</v>
      </c>
      <c r="H1883" s="2">
        <v>0.7930787037037037</v>
      </c>
      <c r="I1883" t="s">
        <v>11</v>
      </c>
      <c r="J1883" t="s">
        <v>12</v>
      </c>
      <c r="K1883">
        <v>1</v>
      </c>
      <c r="L1883">
        <v>650</v>
      </c>
      <c r="M1883">
        <v>650</v>
      </c>
      <c r="N1883">
        <f>IF(COUNTIFS($B$2:B1883,B1883)=1,1,0)</f>
        <v>1</v>
      </c>
    </row>
    <row r="1884" spans="1:14" x14ac:dyDescent="0.2">
      <c r="A1884">
        <v>1883</v>
      </c>
      <c r="B1884">
        <v>1944</v>
      </c>
      <c r="C1884">
        <f>1/COUNTIF(B:B,Table1[[#This Row],[order_id]])</f>
        <v>0.33333333333333331</v>
      </c>
      <c r="D1884" t="str">
        <f>TEXT(Table1[[#This Row],[order_date]],"mmmm")</f>
        <v>May</v>
      </c>
      <c r="E1884" s="1">
        <v>45440</v>
      </c>
      <c r="F1884" s="1" t="str">
        <f>TEXT(Table1[[#This Row],[order_date]],"dddd")</f>
        <v>Tuesday</v>
      </c>
      <c r="G1884">
        <f>HOUR(Table1[[#This Row],[order_time]])</f>
        <v>18</v>
      </c>
      <c r="H1884" s="2">
        <v>0.75143518518518515</v>
      </c>
      <c r="I1884" t="s">
        <v>16</v>
      </c>
      <c r="J1884" t="s">
        <v>28</v>
      </c>
      <c r="K1884">
        <v>3</v>
      </c>
      <c r="L1884">
        <v>25</v>
      </c>
      <c r="M1884">
        <v>75</v>
      </c>
      <c r="N1884">
        <f>IF(COUNTIFS($B$2:B1884,B1884)=1,1,0)</f>
        <v>0</v>
      </c>
    </row>
    <row r="1885" spans="1:14" x14ac:dyDescent="0.2">
      <c r="A1885">
        <v>1884</v>
      </c>
      <c r="B1885">
        <v>1944</v>
      </c>
      <c r="C1885">
        <f>1/COUNTIF(B:B,Table1[[#This Row],[order_id]])</f>
        <v>0.33333333333333331</v>
      </c>
      <c r="D1885" t="str">
        <f>TEXT(Table1[[#This Row],[order_date]],"mmmm")</f>
        <v>May</v>
      </c>
      <c r="E1885" s="1">
        <v>45440</v>
      </c>
      <c r="F1885" s="1" t="str">
        <f>TEXT(Table1[[#This Row],[order_date]],"dddd")</f>
        <v>Tuesday</v>
      </c>
      <c r="G1885">
        <f>HOUR(Table1[[#This Row],[order_time]])</f>
        <v>16</v>
      </c>
      <c r="H1885" s="2">
        <v>0.66783564814814811</v>
      </c>
      <c r="I1885" t="s">
        <v>18</v>
      </c>
      <c r="J1885" t="s">
        <v>19</v>
      </c>
      <c r="K1885">
        <v>3</v>
      </c>
      <c r="L1885">
        <v>50</v>
      </c>
      <c r="M1885">
        <v>150</v>
      </c>
      <c r="N1885">
        <f>IF(COUNTIFS($B$2:B1885,B1885)=1,1,0)</f>
        <v>0</v>
      </c>
    </row>
    <row r="1886" spans="1:14" x14ac:dyDescent="0.2">
      <c r="A1886">
        <v>1885</v>
      </c>
      <c r="B1886">
        <v>1945</v>
      </c>
      <c r="C1886">
        <f>1/COUNTIF(B:B,Table1[[#This Row],[order_id]])</f>
        <v>0.5</v>
      </c>
      <c r="D1886" t="str">
        <f>TEXT(Table1[[#This Row],[order_date]],"mmmm")</f>
        <v>May</v>
      </c>
      <c r="E1886" s="1">
        <v>45440</v>
      </c>
      <c r="F1886" s="1" t="str">
        <f>TEXT(Table1[[#This Row],[order_date]],"dddd")</f>
        <v>Tuesday</v>
      </c>
      <c r="G1886">
        <f>HOUR(Table1[[#This Row],[order_time]])</f>
        <v>17</v>
      </c>
      <c r="H1886" s="2">
        <v>0.71468750000000003</v>
      </c>
      <c r="I1886" t="s">
        <v>11</v>
      </c>
      <c r="J1886" t="s">
        <v>15</v>
      </c>
      <c r="K1886">
        <v>3</v>
      </c>
      <c r="L1886">
        <v>600</v>
      </c>
      <c r="M1886">
        <v>1800</v>
      </c>
      <c r="N1886">
        <f>IF(COUNTIFS($B$2:B1886,B1886)=1,1,0)</f>
        <v>1</v>
      </c>
    </row>
    <row r="1887" spans="1:14" x14ac:dyDescent="0.2">
      <c r="A1887">
        <v>1886</v>
      </c>
      <c r="B1887">
        <v>1945</v>
      </c>
      <c r="C1887">
        <f>1/COUNTIF(B:B,Table1[[#This Row],[order_id]])</f>
        <v>0.5</v>
      </c>
      <c r="D1887" t="str">
        <f>TEXT(Table1[[#This Row],[order_date]],"mmmm")</f>
        <v>May</v>
      </c>
      <c r="E1887" s="1">
        <v>45440</v>
      </c>
      <c r="F1887" s="1" t="str">
        <f>TEXT(Table1[[#This Row],[order_date]],"dddd")</f>
        <v>Tuesday</v>
      </c>
      <c r="G1887">
        <f>HOUR(Table1[[#This Row],[order_time]])</f>
        <v>11</v>
      </c>
      <c r="H1887" s="2">
        <v>0.49746527777777777</v>
      </c>
      <c r="I1887" t="s">
        <v>11</v>
      </c>
      <c r="J1887" t="s">
        <v>12</v>
      </c>
      <c r="K1887">
        <v>1</v>
      </c>
      <c r="L1887">
        <v>650</v>
      </c>
      <c r="M1887">
        <v>650</v>
      </c>
      <c r="N1887">
        <f>IF(COUNTIFS($B$2:B1887,B1887)=1,1,0)</f>
        <v>0</v>
      </c>
    </row>
    <row r="1888" spans="1:14" x14ac:dyDescent="0.2">
      <c r="A1888">
        <v>1887</v>
      </c>
      <c r="B1888">
        <v>1946</v>
      </c>
      <c r="C1888">
        <f>1/COUNTIF(B:B,Table1[[#This Row],[order_id]])</f>
        <v>0.33333333333333331</v>
      </c>
      <c r="D1888" t="str">
        <f>TEXT(Table1[[#This Row],[order_date]],"mmmm")</f>
        <v>May</v>
      </c>
      <c r="E1888" s="1">
        <v>45440</v>
      </c>
      <c r="F1888" s="1" t="str">
        <f>TEXT(Table1[[#This Row],[order_date]],"dddd")</f>
        <v>Tuesday</v>
      </c>
      <c r="G1888">
        <f>HOUR(Table1[[#This Row],[order_time]])</f>
        <v>17</v>
      </c>
      <c r="H1888" s="2">
        <v>0.72495370370370371</v>
      </c>
      <c r="I1888" t="s">
        <v>11</v>
      </c>
      <c r="J1888" t="s">
        <v>25</v>
      </c>
      <c r="K1888">
        <v>5</v>
      </c>
      <c r="L1888">
        <v>1000</v>
      </c>
      <c r="M1888">
        <v>5000</v>
      </c>
      <c r="N1888">
        <f>IF(COUNTIFS($B$2:B1888,B1888)=1,1,0)</f>
        <v>1</v>
      </c>
    </row>
    <row r="1889" spans="1:14" x14ac:dyDescent="0.2">
      <c r="A1889">
        <v>1888</v>
      </c>
      <c r="B1889">
        <v>1946</v>
      </c>
      <c r="C1889">
        <f>1/COUNTIF(B:B,Table1[[#This Row],[order_id]])</f>
        <v>0.33333333333333331</v>
      </c>
      <c r="D1889" t="str">
        <f>TEXT(Table1[[#This Row],[order_date]],"mmmm")</f>
        <v>May</v>
      </c>
      <c r="E1889" s="1">
        <v>45440</v>
      </c>
      <c r="F1889" s="1" t="str">
        <f>TEXT(Table1[[#This Row],[order_date]],"dddd")</f>
        <v>Tuesday</v>
      </c>
      <c r="G1889">
        <f>HOUR(Table1[[#This Row],[order_time]])</f>
        <v>18</v>
      </c>
      <c r="H1889" s="2">
        <v>0.78766203703703708</v>
      </c>
      <c r="I1889" t="s">
        <v>11</v>
      </c>
      <c r="J1889" t="s">
        <v>13</v>
      </c>
      <c r="K1889">
        <v>2</v>
      </c>
      <c r="L1889">
        <v>680</v>
      </c>
      <c r="M1889">
        <v>1360</v>
      </c>
      <c r="N1889">
        <f>IF(COUNTIFS($B$2:B1889,B1889)=1,1,0)</f>
        <v>0</v>
      </c>
    </row>
    <row r="1890" spans="1:14" x14ac:dyDescent="0.2">
      <c r="A1890">
        <v>1889</v>
      </c>
      <c r="B1890">
        <v>1946</v>
      </c>
      <c r="C1890">
        <f>1/COUNTIF(B:B,Table1[[#This Row],[order_id]])</f>
        <v>0.33333333333333331</v>
      </c>
      <c r="D1890" t="str">
        <f>TEXT(Table1[[#This Row],[order_date]],"mmmm")</f>
        <v>May</v>
      </c>
      <c r="E1890" s="1">
        <v>45440</v>
      </c>
      <c r="F1890" s="1" t="str">
        <f>TEXT(Table1[[#This Row],[order_date]],"dddd")</f>
        <v>Tuesday</v>
      </c>
      <c r="G1890">
        <f>HOUR(Table1[[#This Row],[order_time]])</f>
        <v>19</v>
      </c>
      <c r="H1890" s="2">
        <v>0.80902777777777779</v>
      </c>
      <c r="I1890" t="s">
        <v>16</v>
      </c>
      <c r="J1890" t="s">
        <v>17</v>
      </c>
      <c r="K1890">
        <v>2</v>
      </c>
      <c r="L1890">
        <v>20</v>
      </c>
      <c r="M1890">
        <v>40</v>
      </c>
      <c r="N1890">
        <f>IF(COUNTIFS($B$2:B1890,B1890)=1,1,0)</f>
        <v>0</v>
      </c>
    </row>
    <row r="1891" spans="1:14" x14ac:dyDescent="0.2">
      <c r="A1891">
        <v>1890</v>
      </c>
      <c r="B1891">
        <v>1947</v>
      </c>
      <c r="C1891">
        <f>1/COUNTIF(B:B,Table1[[#This Row],[order_id]])</f>
        <v>0.33333333333333331</v>
      </c>
      <c r="D1891" t="str">
        <f>TEXT(Table1[[#This Row],[order_date]],"mmmm")</f>
        <v>May</v>
      </c>
      <c r="E1891" s="1">
        <v>45440</v>
      </c>
      <c r="F1891" s="1" t="str">
        <f>TEXT(Table1[[#This Row],[order_date]],"dddd")</f>
        <v>Tuesday</v>
      </c>
      <c r="G1891">
        <f>HOUR(Table1[[#This Row],[order_time]])</f>
        <v>11</v>
      </c>
      <c r="H1891" s="2">
        <v>0.48778935185185185</v>
      </c>
      <c r="I1891" t="s">
        <v>11</v>
      </c>
      <c r="J1891" t="s">
        <v>14</v>
      </c>
      <c r="K1891">
        <v>1</v>
      </c>
      <c r="L1891">
        <v>700</v>
      </c>
      <c r="M1891">
        <v>700</v>
      </c>
      <c r="N1891">
        <f>IF(COUNTIFS($B$2:B1891,B1891)=1,1,0)</f>
        <v>1</v>
      </c>
    </row>
    <row r="1892" spans="1:14" x14ac:dyDescent="0.2">
      <c r="A1892">
        <v>1891</v>
      </c>
      <c r="B1892">
        <v>1947</v>
      </c>
      <c r="C1892">
        <f>1/COUNTIF(B:B,Table1[[#This Row],[order_id]])</f>
        <v>0.33333333333333331</v>
      </c>
      <c r="D1892" t="str">
        <f>TEXT(Table1[[#This Row],[order_date]],"mmmm")</f>
        <v>May</v>
      </c>
      <c r="E1892" s="1">
        <v>45440</v>
      </c>
      <c r="F1892" s="1" t="str">
        <f>TEXT(Table1[[#This Row],[order_date]],"dddd")</f>
        <v>Tuesday</v>
      </c>
      <c r="G1892">
        <f>HOUR(Table1[[#This Row],[order_time]])</f>
        <v>18</v>
      </c>
      <c r="H1892" s="2">
        <v>0.75505787037037042</v>
      </c>
      <c r="I1892" t="s">
        <v>18</v>
      </c>
      <c r="J1892" t="s">
        <v>30</v>
      </c>
      <c r="K1892">
        <v>5</v>
      </c>
      <c r="L1892">
        <v>60</v>
      </c>
      <c r="M1892">
        <v>300</v>
      </c>
      <c r="N1892">
        <f>IF(COUNTIFS($B$2:B1892,B1892)=1,1,0)</f>
        <v>0</v>
      </c>
    </row>
    <row r="1893" spans="1:14" x14ac:dyDescent="0.2">
      <c r="A1893">
        <v>1892</v>
      </c>
      <c r="B1893">
        <v>1947</v>
      </c>
      <c r="C1893">
        <f>1/COUNTIF(B:B,Table1[[#This Row],[order_id]])</f>
        <v>0.33333333333333331</v>
      </c>
      <c r="D1893" t="str">
        <f>TEXT(Table1[[#This Row],[order_date]],"mmmm")</f>
        <v>May</v>
      </c>
      <c r="E1893" s="1">
        <v>45440</v>
      </c>
      <c r="F1893" s="1" t="str">
        <f>TEXT(Table1[[#This Row],[order_date]],"dddd")</f>
        <v>Tuesday</v>
      </c>
      <c r="G1893">
        <f>HOUR(Table1[[#This Row],[order_time]])</f>
        <v>18</v>
      </c>
      <c r="H1893" s="2">
        <v>0.78637731481481477</v>
      </c>
      <c r="I1893" t="s">
        <v>18</v>
      </c>
      <c r="J1893" t="s">
        <v>30</v>
      </c>
      <c r="K1893">
        <v>2</v>
      </c>
      <c r="L1893">
        <v>60</v>
      </c>
      <c r="M1893">
        <v>120</v>
      </c>
      <c r="N1893">
        <f>IF(COUNTIFS($B$2:B1893,B1893)=1,1,0)</f>
        <v>0</v>
      </c>
    </row>
    <row r="1894" spans="1:14" x14ac:dyDescent="0.2">
      <c r="A1894">
        <v>1893</v>
      </c>
      <c r="B1894">
        <v>1948</v>
      </c>
      <c r="C1894">
        <f>1/COUNTIF(B:B,Table1[[#This Row],[order_id]])</f>
        <v>0.33333333333333331</v>
      </c>
      <c r="D1894" t="str">
        <f>TEXT(Table1[[#This Row],[order_date]],"mmmm")</f>
        <v>May</v>
      </c>
      <c r="E1894" s="1">
        <v>45440</v>
      </c>
      <c r="F1894" s="1" t="str">
        <f>TEXT(Table1[[#This Row],[order_date]],"dddd")</f>
        <v>Tuesday</v>
      </c>
      <c r="G1894">
        <f>HOUR(Table1[[#This Row],[order_time]])</f>
        <v>10</v>
      </c>
      <c r="H1894" s="2">
        <v>0.43692129629629628</v>
      </c>
      <c r="I1894" t="s">
        <v>11</v>
      </c>
      <c r="J1894" t="s">
        <v>13</v>
      </c>
      <c r="K1894">
        <v>5</v>
      </c>
      <c r="L1894">
        <v>680</v>
      </c>
      <c r="M1894">
        <v>3400</v>
      </c>
      <c r="N1894">
        <f>IF(COUNTIFS($B$2:B1894,B1894)=1,1,0)</f>
        <v>1</v>
      </c>
    </row>
    <row r="1895" spans="1:14" x14ac:dyDescent="0.2">
      <c r="A1895">
        <v>1894</v>
      </c>
      <c r="B1895">
        <v>1948</v>
      </c>
      <c r="C1895">
        <f>1/COUNTIF(B:B,Table1[[#This Row],[order_id]])</f>
        <v>0.33333333333333331</v>
      </c>
      <c r="D1895" t="str">
        <f>TEXT(Table1[[#This Row],[order_date]],"mmmm")</f>
        <v>May</v>
      </c>
      <c r="E1895" s="1">
        <v>45440</v>
      </c>
      <c r="F1895" s="1" t="str">
        <f>TEXT(Table1[[#This Row],[order_date]],"dddd")</f>
        <v>Tuesday</v>
      </c>
      <c r="G1895">
        <f>HOUR(Table1[[#This Row],[order_time]])</f>
        <v>12</v>
      </c>
      <c r="H1895" s="2">
        <v>0.51925925925925931</v>
      </c>
      <c r="I1895" t="s">
        <v>9</v>
      </c>
      <c r="J1895" t="s">
        <v>20</v>
      </c>
      <c r="K1895">
        <v>1</v>
      </c>
      <c r="L1895">
        <v>25</v>
      </c>
      <c r="M1895">
        <v>25</v>
      </c>
      <c r="N1895">
        <f>IF(COUNTIFS($B$2:B1895,B1895)=1,1,0)</f>
        <v>0</v>
      </c>
    </row>
    <row r="1896" spans="1:14" x14ac:dyDescent="0.2">
      <c r="A1896">
        <v>1895</v>
      </c>
      <c r="B1896">
        <v>1948</v>
      </c>
      <c r="C1896">
        <f>1/COUNTIF(B:B,Table1[[#This Row],[order_id]])</f>
        <v>0.33333333333333331</v>
      </c>
      <c r="D1896" t="str">
        <f>TEXT(Table1[[#This Row],[order_date]],"mmmm")</f>
        <v>May</v>
      </c>
      <c r="E1896" s="1">
        <v>45440</v>
      </c>
      <c r="F1896" s="1" t="str">
        <f>TEXT(Table1[[#This Row],[order_date]],"dddd")</f>
        <v>Tuesday</v>
      </c>
      <c r="G1896">
        <f>HOUR(Table1[[#This Row],[order_time]])</f>
        <v>12</v>
      </c>
      <c r="H1896" s="2">
        <v>0.51682870370370371</v>
      </c>
      <c r="I1896" t="s">
        <v>16</v>
      </c>
      <c r="J1896" t="s">
        <v>28</v>
      </c>
      <c r="K1896">
        <v>4</v>
      </c>
      <c r="L1896">
        <v>25</v>
      </c>
      <c r="M1896">
        <v>100</v>
      </c>
      <c r="N1896">
        <f>IF(COUNTIFS($B$2:B1896,B1896)=1,1,0)</f>
        <v>0</v>
      </c>
    </row>
    <row r="1897" spans="1:14" x14ac:dyDescent="0.2">
      <c r="A1897">
        <v>1896</v>
      </c>
      <c r="B1897">
        <v>1949</v>
      </c>
      <c r="C1897">
        <f>1/COUNTIF(B:B,Table1[[#This Row],[order_id]])</f>
        <v>1</v>
      </c>
      <c r="D1897" t="str">
        <f>TEXT(Table1[[#This Row],[order_date]],"mmmm")</f>
        <v>May</v>
      </c>
      <c r="E1897" s="1">
        <v>45440</v>
      </c>
      <c r="F1897" s="1" t="str">
        <f>TEXT(Table1[[#This Row],[order_date]],"dddd")</f>
        <v>Tuesday</v>
      </c>
      <c r="G1897">
        <f>HOUR(Table1[[#This Row],[order_time]])</f>
        <v>16</v>
      </c>
      <c r="H1897" s="2">
        <v>0.70729166666666665</v>
      </c>
      <c r="I1897" t="s">
        <v>9</v>
      </c>
      <c r="J1897" t="s">
        <v>10</v>
      </c>
      <c r="K1897">
        <v>2</v>
      </c>
      <c r="L1897">
        <v>20</v>
      </c>
      <c r="M1897">
        <v>40</v>
      </c>
      <c r="N1897">
        <f>IF(COUNTIFS($B$2:B1897,B1897)=1,1,0)</f>
        <v>1</v>
      </c>
    </row>
    <row r="1898" spans="1:14" x14ac:dyDescent="0.2">
      <c r="A1898">
        <v>1897</v>
      </c>
      <c r="B1898">
        <v>1950</v>
      </c>
      <c r="C1898">
        <f>1/COUNTIF(B:B,Table1[[#This Row],[order_id]])</f>
        <v>1</v>
      </c>
      <c r="D1898" t="str">
        <f>TEXT(Table1[[#This Row],[order_date]],"mmmm")</f>
        <v>May</v>
      </c>
      <c r="E1898" s="1">
        <v>45440</v>
      </c>
      <c r="F1898" s="1" t="str">
        <f>TEXT(Table1[[#This Row],[order_date]],"dddd")</f>
        <v>Tuesday</v>
      </c>
      <c r="G1898">
        <f>HOUR(Table1[[#This Row],[order_time]])</f>
        <v>10</v>
      </c>
      <c r="H1898" s="2">
        <v>0.42192129629629632</v>
      </c>
      <c r="I1898" t="s">
        <v>16</v>
      </c>
      <c r="J1898" t="s">
        <v>17</v>
      </c>
      <c r="K1898">
        <v>5</v>
      </c>
      <c r="L1898">
        <v>20</v>
      </c>
      <c r="M1898">
        <v>100</v>
      </c>
      <c r="N1898">
        <f>IF(COUNTIFS($B$2:B1898,B1898)=1,1,0)</f>
        <v>1</v>
      </c>
    </row>
    <row r="1899" spans="1:14" x14ac:dyDescent="0.2">
      <c r="A1899">
        <v>1898</v>
      </c>
      <c r="B1899">
        <v>1951</v>
      </c>
      <c r="C1899">
        <f>1/COUNTIF(B:B,Table1[[#This Row],[order_id]])</f>
        <v>0.5</v>
      </c>
      <c r="D1899" t="str">
        <f>TEXT(Table1[[#This Row],[order_date]],"mmmm")</f>
        <v>May</v>
      </c>
      <c r="E1899" s="1">
        <v>45440</v>
      </c>
      <c r="F1899" s="1" t="str">
        <f>TEXT(Table1[[#This Row],[order_date]],"dddd")</f>
        <v>Tuesday</v>
      </c>
      <c r="G1899">
        <f>HOUR(Table1[[#This Row],[order_time]])</f>
        <v>17</v>
      </c>
      <c r="H1899" s="2">
        <v>0.73465277777777782</v>
      </c>
      <c r="I1899" t="s">
        <v>11</v>
      </c>
      <c r="J1899" t="s">
        <v>25</v>
      </c>
      <c r="K1899">
        <v>4</v>
      </c>
      <c r="L1899">
        <v>1000</v>
      </c>
      <c r="M1899">
        <v>4000</v>
      </c>
      <c r="N1899">
        <f>IF(COUNTIFS($B$2:B1899,B1899)=1,1,0)</f>
        <v>1</v>
      </c>
    </row>
    <row r="1900" spans="1:14" x14ac:dyDescent="0.2">
      <c r="A1900">
        <v>1899</v>
      </c>
      <c r="B1900">
        <v>1951</v>
      </c>
      <c r="C1900">
        <f>1/COUNTIF(B:B,Table1[[#This Row],[order_id]])</f>
        <v>0.5</v>
      </c>
      <c r="D1900" t="str">
        <f>TEXT(Table1[[#This Row],[order_date]],"mmmm")</f>
        <v>May</v>
      </c>
      <c r="E1900" s="1">
        <v>45440</v>
      </c>
      <c r="F1900" s="1" t="str">
        <f>TEXT(Table1[[#This Row],[order_date]],"dddd")</f>
        <v>Tuesday</v>
      </c>
      <c r="G1900">
        <f>HOUR(Table1[[#This Row],[order_time]])</f>
        <v>18</v>
      </c>
      <c r="H1900" s="2">
        <v>0.75456018518518519</v>
      </c>
      <c r="I1900" t="s">
        <v>9</v>
      </c>
      <c r="J1900" t="s">
        <v>10</v>
      </c>
      <c r="K1900">
        <v>2</v>
      </c>
      <c r="L1900">
        <v>20</v>
      </c>
      <c r="M1900">
        <v>40</v>
      </c>
      <c r="N1900">
        <f>IF(COUNTIFS($B$2:B1900,B1900)=1,1,0)</f>
        <v>0</v>
      </c>
    </row>
    <row r="1901" spans="1:14" x14ac:dyDescent="0.2">
      <c r="A1901">
        <v>1900</v>
      </c>
      <c r="B1901">
        <v>1952</v>
      </c>
      <c r="C1901">
        <f>1/COUNTIF(B:B,Table1[[#This Row],[order_id]])</f>
        <v>0.5</v>
      </c>
      <c r="D1901" t="str">
        <f>TEXT(Table1[[#This Row],[order_date]],"mmmm")</f>
        <v>May</v>
      </c>
      <c r="E1901" s="1">
        <v>45440</v>
      </c>
      <c r="F1901" s="1" t="str">
        <f>TEXT(Table1[[#This Row],[order_date]],"dddd")</f>
        <v>Tuesday</v>
      </c>
      <c r="G1901">
        <f>HOUR(Table1[[#This Row],[order_time]])</f>
        <v>9</v>
      </c>
      <c r="H1901" s="2">
        <v>0.37770833333333331</v>
      </c>
      <c r="I1901" t="s">
        <v>11</v>
      </c>
      <c r="J1901" t="s">
        <v>15</v>
      </c>
      <c r="K1901">
        <v>5</v>
      </c>
      <c r="L1901">
        <v>600</v>
      </c>
      <c r="M1901">
        <v>3000</v>
      </c>
      <c r="N1901">
        <f>IF(COUNTIFS($B$2:B1901,B1901)=1,1,0)</f>
        <v>1</v>
      </c>
    </row>
    <row r="1902" spans="1:14" x14ac:dyDescent="0.2">
      <c r="A1902">
        <v>1901</v>
      </c>
      <c r="B1902">
        <v>1952</v>
      </c>
      <c r="C1902">
        <f>1/COUNTIF(B:B,Table1[[#This Row],[order_id]])</f>
        <v>0.5</v>
      </c>
      <c r="D1902" t="str">
        <f>TEXT(Table1[[#This Row],[order_date]],"mmmm")</f>
        <v>May</v>
      </c>
      <c r="E1902" s="1">
        <v>45440</v>
      </c>
      <c r="F1902" s="1" t="str">
        <f>TEXT(Table1[[#This Row],[order_date]],"dddd")</f>
        <v>Tuesday</v>
      </c>
      <c r="G1902">
        <f>HOUR(Table1[[#This Row],[order_time]])</f>
        <v>17</v>
      </c>
      <c r="H1902" s="2">
        <v>0.72884259259259254</v>
      </c>
      <c r="I1902" t="s">
        <v>18</v>
      </c>
      <c r="J1902" t="s">
        <v>30</v>
      </c>
      <c r="K1902">
        <v>3</v>
      </c>
      <c r="L1902">
        <v>60</v>
      </c>
      <c r="M1902">
        <v>180</v>
      </c>
      <c r="N1902">
        <f>IF(COUNTIFS($B$2:B1902,B1902)=1,1,0)</f>
        <v>0</v>
      </c>
    </row>
    <row r="1903" spans="1:14" x14ac:dyDescent="0.2">
      <c r="A1903">
        <v>1902</v>
      </c>
      <c r="B1903">
        <v>1953</v>
      </c>
      <c r="C1903">
        <f>1/COUNTIF(B:B,Table1[[#This Row],[order_id]])</f>
        <v>0.5</v>
      </c>
      <c r="D1903" t="str">
        <f>TEXT(Table1[[#This Row],[order_date]],"mmmm")</f>
        <v>May</v>
      </c>
      <c r="E1903" s="1">
        <v>45441</v>
      </c>
      <c r="F1903" s="1" t="str">
        <f>TEXT(Table1[[#This Row],[order_date]],"dddd")</f>
        <v>Wednesday</v>
      </c>
      <c r="G1903">
        <f>HOUR(Table1[[#This Row],[order_time]])</f>
        <v>12</v>
      </c>
      <c r="H1903" s="2">
        <v>0.50082175925925931</v>
      </c>
      <c r="I1903" t="s">
        <v>16</v>
      </c>
      <c r="J1903" t="s">
        <v>28</v>
      </c>
      <c r="K1903">
        <v>1</v>
      </c>
      <c r="L1903">
        <v>25</v>
      </c>
      <c r="M1903">
        <v>25</v>
      </c>
      <c r="N1903">
        <f>IF(COUNTIFS($B$2:B1903,B1903)=1,1,0)</f>
        <v>1</v>
      </c>
    </row>
    <row r="1904" spans="1:14" x14ac:dyDescent="0.2">
      <c r="A1904">
        <v>1903</v>
      </c>
      <c r="B1904">
        <v>1953</v>
      </c>
      <c r="C1904">
        <f>1/COUNTIF(B:B,Table1[[#This Row],[order_id]])</f>
        <v>0.5</v>
      </c>
      <c r="D1904" t="str">
        <f>TEXT(Table1[[#This Row],[order_date]],"mmmm")</f>
        <v>May</v>
      </c>
      <c r="E1904" s="1">
        <v>45441</v>
      </c>
      <c r="F1904" s="1" t="str">
        <f>TEXT(Table1[[#This Row],[order_date]],"dddd")</f>
        <v>Wednesday</v>
      </c>
      <c r="G1904">
        <f>HOUR(Table1[[#This Row],[order_time]])</f>
        <v>16</v>
      </c>
      <c r="H1904" s="2">
        <v>0.7006134259259259</v>
      </c>
      <c r="I1904" t="s">
        <v>18</v>
      </c>
      <c r="J1904" t="s">
        <v>26</v>
      </c>
      <c r="K1904">
        <v>2</v>
      </c>
      <c r="L1904">
        <v>55</v>
      </c>
      <c r="M1904">
        <v>110</v>
      </c>
      <c r="N1904">
        <f>IF(COUNTIFS($B$2:B1904,B1904)=1,1,0)</f>
        <v>0</v>
      </c>
    </row>
    <row r="1905" spans="1:14" x14ac:dyDescent="0.2">
      <c r="A1905">
        <v>1904</v>
      </c>
      <c r="B1905">
        <v>1954</v>
      </c>
      <c r="C1905">
        <f>1/COUNTIF(B:B,Table1[[#This Row],[order_id]])</f>
        <v>1</v>
      </c>
      <c r="D1905" t="str">
        <f>TEXT(Table1[[#This Row],[order_date]],"mmmm")</f>
        <v>May</v>
      </c>
      <c r="E1905" s="1">
        <v>45441</v>
      </c>
      <c r="F1905" s="1" t="str">
        <f>TEXT(Table1[[#This Row],[order_date]],"dddd")</f>
        <v>Wednesday</v>
      </c>
      <c r="G1905">
        <f>HOUR(Table1[[#This Row],[order_time]])</f>
        <v>14</v>
      </c>
      <c r="H1905" s="2">
        <v>0.61127314814814815</v>
      </c>
      <c r="I1905" t="s">
        <v>11</v>
      </c>
      <c r="J1905" t="s">
        <v>14</v>
      </c>
      <c r="K1905">
        <v>1</v>
      </c>
      <c r="L1905">
        <v>700</v>
      </c>
      <c r="M1905">
        <v>700</v>
      </c>
      <c r="N1905">
        <f>IF(COUNTIFS($B$2:B1905,B1905)=1,1,0)</f>
        <v>1</v>
      </c>
    </row>
    <row r="1906" spans="1:14" x14ac:dyDescent="0.2">
      <c r="A1906">
        <v>1905</v>
      </c>
      <c r="B1906">
        <v>1955</v>
      </c>
      <c r="C1906">
        <f>1/COUNTIF(B:B,Table1[[#This Row],[order_id]])</f>
        <v>1</v>
      </c>
      <c r="D1906" t="str">
        <f>TEXT(Table1[[#This Row],[order_date]],"mmmm")</f>
        <v>May</v>
      </c>
      <c r="E1906" s="1">
        <v>45441</v>
      </c>
      <c r="F1906" s="1" t="str">
        <f>TEXT(Table1[[#This Row],[order_date]],"dddd")</f>
        <v>Wednesday</v>
      </c>
      <c r="G1906">
        <f>HOUR(Table1[[#This Row],[order_time]])</f>
        <v>15</v>
      </c>
      <c r="H1906" s="2">
        <v>0.63738425925925923</v>
      </c>
      <c r="I1906" t="s">
        <v>11</v>
      </c>
      <c r="J1906" t="s">
        <v>15</v>
      </c>
      <c r="K1906">
        <v>1</v>
      </c>
      <c r="L1906">
        <v>600</v>
      </c>
      <c r="M1906">
        <v>600</v>
      </c>
      <c r="N1906">
        <f>IF(COUNTIFS($B$2:B1906,B1906)=1,1,0)</f>
        <v>1</v>
      </c>
    </row>
    <row r="1907" spans="1:14" x14ac:dyDescent="0.2">
      <c r="A1907">
        <v>1906</v>
      </c>
      <c r="B1907">
        <v>1956</v>
      </c>
      <c r="C1907">
        <f>1/COUNTIF(B:B,Table1[[#This Row],[order_id]])</f>
        <v>0.33333333333333331</v>
      </c>
      <c r="D1907" t="str">
        <f>TEXT(Table1[[#This Row],[order_date]],"mmmm")</f>
        <v>May</v>
      </c>
      <c r="E1907" s="1">
        <v>45441</v>
      </c>
      <c r="F1907" s="1" t="str">
        <f>TEXT(Table1[[#This Row],[order_date]],"dddd")</f>
        <v>Wednesday</v>
      </c>
      <c r="G1907">
        <f>HOUR(Table1[[#This Row],[order_time]])</f>
        <v>20</v>
      </c>
      <c r="H1907" s="2">
        <v>0.85207175925925926</v>
      </c>
      <c r="I1907" t="s">
        <v>16</v>
      </c>
      <c r="J1907" t="s">
        <v>17</v>
      </c>
      <c r="K1907">
        <v>1</v>
      </c>
      <c r="L1907">
        <v>20</v>
      </c>
      <c r="M1907">
        <v>20</v>
      </c>
      <c r="N1907">
        <f>IF(COUNTIFS($B$2:B1907,B1907)=1,1,0)</f>
        <v>1</v>
      </c>
    </row>
    <row r="1908" spans="1:14" x14ac:dyDescent="0.2">
      <c r="A1908">
        <v>1907</v>
      </c>
      <c r="B1908">
        <v>1956</v>
      </c>
      <c r="C1908">
        <f>1/COUNTIF(B:B,Table1[[#This Row],[order_id]])</f>
        <v>0.33333333333333331</v>
      </c>
      <c r="D1908" t="str">
        <f>TEXT(Table1[[#This Row],[order_date]],"mmmm")</f>
        <v>May</v>
      </c>
      <c r="E1908" s="1">
        <v>45441</v>
      </c>
      <c r="F1908" s="1" t="str">
        <f>TEXT(Table1[[#This Row],[order_date]],"dddd")</f>
        <v>Wednesday</v>
      </c>
      <c r="G1908">
        <f>HOUR(Table1[[#This Row],[order_time]])</f>
        <v>12</v>
      </c>
      <c r="H1908" s="2">
        <v>0.52157407407407408</v>
      </c>
      <c r="I1908" t="s">
        <v>9</v>
      </c>
      <c r="J1908" t="s">
        <v>21</v>
      </c>
      <c r="K1908">
        <v>2</v>
      </c>
      <c r="L1908">
        <v>10</v>
      </c>
      <c r="M1908">
        <v>20</v>
      </c>
      <c r="N1908">
        <f>IF(COUNTIFS($B$2:B1908,B1908)=1,1,0)</f>
        <v>0</v>
      </c>
    </row>
    <row r="1909" spans="1:14" x14ac:dyDescent="0.2">
      <c r="A1909">
        <v>1908</v>
      </c>
      <c r="B1909">
        <v>1956</v>
      </c>
      <c r="C1909">
        <f>1/COUNTIF(B:B,Table1[[#This Row],[order_id]])</f>
        <v>0.33333333333333331</v>
      </c>
      <c r="D1909" t="str">
        <f>TEXT(Table1[[#This Row],[order_date]],"mmmm")</f>
        <v>May</v>
      </c>
      <c r="E1909" s="1">
        <v>45441</v>
      </c>
      <c r="F1909" s="1" t="str">
        <f>TEXT(Table1[[#This Row],[order_date]],"dddd")</f>
        <v>Wednesday</v>
      </c>
      <c r="G1909">
        <f>HOUR(Table1[[#This Row],[order_time]])</f>
        <v>14</v>
      </c>
      <c r="H1909" s="2">
        <v>0.58612268518518518</v>
      </c>
      <c r="I1909" t="s">
        <v>16</v>
      </c>
      <c r="J1909" t="s">
        <v>17</v>
      </c>
      <c r="K1909">
        <v>5</v>
      </c>
      <c r="L1909">
        <v>20</v>
      </c>
      <c r="M1909">
        <v>100</v>
      </c>
      <c r="N1909">
        <f>IF(COUNTIFS($B$2:B1909,B1909)=1,1,0)</f>
        <v>0</v>
      </c>
    </row>
    <row r="1910" spans="1:14" x14ac:dyDescent="0.2">
      <c r="A1910">
        <v>1909</v>
      </c>
      <c r="B1910">
        <v>1957</v>
      </c>
      <c r="C1910">
        <f>1/COUNTIF(B:B,Table1[[#This Row],[order_id]])</f>
        <v>1</v>
      </c>
      <c r="D1910" t="str">
        <f>TEXT(Table1[[#This Row],[order_date]],"mmmm")</f>
        <v>May</v>
      </c>
      <c r="E1910" s="1">
        <v>45441</v>
      </c>
      <c r="F1910" s="1" t="str">
        <f>TEXT(Table1[[#This Row],[order_date]],"dddd")</f>
        <v>Wednesday</v>
      </c>
      <c r="G1910">
        <f>HOUR(Table1[[#This Row],[order_time]])</f>
        <v>14</v>
      </c>
      <c r="H1910" s="2">
        <v>0.59483796296296299</v>
      </c>
      <c r="I1910" t="s">
        <v>9</v>
      </c>
      <c r="J1910" t="s">
        <v>10</v>
      </c>
      <c r="K1910">
        <v>4</v>
      </c>
      <c r="L1910">
        <v>20</v>
      </c>
      <c r="M1910">
        <v>80</v>
      </c>
      <c r="N1910">
        <f>IF(COUNTIFS($B$2:B1910,B1910)=1,1,0)</f>
        <v>1</v>
      </c>
    </row>
    <row r="1911" spans="1:14" x14ac:dyDescent="0.2">
      <c r="A1911">
        <v>1910</v>
      </c>
      <c r="B1911">
        <v>1958</v>
      </c>
      <c r="C1911">
        <f>1/COUNTIF(B:B,Table1[[#This Row],[order_id]])</f>
        <v>0.33333333333333331</v>
      </c>
      <c r="D1911" t="str">
        <f>TEXT(Table1[[#This Row],[order_date]],"mmmm")</f>
        <v>May</v>
      </c>
      <c r="E1911" s="1">
        <v>45442</v>
      </c>
      <c r="F1911" s="1" t="str">
        <f>TEXT(Table1[[#This Row],[order_date]],"dddd")</f>
        <v>Thursday</v>
      </c>
      <c r="G1911">
        <f>HOUR(Table1[[#This Row],[order_time]])</f>
        <v>9</v>
      </c>
      <c r="H1911" s="2">
        <v>0.41031250000000002</v>
      </c>
      <c r="I1911" t="s">
        <v>18</v>
      </c>
      <c r="J1911" t="s">
        <v>19</v>
      </c>
      <c r="K1911">
        <v>2</v>
      </c>
      <c r="L1911">
        <v>50</v>
      </c>
      <c r="M1911">
        <v>100</v>
      </c>
      <c r="N1911">
        <f>IF(COUNTIFS($B$2:B1911,B1911)=1,1,0)</f>
        <v>1</v>
      </c>
    </row>
    <row r="1912" spans="1:14" x14ac:dyDescent="0.2">
      <c r="A1912">
        <v>1911</v>
      </c>
      <c r="B1912">
        <v>1958</v>
      </c>
      <c r="C1912">
        <f>1/COUNTIF(B:B,Table1[[#This Row],[order_id]])</f>
        <v>0.33333333333333331</v>
      </c>
      <c r="D1912" t="str">
        <f>TEXT(Table1[[#This Row],[order_date]],"mmmm")</f>
        <v>May</v>
      </c>
      <c r="E1912" s="1">
        <v>45442</v>
      </c>
      <c r="F1912" s="1" t="str">
        <f>TEXT(Table1[[#This Row],[order_date]],"dddd")</f>
        <v>Thursday</v>
      </c>
      <c r="G1912">
        <f>HOUR(Table1[[#This Row],[order_time]])</f>
        <v>11</v>
      </c>
      <c r="H1912" s="2">
        <v>0.48842592592592593</v>
      </c>
      <c r="I1912" t="s">
        <v>16</v>
      </c>
      <c r="J1912" t="s">
        <v>23</v>
      </c>
      <c r="K1912">
        <v>3</v>
      </c>
      <c r="L1912">
        <v>30</v>
      </c>
      <c r="M1912">
        <v>90</v>
      </c>
      <c r="N1912">
        <f>IF(COUNTIFS($B$2:B1912,B1912)=1,1,0)</f>
        <v>0</v>
      </c>
    </row>
    <row r="1913" spans="1:14" x14ac:dyDescent="0.2">
      <c r="A1913">
        <v>1912</v>
      </c>
      <c r="B1913">
        <v>1958</v>
      </c>
      <c r="C1913">
        <f>1/COUNTIF(B:B,Table1[[#This Row],[order_id]])</f>
        <v>0.33333333333333331</v>
      </c>
      <c r="D1913" t="str">
        <f>TEXT(Table1[[#This Row],[order_date]],"mmmm")</f>
        <v>May</v>
      </c>
      <c r="E1913" s="1">
        <v>45442</v>
      </c>
      <c r="F1913" s="1" t="str">
        <f>TEXT(Table1[[#This Row],[order_date]],"dddd")</f>
        <v>Thursday</v>
      </c>
      <c r="G1913">
        <f>HOUR(Table1[[#This Row],[order_time]])</f>
        <v>10</v>
      </c>
      <c r="H1913" s="2">
        <v>0.43645833333333334</v>
      </c>
      <c r="I1913" t="s">
        <v>9</v>
      </c>
      <c r="J1913" t="s">
        <v>29</v>
      </c>
      <c r="K1913">
        <v>5</v>
      </c>
      <c r="L1913">
        <v>5</v>
      </c>
      <c r="M1913">
        <v>25</v>
      </c>
      <c r="N1913">
        <f>IF(COUNTIFS($B$2:B1913,B1913)=1,1,0)</f>
        <v>0</v>
      </c>
    </row>
    <row r="1914" spans="1:14" x14ac:dyDescent="0.2">
      <c r="A1914">
        <v>1913</v>
      </c>
      <c r="B1914">
        <v>1959</v>
      </c>
      <c r="C1914">
        <f>1/COUNTIF(B:B,Table1[[#This Row],[order_id]])</f>
        <v>0.33333333333333331</v>
      </c>
      <c r="D1914" t="str">
        <f>TEXT(Table1[[#This Row],[order_date]],"mmmm")</f>
        <v>May</v>
      </c>
      <c r="E1914" s="1">
        <v>45442</v>
      </c>
      <c r="F1914" s="1" t="str">
        <f>TEXT(Table1[[#This Row],[order_date]],"dddd")</f>
        <v>Thursday</v>
      </c>
      <c r="G1914">
        <f>HOUR(Table1[[#This Row],[order_time]])</f>
        <v>13</v>
      </c>
      <c r="H1914" s="2">
        <v>0.56226851851851856</v>
      </c>
      <c r="I1914" t="s">
        <v>16</v>
      </c>
      <c r="J1914" t="s">
        <v>17</v>
      </c>
      <c r="K1914">
        <v>1</v>
      </c>
      <c r="L1914">
        <v>20</v>
      </c>
      <c r="M1914">
        <v>20</v>
      </c>
      <c r="N1914">
        <f>IF(COUNTIFS($B$2:B1914,B1914)=1,1,0)</f>
        <v>1</v>
      </c>
    </row>
    <row r="1915" spans="1:14" x14ac:dyDescent="0.2">
      <c r="A1915">
        <v>1914</v>
      </c>
      <c r="B1915">
        <v>1959</v>
      </c>
      <c r="C1915">
        <f>1/COUNTIF(B:B,Table1[[#This Row],[order_id]])</f>
        <v>0.33333333333333331</v>
      </c>
      <c r="D1915" t="str">
        <f>TEXT(Table1[[#This Row],[order_date]],"mmmm")</f>
        <v>May</v>
      </c>
      <c r="E1915" s="1">
        <v>45442</v>
      </c>
      <c r="F1915" s="1" t="str">
        <f>TEXT(Table1[[#This Row],[order_date]],"dddd")</f>
        <v>Thursday</v>
      </c>
      <c r="G1915">
        <f>HOUR(Table1[[#This Row],[order_time]])</f>
        <v>11</v>
      </c>
      <c r="H1915" s="2">
        <v>0.46412037037037035</v>
      </c>
      <c r="I1915" t="s">
        <v>9</v>
      </c>
      <c r="J1915" t="s">
        <v>29</v>
      </c>
      <c r="K1915">
        <v>4</v>
      </c>
      <c r="L1915">
        <v>5</v>
      </c>
      <c r="M1915">
        <v>20</v>
      </c>
      <c r="N1915">
        <f>IF(COUNTIFS($B$2:B1915,B1915)=1,1,0)</f>
        <v>0</v>
      </c>
    </row>
    <row r="1916" spans="1:14" x14ac:dyDescent="0.2">
      <c r="A1916">
        <v>1915</v>
      </c>
      <c r="B1916">
        <v>1959</v>
      </c>
      <c r="C1916">
        <f>1/COUNTIF(B:B,Table1[[#This Row],[order_id]])</f>
        <v>0.33333333333333331</v>
      </c>
      <c r="D1916" t="str">
        <f>TEXT(Table1[[#This Row],[order_date]],"mmmm")</f>
        <v>May</v>
      </c>
      <c r="E1916" s="1">
        <v>45442</v>
      </c>
      <c r="F1916" s="1" t="str">
        <f>TEXT(Table1[[#This Row],[order_date]],"dddd")</f>
        <v>Thursday</v>
      </c>
      <c r="G1916">
        <f>HOUR(Table1[[#This Row],[order_time]])</f>
        <v>16</v>
      </c>
      <c r="H1916" s="2">
        <v>0.68170138888888887</v>
      </c>
      <c r="I1916" t="s">
        <v>9</v>
      </c>
      <c r="J1916" t="s">
        <v>29</v>
      </c>
      <c r="K1916">
        <v>4</v>
      </c>
      <c r="L1916">
        <v>5</v>
      </c>
      <c r="M1916">
        <v>20</v>
      </c>
      <c r="N1916">
        <f>IF(COUNTIFS($B$2:B1916,B1916)=1,1,0)</f>
        <v>0</v>
      </c>
    </row>
    <row r="1917" spans="1:14" x14ac:dyDescent="0.2">
      <c r="A1917">
        <v>1916</v>
      </c>
      <c r="B1917">
        <v>1960</v>
      </c>
      <c r="C1917">
        <f>1/COUNTIF(B:B,Table1[[#This Row],[order_id]])</f>
        <v>1</v>
      </c>
      <c r="D1917" t="str">
        <f>TEXT(Table1[[#This Row],[order_date]],"mmmm")</f>
        <v>May</v>
      </c>
      <c r="E1917" s="1">
        <v>45442</v>
      </c>
      <c r="F1917" s="1" t="str">
        <f>TEXT(Table1[[#This Row],[order_date]],"dddd")</f>
        <v>Thursday</v>
      </c>
      <c r="G1917">
        <f>HOUR(Table1[[#This Row],[order_time]])</f>
        <v>19</v>
      </c>
      <c r="H1917" s="2">
        <v>0.81738425925925928</v>
      </c>
      <c r="I1917" t="s">
        <v>16</v>
      </c>
      <c r="J1917" t="s">
        <v>17</v>
      </c>
      <c r="K1917">
        <v>5</v>
      </c>
      <c r="L1917">
        <v>20</v>
      </c>
      <c r="M1917">
        <v>100</v>
      </c>
      <c r="N1917">
        <f>IF(COUNTIFS($B$2:B1917,B1917)=1,1,0)</f>
        <v>1</v>
      </c>
    </row>
    <row r="1918" spans="1:14" x14ac:dyDescent="0.2">
      <c r="A1918">
        <v>1917</v>
      </c>
      <c r="B1918">
        <v>1961</v>
      </c>
      <c r="C1918">
        <f>1/COUNTIF(B:B,Table1[[#This Row],[order_id]])</f>
        <v>0.33333333333333331</v>
      </c>
      <c r="D1918" t="str">
        <f>TEXT(Table1[[#This Row],[order_date]],"mmmm")</f>
        <v>May</v>
      </c>
      <c r="E1918" s="1">
        <v>45442</v>
      </c>
      <c r="F1918" s="1" t="str">
        <f>TEXT(Table1[[#This Row],[order_date]],"dddd")</f>
        <v>Thursday</v>
      </c>
      <c r="G1918">
        <f>HOUR(Table1[[#This Row],[order_time]])</f>
        <v>12</v>
      </c>
      <c r="H1918" s="2">
        <v>0.51870370370370367</v>
      </c>
      <c r="I1918" t="s">
        <v>18</v>
      </c>
      <c r="J1918" t="s">
        <v>19</v>
      </c>
      <c r="K1918">
        <v>5</v>
      </c>
      <c r="L1918">
        <v>50</v>
      </c>
      <c r="M1918">
        <v>250</v>
      </c>
      <c r="N1918">
        <f>IF(COUNTIFS($B$2:B1918,B1918)=1,1,0)</f>
        <v>1</v>
      </c>
    </row>
    <row r="1919" spans="1:14" x14ac:dyDescent="0.2">
      <c r="A1919">
        <v>1918</v>
      </c>
      <c r="B1919">
        <v>1961</v>
      </c>
      <c r="C1919">
        <f>1/COUNTIF(B:B,Table1[[#This Row],[order_id]])</f>
        <v>0.33333333333333331</v>
      </c>
      <c r="D1919" t="str">
        <f>TEXT(Table1[[#This Row],[order_date]],"mmmm")</f>
        <v>May</v>
      </c>
      <c r="E1919" s="1">
        <v>45442</v>
      </c>
      <c r="F1919" s="1" t="str">
        <f>TEXT(Table1[[#This Row],[order_date]],"dddd")</f>
        <v>Thursday</v>
      </c>
      <c r="G1919">
        <f>HOUR(Table1[[#This Row],[order_time]])</f>
        <v>16</v>
      </c>
      <c r="H1919" s="2">
        <v>0.66769675925925931</v>
      </c>
      <c r="I1919" t="s">
        <v>9</v>
      </c>
      <c r="J1919" t="s">
        <v>10</v>
      </c>
      <c r="K1919">
        <v>3</v>
      </c>
      <c r="L1919">
        <v>20</v>
      </c>
      <c r="M1919">
        <v>60</v>
      </c>
      <c r="N1919">
        <f>IF(COUNTIFS($B$2:B1919,B1919)=1,1,0)</f>
        <v>0</v>
      </c>
    </row>
    <row r="1920" spans="1:14" x14ac:dyDescent="0.2">
      <c r="A1920">
        <v>1919</v>
      </c>
      <c r="B1920">
        <v>1961</v>
      </c>
      <c r="C1920">
        <f>1/COUNTIF(B:B,Table1[[#This Row],[order_id]])</f>
        <v>0.33333333333333331</v>
      </c>
      <c r="D1920" t="str">
        <f>TEXT(Table1[[#This Row],[order_date]],"mmmm")</f>
        <v>May</v>
      </c>
      <c r="E1920" s="1">
        <v>45442</v>
      </c>
      <c r="F1920" s="1" t="str">
        <f>TEXT(Table1[[#This Row],[order_date]],"dddd")</f>
        <v>Thursday</v>
      </c>
      <c r="G1920">
        <f>HOUR(Table1[[#This Row],[order_time]])</f>
        <v>9</v>
      </c>
      <c r="H1920" s="2">
        <v>0.40719907407407407</v>
      </c>
      <c r="I1920" t="s">
        <v>9</v>
      </c>
      <c r="J1920" t="s">
        <v>20</v>
      </c>
      <c r="K1920">
        <v>4</v>
      </c>
      <c r="L1920">
        <v>25</v>
      </c>
      <c r="M1920">
        <v>100</v>
      </c>
      <c r="N1920">
        <f>IF(COUNTIFS($B$2:B1920,B1920)=1,1,0)</f>
        <v>0</v>
      </c>
    </row>
    <row r="1921" spans="1:14" x14ac:dyDescent="0.2">
      <c r="A1921">
        <v>1920</v>
      </c>
      <c r="B1921">
        <v>1962</v>
      </c>
      <c r="C1921">
        <f>1/COUNTIF(B:B,Table1[[#This Row],[order_id]])</f>
        <v>0.33333333333333331</v>
      </c>
      <c r="D1921" t="str">
        <f>TEXT(Table1[[#This Row],[order_date]],"mmmm")</f>
        <v>May</v>
      </c>
      <c r="E1921" s="1">
        <v>45443</v>
      </c>
      <c r="F1921" s="1" t="str">
        <f>TEXT(Table1[[#This Row],[order_date]],"dddd")</f>
        <v>Friday</v>
      </c>
      <c r="G1921">
        <f>HOUR(Table1[[#This Row],[order_time]])</f>
        <v>16</v>
      </c>
      <c r="H1921" s="2">
        <v>0.67611111111111111</v>
      </c>
      <c r="I1921" t="s">
        <v>16</v>
      </c>
      <c r="J1921" t="s">
        <v>17</v>
      </c>
      <c r="K1921">
        <v>2</v>
      </c>
      <c r="L1921">
        <v>20</v>
      </c>
      <c r="M1921">
        <v>40</v>
      </c>
      <c r="N1921">
        <f>IF(COUNTIFS($B$2:B1921,B1921)=1,1,0)</f>
        <v>1</v>
      </c>
    </row>
    <row r="1922" spans="1:14" x14ac:dyDescent="0.2">
      <c r="A1922">
        <v>1921</v>
      </c>
      <c r="B1922">
        <v>1962</v>
      </c>
      <c r="C1922">
        <f>1/COUNTIF(B:B,Table1[[#This Row],[order_id]])</f>
        <v>0.33333333333333331</v>
      </c>
      <c r="D1922" t="str">
        <f>TEXT(Table1[[#This Row],[order_date]],"mmmm")</f>
        <v>May</v>
      </c>
      <c r="E1922" s="1">
        <v>45443</v>
      </c>
      <c r="F1922" s="1" t="str">
        <f>TEXT(Table1[[#This Row],[order_date]],"dddd")</f>
        <v>Friday</v>
      </c>
      <c r="G1922">
        <f>HOUR(Table1[[#This Row],[order_time]])</f>
        <v>11</v>
      </c>
      <c r="H1922" s="2">
        <v>0.4909027777777778</v>
      </c>
      <c r="I1922" t="s">
        <v>18</v>
      </c>
      <c r="J1922" t="s">
        <v>26</v>
      </c>
      <c r="K1922">
        <v>1</v>
      </c>
      <c r="L1922">
        <v>55</v>
      </c>
      <c r="M1922">
        <v>55</v>
      </c>
      <c r="N1922">
        <f>IF(COUNTIFS($B$2:B1922,B1922)=1,1,0)</f>
        <v>0</v>
      </c>
    </row>
    <row r="1923" spans="1:14" x14ac:dyDescent="0.2">
      <c r="A1923">
        <v>1922</v>
      </c>
      <c r="B1923">
        <v>1962</v>
      </c>
      <c r="C1923">
        <f>1/COUNTIF(B:B,Table1[[#This Row],[order_id]])</f>
        <v>0.33333333333333331</v>
      </c>
      <c r="D1923" t="str">
        <f>TEXT(Table1[[#This Row],[order_date]],"mmmm")</f>
        <v>May</v>
      </c>
      <c r="E1923" s="1">
        <v>45443</v>
      </c>
      <c r="F1923" s="1" t="str">
        <f>TEXT(Table1[[#This Row],[order_date]],"dddd")</f>
        <v>Friday</v>
      </c>
      <c r="G1923">
        <f>HOUR(Table1[[#This Row],[order_time]])</f>
        <v>11</v>
      </c>
      <c r="H1923" s="2">
        <v>0.46456018518518516</v>
      </c>
      <c r="I1923" t="s">
        <v>11</v>
      </c>
      <c r="J1923" t="s">
        <v>25</v>
      </c>
      <c r="K1923">
        <v>5</v>
      </c>
      <c r="L1923">
        <v>1000</v>
      </c>
      <c r="M1923">
        <v>5000</v>
      </c>
      <c r="N1923">
        <f>IF(COUNTIFS($B$2:B1923,B1923)=1,1,0)</f>
        <v>0</v>
      </c>
    </row>
    <row r="1924" spans="1:14" x14ac:dyDescent="0.2">
      <c r="A1924">
        <v>1923</v>
      </c>
      <c r="B1924">
        <v>1963</v>
      </c>
      <c r="C1924">
        <f>1/COUNTIF(B:B,Table1[[#This Row],[order_id]])</f>
        <v>1</v>
      </c>
      <c r="D1924" t="str">
        <f>TEXT(Table1[[#This Row],[order_date]],"mmmm")</f>
        <v>May</v>
      </c>
      <c r="E1924" s="1">
        <v>45443</v>
      </c>
      <c r="F1924" s="1" t="str">
        <f>TEXT(Table1[[#This Row],[order_date]],"dddd")</f>
        <v>Friday</v>
      </c>
      <c r="G1924">
        <f>HOUR(Table1[[#This Row],[order_time]])</f>
        <v>15</v>
      </c>
      <c r="H1924" s="2">
        <v>0.6317476851851852</v>
      </c>
      <c r="I1924" t="s">
        <v>16</v>
      </c>
      <c r="J1924" t="s">
        <v>23</v>
      </c>
      <c r="K1924">
        <v>1</v>
      </c>
      <c r="L1924">
        <v>30</v>
      </c>
      <c r="M1924">
        <v>30</v>
      </c>
      <c r="N1924">
        <f>IF(COUNTIFS($B$2:B1924,B1924)=1,1,0)</f>
        <v>1</v>
      </c>
    </row>
    <row r="1925" spans="1:14" x14ac:dyDescent="0.2">
      <c r="A1925">
        <v>1924</v>
      </c>
      <c r="B1925">
        <v>1964</v>
      </c>
      <c r="C1925">
        <f>1/COUNTIF(B:B,Table1[[#This Row],[order_id]])</f>
        <v>0.5</v>
      </c>
      <c r="D1925" t="str">
        <f>TEXT(Table1[[#This Row],[order_date]],"mmmm")</f>
        <v>May</v>
      </c>
      <c r="E1925" s="1">
        <v>45443</v>
      </c>
      <c r="F1925" s="1" t="str">
        <f>TEXT(Table1[[#This Row],[order_date]],"dddd")</f>
        <v>Friday</v>
      </c>
      <c r="G1925">
        <f>HOUR(Table1[[#This Row],[order_time]])</f>
        <v>10</v>
      </c>
      <c r="H1925" s="2">
        <v>0.4344675925925926</v>
      </c>
      <c r="I1925" t="s">
        <v>11</v>
      </c>
      <c r="J1925" t="s">
        <v>14</v>
      </c>
      <c r="K1925">
        <v>3</v>
      </c>
      <c r="L1925">
        <v>700</v>
      </c>
      <c r="M1925">
        <v>2100</v>
      </c>
      <c r="N1925">
        <f>IF(COUNTIFS($B$2:B1925,B1925)=1,1,0)</f>
        <v>1</v>
      </c>
    </row>
    <row r="1926" spans="1:14" x14ac:dyDescent="0.2">
      <c r="A1926">
        <v>1925</v>
      </c>
      <c r="B1926">
        <v>1964</v>
      </c>
      <c r="C1926">
        <f>1/COUNTIF(B:B,Table1[[#This Row],[order_id]])</f>
        <v>0.5</v>
      </c>
      <c r="D1926" t="str">
        <f>TEXT(Table1[[#This Row],[order_date]],"mmmm")</f>
        <v>May</v>
      </c>
      <c r="E1926" s="1">
        <v>45443</v>
      </c>
      <c r="F1926" s="1" t="str">
        <f>TEXT(Table1[[#This Row],[order_date]],"dddd")</f>
        <v>Friday</v>
      </c>
      <c r="G1926">
        <f>HOUR(Table1[[#This Row],[order_time]])</f>
        <v>16</v>
      </c>
      <c r="H1926" s="2">
        <v>0.66684027777777777</v>
      </c>
      <c r="I1926" t="s">
        <v>16</v>
      </c>
      <c r="J1926" t="s">
        <v>23</v>
      </c>
      <c r="K1926">
        <v>2</v>
      </c>
      <c r="L1926">
        <v>30</v>
      </c>
      <c r="M1926">
        <v>60</v>
      </c>
      <c r="N1926">
        <f>IF(COUNTIFS($B$2:B1926,B1926)=1,1,0)</f>
        <v>0</v>
      </c>
    </row>
    <row r="1927" spans="1:14" x14ac:dyDescent="0.2">
      <c r="A1927">
        <v>1926</v>
      </c>
      <c r="B1927">
        <v>1965</v>
      </c>
      <c r="C1927">
        <f>1/COUNTIF(B:B,Table1[[#This Row],[order_id]])</f>
        <v>0.5</v>
      </c>
      <c r="D1927" t="str">
        <f>TEXT(Table1[[#This Row],[order_date]],"mmmm")</f>
        <v>May</v>
      </c>
      <c r="E1927" s="1">
        <v>45443</v>
      </c>
      <c r="F1927" s="1" t="str">
        <f>TEXT(Table1[[#This Row],[order_date]],"dddd")</f>
        <v>Friday</v>
      </c>
      <c r="G1927">
        <f>HOUR(Table1[[#This Row],[order_time]])</f>
        <v>18</v>
      </c>
      <c r="H1927" s="2">
        <v>0.77121527777777776</v>
      </c>
      <c r="I1927" t="s">
        <v>9</v>
      </c>
      <c r="J1927" t="s">
        <v>21</v>
      </c>
      <c r="K1927">
        <v>3</v>
      </c>
      <c r="L1927">
        <v>10</v>
      </c>
      <c r="M1927">
        <v>30</v>
      </c>
      <c r="N1927">
        <f>IF(COUNTIFS($B$2:B1927,B1927)=1,1,0)</f>
        <v>1</v>
      </c>
    </row>
    <row r="1928" spans="1:14" x14ac:dyDescent="0.2">
      <c r="A1928">
        <v>1927</v>
      </c>
      <c r="B1928">
        <v>1965</v>
      </c>
      <c r="C1928">
        <f>1/COUNTIF(B:B,Table1[[#This Row],[order_id]])</f>
        <v>0.5</v>
      </c>
      <c r="D1928" t="str">
        <f>TEXT(Table1[[#This Row],[order_date]],"mmmm")</f>
        <v>May</v>
      </c>
      <c r="E1928" s="1">
        <v>45443</v>
      </c>
      <c r="F1928" s="1" t="str">
        <f>TEXT(Table1[[#This Row],[order_date]],"dddd")</f>
        <v>Friday</v>
      </c>
      <c r="G1928">
        <f>HOUR(Table1[[#This Row],[order_time]])</f>
        <v>14</v>
      </c>
      <c r="H1928" s="2">
        <v>0.61460648148148145</v>
      </c>
      <c r="I1928" t="s">
        <v>11</v>
      </c>
      <c r="J1928" t="s">
        <v>12</v>
      </c>
      <c r="K1928">
        <v>1</v>
      </c>
      <c r="L1928">
        <v>650</v>
      </c>
      <c r="M1928">
        <v>650</v>
      </c>
      <c r="N1928">
        <f>IF(COUNTIFS($B$2:B1928,B1928)=1,1,0)</f>
        <v>0</v>
      </c>
    </row>
    <row r="1929" spans="1:14" x14ac:dyDescent="0.2">
      <c r="A1929">
        <v>1928</v>
      </c>
      <c r="B1929">
        <v>1966</v>
      </c>
      <c r="C1929">
        <f>1/COUNTIF(B:B,Table1[[#This Row],[order_id]])</f>
        <v>1</v>
      </c>
      <c r="D1929" t="str">
        <f>TEXT(Table1[[#This Row],[order_date]],"mmmm")</f>
        <v>May</v>
      </c>
      <c r="E1929" s="1">
        <v>45443</v>
      </c>
      <c r="F1929" s="1" t="str">
        <f>TEXT(Table1[[#This Row],[order_date]],"dddd")</f>
        <v>Friday</v>
      </c>
      <c r="G1929">
        <f>HOUR(Table1[[#This Row],[order_time]])</f>
        <v>18</v>
      </c>
      <c r="H1929" s="2">
        <v>0.76085648148148144</v>
      </c>
      <c r="I1929" t="s">
        <v>16</v>
      </c>
      <c r="J1929" t="s">
        <v>17</v>
      </c>
      <c r="K1929">
        <v>2</v>
      </c>
      <c r="L1929">
        <v>20</v>
      </c>
      <c r="M1929">
        <v>40</v>
      </c>
      <c r="N1929">
        <f>IF(COUNTIFS($B$2:B1929,B1929)=1,1,0)</f>
        <v>1</v>
      </c>
    </row>
    <row r="1930" spans="1:14" x14ac:dyDescent="0.2">
      <c r="A1930">
        <v>1929</v>
      </c>
      <c r="B1930">
        <v>1967</v>
      </c>
      <c r="C1930">
        <f>1/COUNTIF(B:B,Table1[[#This Row],[order_id]])</f>
        <v>0.33333333333333331</v>
      </c>
      <c r="D1930" t="str">
        <f>TEXT(Table1[[#This Row],[order_date]],"mmmm")</f>
        <v>May</v>
      </c>
      <c r="E1930" s="1">
        <v>45443</v>
      </c>
      <c r="F1930" s="1" t="str">
        <f>TEXT(Table1[[#This Row],[order_date]],"dddd")</f>
        <v>Friday</v>
      </c>
      <c r="G1930">
        <f>HOUR(Table1[[#This Row],[order_time]])</f>
        <v>19</v>
      </c>
      <c r="H1930" s="2">
        <v>0.82458333333333333</v>
      </c>
      <c r="I1930" t="s">
        <v>9</v>
      </c>
      <c r="J1930" t="s">
        <v>21</v>
      </c>
      <c r="K1930">
        <v>1</v>
      </c>
      <c r="L1930">
        <v>10</v>
      </c>
      <c r="M1930">
        <v>10</v>
      </c>
      <c r="N1930">
        <f>IF(COUNTIFS($B$2:B1930,B1930)=1,1,0)</f>
        <v>1</v>
      </c>
    </row>
    <row r="1931" spans="1:14" x14ac:dyDescent="0.2">
      <c r="A1931">
        <v>1930</v>
      </c>
      <c r="B1931">
        <v>1967</v>
      </c>
      <c r="C1931">
        <f>1/COUNTIF(B:B,Table1[[#This Row],[order_id]])</f>
        <v>0.33333333333333331</v>
      </c>
      <c r="D1931" t="str">
        <f>TEXT(Table1[[#This Row],[order_date]],"mmmm")</f>
        <v>May</v>
      </c>
      <c r="E1931" s="1">
        <v>45443</v>
      </c>
      <c r="F1931" s="1" t="str">
        <f>TEXT(Table1[[#This Row],[order_date]],"dddd")</f>
        <v>Friday</v>
      </c>
      <c r="G1931">
        <f>HOUR(Table1[[#This Row],[order_time]])</f>
        <v>18</v>
      </c>
      <c r="H1931" s="2">
        <v>0.76247685185185188</v>
      </c>
      <c r="I1931" t="s">
        <v>11</v>
      </c>
      <c r="J1931" t="s">
        <v>14</v>
      </c>
      <c r="K1931">
        <v>3</v>
      </c>
      <c r="L1931">
        <v>700</v>
      </c>
      <c r="M1931">
        <v>2100</v>
      </c>
      <c r="N1931">
        <f>IF(COUNTIFS($B$2:B1931,B1931)=1,1,0)</f>
        <v>0</v>
      </c>
    </row>
    <row r="1932" spans="1:14" x14ac:dyDescent="0.2">
      <c r="A1932">
        <v>1931</v>
      </c>
      <c r="B1932">
        <v>1967</v>
      </c>
      <c r="C1932">
        <f>1/COUNTIF(B:B,Table1[[#This Row],[order_id]])</f>
        <v>0.33333333333333331</v>
      </c>
      <c r="D1932" t="str">
        <f>TEXT(Table1[[#This Row],[order_date]],"mmmm")</f>
        <v>May</v>
      </c>
      <c r="E1932" s="1">
        <v>45443</v>
      </c>
      <c r="F1932" s="1" t="str">
        <f>TEXT(Table1[[#This Row],[order_date]],"dddd")</f>
        <v>Friday</v>
      </c>
      <c r="G1932">
        <f>HOUR(Table1[[#This Row],[order_time]])</f>
        <v>9</v>
      </c>
      <c r="H1932" s="2">
        <v>0.4004861111111111</v>
      </c>
      <c r="I1932" t="s">
        <v>9</v>
      </c>
      <c r="J1932" t="s">
        <v>20</v>
      </c>
      <c r="K1932">
        <v>2</v>
      </c>
      <c r="L1932">
        <v>25</v>
      </c>
      <c r="M1932">
        <v>50</v>
      </c>
      <c r="N1932">
        <f>IF(COUNTIFS($B$2:B1932,B1932)=1,1,0)</f>
        <v>0</v>
      </c>
    </row>
    <row r="1933" spans="1:14" x14ac:dyDescent="0.2">
      <c r="A1933">
        <v>1932</v>
      </c>
      <c r="B1933">
        <v>1968</v>
      </c>
      <c r="C1933">
        <f>1/COUNTIF(B:B,Table1[[#This Row],[order_id]])</f>
        <v>0.5</v>
      </c>
      <c r="D1933" t="str">
        <f>TEXT(Table1[[#This Row],[order_date]],"mmmm")</f>
        <v>May</v>
      </c>
      <c r="E1933" s="1">
        <v>45443</v>
      </c>
      <c r="F1933" s="1" t="str">
        <f>TEXT(Table1[[#This Row],[order_date]],"dddd")</f>
        <v>Friday</v>
      </c>
      <c r="G1933">
        <f>HOUR(Table1[[#This Row],[order_time]])</f>
        <v>14</v>
      </c>
      <c r="H1933" s="2">
        <v>0.60601851851851851</v>
      </c>
      <c r="I1933" t="s">
        <v>18</v>
      </c>
      <c r="J1933" t="s">
        <v>27</v>
      </c>
      <c r="K1933">
        <v>5</v>
      </c>
      <c r="L1933">
        <v>40</v>
      </c>
      <c r="M1933">
        <v>200</v>
      </c>
      <c r="N1933">
        <f>IF(COUNTIFS($B$2:B1933,B1933)=1,1,0)</f>
        <v>1</v>
      </c>
    </row>
    <row r="1934" spans="1:14" x14ac:dyDescent="0.2">
      <c r="A1934">
        <v>1933</v>
      </c>
      <c r="B1934">
        <v>1968</v>
      </c>
      <c r="C1934">
        <f>1/COUNTIF(B:B,Table1[[#This Row],[order_id]])</f>
        <v>0.5</v>
      </c>
      <c r="D1934" t="str">
        <f>TEXT(Table1[[#This Row],[order_date]],"mmmm")</f>
        <v>May</v>
      </c>
      <c r="E1934" s="1">
        <v>45443</v>
      </c>
      <c r="F1934" s="1" t="str">
        <f>TEXT(Table1[[#This Row],[order_date]],"dddd")</f>
        <v>Friday</v>
      </c>
      <c r="G1934">
        <f>HOUR(Table1[[#This Row],[order_time]])</f>
        <v>11</v>
      </c>
      <c r="H1934" s="2">
        <v>0.47364583333333332</v>
      </c>
      <c r="I1934" t="s">
        <v>16</v>
      </c>
      <c r="J1934" t="s">
        <v>23</v>
      </c>
      <c r="K1934">
        <v>4</v>
      </c>
      <c r="L1934">
        <v>30</v>
      </c>
      <c r="M1934">
        <v>120</v>
      </c>
      <c r="N1934">
        <f>IF(COUNTIFS($B$2:B1934,B1934)=1,1,0)</f>
        <v>0</v>
      </c>
    </row>
    <row r="1935" spans="1:14" x14ac:dyDescent="0.2">
      <c r="A1935">
        <v>1934</v>
      </c>
      <c r="B1935">
        <v>1969</v>
      </c>
      <c r="C1935">
        <f>1/COUNTIF(B:B,Table1[[#This Row],[order_id]])</f>
        <v>0.33333333333333331</v>
      </c>
      <c r="D1935" t="str">
        <f>TEXT(Table1[[#This Row],[order_date]],"mmmm")</f>
        <v>May</v>
      </c>
      <c r="E1935" s="1">
        <v>45443</v>
      </c>
      <c r="F1935" s="1" t="str">
        <f>TEXT(Table1[[#This Row],[order_date]],"dddd")</f>
        <v>Friday</v>
      </c>
      <c r="G1935">
        <f>HOUR(Table1[[#This Row],[order_time]])</f>
        <v>9</v>
      </c>
      <c r="H1935" s="2">
        <v>0.38128472222222221</v>
      </c>
      <c r="I1935" t="s">
        <v>18</v>
      </c>
      <c r="J1935" t="s">
        <v>19</v>
      </c>
      <c r="K1935">
        <v>2</v>
      </c>
      <c r="L1935">
        <v>50</v>
      </c>
      <c r="M1935">
        <v>100</v>
      </c>
      <c r="N1935">
        <f>IF(COUNTIFS($B$2:B1935,B1935)=1,1,0)</f>
        <v>1</v>
      </c>
    </row>
    <row r="1936" spans="1:14" x14ac:dyDescent="0.2">
      <c r="A1936">
        <v>1935</v>
      </c>
      <c r="B1936">
        <v>1969</v>
      </c>
      <c r="C1936">
        <f>1/COUNTIF(B:B,Table1[[#This Row],[order_id]])</f>
        <v>0.33333333333333331</v>
      </c>
      <c r="D1936" t="str">
        <f>TEXT(Table1[[#This Row],[order_date]],"mmmm")</f>
        <v>May</v>
      </c>
      <c r="E1936" s="1">
        <v>45443</v>
      </c>
      <c r="F1936" s="1" t="str">
        <f>TEXT(Table1[[#This Row],[order_date]],"dddd")</f>
        <v>Friday</v>
      </c>
      <c r="G1936">
        <f>HOUR(Table1[[#This Row],[order_time]])</f>
        <v>9</v>
      </c>
      <c r="H1936" s="2">
        <v>0.38903935185185184</v>
      </c>
      <c r="I1936" t="s">
        <v>16</v>
      </c>
      <c r="J1936" t="s">
        <v>28</v>
      </c>
      <c r="K1936">
        <v>2</v>
      </c>
      <c r="L1936">
        <v>25</v>
      </c>
      <c r="M1936">
        <v>50</v>
      </c>
      <c r="N1936">
        <f>IF(COUNTIFS($B$2:B1936,B1936)=1,1,0)</f>
        <v>0</v>
      </c>
    </row>
    <row r="1937" spans="1:14" x14ac:dyDescent="0.2">
      <c r="A1937">
        <v>1936</v>
      </c>
      <c r="B1937">
        <v>1969</v>
      </c>
      <c r="C1937">
        <f>1/COUNTIF(B:B,Table1[[#This Row],[order_id]])</f>
        <v>0.33333333333333331</v>
      </c>
      <c r="D1937" t="str">
        <f>TEXT(Table1[[#This Row],[order_date]],"mmmm")</f>
        <v>May</v>
      </c>
      <c r="E1937" s="1">
        <v>45443</v>
      </c>
      <c r="F1937" s="1" t="str">
        <f>TEXT(Table1[[#This Row],[order_date]],"dddd")</f>
        <v>Friday</v>
      </c>
      <c r="G1937">
        <f>HOUR(Table1[[#This Row],[order_time]])</f>
        <v>17</v>
      </c>
      <c r="H1937" s="2">
        <v>0.71334490740740741</v>
      </c>
      <c r="I1937" t="s">
        <v>11</v>
      </c>
      <c r="J1937" t="s">
        <v>14</v>
      </c>
      <c r="K1937">
        <v>2</v>
      </c>
      <c r="L1937">
        <v>700</v>
      </c>
      <c r="M1937">
        <v>1400</v>
      </c>
      <c r="N1937">
        <f>IF(COUNTIFS($B$2:B1937,B1937)=1,1,0)</f>
        <v>0</v>
      </c>
    </row>
    <row r="1938" spans="1:14" x14ac:dyDescent="0.2">
      <c r="A1938">
        <v>1937</v>
      </c>
      <c r="B1938">
        <v>1970</v>
      </c>
      <c r="C1938">
        <f>1/COUNTIF(B:B,Table1[[#This Row],[order_id]])</f>
        <v>0.5</v>
      </c>
      <c r="D1938" t="str">
        <f>TEXT(Table1[[#This Row],[order_date]],"mmmm")</f>
        <v>May</v>
      </c>
      <c r="E1938" s="1">
        <v>45443</v>
      </c>
      <c r="F1938" s="1" t="str">
        <f>TEXT(Table1[[#This Row],[order_date]],"dddd")</f>
        <v>Friday</v>
      </c>
      <c r="G1938">
        <f>HOUR(Table1[[#This Row],[order_time]])</f>
        <v>14</v>
      </c>
      <c r="H1938" s="2">
        <v>0.62163194444444447</v>
      </c>
      <c r="I1938" t="s">
        <v>16</v>
      </c>
      <c r="J1938" t="s">
        <v>17</v>
      </c>
      <c r="K1938">
        <v>4</v>
      </c>
      <c r="L1938">
        <v>20</v>
      </c>
      <c r="M1938">
        <v>80</v>
      </c>
      <c r="N1938">
        <f>IF(COUNTIFS($B$2:B1938,B1938)=1,1,0)</f>
        <v>1</v>
      </c>
    </row>
    <row r="1939" spans="1:14" x14ac:dyDescent="0.2">
      <c r="A1939">
        <v>1938</v>
      </c>
      <c r="B1939">
        <v>1970</v>
      </c>
      <c r="C1939">
        <f>1/COUNTIF(B:B,Table1[[#This Row],[order_id]])</f>
        <v>0.5</v>
      </c>
      <c r="D1939" t="str">
        <f>TEXT(Table1[[#This Row],[order_date]],"mmmm")</f>
        <v>May</v>
      </c>
      <c r="E1939" s="1">
        <v>45443</v>
      </c>
      <c r="F1939" s="1" t="str">
        <f>TEXT(Table1[[#This Row],[order_date]],"dddd")</f>
        <v>Friday</v>
      </c>
      <c r="G1939">
        <f>HOUR(Table1[[#This Row],[order_time]])</f>
        <v>15</v>
      </c>
      <c r="H1939" s="2">
        <v>0.6284953703703704</v>
      </c>
      <c r="I1939" t="s">
        <v>18</v>
      </c>
      <c r="J1939" t="s">
        <v>19</v>
      </c>
      <c r="K1939">
        <v>4</v>
      </c>
      <c r="L1939">
        <v>50</v>
      </c>
      <c r="M1939">
        <v>200</v>
      </c>
      <c r="N1939">
        <f>IF(COUNTIFS($B$2:B1939,B1939)=1,1,0)</f>
        <v>0</v>
      </c>
    </row>
    <row r="1940" spans="1:14" x14ac:dyDescent="0.2">
      <c r="A1940">
        <v>1939</v>
      </c>
      <c r="B1940">
        <v>1971</v>
      </c>
      <c r="C1940">
        <f>1/COUNTIF(B:B,Table1[[#This Row],[order_id]])</f>
        <v>1</v>
      </c>
      <c r="D1940" t="str">
        <f>TEXT(Table1[[#This Row],[order_date]],"mmmm")</f>
        <v>May</v>
      </c>
      <c r="E1940" s="1">
        <v>45443</v>
      </c>
      <c r="F1940" s="1" t="str">
        <f>TEXT(Table1[[#This Row],[order_date]],"dddd")</f>
        <v>Friday</v>
      </c>
      <c r="G1940">
        <f>HOUR(Table1[[#This Row],[order_time]])</f>
        <v>17</v>
      </c>
      <c r="H1940" s="2">
        <v>0.72651620370370373</v>
      </c>
      <c r="I1940" t="s">
        <v>18</v>
      </c>
      <c r="J1940" t="s">
        <v>26</v>
      </c>
      <c r="K1940">
        <v>1</v>
      </c>
      <c r="L1940">
        <v>55</v>
      </c>
      <c r="M1940">
        <v>55</v>
      </c>
      <c r="N1940">
        <f>IF(COUNTIFS($B$2:B1940,B1940)=1,1,0)</f>
        <v>1</v>
      </c>
    </row>
    <row r="1941" spans="1:14" x14ac:dyDescent="0.2">
      <c r="A1941">
        <v>1940</v>
      </c>
      <c r="B1941">
        <v>1972</v>
      </c>
      <c r="C1941">
        <f>1/COUNTIF(B:B,Table1[[#This Row],[order_id]])</f>
        <v>0.5</v>
      </c>
      <c r="D1941" t="str">
        <f>TEXT(Table1[[#This Row],[order_date]],"mmmm")</f>
        <v>June</v>
      </c>
      <c r="E1941" s="1">
        <v>45444</v>
      </c>
      <c r="F1941" s="1" t="str">
        <f>TEXT(Table1[[#This Row],[order_date]],"dddd")</f>
        <v>Saturday</v>
      </c>
      <c r="G1941">
        <f>HOUR(Table1[[#This Row],[order_time]])</f>
        <v>14</v>
      </c>
      <c r="H1941" s="2">
        <v>0.58628472222222228</v>
      </c>
      <c r="I1941" t="s">
        <v>9</v>
      </c>
      <c r="J1941" t="s">
        <v>22</v>
      </c>
      <c r="K1941">
        <v>3</v>
      </c>
      <c r="L1941">
        <v>15</v>
      </c>
      <c r="M1941">
        <v>45</v>
      </c>
      <c r="N1941">
        <f>IF(COUNTIFS($B$2:B1941,B1941)=1,1,0)</f>
        <v>1</v>
      </c>
    </row>
    <row r="1942" spans="1:14" x14ac:dyDescent="0.2">
      <c r="A1942">
        <v>1941</v>
      </c>
      <c r="B1942">
        <v>1972</v>
      </c>
      <c r="C1942">
        <f>1/COUNTIF(B:B,Table1[[#This Row],[order_id]])</f>
        <v>0.5</v>
      </c>
      <c r="D1942" t="str">
        <f>TEXT(Table1[[#This Row],[order_date]],"mmmm")</f>
        <v>June</v>
      </c>
      <c r="E1942" s="1">
        <v>45444</v>
      </c>
      <c r="F1942" s="1" t="str">
        <f>TEXT(Table1[[#This Row],[order_date]],"dddd")</f>
        <v>Saturday</v>
      </c>
      <c r="G1942">
        <f>HOUR(Table1[[#This Row],[order_time]])</f>
        <v>18</v>
      </c>
      <c r="H1942" s="2">
        <v>0.76796296296296296</v>
      </c>
      <c r="I1942" t="s">
        <v>9</v>
      </c>
      <c r="J1942" t="s">
        <v>21</v>
      </c>
      <c r="K1942">
        <v>5</v>
      </c>
      <c r="L1942">
        <v>10</v>
      </c>
      <c r="M1942">
        <v>50</v>
      </c>
      <c r="N1942">
        <f>IF(COUNTIFS($B$2:B1942,B1942)=1,1,0)</f>
        <v>0</v>
      </c>
    </row>
    <row r="1943" spans="1:14" x14ac:dyDescent="0.2">
      <c r="A1943">
        <v>1942</v>
      </c>
      <c r="B1943">
        <v>1973</v>
      </c>
      <c r="C1943">
        <f>1/COUNTIF(B:B,Table1[[#This Row],[order_id]])</f>
        <v>1</v>
      </c>
      <c r="D1943" t="str">
        <f>TEXT(Table1[[#This Row],[order_date]],"mmmm")</f>
        <v>June</v>
      </c>
      <c r="E1943" s="1">
        <v>45444</v>
      </c>
      <c r="F1943" s="1" t="str">
        <f>TEXT(Table1[[#This Row],[order_date]],"dddd")</f>
        <v>Saturday</v>
      </c>
      <c r="G1943">
        <f>HOUR(Table1[[#This Row],[order_time]])</f>
        <v>13</v>
      </c>
      <c r="H1943" s="2">
        <v>0.57059027777777782</v>
      </c>
      <c r="I1943" t="s">
        <v>11</v>
      </c>
      <c r="J1943" t="s">
        <v>12</v>
      </c>
      <c r="K1943">
        <v>4</v>
      </c>
      <c r="L1943">
        <v>650</v>
      </c>
      <c r="M1943">
        <v>2600</v>
      </c>
      <c r="N1943">
        <f>IF(COUNTIFS($B$2:B1943,B1943)=1,1,0)</f>
        <v>1</v>
      </c>
    </row>
    <row r="1944" spans="1:14" x14ac:dyDescent="0.2">
      <c r="A1944">
        <v>1943</v>
      </c>
      <c r="B1944">
        <v>1974</v>
      </c>
      <c r="C1944">
        <f>1/COUNTIF(B:B,Table1[[#This Row],[order_id]])</f>
        <v>0.5</v>
      </c>
      <c r="D1944" t="str">
        <f>TEXT(Table1[[#This Row],[order_date]],"mmmm")</f>
        <v>June</v>
      </c>
      <c r="E1944" s="1">
        <v>45444</v>
      </c>
      <c r="F1944" s="1" t="str">
        <f>TEXT(Table1[[#This Row],[order_date]],"dddd")</f>
        <v>Saturday</v>
      </c>
      <c r="G1944">
        <f>HOUR(Table1[[#This Row],[order_time]])</f>
        <v>9</v>
      </c>
      <c r="H1944" s="2">
        <v>0.38423611111111111</v>
      </c>
      <c r="I1944" t="s">
        <v>16</v>
      </c>
      <c r="J1944" t="s">
        <v>23</v>
      </c>
      <c r="K1944">
        <v>4</v>
      </c>
      <c r="L1944">
        <v>30</v>
      </c>
      <c r="M1944">
        <v>120</v>
      </c>
      <c r="N1944">
        <f>IF(COUNTIFS($B$2:B1944,B1944)=1,1,0)</f>
        <v>1</v>
      </c>
    </row>
    <row r="1945" spans="1:14" x14ac:dyDescent="0.2">
      <c r="A1945">
        <v>1944</v>
      </c>
      <c r="B1945">
        <v>1974</v>
      </c>
      <c r="C1945">
        <f>1/COUNTIF(B:B,Table1[[#This Row],[order_id]])</f>
        <v>0.5</v>
      </c>
      <c r="D1945" t="str">
        <f>TEXT(Table1[[#This Row],[order_date]],"mmmm")</f>
        <v>June</v>
      </c>
      <c r="E1945" s="1">
        <v>45444</v>
      </c>
      <c r="F1945" s="1" t="str">
        <f>TEXT(Table1[[#This Row],[order_date]],"dddd")</f>
        <v>Saturday</v>
      </c>
      <c r="G1945">
        <f>HOUR(Table1[[#This Row],[order_time]])</f>
        <v>10</v>
      </c>
      <c r="H1945" s="2">
        <v>0.4321990740740741</v>
      </c>
      <c r="I1945" t="s">
        <v>11</v>
      </c>
      <c r="J1945" t="s">
        <v>13</v>
      </c>
      <c r="K1945">
        <v>2</v>
      </c>
      <c r="L1945">
        <v>680</v>
      </c>
      <c r="M1945">
        <v>1360</v>
      </c>
      <c r="N1945">
        <f>IF(COUNTIFS($B$2:B1945,B1945)=1,1,0)</f>
        <v>0</v>
      </c>
    </row>
    <row r="1946" spans="1:14" x14ac:dyDescent="0.2">
      <c r="A1946">
        <v>1945</v>
      </c>
      <c r="B1946">
        <v>1975</v>
      </c>
      <c r="C1946">
        <f>1/COUNTIF(B:B,Table1[[#This Row],[order_id]])</f>
        <v>1</v>
      </c>
      <c r="D1946" t="str">
        <f>TEXT(Table1[[#This Row],[order_date]],"mmmm")</f>
        <v>June</v>
      </c>
      <c r="E1946" s="1">
        <v>45445</v>
      </c>
      <c r="F1946" s="1" t="str">
        <f>TEXT(Table1[[#This Row],[order_date]],"dddd")</f>
        <v>Sunday</v>
      </c>
      <c r="G1946">
        <f>HOUR(Table1[[#This Row],[order_time]])</f>
        <v>10</v>
      </c>
      <c r="H1946" s="2">
        <v>0.43444444444444447</v>
      </c>
      <c r="I1946" t="s">
        <v>16</v>
      </c>
      <c r="J1946" t="s">
        <v>17</v>
      </c>
      <c r="K1946">
        <v>2</v>
      </c>
      <c r="L1946">
        <v>20</v>
      </c>
      <c r="M1946">
        <v>40</v>
      </c>
      <c r="N1946">
        <f>IF(COUNTIFS($B$2:B1946,B1946)=1,1,0)</f>
        <v>1</v>
      </c>
    </row>
    <row r="1947" spans="1:14" x14ac:dyDescent="0.2">
      <c r="A1947">
        <v>1946</v>
      </c>
      <c r="B1947">
        <v>1976</v>
      </c>
      <c r="C1947">
        <f>1/COUNTIF(B:B,Table1[[#This Row],[order_id]])</f>
        <v>1</v>
      </c>
      <c r="D1947" t="str">
        <f>TEXT(Table1[[#This Row],[order_date]],"mmmm")</f>
        <v>June</v>
      </c>
      <c r="E1947" s="1">
        <v>45445</v>
      </c>
      <c r="F1947" s="1" t="str">
        <f>TEXT(Table1[[#This Row],[order_date]],"dddd")</f>
        <v>Sunday</v>
      </c>
      <c r="G1947">
        <f>HOUR(Table1[[#This Row],[order_time]])</f>
        <v>18</v>
      </c>
      <c r="H1947" s="2">
        <v>0.78535879629629635</v>
      </c>
      <c r="I1947" t="s">
        <v>11</v>
      </c>
      <c r="J1947" t="s">
        <v>13</v>
      </c>
      <c r="K1947">
        <v>3</v>
      </c>
      <c r="L1947">
        <v>680</v>
      </c>
      <c r="M1947">
        <v>2040</v>
      </c>
      <c r="N1947">
        <f>IF(COUNTIFS($B$2:B1947,B1947)=1,1,0)</f>
        <v>1</v>
      </c>
    </row>
    <row r="1948" spans="1:14" x14ac:dyDescent="0.2">
      <c r="A1948">
        <v>1947</v>
      </c>
      <c r="B1948">
        <v>1977</v>
      </c>
      <c r="C1948">
        <f>1/COUNTIF(B:B,Table1[[#This Row],[order_id]])</f>
        <v>0.5</v>
      </c>
      <c r="D1948" t="str">
        <f>TEXT(Table1[[#This Row],[order_date]],"mmmm")</f>
        <v>June</v>
      </c>
      <c r="E1948" s="1">
        <v>45445</v>
      </c>
      <c r="F1948" s="1" t="str">
        <f>TEXT(Table1[[#This Row],[order_date]],"dddd")</f>
        <v>Sunday</v>
      </c>
      <c r="G1948">
        <f>HOUR(Table1[[#This Row],[order_time]])</f>
        <v>13</v>
      </c>
      <c r="H1948" s="2">
        <v>0.55574074074074076</v>
      </c>
      <c r="I1948" t="s">
        <v>9</v>
      </c>
      <c r="J1948" t="s">
        <v>21</v>
      </c>
      <c r="K1948">
        <v>1</v>
      </c>
      <c r="L1948">
        <v>10</v>
      </c>
      <c r="M1948">
        <v>10</v>
      </c>
      <c r="N1948">
        <f>IF(COUNTIFS($B$2:B1948,B1948)=1,1,0)</f>
        <v>1</v>
      </c>
    </row>
    <row r="1949" spans="1:14" x14ac:dyDescent="0.2">
      <c r="A1949">
        <v>1948</v>
      </c>
      <c r="B1949">
        <v>1977</v>
      </c>
      <c r="C1949">
        <f>1/COUNTIF(B:B,Table1[[#This Row],[order_id]])</f>
        <v>0.5</v>
      </c>
      <c r="D1949" t="str">
        <f>TEXT(Table1[[#This Row],[order_date]],"mmmm")</f>
        <v>June</v>
      </c>
      <c r="E1949" s="1">
        <v>45445</v>
      </c>
      <c r="F1949" s="1" t="str">
        <f>TEXT(Table1[[#This Row],[order_date]],"dddd")</f>
        <v>Sunday</v>
      </c>
      <c r="G1949">
        <f>HOUR(Table1[[#This Row],[order_time]])</f>
        <v>13</v>
      </c>
      <c r="H1949" s="2">
        <v>0.57424768518518521</v>
      </c>
      <c r="I1949" t="s">
        <v>9</v>
      </c>
      <c r="J1949" t="s">
        <v>20</v>
      </c>
      <c r="K1949">
        <v>3</v>
      </c>
      <c r="L1949">
        <v>25</v>
      </c>
      <c r="M1949">
        <v>75</v>
      </c>
      <c r="N1949">
        <f>IF(COUNTIFS($B$2:B1949,B1949)=1,1,0)</f>
        <v>0</v>
      </c>
    </row>
    <row r="1950" spans="1:14" x14ac:dyDescent="0.2">
      <c r="A1950">
        <v>1949</v>
      </c>
      <c r="B1950">
        <v>1978</v>
      </c>
      <c r="C1950">
        <f>1/COUNTIF(B:B,Table1[[#This Row],[order_id]])</f>
        <v>0.5</v>
      </c>
      <c r="D1950" t="str">
        <f>TEXT(Table1[[#This Row],[order_date]],"mmmm")</f>
        <v>June</v>
      </c>
      <c r="E1950" s="1">
        <v>45445</v>
      </c>
      <c r="F1950" s="1" t="str">
        <f>TEXT(Table1[[#This Row],[order_date]],"dddd")</f>
        <v>Sunday</v>
      </c>
      <c r="G1950">
        <f>HOUR(Table1[[#This Row],[order_time]])</f>
        <v>13</v>
      </c>
      <c r="H1950" s="2">
        <v>0.54422453703703699</v>
      </c>
      <c r="I1950" t="s">
        <v>18</v>
      </c>
      <c r="J1950" t="s">
        <v>31</v>
      </c>
      <c r="K1950">
        <v>2</v>
      </c>
      <c r="L1950">
        <v>45</v>
      </c>
      <c r="M1950">
        <v>90</v>
      </c>
      <c r="N1950">
        <f>IF(COUNTIFS($B$2:B1950,B1950)=1,1,0)</f>
        <v>1</v>
      </c>
    </row>
    <row r="1951" spans="1:14" x14ac:dyDescent="0.2">
      <c r="A1951">
        <v>1950</v>
      </c>
      <c r="B1951">
        <v>1978</v>
      </c>
      <c r="C1951">
        <f>1/COUNTIF(B:B,Table1[[#This Row],[order_id]])</f>
        <v>0.5</v>
      </c>
      <c r="D1951" t="str">
        <f>TEXT(Table1[[#This Row],[order_date]],"mmmm")</f>
        <v>June</v>
      </c>
      <c r="E1951" s="1">
        <v>45445</v>
      </c>
      <c r="F1951" s="1" t="str">
        <f>TEXT(Table1[[#This Row],[order_date]],"dddd")</f>
        <v>Sunday</v>
      </c>
      <c r="G1951">
        <f>HOUR(Table1[[#This Row],[order_time]])</f>
        <v>10</v>
      </c>
      <c r="H1951" s="2">
        <v>0.45827546296296295</v>
      </c>
      <c r="I1951" t="s">
        <v>16</v>
      </c>
      <c r="J1951" t="s">
        <v>24</v>
      </c>
      <c r="K1951">
        <v>4</v>
      </c>
      <c r="L1951">
        <v>35</v>
      </c>
      <c r="M1951">
        <v>140</v>
      </c>
      <c r="N1951">
        <f>IF(COUNTIFS($B$2:B1951,B1951)=1,1,0)</f>
        <v>0</v>
      </c>
    </row>
    <row r="1952" spans="1:14" x14ac:dyDescent="0.2">
      <c r="A1952">
        <v>1951</v>
      </c>
      <c r="B1952">
        <v>1979</v>
      </c>
      <c r="C1952">
        <f>1/COUNTIF(B:B,Table1[[#This Row],[order_id]])</f>
        <v>0.33333333333333331</v>
      </c>
      <c r="D1952" t="str">
        <f>TEXT(Table1[[#This Row],[order_date]],"mmmm")</f>
        <v>June</v>
      </c>
      <c r="E1952" s="1">
        <v>45445</v>
      </c>
      <c r="F1952" s="1" t="str">
        <f>TEXT(Table1[[#This Row],[order_date]],"dddd")</f>
        <v>Sunday</v>
      </c>
      <c r="G1952">
        <f>HOUR(Table1[[#This Row],[order_time]])</f>
        <v>9</v>
      </c>
      <c r="H1952" s="2">
        <v>0.41249999999999998</v>
      </c>
      <c r="I1952" t="s">
        <v>9</v>
      </c>
      <c r="J1952" t="s">
        <v>21</v>
      </c>
      <c r="K1952">
        <v>4</v>
      </c>
      <c r="L1952">
        <v>10</v>
      </c>
      <c r="M1952">
        <v>40</v>
      </c>
      <c r="N1952">
        <f>IF(COUNTIFS($B$2:B1952,B1952)=1,1,0)</f>
        <v>1</v>
      </c>
    </row>
    <row r="1953" spans="1:14" x14ac:dyDescent="0.2">
      <c r="A1953">
        <v>1952</v>
      </c>
      <c r="B1953">
        <v>1979</v>
      </c>
      <c r="C1953">
        <f>1/COUNTIF(B:B,Table1[[#This Row],[order_id]])</f>
        <v>0.33333333333333331</v>
      </c>
      <c r="D1953" t="str">
        <f>TEXT(Table1[[#This Row],[order_date]],"mmmm")</f>
        <v>June</v>
      </c>
      <c r="E1953" s="1">
        <v>45445</v>
      </c>
      <c r="F1953" s="1" t="str">
        <f>TEXT(Table1[[#This Row],[order_date]],"dddd")</f>
        <v>Sunday</v>
      </c>
      <c r="G1953">
        <f>HOUR(Table1[[#This Row],[order_time]])</f>
        <v>17</v>
      </c>
      <c r="H1953" s="2">
        <v>0.73531250000000004</v>
      </c>
      <c r="I1953" t="s">
        <v>16</v>
      </c>
      <c r="J1953" t="s">
        <v>17</v>
      </c>
      <c r="K1953">
        <v>5</v>
      </c>
      <c r="L1953">
        <v>20</v>
      </c>
      <c r="M1953">
        <v>100</v>
      </c>
      <c r="N1953">
        <f>IF(COUNTIFS($B$2:B1953,B1953)=1,1,0)</f>
        <v>0</v>
      </c>
    </row>
    <row r="1954" spans="1:14" x14ac:dyDescent="0.2">
      <c r="A1954">
        <v>1953</v>
      </c>
      <c r="B1954">
        <v>1979</v>
      </c>
      <c r="C1954">
        <f>1/COUNTIF(B:B,Table1[[#This Row],[order_id]])</f>
        <v>0.33333333333333331</v>
      </c>
      <c r="D1954" t="str">
        <f>TEXT(Table1[[#This Row],[order_date]],"mmmm")</f>
        <v>June</v>
      </c>
      <c r="E1954" s="1">
        <v>45445</v>
      </c>
      <c r="F1954" s="1" t="str">
        <f>TEXT(Table1[[#This Row],[order_date]],"dddd")</f>
        <v>Sunday</v>
      </c>
      <c r="G1954">
        <f>HOUR(Table1[[#This Row],[order_time]])</f>
        <v>10</v>
      </c>
      <c r="H1954" s="2">
        <v>0.44099537037037034</v>
      </c>
      <c r="I1954" t="s">
        <v>9</v>
      </c>
      <c r="J1954" t="s">
        <v>29</v>
      </c>
      <c r="K1954">
        <v>4</v>
      </c>
      <c r="L1954">
        <v>5</v>
      </c>
      <c r="M1954">
        <v>20</v>
      </c>
      <c r="N1954">
        <f>IF(COUNTIFS($B$2:B1954,B1954)=1,1,0)</f>
        <v>0</v>
      </c>
    </row>
    <row r="1955" spans="1:14" x14ac:dyDescent="0.2">
      <c r="A1955">
        <v>1954</v>
      </c>
      <c r="B1955">
        <v>1980</v>
      </c>
      <c r="C1955">
        <f>1/COUNTIF(B:B,Table1[[#This Row],[order_id]])</f>
        <v>1</v>
      </c>
      <c r="D1955" t="str">
        <f>TEXT(Table1[[#This Row],[order_date]],"mmmm")</f>
        <v>June</v>
      </c>
      <c r="E1955" s="1">
        <v>45445</v>
      </c>
      <c r="F1955" s="1" t="str">
        <f>TEXT(Table1[[#This Row],[order_date]],"dddd")</f>
        <v>Sunday</v>
      </c>
      <c r="G1955">
        <f>HOUR(Table1[[#This Row],[order_time]])</f>
        <v>14</v>
      </c>
      <c r="H1955" s="2">
        <v>0.59961805555555558</v>
      </c>
      <c r="I1955" t="s">
        <v>9</v>
      </c>
      <c r="J1955" t="s">
        <v>22</v>
      </c>
      <c r="K1955">
        <v>1</v>
      </c>
      <c r="L1955">
        <v>15</v>
      </c>
      <c r="M1955">
        <v>15</v>
      </c>
      <c r="N1955">
        <f>IF(COUNTIFS($B$2:B1955,B1955)=1,1,0)</f>
        <v>1</v>
      </c>
    </row>
    <row r="1956" spans="1:14" x14ac:dyDescent="0.2">
      <c r="A1956">
        <v>1955</v>
      </c>
      <c r="B1956">
        <v>1981</v>
      </c>
      <c r="C1956">
        <f>1/COUNTIF(B:B,Table1[[#This Row],[order_id]])</f>
        <v>0.5</v>
      </c>
      <c r="D1956" t="str">
        <f>TEXT(Table1[[#This Row],[order_date]],"mmmm")</f>
        <v>June</v>
      </c>
      <c r="E1956" s="1">
        <v>45445</v>
      </c>
      <c r="F1956" s="1" t="str">
        <f>TEXT(Table1[[#This Row],[order_date]],"dddd")</f>
        <v>Sunday</v>
      </c>
      <c r="G1956">
        <f>HOUR(Table1[[#This Row],[order_time]])</f>
        <v>10</v>
      </c>
      <c r="H1956" s="2">
        <v>0.4558564814814815</v>
      </c>
      <c r="I1956" t="s">
        <v>16</v>
      </c>
      <c r="J1956" t="s">
        <v>17</v>
      </c>
      <c r="K1956">
        <v>2</v>
      </c>
      <c r="L1956">
        <v>20</v>
      </c>
      <c r="M1956">
        <v>40</v>
      </c>
      <c r="N1956">
        <f>IF(COUNTIFS($B$2:B1956,B1956)=1,1,0)</f>
        <v>1</v>
      </c>
    </row>
    <row r="1957" spans="1:14" x14ac:dyDescent="0.2">
      <c r="A1957">
        <v>1956</v>
      </c>
      <c r="B1957">
        <v>1981</v>
      </c>
      <c r="C1957">
        <f>1/COUNTIF(B:B,Table1[[#This Row],[order_id]])</f>
        <v>0.5</v>
      </c>
      <c r="D1957" t="str">
        <f>TEXT(Table1[[#This Row],[order_date]],"mmmm")</f>
        <v>June</v>
      </c>
      <c r="E1957" s="1">
        <v>45445</v>
      </c>
      <c r="F1957" s="1" t="str">
        <f>TEXT(Table1[[#This Row],[order_date]],"dddd")</f>
        <v>Sunday</v>
      </c>
      <c r="G1957">
        <f>HOUR(Table1[[#This Row],[order_time]])</f>
        <v>11</v>
      </c>
      <c r="H1957" s="2">
        <v>0.48629629629629628</v>
      </c>
      <c r="I1957" t="s">
        <v>18</v>
      </c>
      <c r="J1957" t="s">
        <v>30</v>
      </c>
      <c r="K1957">
        <v>5</v>
      </c>
      <c r="L1957">
        <v>60</v>
      </c>
      <c r="M1957">
        <v>300</v>
      </c>
      <c r="N1957">
        <f>IF(COUNTIFS($B$2:B1957,B1957)=1,1,0)</f>
        <v>0</v>
      </c>
    </row>
    <row r="1958" spans="1:14" x14ac:dyDescent="0.2">
      <c r="A1958">
        <v>1957</v>
      </c>
      <c r="B1958">
        <v>1982</v>
      </c>
      <c r="C1958">
        <f>1/COUNTIF(B:B,Table1[[#This Row],[order_id]])</f>
        <v>0.33333333333333331</v>
      </c>
      <c r="D1958" t="str">
        <f>TEXT(Table1[[#This Row],[order_date]],"mmmm")</f>
        <v>June</v>
      </c>
      <c r="E1958" s="1">
        <v>45445</v>
      </c>
      <c r="F1958" s="1" t="str">
        <f>TEXT(Table1[[#This Row],[order_date]],"dddd")</f>
        <v>Sunday</v>
      </c>
      <c r="G1958">
        <f>HOUR(Table1[[#This Row],[order_time]])</f>
        <v>9</v>
      </c>
      <c r="H1958" s="2">
        <v>0.39475694444444442</v>
      </c>
      <c r="I1958" t="s">
        <v>11</v>
      </c>
      <c r="J1958" t="s">
        <v>14</v>
      </c>
      <c r="K1958">
        <v>3</v>
      </c>
      <c r="L1958">
        <v>700</v>
      </c>
      <c r="M1958">
        <v>2100</v>
      </c>
      <c r="N1958">
        <f>IF(COUNTIFS($B$2:B1958,B1958)=1,1,0)</f>
        <v>1</v>
      </c>
    </row>
    <row r="1959" spans="1:14" x14ac:dyDescent="0.2">
      <c r="A1959">
        <v>1958</v>
      </c>
      <c r="B1959">
        <v>1982</v>
      </c>
      <c r="C1959">
        <f>1/COUNTIF(B:B,Table1[[#This Row],[order_id]])</f>
        <v>0.33333333333333331</v>
      </c>
      <c r="D1959" t="str">
        <f>TEXT(Table1[[#This Row],[order_date]],"mmmm")</f>
        <v>June</v>
      </c>
      <c r="E1959" s="1">
        <v>45445</v>
      </c>
      <c r="F1959" s="1" t="str">
        <f>TEXT(Table1[[#This Row],[order_date]],"dddd")</f>
        <v>Sunday</v>
      </c>
      <c r="G1959">
        <f>HOUR(Table1[[#This Row],[order_time]])</f>
        <v>17</v>
      </c>
      <c r="H1959" s="2">
        <v>0.74828703703703703</v>
      </c>
      <c r="I1959" t="s">
        <v>11</v>
      </c>
      <c r="J1959" t="s">
        <v>14</v>
      </c>
      <c r="K1959">
        <v>4</v>
      </c>
      <c r="L1959">
        <v>700</v>
      </c>
      <c r="M1959">
        <v>2800</v>
      </c>
      <c r="N1959">
        <f>IF(COUNTIFS($B$2:B1959,B1959)=1,1,0)</f>
        <v>0</v>
      </c>
    </row>
    <row r="1960" spans="1:14" x14ac:dyDescent="0.2">
      <c r="A1960">
        <v>1959</v>
      </c>
      <c r="B1960">
        <v>1982</v>
      </c>
      <c r="C1960">
        <f>1/COUNTIF(B:B,Table1[[#This Row],[order_id]])</f>
        <v>0.33333333333333331</v>
      </c>
      <c r="D1960" t="str">
        <f>TEXT(Table1[[#This Row],[order_date]],"mmmm")</f>
        <v>June</v>
      </c>
      <c r="E1960" s="1">
        <v>45445</v>
      </c>
      <c r="F1960" s="1" t="str">
        <f>TEXT(Table1[[#This Row],[order_date]],"dddd")</f>
        <v>Sunday</v>
      </c>
      <c r="G1960">
        <f>HOUR(Table1[[#This Row],[order_time]])</f>
        <v>18</v>
      </c>
      <c r="H1960" s="2">
        <v>0.76086805555555559</v>
      </c>
      <c r="I1960" t="s">
        <v>9</v>
      </c>
      <c r="J1960" t="s">
        <v>10</v>
      </c>
      <c r="K1960">
        <v>3</v>
      </c>
      <c r="L1960">
        <v>20</v>
      </c>
      <c r="M1960">
        <v>60</v>
      </c>
      <c r="N1960">
        <f>IF(COUNTIFS($B$2:B1960,B1960)=1,1,0)</f>
        <v>0</v>
      </c>
    </row>
    <row r="1961" spans="1:14" x14ac:dyDescent="0.2">
      <c r="A1961">
        <v>1960</v>
      </c>
      <c r="B1961">
        <v>1983</v>
      </c>
      <c r="C1961">
        <f>1/COUNTIF(B:B,Table1[[#This Row],[order_id]])</f>
        <v>0.5</v>
      </c>
      <c r="D1961" t="str">
        <f>TEXT(Table1[[#This Row],[order_date]],"mmmm")</f>
        <v>June</v>
      </c>
      <c r="E1961" s="1">
        <v>45446</v>
      </c>
      <c r="F1961" s="1" t="str">
        <f>TEXT(Table1[[#This Row],[order_date]],"dddd")</f>
        <v>Monday</v>
      </c>
      <c r="G1961">
        <f>HOUR(Table1[[#This Row],[order_time]])</f>
        <v>11</v>
      </c>
      <c r="H1961" s="2">
        <v>0.47290509259259261</v>
      </c>
      <c r="I1961" t="s">
        <v>11</v>
      </c>
      <c r="J1961" t="s">
        <v>15</v>
      </c>
      <c r="K1961">
        <v>3</v>
      </c>
      <c r="L1961">
        <v>600</v>
      </c>
      <c r="M1961">
        <v>1800</v>
      </c>
      <c r="N1961">
        <f>IF(COUNTIFS($B$2:B1961,B1961)=1,1,0)</f>
        <v>1</v>
      </c>
    </row>
    <row r="1962" spans="1:14" x14ac:dyDescent="0.2">
      <c r="A1962">
        <v>1961</v>
      </c>
      <c r="B1962">
        <v>1983</v>
      </c>
      <c r="C1962">
        <f>1/COUNTIF(B:B,Table1[[#This Row],[order_id]])</f>
        <v>0.5</v>
      </c>
      <c r="D1962" t="str">
        <f>TEXT(Table1[[#This Row],[order_date]],"mmmm")</f>
        <v>June</v>
      </c>
      <c r="E1962" s="1">
        <v>45446</v>
      </c>
      <c r="F1962" s="1" t="str">
        <f>TEXT(Table1[[#This Row],[order_date]],"dddd")</f>
        <v>Monday</v>
      </c>
      <c r="G1962">
        <f>HOUR(Table1[[#This Row],[order_time]])</f>
        <v>11</v>
      </c>
      <c r="H1962" s="2">
        <v>0.46535879629629628</v>
      </c>
      <c r="I1962" t="s">
        <v>9</v>
      </c>
      <c r="J1962" t="s">
        <v>20</v>
      </c>
      <c r="K1962">
        <v>3</v>
      </c>
      <c r="L1962">
        <v>25</v>
      </c>
      <c r="M1962">
        <v>75</v>
      </c>
      <c r="N1962">
        <f>IF(COUNTIFS($B$2:B1962,B1962)=1,1,0)</f>
        <v>0</v>
      </c>
    </row>
    <row r="1963" spans="1:14" x14ac:dyDescent="0.2">
      <c r="A1963">
        <v>1962</v>
      </c>
      <c r="B1963">
        <v>1984</v>
      </c>
      <c r="C1963">
        <f>1/COUNTIF(B:B,Table1[[#This Row],[order_id]])</f>
        <v>1</v>
      </c>
      <c r="D1963" t="str">
        <f>TEXT(Table1[[#This Row],[order_date]],"mmmm")</f>
        <v>June</v>
      </c>
      <c r="E1963" s="1">
        <v>45446</v>
      </c>
      <c r="F1963" s="1" t="str">
        <f>TEXT(Table1[[#This Row],[order_date]],"dddd")</f>
        <v>Monday</v>
      </c>
      <c r="G1963">
        <f>HOUR(Table1[[#This Row],[order_time]])</f>
        <v>20</v>
      </c>
      <c r="H1963" s="2">
        <v>0.84295138888888888</v>
      </c>
      <c r="I1963" t="s">
        <v>9</v>
      </c>
      <c r="J1963" t="s">
        <v>22</v>
      </c>
      <c r="K1963">
        <v>4</v>
      </c>
      <c r="L1963">
        <v>15</v>
      </c>
      <c r="M1963">
        <v>60</v>
      </c>
      <c r="N1963">
        <f>IF(COUNTIFS($B$2:B1963,B1963)=1,1,0)</f>
        <v>1</v>
      </c>
    </row>
    <row r="1964" spans="1:14" x14ac:dyDescent="0.2">
      <c r="A1964">
        <v>1963</v>
      </c>
      <c r="B1964">
        <v>1985</v>
      </c>
      <c r="C1964">
        <f>1/COUNTIF(B:B,Table1[[#This Row],[order_id]])</f>
        <v>0.5</v>
      </c>
      <c r="D1964" t="str">
        <f>TEXT(Table1[[#This Row],[order_date]],"mmmm")</f>
        <v>June</v>
      </c>
      <c r="E1964" s="1">
        <v>45446</v>
      </c>
      <c r="F1964" s="1" t="str">
        <f>TEXT(Table1[[#This Row],[order_date]],"dddd")</f>
        <v>Monday</v>
      </c>
      <c r="G1964">
        <f>HOUR(Table1[[#This Row],[order_time]])</f>
        <v>13</v>
      </c>
      <c r="H1964" s="2">
        <v>0.55568287037037034</v>
      </c>
      <c r="I1964" t="s">
        <v>9</v>
      </c>
      <c r="J1964" t="s">
        <v>29</v>
      </c>
      <c r="K1964">
        <v>1</v>
      </c>
      <c r="L1964">
        <v>5</v>
      </c>
      <c r="M1964">
        <v>5</v>
      </c>
      <c r="N1964">
        <f>IF(COUNTIFS($B$2:B1964,B1964)=1,1,0)</f>
        <v>1</v>
      </c>
    </row>
    <row r="1965" spans="1:14" x14ac:dyDescent="0.2">
      <c r="A1965">
        <v>1964</v>
      </c>
      <c r="B1965">
        <v>1985</v>
      </c>
      <c r="C1965">
        <f>1/COUNTIF(B:B,Table1[[#This Row],[order_id]])</f>
        <v>0.5</v>
      </c>
      <c r="D1965" t="str">
        <f>TEXT(Table1[[#This Row],[order_date]],"mmmm")</f>
        <v>June</v>
      </c>
      <c r="E1965" s="1">
        <v>45446</v>
      </c>
      <c r="F1965" s="1" t="str">
        <f>TEXT(Table1[[#This Row],[order_date]],"dddd")</f>
        <v>Monday</v>
      </c>
      <c r="G1965">
        <f>HOUR(Table1[[#This Row],[order_time]])</f>
        <v>11</v>
      </c>
      <c r="H1965" s="2">
        <v>0.49211805555555554</v>
      </c>
      <c r="I1965" t="s">
        <v>18</v>
      </c>
      <c r="J1965" t="s">
        <v>19</v>
      </c>
      <c r="K1965">
        <v>2</v>
      </c>
      <c r="L1965">
        <v>50</v>
      </c>
      <c r="M1965">
        <v>100</v>
      </c>
      <c r="N1965">
        <f>IF(COUNTIFS($B$2:B1965,B1965)=1,1,0)</f>
        <v>0</v>
      </c>
    </row>
    <row r="1966" spans="1:14" x14ac:dyDescent="0.2">
      <c r="A1966">
        <v>1965</v>
      </c>
      <c r="B1966">
        <v>1986</v>
      </c>
      <c r="C1966">
        <f>1/COUNTIF(B:B,Table1[[#This Row],[order_id]])</f>
        <v>1</v>
      </c>
      <c r="D1966" t="str">
        <f>TEXT(Table1[[#This Row],[order_date]],"mmmm")</f>
        <v>June</v>
      </c>
      <c r="E1966" s="1">
        <v>45446</v>
      </c>
      <c r="F1966" s="1" t="str">
        <f>TEXT(Table1[[#This Row],[order_date]],"dddd")</f>
        <v>Monday</v>
      </c>
      <c r="G1966">
        <f>HOUR(Table1[[#This Row],[order_time]])</f>
        <v>13</v>
      </c>
      <c r="H1966" s="2">
        <v>0.57506944444444441</v>
      </c>
      <c r="I1966" t="s">
        <v>11</v>
      </c>
      <c r="J1966" t="s">
        <v>12</v>
      </c>
      <c r="K1966">
        <v>1</v>
      </c>
      <c r="L1966">
        <v>650</v>
      </c>
      <c r="M1966">
        <v>650</v>
      </c>
      <c r="N1966">
        <f>IF(COUNTIFS($B$2:B1966,B1966)=1,1,0)</f>
        <v>1</v>
      </c>
    </row>
    <row r="1967" spans="1:14" x14ac:dyDescent="0.2">
      <c r="A1967">
        <v>1966</v>
      </c>
      <c r="B1967">
        <v>1987</v>
      </c>
      <c r="C1967">
        <f>1/COUNTIF(B:B,Table1[[#This Row],[order_id]])</f>
        <v>0.5</v>
      </c>
      <c r="D1967" t="str">
        <f>TEXT(Table1[[#This Row],[order_date]],"mmmm")</f>
        <v>June</v>
      </c>
      <c r="E1967" s="1">
        <v>45446</v>
      </c>
      <c r="F1967" s="1" t="str">
        <f>TEXT(Table1[[#This Row],[order_date]],"dddd")</f>
        <v>Monday</v>
      </c>
      <c r="G1967">
        <f>HOUR(Table1[[#This Row],[order_time]])</f>
        <v>12</v>
      </c>
      <c r="H1967" s="2">
        <v>0.52243055555555551</v>
      </c>
      <c r="I1967" t="s">
        <v>18</v>
      </c>
      <c r="J1967" t="s">
        <v>31</v>
      </c>
      <c r="K1967">
        <v>3</v>
      </c>
      <c r="L1967">
        <v>45</v>
      </c>
      <c r="M1967">
        <v>135</v>
      </c>
      <c r="N1967">
        <f>IF(COUNTIFS($B$2:B1967,B1967)=1,1,0)</f>
        <v>1</v>
      </c>
    </row>
    <row r="1968" spans="1:14" x14ac:dyDescent="0.2">
      <c r="A1968">
        <v>1967</v>
      </c>
      <c r="B1968">
        <v>1987</v>
      </c>
      <c r="C1968">
        <f>1/COUNTIF(B:B,Table1[[#This Row],[order_id]])</f>
        <v>0.5</v>
      </c>
      <c r="D1968" t="str">
        <f>TEXT(Table1[[#This Row],[order_date]],"mmmm")</f>
        <v>June</v>
      </c>
      <c r="E1968" s="1">
        <v>45446</v>
      </c>
      <c r="F1968" s="1" t="str">
        <f>TEXT(Table1[[#This Row],[order_date]],"dddd")</f>
        <v>Monday</v>
      </c>
      <c r="G1968">
        <f>HOUR(Table1[[#This Row],[order_time]])</f>
        <v>10</v>
      </c>
      <c r="H1968" s="2">
        <v>0.4475925925925926</v>
      </c>
      <c r="I1968" t="s">
        <v>18</v>
      </c>
      <c r="J1968" t="s">
        <v>26</v>
      </c>
      <c r="K1968">
        <v>4</v>
      </c>
      <c r="L1968">
        <v>55</v>
      </c>
      <c r="M1968">
        <v>220</v>
      </c>
      <c r="N1968">
        <f>IF(COUNTIFS($B$2:B1968,B1968)=1,1,0)</f>
        <v>0</v>
      </c>
    </row>
    <row r="1969" spans="1:14" x14ac:dyDescent="0.2">
      <c r="A1969">
        <v>1968</v>
      </c>
      <c r="B1969">
        <v>1988</v>
      </c>
      <c r="C1969">
        <f>1/COUNTIF(B:B,Table1[[#This Row],[order_id]])</f>
        <v>0.5</v>
      </c>
      <c r="D1969" t="str">
        <f>TEXT(Table1[[#This Row],[order_date]],"mmmm")</f>
        <v>June</v>
      </c>
      <c r="E1969" s="1">
        <v>45446</v>
      </c>
      <c r="F1969" s="1" t="str">
        <f>TEXT(Table1[[#This Row],[order_date]],"dddd")</f>
        <v>Monday</v>
      </c>
      <c r="G1969">
        <f>HOUR(Table1[[#This Row],[order_time]])</f>
        <v>18</v>
      </c>
      <c r="H1969" s="2">
        <v>0.75086805555555558</v>
      </c>
      <c r="I1969" t="s">
        <v>16</v>
      </c>
      <c r="J1969" t="s">
        <v>24</v>
      </c>
      <c r="K1969">
        <v>1</v>
      </c>
      <c r="L1969">
        <v>35</v>
      </c>
      <c r="M1969">
        <v>35</v>
      </c>
      <c r="N1969">
        <f>IF(COUNTIFS($B$2:B1969,B1969)=1,1,0)</f>
        <v>1</v>
      </c>
    </row>
    <row r="1970" spans="1:14" x14ac:dyDescent="0.2">
      <c r="A1970">
        <v>1969</v>
      </c>
      <c r="B1970">
        <v>1988</v>
      </c>
      <c r="C1970">
        <f>1/COUNTIF(B:B,Table1[[#This Row],[order_id]])</f>
        <v>0.5</v>
      </c>
      <c r="D1970" t="str">
        <f>TEXT(Table1[[#This Row],[order_date]],"mmmm")</f>
        <v>June</v>
      </c>
      <c r="E1970" s="1">
        <v>45446</v>
      </c>
      <c r="F1970" s="1" t="str">
        <f>TEXT(Table1[[#This Row],[order_date]],"dddd")</f>
        <v>Monday</v>
      </c>
      <c r="G1970">
        <f>HOUR(Table1[[#This Row],[order_time]])</f>
        <v>18</v>
      </c>
      <c r="H1970" s="2">
        <v>0.75255787037037036</v>
      </c>
      <c r="I1970" t="s">
        <v>11</v>
      </c>
      <c r="J1970" t="s">
        <v>15</v>
      </c>
      <c r="K1970">
        <v>3</v>
      </c>
      <c r="L1970">
        <v>600</v>
      </c>
      <c r="M1970">
        <v>1800</v>
      </c>
      <c r="N1970">
        <f>IF(COUNTIFS($B$2:B1970,B1970)=1,1,0)</f>
        <v>0</v>
      </c>
    </row>
    <row r="1971" spans="1:14" x14ac:dyDescent="0.2">
      <c r="A1971">
        <v>1970</v>
      </c>
      <c r="B1971">
        <v>1989</v>
      </c>
      <c r="C1971">
        <f>1/COUNTIF(B:B,Table1[[#This Row],[order_id]])</f>
        <v>1</v>
      </c>
      <c r="D1971" t="str">
        <f>TEXT(Table1[[#This Row],[order_date]],"mmmm")</f>
        <v>June</v>
      </c>
      <c r="E1971" s="1">
        <v>45446</v>
      </c>
      <c r="F1971" s="1" t="str">
        <f>TEXT(Table1[[#This Row],[order_date]],"dddd")</f>
        <v>Monday</v>
      </c>
      <c r="G1971">
        <f>HOUR(Table1[[#This Row],[order_time]])</f>
        <v>12</v>
      </c>
      <c r="H1971" s="2">
        <v>0.52513888888888893</v>
      </c>
      <c r="I1971" t="s">
        <v>18</v>
      </c>
      <c r="J1971" t="s">
        <v>19</v>
      </c>
      <c r="K1971">
        <v>1</v>
      </c>
      <c r="L1971">
        <v>50</v>
      </c>
      <c r="M1971">
        <v>50</v>
      </c>
      <c r="N1971">
        <f>IF(COUNTIFS($B$2:B1971,B1971)=1,1,0)</f>
        <v>1</v>
      </c>
    </row>
    <row r="1972" spans="1:14" x14ac:dyDescent="0.2">
      <c r="A1972">
        <v>1971</v>
      </c>
      <c r="B1972">
        <v>1990</v>
      </c>
      <c r="C1972">
        <f>1/COUNTIF(B:B,Table1[[#This Row],[order_id]])</f>
        <v>0.5</v>
      </c>
      <c r="D1972" t="str">
        <f>TEXT(Table1[[#This Row],[order_date]],"mmmm")</f>
        <v>June</v>
      </c>
      <c r="E1972" s="1">
        <v>45446</v>
      </c>
      <c r="F1972" s="1" t="str">
        <f>TEXT(Table1[[#This Row],[order_date]],"dddd")</f>
        <v>Monday</v>
      </c>
      <c r="G1972">
        <f>HOUR(Table1[[#This Row],[order_time]])</f>
        <v>11</v>
      </c>
      <c r="H1972" s="2">
        <v>0.49083333333333334</v>
      </c>
      <c r="I1972" t="s">
        <v>9</v>
      </c>
      <c r="J1972" t="s">
        <v>10</v>
      </c>
      <c r="K1972">
        <v>4</v>
      </c>
      <c r="L1972">
        <v>20</v>
      </c>
      <c r="M1972">
        <v>80</v>
      </c>
      <c r="N1972">
        <f>IF(COUNTIFS($B$2:B1972,B1972)=1,1,0)</f>
        <v>1</v>
      </c>
    </row>
    <row r="1973" spans="1:14" x14ac:dyDescent="0.2">
      <c r="A1973">
        <v>1972</v>
      </c>
      <c r="B1973">
        <v>1990</v>
      </c>
      <c r="C1973">
        <f>1/COUNTIF(B:B,Table1[[#This Row],[order_id]])</f>
        <v>0.5</v>
      </c>
      <c r="D1973" t="str">
        <f>TEXT(Table1[[#This Row],[order_date]],"mmmm")</f>
        <v>June</v>
      </c>
      <c r="E1973" s="1">
        <v>45446</v>
      </c>
      <c r="F1973" s="1" t="str">
        <f>TEXT(Table1[[#This Row],[order_date]],"dddd")</f>
        <v>Monday</v>
      </c>
      <c r="G1973">
        <f>HOUR(Table1[[#This Row],[order_time]])</f>
        <v>10</v>
      </c>
      <c r="H1973" s="2">
        <v>0.41971064814814812</v>
      </c>
      <c r="I1973" t="s">
        <v>9</v>
      </c>
      <c r="J1973" t="s">
        <v>20</v>
      </c>
      <c r="K1973">
        <v>2</v>
      </c>
      <c r="L1973">
        <v>25</v>
      </c>
      <c r="M1973">
        <v>50</v>
      </c>
      <c r="N1973">
        <f>IF(COUNTIFS($B$2:B1973,B1973)=1,1,0)</f>
        <v>0</v>
      </c>
    </row>
    <row r="1974" spans="1:14" x14ac:dyDescent="0.2">
      <c r="A1974">
        <v>1973</v>
      </c>
      <c r="B1974">
        <v>1991</v>
      </c>
      <c r="C1974">
        <f>1/COUNTIF(B:B,Table1[[#This Row],[order_id]])</f>
        <v>0.33333333333333331</v>
      </c>
      <c r="D1974" t="str">
        <f>TEXT(Table1[[#This Row],[order_date]],"mmmm")</f>
        <v>June</v>
      </c>
      <c r="E1974" s="1">
        <v>45446</v>
      </c>
      <c r="F1974" s="1" t="str">
        <f>TEXT(Table1[[#This Row],[order_date]],"dddd")</f>
        <v>Monday</v>
      </c>
      <c r="G1974">
        <f>HOUR(Table1[[#This Row],[order_time]])</f>
        <v>19</v>
      </c>
      <c r="H1974" s="2">
        <v>0.79998842592592589</v>
      </c>
      <c r="I1974" t="s">
        <v>16</v>
      </c>
      <c r="J1974" t="s">
        <v>24</v>
      </c>
      <c r="K1974">
        <v>4</v>
      </c>
      <c r="L1974">
        <v>35</v>
      </c>
      <c r="M1974">
        <v>140</v>
      </c>
      <c r="N1974">
        <f>IF(COUNTIFS($B$2:B1974,B1974)=1,1,0)</f>
        <v>1</v>
      </c>
    </row>
    <row r="1975" spans="1:14" x14ac:dyDescent="0.2">
      <c r="A1975">
        <v>1974</v>
      </c>
      <c r="B1975">
        <v>1991</v>
      </c>
      <c r="C1975">
        <f>1/COUNTIF(B:B,Table1[[#This Row],[order_id]])</f>
        <v>0.33333333333333331</v>
      </c>
      <c r="D1975" t="str">
        <f>TEXT(Table1[[#This Row],[order_date]],"mmmm")</f>
        <v>June</v>
      </c>
      <c r="E1975" s="1">
        <v>45446</v>
      </c>
      <c r="F1975" s="1" t="str">
        <f>TEXT(Table1[[#This Row],[order_date]],"dddd")</f>
        <v>Monday</v>
      </c>
      <c r="G1975">
        <f>HOUR(Table1[[#This Row],[order_time]])</f>
        <v>14</v>
      </c>
      <c r="H1975" s="2">
        <v>0.60703703703703704</v>
      </c>
      <c r="I1975" t="s">
        <v>18</v>
      </c>
      <c r="J1975" t="s">
        <v>31</v>
      </c>
      <c r="K1975">
        <v>4</v>
      </c>
      <c r="L1975">
        <v>45</v>
      </c>
      <c r="M1975">
        <v>180</v>
      </c>
      <c r="N1975">
        <f>IF(COUNTIFS($B$2:B1975,B1975)=1,1,0)</f>
        <v>0</v>
      </c>
    </row>
    <row r="1976" spans="1:14" x14ac:dyDescent="0.2">
      <c r="A1976">
        <v>1975</v>
      </c>
      <c r="B1976">
        <v>1991</v>
      </c>
      <c r="C1976">
        <f>1/COUNTIF(B:B,Table1[[#This Row],[order_id]])</f>
        <v>0.33333333333333331</v>
      </c>
      <c r="D1976" t="str">
        <f>TEXT(Table1[[#This Row],[order_date]],"mmmm")</f>
        <v>June</v>
      </c>
      <c r="E1976" s="1">
        <v>45446</v>
      </c>
      <c r="F1976" s="1" t="str">
        <f>TEXT(Table1[[#This Row],[order_date]],"dddd")</f>
        <v>Monday</v>
      </c>
      <c r="G1976">
        <f>HOUR(Table1[[#This Row],[order_time]])</f>
        <v>10</v>
      </c>
      <c r="H1976" s="2">
        <v>0.44819444444444445</v>
      </c>
      <c r="I1976" t="s">
        <v>16</v>
      </c>
      <c r="J1976" t="s">
        <v>28</v>
      </c>
      <c r="K1976">
        <v>1</v>
      </c>
      <c r="L1976">
        <v>25</v>
      </c>
      <c r="M1976">
        <v>25</v>
      </c>
      <c r="N1976">
        <f>IF(COUNTIFS($B$2:B1976,B1976)=1,1,0)</f>
        <v>0</v>
      </c>
    </row>
    <row r="1977" spans="1:14" x14ac:dyDescent="0.2">
      <c r="A1977">
        <v>1976</v>
      </c>
      <c r="B1977">
        <v>1992</v>
      </c>
      <c r="C1977">
        <f>1/COUNTIF(B:B,Table1[[#This Row],[order_id]])</f>
        <v>1</v>
      </c>
      <c r="D1977" t="str">
        <f>TEXT(Table1[[#This Row],[order_date]],"mmmm")</f>
        <v>June</v>
      </c>
      <c r="E1977" s="1">
        <v>45446</v>
      </c>
      <c r="F1977" s="1" t="str">
        <f>TEXT(Table1[[#This Row],[order_date]],"dddd")</f>
        <v>Monday</v>
      </c>
      <c r="G1977">
        <f>HOUR(Table1[[#This Row],[order_time]])</f>
        <v>19</v>
      </c>
      <c r="H1977" s="2">
        <v>0.80107638888888888</v>
      </c>
      <c r="I1977" t="s">
        <v>9</v>
      </c>
      <c r="J1977" t="s">
        <v>22</v>
      </c>
      <c r="K1977">
        <v>1</v>
      </c>
      <c r="L1977">
        <v>15</v>
      </c>
      <c r="M1977">
        <v>15</v>
      </c>
      <c r="N1977">
        <f>IF(COUNTIFS($B$2:B1977,B1977)=1,1,0)</f>
        <v>1</v>
      </c>
    </row>
    <row r="1978" spans="1:14" x14ac:dyDescent="0.2">
      <c r="A1978">
        <v>1977</v>
      </c>
      <c r="B1978">
        <v>1993</v>
      </c>
      <c r="C1978">
        <f>1/COUNTIF(B:B,Table1[[#This Row],[order_id]])</f>
        <v>0.33333333333333331</v>
      </c>
      <c r="D1978" t="str">
        <f>TEXT(Table1[[#This Row],[order_date]],"mmmm")</f>
        <v>June</v>
      </c>
      <c r="E1978" s="1">
        <v>45447</v>
      </c>
      <c r="F1978" s="1" t="str">
        <f>TEXT(Table1[[#This Row],[order_date]],"dddd")</f>
        <v>Tuesday</v>
      </c>
      <c r="G1978">
        <f>HOUR(Table1[[#This Row],[order_time]])</f>
        <v>12</v>
      </c>
      <c r="H1978" s="2">
        <v>0.53054398148148152</v>
      </c>
      <c r="I1978" t="s">
        <v>11</v>
      </c>
      <c r="J1978" t="s">
        <v>12</v>
      </c>
      <c r="K1978">
        <v>4</v>
      </c>
      <c r="L1978">
        <v>650</v>
      </c>
      <c r="M1978">
        <v>2600</v>
      </c>
      <c r="N1978">
        <f>IF(COUNTIFS($B$2:B1978,B1978)=1,1,0)</f>
        <v>1</v>
      </c>
    </row>
    <row r="1979" spans="1:14" x14ac:dyDescent="0.2">
      <c r="A1979">
        <v>1978</v>
      </c>
      <c r="B1979">
        <v>1993</v>
      </c>
      <c r="C1979">
        <f>1/COUNTIF(B:B,Table1[[#This Row],[order_id]])</f>
        <v>0.33333333333333331</v>
      </c>
      <c r="D1979" t="str">
        <f>TEXT(Table1[[#This Row],[order_date]],"mmmm")</f>
        <v>June</v>
      </c>
      <c r="E1979" s="1">
        <v>45447</v>
      </c>
      <c r="F1979" s="1" t="str">
        <f>TEXT(Table1[[#This Row],[order_date]],"dddd")</f>
        <v>Tuesday</v>
      </c>
      <c r="G1979">
        <f>HOUR(Table1[[#This Row],[order_time]])</f>
        <v>13</v>
      </c>
      <c r="H1979" s="2">
        <v>0.57535879629629627</v>
      </c>
      <c r="I1979" t="s">
        <v>11</v>
      </c>
      <c r="J1979" t="s">
        <v>15</v>
      </c>
      <c r="K1979">
        <v>3</v>
      </c>
      <c r="L1979">
        <v>600</v>
      </c>
      <c r="M1979">
        <v>1800</v>
      </c>
      <c r="N1979">
        <f>IF(COUNTIFS($B$2:B1979,B1979)=1,1,0)</f>
        <v>0</v>
      </c>
    </row>
    <row r="1980" spans="1:14" x14ac:dyDescent="0.2">
      <c r="A1980">
        <v>1979</v>
      </c>
      <c r="B1980">
        <v>1993</v>
      </c>
      <c r="C1980">
        <f>1/COUNTIF(B:B,Table1[[#This Row],[order_id]])</f>
        <v>0.33333333333333331</v>
      </c>
      <c r="D1980" t="str">
        <f>TEXT(Table1[[#This Row],[order_date]],"mmmm")</f>
        <v>June</v>
      </c>
      <c r="E1980" s="1">
        <v>45447</v>
      </c>
      <c r="F1980" s="1" t="str">
        <f>TEXT(Table1[[#This Row],[order_date]],"dddd")</f>
        <v>Tuesday</v>
      </c>
      <c r="G1980">
        <f>HOUR(Table1[[#This Row],[order_time]])</f>
        <v>14</v>
      </c>
      <c r="H1980" s="2">
        <v>0.62069444444444444</v>
      </c>
      <c r="I1980" t="s">
        <v>11</v>
      </c>
      <c r="J1980" t="s">
        <v>14</v>
      </c>
      <c r="K1980">
        <v>1</v>
      </c>
      <c r="L1980">
        <v>700</v>
      </c>
      <c r="M1980">
        <v>700</v>
      </c>
      <c r="N1980">
        <f>IF(COUNTIFS($B$2:B1980,B1980)=1,1,0)</f>
        <v>0</v>
      </c>
    </row>
    <row r="1981" spans="1:14" x14ac:dyDescent="0.2">
      <c r="A1981">
        <v>1980</v>
      </c>
      <c r="B1981">
        <v>1994</v>
      </c>
      <c r="C1981">
        <f>1/COUNTIF(B:B,Table1[[#This Row],[order_id]])</f>
        <v>0.33333333333333331</v>
      </c>
      <c r="D1981" t="str">
        <f>TEXT(Table1[[#This Row],[order_date]],"mmmm")</f>
        <v>June</v>
      </c>
      <c r="E1981" s="1">
        <v>45447</v>
      </c>
      <c r="F1981" s="1" t="str">
        <f>TEXT(Table1[[#This Row],[order_date]],"dddd")</f>
        <v>Tuesday</v>
      </c>
      <c r="G1981">
        <f>HOUR(Table1[[#This Row],[order_time]])</f>
        <v>11</v>
      </c>
      <c r="H1981" s="2">
        <v>0.48532407407407407</v>
      </c>
      <c r="I1981" t="s">
        <v>16</v>
      </c>
      <c r="J1981" t="s">
        <v>28</v>
      </c>
      <c r="K1981">
        <v>2</v>
      </c>
      <c r="L1981">
        <v>25</v>
      </c>
      <c r="M1981">
        <v>50</v>
      </c>
      <c r="N1981">
        <f>IF(COUNTIFS($B$2:B1981,B1981)=1,1,0)</f>
        <v>1</v>
      </c>
    </row>
    <row r="1982" spans="1:14" x14ac:dyDescent="0.2">
      <c r="A1982">
        <v>1981</v>
      </c>
      <c r="B1982">
        <v>1994</v>
      </c>
      <c r="C1982">
        <f>1/COUNTIF(B:B,Table1[[#This Row],[order_id]])</f>
        <v>0.33333333333333331</v>
      </c>
      <c r="D1982" t="str">
        <f>TEXT(Table1[[#This Row],[order_date]],"mmmm")</f>
        <v>June</v>
      </c>
      <c r="E1982" s="1">
        <v>45447</v>
      </c>
      <c r="F1982" s="1" t="str">
        <f>TEXT(Table1[[#This Row],[order_date]],"dddd")</f>
        <v>Tuesday</v>
      </c>
      <c r="G1982">
        <f>HOUR(Table1[[#This Row],[order_time]])</f>
        <v>11</v>
      </c>
      <c r="H1982" s="2">
        <v>0.48120370370370369</v>
      </c>
      <c r="I1982" t="s">
        <v>9</v>
      </c>
      <c r="J1982" t="s">
        <v>21</v>
      </c>
      <c r="K1982">
        <v>1</v>
      </c>
      <c r="L1982">
        <v>10</v>
      </c>
      <c r="M1982">
        <v>10</v>
      </c>
      <c r="N1982">
        <f>IF(COUNTIFS($B$2:B1982,B1982)=1,1,0)</f>
        <v>0</v>
      </c>
    </row>
    <row r="1983" spans="1:14" x14ac:dyDescent="0.2">
      <c r="A1983">
        <v>1982</v>
      </c>
      <c r="B1983">
        <v>1994</v>
      </c>
      <c r="C1983">
        <f>1/COUNTIF(B:B,Table1[[#This Row],[order_id]])</f>
        <v>0.33333333333333331</v>
      </c>
      <c r="D1983" t="str">
        <f>TEXT(Table1[[#This Row],[order_date]],"mmmm")</f>
        <v>June</v>
      </c>
      <c r="E1983" s="1">
        <v>45447</v>
      </c>
      <c r="F1983" s="1" t="str">
        <f>TEXT(Table1[[#This Row],[order_date]],"dddd")</f>
        <v>Tuesday</v>
      </c>
      <c r="G1983">
        <f>HOUR(Table1[[#This Row],[order_time]])</f>
        <v>18</v>
      </c>
      <c r="H1983" s="2">
        <v>0.75380787037037034</v>
      </c>
      <c r="I1983" t="s">
        <v>9</v>
      </c>
      <c r="J1983" t="s">
        <v>21</v>
      </c>
      <c r="K1983">
        <v>1</v>
      </c>
      <c r="L1983">
        <v>10</v>
      </c>
      <c r="M1983">
        <v>10</v>
      </c>
      <c r="N1983">
        <f>IF(COUNTIFS($B$2:B1983,B1983)=1,1,0)</f>
        <v>0</v>
      </c>
    </row>
    <row r="1984" spans="1:14" x14ac:dyDescent="0.2">
      <c r="A1984">
        <v>1983</v>
      </c>
      <c r="B1984">
        <v>1995</v>
      </c>
      <c r="C1984">
        <f>1/COUNTIF(B:B,Table1[[#This Row],[order_id]])</f>
        <v>0.5</v>
      </c>
      <c r="D1984" t="str">
        <f>TEXT(Table1[[#This Row],[order_date]],"mmmm")</f>
        <v>June</v>
      </c>
      <c r="E1984" s="1">
        <v>45447</v>
      </c>
      <c r="F1984" s="1" t="str">
        <f>TEXT(Table1[[#This Row],[order_date]],"dddd")</f>
        <v>Tuesday</v>
      </c>
      <c r="G1984">
        <f>HOUR(Table1[[#This Row],[order_time]])</f>
        <v>20</v>
      </c>
      <c r="H1984" s="2">
        <v>0.85637731481481483</v>
      </c>
      <c r="I1984" t="s">
        <v>9</v>
      </c>
      <c r="J1984" t="s">
        <v>29</v>
      </c>
      <c r="K1984">
        <v>5</v>
      </c>
      <c r="L1984">
        <v>5</v>
      </c>
      <c r="M1984">
        <v>25</v>
      </c>
      <c r="N1984">
        <f>IF(COUNTIFS($B$2:B1984,B1984)=1,1,0)</f>
        <v>1</v>
      </c>
    </row>
    <row r="1985" spans="1:14" x14ac:dyDescent="0.2">
      <c r="A1985">
        <v>1984</v>
      </c>
      <c r="B1985">
        <v>1995</v>
      </c>
      <c r="C1985">
        <f>1/COUNTIF(B:B,Table1[[#This Row],[order_id]])</f>
        <v>0.5</v>
      </c>
      <c r="D1985" t="str">
        <f>TEXT(Table1[[#This Row],[order_date]],"mmmm")</f>
        <v>June</v>
      </c>
      <c r="E1985" s="1">
        <v>45447</v>
      </c>
      <c r="F1985" s="1" t="str">
        <f>TEXT(Table1[[#This Row],[order_date]],"dddd")</f>
        <v>Tuesday</v>
      </c>
      <c r="G1985">
        <f>HOUR(Table1[[#This Row],[order_time]])</f>
        <v>16</v>
      </c>
      <c r="H1985" s="2">
        <v>0.69260416666666669</v>
      </c>
      <c r="I1985" t="s">
        <v>16</v>
      </c>
      <c r="J1985" t="s">
        <v>24</v>
      </c>
      <c r="K1985">
        <v>1</v>
      </c>
      <c r="L1985">
        <v>35</v>
      </c>
      <c r="M1985">
        <v>35</v>
      </c>
      <c r="N1985">
        <f>IF(COUNTIFS($B$2:B1985,B1985)=1,1,0)</f>
        <v>0</v>
      </c>
    </row>
    <row r="1986" spans="1:14" x14ac:dyDescent="0.2">
      <c r="A1986">
        <v>1985</v>
      </c>
      <c r="B1986">
        <v>1996</v>
      </c>
      <c r="C1986">
        <f>1/COUNTIF(B:B,Table1[[#This Row],[order_id]])</f>
        <v>0.5</v>
      </c>
      <c r="D1986" t="str">
        <f>TEXT(Table1[[#This Row],[order_date]],"mmmm")</f>
        <v>June</v>
      </c>
      <c r="E1986" s="1">
        <v>45447</v>
      </c>
      <c r="F1986" s="1" t="str">
        <f>TEXT(Table1[[#This Row],[order_date]],"dddd")</f>
        <v>Tuesday</v>
      </c>
      <c r="G1986">
        <f>HOUR(Table1[[#This Row],[order_time]])</f>
        <v>16</v>
      </c>
      <c r="H1986" s="2">
        <v>0.70306712962962958</v>
      </c>
      <c r="I1986" t="s">
        <v>16</v>
      </c>
      <c r="J1986" t="s">
        <v>17</v>
      </c>
      <c r="K1986">
        <v>5</v>
      </c>
      <c r="L1986">
        <v>20</v>
      </c>
      <c r="M1986">
        <v>100</v>
      </c>
      <c r="N1986">
        <f>IF(COUNTIFS($B$2:B1986,B1986)=1,1,0)</f>
        <v>1</v>
      </c>
    </row>
    <row r="1987" spans="1:14" x14ac:dyDescent="0.2">
      <c r="A1987">
        <v>1986</v>
      </c>
      <c r="B1987">
        <v>1996</v>
      </c>
      <c r="C1987">
        <f>1/COUNTIF(B:B,Table1[[#This Row],[order_id]])</f>
        <v>0.5</v>
      </c>
      <c r="D1987" t="str">
        <f>TEXT(Table1[[#This Row],[order_date]],"mmmm")</f>
        <v>June</v>
      </c>
      <c r="E1987" s="1">
        <v>45447</v>
      </c>
      <c r="F1987" s="1" t="str">
        <f>TEXT(Table1[[#This Row],[order_date]],"dddd")</f>
        <v>Tuesday</v>
      </c>
      <c r="G1987">
        <f>HOUR(Table1[[#This Row],[order_time]])</f>
        <v>10</v>
      </c>
      <c r="H1987" s="2">
        <v>0.44824074074074072</v>
      </c>
      <c r="I1987" t="s">
        <v>16</v>
      </c>
      <c r="J1987" t="s">
        <v>23</v>
      </c>
      <c r="K1987">
        <v>2</v>
      </c>
      <c r="L1987">
        <v>30</v>
      </c>
      <c r="M1987">
        <v>60</v>
      </c>
      <c r="N1987">
        <f>IF(COUNTIFS($B$2:B1987,B1987)=1,1,0)</f>
        <v>0</v>
      </c>
    </row>
    <row r="1988" spans="1:14" x14ac:dyDescent="0.2">
      <c r="A1988">
        <v>1987</v>
      </c>
      <c r="B1988">
        <v>1997</v>
      </c>
      <c r="C1988">
        <f>1/COUNTIF(B:B,Table1[[#This Row],[order_id]])</f>
        <v>0.5</v>
      </c>
      <c r="D1988" t="str">
        <f>TEXT(Table1[[#This Row],[order_date]],"mmmm")</f>
        <v>June</v>
      </c>
      <c r="E1988" s="1">
        <v>45447</v>
      </c>
      <c r="F1988" s="1" t="str">
        <f>TEXT(Table1[[#This Row],[order_date]],"dddd")</f>
        <v>Tuesday</v>
      </c>
      <c r="G1988">
        <f>HOUR(Table1[[#This Row],[order_time]])</f>
        <v>10</v>
      </c>
      <c r="H1988" s="2">
        <v>0.43255787037037036</v>
      </c>
      <c r="I1988" t="s">
        <v>11</v>
      </c>
      <c r="J1988" t="s">
        <v>14</v>
      </c>
      <c r="K1988">
        <v>3</v>
      </c>
      <c r="L1988">
        <v>700</v>
      </c>
      <c r="M1988">
        <v>2100</v>
      </c>
      <c r="N1988">
        <f>IF(COUNTIFS($B$2:B1988,B1988)=1,1,0)</f>
        <v>1</v>
      </c>
    </row>
    <row r="1989" spans="1:14" x14ac:dyDescent="0.2">
      <c r="A1989">
        <v>1988</v>
      </c>
      <c r="B1989">
        <v>1997</v>
      </c>
      <c r="C1989">
        <f>1/COUNTIF(B:B,Table1[[#This Row],[order_id]])</f>
        <v>0.5</v>
      </c>
      <c r="D1989" t="str">
        <f>TEXT(Table1[[#This Row],[order_date]],"mmmm")</f>
        <v>June</v>
      </c>
      <c r="E1989" s="1">
        <v>45447</v>
      </c>
      <c r="F1989" s="1" t="str">
        <f>TEXT(Table1[[#This Row],[order_date]],"dddd")</f>
        <v>Tuesday</v>
      </c>
      <c r="G1989">
        <f>HOUR(Table1[[#This Row],[order_time]])</f>
        <v>13</v>
      </c>
      <c r="H1989" s="2">
        <v>0.55134259259259255</v>
      </c>
      <c r="I1989" t="s">
        <v>16</v>
      </c>
      <c r="J1989" t="s">
        <v>17</v>
      </c>
      <c r="K1989">
        <v>4</v>
      </c>
      <c r="L1989">
        <v>20</v>
      </c>
      <c r="M1989">
        <v>80</v>
      </c>
      <c r="N1989">
        <f>IF(COUNTIFS($B$2:B1989,B1989)=1,1,0)</f>
        <v>0</v>
      </c>
    </row>
    <row r="1990" spans="1:14" x14ac:dyDescent="0.2">
      <c r="A1990">
        <v>1989</v>
      </c>
      <c r="B1990">
        <v>1998</v>
      </c>
      <c r="C1990">
        <f>1/COUNTIF(B:B,Table1[[#This Row],[order_id]])</f>
        <v>0.5</v>
      </c>
      <c r="D1990" t="str">
        <f>TEXT(Table1[[#This Row],[order_date]],"mmmm")</f>
        <v>June</v>
      </c>
      <c r="E1990" s="1">
        <v>45447</v>
      </c>
      <c r="F1990" s="1" t="str">
        <f>TEXT(Table1[[#This Row],[order_date]],"dddd")</f>
        <v>Tuesday</v>
      </c>
      <c r="G1990">
        <f>HOUR(Table1[[#This Row],[order_time]])</f>
        <v>11</v>
      </c>
      <c r="H1990" s="2">
        <v>0.47122685185185187</v>
      </c>
      <c r="I1990" t="s">
        <v>11</v>
      </c>
      <c r="J1990" t="s">
        <v>25</v>
      </c>
      <c r="K1990">
        <v>5</v>
      </c>
      <c r="L1990">
        <v>1000</v>
      </c>
      <c r="M1990">
        <v>5000</v>
      </c>
      <c r="N1990">
        <f>IF(COUNTIFS($B$2:B1990,B1990)=1,1,0)</f>
        <v>1</v>
      </c>
    </row>
    <row r="1991" spans="1:14" x14ac:dyDescent="0.2">
      <c r="A1991">
        <v>1990</v>
      </c>
      <c r="B1991">
        <v>1998</v>
      </c>
      <c r="C1991">
        <f>1/COUNTIF(B:B,Table1[[#This Row],[order_id]])</f>
        <v>0.5</v>
      </c>
      <c r="D1991" t="str">
        <f>TEXT(Table1[[#This Row],[order_date]],"mmmm")</f>
        <v>June</v>
      </c>
      <c r="E1991" s="1">
        <v>45447</v>
      </c>
      <c r="F1991" s="1" t="str">
        <f>TEXT(Table1[[#This Row],[order_date]],"dddd")</f>
        <v>Tuesday</v>
      </c>
      <c r="G1991">
        <f>HOUR(Table1[[#This Row],[order_time]])</f>
        <v>17</v>
      </c>
      <c r="H1991" s="2">
        <v>0.74313657407407407</v>
      </c>
      <c r="I1991" t="s">
        <v>9</v>
      </c>
      <c r="J1991" t="s">
        <v>22</v>
      </c>
      <c r="K1991">
        <v>2</v>
      </c>
      <c r="L1991">
        <v>15</v>
      </c>
      <c r="M1991">
        <v>30</v>
      </c>
      <c r="N1991">
        <f>IF(COUNTIFS($B$2:B1991,B1991)=1,1,0)</f>
        <v>0</v>
      </c>
    </row>
    <row r="1992" spans="1:14" x14ac:dyDescent="0.2">
      <c r="A1992">
        <v>1991</v>
      </c>
      <c r="B1992">
        <v>1999</v>
      </c>
      <c r="C1992">
        <f>1/COUNTIF(B:B,Table1[[#This Row],[order_id]])</f>
        <v>0.33333333333333331</v>
      </c>
      <c r="D1992" t="str">
        <f>TEXT(Table1[[#This Row],[order_date]],"mmmm")</f>
        <v>June</v>
      </c>
      <c r="E1992" s="1">
        <v>45447</v>
      </c>
      <c r="F1992" s="1" t="str">
        <f>TEXT(Table1[[#This Row],[order_date]],"dddd")</f>
        <v>Tuesday</v>
      </c>
      <c r="G1992">
        <f>HOUR(Table1[[#This Row],[order_time]])</f>
        <v>18</v>
      </c>
      <c r="H1992" s="2">
        <v>0.78012731481481479</v>
      </c>
      <c r="I1992" t="s">
        <v>9</v>
      </c>
      <c r="J1992" t="s">
        <v>29</v>
      </c>
      <c r="K1992">
        <v>2</v>
      </c>
      <c r="L1992">
        <v>5</v>
      </c>
      <c r="M1992">
        <v>10</v>
      </c>
      <c r="N1992">
        <f>IF(COUNTIFS($B$2:B1992,B1992)=1,1,0)</f>
        <v>1</v>
      </c>
    </row>
    <row r="1993" spans="1:14" x14ac:dyDescent="0.2">
      <c r="A1993">
        <v>1992</v>
      </c>
      <c r="B1993">
        <v>1999</v>
      </c>
      <c r="C1993">
        <f>1/COUNTIF(B:B,Table1[[#This Row],[order_id]])</f>
        <v>0.33333333333333331</v>
      </c>
      <c r="D1993" t="str">
        <f>TEXT(Table1[[#This Row],[order_date]],"mmmm")</f>
        <v>June</v>
      </c>
      <c r="E1993" s="1">
        <v>45447</v>
      </c>
      <c r="F1993" s="1" t="str">
        <f>TEXT(Table1[[#This Row],[order_date]],"dddd")</f>
        <v>Tuesday</v>
      </c>
      <c r="G1993">
        <f>HOUR(Table1[[#This Row],[order_time]])</f>
        <v>19</v>
      </c>
      <c r="H1993" s="2">
        <v>0.8037037037037037</v>
      </c>
      <c r="I1993" t="s">
        <v>11</v>
      </c>
      <c r="J1993" t="s">
        <v>25</v>
      </c>
      <c r="K1993">
        <v>3</v>
      </c>
      <c r="L1993">
        <v>1000</v>
      </c>
      <c r="M1993">
        <v>3000</v>
      </c>
      <c r="N1993">
        <f>IF(COUNTIFS($B$2:B1993,B1993)=1,1,0)</f>
        <v>0</v>
      </c>
    </row>
    <row r="1994" spans="1:14" x14ac:dyDescent="0.2">
      <c r="A1994">
        <v>1993</v>
      </c>
      <c r="B1994">
        <v>1999</v>
      </c>
      <c r="C1994">
        <f>1/COUNTIF(B:B,Table1[[#This Row],[order_id]])</f>
        <v>0.33333333333333331</v>
      </c>
      <c r="D1994" t="str">
        <f>TEXT(Table1[[#This Row],[order_date]],"mmmm")</f>
        <v>June</v>
      </c>
      <c r="E1994" s="1">
        <v>45447</v>
      </c>
      <c r="F1994" s="1" t="str">
        <f>TEXT(Table1[[#This Row],[order_date]],"dddd")</f>
        <v>Tuesday</v>
      </c>
      <c r="G1994">
        <f>HOUR(Table1[[#This Row],[order_time]])</f>
        <v>11</v>
      </c>
      <c r="H1994" s="2">
        <v>0.47518518518518521</v>
      </c>
      <c r="I1994" t="s">
        <v>16</v>
      </c>
      <c r="J1994" t="s">
        <v>28</v>
      </c>
      <c r="K1994">
        <v>3</v>
      </c>
      <c r="L1994">
        <v>25</v>
      </c>
      <c r="M1994">
        <v>75</v>
      </c>
      <c r="N1994">
        <f>IF(COUNTIFS($B$2:B1994,B1994)=1,1,0)</f>
        <v>0</v>
      </c>
    </row>
    <row r="1995" spans="1:14" x14ac:dyDescent="0.2">
      <c r="A1995">
        <v>1994</v>
      </c>
      <c r="B1995">
        <v>2000</v>
      </c>
      <c r="C1995">
        <f>1/COUNTIF(B:B,Table1[[#This Row],[order_id]])</f>
        <v>1</v>
      </c>
      <c r="D1995" t="str">
        <f>TEXT(Table1[[#This Row],[order_date]],"mmmm")</f>
        <v>June</v>
      </c>
      <c r="E1995" s="1">
        <v>45447</v>
      </c>
      <c r="F1995" s="1" t="str">
        <f>TEXT(Table1[[#This Row],[order_date]],"dddd")</f>
        <v>Tuesday</v>
      </c>
      <c r="G1995">
        <f>HOUR(Table1[[#This Row],[order_time]])</f>
        <v>19</v>
      </c>
      <c r="H1995" s="2">
        <v>0.83305555555555555</v>
      </c>
      <c r="I1995" t="s">
        <v>16</v>
      </c>
      <c r="J1995" t="s">
        <v>23</v>
      </c>
      <c r="K1995">
        <v>3</v>
      </c>
      <c r="L1995">
        <v>30</v>
      </c>
      <c r="M1995">
        <v>90</v>
      </c>
      <c r="N1995">
        <f>IF(COUNTIFS($B$2:B1995,B1995)=1,1,0)</f>
        <v>1</v>
      </c>
    </row>
    <row r="1996" spans="1:14" x14ac:dyDescent="0.2">
      <c r="A1996">
        <v>1995</v>
      </c>
      <c r="B1996">
        <v>2001</v>
      </c>
      <c r="C1996">
        <f>1/COUNTIF(B:B,Table1[[#This Row],[order_id]])</f>
        <v>1</v>
      </c>
      <c r="D1996" t="str">
        <f>TEXT(Table1[[#This Row],[order_date]],"mmmm")</f>
        <v>June</v>
      </c>
      <c r="E1996" s="1">
        <v>45447</v>
      </c>
      <c r="F1996" s="1" t="str">
        <f>TEXT(Table1[[#This Row],[order_date]],"dddd")</f>
        <v>Tuesday</v>
      </c>
      <c r="G1996">
        <f>HOUR(Table1[[#This Row],[order_time]])</f>
        <v>13</v>
      </c>
      <c r="H1996" s="2">
        <v>0.56109953703703708</v>
      </c>
      <c r="I1996" t="s">
        <v>18</v>
      </c>
      <c r="J1996" t="s">
        <v>26</v>
      </c>
      <c r="K1996">
        <v>1</v>
      </c>
      <c r="L1996">
        <v>55</v>
      </c>
      <c r="M1996">
        <v>55</v>
      </c>
      <c r="N1996">
        <f>IF(COUNTIFS($B$2:B1996,B1996)=1,1,0)</f>
        <v>1</v>
      </c>
    </row>
    <row r="1997" spans="1:14" x14ac:dyDescent="0.2">
      <c r="A1997">
        <v>1996</v>
      </c>
      <c r="B1997">
        <v>2002</v>
      </c>
      <c r="C1997">
        <f>1/COUNTIF(B:B,Table1[[#This Row],[order_id]])</f>
        <v>0.33333333333333331</v>
      </c>
      <c r="D1997" t="str">
        <f>TEXT(Table1[[#This Row],[order_date]],"mmmm")</f>
        <v>June</v>
      </c>
      <c r="E1997" s="1">
        <v>45447</v>
      </c>
      <c r="F1997" s="1" t="str">
        <f>TEXT(Table1[[#This Row],[order_date]],"dddd")</f>
        <v>Tuesday</v>
      </c>
      <c r="G1997">
        <f>HOUR(Table1[[#This Row],[order_time]])</f>
        <v>13</v>
      </c>
      <c r="H1997" s="2">
        <v>0.54428240740740741</v>
      </c>
      <c r="I1997" t="s">
        <v>11</v>
      </c>
      <c r="J1997" t="s">
        <v>12</v>
      </c>
      <c r="K1997">
        <v>4</v>
      </c>
      <c r="L1997">
        <v>650</v>
      </c>
      <c r="M1997">
        <v>2600</v>
      </c>
      <c r="N1997">
        <f>IF(COUNTIFS($B$2:B1997,B1997)=1,1,0)</f>
        <v>1</v>
      </c>
    </row>
    <row r="1998" spans="1:14" x14ac:dyDescent="0.2">
      <c r="A1998">
        <v>1997</v>
      </c>
      <c r="B1998">
        <v>2002</v>
      </c>
      <c r="C1998">
        <f>1/COUNTIF(B:B,Table1[[#This Row],[order_id]])</f>
        <v>0.33333333333333331</v>
      </c>
      <c r="D1998" t="str">
        <f>TEXT(Table1[[#This Row],[order_date]],"mmmm")</f>
        <v>June</v>
      </c>
      <c r="E1998" s="1">
        <v>45447</v>
      </c>
      <c r="F1998" s="1" t="str">
        <f>TEXT(Table1[[#This Row],[order_date]],"dddd")</f>
        <v>Tuesday</v>
      </c>
      <c r="G1998">
        <f>HOUR(Table1[[#This Row],[order_time]])</f>
        <v>13</v>
      </c>
      <c r="H1998" s="2">
        <v>0.5557523148148148</v>
      </c>
      <c r="I1998" t="s">
        <v>11</v>
      </c>
      <c r="J1998" t="s">
        <v>14</v>
      </c>
      <c r="K1998">
        <v>4</v>
      </c>
      <c r="L1998">
        <v>700</v>
      </c>
      <c r="M1998">
        <v>2800</v>
      </c>
      <c r="N1998">
        <f>IF(COUNTIFS($B$2:B1998,B1998)=1,1,0)</f>
        <v>0</v>
      </c>
    </row>
    <row r="1999" spans="1:14" x14ac:dyDescent="0.2">
      <c r="A1999">
        <v>1998</v>
      </c>
      <c r="B1999">
        <v>2002</v>
      </c>
      <c r="C1999">
        <f>1/COUNTIF(B:B,Table1[[#This Row],[order_id]])</f>
        <v>0.33333333333333331</v>
      </c>
      <c r="D1999" t="str">
        <f>TEXT(Table1[[#This Row],[order_date]],"mmmm")</f>
        <v>June</v>
      </c>
      <c r="E1999" s="1">
        <v>45447</v>
      </c>
      <c r="F1999" s="1" t="str">
        <f>TEXT(Table1[[#This Row],[order_date]],"dddd")</f>
        <v>Tuesday</v>
      </c>
      <c r="G1999">
        <f>HOUR(Table1[[#This Row],[order_time]])</f>
        <v>18</v>
      </c>
      <c r="H1999" s="2">
        <v>0.75225694444444446</v>
      </c>
      <c r="I1999" t="s">
        <v>18</v>
      </c>
      <c r="J1999" t="s">
        <v>26</v>
      </c>
      <c r="K1999">
        <v>2</v>
      </c>
      <c r="L1999">
        <v>55</v>
      </c>
      <c r="M1999">
        <v>110</v>
      </c>
      <c r="N1999">
        <f>IF(COUNTIFS($B$2:B1999,B1999)=1,1,0)</f>
        <v>0</v>
      </c>
    </row>
    <row r="2000" spans="1:14" x14ac:dyDescent="0.2">
      <c r="A2000">
        <v>1999</v>
      </c>
      <c r="B2000">
        <v>2003</v>
      </c>
      <c r="C2000">
        <f>1/COUNTIF(B:B,Table1[[#This Row],[order_id]])</f>
        <v>0.5</v>
      </c>
      <c r="D2000" t="str">
        <f>TEXT(Table1[[#This Row],[order_date]],"mmmm")</f>
        <v>June</v>
      </c>
      <c r="E2000" s="1">
        <v>45448</v>
      </c>
      <c r="F2000" s="1" t="str">
        <f>TEXT(Table1[[#This Row],[order_date]],"dddd")</f>
        <v>Wednesday</v>
      </c>
      <c r="G2000">
        <f>HOUR(Table1[[#This Row],[order_time]])</f>
        <v>18</v>
      </c>
      <c r="H2000" s="2">
        <v>0.76143518518518516</v>
      </c>
      <c r="I2000" t="s">
        <v>11</v>
      </c>
      <c r="J2000" t="s">
        <v>15</v>
      </c>
      <c r="K2000">
        <v>2</v>
      </c>
      <c r="L2000">
        <v>600</v>
      </c>
      <c r="M2000">
        <v>1200</v>
      </c>
      <c r="N2000">
        <f>IF(COUNTIFS($B$2:B2000,B2000)=1,1,0)</f>
        <v>1</v>
      </c>
    </row>
    <row r="2001" spans="1:14" x14ac:dyDescent="0.2">
      <c r="A2001">
        <v>2000</v>
      </c>
      <c r="B2001">
        <v>2003</v>
      </c>
      <c r="C2001">
        <f>1/COUNTIF(B:B,Table1[[#This Row],[order_id]])</f>
        <v>0.5</v>
      </c>
      <c r="D2001" t="str">
        <f>TEXT(Table1[[#This Row],[order_date]],"mmmm")</f>
        <v>June</v>
      </c>
      <c r="E2001" s="1">
        <v>45448</v>
      </c>
      <c r="F2001" s="1" t="str">
        <f>TEXT(Table1[[#This Row],[order_date]],"dddd")</f>
        <v>Wednesday</v>
      </c>
      <c r="G2001">
        <f>HOUR(Table1[[#This Row],[order_time]])</f>
        <v>11</v>
      </c>
      <c r="H2001" s="2">
        <v>0.4762615740740741</v>
      </c>
      <c r="I2001" t="s">
        <v>18</v>
      </c>
      <c r="J2001" t="s">
        <v>31</v>
      </c>
      <c r="K2001">
        <v>5</v>
      </c>
      <c r="L2001">
        <v>45</v>
      </c>
      <c r="M2001">
        <v>225</v>
      </c>
      <c r="N2001">
        <f>IF(COUNTIFS($B$2:B2001,B2001)=1,1,0)</f>
        <v>0</v>
      </c>
    </row>
    <row r="2002" spans="1:14" x14ac:dyDescent="0.2">
      <c r="A2002">
        <v>2001</v>
      </c>
      <c r="B2002">
        <v>2004</v>
      </c>
      <c r="C2002">
        <f>1/COUNTIF(B:B,Table1[[#This Row],[order_id]])</f>
        <v>1</v>
      </c>
      <c r="D2002" t="str">
        <f>TEXT(Table1[[#This Row],[order_date]],"mmmm")</f>
        <v>June</v>
      </c>
      <c r="E2002" s="1">
        <v>45448</v>
      </c>
      <c r="F2002" s="1" t="str">
        <f>TEXT(Table1[[#This Row],[order_date]],"dddd")</f>
        <v>Wednesday</v>
      </c>
      <c r="G2002">
        <f>HOUR(Table1[[#This Row],[order_time]])</f>
        <v>19</v>
      </c>
      <c r="H2002" s="2">
        <v>0.83266203703703701</v>
      </c>
      <c r="I2002" t="s">
        <v>18</v>
      </c>
      <c r="J2002" t="s">
        <v>27</v>
      </c>
      <c r="K2002">
        <v>1</v>
      </c>
      <c r="L2002">
        <v>40</v>
      </c>
      <c r="M2002">
        <v>40</v>
      </c>
      <c r="N2002">
        <f>IF(COUNTIFS($B$2:B2002,B2002)=1,1,0)</f>
        <v>1</v>
      </c>
    </row>
    <row r="2003" spans="1:14" x14ac:dyDescent="0.2">
      <c r="A2003">
        <v>2002</v>
      </c>
      <c r="B2003">
        <v>2005</v>
      </c>
      <c r="C2003">
        <f>1/COUNTIF(B:B,Table1[[#This Row],[order_id]])</f>
        <v>0.33333333333333331</v>
      </c>
      <c r="D2003" t="str">
        <f>TEXT(Table1[[#This Row],[order_date]],"mmmm")</f>
        <v>June</v>
      </c>
      <c r="E2003" s="1">
        <v>45448</v>
      </c>
      <c r="F2003" s="1" t="str">
        <f>TEXT(Table1[[#This Row],[order_date]],"dddd")</f>
        <v>Wednesday</v>
      </c>
      <c r="G2003">
        <f>HOUR(Table1[[#This Row],[order_time]])</f>
        <v>12</v>
      </c>
      <c r="H2003" s="2">
        <v>0.53660879629629632</v>
      </c>
      <c r="I2003" t="s">
        <v>11</v>
      </c>
      <c r="J2003" t="s">
        <v>15</v>
      </c>
      <c r="K2003">
        <v>1</v>
      </c>
      <c r="L2003">
        <v>600</v>
      </c>
      <c r="M2003">
        <v>600</v>
      </c>
      <c r="N2003">
        <f>IF(COUNTIFS($B$2:B2003,B2003)=1,1,0)</f>
        <v>1</v>
      </c>
    </row>
    <row r="2004" spans="1:14" x14ac:dyDescent="0.2">
      <c r="A2004">
        <v>2003</v>
      </c>
      <c r="B2004">
        <v>2005</v>
      </c>
      <c r="C2004">
        <f>1/COUNTIF(B:B,Table1[[#This Row],[order_id]])</f>
        <v>0.33333333333333331</v>
      </c>
      <c r="D2004" t="str">
        <f>TEXT(Table1[[#This Row],[order_date]],"mmmm")</f>
        <v>June</v>
      </c>
      <c r="E2004" s="1">
        <v>45448</v>
      </c>
      <c r="F2004" s="1" t="str">
        <f>TEXT(Table1[[#This Row],[order_date]],"dddd")</f>
        <v>Wednesday</v>
      </c>
      <c r="G2004">
        <f>HOUR(Table1[[#This Row],[order_time]])</f>
        <v>11</v>
      </c>
      <c r="H2004" s="2">
        <v>0.4783101851851852</v>
      </c>
      <c r="I2004" t="s">
        <v>9</v>
      </c>
      <c r="J2004" t="s">
        <v>22</v>
      </c>
      <c r="K2004">
        <v>2</v>
      </c>
      <c r="L2004">
        <v>15</v>
      </c>
      <c r="M2004">
        <v>30</v>
      </c>
      <c r="N2004">
        <f>IF(COUNTIFS($B$2:B2004,B2004)=1,1,0)</f>
        <v>0</v>
      </c>
    </row>
    <row r="2005" spans="1:14" x14ac:dyDescent="0.2">
      <c r="A2005">
        <v>2004</v>
      </c>
      <c r="B2005">
        <v>2005</v>
      </c>
      <c r="C2005">
        <f>1/COUNTIF(B:B,Table1[[#This Row],[order_id]])</f>
        <v>0.33333333333333331</v>
      </c>
      <c r="D2005" t="str">
        <f>TEXT(Table1[[#This Row],[order_date]],"mmmm")</f>
        <v>June</v>
      </c>
      <c r="E2005" s="1">
        <v>45448</v>
      </c>
      <c r="F2005" s="1" t="str">
        <f>TEXT(Table1[[#This Row],[order_date]],"dddd")</f>
        <v>Wednesday</v>
      </c>
      <c r="G2005">
        <f>HOUR(Table1[[#This Row],[order_time]])</f>
        <v>17</v>
      </c>
      <c r="H2005" s="2">
        <v>0.72001157407407412</v>
      </c>
      <c r="I2005" t="s">
        <v>16</v>
      </c>
      <c r="J2005" t="s">
        <v>23</v>
      </c>
      <c r="K2005">
        <v>3</v>
      </c>
      <c r="L2005">
        <v>30</v>
      </c>
      <c r="M2005">
        <v>90</v>
      </c>
      <c r="N2005">
        <f>IF(COUNTIFS($B$2:B2005,B2005)=1,1,0)</f>
        <v>0</v>
      </c>
    </row>
    <row r="2006" spans="1:14" x14ac:dyDescent="0.2">
      <c r="A2006">
        <v>2005</v>
      </c>
      <c r="B2006">
        <v>2006</v>
      </c>
      <c r="C2006">
        <f>1/COUNTIF(B:B,Table1[[#This Row],[order_id]])</f>
        <v>1</v>
      </c>
      <c r="D2006" t="str">
        <f>TEXT(Table1[[#This Row],[order_date]],"mmmm")</f>
        <v>June</v>
      </c>
      <c r="E2006" s="1">
        <v>45448</v>
      </c>
      <c r="F2006" s="1" t="str">
        <f>TEXT(Table1[[#This Row],[order_date]],"dddd")</f>
        <v>Wednesday</v>
      </c>
      <c r="G2006">
        <f>HOUR(Table1[[#This Row],[order_time]])</f>
        <v>17</v>
      </c>
      <c r="H2006" s="2">
        <v>0.74230324074074072</v>
      </c>
      <c r="I2006" t="s">
        <v>11</v>
      </c>
      <c r="J2006" t="s">
        <v>15</v>
      </c>
      <c r="K2006">
        <v>1</v>
      </c>
      <c r="L2006">
        <v>600</v>
      </c>
      <c r="M2006">
        <v>600</v>
      </c>
      <c r="N2006">
        <f>IF(COUNTIFS($B$2:B2006,B2006)=1,1,0)</f>
        <v>1</v>
      </c>
    </row>
    <row r="2007" spans="1:14" x14ac:dyDescent="0.2">
      <c r="A2007">
        <v>2006</v>
      </c>
      <c r="B2007">
        <v>2007</v>
      </c>
      <c r="C2007">
        <f>1/COUNTIF(B:B,Table1[[#This Row],[order_id]])</f>
        <v>0.5</v>
      </c>
      <c r="D2007" t="str">
        <f>TEXT(Table1[[#This Row],[order_date]],"mmmm")</f>
        <v>June</v>
      </c>
      <c r="E2007" s="1">
        <v>45448</v>
      </c>
      <c r="F2007" s="1" t="str">
        <f>TEXT(Table1[[#This Row],[order_date]],"dddd")</f>
        <v>Wednesday</v>
      </c>
      <c r="G2007">
        <f>HOUR(Table1[[#This Row],[order_time]])</f>
        <v>12</v>
      </c>
      <c r="H2007" s="2">
        <v>0.50526620370370368</v>
      </c>
      <c r="I2007" t="s">
        <v>11</v>
      </c>
      <c r="J2007" t="s">
        <v>12</v>
      </c>
      <c r="K2007">
        <v>2</v>
      </c>
      <c r="L2007">
        <v>650</v>
      </c>
      <c r="M2007">
        <v>1300</v>
      </c>
      <c r="N2007">
        <f>IF(COUNTIFS($B$2:B2007,B2007)=1,1,0)</f>
        <v>1</v>
      </c>
    </row>
    <row r="2008" spans="1:14" x14ac:dyDescent="0.2">
      <c r="A2008">
        <v>2007</v>
      </c>
      <c r="B2008">
        <v>2007</v>
      </c>
      <c r="C2008">
        <f>1/COUNTIF(B:B,Table1[[#This Row],[order_id]])</f>
        <v>0.5</v>
      </c>
      <c r="D2008" t="str">
        <f>TEXT(Table1[[#This Row],[order_date]],"mmmm")</f>
        <v>June</v>
      </c>
      <c r="E2008" s="1">
        <v>45448</v>
      </c>
      <c r="F2008" s="1" t="str">
        <f>TEXT(Table1[[#This Row],[order_date]],"dddd")</f>
        <v>Wednesday</v>
      </c>
      <c r="G2008">
        <f>HOUR(Table1[[#This Row],[order_time]])</f>
        <v>10</v>
      </c>
      <c r="H2008" s="2">
        <v>0.44777777777777777</v>
      </c>
      <c r="I2008" t="s">
        <v>11</v>
      </c>
      <c r="J2008" t="s">
        <v>25</v>
      </c>
      <c r="K2008">
        <v>2</v>
      </c>
      <c r="L2008">
        <v>1000</v>
      </c>
      <c r="M2008">
        <v>2000</v>
      </c>
      <c r="N2008">
        <f>IF(COUNTIFS($B$2:B2008,B2008)=1,1,0)</f>
        <v>0</v>
      </c>
    </row>
    <row r="2009" spans="1:14" x14ac:dyDescent="0.2">
      <c r="A2009">
        <v>2008</v>
      </c>
      <c r="B2009">
        <v>2008</v>
      </c>
      <c r="C2009">
        <f>1/COUNTIF(B:B,Table1[[#This Row],[order_id]])</f>
        <v>1</v>
      </c>
      <c r="D2009" t="str">
        <f>TEXT(Table1[[#This Row],[order_date]],"mmmm")</f>
        <v>June</v>
      </c>
      <c r="E2009" s="1">
        <v>45449</v>
      </c>
      <c r="F2009" s="1" t="str">
        <f>TEXT(Table1[[#This Row],[order_date]],"dddd")</f>
        <v>Thursday</v>
      </c>
      <c r="G2009">
        <f>HOUR(Table1[[#This Row],[order_time]])</f>
        <v>9</v>
      </c>
      <c r="H2009" s="2">
        <v>0.38354166666666667</v>
      </c>
      <c r="I2009" t="s">
        <v>16</v>
      </c>
      <c r="J2009" t="s">
        <v>17</v>
      </c>
      <c r="K2009">
        <v>4</v>
      </c>
      <c r="L2009">
        <v>20</v>
      </c>
      <c r="M2009">
        <v>80</v>
      </c>
      <c r="N2009">
        <f>IF(COUNTIFS($B$2:B2009,B2009)=1,1,0)</f>
        <v>1</v>
      </c>
    </row>
    <row r="2010" spans="1:14" x14ac:dyDescent="0.2">
      <c r="A2010">
        <v>2009</v>
      </c>
      <c r="B2010">
        <v>2009</v>
      </c>
      <c r="C2010">
        <f>1/COUNTIF(B:B,Table1[[#This Row],[order_id]])</f>
        <v>1</v>
      </c>
      <c r="D2010" t="str">
        <f>TEXT(Table1[[#This Row],[order_date]],"mmmm")</f>
        <v>June</v>
      </c>
      <c r="E2010" s="1">
        <v>45449</v>
      </c>
      <c r="F2010" s="1" t="str">
        <f>TEXT(Table1[[#This Row],[order_date]],"dddd")</f>
        <v>Thursday</v>
      </c>
      <c r="G2010">
        <f>HOUR(Table1[[#This Row],[order_time]])</f>
        <v>10</v>
      </c>
      <c r="H2010" s="2">
        <v>0.42907407407407405</v>
      </c>
      <c r="I2010" t="s">
        <v>16</v>
      </c>
      <c r="J2010" t="s">
        <v>23</v>
      </c>
      <c r="K2010">
        <v>5</v>
      </c>
      <c r="L2010">
        <v>30</v>
      </c>
      <c r="M2010">
        <v>150</v>
      </c>
      <c r="N2010">
        <f>IF(COUNTIFS($B$2:B2010,B2010)=1,1,0)</f>
        <v>1</v>
      </c>
    </row>
    <row r="2011" spans="1:14" x14ac:dyDescent="0.2">
      <c r="A2011">
        <v>2010</v>
      </c>
      <c r="B2011">
        <v>2010</v>
      </c>
      <c r="C2011">
        <f>1/COUNTIF(B:B,Table1[[#This Row],[order_id]])</f>
        <v>0.33333333333333331</v>
      </c>
      <c r="D2011" t="str">
        <f>TEXT(Table1[[#This Row],[order_date]],"mmmm")</f>
        <v>June</v>
      </c>
      <c r="E2011" s="1">
        <v>45449</v>
      </c>
      <c r="F2011" s="1" t="str">
        <f>TEXT(Table1[[#This Row],[order_date]],"dddd")</f>
        <v>Thursday</v>
      </c>
      <c r="G2011">
        <f>HOUR(Table1[[#This Row],[order_time]])</f>
        <v>15</v>
      </c>
      <c r="H2011" s="2">
        <v>0.63171296296296298</v>
      </c>
      <c r="I2011" t="s">
        <v>11</v>
      </c>
      <c r="J2011" t="s">
        <v>14</v>
      </c>
      <c r="K2011">
        <v>2</v>
      </c>
      <c r="L2011">
        <v>700</v>
      </c>
      <c r="M2011">
        <v>1400</v>
      </c>
      <c r="N2011">
        <f>IF(COUNTIFS($B$2:B2011,B2011)=1,1,0)</f>
        <v>1</v>
      </c>
    </row>
    <row r="2012" spans="1:14" x14ac:dyDescent="0.2">
      <c r="A2012">
        <v>2011</v>
      </c>
      <c r="B2012">
        <v>2010</v>
      </c>
      <c r="C2012">
        <f>1/COUNTIF(B:B,Table1[[#This Row],[order_id]])</f>
        <v>0.33333333333333331</v>
      </c>
      <c r="D2012" t="str">
        <f>TEXT(Table1[[#This Row],[order_date]],"mmmm")</f>
        <v>June</v>
      </c>
      <c r="E2012" s="1">
        <v>45449</v>
      </c>
      <c r="F2012" s="1" t="str">
        <f>TEXT(Table1[[#This Row],[order_date]],"dddd")</f>
        <v>Thursday</v>
      </c>
      <c r="G2012">
        <f>HOUR(Table1[[#This Row],[order_time]])</f>
        <v>20</v>
      </c>
      <c r="H2012" s="2">
        <v>0.8379050925925926</v>
      </c>
      <c r="I2012" t="s">
        <v>16</v>
      </c>
      <c r="J2012" t="s">
        <v>17</v>
      </c>
      <c r="K2012">
        <v>5</v>
      </c>
      <c r="L2012">
        <v>20</v>
      </c>
      <c r="M2012">
        <v>100</v>
      </c>
      <c r="N2012">
        <f>IF(COUNTIFS($B$2:B2012,B2012)=1,1,0)</f>
        <v>0</v>
      </c>
    </row>
    <row r="2013" spans="1:14" x14ac:dyDescent="0.2">
      <c r="A2013">
        <v>2012</v>
      </c>
      <c r="B2013">
        <v>2010</v>
      </c>
      <c r="C2013">
        <f>1/COUNTIF(B:B,Table1[[#This Row],[order_id]])</f>
        <v>0.33333333333333331</v>
      </c>
      <c r="D2013" t="str">
        <f>TEXT(Table1[[#This Row],[order_date]],"mmmm")</f>
        <v>June</v>
      </c>
      <c r="E2013" s="1">
        <v>45449</v>
      </c>
      <c r="F2013" s="1" t="str">
        <f>TEXT(Table1[[#This Row],[order_date]],"dddd")</f>
        <v>Thursday</v>
      </c>
      <c r="G2013">
        <f>HOUR(Table1[[#This Row],[order_time]])</f>
        <v>16</v>
      </c>
      <c r="H2013" s="2">
        <v>0.69901620370370365</v>
      </c>
      <c r="I2013" t="s">
        <v>16</v>
      </c>
      <c r="J2013" t="s">
        <v>28</v>
      </c>
      <c r="K2013">
        <v>1</v>
      </c>
      <c r="L2013">
        <v>25</v>
      </c>
      <c r="M2013">
        <v>25</v>
      </c>
      <c r="N2013">
        <f>IF(COUNTIFS($B$2:B2013,B2013)=1,1,0)</f>
        <v>0</v>
      </c>
    </row>
    <row r="2014" spans="1:14" x14ac:dyDescent="0.2">
      <c r="A2014">
        <v>2013</v>
      </c>
      <c r="B2014">
        <v>2011</v>
      </c>
      <c r="C2014">
        <f>1/COUNTIF(B:B,Table1[[#This Row],[order_id]])</f>
        <v>0.5</v>
      </c>
      <c r="D2014" t="str">
        <f>TEXT(Table1[[#This Row],[order_date]],"mmmm")</f>
        <v>June</v>
      </c>
      <c r="E2014" s="1">
        <v>45449</v>
      </c>
      <c r="F2014" s="1" t="str">
        <f>TEXT(Table1[[#This Row],[order_date]],"dddd")</f>
        <v>Thursday</v>
      </c>
      <c r="G2014">
        <f>HOUR(Table1[[#This Row],[order_time]])</f>
        <v>15</v>
      </c>
      <c r="H2014" s="2">
        <v>0.63761574074074079</v>
      </c>
      <c r="I2014" t="s">
        <v>18</v>
      </c>
      <c r="J2014" t="s">
        <v>31</v>
      </c>
      <c r="K2014">
        <v>4</v>
      </c>
      <c r="L2014">
        <v>45</v>
      </c>
      <c r="M2014">
        <v>180</v>
      </c>
      <c r="N2014">
        <f>IF(COUNTIFS($B$2:B2014,B2014)=1,1,0)</f>
        <v>1</v>
      </c>
    </row>
    <row r="2015" spans="1:14" x14ac:dyDescent="0.2">
      <c r="A2015">
        <v>2014</v>
      </c>
      <c r="B2015">
        <v>2011</v>
      </c>
      <c r="C2015">
        <f>1/COUNTIF(B:B,Table1[[#This Row],[order_id]])</f>
        <v>0.5</v>
      </c>
      <c r="D2015" t="str">
        <f>TEXT(Table1[[#This Row],[order_date]],"mmmm")</f>
        <v>June</v>
      </c>
      <c r="E2015" s="1">
        <v>45449</v>
      </c>
      <c r="F2015" s="1" t="str">
        <f>TEXT(Table1[[#This Row],[order_date]],"dddd")</f>
        <v>Thursday</v>
      </c>
      <c r="G2015">
        <f>HOUR(Table1[[#This Row],[order_time]])</f>
        <v>14</v>
      </c>
      <c r="H2015" s="2">
        <v>0.58862268518518523</v>
      </c>
      <c r="I2015" t="s">
        <v>11</v>
      </c>
      <c r="J2015" t="s">
        <v>13</v>
      </c>
      <c r="K2015">
        <v>5</v>
      </c>
      <c r="L2015">
        <v>680</v>
      </c>
      <c r="M2015">
        <v>3400</v>
      </c>
      <c r="N2015">
        <f>IF(COUNTIFS($B$2:B2015,B2015)=1,1,0)</f>
        <v>0</v>
      </c>
    </row>
    <row r="2016" spans="1:14" x14ac:dyDescent="0.2">
      <c r="A2016">
        <v>2015</v>
      </c>
      <c r="B2016">
        <v>2012</v>
      </c>
      <c r="C2016">
        <f>1/COUNTIF(B:B,Table1[[#This Row],[order_id]])</f>
        <v>1</v>
      </c>
      <c r="D2016" t="str">
        <f>TEXT(Table1[[#This Row],[order_date]],"mmmm")</f>
        <v>June</v>
      </c>
      <c r="E2016" s="1">
        <v>45449</v>
      </c>
      <c r="F2016" s="1" t="str">
        <f>TEXT(Table1[[#This Row],[order_date]],"dddd")</f>
        <v>Thursday</v>
      </c>
      <c r="G2016">
        <f>HOUR(Table1[[#This Row],[order_time]])</f>
        <v>20</v>
      </c>
      <c r="H2016" s="2">
        <v>0.87479166666666663</v>
      </c>
      <c r="I2016" t="s">
        <v>16</v>
      </c>
      <c r="J2016" t="s">
        <v>23</v>
      </c>
      <c r="K2016">
        <v>4</v>
      </c>
      <c r="L2016">
        <v>30</v>
      </c>
      <c r="M2016">
        <v>120</v>
      </c>
      <c r="N2016">
        <f>IF(COUNTIFS($B$2:B2016,B2016)=1,1,0)</f>
        <v>1</v>
      </c>
    </row>
    <row r="2017" spans="1:14" x14ac:dyDescent="0.2">
      <c r="A2017">
        <v>2016</v>
      </c>
      <c r="B2017">
        <v>2013</v>
      </c>
      <c r="C2017">
        <f>1/COUNTIF(B:B,Table1[[#This Row],[order_id]])</f>
        <v>0.5</v>
      </c>
      <c r="D2017" t="str">
        <f>TEXT(Table1[[#This Row],[order_date]],"mmmm")</f>
        <v>June</v>
      </c>
      <c r="E2017" s="1">
        <v>45449</v>
      </c>
      <c r="F2017" s="1" t="str">
        <f>TEXT(Table1[[#This Row],[order_date]],"dddd")</f>
        <v>Thursday</v>
      </c>
      <c r="G2017">
        <f>HOUR(Table1[[#This Row],[order_time]])</f>
        <v>20</v>
      </c>
      <c r="H2017" s="2">
        <v>0.86479166666666663</v>
      </c>
      <c r="I2017" t="s">
        <v>16</v>
      </c>
      <c r="J2017" t="s">
        <v>28</v>
      </c>
      <c r="K2017">
        <v>4</v>
      </c>
      <c r="L2017">
        <v>25</v>
      </c>
      <c r="M2017">
        <v>100</v>
      </c>
      <c r="N2017">
        <f>IF(COUNTIFS($B$2:B2017,B2017)=1,1,0)</f>
        <v>1</v>
      </c>
    </row>
    <row r="2018" spans="1:14" x14ac:dyDescent="0.2">
      <c r="A2018">
        <v>2017</v>
      </c>
      <c r="B2018">
        <v>2013</v>
      </c>
      <c r="C2018">
        <f>1/COUNTIF(B:B,Table1[[#This Row],[order_id]])</f>
        <v>0.5</v>
      </c>
      <c r="D2018" t="str">
        <f>TEXT(Table1[[#This Row],[order_date]],"mmmm")</f>
        <v>June</v>
      </c>
      <c r="E2018" s="1">
        <v>45449</v>
      </c>
      <c r="F2018" s="1" t="str">
        <f>TEXT(Table1[[#This Row],[order_date]],"dddd")</f>
        <v>Thursday</v>
      </c>
      <c r="G2018">
        <f>HOUR(Table1[[#This Row],[order_time]])</f>
        <v>19</v>
      </c>
      <c r="H2018" s="2">
        <v>0.79391203703703705</v>
      </c>
      <c r="I2018" t="s">
        <v>18</v>
      </c>
      <c r="J2018" t="s">
        <v>31</v>
      </c>
      <c r="K2018">
        <v>1</v>
      </c>
      <c r="L2018">
        <v>45</v>
      </c>
      <c r="M2018">
        <v>45</v>
      </c>
      <c r="N2018">
        <f>IF(COUNTIFS($B$2:B2018,B2018)=1,1,0)</f>
        <v>0</v>
      </c>
    </row>
    <row r="2019" spans="1:14" x14ac:dyDescent="0.2">
      <c r="A2019">
        <v>2018</v>
      </c>
      <c r="B2019">
        <v>2014</v>
      </c>
      <c r="C2019">
        <f>1/COUNTIF(B:B,Table1[[#This Row],[order_id]])</f>
        <v>0.5</v>
      </c>
      <c r="D2019" t="str">
        <f>TEXT(Table1[[#This Row],[order_date]],"mmmm")</f>
        <v>June</v>
      </c>
      <c r="E2019" s="1">
        <v>45450</v>
      </c>
      <c r="F2019" s="1" t="str">
        <f>TEXT(Table1[[#This Row],[order_date]],"dddd")</f>
        <v>Friday</v>
      </c>
      <c r="G2019">
        <f>HOUR(Table1[[#This Row],[order_time]])</f>
        <v>17</v>
      </c>
      <c r="H2019" s="2">
        <v>0.71187500000000004</v>
      </c>
      <c r="I2019" t="s">
        <v>9</v>
      </c>
      <c r="J2019" t="s">
        <v>29</v>
      </c>
      <c r="K2019">
        <v>2</v>
      </c>
      <c r="L2019">
        <v>5</v>
      </c>
      <c r="M2019">
        <v>10</v>
      </c>
      <c r="N2019">
        <f>IF(COUNTIFS($B$2:B2019,B2019)=1,1,0)</f>
        <v>1</v>
      </c>
    </row>
    <row r="2020" spans="1:14" x14ac:dyDescent="0.2">
      <c r="A2020">
        <v>2019</v>
      </c>
      <c r="B2020">
        <v>2014</v>
      </c>
      <c r="C2020">
        <f>1/COUNTIF(B:B,Table1[[#This Row],[order_id]])</f>
        <v>0.5</v>
      </c>
      <c r="D2020" t="str">
        <f>TEXT(Table1[[#This Row],[order_date]],"mmmm")</f>
        <v>June</v>
      </c>
      <c r="E2020" s="1">
        <v>45450</v>
      </c>
      <c r="F2020" s="1" t="str">
        <f>TEXT(Table1[[#This Row],[order_date]],"dddd")</f>
        <v>Friday</v>
      </c>
      <c r="G2020">
        <f>HOUR(Table1[[#This Row],[order_time]])</f>
        <v>9</v>
      </c>
      <c r="H2020" s="2">
        <v>0.38820601851851849</v>
      </c>
      <c r="I2020" t="s">
        <v>9</v>
      </c>
      <c r="J2020" t="s">
        <v>29</v>
      </c>
      <c r="K2020">
        <v>4</v>
      </c>
      <c r="L2020">
        <v>5</v>
      </c>
      <c r="M2020">
        <v>20</v>
      </c>
      <c r="N2020">
        <f>IF(COUNTIFS($B$2:B2020,B2020)=1,1,0)</f>
        <v>0</v>
      </c>
    </row>
    <row r="2021" spans="1:14" x14ac:dyDescent="0.2">
      <c r="A2021">
        <v>2020</v>
      </c>
      <c r="B2021">
        <v>2015</v>
      </c>
      <c r="C2021">
        <f>1/COUNTIF(B:B,Table1[[#This Row],[order_id]])</f>
        <v>0.5</v>
      </c>
      <c r="D2021" t="str">
        <f>TEXT(Table1[[#This Row],[order_date]],"mmmm")</f>
        <v>June</v>
      </c>
      <c r="E2021" s="1">
        <v>45450</v>
      </c>
      <c r="F2021" s="1" t="str">
        <f>TEXT(Table1[[#This Row],[order_date]],"dddd")</f>
        <v>Friday</v>
      </c>
      <c r="G2021">
        <f>HOUR(Table1[[#This Row],[order_time]])</f>
        <v>16</v>
      </c>
      <c r="H2021" s="2">
        <v>0.68023148148148149</v>
      </c>
      <c r="I2021" t="s">
        <v>16</v>
      </c>
      <c r="J2021" t="s">
        <v>24</v>
      </c>
      <c r="K2021">
        <v>2</v>
      </c>
      <c r="L2021">
        <v>35</v>
      </c>
      <c r="M2021">
        <v>70</v>
      </c>
      <c r="N2021">
        <f>IF(COUNTIFS($B$2:B2021,B2021)=1,1,0)</f>
        <v>1</v>
      </c>
    </row>
    <row r="2022" spans="1:14" x14ac:dyDescent="0.2">
      <c r="A2022">
        <v>2021</v>
      </c>
      <c r="B2022">
        <v>2015</v>
      </c>
      <c r="C2022">
        <f>1/COUNTIF(B:B,Table1[[#This Row],[order_id]])</f>
        <v>0.5</v>
      </c>
      <c r="D2022" t="str">
        <f>TEXT(Table1[[#This Row],[order_date]],"mmmm")</f>
        <v>June</v>
      </c>
      <c r="E2022" s="1">
        <v>45450</v>
      </c>
      <c r="F2022" s="1" t="str">
        <f>TEXT(Table1[[#This Row],[order_date]],"dddd")</f>
        <v>Friday</v>
      </c>
      <c r="G2022">
        <f>HOUR(Table1[[#This Row],[order_time]])</f>
        <v>10</v>
      </c>
      <c r="H2022" s="2">
        <v>0.4491087962962963</v>
      </c>
      <c r="I2022" t="s">
        <v>9</v>
      </c>
      <c r="J2022" t="s">
        <v>10</v>
      </c>
      <c r="K2022">
        <v>2</v>
      </c>
      <c r="L2022">
        <v>20</v>
      </c>
      <c r="M2022">
        <v>40</v>
      </c>
      <c r="N2022">
        <f>IF(COUNTIFS($B$2:B2022,B2022)=1,1,0)</f>
        <v>0</v>
      </c>
    </row>
    <row r="2023" spans="1:14" x14ac:dyDescent="0.2">
      <c r="A2023">
        <v>2022</v>
      </c>
      <c r="B2023">
        <v>2016</v>
      </c>
      <c r="C2023">
        <f>1/COUNTIF(B:B,Table1[[#This Row],[order_id]])</f>
        <v>0.5</v>
      </c>
      <c r="D2023" t="str">
        <f>TEXT(Table1[[#This Row],[order_date]],"mmmm")</f>
        <v>June</v>
      </c>
      <c r="E2023" s="1">
        <v>45450</v>
      </c>
      <c r="F2023" s="1" t="str">
        <f>TEXT(Table1[[#This Row],[order_date]],"dddd")</f>
        <v>Friday</v>
      </c>
      <c r="G2023">
        <f>HOUR(Table1[[#This Row],[order_time]])</f>
        <v>16</v>
      </c>
      <c r="H2023" s="2">
        <v>0.70711805555555551</v>
      </c>
      <c r="I2023" t="s">
        <v>9</v>
      </c>
      <c r="J2023" t="s">
        <v>22</v>
      </c>
      <c r="K2023">
        <v>1</v>
      </c>
      <c r="L2023">
        <v>15</v>
      </c>
      <c r="M2023">
        <v>15</v>
      </c>
      <c r="N2023">
        <f>IF(COUNTIFS($B$2:B2023,B2023)=1,1,0)</f>
        <v>1</v>
      </c>
    </row>
    <row r="2024" spans="1:14" x14ac:dyDescent="0.2">
      <c r="A2024">
        <v>2023</v>
      </c>
      <c r="B2024">
        <v>2016</v>
      </c>
      <c r="C2024">
        <f>1/COUNTIF(B:B,Table1[[#This Row],[order_id]])</f>
        <v>0.5</v>
      </c>
      <c r="D2024" t="str">
        <f>TEXT(Table1[[#This Row],[order_date]],"mmmm")</f>
        <v>June</v>
      </c>
      <c r="E2024" s="1">
        <v>45450</v>
      </c>
      <c r="F2024" s="1" t="str">
        <f>TEXT(Table1[[#This Row],[order_date]],"dddd")</f>
        <v>Friday</v>
      </c>
      <c r="G2024">
        <f>HOUR(Table1[[#This Row],[order_time]])</f>
        <v>15</v>
      </c>
      <c r="H2024" s="2">
        <v>0.6550231481481481</v>
      </c>
      <c r="I2024" t="s">
        <v>16</v>
      </c>
      <c r="J2024" t="s">
        <v>23</v>
      </c>
      <c r="K2024">
        <v>1</v>
      </c>
      <c r="L2024">
        <v>30</v>
      </c>
      <c r="M2024">
        <v>30</v>
      </c>
      <c r="N2024">
        <f>IF(COUNTIFS($B$2:B2024,B2024)=1,1,0)</f>
        <v>0</v>
      </c>
    </row>
    <row r="2025" spans="1:14" x14ac:dyDescent="0.2">
      <c r="A2025">
        <v>2024</v>
      </c>
      <c r="B2025">
        <v>2017</v>
      </c>
      <c r="C2025">
        <f>1/COUNTIF(B:B,Table1[[#This Row],[order_id]])</f>
        <v>1</v>
      </c>
      <c r="D2025" t="str">
        <f>TEXT(Table1[[#This Row],[order_date]],"mmmm")</f>
        <v>June</v>
      </c>
      <c r="E2025" s="1">
        <v>45450</v>
      </c>
      <c r="F2025" s="1" t="str">
        <f>TEXT(Table1[[#This Row],[order_date]],"dddd")</f>
        <v>Friday</v>
      </c>
      <c r="G2025">
        <f>HOUR(Table1[[#This Row],[order_time]])</f>
        <v>14</v>
      </c>
      <c r="H2025" s="2">
        <v>0.60560185185185189</v>
      </c>
      <c r="I2025" t="s">
        <v>16</v>
      </c>
      <c r="J2025" t="s">
        <v>28</v>
      </c>
      <c r="K2025">
        <v>5</v>
      </c>
      <c r="L2025">
        <v>25</v>
      </c>
      <c r="M2025">
        <v>125</v>
      </c>
      <c r="N2025">
        <f>IF(COUNTIFS($B$2:B2025,B2025)=1,1,0)</f>
        <v>1</v>
      </c>
    </row>
    <row r="2026" spans="1:14" x14ac:dyDescent="0.2">
      <c r="A2026">
        <v>2025</v>
      </c>
      <c r="B2026">
        <v>2018</v>
      </c>
      <c r="C2026">
        <f>1/COUNTIF(B:B,Table1[[#This Row],[order_id]])</f>
        <v>0.5</v>
      </c>
      <c r="D2026" t="str">
        <f>TEXT(Table1[[#This Row],[order_date]],"mmmm")</f>
        <v>June</v>
      </c>
      <c r="E2026" s="1">
        <v>45451</v>
      </c>
      <c r="F2026" s="1" t="str">
        <f>TEXT(Table1[[#This Row],[order_date]],"dddd")</f>
        <v>Saturday</v>
      </c>
      <c r="G2026">
        <f>HOUR(Table1[[#This Row],[order_time]])</f>
        <v>15</v>
      </c>
      <c r="H2026" s="2">
        <v>0.65483796296296293</v>
      </c>
      <c r="I2026" t="s">
        <v>16</v>
      </c>
      <c r="J2026" t="s">
        <v>23</v>
      </c>
      <c r="K2026">
        <v>5</v>
      </c>
      <c r="L2026">
        <v>30</v>
      </c>
      <c r="M2026">
        <v>150</v>
      </c>
      <c r="N2026">
        <f>IF(COUNTIFS($B$2:B2026,B2026)=1,1,0)</f>
        <v>1</v>
      </c>
    </row>
    <row r="2027" spans="1:14" x14ac:dyDescent="0.2">
      <c r="A2027">
        <v>2026</v>
      </c>
      <c r="B2027">
        <v>2018</v>
      </c>
      <c r="C2027">
        <f>1/COUNTIF(B:B,Table1[[#This Row],[order_id]])</f>
        <v>0.5</v>
      </c>
      <c r="D2027" t="str">
        <f>TEXT(Table1[[#This Row],[order_date]],"mmmm")</f>
        <v>June</v>
      </c>
      <c r="E2027" s="1">
        <v>45451</v>
      </c>
      <c r="F2027" s="1" t="str">
        <f>TEXT(Table1[[#This Row],[order_date]],"dddd")</f>
        <v>Saturday</v>
      </c>
      <c r="G2027">
        <f>HOUR(Table1[[#This Row],[order_time]])</f>
        <v>20</v>
      </c>
      <c r="H2027" s="2">
        <v>0.84449074074074071</v>
      </c>
      <c r="I2027" t="s">
        <v>16</v>
      </c>
      <c r="J2027" t="s">
        <v>24</v>
      </c>
      <c r="K2027">
        <v>4</v>
      </c>
      <c r="L2027">
        <v>35</v>
      </c>
      <c r="M2027">
        <v>140</v>
      </c>
      <c r="N2027">
        <f>IF(COUNTIFS($B$2:B2027,B2027)=1,1,0)</f>
        <v>0</v>
      </c>
    </row>
    <row r="2028" spans="1:14" x14ac:dyDescent="0.2">
      <c r="A2028">
        <v>2027</v>
      </c>
      <c r="B2028">
        <v>2019</v>
      </c>
      <c r="C2028">
        <f>1/COUNTIF(B:B,Table1[[#This Row],[order_id]])</f>
        <v>0.33333333333333331</v>
      </c>
      <c r="D2028" t="str">
        <f>TEXT(Table1[[#This Row],[order_date]],"mmmm")</f>
        <v>June</v>
      </c>
      <c r="E2028" s="1">
        <v>45451</v>
      </c>
      <c r="F2028" s="1" t="str">
        <f>TEXT(Table1[[#This Row],[order_date]],"dddd")</f>
        <v>Saturday</v>
      </c>
      <c r="G2028">
        <f>HOUR(Table1[[#This Row],[order_time]])</f>
        <v>15</v>
      </c>
      <c r="H2028" s="2">
        <v>0.6372106481481481</v>
      </c>
      <c r="I2028" t="s">
        <v>16</v>
      </c>
      <c r="J2028" t="s">
        <v>24</v>
      </c>
      <c r="K2028">
        <v>1</v>
      </c>
      <c r="L2028">
        <v>35</v>
      </c>
      <c r="M2028">
        <v>35</v>
      </c>
      <c r="N2028">
        <f>IF(COUNTIFS($B$2:B2028,B2028)=1,1,0)</f>
        <v>1</v>
      </c>
    </row>
    <row r="2029" spans="1:14" x14ac:dyDescent="0.2">
      <c r="A2029">
        <v>2028</v>
      </c>
      <c r="B2029">
        <v>2019</v>
      </c>
      <c r="C2029">
        <f>1/COUNTIF(B:B,Table1[[#This Row],[order_id]])</f>
        <v>0.33333333333333331</v>
      </c>
      <c r="D2029" t="str">
        <f>TEXT(Table1[[#This Row],[order_date]],"mmmm")</f>
        <v>June</v>
      </c>
      <c r="E2029" s="1">
        <v>45451</v>
      </c>
      <c r="F2029" s="1" t="str">
        <f>TEXT(Table1[[#This Row],[order_date]],"dddd")</f>
        <v>Saturday</v>
      </c>
      <c r="G2029">
        <f>HOUR(Table1[[#This Row],[order_time]])</f>
        <v>17</v>
      </c>
      <c r="H2029" s="2">
        <v>0.73701388888888886</v>
      </c>
      <c r="I2029" t="s">
        <v>11</v>
      </c>
      <c r="J2029" t="s">
        <v>25</v>
      </c>
      <c r="K2029">
        <v>5</v>
      </c>
      <c r="L2029">
        <v>1000</v>
      </c>
      <c r="M2029">
        <v>5000</v>
      </c>
      <c r="N2029">
        <f>IF(COUNTIFS($B$2:B2029,B2029)=1,1,0)</f>
        <v>0</v>
      </c>
    </row>
    <row r="2030" spans="1:14" x14ac:dyDescent="0.2">
      <c r="A2030">
        <v>2029</v>
      </c>
      <c r="B2030">
        <v>2019</v>
      </c>
      <c r="C2030">
        <f>1/COUNTIF(B:B,Table1[[#This Row],[order_id]])</f>
        <v>0.33333333333333331</v>
      </c>
      <c r="D2030" t="str">
        <f>TEXT(Table1[[#This Row],[order_date]],"mmmm")</f>
        <v>June</v>
      </c>
      <c r="E2030" s="1">
        <v>45451</v>
      </c>
      <c r="F2030" s="1" t="str">
        <f>TEXT(Table1[[#This Row],[order_date]],"dddd")</f>
        <v>Saturday</v>
      </c>
      <c r="G2030">
        <f>HOUR(Table1[[#This Row],[order_time]])</f>
        <v>13</v>
      </c>
      <c r="H2030" s="2">
        <v>0.55628472222222225</v>
      </c>
      <c r="I2030" t="s">
        <v>11</v>
      </c>
      <c r="J2030" t="s">
        <v>14</v>
      </c>
      <c r="K2030">
        <v>2</v>
      </c>
      <c r="L2030">
        <v>700</v>
      </c>
      <c r="M2030">
        <v>1400</v>
      </c>
      <c r="N2030">
        <f>IF(COUNTIFS($B$2:B2030,B2030)=1,1,0)</f>
        <v>0</v>
      </c>
    </row>
    <row r="2031" spans="1:14" x14ac:dyDescent="0.2">
      <c r="A2031">
        <v>2030</v>
      </c>
      <c r="B2031">
        <v>2020</v>
      </c>
      <c r="C2031">
        <f>1/COUNTIF(B:B,Table1[[#This Row],[order_id]])</f>
        <v>0.5</v>
      </c>
      <c r="D2031" t="str">
        <f>TEXT(Table1[[#This Row],[order_date]],"mmmm")</f>
        <v>June</v>
      </c>
      <c r="E2031" s="1">
        <v>45451</v>
      </c>
      <c r="F2031" s="1" t="str">
        <f>TEXT(Table1[[#This Row],[order_date]],"dddd")</f>
        <v>Saturday</v>
      </c>
      <c r="G2031">
        <f>HOUR(Table1[[#This Row],[order_time]])</f>
        <v>12</v>
      </c>
      <c r="H2031" s="2">
        <v>0.52253472222222219</v>
      </c>
      <c r="I2031" t="s">
        <v>16</v>
      </c>
      <c r="J2031" t="s">
        <v>17</v>
      </c>
      <c r="K2031">
        <v>3</v>
      </c>
      <c r="L2031">
        <v>20</v>
      </c>
      <c r="M2031">
        <v>60</v>
      </c>
      <c r="N2031">
        <f>IF(COUNTIFS($B$2:B2031,B2031)=1,1,0)</f>
        <v>1</v>
      </c>
    </row>
    <row r="2032" spans="1:14" x14ac:dyDescent="0.2">
      <c r="A2032">
        <v>2031</v>
      </c>
      <c r="B2032">
        <v>2020</v>
      </c>
      <c r="C2032">
        <f>1/COUNTIF(B:B,Table1[[#This Row],[order_id]])</f>
        <v>0.5</v>
      </c>
      <c r="D2032" t="str">
        <f>TEXT(Table1[[#This Row],[order_date]],"mmmm")</f>
        <v>June</v>
      </c>
      <c r="E2032" s="1">
        <v>45451</v>
      </c>
      <c r="F2032" s="1" t="str">
        <f>TEXT(Table1[[#This Row],[order_date]],"dddd")</f>
        <v>Saturday</v>
      </c>
      <c r="G2032">
        <f>HOUR(Table1[[#This Row],[order_time]])</f>
        <v>11</v>
      </c>
      <c r="H2032" s="2">
        <v>0.47663194444444446</v>
      </c>
      <c r="I2032" t="s">
        <v>11</v>
      </c>
      <c r="J2032" t="s">
        <v>14</v>
      </c>
      <c r="K2032">
        <v>1</v>
      </c>
      <c r="L2032">
        <v>700</v>
      </c>
      <c r="M2032">
        <v>700</v>
      </c>
      <c r="N2032">
        <f>IF(COUNTIFS($B$2:B2032,B2032)=1,1,0)</f>
        <v>0</v>
      </c>
    </row>
    <row r="2033" spans="1:14" x14ac:dyDescent="0.2">
      <c r="A2033">
        <v>2032</v>
      </c>
      <c r="B2033">
        <v>2021</v>
      </c>
      <c r="C2033">
        <f>1/COUNTIF(B:B,Table1[[#This Row],[order_id]])</f>
        <v>0.5</v>
      </c>
      <c r="D2033" t="str">
        <f>TEXT(Table1[[#This Row],[order_date]],"mmmm")</f>
        <v>June</v>
      </c>
      <c r="E2033" s="1">
        <v>45452</v>
      </c>
      <c r="F2033" s="1" t="str">
        <f>TEXT(Table1[[#This Row],[order_date]],"dddd")</f>
        <v>Sunday</v>
      </c>
      <c r="G2033">
        <f>HOUR(Table1[[#This Row],[order_time]])</f>
        <v>12</v>
      </c>
      <c r="H2033" s="2">
        <v>0.50440972222222225</v>
      </c>
      <c r="I2033" t="s">
        <v>16</v>
      </c>
      <c r="J2033" t="s">
        <v>24</v>
      </c>
      <c r="K2033">
        <v>4</v>
      </c>
      <c r="L2033">
        <v>35</v>
      </c>
      <c r="M2033">
        <v>140</v>
      </c>
      <c r="N2033">
        <f>IF(COUNTIFS($B$2:B2033,B2033)=1,1,0)</f>
        <v>1</v>
      </c>
    </row>
    <row r="2034" spans="1:14" x14ac:dyDescent="0.2">
      <c r="A2034">
        <v>2033</v>
      </c>
      <c r="B2034">
        <v>2021</v>
      </c>
      <c r="C2034">
        <f>1/COUNTIF(B:B,Table1[[#This Row],[order_id]])</f>
        <v>0.5</v>
      </c>
      <c r="D2034" t="str">
        <f>TEXT(Table1[[#This Row],[order_date]],"mmmm")</f>
        <v>June</v>
      </c>
      <c r="E2034" s="1">
        <v>45452</v>
      </c>
      <c r="F2034" s="1" t="str">
        <f>TEXT(Table1[[#This Row],[order_date]],"dddd")</f>
        <v>Sunday</v>
      </c>
      <c r="G2034">
        <f>HOUR(Table1[[#This Row],[order_time]])</f>
        <v>13</v>
      </c>
      <c r="H2034" s="2">
        <v>0.5456481481481481</v>
      </c>
      <c r="I2034" t="s">
        <v>11</v>
      </c>
      <c r="J2034" t="s">
        <v>12</v>
      </c>
      <c r="K2034">
        <v>3</v>
      </c>
      <c r="L2034">
        <v>650</v>
      </c>
      <c r="M2034">
        <v>1950</v>
      </c>
      <c r="N2034">
        <f>IF(COUNTIFS($B$2:B2034,B2034)=1,1,0)</f>
        <v>0</v>
      </c>
    </row>
    <row r="2035" spans="1:14" x14ac:dyDescent="0.2">
      <c r="A2035">
        <v>2034</v>
      </c>
      <c r="B2035">
        <v>2022</v>
      </c>
      <c r="C2035">
        <f>1/COUNTIF(B:B,Table1[[#This Row],[order_id]])</f>
        <v>0.5</v>
      </c>
      <c r="D2035" t="str">
        <f>TEXT(Table1[[#This Row],[order_date]],"mmmm")</f>
        <v>June</v>
      </c>
      <c r="E2035" s="1">
        <v>45452</v>
      </c>
      <c r="F2035" s="1" t="str">
        <f>TEXT(Table1[[#This Row],[order_date]],"dddd")</f>
        <v>Sunday</v>
      </c>
      <c r="G2035">
        <f>HOUR(Table1[[#This Row],[order_time]])</f>
        <v>10</v>
      </c>
      <c r="H2035" s="2">
        <v>0.42319444444444443</v>
      </c>
      <c r="I2035" t="s">
        <v>18</v>
      </c>
      <c r="J2035" t="s">
        <v>19</v>
      </c>
      <c r="K2035">
        <v>1</v>
      </c>
      <c r="L2035">
        <v>50</v>
      </c>
      <c r="M2035">
        <v>50</v>
      </c>
      <c r="N2035">
        <f>IF(COUNTIFS($B$2:B2035,B2035)=1,1,0)</f>
        <v>1</v>
      </c>
    </row>
    <row r="2036" spans="1:14" x14ac:dyDescent="0.2">
      <c r="A2036">
        <v>2035</v>
      </c>
      <c r="B2036">
        <v>2022</v>
      </c>
      <c r="C2036">
        <f>1/COUNTIF(B:B,Table1[[#This Row],[order_id]])</f>
        <v>0.5</v>
      </c>
      <c r="D2036" t="str">
        <f>TEXT(Table1[[#This Row],[order_date]],"mmmm")</f>
        <v>June</v>
      </c>
      <c r="E2036" s="1">
        <v>45452</v>
      </c>
      <c r="F2036" s="1" t="str">
        <f>TEXT(Table1[[#This Row],[order_date]],"dddd")</f>
        <v>Sunday</v>
      </c>
      <c r="G2036">
        <f>HOUR(Table1[[#This Row],[order_time]])</f>
        <v>17</v>
      </c>
      <c r="H2036" s="2">
        <v>0.72431712962962957</v>
      </c>
      <c r="I2036" t="s">
        <v>9</v>
      </c>
      <c r="J2036" t="s">
        <v>21</v>
      </c>
      <c r="K2036">
        <v>4</v>
      </c>
      <c r="L2036">
        <v>10</v>
      </c>
      <c r="M2036">
        <v>40</v>
      </c>
      <c r="N2036">
        <f>IF(COUNTIFS($B$2:B2036,B2036)=1,1,0)</f>
        <v>0</v>
      </c>
    </row>
    <row r="2037" spans="1:14" x14ac:dyDescent="0.2">
      <c r="A2037">
        <v>2036</v>
      </c>
      <c r="B2037">
        <v>2023</v>
      </c>
      <c r="C2037">
        <f>1/COUNTIF(B:B,Table1[[#This Row],[order_id]])</f>
        <v>0.5</v>
      </c>
      <c r="D2037" t="str">
        <f>TEXT(Table1[[#This Row],[order_date]],"mmmm")</f>
        <v>June</v>
      </c>
      <c r="E2037" s="1">
        <v>45452</v>
      </c>
      <c r="F2037" s="1" t="str">
        <f>TEXT(Table1[[#This Row],[order_date]],"dddd")</f>
        <v>Sunday</v>
      </c>
      <c r="G2037">
        <f>HOUR(Table1[[#This Row],[order_time]])</f>
        <v>17</v>
      </c>
      <c r="H2037" s="2">
        <v>0.73843749999999997</v>
      </c>
      <c r="I2037" t="s">
        <v>18</v>
      </c>
      <c r="J2037" t="s">
        <v>30</v>
      </c>
      <c r="K2037">
        <v>3</v>
      </c>
      <c r="L2037">
        <v>60</v>
      </c>
      <c r="M2037">
        <v>180</v>
      </c>
      <c r="N2037">
        <f>IF(COUNTIFS($B$2:B2037,B2037)=1,1,0)</f>
        <v>1</v>
      </c>
    </row>
    <row r="2038" spans="1:14" x14ac:dyDescent="0.2">
      <c r="A2038">
        <v>2037</v>
      </c>
      <c r="B2038">
        <v>2023</v>
      </c>
      <c r="C2038">
        <f>1/COUNTIF(B:B,Table1[[#This Row],[order_id]])</f>
        <v>0.5</v>
      </c>
      <c r="D2038" t="str">
        <f>TEXT(Table1[[#This Row],[order_date]],"mmmm")</f>
        <v>June</v>
      </c>
      <c r="E2038" s="1">
        <v>45452</v>
      </c>
      <c r="F2038" s="1" t="str">
        <f>TEXT(Table1[[#This Row],[order_date]],"dddd")</f>
        <v>Sunday</v>
      </c>
      <c r="G2038">
        <f>HOUR(Table1[[#This Row],[order_time]])</f>
        <v>10</v>
      </c>
      <c r="H2038" s="2">
        <v>0.416875</v>
      </c>
      <c r="I2038" t="s">
        <v>16</v>
      </c>
      <c r="J2038" t="s">
        <v>24</v>
      </c>
      <c r="K2038">
        <v>4</v>
      </c>
      <c r="L2038">
        <v>35</v>
      </c>
      <c r="M2038">
        <v>140</v>
      </c>
      <c r="N2038">
        <f>IF(COUNTIFS($B$2:B2038,B2038)=1,1,0)</f>
        <v>0</v>
      </c>
    </row>
    <row r="2039" spans="1:14" x14ac:dyDescent="0.2">
      <c r="A2039">
        <v>2038</v>
      </c>
      <c r="B2039">
        <v>2024</v>
      </c>
      <c r="C2039">
        <f>1/COUNTIF(B:B,Table1[[#This Row],[order_id]])</f>
        <v>0.5</v>
      </c>
      <c r="D2039" t="str">
        <f>TEXT(Table1[[#This Row],[order_date]],"mmmm")</f>
        <v>June</v>
      </c>
      <c r="E2039" s="1">
        <v>45452</v>
      </c>
      <c r="F2039" s="1" t="str">
        <f>TEXT(Table1[[#This Row],[order_date]],"dddd")</f>
        <v>Sunday</v>
      </c>
      <c r="G2039">
        <f>HOUR(Table1[[#This Row],[order_time]])</f>
        <v>20</v>
      </c>
      <c r="H2039" s="2">
        <v>0.8439699074074074</v>
      </c>
      <c r="I2039" t="s">
        <v>16</v>
      </c>
      <c r="J2039" t="s">
        <v>28</v>
      </c>
      <c r="K2039">
        <v>4</v>
      </c>
      <c r="L2039">
        <v>25</v>
      </c>
      <c r="M2039">
        <v>100</v>
      </c>
      <c r="N2039">
        <f>IF(COUNTIFS($B$2:B2039,B2039)=1,1,0)</f>
        <v>1</v>
      </c>
    </row>
    <row r="2040" spans="1:14" x14ac:dyDescent="0.2">
      <c r="A2040">
        <v>2039</v>
      </c>
      <c r="B2040">
        <v>2024</v>
      </c>
      <c r="C2040">
        <f>1/COUNTIF(B:B,Table1[[#This Row],[order_id]])</f>
        <v>0.5</v>
      </c>
      <c r="D2040" t="str">
        <f>TEXT(Table1[[#This Row],[order_date]],"mmmm")</f>
        <v>June</v>
      </c>
      <c r="E2040" s="1">
        <v>45452</v>
      </c>
      <c r="F2040" s="1" t="str">
        <f>TEXT(Table1[[#This Row],[order_date]],"dddd")</f>
        <v>Sunday</v>
      </c>
      <c r="G2040">
        <f>HOUR(Table1[[#This Row],[order_time]])</f>
        <v>12</v>
      </c>
      <c r="H2040" s="2">
        <v>0.51642361111111112</v>
      </c>
      <c r="I2040" t="s">
        <v>18</v>
      </c>
      <c r="J2040" t="s">
        <v>30</v>
      </c>
      <c r="K2040">
        <v>2</v>
      </c>
      <c r="L2040">
        <v>60</v>
      </c>
      <c r="M2040">
        <v>120</v>
      </c>
      <c r="N2040">
        <f>IF(COUNTIFS($B$2:B2040,B2040)=1,1,0)</f>
        <v>0</v>
      </c>
    </row>
    <row r="2041" spans="1:14" x14ac:dyDescent="0.2">
      <c r="A2041">
        <v>2040</v>
      </c>
      <c r="B2041">
        <v>2025</v>
      </c>
      <c r="C2041">
        <f>1/COUNTIF(B:B,Table1[[#This Row],[order_id]])</f>
        <v>1</v>
      </c>
      <c r="D2041" t="str">
        <f>TEXT(Table1[[#This Row],[order_date]],"mmmm")</f>
        <v>June</v>
      </c>
      <c r="E2041" s="1">
        <v>45452</v>
      </c>
      <c r="F2041" s="1" t="str">
        <f>TEXT(Table1[[#This Row],[order_date]],"dddd")</f>
        <v>Sunday</v>
      </c>
      <c r="G2041">
        <f>HOUR(Table1[[#This Row],[order_time]])</f>
        <v>14</v>
      </c>
      <c r="H2041" s="2">
        <v>0.58914351851851854</v>
      </c>
      <c r="I2041" t="s">
        <v>16</v>
      </c>
      <c r="J2041" t="s">
        <v>23</v>
      </c>
      <c r="K2041">
        <v>1</v>
      </c>
      <c r="L2041">
        <v>30</v>
      </c>
      <c r="M2041">
        <v>30</v>
      </c>
      <c r="N2041">
        <f>IF(COUNTIFS($B$2:B2041,B2041)=1,1,0)</f>
        <v>1</v>
      </c>
    </row>
    <row r="2042" spans="1:14" x14ac:dyDescent="0.2">
      <c r="A2042">
        <v>2041</v>
      </c>
      <c r="B2042">
        <v>2026</v>
      </c>
      <c r="C2042">
        <f>1/COUNTIF(B:B,Table1[[#This Row],[order_id]])</f>
        <v>1</v>
      </c>
      <c r="D2042" t="str">
        <f>TEXT(Table1[[#This Row],[order_date]],"mmmm")</f>
        <v>June</v>
      </c>
      <c r="E2042" s="1">
        <v>45453</v>
      </c>
      <c r="F2042" s="1" t="str">
        <f>TEXT(Table1[[#This Row],[order_date]],"dddd")</f>
        <v>Monday</v>
      </c>
      <c r="G2042">
        <f>HOUR(Table1[[#This Row],[order_time]])</f>
        <v>11</v>
      </c>
      <c r="H2042" s="2">
        <v>0.47261574074074075</v>
      </c>
      <c r="I2042" t="s">
        <v>16</v>
      </c>
      <c r="J2042" t="s">
        <v>28</v>
      </c>
      <c r="K2042">
        <v>4</v>
      </c>
      <c r="L2042">
        <v>25</v>
      </c>
      <c r="M2042">
        <v>100</v>
      </c>
      <c r="N2042">
        <f>IF(COUNTIFS($B$2:B2042,B2042)=1,1,0)</f>
        <v>1</v>
      </c>
    </row>
    <row r="2043" spans="1:14" x14ac:dyDescent="0.2">
      <c r="A2043">
        <v>2042</v>
      </c>
      <c r="B2043">
        <v>2027</v>
      </c>
      <c r="C2043">
        <f>1/COUNTIF(B:B,Table1[[#This Row],[order_id]])</f>
        <v>0.5</v>
      </c>
      <c r="D2043" t="str">
        <f>TEXT(Table1[[#This Row],[order_date]],"mmmm")</f>
        <v>June</v>
      </c>
      <c r="E2043" s="1">
        <v>45453</v>
      </c>
      <c r="F2043" s="1" t="str">
        <f>TEXT(Table1[[#This Row],[order_date]],"dddd")</f>
        <v>Monday</v>
      </c>
      <c r="G2043">
        <f>HOUR(Table1[[#This Row],[order_time]])</f>
        <v>10</v>
      </c>
      <c r="H2043" s="2">
        <v>0.4199074074074074</v>
      </c>
      <c r="I2043" t="s">
        <v>9</v>
      </c>
      <c r="J2043" t="s">
        <v>21</v>
      </c>
      <c r="K2043">
        <v>2</v>
      </c>
      <c r="L2043">
        <v>10</v>
      </c>
      <c r="M2043">
        <v>20</v>
      </c>
      <c r="N2043">
        <f>IF(COUNTIFS($B$2:B2043,B2043)=1,1,0)</f>
        <v>1</v>
      </c>
    </row>
    <row r="2044" spans="1:14" x14ac:dyDescent="0.2">
      <c r="A2044">
        <v>2043</v>
      </c>
      <c r="B2044">
        <v>2027</v>
      </c>
      <c r="C2044">
        <f>1/COUNTIF(B:B,Table1[[#This Row],[order_id]])</f>
        <v>0.5</v>
      </c>
      <c r="D2044" t="str">
        <f>TEXT(Table1[[#This Row],[order_date]],"mmmm")</f>
        <v>June</v>
      </c>
      <c r="E2044" s="1">
        <v>45453</v>
      </c>
      <c r="F2044" s="1" t="str">
        <f>TEXT(Table1[[#This Row],[order_date]],"dddd")</f>
        <v>Monday</v>
      </c>
      <c r="G2044">
        <f>HOUR(Table1[[#This Row],[order_time]])</f>
        <v>13</v>
      </c>
      <c r="H2044" s="2">
        <v>0.57398148148148154</v>
      </c>
      <c r="I2044" t="s">
        <v>11</v>
      </c>
      <c r="J2044" t="s">
        <v>15</v>
      </c>
      <c r="K2044">
        <v>5</v>
      </c>
      <c r="L2044">
        <v>600</v>
      </c>
      <c r="M2044">
        <v>3000</v>
      </c>
      <c r="N2044">
        <f>IF(COUNTIFS($B$2:B2044,B2044)=1,1,0)</f>
        <v>0</v>
      </c>
    </row>
    <row r="2045" spans="1:14" x14ac:dyDescent="0.2">
      <c r="A2045">
        <v>2044</v>
      </c>
      <c r="B2045">
        <v>2028</v>
      </c>
      <c r="C2045">
        <f>1/COUNTIF(B:B,Table1[[#This Row],[order_id]])</f>
        <v>0.5</v>
      </c>
      <c r="D2045" t="str">
        <f>TEXT(Table1[[#This Row],[order_date]],"mmmm")</f>
        <v>June</v>
      </c>
      <c r="E2045" s="1">
        <v>45453</v>
      </c>
      <c r="F2045" s="1" t="str">
        <f>TEXT(Table1[[#This Row],[order_date]],"dddd")</f>
        <v>Monday</v>
      </c>
      <c r="G2045">
        <f>HOUR(Table1[[#This Row],[order_time]])</f>
        <v>10</v>
      </c>
      <c r="H2045" s="2">
        <v>0.43240740740740741</v>
      </c>
      <c r="I2045" t="s">
        <v>11</v>
      </c>
      <c r="J2045" t="s">
        <v>12</v>
      </c>
      <c r="K2045">
        <v>4</v>
      </c>
      <c r="L2045">
        <v>650</v>
      </c>
      <c r="M2045">
        <v>2600</v>
      </c>
      <c r="N2045">
        <f>IF(COUNTIFS($B$2:B2045,B2045)=1,1,0)</f>
        <v>1</v>
      </c>
    </row>
    <row r="2046" spans="1:14" x14ac:dyDescent="0.2">
      <c r="A2046">
        <v>2045</v>
      </c>
      <c r="B2046">
        <v>2028</v>
      </c>
      <c r="C2046">
        <f>1/COUNTIF(B:B,Table1[[#This Row],[order_id]])</f>
        <v>0.5</v>
      </c>
      <c r="D2046" t="str">
        <f>TEXT(Table1[[#This Row],[order_date]],"mmmm")</f>
        <v>June</v>
      </c>
      <c r="E2046" s="1">
        <v>45453</v>
      </c>
      <c r="F2046" s="1" t="str">
        <f>TEXT(Table1[[#This Row],[order_date]],"dddd")</f>
        <v>Monday</v>
      </c>
      <c r="G2046">
        <f>HOUR(Table1[[#This Row],[order_time]])</f>
        <v>11</v>
      </c>
      <c r="H2046" s="2">
        <v>0.46167824074074076</v>
      </c>
      <c r="I2046" t="s">
        <v>11</v>
      </c>
      <c r="J2046" t="s">
        <v>13</v>
      </c>
      <c r="K2046">
        <v>1</v>
      </c>
      <c r="L2046">
        <v>680</v>
      </c>
      <c r="M2046">
        <v>680</v>
      </c>
      <c r="N2046">
        <f>IF(COUNTIFS($B$2:B2046,B2046)=1,1,0)</f>
        <v>0</v>
      </c>
    </row>
    <row r="2047" spans="1:14" x14ac:dyDescent="0.2">
      <c r="A2047">
        <v>2046</v>
      </c>
      <c r="B2047">
        <v>2029</v>
      </c>
      <c r="C2047">
        <f>1/COUNTIF(B:B,Table1[[#This Row],[order_id]])</f>
        <v>0.33333333333333331</v>
      </c>
      <c r="D2047" t="str">
        <f>TEXT(Table1[[#This Row],[order_date]],"mmmm")</f>
        <v>June</v>
      </c>
      <c r="E2047" s="1">
        <v>45453</v>
      </c>
      <c r="F2047" s="1" t="str">
        <f>TEXT(Table1[[#This Row],[order_date]],"dddd")</f>
        <v>Monday</v>
      </c>
      <c r="G2047">
        <f>HOUR(Table1[[#This Row],[order_time]])</f>
        <v>14</v>
      </c>
      <c r="H2047" s="2">
        <v>0.60393518518518519</v>
      </c>
      <c r="I2047" t="s">
        <v>16</v>
      </c>
      <c r="J2047" t="s">
        <v>28</v>
      </c>
      <c r="K2047">
        <v>4</v>
      </c>
      <c r="L2047">
        <v>25</v>
      </c>
      <c r="M2047">
        <v>100</v>
      </c>
      <c r="N2047">
        <f>IF(COUNTIFS($B$2:B2047,B2047)=1,1,0)</f>
        <v>1</v>
      </c>
    </row>
    <row r="2048" spans="1:14" x14ac:dyDescent="0.2">
      <c r="A2048">
        <v>2047</v>
      </c>
      <c r="B2048">
        <v>2029</v>
      </c>
      <c r="C2048">
        <f>1/COUNTIF(B:B,Table1[[#This Row],[order_id]])</f>
        <v>0.33333333333333331</v>
      </c>
      <c r="D2048" t="str">
        <f>TEXT(Table1[[#This Row],[order_date]],"mmmm")</f>
        <v>June</v>
      </c>
      <c r="E2048" s="1">
        <v>45453</v>
      </c>
      <c r="F2048" s="1" t="str">
        <f>TEXT(Table1[[#This Row],[order_date]],"dddd")</f>
        <v>Monday</v>
      </c>
      <c r="G2048">
        <f>HOUR(Table1[[#This Row],[order_time]])</f>
        <v>9</v>
      </c>
      <c r="H2048" s="2">
        <v>0.3759953703703704</v>
      </c>
      <c r="I2048" t="s">
        <v>18</v>
      </c>
      <c r="J2048" t="s">
        <v>19</v>
      </c>
      <c r="K2048">
        <v>2</v>
      </c>
      <c r="L2048">
        <v>50</v>
      </c>
      <c r="M2048">
        <v>100</v>
      </c>
      <c r="N2048">
        <f>IF(COUNTIFS($B$2:B2048,B2048)=1,1,0)</f>
        <v>0</v>
      </c>
    </row>
    <row r="2049" spans="1:14" x14ac:dyDescent="0.2">
      <c r="A2049">
        <v>2048</v>
      </c>
      <c r="B2049">
        <v>2029</v>
      </c>
      <c r="C2049">
        <f>1/COUNTIF(B:B,Table1[[#This Row],[order_id]])</f>
        <v>0.33333333333333331</v>
      </c>
      <c r="D2049" t="str">
        <f>TEXT(Table1[[#This Row],[order_date]],"mmmm")</f>
        <v>June</v>
      </c>
      <c r="E2049" s="1">
        <v>45453</v>
      </c>
      <c r="F2049" s="1" t="str">
        <f>TEXT(Table1[[#This Row],[order_date]],"dddd")</f>
        <v>Monday</v>
      </c>
      <c r="G2049">
        <f>HOUR(Table1[[#This Row],[order_time]])</f>
        <v>12</v>
      </c>
      <c r="H2049" s="2">
        <v>0.51915509259259263</v>
      </c>
      <c r="I2049" t="s">
        <v>9</v>
      </c>
      <c r="J2049" t="s">
        <v>29</v>
      </c>
      <c r="K2049">
        <v>5</v>
      </c>
      <c r="L2049">
        <v>5</v>
      </c>
      <c r="M2049">
        <v>25</v>
      </c>
      <c r="N2049">
        <f>IF(COUNTIFS($B$2:B2049,B2049)=1,1,0)</f>
        <v>0</v>
      </c>
    </row>
    <row r="2050" spans="1:14" x14ac:dyDescent="0.2">
      <c r="A2050">
        <v>2049</v>
      </c>
      <c r="B2050">
        <v>2030</v>
      </c>
      <c r="C2050">
        <f>1/COUNTIF(B:B,Table1[[#This Row],[order_id]])</f>
        <v>1</v>
      </c>
      <c r="D2050" t="str">
        <f>TEXT(Table1[[#This Row],[order_date]],"mmmm")</f>
        <v>June</v>
      </c>
      <c r="E2050" s="1">
        <v>45454</v>
      </c>
      <c r="F2050" s="1" t="str">
        <f>TEXT(Table1[[#This Row],[order_date]],"dddd")</f>
        <v>Tuesday</v>
      </c>
      <c r="G2050">
        <f>HOUR(Table1[[#This Row],[order_time]])</f>
        <v>9</v>
      </c>
      <c r="H2050" s="2">
        <v>0.3825810185185185</v>
      </c>
      <c r="I2050" t="s">
        <v>16</v>
      </c>
      <c r="J2050" t="s">
        <v>17</v>
      </c>
      <c r="K2050">
        <v>5</v>
      </c>
      <c r="L2050">
        <v>20</v>
      </c>
      <c r="M2050">
        <v>100</v>
      </c>
      <c r="N2050">
        <f>IF(COUNTIFS($B$2:B2050,B2050)=1,1,0)</f>
        <v>1</v>
      </c>
    </row>
    <row r="2051" spans="1:14" x14ac:dyDescent="0.2">
      <c r="A2051">
        <v>2050</v>
      </c>
      <c r="B2051">
        <v>2031</v>
      </c>
      <c r="C2051">
        <f>1/COUNTIF(B:B,Table1[[#This Row],[order_id]])</f>
        <v>0.33333333333333331</v>
      </c>
      <c r="D2051" t="str">
        <f>TEXT(Table1[[#This Row],[order_date]],"mmmm")</f>
        <v>June</v>
      </c>
      <c r="E2051" s="1">
        <v>45454</v>
      </c>
      <c r="F2051" s="1" t="str">
        <f>TEXT(Table1[[#This Row],[order_date]],"dddd")</f>
        <v>Tuesday</v>
      </c>
      <c r="G2051">
        <f>HOUR(Table1[[#This Row],[order_time]])</f>
        <v>11</v>
      </c>
      <c r="H2051" s="2">
        <v>0.4689814814814815</v>
      </c>
      <c r="I2051" t="s">
        <v>18</v>
      </c>
      <c r="J2051" t="s">
        <v>19</v>
      </c>
      <c r="K2051">
        <v>3</v>
      </c>
      <c r="L2051">
        <v>50</v>
      </c>
      <c r="M2051">
        <v>150</v>
      </c>
      <c r="N2051">
        <f>IF(COUNTIFS($B$2:B2051,B2051)=1,1,0)</f>
        <v>1</v>
      </c>
    </row>
    <row r="2052" spans="1:14" x14ac:dyDescent="0.2">
      <c r="A2052">
        <v>2051</v>
      </c>
      <c r="B2052">
        <v>2031</v>
      </c>
      <c r="C2052">
        <f>1/COUNTIF(B:B,Table1[[#This Row],[order_id]])</f>
        <v>0.33333333333333331</v>
      </c>
      <c r="D2052" t="str">
        <f>TEXT(Table1[[#This Row],[order_date]],"mmmm")</f>
        <v>June</v>
      </c>
      <c r="E2052" s="1">
        <v>45454</v>
      </c>
      <c r="F2052" s="1" t="str">
        <f>TEXT(Table1[[#This Row],[order_date]],"dddd")</f>
        <v>Tuesday</v>
      </c>
      <c r="G2052">
        <f>HOUR(Table1[[#This Row],[order_time]])</f>
        <v>15</v>
      </c>
      <c r="H2052" s="2">
        <v>0.6360069444444445</v>
      </c>
      <c r="I2052" t="s">
        <v>11</v>
      </c>
      <c r="J2052" t="s">
        <v>14</v>
      </c>
      <c r="K2052">
        <v>5</v>
      </c>
      <c r="L2052">
        <v>700</v>
      </c>
      <c r="M2052">
        <v>3500</v>
      </c>
      <c r="N2052">
        <f>IF(COUNTIFS($B$2:B2052,B2052)=1,1,0)</f>
        <v>0</v>
      </c>
    </row>
    <row r="2053" spans="1:14" x14ac:dyDescent="0.2">
      <c r="A2053">
        <v>2052</v>
      </c>
      <c r="B2053">
        <v>2031</v>
      </c>
      <c r="C2053">
        <f>1/COUNTIF(B:B,Table1[[#This Row],[order_id]])</f>
        <v>0.33333333333333331</v>
      </c>
      <c r="D2053" t="str">
        <f>TEXT(Table1[[#This Row],[order_date]],"mmmm")</f>
        <v>June</v>
      </c>
      <c r="E2053" s="1">
        <v>45454</v>
      </c>
      <c r="F2053" s="1" t="str">
        <f>TEXT(Table1[[#This Row],[order_date]],"dddd")</f>
        <v>Tuesday</v>
      </c>
      <c r="G2053">
        <f>HOUR(Table1[[#This Row],[order_time]])</f>
        <v>15</v>
      </c>
      <c r="H2053" s="2">
        <v>0.62740740740740741</v>
      </c>
      <c r="I2053" t="s">
        <v>18</v>
      </c>
      <c r="J2053" t="s">
        <v>31</v>
      </c>
      <c r="K2053">
        <v>3</v>
      </c>
      <c r="L2053">
        <v>45</v>
      </c>
      <c r="M2053">
        <v>135</v>
      </c>
      <c r="N2053">
        <f>IF(COUNTIFS($B$2:B2053,B2053)=1,1,0)</f>
        <v>0</v>
      </c>
    </row>
    <row r="2054" spans="1:14" x14ac:dyDescent="0.2">
      <c r="A2054">
        <v>2053</v>
      </c>
      <c r="B2054">
        <v>2032</v>
      </c>
      <c r="C2054">
        <f>1/COUNTIF(B:B,Table1[[#This Row],[order_id]])</f>
        <v>0.5</v>
      </c>
      <c r="D2054" t="str">
        <f>TEXT(Table1[[#This Row],[order_date]],"mmmm")</f>
        <v>June</v>
      </c>
      <c r="E2054" s="1">
        <v>45454</v>
      </c>
      <c r="F2054" s="1" t="str">
        <f>TEXT(Table1[[#This Row],[order_date]],"dddd")</f>
        <v>Tuesday</v>
      </c>
      <c r="G2054">
        <f>HOUR(Table1[[#This Row],[order_time]])</f>
        <v>17</v>
      </c>
      <c r="H2054" s="2">
        <v>0.74591435185185184</v>
      </c>
      <c r="I2054" t="s">
        <v>9</v>
      </c>
      <c r="J2054" t="s">
        <v>20</v>
      </c>
      <c r="K2054">
        <v>5</v>
      </c>
      <c r="L2054">
        <v>25</v>
      </c>
      <c r="M2054">
        <v>125</v>
      </c>
      <c r="N2054">
        <f>IF(COUNTIFS($B$2:B2054,B2054)=1,1,0)</f>
        <v>1</v>
      </c>
    </row>
    <row r="2055" spans="1:14" x14ac:dyDescent="0.2">
      <c r="A2055">
        <v>2054</v>
      </c>
      <c r="B2055">
        <v>2032</v>
      </c>
      <c r="C2055">
        <f>1/COUNTIF(B:B,Table1[[#This Row],[order_id]])</f>
        <v>0.5</v>
      </c>
      <c r="D2055" t="str">
        <f>TEXT(Table1[[#This Row],[order_date]],"mmmm")</f>
        <v>June</v>
      </c>
      <c r="E2055" s="1">
        <v>45454</v>
      </c>
      <c r="F2055" s="1" t="str">
        <f>TEXT(Table1[[#This Row],[order_date]],"dddd")</f>
        <v>Tuesday</v>
      </c>
      <c r="G2055">
        <f>HOUR(Table1[[#This Row],[order_time]])</f>
        <v>15</v>
      </c>
      <c r="H2055" s="2">
        <v>0.62930555555555556</v>
      </c>
      <c r="I2055" t="s">
        <v>11</v>
      </c>
      <c r="J2055" t="s">
        <v>14</v>
      </c>
      <c r="K2055">
        <v>3</v>
      </c>
      <c r="L2055">
        <v>700</v>
      </c>
      <c r="M2055">
        <v>2100</v>
      </c>
      <c r="N2055">
        <f>IF(COUNTIFS($B$2:B2055,B2055)=1,1,0)</f>
        <v>0</v>
      </c>
    </row>
    <row r="2056" spans="1:14" x14ac:dyDescent="0.2">
      <c r="A2056">
        <v>2055</v>
      </c>
      <c r="B2056">
        <v>2033</v>
      </c>
      <c r="C2056">
        <f>1/COUNTIF(B:B,Table1[[#This Row],[order_id]])</f>
        <v>0.33333333333333331</v>
      </c>
      <c r="D2056" t="str">
        <f>TEXT(Table1[[#This Row],[order_date]],"mmmm")</f>
        <v>June</v>
      </c>
      <c r="E2056" s="1">
        <v>45454</v>
      </c>
      <c r="F2056" s="1" t="str">
        <f>TEXT(Table1[[#This Row],[order_date]],"dddd")</f>
        <v>Tuesday</v>
      </c>
      <c r="G2056">
        <f>HOUR(Table1[[#This Row],[order_time]])</f>
        <v>16</v>
      </c>
      <c r="H2056" s="2">
        <v>0.69537037037037042</v>
      </c>
      <c r="I2056" t="s">
        <v>16</v>
      </c>
      <c r="J2056" t="s">
        <v>23</v>
      </c>
      <c r="K2056">
        <v>3</v>
      </c>
      <c r="L2056">
        <v>30</v>
      </c>
      <c r="M2056">
        <v>90</v>
      </c>
      <c r="N2056">
        <f>IF(COUNTIFS($B$2:B2056,B2056)=1,1,0)</f>
        <v>1</v>
      </c>
    </row>
    <row r="2057" spans="1:14" x14ac:dyDescent="0.2">
      <c r="A2057">
        <v>2056</v>
      </c>
      <c r="B2057">
        <v>2033</v>
      </c>
      <c r="C2057">
        <f>1/COUNTIF(B:B,Table1[[#This Row],[order_id]])</f>
        <v>0.33333333333333331</v>
      </c>
      <c r="D2057" t="str">
        <f>TEXT(Table1[[#This Row],[order_date]],"mmmm")</f>
        <v>June</v>
      </c>
      <c r="E2057" s="1">
        <v>45454</v>
      </c>
      <c r="F2057" s="1" t="str">
        <f>TEXT(Table1[[#This Row],[order_date]],"dddd")</f>
        <v>Tuesday</v>
      </c>
      <c r="G2057">
        <f>HOUR(Table1[[#This Row],[order_time]])</f>
        <v>11</v>
      </c>
      <c r="H2057" s="2">
        <v>0.4707175925925926</v>
      </c>
      <c r="I2057" t="s">
        <v>9</v>
      </c>
      <c r="J2057" t="s">
        <v>29</v>
      </c>
      <c r="K2057">
        <v>3</v>
      </c>
      <c r="L2057">
        <v>5</v>
      </c>
      <c r="M2057">
        <v>15</v>
      </c>
      <c r="N2057">
        <f>IF(COUNTIFS($B$2:B2057,B2057)=1,1,0)</f>
        <v>0</v>
      </c>
    </row>
    <row r="2058" spans="1:14" x14ac:dyDescent="0.2">
      <c r="A2058">
        <v>2057</v>
      </c>
      <c r="B2058">
        <v>2033</v>
      </c>
      <c r="C2058">
        <f>1/COUNTIF(B:B,Table1[[#This Row],[order_id]])</f>
        <v>0.33333333333333331</v>
      </c>
      <c r="D2058" t="str">
        <f>TEXT(Table1[[#This Row],[order_date]],"mmmm")</f>
        <v>June</v>
      </c>
      <c r="E2058" s="1">
        <v>45454</v>
      </c>
      <c r="F2058" s="1" t="str">
        <f>TEXT(Table1[[#This Row],[order_date]],"dddd")</f>
        <v>Tuesday</v>
      </c>
      <c r="G2058">
        <f>HOUR(Table1[[#This Row],[order_time]])</f>
        <v>13</v>
      </c>
      <c r="H2058" s="2">
        <v>0.55929398148148146</v>
      </c>
      <c r="I2058" t="s">
        <v>18</v>
      </c>
      <c r="J2058" t="s">
        <v>30</v>
      </c>
      <c r="K2058">
        <v>5</v>
      </c>
      <c r="L2058">
        <v>60</v>
      </c>
      <c r="M2058">
        <v>300</v>
      </c>
      <c r="N2058">
        <f>IF(COUNTIFS($B$2:B2058,B2058)=1,1,0)</f>
        <v>0</v>
      </c>
    </row>
    <row r="2059" spans="1:14" x14ac:dyDescent="0.2">
      <c r="A2059">
        <v>2058</v>
      </c>
      <c r="B2059">
        <v>2034</v>
      </c>
      <c r="C2059">
        <f>1/COUNTIF(B:B,Table1[[#This Row],[order_id]])</f>
        <v>0.33333333333333331</v>
      </c>
      <c r="D2059" t="str">
        <f>TEXT(Table1[[#This Row],[order_date]],"mmmm")</f>
        <v>June</v>
      </c>
      <c r="E2059" s="1">
        <v>45454</v>
      </c>
      <c r="F2059" s="1" t="str">
        <f>TEXT(Table1[[#This Row],[order_date]],"dddd")</f>
        <v>Tuesday</v>
      </c>
      <c r="G2059">
        <f>HOUR(Table1[[#This Row],[order_time]])</f>
        <v>14</v>
      </c>
      <c r="H2059" s="2">
        <v>0.60422453703703705</v>
      </c>
      <c r="I2059" t="s">
        <v>18</v>
      </c>
      <c r="J2059" t="s">
        <v>19</v>
      </c>
      <c r="K2059">
        <v>2</v>
      </c>
      <c r="L2059">
        <v>50</v>
      </c>
      <c r="M2059">
        <v>100</v>
      </c>
      <c r="N2059">
        <f>IF(COUNTIFS($B$2:B2059,B2059)=1,1,0)</f>
        <v>1</v>
      </c>
    </row>
    <row r="2060" spans="1:14" x14ac:dyDescent="0.2">
      <c r="A2060">
        <v>2059</v>
      </c>
      <c r="B2060">
        <v>2034</v>
      </c>
      <c r="C2060">
        <f>1/COUNTIF(B:B,Table1[[#This Row],[order_id]])</f>
        <v>0.33333333333333331</v>
      </c>
      <c r="D2060" t="str">
        <f>TEXT(Table1[[#This Row],[order_date]],"mmmm")</f>
        <v>June</v>
      </c>
      <c r="E2060" s="1">
        <v>45454</v>
      </c>
      <c r="F2060" s="1" t="str">
        <f>TEXT(Table1[[#This Row],[order_date]],"dddd")</f>
        <v>Tuesday</v>
      </c>
      <c r="G2060">
        <f>HOUR(Table1[[#This Row],[order_time]])</f>
        <v>20</v>
      </c>
      <c r="H2060" s="2">
        <v>0.84944444444444445</v>
      </c>
      <c r="I2060" t="s">
        <v>16</v>
      </c>
      <c r="J2060" t="s">
        <v>24</v>
      </c>
      <c r="K2060">
        <v>5</v>
      </c>
      <c r="L2060">
        <v>35</v>
      </c>
      <c r="M2060">
        <v>175</v>
      </c>
      <c r="N2060">
        <f>IF(COUNTIFS($B$2:B2060,B2060)=1,1,0)</f>
        <v>0</v>
      </c>
    </row>
    <row r="2061" spans="1:14" x14ac:dyDescent="0.2">
      <c r="A2061">
        <v>2060</v>
      </c>
      <c r="B2061">
        <v>2034</v>
      </c>
      <c r="C2061">
        <f>1/COUNTIF(B:B,Table1[[#This Row],[order_id]])</f>
        <v>0.33333333333333331</v>
      </c>
      <c r="D2061" t="str">
        <f>TEXT(Table1[[#This Row],[order_date]],"mmmm")</f>
        <v>June</v>
      </c>
      <c r="E2061" s="1">
        <v>45454</v>
      </c>
      <c r="F2061" s="1" t="str">
        <f>TEXT(Table1[[#This Row],[order_date]],"dddd")</f>
        <v>Tuesday</v>
      </c>
      <c r="G2061">
        <f>HOUR(Table1[[#This Row],[order_time]])</f>
        <v>13</v>
      </c>
      <c r="H2061" s="2">
        <v>0.54274305555555558</v>
      </c>
      <c r="I2061" t="s">
        <v>11</v>
      </c>
      <c r="J2061" t="s">
        <v>25</v>
      </c>
      <c r="K2061">
        <v>5</v>
      </c>
      <c r="L2061">
        <v>1000</v>
      </c>
      <c r="M2061">
        <v>5000</v>
      </c>
      <c r="N2061">
        <f>IF(COUNTIFS($B$2:B2061,B2061)=1,1,0)</f>
        <v>0</v>
      </c>
    </row>
    <row r="2062" spans="1:14" x14ac:dyDescent="0.2">
      <c r="A2062">
        <v>2061</v>
      </c>
      <c r="B2062">
        <v>2035</v>
      </c>
      <c r="C2062">
        <f>1/COUNTIF(B:B,Table1[[#This Row],[order_id]])</f>
        <v>0.33333333333333331</v>
      </c>
      <c r="D2062" t="str">
        <f>TEXT(Table1[[#This Row],[order_date]],"mmmm")</f>
        <v>June</v>
      </c>
      <c r="E2062" s="1">
        <v>45454</v>
      </c>
      <c r="F2062" s="1" t="str">
        <f>TEXT(Table1[[#This Row],[order_date]],"dddd")</f>
        <v>Tuesday</v>
      </c>
      <c r="G2062">
        <f>HOUR(Table1[[#This Row],[order_time]])</f>
        <v>11</v>
      </c>
      <c r="H2062" s="2">
        <v>0.47961805555555553</v>
      </c>
      <c r="I2062" t="s">
        <v>11</v>
      </c>
      <c r="J2062" t="s">
        <v>13</v>
      </c>
      <c r="K2062">
        <v>4</v>
      </c>
      <c r="L2062">
        <v>680</v>
      </c>
      <c r="M2062">
        <v>2720</v>
      </c>
      <c r="N2062">
        <f>IF(COUNTIFS($B$2:B2062,B2062)=1,1,0)</f>
        <v>1</v>
      </c>
    </row>
    <row r="2063" spans="1:14" x14ac:dyDescent="0.2">
      <c r="A2063">
        <v>2062</v>
      </c>
      <c r="B2063">
        <v>2035</v>
      </c>
      <c r="C2063">
        <f>1/COUNTIF(B:B,Table1[[#This Row],[order_id]])</f>
        <v>0.33333333333333331</v>
      </c>
      <c r="D2063" t="str">
        <f>TEXT(Table1[[#This Row],[order_date]],"mmmm")</f>
        <v>June</v>
      </c>
      <c r="E2063" s="1">
        <v>45454</v>
      </c>
      <c r="F2063" s="1" t="str">
        <f>TEXT(Table1[[#This Row],[order_date]],"dddd")</f>
        <v>Tuesday</v>
      </c>
      <c r="G2063">
        <f>HOUR(Table1[[#This Row],[order_time]])</f>
        <v>9</v>
      </c>
      <c r="H2063" s="2">
        <v>0.40271990740740743</v>
      </c>
      <c r="I2063" t="s">
        <v>16</v>
      </c>
      <c r="J2063" t="s">
        <v>28</v>
      </c>
      <c r="K2063">
        <v>5</v>
      </c>
      <c r="L2063">
        <v>25</v>
      </c>
      <c r="M2063">
        <v>125</v>
      </c>
      <c r="N2063">
        <f>IF(COUNTIFS($B$2:B2063,B2063)=1,1,0)</f>
        <v>0</v>
      </c>
    </row>
    <row r="2064" spans="1:14" x14ac:dyDescent="0.2">
      <c r="A2064">
        <v>2063</v>
      </c>
      <c r="B2064">
        <v>2035</v>
      </c>
      <c r="C2064">
        <f>1/COUNTIF(B:B,Table1[[#This Row],[order_id]])</f>
        <v>0.33333333333333331</v>
      </c>
      <c r="D2064" t="str">
        <f>TEXT(Table1[[#This Row],[order_date]],"mmmm")</f>
        <v>June</v>
      </c>
      <c r="E2064" s="1">
        <v>45454</v>
      </c>
      <c r="F2064" s="1" t="str">
        <f>TEXT(Table1[[#This Row],[order_date]],"dddd")</f>
        <v>Tuesday</v>
      </c>
      <c r="G2064">
        <f>HOUR(Table1[[#This Row],[order_time]])</f>
        <v>20</v>
      </c>
      <c r="H2064" s="2">
        <v>0.83633101851851854</v>
      </c>
      <c r="I2064" t="s">
        <v>18</v>
      </c>
      <c r="J2064" t="s">
        <v>27</v>
      </c>
      <c r="K2064">
        <v>4</v>
      </c>
      <c r="L2064">
        <v>40</v>
      </c>
      <c r="M2064">
        <v>160</v>
      </c>
      <c r="N2064">
        <f>IF(COUNTIFS($B$2:B2064,B2064)=1,1,0)</f>
        <v>0</v>
      </c>
    </row>
    <row r="2065" spans="1:14" x14ac:dyDescent="0.2">
      <c r="A2065">
        <v>2064</v>
      </c>
      <c r="B2065">
        <v>2036</v>
      </c>
      <c r="C2065">
        <f>1/COUNTIF(B:B,Table1[[#This Row],[order_id]])</f>
        <v>1</v>
      </c>
      <c r="D2065" t="str">
        <f>TEXT(Table1[[#This Row],[order_date]],"mmmm")</f>
        <v>June</v>
      </c>
      <c r="E2065" s="1">
        <v>45454</v>
      </c>
      <c r="F2065" s="1" t="str">
        <f>TEXT(Table1[[#This Row],[order_date]],"dddd")</f>
        <v>Tuesday</v>
      </c>
      <c r="G2065">
        <f>HOUR(Table1[[#This Row],[order_time]])</f>
        <v>13</v>
      </c>
      <c r="H2065" s="2">
        <v>0.54413194444444446</v>
      </c>
      <c r="I2065" t="s">
        <v>9</v>
      </c>
      <c r="J2065" t="s">
        <v>10</v>
      </c>
      <c r="K2065">
        <v>4</v>
      </c>
      <c r="L2065">
        <v>20</v>
      </c>
      <c r="M2065">
        <v>80</v>
      </c>
      <c r="N2065">
        <f>IF(COUNTIFS($B$2:B2065,B2065)=1,1,0)</f>
        <v>1</v>
      </c>
    </row>
    <row r="2066" spans="1:14" x14ac:dyDescent="0.2">
      <c r="A2066">
        <v>2065</v>
      </c>
      <c r="B2066">
        <v>2037</v>
      </c>
      <c r="C2066">
        <f>1/COUNTIF(B:B,Table1[[#This Row],[order_id]])</f>
        <v>0.5</v>
      </c>
      <c r="D2066" t="str">
        <f>TEXT(Table1[[#This Row],[order_date]],"mmmm")</f>
        <v>June</v>
      </c>
      <c r="E2066" s="1">
        <v>45454</v>
      </c>
      <c r="F2066" s="1" t="str">
        <f>TEXT(Table1[[#This Row],[order_date]],"dddd")</f>
        <v>Tuesday</v>
      </c>
      <c r="G2066">
        <f>HOUR(Table1[[#This Row],[order_time]])</f>
        <v>15</v>
      </c>
      <c r="H2066" s="2">
        <v>0.63023148148148145</v>
      </c>
      <c r="I2066" t="s">
        <v>9</v>
      </c>
      <c r="J2066" t="s">
        <v>20</v>
      </c>
      <c r="K2066">
        <v>2</v>
      </c>
      <c r="L2066">
        <v>25</v>
      </c>
      <c r="M2066">
        <v>50</v>
      </c>
      <c r="N2066">
        <f>IF(COUNTIFS($B$2:B2066,B2066)=1,1,0)</f>
        <v>1</v>
      </c>
    </row>
    <row r="2067" spans="1:14" x14ac:dyDescent="0.2">
      <c r="A2067">
        <v>2066</v>
      </c>
      <c r="B2067">
        <v>2037</v>
      </c>
      <c r="C2067">
        <f>1/COUNTIF(B:B,Table1[[#This Row],[order_id]])</f>
        <v>0.5</v>
      </c>
      <c r="D2067" t="str">
        <f>TEXT(Table1[[#This Row],[order_date]],"mmmm")</f>
        <v>June</v>
      </c>
      <c r="E2067" s="1">
        <v>45454</v>
      </c>
      <c r="F2067" s="1" t="str">
        <f>TEXT(Table1[[#This Row],[order_date]],"dddd")</f>
        <v>Tuesday</v>
      </c>
      <c r="G2067">
        <f>HOUR(Table1[[#This Row],[order_time]])</f>
        <v>11</v>
      </c>
      <c r="H2067" s="2">
        <v>0.47078703703703706</v>
      </c>
      <c r="I2067" t="s">
        <v>11</v>
      </c>
      <c r="J2067" t="s">
        <v>13</v>
      </c>
      <c r="K2067">
        <v>3</v>
      </c>
      <c r="L2067">
        <v>680</v>
      </c>
      <c r="M2067">
        <v>2040</v>
      </c>
      <c r="N2067">
        <f>IF(COUNTIFS($B$2:B2067,B2067)=1,1,0)</f>
        <v>0</v>
      </c>
    </row>
    <row r="2068" spans="1:14" x14ac:dyDescent="0.2">
      <c r="A2068">
        <v>2067</v>
      </c>
      <c r="B2068">
        <v>2038</v>
      </c>
      <c r="C2068">
        <f>1/COUNTIF(B:B,Table1[[#This Row],[order_id]])</f>
        <v>1</v>
      </c>
      <c r="D2068" t="str">
        <f>TEXT(Table1[[#This Row],[order_date]],"mmmm")</f>
        <v>June</v>
      </c>
      <c r="E2068" s="1">
        <v>45455</v>
      </c>
      <c r="F2068" s="1" t="str">
        <f>TEXT(Table1[[#This Row],[order_date]],"dddd")</f>
        <v>Wednesday</v>
      </c>
      <c r="G2068">
        <f>HOUR(Table1[[#This Row],[order_time]])</f>
        <v>11</v>
      </c>
      <c r="H2068" s="2">
        <v>0.48682870370370368</v>
      </c>
      <c r="I2068" t="s">
        <v>9</v>
      </c>
      <c r="J2068" t="s">
        <v>20</v>
      </c>
      <c r="K2068">
        <v>3</v>
      </c>
      <c r="L2068">
        <v>25</v>
      </c>
      <c r="M2068">
        <v>75</v>
      </c>
      <c r="N2068">
        <f>IF(COUNTIFS($B$2:B2068,B2068)=1,1,0)</f>
        <v>1</v>
      </c>
    </row>
    <row r="2069" spans="1:14" x14ac:dyDescent="0.2">
      <c r="A2069">
        <v>2068</v>
      </c>
      <c r="B2069">
        <v>2039</v>
      </c>
      <c r="C2069">
        <f>1/COUNTIF(B:B,Table1[[#This Row],[order_id]])</f>
        <v>0.33333333333333331</v>
      </c>
      <c r="D2069" t="str">
        <f>TEXT(Table1[[#This Row],[order_date]],"mmmm")</f>
        <v>June</v>
      </c>
      <c r="E2069" s="1">
        <v>45455</v>
      </c>
      <c r="F2069" s="1" t="str">
        <f>TEXT(Table1[[#This Row],[order_date]],"dddd")</f>
        <v>Wednesday</v>
      </c>
      <c r="G2069">
        <f>HOUR(Table1[[#This Row],[order_time]])</f>
        <v>9</v>
      </c>
      <c r="H2069" s="2">
        <v>0.39803240740740742</v>
      </c>
      <c r="I2069" t="s">
        <v>9</v>
      </c>
      <c r="J2069" t="s">
        <v>29</v>
      </c>
      <c r="K2069">
        <v>5</v>
      </c>
      <c r="L2069">
        <v>5</v>
      </c>
      <c r="M2069">
        <v>25</v>
      </c>
      <c r="N2069">
        <f>IF(COUNTIFS($B$2:B2069,B2069)=1,1,0)</f>
        <v>1</v>
      </c>
    </row>
    <row r="2070" spans="1:14" x14ac:dyDescent="0.2">
      <c r="A2070">
        <v>2069</v>
      </c>
      <c r="B2070">
        <v>2039</v>
      </c>
      <c r="C2070">
        <f>1/COUNTIF(B:B,Table1[[#This Row],[order_id]])</f>
        <v>0.33333333333333331</v>
      </c>
      <c r="D2070" t="str">
        <f>TEXT(Table1[[#This Row],[order_date]],"mmmm")</f>
        <v>June</v>
      </c>
      <c r="E2070" s="1">
        <v>45455</v>
      </c>
      <c r="F2070" s="1" t="str">
        <f>TEXT(Table1[[#This Row],[order_date]],"dddd")</f>
        <v>Wednesday</v>
      </c>
      <c r="G2070">
        <f>HOUR(Table1[[#This Row],[order_time]])</f>
        <v>19</v>
      </c>
      <c r="H2070" s="2">
        <v>0.80564814814814811</v>
      </c>
      <c r="I2070" t="s">
        <v>11</v>
      </c>
      <c r="J2070" t="s">
        <v>14</v>
      </c>
      <c r="K2070">
        <v>5</v>
      </c>
      <c r="L2070">
        <v>700</v>
      </c>
      <c r="M2070">
        <v>3500</v>
      </c>
      <c r="N2070">
        <f>IF(COUNTIFS($B$2:B2070,B2070)=1,1,0)</f>
        <v>0</v>
      </c>
    </row>
    <row r="2071" spans="1:14" x14ac:dyDescent="0.2">
      <c r="A2071">
        <v>2070</v>
      </c>
      <c r="B2071">
        <v>2039</v>
      </c>
      <c r="C2071">
        <f>1/COUNTIF(B:B,Table1[[#This Row],[order_id]])</f>
        <v>0.33333333333333331</v>
      </c>
      <c r="D2071" t="str">
        <f>TEXT(Table1[[#This Row],[order_date]],"mmmm")</f>
        <v>June</v>
      </c>
      <c r="E2071" s="1">
        <v>45455</v>
      </c>
      <c r="F2071" s="1" t="str">
        <f>TEXT(Table1[[#This Row],[order_date]],"dddd")</f>
        <v>Wednesday</v>
      </c>
      <c r="G2071">
        <f>HOUR(Table1[[#This Row],[order_time]])</f>
        <v>10</v>
      </c>
      <c r="H2071" s="2">
        <v>0.4525925925925926</v>
      </c>
      <c r="I2071" t="s">
        <v>9</v>
      </c>
      <c r="J2071" t="s">
        <v>29</v>
      </c>
      <c r="K2071">
        <v>2</v>
      </c>
      <c r="L2071">
        <v>5</v>
      </c>
      <c r="M2071">
        <v>10</v>
      </c>
      <c r="N2071">
        <f>IF(COUNTIFS($B$2:B2071,B2071)=1,1,0)</f>
        <v>0</v>
      </c>
    </row>
    <row r="2072" spans="1:14" x14ac:dyDescent="0.2">
      <c r="A2072">
        <v>2071</v>
      </c>
      <c r="B2072">
        <v>2040</v>
      </c>
      <c r="C2072">
        <f>1/COUNTIF(B:B,Table1[[#This Row],[order_id]])</f>
        <v>0.5</v>
      </c>
      <c r="D2072" t="str">
        <f>TEXT(Table1[[#This Row],[order_date]],"mmmm")</f>
        <v>June</v>
      </c>
      <c r="E2072" s="1">
        <v>45455</v>
      </c>
      <c r="F2072" s="1" t="str">
        <f>TEXT(Table1[[#This Row],[order_date]],"dddd")</f>
        <v>Wednesday</v>
      </c>
      <c r="G2072">
        <f>HOUR(Table1[[#This Row],[order_time]])</f>
        <v>12</v>
      </c>
      <c r="H2072" s="2">
        <v>0.51082175925925921</v>
      </c>
      <c r="I2072" t="s">
        <v>11</v>
      </c>
      <c r="J2072" t="s">
        <v>13</v>
      </c>
      <c r="K2072">
        <v>2</v>
      </c>
      <c r="L2072">
        <v>680</v>
      </c>
      <c r="M2072">
        <v>1360</v>
      </c>
      <c r="N2072">
        <f>IF(COUNTIFS($B$2:B2072,B2072)=1,1,0)</f>
        <v>1</v>
      </c>
    </row>
    <row r="2073" spans="1:14" x14ac:dyDescent="0.2">
      <c r="A2073">
        <v>2072</v>
      </c>
      <c r="B2073">
        <v>2040</v>
      </c>
      <c r="C2073">
        <f>1/COUNTIF(B:B,Table1[[#This Row],[order_id]])</f>
        <v>0.5</v>
      </c>
      <c r="D2073" t="str">
        <f>TEXT(Table1[[#This Row],[order_date]],"mmmm")</f>
        <v>June</v>
      </c>
      <c r="E2073" s="1">
        <v>45455</v>
      </c>
      <c r="F2073" s="1" t="str">
        <f>TEXT(Table1[[#This Row],[order_date]],"dddd")</f>
        <v>Wednesday</v>
      </c>
      <c r="G2073">
        <f>HOUR(Table1[[#This Row],[order_time]])</f>
        <v>19</v>
      </c>
      <c r="H2073" s="2">
        <v>0.81546296296296295</v>
      </c>
      <c r="I2073" t="s">
        <v>9</v>
      </c>
      <c r="J2073" t="s">
        <v>20</v>
      </c>
      <c r="K2073">
        <v>5</v>
      </c>
      <c r="L2073">
        <v>25</v>
      </c>
      <c r="M2073">
        <v>125</v>
      </c>
      <c r="N2073">
        <f>IF(COUNTIFS($B$2:B2073,B2073)=1,1,0)</f>
        <v>0</v>
      </c>
    </row>
    <row r="2074" spans="1:14" x14ac:dyDescent="0.2">
      <c r="A2074">
        <v>2073</v>
      </c>
      <c r="B2074">
        <v>2041</v>
      </c>
      <c r="C2074">
        <f>1/COUNTIF(B:B,Table1[[#This Row],[order_id]])</f>
        <v>1</v>
      </c>
      <c r="D2074" t="str">
        <f>TEXT(Table1[[#This Row],[order_date]],"mmmm")</f>
        <v>June</v>
      </c>
      <c r="E2074" s="1">
        <v>45455</v>
      </c>
      <c r="F2074" s="1" t="str">
        <f>TEXT(Table1[[#This Row],[order_date]],"dddd")</f>
        <v>Wednesday</v>
      </c>
      <c r="G2074">
        <f>HOUR(Table1[[#This Row],[order_time]])</f>
        <v>9</v>
      </c>
      <c r="H2074" s="2">
        <v>0.37950231481481483</v>
      </c>
      <c r="I2074" t="s">
        <v>16</v>
      </c>
      <c r="J2074" t="s">
        <v>24</v>
      </c>
      <c r="K2074">
        <v>5</v>
      </c>
      <c r="L2074">
        <v>35</v>
      </c>
      <c r="M2074">
        <v>175</v>
      </c>
      <c r="N2074">
        <f>IF(COUNTIFS($B$2:B2074,B2074)=1,1,0)</f>
        <v>1</v>
      </c>
    </row>
    <row r="2075" spans="1:14" x14ac:dyDescent="0.2">
      <c r="A2075">
        <v>2074</v>
      </c>
      <c r="B2075">
        <v>2042</v>
      </c>
      <c r="C2075">
        <f>1/COUNTIF(B:B,Table1[[#This Row],[order_id]])</f>
        <v>0.5</v>
      </c>
      <c r="D2075" t="str">
        <f>TEXT(Table1[[#This Row],[order_date]],"mmmm")</f>
        <v>June</v>
      </c>
      <c r="E2075" s="1">
        <v>45455</v>
      </c>
      <c r="F2075" s="1" t="str">
        <f>TEXT(Table1[[#This Row],[order_date]],"dddd")</f>
        <v>Wednesday</v>
      </c>
      <c r="G2075">
        <f>HOUR(Table1[[#This Row],[order_time]])</f>
        <v>19</v>
      </c>
      <c r="H2075" s="2">
        <v>0.79425925925925922</v>
      </c>
      <c r="I2075" t="s">
        <v>9</v>
      </c>
      <c r="J2075" t="s">
        <v>20</v>
      </c>
      <c r="K2075">
        <v>5</v>
      </c>
      <c r="L2075">
        <v>25</v>
      </c>
      <c r="M2075">
        <v>125</v>
      </c>
      <c r="N2075">
        <f>IF(COUNTIFS($B$2:B2075,B2075)=1,1,0)</f>
        <v>1</v>
      </c>
    </row>
    <row r="2076" spans="1:14" x14ac:dyDescent="0.2">
      <c r="A2076">
        <v>2075</v>
      </c>
      <c r="B2076">
        <v>2042</v>
      </c>
      <c r="C2076">
        <f>1/COUNTIF(B:B,Table1[[#This Row],[order_id]])</f>
        <v>0.5</v>
      </c>
      <c r="D2076" t="str">
        <f>TEXT(Table1[[#This Row],[order_date]],"mmmm")</f>
        <v>June</v>
      </c>
      <c r="E2076" s="1">
        <v>45455</v>
      </c>
      <c r="F2076" s="1" t="str">
        <f>TEXT(Table1[[#This Row],[order_date]],"dddd")</f>
        <v>Wednesday</v>
      </c>
      <c r="G2076">
        <f>HOUR(Table1[[#This Row],[order_time]])</f>
        <v>16</v>
      </c>
      <c r="H2076" s="2">
        <v>0.66924768518518518</v>
      </c>
      <c r="I2076" t="s">
        <v>11</v>
      </c>
      <c r="J2076" t="s">
        <v>12</v>
      </c>
      <c r="K2076">
        <v>2</v>
      </c>
      <c r="L2076">
        <v>650</v>
      </c>
      <c r="M2076">
        <v>1300</v>
      </c>
      <c r="N2076">
        <f>IF(COUNTIFS($B$2:B2076,B2076)=1,1,0)</f>
        <v>0</v>
      </c>
    </row>
    <row r="2077" spans="1:14" x14ac:dyDescent="0.2">
      <c r="A2077">
        <v>2076</v>
      </c>
      <c r="B2077">
        <v>2043</v>
      </c>
      <c r="C2077">
        <f>1/COUNTIF(B:B,Table1[[#This Row],[order_id]])</f>
        <v>1</v>
      </c>
      <c r="D2077" t="str">
        <f>TEXT(Table1[[#This Row],[order_date]],"mmmm")</f>
        <v>June</v>
      </c>
      <c r="E2077" s="1">
        <v>45455</v>
      </c>
      <c r="F2077" s="1" t="str">
        <f>TEXT(Table1[[#This Row],[order_date]],"dddd")</f>
        <v>Wednesday</v>
      </c>
      <c r="G2077">
        <f>HOUR(Table1[[#This Row],[order_time]])</f>
        <v>18</v>
      </c>
      <c r="H2077" s="2">
        <v>0.78457175925925926</v>
      </c>
      <c r="I2077" t="s">
        <v>18</v>
      </c>
      <c r="J2077" t="s">
        <v>27</v>
      </c>
      <c r="K2077">
        <v>2</v>
      </c>
      <c r="L2077">
        <v>40</v>
      </c>
      <c r="M2077">
        <v>80</v>
      </c>
      <c r="N2077">
        <f>IF(COUNTIFS($B$2:B2077,B2077)=1,1,0)</f>
        <v>1</v>
      </c>
    </row>
    <row r="2078" spans="1:14" x14ac:dyDescent="0.2">
      <c r="A2078">
        <v>2077</v>
      </c>
      <c r="B2078">
        <v>2044</v>
      </c>
      <c r="C2078">
        <f>1/COUNTIF(B:B,Table1[[#This Row],[order_id]])</f>
        <v>0.33333333333333331</v>
      </c>
      <c r="D2078" t="str">
        <f>TEXT(Table1[[#This Row],[order_date]],"mmmm")</f>
        <v>June</v>
      </c>
      <c r="E2078" s="1">
        <v>45455</v>
      </c>
      <c r="F2078" s="1" t="str">
        <f>TEXT(Table1[[#This Row],[order_date]],"dddd")</f>
        <v>Wednesday</v>
      </c>
      <c r="G2078">
        <f>HOUR(Table1[[#This Row],[order_time]])</f>
        <v>13</v>
      </c>
      <c r="H2078" s="2">
        <v>0.57010416666666663</v>
      </c>
      <c r="I2078" t="s">
        <v>16</v>
      </c>
      <c r="J2078" t="s">
        <v>17</v>
      </c>
      <c r="K2078">
        <v>1</v>
      </c>
      <c r="L2078">
        <v>20</v>
      </c>
      <c r="M2078">
        <v>20</v>
      </c>
      <c r="N2078">
        <f>IF(COUNTIFS($B$2:B2078,B2078)=1,1,0)</f>
        <v>1</v>
      </c>
    </row>
    <row r="2079" spans="1:14" x14ac:dyDescent="0.2">
      <c r="A2079">
        <v>2078</v>
      </c>
      <c r="B2079">
        <v>2044</v>
      </c>
      <c r="C2079">
        <f>1/COUNTIF(B:B,Table1[[#This Row],[order_id]])</f>
        <v>0.33333333333333331</v>
      </c>
      <c r="D2079" t="str">
        <f>TEXT(Table1[[#This Row],[order_date]],"mmmm")</f>
        <v>June</v>
      </c>
      <c r="E2079" s="1">
        <v>45455</v>
      </c>
      <c r="F2079" s="1" t="str">
        <f>TEXT(Table1[[#This Row],[order_date]],"dddd")</f>
        <v>Wednesday</v>
      </c>
      <c r="G2079">
        <f>HOUR(Table1[[#This Row],[order_time]])</f>
        <v>15</v>
      </c>
      <c r="H2079" s="2">
        <v>0.63305555555555559</v>
      </c>
      <c r="I2079" t="s">
        <v>18</v>
      </c>
      <c r="J2079" t="s">
        <v>27</v>
      </c>
      <c r="K2079">
        <v>3</v>
      </c>
      <c r="L2079">
        <v>40</v>
      </c>
      <c r="M2079">
        <v>120</v>
      </c>
      <c r="N2079">
        <f>IF(COUNTIFS($B$2:B2079,B2079)=1,1,0)</f>
        <v>0</v>
      </c>
    </row>
    <row r="2080" spans="1:14" x14ac:dyDescent="0.2">
      <c r="A2080">
        <v>2079</v>
      </c>
      <c r="B2080">
        <v>2044</v>
      </c>
      <c r="C2080">
        <f>1/COUNTIF(B:B,Table1[[#This Row],[order_id]])</f>
        <v>0.33333333333333331</v>
      </c>
      <c r="D2080" t="str">
        <f>TEXT(Table1[[#This Row],[order_date]],"mmmm")</f>
        <v>June</v>
      </c>
      <c r="E2080" s="1">
        <v>45455</v>
      </c>
      <c r="F2080" s="1" t="str">
        <f>TEXT(Table1[[#This Row],[order_date]],"dddd")</f>
        <v>Wednesday</v>
      </c>
      <c r="G2080">
        <f>HOUR(Table1[[#This Row],[order_time]])</f>
        <v>13</v>
      </c>
      <c r="H2080" s="2">
        <v>0.57315972222222222</v>
      </c>
      <c r="I2080" t="s">
        <v>16</v>
      </c>
      <c r="J2080" t="s">
        <v>23</v>
      </c>
      <c r="K2080">
        <v>3</v>
      </c>
      <c r="L2080">
        <v>30</v>
      </c>
      <c r="M2080">
        <v>90</v>
      </c>
      <c r="N2080">
        <f>IF(COUNTIFS($B$2:B2080,B2080)=1,1,0)</f>
        <v>0</v>
      </c>
    </row>
    <row r="2081" spans="1:14" x14ac:dyDescent="0.2">
      <c r="A2081">
        <v>2080</v>
      </c>
      <c r="B2081">
        <v>2045</v>
      </c>
      <c r="C2081">
        <f>1/COUNTIF(B:B,Table1[[#This Row],[order_id]])</f>
        <v>1</v>
      </c>
      <c r="D2081" t="str">
        <f>TEXT(Table1[[#This Row],[order_date]],"mmmm")</f>
        <v>June</v>
      </c>
      <c r="E2081" s="1">
        <v>45455</v>
      </c>
      <c r="F2081" s="1" t="str">
        <f>TEXT(Table1[[#This Row],[order_date]],"dddd")</f>
        <v>Wednesday</v>
      </c>
      <c r="G2081">
        <f>HOUR(Table1[[#This Row],[order_time]])</f>
        <v>18</v>
      </c>
      <c r="H2081" s="2">
        <v>0.75723379629629628</v>
      </c>
      <c r="I2081" t="s">
        <v>9</v>
      </c>
      <c r="J2081" t="s">
        <v>21</v>
      </c>
      <c r="K2081">
        <v>1</v>
      </c>
      <c r="L2081">
        <v>10</v>
      </c>
      <c r="M2081">
        <v>10</v>
      </c>
      <c r="N2081">
        <f>IF(COUNTIFS($B$2:B2081,B2081)=1,1,0)</f>
        <v>1</v>
      </c>
    </row>
    <row r="2082" spans="1:14" x14ac:dyDescent="0.2">
      <c r="A2082">
        <v>2081</v>
      </c>
      <c r="B2082">
        <v>2046</v>
      </c>
      <c r="C2082">
        <f>1/COUNTIF(B:B,Table1[[#This Row],[order_id]])</f>
        <v>1</v>
      </c>
      <c r="D2082" t="str">
        <f>TEXT(Table1[[#This Row],[order_date]],"mmmm")</f>
        <v>June</v>
      </c>
      <c r="E2082" s="1">
        <v>45456</v>
      </c>
      <c r="F2082" s="1" t="str">
        <f>TEXT(Table1[[#This Row],[order_date]],"dddd")</f>
        <v>Thursday</v>
      </c>
      <c r="G2082">
        <f>HOUR(Table1[[#This Row],[order_time]])</f>
        <v>13</v>
      </c>
      <c r="H2082" s="2">
        <v>0.541875</v>
      </c>
      <c r="I2082" t="s">
        <v>18</v>
      </c>
      <c r="J2082" t="s">
        <v>30</v>
      </c>
      <c r="K2082">
        <v>5</v>
      </c>
      <c r="L2082">
        <v>60</v>
      </c>
      <c r="M2082">
        <v>300</v>
      </c>
      <c r="N2082">
        <f>IF(COUNTIFS($B$2:B2082,B2082)=1,1,0)</f>
        <v>1</v>
      </c>
    </row>
    <row r="2083" spans="1:14" x14ac:dyDescent="0.2">
      <c r="A2083">
        <v>2082</v>
      </c>
      <c r="B2083">
        <v>2047</v>
      </c>
      <c r="C2083">
        <f>1/COUNTIF(B:B,Table1[[#This Row],[order_id]])</f>
        <v>0.5</v>
      </c>
      <c r="D2083" t="str">
        <f>TEXT(Table1[[#This Row],[order_date]],"mmmm")</f>
        <v>June</v>
      </c>
      <c r="E2083" s="1">
        <v>45456</v>
      </c>
      <c r="F2083" s="1" t="str">
        <f>TEXT(Table1[[#This Row],[order_date]],"dddd")</f>
        <v>Thursday</v>
      </c>
      <c r="G2083">
        <f>HOUR(Table1[[#This Row],[order_time]])</f>
        <v>19</v>
      </c>
      <c r="H2083" s="2">
        <v>0.80267361111111113</v>
      </c>
      <c r="I2083" t="s">
        <v>16</v>
      </c>
      <c r="J2083" t="s">
        <v>23</v>
      </c>
      <c r="K2083">
        <v>5</v>
      </c>
      <c r="L2083">
        <v>30</v>
      </c>
      <c r="M2083">
        <v>150</v>
      </c>
      <c r="N2083">
        <f>IF(COUNTIFS($B$2:B2083,B2083)=1,1,0)</f>
        <v>1</v>
      </c>
    </row>
    <row r="2084" spans="1:14" x14ac:dyDescent="0.2">
      <c r="A2084">
        <v>2083</v>
      </c>
      <c r="B2084">
        <v>2047</v>
      </c>
      <c r="C2084">
        <f>1/COUNTIF(B:B,Table1[[#This Row],[order_id]])</f>
        <v>0.5</v>
      </c>
      <c r="D2084" t="str">
        <f>TEXT(Table1[[#This Row],[order_date]],"mmmm")</f>
        <v>June</v>
      </c>
      <c r="E2084" s="1">
        <v>45456</v>
      </c>
      <c r="F2084" s="1" t="str">
        <f>TEXT(Table1[[#This Row],[order_date]],"dddd")</f>
        <v>Thursday</v>
      </c>
      <c r="G2084">
        <f>HOUR(Table1[[#This Row],[order_time]])</f>
        <v>14</v>
      </c>
      <c r="H2084" s="2">
        <v>0.62311342592592589</v>
      </c>
      <c r="I2084" t="s">
        <v>9</v>
      </c>
      <c r="J2084" t="s">
        <v>20</v>
      </c>
      <c r="K2084">
        <v>2</v>
      </c>
      <c r="L2084">
        <v>25</v>
      </c>
      <c r="M2084">
        <v>50</v>
      </c>
      <c r="N2084">
        <f>IF(COUNTIFS($B$2:B2084,B2084)=1,1,0)</f>
        <v>0</v>
      </c>
    </row>
    <row r="2085" spans="1:14" x14ac:dyDescent="0.2">
      <c r="A2085">
        <v>2084</v>
      </c>
      <c r="B2085">
        <v>2048</v>
      </c>
      <c r="C2085">
        <f>1/COUNTIF(B:B,Table1[[#This Row],[order_id]])</f>
        <v>0.5</v>
      </c>
      <c r="D2085" t="str">
        <f>TEXT(Table1[[#This Row],[order_date]],"mmmm")</f>
        <v>June</v>
      </c>
      <c r="E2085" s="1">
        <v>45456</v>
      </c>
      <c r="F2085" s="1" t="str">
        <f>TEXT(Table1[[#This Row],[order_date]],"dddd")</f>
        <v>Thursday</v>
      </c>
      <c r="G2085">
        <f>HOUR(Table1[[#This Row],[order_time]])</f>
        <v>18</v>
      </c>
      <c r="H2085" s="2">
        <v>0.77065972222222223</v>
      </c>
      <c r="I2085" t="s">
        <v>9</v>
      </c>
      <c r="J2085" t="s">
        <v>29</v>
      </c>
      <c r="K2085">
        <v>4</v>
      </c>
      <c r="L2085">
        <v>5</v>
      </c>
      <c r="M2085">
        <v>20</v>
      </c>
      <c r="N2085">
        <f>IF(COUNTIFS($B$2:B2085,B2085)=1,1,0)</f>
        <v>1</v>
      </c>
    </row>
    <row r="2086" spans="1:14" x14ac:dyDescent="0.2">
      <c r="A2086">
        <v>2085</v>
      </c>
      <c r="B2086">
        <v>2048</v>
      </c>
      <c r="C2086">
        <f>1/COUNTIF(B:B,Table1[[#This Row],[order_id]])</f>
        <v>0.5</v>
      </c>
      <c r="D2086" t="str">
        <f>TEXT(Table1[[#This Row],[order_date]],"mmmm")</f>
        <v>June</v>
      </c>
      <c r="E2086" s="1">
        <v>45456</v>
      </c>
      <c r="F2086" s="1" t="str">
        <f>TEXT(Table1[[#This Row],[order_date]],"dddd")</f>
        <v>Thursday</v>
      </c>
      <c r="G2086">
        <f>HOUR(Table1[[#This Row],[order_time]])</f>
        <v>15</v>
      </c>
      <c r="H2086" s="2">
        <v>0.64817129629629633</v>
      </c>
      <c r="I2086" t="s">
        <v>11</v>
      </c>
      <c r="J2086" t="s">
        <v>15</v>
      </c>
      <c r="K2086">
        <v>4</v>
      </c>
      <c r="L2086">
        <v>600</v>
      </c>
      <c r="M2086">
        <v>2400</v>
      </c>
      <c r="N2086">
        <f>IF(COUNTIFS($B$2:B2086,B2086)=1,1,0)</f>
        <v>0</v>
      </c>
    </row>
    <row r="2087" spans="1:14" x14ac:dyDescent="0.2">
      <c r="A2087">
        <v>2086</v>
      </c>
      <c r="B2087">
        <v>2049</v>
      </c>
      <c r="C2087">
        <f>1/COUNTIF(B:B,Table1[[#This Row],[order_id]])</f>
        <v>0.5</v>
      </c>
      <c r="D2087" t="str">
        <f>TEXT(Table1[[#This Row],[order_date]],"mmmm")</f>
        <v>June</v>
      </c>
      <c r="E2087" s="1">
        <v>45456</v>
      </c>
      <c r="F2087" s="1" t="str">
        <f>TEXT(Table1[[#This Row],[order_date]],"dddd")</f>
        <v>Thursday</v>
      </c>
      <c r="G2087">
        <f>HOUR(Table1[[#This Row],[order_time]])</f>
        <v>20</v>
      </c>
      <c r="H2087" s="2">
        <v>0.83981481481481479</v>
      </c>
      <c r="I2087" t="s">
        <v>11</v>
      </c>
      <c r="J2087" t="s">
        <v>14</v>
      </c>
      <c r="K2087">
        <v>5</v>
      </c>
      <c r="L2087">
        <v>700</v>
      </c>
      <c r="M2087">
        <v>3500</v>
      </c>
      <c r="N2087">
        <f>IF(COUNTIFS($B$2:B2087,B2087)=1,1,0)</f>
        <v>1</v>
      </c>
    </row>
    <row r="2088" spans="1:14" x14ac:dyDescent="0.2">
      <c r="A2088">
        <v>2087</v>
      </c>
      <c r="B2088">
        <v>2049</v>
      </c>
      <c r="C2088">
        <f>1/COUNTIF(B:B,Table1[[#This Row],[order_id]])</f>
        <v>0.5</v>
      </c>
      <c r="D2088" t="str">
        <f>TEXT(Table1[[#This Row],[order_date]],"mmmm")</f>
        <v>June</v>
      </c>
      <c r="E2088" s="1">
        <v>45456</v>
      </c>
      <c r="F2088" s="1" t="str">
        <f>TEXT(Table1[[#This Row],[order_date]],"dddd")</f>
        <v>Thursday</v>
      </c>
      <c r="G2088">
        <f>HOUR(Table1[[#This Row],[order_time]])</f>
        <v>12</v>
      </c>
      <c r="H2088" s="2">
        <v>0.51150462962962961</v>
      </c>
      <c r="I2088" t="s">
        <v>11</v>
      </c>
      <c r="J2088" t="s">
        <v>25</v>
      </c>
      <c r="K2088">
        <v>2</v>
      </c>
      <c r="L2088">
        <v>1000</v>
      </c>
      <c r="M2088">
        <v>2000</v>
      </c>
      <c r="N2088">
        <f>IF(COUNTIFS($B$2:B2088,B2088)=1,1,0)</f>
        <v>0</v>
      </c>
    </row>
    <row r="2089" spans="1:14" x14ac:dyDescent="0.2">
      <c r="A2089">
        <v>2088</v>
      </c>
      <c r="B2089">
        <v>2050</v>
      </c>
      <c r="C2089">
        <f>1/COUNTIF(B:B,Table1[[#This Row],[order_id]])</f>
        <v>0.33333333333333331</v>
      </c>
      <c r="D2089" t="str">
        <f>TEXT(Table1[[#This Row],[order_date]],"mmmm")</f>
        <v>June</v>
      </c>
      <c r="E2089" s="1">
        <v>45456</v>
      </c>
      <c r="F2089" s="1" t="str">
        <f>TEXT(Table1[[#This Row],[order_date]],"dddd")</f>
        <v>Thursday</v>
      </c>
      <c r="G2089">
        <f>HOUR(Table1[[#This Row],[order_time]])</f>
        <v>15</v>
      </c>
      <c r="H2089" s="2">
        <v>0.64864583333333337</v>
      </c>
      <c r="I2089" t="s">
        <v>16</v>
      </c>
      <c r="J2089" t="s">
        <v>17</v>
      </c>
      <c r="K2089">
        <v>3</v>
      </c>
      <c r="L2089">
        <v>20</v>
      </c>
      <c r="M2089">
        <v>60</v>
      </c>
      <c r="N2089">
        <f>IF(COUNTIFS($B$2:B2089,B2089)=1,1,0)</f>
        <v>1</v>
      </c>
    </row>
    <row r="2090" spans="1:14" x14ac:dyDescent="0.2">
      <c r="A2090">
        <v>2089</v>
      </c>
      <c r="B2090">
        <v>2050</v>
      </c>
      <c r="C2090">
        <f>1/COUNTIF(B:B,Table1[[#This Row],[order_id]])</f>
        <v>0.33333333333333331</v>
      </c>
      <c r="D2090" t="str">
        <f>TEXT(Table1[[#This Row],[order_date]],"mmmm")</f>
        <v>June</v>
      </c>
      <c r="E2090" s="1">
        <v>45456</v>
      </c>
      <c r="F2090" s="1" t="str">
        <f>TEXT(Table1[[#This Row],[order_date]],"dddd")</f>
        <v>Thursday</v>
      </c>
      <c r="G2090">
        <f>HOUR(Table1[[#This Row],[order_time]])</f>
        <v>9</v>
      </c>
      <c r="H2090" s="2">
        <v>0.40461805555555558</v>
      </c>
      <c r="I2090" t="s">
        <v>9</v>
      </c>
      <c r="J2090" t="s">
        <v>22</v>
      </c>
      <c r="K2090">
        <v>2</v>
      </c>
      <c r="L2090">
        <v>15</v>
      </c>
      <c r="M2090">
        <v>30</v>
      </c>
      <c r="N2090">
        <f>IF(COUNTIFS($B$2:B2090,B2090)=1,1,0)</f>
        <v>0</v>
      </c>
    </row>
    <row r="2091" spans="1:14" x14ac:dyDescent="0.2">
      <c r="A2091">
        <v>2090</v>
      </c>
      <c r="B2091">
        <v>2050</v>
      </c>
      <c r="C2091">
        <f>1/COUNTIF(B:B,Table1[[#This Row],[order_id]])</f>
        <v>0.33333333333333331</v>
      </c>
      <c r="D2091" t="str">
        <f>TEXT(Table1[[#This Row],[order_date]],"mmmm")</f>
        <v>June</v>
      </c>
      <c r="E2091" s="1">
        <v>45456</v>
      </c>
      <c r="F2091" s="1" t="str">
        <f>TEXT(Table1[[#This Row],[order_date]],"dddd")</f>
        <v>Thursday</v>
      </c>
      <c r="G2091">
        <f>HOUR(Table1[[#This Row],[order_time]])</f>
        <v>15</v>
      </c>
      <c r="H2091" s="2">
        <v>0.64111111111111108</v>
      </c>
      <c r="I2091" t="s">
        <v>16</v>
      </c>
      <c r="J2091" t="s">
        <v>24</v>
      </c>
      <c r="K2091">
        <v>3</v>
      </c>
      <c r="L2091">
        <v>35</v>
      </c>
      <c r="M2091">
        <v>105</v>
      </c>
      <c r="N2091">
        <f>IF(COUNTIFS($B$2:B2091,B2091)=1,1,0)</f>
        <v>0</v>
      </c>
    </row>
    <row r="2092" spans="1:14" x14ac:dyDescent="0.2">
      <c r="A2092">
        <v>2091</v>
      </c>
      <c r="B2092">
        <v>2051</v>
      </c>
      <c r="C2092">
        <f>1/COUNTIF(B:B,Table1[[#This Row],[order_id]])</f>
        <v>1</v>
      </c>
      <c r="D2092" t="str">
        <f>TEXT(Table1[[#This Row],[order_date]],"mmmm")</f>
        <v>June</v>
      </c>
      <c r="E2092" s="1">
        <v>45456</v>
      </c>
      <c r="F2092" s="1" t="str">
        <f>TEXT(Table1[[#This Row],[order_date]],"dddd")</f>
        <v>Thursday</v>
      </c>
      <c r="G2092">
        <f>HOUR(Table1[[#This Row],[order_time]])</f>
        <v>14</v>
      </c>
      <c r="H2092" s="2">
        <v>0.60863425925925929</v>
      </c>
      <c r="I2092" t="s">
        <v>16</v>
      </c>
      <c r="J2092" t="s">
        <v>17</v>
      </c>
      <c r="K2092">
        <v>5</v>
      </c>
      <c r="L2092">
        <v>20</v>
      </c>
      <c r="M2092">
        <v>100</v>
      </c>
      <c r="N2092">
        <f>IF(COUNTIFS($B$2:B2092,B2092)=1,1,0)</f>
        <v>1</v>
      </c>
    </row>
    <row r="2093" spans="1:14" x14ac:dyDescent="0.2">
      <c r="A2093">
        <v>2092</v>
      </c>
      <c r="B2093">
        <v>2052</v>
      </c>
      <c r="C2093">
        <f>1/COUNTIF(B:B,Table1[[#This Row],[order_id]])</f>
        <v>1</v>
      </c>
      <c r="D2093" t="str">
        <f>TEXT(Table1[[#This Row],[order_date]],"mmmm")</f>
        <v>June</v>
      </c>
      <c r="E2093" s="1">
        <v>45456</v>
      </c>
      <c r="F2093" s="1" t="str">
        <f>TEXT(Table1[[#This Row],[order_date]],"dddd")</f>
        <v>Thursday</v>
      </c>
      <c r="G2093">
        <f>HOUR(Table1[[#This Row],[order_time]])</f>
        <v>12</v>
      </c>
      <c r="H2093" s="2">
        <v>0.50994212962962959</v>
      </c>
      <c r="I2093" t="s">
        <v>16</v>
      </c>
      <c r="J2093" t="s">
        <v>17</v>
      </c>
      <c r="K2093">
        <v>2</v>
      </c>
      <c r="L2093">
        <v>20</v>
      </c>
      <c r="M2093">
        <v>40</v>
      </c>
      <c r="N2093">
        <f>IF(COUNTIFS($B$2:B2093,B2093)=1,1,0)</f>
        <v>1</v>
      </c>
    </row>
    <row r="2094" spans="1:14" x14ac:dyDescent="0.2">
      <c r="A2094">
        <v>2093</v>
      </c>
      <c r="B2094">
        <v>2053</v>
      </c>
      <c r="C2094">
        <f>1/COUNTIF(B:B,Table1[[#This Row],[order_id]])</f>
        <v>0.33333333333333331</v>
      </c>
      <c r="D2094" t="str">
        <f>TEXT(Table1[[#This Row],[order_date]],"mmmm")</f>
        <v>June</v>
      </c>
      <c r="E2094" s="1">
        <v>45456</v>
      </c>
      <c r="F2094" s="1" t="str">
        <f>TEXT(Table1[[#This Row],[order_date]],"dddd")</f>
        <v>Thursday</v>
      </c>
      <c r="G2094">
        <f>HOUR(Table1[[#This Row],[order_time]])</f>
        <v>20</v>
      </c>
      <c r="H2094" s="2">
        <v>0.84395833333333337</v>
      </c>
      <c r="I2094" t="s">
        <v>9</v>
      </c>
      <c r="J2094" t="s">
        <v>22</v>
      </c>
      <c r="K2094">
        <v>5</v>
      </c>
      <c r="L2094">
        <v>15</v>
      </c>
      <c r="M2094">
        <v>75</v>
      </c>
      <c r="N2094">
        <f>IF(COUNTIFS($B$2:B2094,B2094)=1,1,0)</f>
        <v>1</v>
      </c>
    </row>
    <row r="2095" spans="1:14" x14ac:dyDescent="0.2">
      <c r="A2095">
        <v>2094</v>
      </c>
      <c r="B2095">
        <v>2053</v>
      </c>
      <c r="C2095">
        <f>1/COUNTIF(B:B,Table1[[#This Row],[order_id]])</f>
        <v>0.33333333333333331</v>
      </c>
      <c r="D2095" t="str">
        <f>TEXT(Table1[[#This Row],[order_date]],"mmmm")</f>
        <v>June</v>
      </c>
      <c r="E2095" s="1">
        <v>45456</v>
      </c>
      <c r="F2095" s="1" t="str">
        <f>TEXT(Table1[[#This Row],[order_date]],"dddd")</f>
        <v>Thursday</v>
      </c>
      <c r="G2095">
        <f>HOUR(Table1[[#This Row],[order_time]])</f>
        <v>12</v>
      </c>
      <c r="H2095" s="2">
        <v>0.52038194444444441</v>
      </c>
      <c r="I2095" t="s">
        <v>18</v>
      </c>
      <c r="J2095" t="s">
        <v>27</v>
      </c>
      <c r="K2095">
        <v>1</v>
      </c>
      <c r="L2095">
        <v>40</v>
      </c>
      <c r="M2095">
        <v>40</v>
      </c>
      <c r="N2095">
        <f>IF(COUNTIFS($B$2:B2095,B2095)=1,1,0)</f>
        <v>0</v>
      </c>
    </row>
    <row r="2096" spans="1:14" x14ac:dyDescent="0.2">
      <c r="A2096">
        <v>2095</v>
      </c>
      <c r="B2096">
        <v>2053</v>
      </c>
      <c r="C2096">
        <f>1/COUNTIF(B:B,Table1[[#This Row],[order_id]])</f>
        <v>0.33333333333333331</v>
      </c>
      <c r="D2096" t="str">
        <f>TEXT(Table1[[#This Row],[order_date]],"mmmm")</f>
        <v>June</v>
      </c>
      <c r="E2096" s="1">
        <v>45456</v>
      </c>
      <c r="F2096" s="1" t="str">
        <f>TEXT(Table1[[#This Row],[order_date]],"dddd")</f>
        <v>Thursday</v>
      </c>
      <c r="G2096">
        <f>HOUR(Table1[[#This Row],[order_time]])</f>
        <v>15</v>
      </c>
      <c r="H2096" s="2">
        <v>0.64748842592592593</v>
      </c>
      <c r="I2096" t="s">
        <v>18</v>
      </c>
      <c r="J2096" t="s">
        <v>27</v>
      </c>
      <c r="K2096">
        <v>5</v>
      </c>
      <c r="L2096">
        <v>40</v>
      </c>
      <c r="M2096">
        <v>200</v>
      </c>
      <c r="N2096">
        <f>IF(COUNTIFS($B$2:B2096,B2096)=1,1,0)</f>
        <v>0</v>
      </c>
    </row>
    <row r="2097" spans="1:14" x14ac:dyDescent="0.2">
      <c r="A2097">
        <v>2096</v>
      </c>
      <c r="B2097">
        <v>2054</v>
      </c>
      <c r="C2097">
        <f>1/COUNTIF(B:B,Table1[[#This Row],[order_id]])</f>
        <v>0.5</v>
      </c>
      <c r="D2097" t="str">
        <f>TEXT(Table1[[#This Row],[order_date]],"mmmm")</f>
        <v>June</v>
      </c>
      <c r="E2097" s="1">
        <v>45456</v>
      </c>
      <c r="F2097" s="1" t="str">
        <f>TEXT(Table1[[#This Row],[order_date]],"dddd")</f>
        <v>Thursday</v>
      </c>
      <c r="G2097">
        <f>HOUR(Table1[[#This Row],[order_time]])</f>
        <v>10</v>
      </c>
      <c r="H2097" s="2">
        <v>0.43380787037037039</v>
      </c>
      <c r="I2097" t="s">
        <v>11</v>
      </c>
      <c r="J2097" t="s">
        <v>12</v>
      </c>
      <c r="K2097">
        <v>5</v>
      </c>
      <c r="L2097">
        <v>650</v>
      </c>
      <c r="M2097">
        <v>3250</v>
      </c>
      <c r="N2097">
        <f>IF(COUNTIFS($B$2:B2097,B2097)=1,1,0)</f>
        <v>1</v>
      </c>
    </row>
    <row r="2098" spans="1:14" x14ac:dyDescent="0.2">
      <c r="A2098">
        <v>2097</v>
      </c>
      <c r="B2098">
        <v>2054</v>
      </c>
      <c r="C2098">
        <f>1/COUNTIF(B:B,Table1[[#This Row],[order_id]])</f>
        <v>0.5</v>
      </c>
      <c r="D2098" t="str">
        <f>TEXT(Table1[[#This Row],[order_date]],"mmmm")</f>
        <v>June</v>
      </c>
      <c r="E2098" s="1">
        <v>45456</v>
      </c>
      <c r="F2098" s="1" t="str">
        <f>TEXT(Table1[[#This Row],[order_date]],"dddd")</f>
        <v>Thursday</v>
      </c>
      <c r="G2098">
        <f>HOUR(Table1[[#This Row],[order_time]])</f>
        <v>13</v>
      </c>
      <c r="H2098" s="2">
        <v>0.55873842592592593</v>
      </c>
      <c r="I2098" t="s">
        <v>9</v>
      </c>
      <c r="J2098" t="s">
        <v>22</v>
      </c>
      <c r="K2098">
        <v>5</v>
      </c>
      <c r="L2098">
        <v>15</v>
      </c>
      <c r="M2098">
        <v>75</v>
      </c>
      <c r="N2098">
        <f>IF(COUNTIFS($B$2:B2098,B2098)=1,1,0)</f>
        <v>0</v>
      </c>
    </row>
    <row r="2099" spans="1:14" x14ac:dyDescent="0.2">
      <c r="A2099">
        <v>2098</v>
      </c>
      <c r="B2099">
        <v>2055</v>
      </c>
      <c r="C2099">
        <f>1/COUNTIF(B:B,Table1[[#This Row],[order_id]])</f>
        <v>0.33333333333333331</v>
      </c>
      <c r="D2099" t="str">
        <f>TEXT(Table1[[#This Row],[order_date]],"mmmm")</f>
        <v>June</v>
      </c>
      <c r="E2099" s="1">
        <v>45456</v>
      </c>
      <c r="F2099" s="1" t="str">
        <f>TEXT(Table1[[#This Row],[order_date]],"dddd")</f>
        <v>Thursday</v>
      </c>
      <c r="G2099">
        <f>HOUR(Table1[[#This Row],[order_time]])</f>
        <v>16</v>
      </c>
      <c r="H2099" s="2">
        <v>0.68431712962962965</v>
      </c>
      <c r="I2099" t="s">
        <v>18</v>
      </c>
      <c r="J2099" t="s">
        <v>19</v>
      </c>
      <c r="K2099">
        <v>2</v>
      </c>
      <c r="L2099">
        <v>50</v>
      </c>
      <c r="M2099">
        <v>100</v>
      </c>
      <c r="N2099">
        <f>IF(COUNTIFS($B$2:B2099,B2099)=1,1,0)</f>
        <v>1</v>
      </c>
    </row>
    <row r="2100" spans="1:14" x14ac:dyDescent="0.2">
      <c r="A2100">
        <v>2099</v>
      </c>
      <c r="B2100">
        <v>2055</v>
      </c>
      <c r="C2100">
        <f>1/COUNTIF(B:B,Table1[[#This Row],[order_id]])</f>
        <v>0.33333333333333331</v>
      </c>
      <c r="D2100" t="str">
        <f>TEXT(Table1[[#This Row],[order_date]],"mmmm")</f>
        <v>June</v>
      </c>
      <c r="E2100" s="1">
        <v>45456</v>
      </c>
      <c r="F2100" s="1" t="str">
        <f>TEXT(Table1[[#This Row],[order_date]],"dddd")</f>
        <v>Thursday</v>
      </c>
      <c r="G2100">
        <f>HOUR(Table1[[#This Row],[order_time]])</f>
        <v>18</v>
      </c>
      <c r="H2100" s="2">
        <v>0.77241898148148147</v>
      </c>
      <c r="I2100" t="s">
        <v>9</v>
      </c>
      <c r="J2100" t="s">
        <v>20</v>
      </c>
      <c r="K2100">
        <v>2</v>
      </c>
      <c r="L2100">
        <v>25</v>
      </c>
      <c r="M2100">
        <v>50</v>
      </c>
      <c r="N2100">
        <f>IF(COUNTIFS($B$2:B2100,B2100)=1,1,0)</f>
        <v>0</v>
      </c>
    </row>
    <row r="2101" spans="1:14" x14ac:dyDescent="0.2">
      <c r="A2101">
        <v>2100</v>
      </c>
      <c r="B2101">
        <v>2055</v>
      </c>
      <c r="C2101">
        <f>1/COUNTIF(B:B,Table1[[#This Row],[order_id]])</f>
        <v>0.33333333333333331</v>
      </c>
      <c r="D2101" t="str">
        <f>TEXT(Table1[[#This Row],[order_date]],"mmmm")</f>
        <v>June</v>
      </c>
      <c r="E2101" s="1">
        <v>45456</v>
      </c>
      <c r="F2101" s="1" t="str">
        <f>TEXT(Table1[[#This Row],[order_date]],"dddd")</f>
        <v>Thursday</v>
      </c>
      <c r="G2101">
        <f>HOUR(Table1[[#This Row],[order_time]])</f>
        <v>11</v>
      </c>
      <c r="H2101" s="2">
        <v>0.49292824074074076</v>
      </c>
      <c r="I2101" t="s">
        <v>9</v>
      </c>
      <c r="J2101" t="s">
        <v>29</v>
      </c>
      <c r="K2101">
        <v>4</v>
      </c>
      <c r="L2101">
        <v>5</v>
      </c>
      <c r="M2101">
        <v>20</v>
      </c>
      <c r="N2101">
        <f>IF(COUNTIFS($B$2:B2101,B2101)=1,1,0)</f>
        <v>0</v>
      </c>
    </row>
    <row r="2102" spans="1:14" x14ac:dyDescent="0.2">
      <c r="A2102">
        <v>2101</v>
      </c>
      <c r="B2102">
        <v>2056</v>
      </c>
      <c r="C2102">
        <f>1/COUNTIF(B:B,Table1[[#This Row],[order_id]])</f>
        <v>0.5</v>
      </c>
      <c r="D2102" t="str">
        <f>TEXT(Table1[[#This Row],[order_date]],"mmmm")</f>
        <v>June</v>
      </c>
      <c r="E2102" s="1">
        <v>45457</v>
      </c>
      <c r="F2102" s="1" t="str">
        <f>TEXT(Table1[[#This Row],[order_date]],"dddd")</f>
        <v>Friday</v>
      </c>
      <c r="G2102">
        <f>HOUR(Table1[[#This Row],[order_time]])</f>
        <v>16</v>
      </c>
      <c r="H2102" s="2">
        <v>0.68024305555555553</v>
      </c>
      <c r="I2102" t="s">
        <v>9</v>
      </c>
      <c r="J2102" t="s">
        <v>22</v>
      </c>
      <c r="K2102">
        <v>3</v>
      </c>
      <c r="L2102">
        <v>15</v>
      </c>
      <c r="M2102">
        <v>45</v>
      </c>
      <c r="N2102">
        <f>IF(COUNTIFS($B$2:B2102,B2102)=1,1,0)</f>
        <v>1</v>
      </c>
    </row>
    <row r="2103" spans="1:14" x14ac:dyDescent="0.2">
      <c r="A2103">
        <v>2102</v>
      </c>
      <c r="B2103">
        <v>2056</v>
      </c>
      <c r="C2103">
        <f>1/COUNTIF(B:B,Table1[[#This Row],[order_id]])</f>
        <v>0.5</v>
      </c>
      <c r="D2103" t="str">
        <f>TEXT(Table1[[#This Row],[order_date]],"mmmm")</f>
        <v>June</v>
      </c>
      <c r="E2103" s="1">
        <v>45457</v>
      </c>
      <c r="F2103" s="1" t="str">
        <f>TEXT(Table1[[#This Row],[order_date]],"dddd")</f>
        <v>Friday</v>
      </c>
      <c r="G2103">
        <f>HOUR(Table1[[#This Row],[order_time]])</f>
        <v>11</v>
      </c>
      <c r="H2103" s="2">
        <v>0.47184027777777776</v>
      </c>
      <c r="I2103" t="s">
        <v>9</v>
      </c>
      <c r="J2103" t="s">
        <v>10</v>
      </c>
      <c r="K2103">
        <v>2</v>
      </c>
      <c r="L2103">
        <v>20</v>
      </c>
      <c r="M2103">
        <v>40</v>
      </c>
      <c r="N2103">
        <f>IF(COUNTIFS($B$2:B2103,B2103)=1,1,0)</f>
        <v>0</v>
      </c>
    </row>
    <row r="2104" spans="1:14" x14ac:dyDescent="0.2">
      <c r="A2104">
        <v>2103</v>
      </c>
      <c r="B2104">
        <v>2057</v>
      </c>
      <c r="C2104">
        <f>1/COUNTIF(B:B,Table1[[#This Row],[order_id]])</f>
        <v>0.33333333333333331</v>
      </c>
      <c r="D2104" t="str">
        <f>TEXT(Table1[[#This Row],[order_date]],"mmmm")</f>
        <v>June</v>
      </c>
      <c r="E2104" s="1">
        <v>45457</v>
      </c>
      <c r="F2104" s="1" t="str">
        <f>TEXT(Table1[[#This Row],[order_date]],"dddd")</f>
        <v>Friday</v>
      </c>
      <c r="G2104">
        <f>HOUR(Table1[[#This Row],[order_time]])</f>
        <v>18</v>
      </c>
      <c r="H2104" s="2">
        <v>0.77229166666666671</v>
      </c>
      <c r="I2104" t="s">
        <v>9</v>
      </c>
      <c r="J2104" t="s">
        <v>20</v>
      </c>
      <c r="K2104">
        <v>2</v>
      </c>
      <c r="L2104">
        <v>25</v>
      </c>
      <c r="M2104">
        <v>50</v>
      </c>
      <c r="N2104">
        <f>IF(COUNTIFS($B$2:B2104,B2104)=1,1,0)</f>
        <v>1</v>
      </c>
    </row>
    <row r="2105" spans="1:14" x14ac:dyDescent="0.2">
      <c r="A2105">
        <v>2104</v>
      </c>
      <c r="B2105">
        <v>2057</v>
      </c>
      <c r="C2105">
        <f>1/COUNTIF(B:B,Table1[[#This Row],[order_id]])</f>
        <v>0.33333333333333331</v>
      </c>
      <c r="D2105" t="str">
        <f>TEXT(Table1[[#This Row],[order_date]],"mmmm")</f>
        <v>June</v>
      </c>
      <c r="E2105" s="1">
        <v>45457</v>
      </c>
      <c r="F2105" s="1" t="str">
        <f>TEXT(Table1[[#This Row],[order_date]],"dddd")</f>
        <v>Friday</v>
      </c>
      <c r="G2105">
        <f>HOUR(Table1[[#This Row],[order_time]])</f>
        <v>14</v>
      </c>
      <c r="H2105" s="2">
        <v>0.59526620370370376</v>
      </c>
      <c r="I2105" t="s">
        <v>9</v>
      </c>
      <c r="J2105" t="s">
        <v>21</v>
      </c>
      <c r="K2105">
        <v>3</v>
      </c>
      <c r="L2105">
        <v>10</v>
      </c>
      <c r="M2105">
        <v>30</v>
      </c>
      <c r="N2105">
        <f>IF(COUNTIFS($B$2:B2105,B2105)=1,1,0)</f>
        <v>0</v>
      </c>
    </row>
    <row r="2106" spans="1:14" x14ac:dyDescent="0.2">
      <c r="A2106">
        <v>2105</v>
      </c>
      <c r="B2106">
        <v>2057</v>
      </c>
      <c r="C2106">
        <f>1/COUNTIF(B:B,Table1[[#This Row],[order_id]])</f>
        <v>0.33333333333333331</v>
      </c>
      <c r="D2106" t="str">
        <f>TEXT(Table1[[#This Row],[order_date]],"mmmm")</f>
        <v>June</v>
      </c>
      <c r="E2106" s="1">
        <v>45457</v>
      </c>
      <c r="F2106" s="1" t="str">
        <f>TEXT(Table1[[#This Row],[order_date]],"dddd")</f>
        <v>Friday</v>
      </c>
      <c r="G2106">
        <f>HOUR(Table1[[#This Row],[order_time]])</f>
        <v>18</v>
      </c>
      <c r="H2106" s="2">
        <v>0.7782175925925926</v>
      </c>
      <c r="I2106" t="s">
        <v>9</v>
      </c>
      <c r="J2106" t="s">
        <v>20</v>
      </c>
      <c r="K2106">
        <v>1</v>
      </c>
      <c r="L2106">
        <v>25</v>
      </c>
      <c r="M2106">
        <v>25</v>
      </c>
      <c r="N2106">
        <f>IF(COUNTIFS($B$2:B2106,B2106)=1,1,0)</f>
        <v>0</v>
      </c>
    </row>
    <row r="2107" spans="1:14" x14ac:dyDescent="0.2">
      <c r="A2107">
        <v>2106</v>
      </c>
      <c r="B2107">
        <v>2058</v>
      </c>
      <c r="C2107">
        <f>1/COUNTIF(B:B,Table1[[#This Row],[order_id]])</f>
        <v>0.33333333333333331</v>
      </c>
      <c r="D2107" t="str">
        <f>TEXT(Table1[[#This Row],[order_date]],"mmmm")</f>
        <v>June</v>
      </c>
      <c r="E2107" s="1">
        <v>45457</v>
      </c>
      <c r="F2107" s="1" t="str">
        <f>TEXT(Table1[[#This Row],[order_date]],"dddd")</f>
        <v>Friday</v>
      </c>
      <c r="G2107">
        <f>HOUR(Table1[[#This Row],[order_time]])</f>
        <v>9</v>
      </c>
      <c r="H2107" s="2">
        <v>0.37760416666666669</v>
      </c>
      <c r="I2107" t="s">
        <v>18</v>
      </c>
      <c r="J2107" t="s">
        <v>31</v>
      </c>
      <c r="K2107">
        <v>4</v>
      </c>
      <c r="L2107">
        <v>45</v>
      </c>
      <c r="M2107">
        <v>180</v>
      </c>
      <c r="N2107">
        <f>IF(COUNTIFS($B$2:B2107,B2107)=1,1,0)</f>
        <v>1</v>
      </c>
    </row>
    <row r="2108" spans="1:14" x14ac:dyDescent="0.2">
      <c r="A2108">
        <v>2107</v>
      </c>
      <c r="B2108">
        <v>2058</v>
      </c>
      <c r="C2108">
        <f>1/COUNTIF(B:B,Table1[[#This Row],[order_id]])</f>
        <v>0.33333333333333331</v>
      </c>
      <c r="D2108" t="str">
        <f>TEXT(Table1[[#This Row],[order_date]],"mmmm")</f>
        <v>June</v>
      </c>
      <c r="E2108" s="1">
        <v>45457</v>
      </c>
      <c r="F2108" s="1" t="str">
        <f>TEXT(Table1[[#This Row],[order_date]],"dddd")</f>
        <v>Friday</v>
      </c>
      <c r="G2108">
        <f>HOUR(Table1[[#This Row],[order_time]])</f>
        <v>12</v>
      </c>
      <c r="H2108" s="2">
        <v>0.51515046296296296</v>
      </c>
      <c r="I2108" t="s">
        <v>16</v>
      </c>
      <c r="J2108" t="s">
        <v>17</v>
      </c>
      <c r="K2108">
        <v>5</v>
      </c>
      <c r="L2108">
        <v>20</v>
      </c>
      <c r="M2108">
        <v>100</v>
      </c>
      <c r="N2108">
        <f>IF(COUNTIFS($B$2:B2108,B2108)=1,1,0)</f>
        <v>0</v>
      </c>
    </row>
    <row r="2109" spans="1:14" x14ac:dyDescent="0.2">
      <c r="A2109">
        <v>2108</v>
      </c>
      <c r="B2109">
        <v>2058</v>
      </c>
      <c r="C2109">
        <f>1/COUNTIF(B:B,Table1[[#This Row],[order_id]])</f>
        <v>0.33333333333333331</v>
      </c>
      <c r="D2109" t="str">
        <f>TEXT(Table1[[#This Row],[order_date]],"mmmm")</f>
        <v>June</v>
      </c>
      <c r="E2109" s="1">
        <v>45457</v>
      </c>
      <c r="F2109" s="1" t="str">
        <f>TEXT(Table1[[#This Row],[order_date]],"dddd")</f>
        <v>Friday</v>
      </c>
      <c r="G2109">
        <f>HOUR(Table1[[#This Row],[order_time]])</f>
        <v>16</v>
      </c>
      <c r="H2109" s="2">
        <v>0.68693287037037032</v>
      </c>
      <c r="I2109" t="s">
        <v>9</v>
      </c>
      <c r="J2109" t="s">
        <v>20</v>
      </c>
      <c r="K2109">
        <v>1</v>
      </c>
      <c r="L2109">
        <v>25</v>
      </c>
      <c r="M2109">
        <v>25</v>
      </c>
      <c r="N2109">
        <f>IF(COUNTIFS($B$2:B2109,B2109)=1,1,0)</f>
        <v>0</v>
      </c>
    </row>
    <row r="2110" spans="1:14" x14ac:dyDescent="0.2">
      <c r="A2110">
        <v>2109</v>
      </c>
      <c r="B2110">
        <v>2059</v>
      </c>
      <c r="C2110">
        <f>1/COUNTIF(B:B,Table1[[#This Row],[order_id]])</f>
        <v>1</v>
      </c>
      <c r="D2110" t="str">
        <f>TEXT(Table1[[#This Row],[order_date]],"mmmm")</f>
        <v>June</v>
      </c>
      <c r="E2110" s="1">
        <v>45457</v>
      </c>
      <c r="F2110" s="1" t="str">
        <f>TEXT(Table1[[#This Row],[order_date]],"dddd")</f>
        <v>Friday</v>
      </c>
      <c r="G2110">
        <f>HOUR(Table1[[#This Row],[order_time]])</f>
        <v>14</v>
      </c>
      <c r="H2110" s="2">
        <v>0.58619212962962963</v>
      </c>
      <c r="I2110" t="s">
        <v>18</v>
      </c>
      <c r="J2110" t="s">
        <v>26</v>
      </c>
      <c r="K2110">
        <v>4</v>
      </c>
      <c r="L2110">
        <v>55</v>
      </c>
      <c r="M2110">
        <v>220</v>
      </c>
      <c r="N2110">
        <f>IF(COUNTIFS($B$2:B2110,B2110)=1,1,0)</f>
        <v>1</v>
      </c>
    </row>
    <row r="2111" spans="1:14" x14ac:dyDescent="0.2">
      <c r="A2111">
        <v>2110</v>
      </c>
      <c r="B2111">
        <v>2060</v>
      </c>
      <c r="C2111">
        <f>1/COUNTIF(B:B,Table1[[#This Row],[order_id]])</f>
        <v>1</v>
      </c>
      <c r="D2111" t="str">
        <f>TEXT(Table1[[#This Row],[order_date]],"mmmm")</f>
        <v>June</v>
      </c>
      <c r="E2111" s="1">
        <v>45457</v>
      </c>
      <c r="F2111" s="1" t="str">
        <f>TEXT(Table1[[#This Row],[order_date]],"dddd")</f>
        <v>Friday</v>
      </c>
      <c r="G2111">
        <f>HOUR(Table1[[#This Row],[order_time]])</f>
        <v>14</v>
      </c>
      <c r="H2111" s="2">
        <v>0.60320601851851852</v>
      </c>
      <c r="I2111" t="s">
        <v>11</v>
      </c>
      <c r="J2111" t="s">
        <v>25</v>
      </c>
      <c r="K2111">
        <v>4</v>
      </c>
      <c r="L2111">
        <v>1000</v>
      </c>
      <c r="M2111">
        <v>4000</v>
      </c>
      <c r="N2111">
        <f>IF(COUNTIFS($B$2:B2111,B2111)=1,1,0)</f>
        <v>1</v>
      </c>
    </row>
    <row r="2112" spans="1:14" x14ac:dyDescent="0.2">
      <c r="A2112">
        <v>2111</v>
      </c>
      <c r="B2112">
        <v>2061</v>
      </c>
      <c r="C2112">
        <f>1/COUNTIF(B:B,Table1[[#This Row],[order_id]])</f>
        <v>0.33333333333333331</v>
      </c>
      <c r="D2112" t="str">
        <f>TEXT(Table1[[#This Row],[order_date]],"mmmm")</f>
        <v>June</v>
      </c>
      <c r="E2112" s="1">
        <v>45458</v>
      </c>
      <c r="F2112" s="1" t="str">
        <f>TEXT(Table1[[#This Row],[order_date]],"dddd")</f>
        <v>Saturday</v>
      </c>
      <c r="G2112">
        <f>HOUR(Table1[[#This Row],[order_time]])</f>
        <v>11</v>
      </c>
      <c r="H2112" s="2">
        <v>0.46050925925925928</v>
      </c>
      <c r="I2112" t="s">
        <v>9</v>
      </c>
      <c r="J2112" t="s">
        <v>29</v>
      </c>
      <c r="K2112">
        <v>2</v>
      </c>
      <c r="L2112">
        <v>5</v>
      </c>
      <c r="M2112">
        <v>10</v>
      </c>
      <c r="N2112">
        <f>IF(COUNTIFS($B$2:B2112,B2112)=1,1,0)</f>
        <v>1</v>
      </c>
    </row>
    <row r="2113" spans="1:14" x14ac:dyDescent="0.2">
      <c r="A2113">
        <v>2112</v>
      </c>
      <c r="B2113">
        <v>2061</v>
      </c>
      <c r="C2113">
        <f>1/COUNTIF(B:B,Table1[[#This Row],[order_id]])</f>
        <v>0.33333333333333331</v>
      </c>
      <c r="D2113" t="str">
        <f>TEXT(Table1[[#This Row],[order_date]],"mmmm")</f>
        <v>June</v>
      </c>
      <c r="E2113" s="1">
        <v>45458</v>
      </c>
      <c r="F2113" s="1" t="str">
        <f>TEXT(Table1[[#This Row],[order_date]],"dddd")</f>
        <v>Saturday</v>
      </c>
      <c r="G2113">
        <f>HOUR(Table1[[#This Row],[order_time]])</f>
        <v>10</v>
      </c>
      <c r="H2113" s="2">
        <v>0.43835648148148149</v>
      </c>
      <c r="I2113" t="s">
        <v>18</v>
      </c>
      <c r="J2113" t="s">
        <v>30</v>
      </c>
      <c r="K2113">
        <v>1</v>
      </c>
      <c r="L2113">
        <v>60</v>
      </c>
      <c r="M2113">
        <v>60</v>
      </c>
      <c r="N2113">
        <f>IF(COUNTIFS($B$2:B2113,B2113)=1,1,0)</f>
        <v>0</v>
      </c>
    </row>
    <row r="2114" spans="1:14" x14ac:dyDescent="0.2">
      <c r="A2114">
        <v>2113</v>
      </c>
      <c r="B2114">
        <v>2061</v>
      </c>
      <c r="C2114">
        <f>1/COUNTIF(B:B,Table1[[#This Row],[order_id]])</f>
        <v>0.33333333333333331</v>
      </c>
      <c r="D2114" t="str">
        <f>TEXT(Table1[[#This Row],[order_date]],"mmmm")</f>
        <v>June</v>
      </c>
      <c r="E2114" s="1">
        <v>45458</v>
      </c>
      <c r="F2114" s="1" t="str">
        <f>TEXT(Table1[[#This Row],[order_date]],"dddd")</f>
        <v>Saturday</v>
      </c>
      <c r="G2114">
        <f>HOUR(Table1[[#This Row],[order_time]])</f>
        <v>14</v>
      </c>
      <c r="H2114" s="2">
        <v>0.61092592592592587</v>
      </c>
      <c r="I2114" t="s">
        <v>18</v>
      </c>
      <c r="J2114" t="s">
        <v>31</v>
      </c>
      <c r="K2114">
        <v>1</v>
      </c>
      <c r="L2114">
        <v>45</v>
      </c>
      <c r="M2114">
        <v>45</v>
      </c>
      <c r="N2114">
        <f>IF(COUNTIFS($B$2:B2114,B2114)=1,1,0)</f>
        <v>0</v>
      </c>
    </row>
    <row r="2115" spans="1:14" x14ac:dyDescent="0.2">
      <c r="A2115">
        <v>2114</v>
      </c>
      <c r="B2115">
        <v>2062</v>
      </c>
      <c r="C2115">
        <f>1/COUNTIF(B:B,Table1[[#This Row],[order_id]])</f>
        <v>0.33333333333333331</v>
      </c>
      <c r="D2115" t="str">
        <f>TEXT(Table1[[#This Row],[order_date]],"mmmm")</f>
        <v>June</v>
      </c>
      <c r="E2115" s="1">
        <v>45458</v>
      </c>
      <c r="F2115" s="1" t="str">
        <f>TEXT(Table1[[#This Row],[order_date]],"dddd")</f>
        <v>Saturday</v>
      </c>
      <c r="G2115">
        <f>HOUR(Table1[[#This Row],[order_time]])</f>
        <v>10</v>
      </c>
      <c r="H2115" s="2">
        <v>0.42310185185185184</v>
      </c>
      <c r="I2115" t="s">
        <v>11</v>
      </c>
      <c r="J2115" t="s">
        <v>14</v>
      </c>
      <c r="K2115">
        <v>2</v>
      </c>
      <c r="L2115">
        <v>700</v>
      </c>
      <c r="M2115">
        <v>1400</v>
      </c>
      <c r="N2115">
        <f>IF(COUNTIFS($B$2:B2115,B2115)=1,1,0)</f>
        <v>1</v>
      </c>
    </row>
    <row r="2116" spans="1:14" x14ac:dyDescent="0.2">
      <c r="A2116">
        <v>2115</v>
      </c>
      <c r="B2116">
        <v>2062</v>
      </c>
      <c r="C2116">
        <f>1/COUNTIF(B:B,Table1[[#This Row],[order_id]])</f>
        <v>0.33333333333333331</v>
      </c>
      <c r="D2116" t="str">
        <f>TEXT(Table1[[#This Row],[order_date]],"mmmm")</f>
        <v>June</v>
      </c>
      <c r="E2116" s="1">
        <v>45458</v>
      </c>
      <c r="F2116" s="1" t="str">
        <f>TEXT(Table1[[#This Row],[order_date]],"dddd")</f>
        <v>Saturday</v>
      </c>
      <c r="G2116">
        <f>HOUR(Table1[[#This Row],[order_time]])</f>
        <v>9</v>
      </c>
      <c r="H2116" s="2">
        <v>0.40555555555555556</v>
      </c>
      <c r="I2116" t="s">
        <v>16</v>
      </c>
      <c r="J2116" t="s">
        <v>24</v>
      </c>
      <c r="K2116">
        <v>3</v>
      </c>
      <c r="L2116">
        <v>35</v>
      </c>
      <c r="M2116">
        <v>105</v>
      </c>
      <c r="N2116">
        <f>IF(COUNTIFS($B$2:B2116,B2116)=1,1,0)</f>
        <v>0</v>
      </c>
    </row>
    <row r="2117" spans="1:14" x14ac:dyDescent="0.2">
      <c r="A2117">
        <v>2116</v>
      </c>
      <c r="B2117">
        <v>2062</v>
      </c>
      <c r="C2117">
        <f>1/COUNTIF(B:B,Table1[[#This Row],[order_id]])</f>
        <v>0.33333333333333331</v>
      </c>
      <c r="D2117" t="str">
        <f>TEXT(Table1[[#This Row],[order_date]],"mmmm")</f>
        <v>June</v>
      </c>
      <c r="E2117" s="1">
        <v>45458</v>
      </c>
      <c r="F2117" s="1" t="str">
        <f>TEXT(Table1[[#This Row],[order_date]],"dddd")</f>
        <v>Saturday</v>
      </c>
      <c r="G2117">
        <f>HOUR(Table1[[#This Row],[order_time]])</f>
        <v>12</v>
      </c>
      <c r="H2117" s="2">
        <v>0.51984953703703707</v>
      </c>
      <c r="I2117" t="s">
        <v>11</v>
      </c>
      <c r="J2117" t="s">
        <v>15</v>
      </c>
      <c r="K2117">
        <v>3</v>
      </c>
      <c r="L2117">
        <v>600</v>
      </c>
      <c r="M2117">
        <v>1800</v>
      </c>
      <c r="N2117">
        <f>IF(COUNTIFS($B$2:B2117,B2117)=1,1,0)</f>
        <v>0</v>
      </c>
    </row>
    <row r="2118" spans="1:14" x14ac:dyDescent="0.2">
      <c r="A2118">
        <v>2117</v>
      </c>
      <c r="B2118">
        <v>2063</v>
      </c>
      <c r="C2118">
        <f>1/COUNTIF(B:B,Table1[[#This Row],[order_id]])</f>
        <v>1</v>
      </c>
      <c r="D2118" t="str">
        <f>TEXT(Table1[[#This Row],[order_date]],"mmmm")</f>
        <v>June</v>
      </c>
      <c r="E2118" s="1">
        <v>45458</v>
      </c>
      <c r="F2118" s="1" t="str">
        <f>TEXT(Table1[[#This Row],[order_date]],"dddd")</f>
        <v>Saturday</v>
      </c>
      <c r="G2118">
        <f>HOUR(Table1[[#This Row],[order_time]])</f>
        <v>18</v>
      </c>
      <c r="H2118" s="2">
        <v>0.76635416666666667</v>
      </c>
      <c r="I2118" t="s">
        <v>11</v>
      </c>
      <c r="J2118" t="s">
        <v>15</v>
      </c>
      <c r="K2118">
        <v>1</v>
      </c>
      <c r="L2118">
        <v>600</v>
      </c>
      <c r="M2118">
        <v>600</v>
      </c>
      <c r="N2118">
        <f>IF(COUNTIFS($B$2:B2118,B2118)=1,1,0)</f>
        <v>1</v>
      </c>
    </row>
    <row r="2119" spans="1:14" x14ac:dyDescent="0.2">
      <c r="A2119">
        <v>2118</v>
      </c>
      <c r="B2119">
        <v>2064</v>
      </c>
      <c r="C2119">
        <f>1/COUNTIF(B:B,Table1[[#This Row],[order_id]])</f>
        <v>0.5</v>
      </c>
      <c r="D2119" t="str">
        <f>TEXT(Table1[[#This Row],[order_date]],"mmmm")</f>
        <v>June</v>
      </c>
      <c r="E2119" s="1">
        <v>45458</v>
      </c>
      <c r="F2119" s="1" t="str">
        <f>TEXT(Table1[[#This Row],[order_date]],"dddd")</f>
        <v>Saturday</v>
      </c>
      <c r="G2119">
        <f>HOUR(Table1[[#This Row],[order_time]])</f>
        <v>15</v>
      </c>
      <c r="H2119" s="2">
        <v>0.65619212962962958</v>
      </c>
      <c r="I2119" t="s">
        <v>18</v>
      </c>
      <c r="J2119" t="s">
        <v>27</v>
      </c>
      <c r="K2119">
        <v>1</v>
      </c>
      <c r="L2119">
        <v>40</v>
      </c>
      <c r="M2119">
        <v>40</v>
      </c>
      <c r="N2119">
        <f>IF(COUNTIFS($B$2:B2119,B2119)=1,1,0)</f>
        <v>1</v>
      </c>
    </row>
    <row r="2120" spans="1:14" x14ac:dyDescent="0.2">
      <c r="A2120">
        <v>2119</v>
      </c>
      <c r="B2120">
        <v>2064</v>
      </c>
      <c r="C2120">
        <f>1/COUNTIF(B:B,Table1[[#This Row],[order_id]])</f>
        <v>0.5</v>
      </c>
      <c r="D2120" t="str">
        <f>TEXT(Table1[[#This Row],[order_date]],"mmmm")</f>
        <v>June</v>
      </c>
      <c r="E2120" s="1">
        <v>45458</v>
      </c>
      <c r="F2120" s="1" t="str">
        <f>TEXT(Table1[[#This Row],[order_date]],"dddd")</f>
        <v>Saturday</v>
      </c>
      <c r="G2120">
        <f>HOUR(Table1[[#This Row],[order_time]])</f>
        <v>14</v>
      </c>
      <c r="H2120" s="2">
        <v>0.61940972222222224</v>
      </c>
      <c r="I2120" t="s">
        <v>18</v>
      </c>
      <c r="J2120" t="s">
        <v>30</v>
      </c>
      <c r="K2120">
        <v>1</v>
      </c>
      <c r="L2120">
        <v>60</v>
      </c>
      <c r="M2120">
        <v>60</v>
      </c>
      <c r="N2120">
        <f>IF(COUNTIFS($B$2:B2120,B2120)=1,1,0)</f>
        <v>0</v>
      </c>
    </row>
    <row r="2121" spans="1:14" x14ac:dyDescent="0.2">
      <c r="A2121">
        <v>2120</v>
      </c>
      <c r="B2121">
        <v>2065</v>
      </c>
      <c r="C2121">
        <f>1/COUNTIF(B:B,Table1[[#This Row],[order_id]])</f>
        <v>1</v>
      </c>
      <c r="D2121" t="str">
        <f>TEXT(Table1[[#This Row],[order_date]],"mmmm")</f>
        <v>June</v>
      </c>
      <c r="E2121" s="1">
        <v>45458</v>
      </c>
      <c r="F2121" s="1" t="str">
        <f>TEXT(Table1[[#This Row],[order_date]],"dddd")</f>
        <v>Saturday</v>
      </c>
      <c r="G2121">
        <f>HOUR(Table1[[#This Row],[order_time]])</f>
        <v>14</v>
      </c>
      <c r="H2121" s="2">
        <v>0.60359953703703706</v>
      </c>
      <c r="I2121" t="s">
        <v>18</v>
      </c>
      <c r="J2121" t="s">
        <v>26</v>
      </c>
      <c r="K2121">
        <v>1</v>
      </c>
      <c r="L2121">
        <v>55</v>
      </c>
      <c r="M2121">
        <v>55</v>
      </c>
      <c r="N2121">
        <f>IF(COUNTIFS($B$2:B2121,B2121)=1,1,0)</f>
        <v>1</v>
      </c>
    </row>
    <row r="2122" spans="1:14" x14ac:dyDescent="0.2">
      <c r="A2122">
        <v>2121</v>
      </c>
      <c r="B2122">
        <v>2066</v>
      </c>
      <c r="C2122">
        <f>1/COUNTIF(B:B,Table1[[#This Row],[order_id]])</f>
        <v>1</v>
      </c>
      <c r="D2122" t="str">
        <f>TEXT(Table1[[#This Row],[order_date]],"mmmm")</f>
        <v>June</v>
      </c>
      <c r="E2122" s="1">
        <v>45458</v>
      </c>
      <c r="F2122" s="1" t="str">
        <f>TEXT(Table1[[#This Row],[order_date]],"dddd")</f>
        <v>Saturday</v>
      </c>
      <c r="G2122">
        <f>HOUR(Table1[[#This Row],[order_time]])</f>
        <v>16</v>
      </c>
      <c r="H2122" s="2">
        <v>0.69174768518518515</v>
      </c>
      <c r="I2122" t="s">
        <v>11</v>
      </c>
      <c r="J2122" t="s">
        <v>12</v>
      </c>
      <c r="K2122">
        <v>2</v>
      </c>
      <c r="L2122">
        <v>650</v>
      </c>
      <c r="M2122">
        <v>1300</v>
      </c>
      <c r="N2122">
        <f>IF(COUNTIFS($B$2:B2122,B2122)=1,1,0)</f>
        <v>1</v>
      </c>
    </row>
    <row r="2123" spans="1:14" x14ac:dyDescent="0.2">
      <c r="A2123">
        <v>2122</v>
      </c>
      <c r="B2123">
        <v>2067</v>
      </c>
      <c r="C2123">
        <f>1/COUNTIF(B:B,Table1[[#This Row],[order_id]])</f>
        <v>0.33333333333333331</v>
      </c>
      <c r="D2123" t="str">
        <f>TEXT(Table1[[#This Row],[order_date]],"mmmm")</f>
        <v>June</v>
      </c>
      <c r="E2123" s="1">
        <v>45458</v>
      </c>
      <c r="F2123" s="1" t="str">
        <f>TEXT(Table1[[#This Row],[order_date]],"dddd")</f>
        <v>Saturday</v>
      </c>
      <c r="G2123">
        <f>HOUR(Table1[[#This Row],[order_time]])</f>
        <v>10</v>
      </c>
      <c r="H2123" s="2">
        <v>0.43508101851851849</v>
      </c>
      <c r="I2123" t="s">
        <v>18</v>
      </c>
      <c r="J2123" t="s">
        <v>19</v>
      </c>
      <c r="K2123">
        <v>2</v>
      </c>
      <c r="L2123">
        <v>50</v>
      </c>
      <c r="M2123">
        <v>100</v>
      </c>
      <c r="N2123">
        <f>IF(COUNTIFS($B$2:B2123,B2123)=1,1,0)</f>
        <v>1</v>
      </c>
    </row>
    <row r="2124" spans="1:14" x14ac:dyDescent="0.2">
      <c r="A2124">
        <v>2123</v>
      </c>
      <c r="B2124">
        <v>2067</v>
      </c>
      <c r="C2124">
        <f>1/COUNTIF(B:B,Table1[[#This Row],[order_id]])</f>
        <v>0.33333333333333331</v>
      </c>
      <c r="D2124" t="str">
        <f>TEXT(Table1[[#This Row],[order_date]],"mmmm")</f>
        <v>June</v>
      </c>
      <c r="E2124" s="1">
        <v>45458</v>
      </c>
      <c r="F2124" s="1" t="str">
        <f>TEXT(Table1[[#This Row],[order_date]],"dddd")</f>
        <v>Saturday</v>
      </c>
      <c r="G2124">
        <f>HOUR(Table1[[#This Row],[order_time]])</f>
        <v>18</v>
      </c>
      <c r="H2124" s="2">
        <v>0.78931712962962963</v>
      </c>
      <c r="I2124" t="s">
        <v>9</v>
      </c>
      <c r="J2124" t="s">
        <v>20</v>
      </c>
      <c r="K2124">
        <v>2</v>
      </c>
      <c r="L2124">
        <v>25</v>
      </c>
      <c r="M2124">
        <v>50</v>
      </c>
      <c r="N2124">
        <f>IF(COUNTIFS($B$2:B2124,B2124)=1,1,0)</f>
        <v>0</v>
      </c>
    </row>
    <row r="2125" spans="1:14" x14ac:dyDescent="0.2">
      <c r="A2125">
        <v>2124</v>
      </c>
      <c r="B2125">
        <v>2067</v>
      </c>
      <c r="C2125">
        <f>1/COUNTIF(B:B,Table1[[#This Row],[order_id]])</f>
        <v>0.33333333333333331</v>
      </c>
      <c r="D2125" t="str">
        <f>TEXT(Table1[[#This Row],[order_date]],"mmmm")</f>
        <v>June</v>
      </c>
      <c r="E2125" s="1">
        <v>45458</v>
      </c>
      <c r="F2125" s="1" t="str">
        <f>TEXT(Table1[[#This Row],[order_date]],"dddd")</f>
        <v>Saturday</v>
      </c>
      <c r="G2125">
        <f>HOUR(Table1[[#This Row],[order_time]])</f>
        <v>14</v>
      </c>
      <c r="H2125" s="2">
        <v>0.59693287037037035</v>
      </c>
      <c r="I2125" t="s">
        <v>16</v>
      </c>
      <c r="J2125" t="s">
        <v>23</v>
      </c>
      <c r="K2125">
        <v>4</v>
      </c>
      <c r="L2125">
        <v>30</v>
      </c>
      <c r="M2125">
        <v>120</v>
      </c>
      <c r="N2125">
        <f>IF(COUNTIFS($B$2:B2125,B2125)=1,1,0)</f>
        <v>0</v>
      </c>
    </row>
    <row r="2126" spans="1:14" x14ac:dyDescent="0.2">
      <c r="A2126">
        <v>2125</v>
      </c>
      <c r="B2126">
        <v>2068</v>
      </c>
      <c r="C2126">
        <f>1/COUNTIF(B:B,Table1[[#This Row],[order_id]])</f>
        <v>1</v>
      </c>
      <c r="D2126" t="str">
        <f>TEXT(Table1[[#This Row],[order_date]],"mmmm")</f>
        <v>June</v>
      </c>
      <c r="E2126" s="1">
        <v>45458</v>
      </c>
      <c r="F2126" s="1" t="str">
        <f>TEXT(Table1[[#This Row],[order_date]],"dddd")</f>
        <v>Saturday</v>
      </c>
      <c r="G2126">
        <f>HOUR(Table1[[#This Row],[order_time]])</f>
        <v>19</v>
      </c>
      <c r="H2126" s="2">
        <v>0.82309027777777777</v>
      </c>
      <c r="I2126" t="s">
        <v>11</v>
      </c>
      <c r="J2126" t="s">
        <v>14</v>
      </c>
      <c r="K2126">
        <v>2</v>
      </c>
      <c r="L2126">
        <v>700</v>
      </c>
      <c r="M2126">
        <v>1400</v>
      </c>
      <c r="N2126">
        <f>IF(COUNTIFS($B$2:B2126,B2126)=1,1,0)</f>
        <v>1</v>
      </c>
    </row>
    <row r="2127" spans="1:14" x14ac:dyDescent="0.2">
      <c r="A2127">
        <v>2126</v>
      </c>
      <c r="B2127">
        <v>2069</v>
      </c>
      <c r="C2127">
        <f>1/COUNTIF(B:B,Table1[[#This Row],[order_id]])</f>
        <v>1</v>
      </c>
      <c r="D2127" t="str">
        <f>TEXT(Table1[[#This Row],[order_date]],"mmmm")</f>
        <v>June</v>
      </c>
      <c r="E2127" s="1">
        <v>45458</v>
      </c>
      <c r="F2127" s="1" t="str">
        <f>TEXT(Table1[[#This Row],[order_date]],"dddd")</f>
        <v>Saturday</v>
      </c>
      <c r="G2127">
        <f>HOUR(Table1[[#This Row],[order_time]])</f>
        <v>14</v>
      </c>
      <c r="H2127" s="2">
        <v>0.60072916666666665</v>
      </c>
      <c r="I2127" t="s">
        <v>11</v>
      </c>
      <c r="J2127" t="s">
        <v>12</v>
      </c>
      <c r="K2127">
        <v>1</v>
      </c>
      <c r="L2127">
        <v>650</v>
      </c>
      <c r="M2127">
        <v>650</v>
      </c>
      <c r="N2127">
        <f>IF(COUNTIFS($B$2:B2127,B2127)=1,1,0)</f>
        <v>1</v>
      </c>
    </row>
    <row r="2128" spans="1:14" x14ac:dyDescent="0.2">
      <c r="A2128">
        <v>2127</v>
      </c>
      <c r="B2128">
        <v>2070</v>
      </c>
      <c r="C2128">
        <f>1/COUNTIF(B:B,Table1[[#This Row],[order_id]])</f>
        <v>1</v>
      </c>
      <c r="D2128" t="str">
        <f>TEXT(Table1[[#This Row],[order_date]],"mmmm")</f>
        <v>June</v>
      </c>
      <c r="E2128" s="1">
        <v>45459</v>
      </c>
      <c r="F2128" s="1" t="str">
        <f>TEXT(Table1[[#This Row],[order_date]],"dddd")</f>
        <v>Sunday</v>
      </c>
      <c r="G2128">
        <f>HOUR(Table1[[#This Row],[order_time]])</f>
        <v>13</v>
      </c>
      <c r="H2128" s="2">
        <v>0.58223379629629635</v>
      </c>
      <c r="I2128" t="s">
        <v>18</v>
      </c>
      <c r="J2128" t="s">
        <v>30</v>
      </c>
      <c r="K2128">
        <v>4</v>
      </c>
      <c r="L2128">
        <v>60</v>
      </c>
      <c r="M2128">
        <v>240</v>
      </c>
      <c r="N2128">
        <f>IF(COUNTIFS($B$2:B2128,B2128)=1,1,0)</f>
        <v>1</v>
      </c>
    </row>
    <row r="2129" spans="1:14" x14ac:dyDescent="0.2">
      <c r="A2129">
        <v>2128</v>
      </c>
      <c r="B2129">
        <v>2071</v>
      </c>
      <c r="C2129">
        <f>1/COUNTIF(B:B,Table1[[#This Row],[order_id]])</f>
        <v>0.33333333333333331</v>
      </c>
      <c r="D2129" t="str">
        <f>TEXT(Table1[[#This Row],[order_date]],"mmmm")</f>
        <v>June</v>
      </c>
      <c r="E2129" s="1">
        <v>45459</v>
      </c>
      <c r="F2129" s="1" t="str">
        <f>TEXT(Table1[[#This Row],[order_date]],"dddd")</f>
        <v>Sunday</v>
      </c>
      <c r="G2129">
        <f>HOUR(Table1[[#This Row],[order_time]])</f>
        <v>10</v>
      </c>
      <c r="H2129" s="2">
        <v>0.44122685185185184</v>
      </c>
      <c r="I2129" t="s">
        <v>16</v>
      </c>
      <c r="J2129" t="s">
        <v>28</v>
      </c>
      <c r="K2129">
        <v>4</v>
      </c>
      <c r="L2129">
        <v>25</v>
      </c>
      <c r="M2129">
        <v>100</v>
      </c>
      <c r="N2129">
        <f>IF(COUNTIFS($B$2:B2129,B2129)=1,1,0)</f>
        <v>1</v>
      </c>
    </row>
    <row r="2130" spans="1:14" x14ac:dyDescent="0.2">
      <c r="A2130">
        <v>2129</v>
      </c>
      <c r="B2130">
        <v>2071</v>
      </c>
      <c r="C2130">
        <f>1/COUNTIF(B:B,Table1[[#This Row],[order_id]])</f>
        <v>0.33333333333333331</v>
      </c>
      <c r="D2130" t="str">
        <f>TEXT(Table1[[#This Row],[order_date]],"mmmm")</f>
        <v>June</v>
      </c>
      <c r="E2130" s="1">
        <v>45459</v>
      </c>
      <c r="F2130" s="1" t="str">
        <f>TEXT(Table1[[#This Row],[order_date]],"dddd")</f>
        <v>Sunday</v>
      </c>
      <c r="G2130">
        <f>HOUR(Table1[[#This Row],[order_time]])</f>
        <v>16</v>
      </c>
      <c r="H2130" s="2">
        <v>0.66890046296296302</v>
      </c>
      <c r="I2130" t="s">
        <v>11</v>
      </c>
      <c r="J2130" t="s">
        <v>15</v>
      </c>
      <c r="K2130">
        <v>2</v>
      </c>
      <c r="L2130">
        <v>600</v>
      </c>
      <c r="M2130">
        <v>1200</v>
      </c>
      <c r="N2130">
        <f>IF(COUNTIFS($B$2:B2130,B2130)=1,1,0)</f>
        <v>0</v>
      </c>
    </row>
    <row r="2131" spans="1:14" x14ac:dyDescent="0.2">
      <c r="A2131">
        <v>2130</v>
      </c>
      <c r="B2131">
        <v>2071</v>
      </c>
      <c r="C2131">
        <f>1/COUNTIF(B:B,Table1[[#This Row],[order_id]])</f>
        <v>0.33333333333333331</v>
      </c>
      <c r="D2131" t="str">
        <f>TEXT(Table1[[#This Row],[order_date]],"mmmm")</f>
        <v>June</v>
      </c>
      <c r="E2131" s="1">
        <v>45459</v>
      </c>
      <c r="F2131" s="1" t="str">
        <f>TEXT(Table1[[#This Row],[order_date]],"dddd")</f>
        <v>Sunday</v>
      </c>
      <c r="G2131">
        <f>HOUR(Table1[[#This Row],[order_time]])</f>
        <v>18</v>
      </c>
      <c r="H2131" s="2">
        <v>0.77077546296296295</v>
      </c>
      <c r="I2131" t="s">
        <v>11</v>
      </c>
      <c r="J2131" t="s">
        <v>25</v>
      </c>
      <c r="K2131">
        <v>4</v>
      </c>
      <c r="L2131">
        <v>1000</v>
      </c>
      <c r="M2131">
        <v>4000</v>
      </c>
      <c r="N2131">
        <f>IF(COUNTIFS($B$2:B2131,B2131)=1,1,0)</f>
        <v>0</v>
      </c>
    </row>
    <row r="2132" spans="1:14" x14ac:dyDescent="0.2">
      <c r="A2132">
        <v>2131</v>
      </c>
      <c r="B2132">
        <v>2072</v>
      </c>
      <c r="C2132">
        <f>1/COUNTIF(B:B,Table1[[#This Row],[order_id]])</f>
        <v>0.33333333333333331</v>
      </c>
      <c r="D2132" t="str">
        <f>TEXT(Table1[[#This Row],[order_date]],"mmmm")</f>
        <v>June</v>
      </c>
      <c r="E2132" s="1">
        <v>45459</v>
      </c>
      <c r="F2132" s="1" t="str">
        <f>TEXT(Table1[[#This Row],[order_date]],"dddd")</f>
        <v>Sunday</v>
      </c>
      <c r="G2132">
        <f>HOUR(Table1[[#This Row],[order_time]])</f>
        <v>17</v>
      </c>
      <c r="H2132" s="2">
        <v>0.73675925925925922</v>
      </c>
      <c r="I2132" t="s">
        <v>9</v>
      </c>
      <c r="J2132" t="s">
        <v>21</v>
      </c>
      <c r="K2132">
        <v>4</v>
      </c>
      <c r="L2132">
        <v>10</v>
      </c>
      <c r="M2132">
        <v>40</v>
      </c>
      <c r="N2132">
        <f>IF(COUNTIFS($B$2:B2132,B2132)=1,1,0)</f>
        <v>1</v>
      </c>
    </row>
    <row r="2133" spans="1:14" x14ac:dyDescent="0.2">
      <c r="A2133">
        <v>2132</v>
      </c>
      <c r="B2133">
        <v>2072</v>
      </c>
      <c r="C2133">
        <f>1/COUNTIF(B:B,Table1[[#This Row],[order_id]])</f>
        <v>0.33333333333333331</v>
      </c>
      <c r="D2133" t="str">
        <f>TEXT(Table1[[#This Row],[order_date]],"mmmm")</f>
        <v>June</v>
      </c>
      <c r="E2133" s="1">
        <v>45459</v>
      </c>
      <c r="F2133" s="1" t="str">
        <f>TEXT(Table1[[#This Row],[order_date]],"dddd")</f>
        <v>Sunday</v>
      </c>
      <c r="G2133">
        <f>HOUR(Table1[[#This Row],[order_time]])</f>
        <v>17</v>
      </c>
      <c r="H2133" s="2">
        <v>0.72704861111111108</v>
      </c>
      <c r="I2133" t="s">
        <v>11</v>
      </c>
      <c r="J2133" t="s">
        <v>15</v>
      </c>
      <c r="K2133">
        <v>4</v>
      </c>
      <c r="L2133">
        <v>600</v>
      </c>
      <c r="M2133">
        <v>2400</v>
      </c>
      <c r="N2133">
        <f>IF(COUNTIFS($B$2:B2133,B2133)=1,1,0)</f>
        <v>0</v>
      </c>
    </row>
    <row r="2134" spans="1:14" x14ac:dyDescent="0.2">
      <c r="A2134">
        <v>2133</v>
      </c>
      <c r="B2134">
        <v>2072</v>
      </c>
      <c r="C2134">
        <f>1/COUNTIF(B:B,Table1[[#This Row],[order_id]])</f>
        <v>0.33333333333333331</v>
      </c>
      <c r="D2134" t="str">
        <f>TEXT(Table1[[#This Row],[order_date]],"mmmm")</f>
        <v>June</v>
      </c>
      <c r="E2134" s="1">
        <v>45459</v>
      </c>
      <c r="F2134" s="1" t="str">
        <f>TEXT(Table1[[#This Row],[order_date]],"dddd")</f>
        <v>Sunday</v>
      </c>
      <c r="G2134">
        <f>HOUR(Table1[[#This Row],[order_time]])</f>
        <v>12</v>
      </c>
      <c r="H2134" s="2">
        <v>0.51918981481481485</v>
      </c>
      <c r="I2134" t="s">
        <v>16</v>
      </c>
      <c r="J2134" t="s">
        <v>28</v>
      </c>
      <c r="K2134">
        <v>5</v>
      </c>
      <c r="L2134">
        <v>25</v>
      </c>
      <c r="M2134">
        <v>125</v>
      </c>
      <c r="N2134">
        <f>IF(COUNTIFS($B$2:B2134,B2134)=1,1,0)</f>
        <v>0</v>
      </c>
    </row>
    <row r="2135" spans="1:14" x14ac:dyDescent="0.2">
      <c r="A2135">
        <v>2134</v>
      </c>
      <c r="B2135">
        <v>2073</v>
      </c>
      <c r="C2135">
        <f>1/COUNTIF(B:B,Table1[[#This Row],[order_id]])</f>
        <v>1</v>
      </c>
      <c r="D2135" t="str">
        <f>TEXT(Table1[[#This Row],[order_date]],"mmmm")</f>
        <v>June</v>
      </c>
      <c r="E2135" s="1">
        <v>45459</v>
      </c>
      <c r="F2135" s="1" t="str">
        <f>TEXT(Table1[[#This Row],[order_date]],"dddd")</f>
        <v>Sunday</v>
      </c>
      <c r="G2135">
        <f>HOUR(Table1[[#This Row],[order_time]])</f>
        <v>19</v>
      </c>
      <c r="H2135" s="2">
        <v>0.80684027777777778</v>
      </c>
      <c r="I2135" t="s">
        <v>11</v>
      </c>
      <c r="J2135" t="s">
        <v>25</v>
      </c>
      <c r="K2135">
        <v>5</v>
      </c>
      <c r="L2135">
        <v>1000</v>
      </c>
      <c r="M2135">
        <v>5000</v>
      </c>
      <c r="N2135">
        <f>IF(COUNTIFS($B$2:B2135,B2135)=1,1,0)</f>
        <v>1</v>
      </c>
    </row>
    <row r="2136" spans="1:14" x14ac:dyDescent="0.2">
      <c r="A2136">
        <v>2135</v>
      </c>
      <c r="B2136">
        <v>2074</v>
      </c>
      <c r="C2136">
        <f>1/COUNTIF(B:B,Table1[[#This Row],[order_id]])</f>
        <v>0.5</v>
      </c>
      <c r="D2136" t="str">
        <f>TEXT(Table1[[#This Row],[order_date]],"mmmm")</f>
        <v>June</v>
      </c>
      <c r="E2136" s="1">
        <v>45459</v>
      </c>
      <c r="F2136" s="1" t="str">
        <f>TEXT(Table1[[#This Row],[order_date]],"dddd")</f>
        <v>Sunday</v>
      </c>
      <c r="G2136">
        <f>HOUR(Table1[[#This Row],[order_time]])</f>
        <v>9</v>
      </c>
      <c r="H2136" s="2">
        <v>0.38468750000000002</v>
      </c>
      <c r="I2136" t="s">
        <v>18</v>
      </c>
      <c r="J2136" t="s">
        <v>26</v>
      </c>
      <c r="K2136">
        <v>2</v>
      </c>
      <c r="L2136">
        <v>55</v>
      </c>
      <c r="M2136">
        <v>110</v>
      </c>
      <c r="N2136">
        <f>IF(COUNTIFS($B$2:B2136,B2136)=1,1,0)</f>
        <v>1</v>
      </c>
    </row>
    <row r="2137" spans="1:14" x14ac:dyDescent="0.2">
      <c r="A2137">
        <v>2136</v>
      </c>
      <c r="B2137">
        <v>2074</v>
      </c>
      <c r="C2137">
        <f>1/COUNTIF(B:B,Table1[[#This Row],[order_id]])</f>
        <v>0.5</v>
      </c>
      <c r="D2137" t="str">
        <f>TEXT(Table1[[#This Row],[order_date]],"mmmm")</f>
        <v>June</v>
      </c>
      <c r="E2137" s="1">
        <v>45459</v>
      </c>
      <c r="F2137" s="1" t="str">
        <f>TEXT(Table1[[#This Row],[order_date]],"dddd")</f>
        <v>Sunday</v>
      </c>
      <c r="G2137">
        <f>HOUR(Table1[[#This Row],[order_time]])</f>
        <v>9</v>
      </c>
      <c r="H2137" s="2">
        <v>0.38858796296296294</v>
      </c>
      <c r="I2137" t="s">
        <v>11</v>
      </c>
      <c r="J2137" t="s">
        <v>12</v>
      </c>
      <c r="K2137">
        <v>1</v>
      </c>
      <c r="L2137">
        <v>650</v>
      </c>
      <c r="M2137">
        <v>650</v>
      </c>
      <c r="N2137">
        <f>IF(COUNTIFS($B$2:B2137,B2137)=1,1,0)</f>
        <v>0</v>
      </c>
    </row>
    <row r="2138" spans="1:14" x14ac:dyDescent="0.2">
      <c r="A2138">
        <v>2137</v>
      </c>
      <c r="B2138">
        <v>2075</v>
      </c>
      <c r="C2138">
        <f>1/COUNTIF(B:B,Table1[[#This Row],[order_id]])</f>
        <v>1</v>
      </c>
      <c r="D2138" t="str">
        <f>TEXT(Table1[[#This Row],[order_date]],"mmmm")</f>
        <v>June</v>
      </c>
      <c r="E2138" s="1">
        <v>45460</v>
      </c>
      <c r="F2138" s="1" t="str">
        <f>TEXT(Table1[[#This Row],[order_date]],"dddd")</f>
        <v>Monday</v>
      </c>
      <c r="G2138">
        <f>HOUR(Table1[[#This Row],[order_time]])</f>
        <v>19</v>
      </c>
      <c r="H2138" s="2">
        <v>0.79531249999999998</v>
      </c>
      <c r="I2138" t="s">
        <v>11</v>
      </c>
      <c r="J2138" t="s">
        <v>13</v>
      </c>
      <c r="K2138">
        <v>5</v>
      </c>
      <c r="L2138">
        <v>680</v>
      </c>
      <c r="M2138">
        <v>3400</v>
      </c>
      <c r="N2138">
        <f>IF(COUNTIFS($B$2:B2138,B2138)=1,1,0)</f>
        <v>1</v>
      </c>
    </row>
    <row r="2139" spans="1:14" x14ac:dyDescent="0.2">
      <c r="A2139">
        <v>2138</v>
      </c>
      <c r="B2139">
        <v>2076</v>
      </c>
      <c r="C2139">
        <f>1/COUNTIF(B:B,Table1[[#This Row],[order_id]])</f>
        <v>0.33333333333333331</v>
      </c>
      <c r="D2139" t="str">
        <f>TEXT(Table1[[#This Row],[order_date]],"mmmm")</f>
        <v>June</v>
      </c>
      <c r="E2139" s="1">
        <v>45460</v>
      </c>
      <c r="F2139" s="1" t="str">
        <f>TEXT(Table1[[#This Row],[order_date]],"dddd")</f>
        <v>Monday</v>
      </c>
      <c r="G2139">
        <f>HOUR(Table1[[#This Row],[order_time]])</f>
        <v>12</v>
      </c>
      <c r="H2139" s="2">
        <v>0.52322916666666663</v>
      </c>
      <c r="I2139" t="s">
        <v>18</v>
      </c>
      <c r="J2139" t="s">
        <v>19</v>
      </c>
      <c r="K2139">
        <v>1</v>
      </c>
      <c r="L2139">
        <v>50</v>
      </c>
      <c r="M2139">
        <v>50</v>
      </c>
      <c r="N2139">
        <f>IF(COUNTIFS($B$2:B2139,B2139)=1,1,0)</f>
        <v>1</v>
      </c>
    </row>
    <row r="2140" spans="1:14" x14ac:dyDescent="0.2">
      <c r="A2140">
        <v>2139</v>
      </c>
      <c r="B2140">
        <v>2076</v>
      </c>
      <c r="C2140">
        <f>1/COUNTIF(B:B,Table1[[#This Row],[order_id]])</f>
        <v>0.33333333333333331</v>
      </c>
      <c r="D2140" t="str">
        <f>TEXT(Table1[[#This Row],[order_date]],"mmmm")</f>
        <v>June</v>
      </c>
      <c r="E2140" s="1">
        <v>45460</v>
      </c>
      <c r="F2140" s="1" t="str">
        <f>TEXT(Table1[[#This Row],[order_date]],"dddd")</f>
        <v>Monday</v>
      </c>
      <c r="G2140">
        <f>HOUR(Table1[[#This Row],[order_time]])</f>
        <v>11</v>
      </c>
      <c r="H2140" s="2">
        <v>0.46793981481481484</v>
      </c>
      <c r="I2140" t="s">
        <v>18</v>
      </c>
      <c r="J2140" t="s">
        <v>30</v>
      </c>
      <c r="K2140">
        <v>5</v>
      </c>
      <c r="L2140">
        <v>60</v>
      </c>
      <c r="M2140">
        <v>300</v>
      </c>
      <c r="N2140">
        <f>IF(COUNTIFS($B$2:B2140,B2140)=1,1,0)</f>
        <v>0</v>
      </c>
    </row>
    <row r="2141" spans="1:14" x14ac:dyDescent="0.2">
      <c r="A2141">
        <v>2140</v>
      </c>
      <c r="B2141">
        <v>2076</v>
      </c>
      <c r="C2141">
        <f>1/COUNTIF(B:B,Table1[[#This Row],[order_id]])</f>
        <v>0.33333333333333331</v>
      </c>
      <c r="D2141" t="str">
        <f>TEXT(Table1[[#This Row],[order_date]],"mmmm")</f>
        <v>June</v>
      </c>
      <c r="E2141" s="1">
        <v>45460</v>
      </c>
      <c r="F2141" s="1" t="str">
        <f>TEXT(Table1[[#This Row],[order_date]],"dddd")</f>
        <v>Monday</v>
      </c>
      <c r="G2141">
        <f>HOUR(Table1[[#This Row],[order_time]])</f>
        <v>18</v>
      </c>
      <c r="H2141" s="2">
        <v>0.75869212962962962</v>
      </c>
      <c r="I2141" t="s">
        <v>11</v>
      </c>
      <c r="J2141" t="s">
        <v>12</v>
      </c>
      <c r="K2141">
        <v>3</v>
      </c>
      <c r="L2141">
        <v>650</v>
      </c>
      <c r="M2141">
        <v>1950</v>
      </c>
      <c r="N2141">
        <f>IF(COUNTIFS($B$2:B2141,B2141)=1,1,0)</f>
        <v>0</v>
      </c>
    </row>
    <row r="2142" spans="1:14" x14ac:dyDescent="0.2">
      <c r="A2142">
        <v>2141</v>
      </c>
      <c r="B2142">
        <v>2077</v>
      </c>
      <c r="C2142">
        <f>1/COUNTIF(B:B,Table1[[#This Row],[order_id]])</f>
        <v>0.33333333333333331</v>
      </c>
      <c r="D2142" t="str">
        <f>TEXT(Table1[[#This Row],[order_date]],"mmmm")</f>
        <v>June</v>
      </c>
      <c r="E2142" s="1">
        <v>45460</v>
      </c>
      <c r="F2142" s="1" t="str">
        <f>TEXT(Table1[[#This Row],[order_date]],"dddd")</f>
        <v>Monday</v>
      </c>
      <c r="G2142">
        <f>HOUR(Table1[[#This Row],[order_time]])</f>
        <v>10</v>
      </c>
      <c r="H2142" s="2">
        <v>0.43709490740740742</v>
      </c>
      <c r="I2142" t="s">
        <v>9</v>
      </c>
      <c r="J2142" t="s">
        <v>29</v>
      </c>
      <c r="K2142">
        <v>3</v>
      </c>
      <c r="L2142">
        <v>5</v>
      </c>
      <c r="M2142">
        <v>15</v>
      </c>
      <c r="N2142">
        <f>IF(COUNTIFS($B$2:B2142,B2142)=1,1,0)</f>
        <v>1</v>
      </c>
    </row>
    <row r="2143" spans="1:14" x14ac:dyDescent="0.2">
      <c r="A2143">
        <v>2142</v>
      </c>
      <c r="B2143">
        <v>2077</v>
      </c>
      <c r="C2143">
        <f>1/COUNTIF(B:B,Table1[[#This Row],[order_id]])</f>
        <v>0.33333333333333331</v>
      </c>
      <c r="D2143" t="str">
        <f>TEXT(Table1[[#This Row],[order_date]],"mmmm")</f>
        <v>June</v>
      </c>
      <c r="E2143" s="1">
        <v>45460</v>
      </c>
      <c r="F2143" s="1" t="str">
        <f>TEXT(Table1[[#This Row],[order_date]],"dddd")</f>
        <v>Monday</v>
      </c>
      <c r="G2143">
        <f>HOUR(Table1[[#This Row],[order_time]])</f>
        <v>20</v>
      </c>
      <c r="H2143" s="2">
        <v>0.87298611111111113</v>
      </c>
      <c r="I2143" t="s">
        <v>18</v>
      </c>
      <c r="J2143" t="s">
        <v>31</v>
      </c>
      <c r="K2143">
        <v>3</v>
      </c>
      <c r="L2143">
        <v>45</v>
      </c>
      <c r="M2143">
        <v>135</v>
      </c>
      <c r="N2143">
        <f>IF(COUNTIFS($B$2:B2143,B2143)=1,1,0)</f>
        <v>0</v>
      </c>
    </row>
    <row r="2144" spans="1:14" x14ac:dyDescent="0.2">
      <c r="A2144">
        <v>2143</v>
      </c>
      <c r="B2144">
        <v>2077</v>
      </c>
      <c r="C2144">
        <f>1/COUNTIF(B:B,Table1[[#This Row],[order_id]])</f>
        <v>0.33333333333333331</v>
      </c>
      <c r="D2144" t="str">
        <f>TEXT(Table1[[#This Row],[order_date]],"mmmm")</f>
        <v>June</v>
      </c>
      <c r="E2144" s="1">
        <v>45460</v>
      </c>
      <c r="F2144" s="1" t="str">
        <f>TEXT(Table1[[#This Row],[order_date]],"dddd")</f>
        <v>Monday</v>
      </c>
      <c r="G2144">
        <f>HOUR(Table1[[#This Row],[order_time]])</f>
        <v>10</v>
      </c>
      <c r="H2144" s="2">
        <v>0.4349189814814815</v>
      </c>
      <c r="I2144" t="s">
        <v>9</v>
      </c>
      <c r="J2144" t="s">
        <v>22</v>
      </c>
      <c r="K2144">
        <v>1</v>
      </c>
      <c r="L2144">
        <v>15</v>
      </c>
      <c r="M2144">
        <v>15</v>
      </c>
      <c r="N2144">
        <f>IF(COUNTIFS($B$2:B2144,B2144)=1,1,0)</f>
        <v>0</v>
      </c>
    </row>
    <row r="2145" spans="1:14" x14ac:dyDescent="0.2">
      <c r="A2145">
        <v>2144</v>
      </c>
      <c r="B2145">
        <v>2078</v>
      </c>
      <c r="C2145">
        <f>1/COUNTIF(B:B,Table1[[#This Row],[order_id]])</f>
        <v>1</v>
      </c>
      <c r="D2145" t="str">
        <f>TEXT(Table1[[#This Row],[order_date]],"mmmm")</f>
        <v>June</v>
      </c>
      <c r="E2145" s="1">
        <v>45460</v>
      </c>
      <c r="F2145" s="1" t="str">
        <f>TEXT(Table1[[#This Row],[order_date]],"dddd")</f>
        <v>Monday</v>
      </c>
      <c r="G2145">
        <f>HOUR(Table1[[#This Row],[order_time]])</f>
        <v>18</v>
      </c>
      <c r="H2145" s="2">
        <v>0.78089120370370368</v>
      </c>
      <c r="I2145" t="s">
        <v>11</v>
      </c>
      <c r="J2145" t="s">
        <v>15</v>
      </c>
      <c r="K2145">
        <v>2</v>
      </c>
      <c r="L2145">
        <v>600</v>
      </c>
      <c r="M2145">
        <v>1200</v>
      </c>
      <c r="N2145">
        <f>IF(COUNTIFS($B$2:B2145,B2145)=1,1,0)</f>
        <v>1</v>
      </c>
    </row>
    <row r="2146" spans="1:14" x14ac:dyDescent="0.2">
      <c r="A2146">
        <v>2145</v>
      </c>
      <c r="B2146">
        <v>2079</v>
      </c>
      <c r="C2146">
        <f>1/COUNTIF(B:B,Table1[[#This Row],[order_id]])</f>
        <v>1</v>
      </c>
      <c r="D2146" t="str">
        <f>TEXT(Table1[[#This Row],[order_date]],"mmmm")</f>
        <v>June</v>
      </c>
      <c r="E2146" s="1">
        <v>45461</v>
      </c>
      <c r="F2146" s="1" t="str">
        <f>TEXT(Table1[[#This Row],[order_date]],"dddd")</f>
        <v>Tuesday</v>
      </c>
      <c r="G2146">
        <f>HOUR(Table1[[#This Row],[order_time]])</f>
        <v>17</v>
      </c>
      <c r="H2146" s="2">
        <v>0.70934027777777775</v>
      </c>
      <c r="I2146" t="s">
        <v>9</v>
      </c>
      <c r="J2146" t="s">
        <v>29</v>
      </c>
      <c r="K2146">
        <v>5</v>
      </c>
      <c r="L2146">
        <v>5</v>
      </c>
      <c r="M2146">
        <v>25</v>
      </c>
      <c r="N2146">
        <f>IF(COUNTIFS($B$2:B2146,B2146)=1,1,0)</f>
        <v>1</v>
      </c>
    </row>
    <row r="2147" spans="1:14" x14ac:dyDescent="0.2">
      <c r="A2147">
        <v>2146</v>
      </c>
      <c r="B2147">
        <v>2080</v>
      </c>
      <c r="C2147">
        <f>1/COUNTIF(B:B,Table1[[#This Row],[order_id]])</f>
        <v>0.33333333333333331</v>
      </c>
      <c r="D2147" t="str">
        <f>TEXT(Table1[[#This Row],[order_date]],"mmmm")</f>
        <v>June</v>
      </c>
      <c r="E2147" s="1">
        <v>45461</v>
      </c>
      <c r="F2147" s="1" t="str">
        <f>TEXT(Table1[[#This Row],[order_date]],"dddd")</f>
        <v>Tuesday</v>
      </c>
      <c r="G2147">
        <f>HOUR(Table1[[#This Row],[order_time]])</f>
        <v>17</v>
      </c>
      <c r="H2147" s="2">
        <v>0.73408564814814814</v>
      </c>
      <c r="I2147" t="s">
        <v>9</v>
      </c>
      <c r="J2147" t="s">
        <v>10</v>
      </c>
      <c r="K2147">
        <v>2</v>
      </c>
      <c r="L2147">
        <v>20</v>
      </c>
      <c r="M2147">
        <v>40</v>
      </c>
      <c r="N2147">
        <f>IF(COUNTIFS($B$2:B2147,B2147)=1,1,0)</f>
        <v>1</v>
      </c>
    </row>
    <row r="2148" spans="1:14" x14ac:dyDescent="0.2">
      <c r="A2148">
        <v>2147</v>
      </c>
      <c r="B2148">
        <v>2080</v>
      </c>
      <c r="C2148">
        <f>1/COUNTIF(B:B,Table1[[#This Row],[order_id]])</f>
        <v>0.33333333333333331</v>
      </c>
      <c r="D2148" t="str">
        <f>TEXT(Table1[[#This Row],[order_date]],"mmmm")</f>
        <v>June</v>
      </c>
      <c r="E2148" s="1">
        <v>45461</v>
      </c>
      <c r="F2148" s="1" t="str">
        <f>TEXT(Table1[[#This Row],[order_date]],"dddd")</f>
        <v>Tuesday</v>
      </c>
      <c r="G2148">
        <f>HOUR(Table1[[#This Row],[order_time]])</f>
        <v>11</v>
      </c>
      <c r="H2148" s="2">
        <v>0.46155092592592595</v>
      </c>
      <c r="I2148" t="s">
        <v>9</v>
      </c>
      <c r="J2148" t="s">
        <v>10</v>
      </c>
      <c r="K2148">
        <v>5</v>
      </c>
      <c r="L2148">
        <v>20</v>
      </c>
      <c r="M2148">
        <v>100</v>
      </c>
      <c r="N2148">
        <f>IF(COUNTIFS($B$2:B2148,B2148)=1,1,0)</f>
        <v>0</v>
      </c>
    </row>
    <row r="2149" spans="1:14" x14ac:dyDescent="0.2">
      <c r="A2149">
        <v>2148</v>
      </c>
      <c r="B2149">
        <v>2080</v>
      </c>
      <c r="C2149">
        <f>1/COUNTIF(B:B,Table1[[#This Row],[order_id]])</f>
        <v>0.33333333333333331</v>
      </c>
      <c r="D2149" t="str">
        <f>TEXT(Table1[[#This Row],[order_date]],"mmmm")</f>
        <v>June</v>
      </c>
      <c r="E2149" s="1">
        <v>45461</v>
      </c>
      <c r="F2149" s="1" t="str">
        <f>TEXT(Table1[[#This Row],[order_date]],"dddd")</f>
        <v>Tuesday</v>
      </c>
      <c r="G2149">
        <f>HOUR(Table1[[#This Row],[order_time]])</f>
        <v>15</v>
      </c>
      <c r="H2149" s="2">
        <v>0.63185185185185189</v>
      </c>
      <c r="I2149" t="s">
        <v>9</v>
      </c>
      <c r="J2149" t="s">
        <v>22</v>
      </c>
      <c r="K2149">
        <v>1</v>
      </c>
      <c r="L2149">
        <v>15</v>
      </c>
      <c r="M2149">
        <v>15</v>
      </c>
      <c r="N2149">
        <f>IF(COUNTIFS($B$2:B2149,B2149)=1,1,0)</f>
        <v>0</v>
      </c>
    </row>
    <row r="2150" spans="1:14" x14ac:dyDescent="0.2">
      <c r="A2150">
        <v>2149</v>
      </c>
      <c r="B2150">
        <v>2081</v>
      </c>
      <c r="C2150">
        <f>1/COUNTIF(B:B,Table1[[#This Row],[order_id]])</f>
        <v>0.5</v>
      </c>
      <c r="D2150" t="str">
        <f>TEXT(Table1[[#This Row],[order_date]],"mmmm")</f>
        <v>June</v>
      </c>
      <c r="E2150" s="1">
        <v>45461</v>
      </c>
      <c r="F2150" s="1" t="str">
        <f>TEXT(Table1[[#This Row],[order_date]],"dddd")</f>
        <v>Tuesday</v>
      </c>
      <c r="G2150">
        <f>HOUR(Table1[[#This Row],[order_time]])</f>
        <v>14</v>
      </c>
      <c r="H2150" s="2">
        <v>0.61667824074074074</v>
      </c>
      <c r="I2150" t="s">
        <v>11</v>
      </c>
      <c r="J2150" t="s">
        <v>15</v>
      </c>
      <c r="K2150">
        <v>5</v>
      </c>
      <c r="L2150">
        <v>600</v>
      </c>
      <c r="M2150">
        <v>3000</v>
      </c>
      <c r="N2150">
        <f>IF(COUNTIFS($B$2:B2150,B2150)=1,1,0)</f>
        <v>1</v>
      </c>
    </row>
    <row r="2151" spans="1:14" x14ac:dyDescent="0.2">
      <c r="A2151">
        <v>2150</v>
      </c>
      <c r="B2151">
        <v>2081</v>
      </c>
      <c r="C2151">
        <f>1/COUNTIF(B:B,Table1[[#This Row],[order_id]])</f>
        <v>0.5</v>
      </c>
      <c r="D2151" t="str">
        <f>TEXT(Table1[[#This Row],[order_date]],"mmmm")</f>
        <v>June</v>
      </c>
      <c r="E2151" s="1">
        <v>45461</v>
      </c>
      <c r="F2151" s="1" t="str">
        <f>TEXT(Table1[[#This Row],[order_date]],"dddd")</f>
        <v>Tuesday</v>
      </c>
      <c r="G2151">
        <f>HOUR(Table1[[#This Row],[order_time]])</f>
        <v>20</v>
      </c>
      <c r="H2151" s="2">
        <v>0.8463194444444444</v>
      </c>
      <c r="I2151" t="s">
        <v>9</v>
      </c>
      <c r="J2151" t="s">
        <v>20</v>
      </c>
      <c r="K2151">
        <v>4</v>
      </c>
      <c r="L2151">
        <v>25</v>
      </c>
      <c r="M2151">
        <v>100</v>
      </c>
      <c r="N2151">
        <f>IF(COUNTIFS($B$2:B2151,B2151)=1,1,0)</f>
        <v>0</v>
      </c>
    </row>
    <row r="2152" spans="1:14" x14ac:dyDescent="0.2">
      <c r="A2152">
        <v>2151</v>
      </c>
      <c r="B2152">
        <v>2082</v>
      </c>
      <c r="C2152">
        <f>1/COUNTIF(B:B,Table1[[#This Row],[order_id]])</f>
        <v>1</v>
      </c>
      <c r="D2152" t="str">
        <f>TEXT(Table1[[#This Row],[order_date]],"mmmm")</f>
        <v>June</v>
      </c>
      <c r="E2152" s="1">
        <v>45461</v>
      </c>
      <c r="F2152" s="1" t="str">
        <f>TEXT(Table1[[#This Row],[order_date]],"dddd")</f>
        <v>Tuesday</v>
      </c>
      <c r="G2152">
        <f>HOUR(Table1[[#This Row],[order_time]])</f>
        <v>18</v>
      </c>
      <c r="H2152" s="2">
        <v>0.76633101851851848</v>
      </c>
      <c r="I2152" t="s">
        <v>11</v>
      </c>
      <c r="J2152" t="s">
        <v>15</v>
      </c>
      <c r="K2152">
        <v>5</v>
      </c>
      <c r="L2152">
        <v>600</v>
      </c>
      <c r="M2152">
        <v>3000</v>
      </c>
      <c r="N2152">
        <f>IF(COUNTIFS($B$2:B2152,B2152)=1,1,0)</f>
        <v>1</v>
      </c>
    </row>
    <row r="2153" spans="1:14" x14ac:dyDescent="0.2">
      <c r="A2153">
        <v>2152</v>
      </c>
      <c r="B2153">
        <v>2083</v>
      </c>
      <c r="C2153">
        <f>1/COUNTIF(B:B,Table1[[#This Row],[order_id]])</f>
        <v>0.33333333333333331</v>
      </c>
      <c r="D2153" t="str">
        <f>TEXT(Table1[[#This Row],[order_date]],"mmmm")</f>
        <v>June</v>
      </c>
      <c r="E2153" s="1">
        <v>45461</v>
      </c>
      <c r="F2153" s="1" t="str">
        <f>TEXT(Table1[[#This Row],[order_date]],"dddd")</f>
        <v>Tuesday</v>
      </c>
      <c r="G2153">
        <f>HOUR(Table1[[#This Row],[order_time]])</f>
        <v>10</v>
      </c>
      <c r="H2153" s="2">
        <v>0.41991898148148149</v>
      </c>
      <c r="I2153" t="s">
        <v>11</v>
      </c>
      <c r="J2153" t="s">
        <v>13</v>
      </c>
      <c r="K2153">
        <v>5</v>
      </c>
      <c r="L2153">
        <v>680</v>
      </c>
      <c r="M2153">
        <v>3400</v>
      </c>
      <c r="N2153">
        <f>IF(COUNTIFS($B$2:B2153,B2153)=1,1,0)</f>
        <v>1</v>
      </c>
    </row>
    <row r="2154" spans="1:14" x14ac:dyDescent="0.2">
      <c r="A2154">
        <v>2153</v>
      </c>
      <c r="B2154">
        <v>2083</v>
      </c>
      <c r="C2154">
        <f>1/COUNTIF(B:B,Table1[[#This Row],[order_id]])</f>
        <v>0.33333333333333331</v>
      </c>
      <c r="D2154" t="str">
        <f>TEXT(Table1[[#This Row],[order_date]],"mmmm")</f>
        <v>June</v>
      </c>
      <c r="E2154" s="1">
        <v>45461</v>
      </c>
      <c r="F2154" s="1" t="str">
        <f>TEXT(Table1[[#This Row],[order_date]],"dddd")</f>
        <v>Tuesday</v>
      </c>
      <c r="G2154">
        <f>HOUR(Table1[[#This Row],[order_time]])</f>
        <v>10</v>
      </c>
      <c r="H2154" s="2">
        <v>0.43141203703703701</v>
      </c>
      <c r="I2154" t="s">
        <v>18</v>
      </c>
      <c r="J2154" t="s">
        <v>30</v>
      </c>
      <c r="K2154">
        <v>2</v>
      </c>
      <c r="L2154">
        <v>60</v>
      </c>
      <c r="M2154">
        <v>120</v>
      </c>
      <c r="N2154">
        <f>IF(COUNTIFS($B$2:B2154,B2154)=1,1,0)</f>
        <v>0</v>
      </c>
    </row>
    <row r="2155" spans="1:14" x14ac:dyDescent="0.2">
      <c r="A2155">
        <v>2154</v>
      </c>
      <c r="B2155">
        <v>2083</v>
      </c>
      <c r="C2155">
        <f>1/COUNTIF(B:B,Table1[[#This Row],[order_id]])</f>
        <v>0.33333333333333331</v>
      </c>
      <c r="D2155" t="str">
        <f>TEXT(Table1[[#This Row],[order_date]],"mmmm")</f>
        <v>June</v>
      </c>
      <c r="E2155" s="1">
        <v>45461</v>
      </c>
      <c r="F2155" s="1" t="str">
        <f>TEXT(Table1[[#This Row],[order_date]],"dddd")</f>
        <v>Tuesday</v>
      </c>
      <c r="G2155">
        <f>HOUR(Table1[[#This Row],[order_time]])</f>
        <v>10</v>
      </c>
      <c r="H2155" s="2">
        <v>0.42820601851851853</v>
      </c>
      <c r="I2155" t="s">
        <v>18</v>
      </c>
      <c r="J2155" t="s">
        <v>31</v>
      </c>
      <c r="K2155">
        <v>2</v>
      </c>
      <c r="L2155">
        <v>45</v>
      </c>
      <c r="M2155">
        <v>90</v>
      </c>
      <c r="N2155">
        <f>IF(COUNTIFS($B$2:B2155,B2155)=1,1,0)</f>
        <v>0</v>
      </c>
    </row>
    <row r="2156" spans="1:14" x14ac:dyDescent="0.2">
      <c r="A2156">
        <v>2155</v>
      </c>
      <c r="B2156">
        <v>2084</v>
      </c>
      <c r="C2156">
        <f>1/COUNTIF(B:B,Table1[[#This Row],[order_id]])</f>
        <v>1</v>
      </c>
      <c r="D2156" t="str">
        <f>TEXT(Table1[[#This Row],[order_date]],"mmmm")</f>
        <v>June</v>
      </c>
      <c r="E2156" s="1">
        <v>45461</v>
      </c>
      <c r="F2156" s="1" t="str">
        <f>TEXT(Table1[[#This Row],[order_date]],"dddd")</f>
        <v>Tuesday</v>
      </c>
      <c r="G2156">
        <f>HOUR(Table1[[#This Row],[order_time]])</f>
        <v>11</v>
      </c>
      <c r="H2156" s="2">
        <v>0.46762731481481479</v>
      </c>
      <c r="I2156" t="s">
        <v>18</v>
      </c>
      <c r="J2156" t="s">
        <v>31</v>
      </c>
      <c r="K2156">
        <v>2</v>
      </c>
      <c r="L2156">
        <v>45</v>
      </c>
      <c r="M2156">
        <v>90</v>
      </c>
      <c r="N2156">
        <f>IF(COUNTIFS($B$2:B2156,B2156)=1,1,0)</f>
        <v>1</v>
      </c>
    </row>
    <row r="2157" spans="1:14" x14ac:dyDescent="0.2">
      <c r="A2157">
        <v>2156</v>
      </c>
      <c r="B2157">
        <v>2085</v>
      </c>
      <c r="C2157">
        <f>1/COUNTIF(B:B,Table1[[#This Row],[order_id]])</f>
        <v>0.33333333333333331</v>
      </c>
      <c r="D2157" t="str">
        <f>TEXT(Table1[[#This Row],[order_date]],"mmmm")</f>
        <v>June</v>
      </c>
      <c r="E2157" s="1">
        <v>45461</v>
      </c>
      <c r="F2157" s="1" t="str">
        <f>TEXT(Table1[[#This Row],[order_date]],"dddd")</f>
        <v>Tuesday</v>
      </c>
      <c r="G2157">
        <f>HOUR(Table1[[#This Row],[order_time]])</f>
        <v>20</v>
      </c>
      <c r="H2157" s="2">
        <v>0.85476851851851854</v>
      </c>
      <c r="I2157" t="s">
        <v>16</v>
      </c>
      <c r="J2157" t="s">
        <v>28</v>
      </c>
      <c r="K2157">
        <v>3</v>
      </c>
      <c r="L2157">
        <v>25</v>
      </c>
      <c r="M2157">
        <v>75</v>
      </c>
      <c r="N2157">
        <f>IF(COUNTIFS($B$2:B2157,B2157)=1,1,0)</f>
        <v>1</v>
      </c>
    </row>
    <row r="2158" spans="1:14" x14ac:dyDescent="0.2">
      <c r="A2158">
        <v>2157</v>
      </c>
      <c r="B2158">
        <v>2085</v>
      </c>
      <c r="C2158">
        <f>1/COUNTIF(B:B,Table1[[#This Row],[order_id]])</f>
        <v>0.33333333333333331</v>
      </c>
      <c r="D2158" t="str">
        <f>TEXT(Table1[[#This Row],[order_date]],"mmmm")</f>
        <v>June</v>
      </c>
      <c r="E2158" s="1">
        <v>45461</v>
      </c>
      <c r="F2158" s="1" t="str">
        <f>TEXT(Table1[[#This Row],[order_date]],"dddd")</f>
        <v>Tuesday</v>
      </c>
      <c r="G2158">
        <f>HOUR(Table1[[#This Row],[order_time]])</f>
        <v>20</v>
      </c>
      <c r="H2158" s="2">
        <v>0.84575231481481483</v>
      </c>
      <c r="I2158" t="s">
        <v>18</v>
      </c>
      <c r="J2158" t="s">
        <v>27</v>
      </c>
      <c r="K2158">
        <v>2</v>
      </c>
      <c r="L2158">
        <v>40</v>
      </c>
      <c r="M2158">
        <v>80</v>
      </c>
      <c r="N2158">
        <f>IF(COUNTIFS($B$2:B2158,B2158)=1,1,0)</f>
        <v>0</v>
      </c>
    </row>
    <row r="2159" spans="1:14" x14ac:dyDescent="0.2">
      <c r="A2159">
        <v>2158</v>
      </c>
      <c r="B2159">
        <v>2085</v>
      </c>
      <c r="C2159">
        <f>1/COUNTIF(B:B,Table1[[#This Row],[order_id]])</f>
        <v>0.33333333333333331</v>
      </c>
      <c r="D2159" t="str">
        <f>TEXT(Table1[[#This Row],[order_date]],"mmmm")</f>
        <v>June</v>
      </c>
      <c r="E2159" s="1">
        <v>45461</v>
      </c>
      <c r="F2159" s="1" t="str">
        <f>TEXT(Table1[[#This Row],[order_date]],"dddd")</f>
        <v>Tuesday</v>
      </c>
      <c r="G2159">
        <f>HOUR(Table1[[#This Row],[order_time]])</f>
        <v>20</v>
      </c>
      <c r="H2159" s="2">
        <v>0.84347222222222218</v>
      </c>
      <c r="I2159" t="s">
        <v>16</v>
      </c>
      <c r="J2159" t="s">
        <v>23</v>
      </c>
      <c r="K2159">
        <v>5</v>
      </c>
      <c r="L2159">
        <v>30</v>
      </c>
      <c r="M2159">
        <v>150</v>
      </c>
      <c r="N2159">
        <f>IF(COUNTIFS($B$2:B2159,B2159)=1,1,0)</f>
        <v>0</v>
      </c>
    </row>
    <row r="2160" spans="1:14" x14ac:dyDescent="0.2">
      <c r="A2160">
        <v>2159</v>
      </c>
      <c r="B2160">
        <v>2086</v>
      </c>
      <c r="C2160">
        <f>1/COUNTIF(B:B,Table1[[#This Row],[order_id]])</f>
        <v>1</v>
      </c>
      <c r="D2160" t="str">
        <f>TEXT(Table1[[#This Row],[order_date]],"mmmm")</f>
        <v>June</v>
      </c>
      <c r="E2160" s="1">
        <v>45461</v>
      </c>
      <c r="F2160" s="1" t="str">
        <f>TEXT(Table1[[#This Row],[order_date]],"dddd")</f>
        <v>Tuesday</v>
      </c>
      <c r="G2160">
        <f>HOUR(Table1[[#This Row],[order_time]])</f>
        <v>16</v>
      </c>
      <c r="H2160" s="2">
        <v>0.69718749999999996</v>
      </c>
      <c r="I2160" t="s">
        <v>16</v>
      </c>
      <c r="J2160" t="s">
        <v>17</v>
      </c>
      <c r="K2160">
        <v>2</v>
      </c>
      <c r="L2160">
        <v>20</v>
      </c>
      <c r="M2160">
        <v>40</v>
      </c>
      <c r="N2160">
        <f>IF(COUNTIFS($B$2:B2160,B2160)=1,1,0)</f>
        <v>1</v>
      </c>
    </row>
    <row r="2161" spans="1:14" x14ac:dyDescent="0.2">
      <c r="A2161">
        <v>2160</v>
      </c>
      <c r="B2161">
        <v>2087</v>
      </c>
      <c r="C2161">
        <f>1/COUNTIF(B:B,Table1[[#This Row],[order_id]])</f>
        <v>0.5</v>
      </c>
      <c r="D2161" t="str">
        <f>TEXT(Table1[[#This Row],[order_date]],"mmmm")</f>
        <v>June</v>
      </c>
      <c r="E2161" s="1">
        <v>45461</v>
      </c>
      <c r="F2161" s="1" t="str">
        <f>TEXT(Table1[[#This Row],[order_date]],"dddd")</f>
        <v>Tuesday</v>
      </c>
      <c r="G2161">
        <f>HOUR(Table1[[#This Row],[order_time]])</f>
        <v>16</v>
      </c>
      <c r="H2161" s="2">
        <v>0.69731481481481483</v>
      </c>
      <c r="I2161" t="s">
        <v>18</v>
      </c>
      <c r="J2161" t="s">
        <v>26</v>
      </c>
      <c r="K2161">
        <v>5</v>
      </c>
      <c r="L2161">
        <v>55</v>
      </c>
      <c r="M2161">
        <v>275</v>
      </c>
      <c r="N2161">
        <f>IF(COUNTIFS($B$2:B2161,B2161)=1,1,0)</f>
        <v>1</v>
      </c>
    </row>
    <row r="2162" spans="1:14" x14ac:dyDescent="0.2">
      <c r="A2162">
        <v>2161</v>
      </c>
      <c r="B2162">
        <v>2087</v>
      </c>
      <c r="C2162">
        <f>1/COUNTIF(B:B,Table1[[#This Row],[order_id]])</f>
        <v>0.5</v>
      </c>
      <c r="D2162" t="str">
        <f>TEXT(Table1[[#This Row],[order_date]],"mmmm")</f>
        <v>June</v>
      </c>
      <c r="E2162" s="1">
        <v>45461</v>
      </c>
      <c r="F2162" s="1" t="str">
        <f>TEXT(Table1[[#This Row],[order_date]],"dddd")</f>
        <v>Tuesday</v>
      </c>
      <c r="G2162">
        <f>HOUR(Table1[[#This Row],[order_time]])</f>
        <v>15</v>
      </c>
      <c r="H2162" s="2">
        <v>0.63788194444444446</v>
      </c>
      <c r="I2162" t="s">
        <v>11</v>
      </c>
      <c r="J2162" t="s">
        <v>15</v>
      </c>
      <c r="K2162">
        <v>2</v>
      </c>
      <c r="L2162">
        <v>600</v>
      </c>
      <c r="M2162">
        <v>1200</v>
      </c>
      <c r="N2162">
        <f>IF(COUNTIFS($B$2:B2162,B2162)=1,1,0)</f>
        <v>0</v>
      </c>
    </row>
    <row r="2163" spans="1:14" x14ac:dyDescent="0.2">
      <c r="A2163">
        <v>2162</v>
      </c>
      <c r="B2163">
        <v>2088</v>
      </c>
      <c r="C2163">
        <f>1/COUNTIF(B:B,Table1[[#This Row],[order_id]])</f>
        <v>1</v>
      </c>
      <c r="D2163" t="str">
        <f>TEXT(Table1[[#This Row],[order_date]],"mmmm")</f>
        <v>June</v>
      </c>
      <c r="E2163" s="1">
        <v>45462</v>
      </c>
      <c r="F2163" s="1" t="str">
        <f>TEXT(Table1[[#This Row],[order_date]],"dddd")</f>
        <v>Wednesday</v>
      </c>
      <c r="G2163">
        <f>HOUR(Table1[[#This Row],[order_time]])</f>
        <v>9</v>
      </c>
      <c r="H2163" s="2">
        <v>0.39427083333333335</v>
      </c>
      <c r="I2163" t="s">
        <v>18</v>
      </c>
      <c r="J2163" t="s">
        <v>30</v>
      </c>
      <c r="K2163">
        <v>3</v>
      </c>
      <c r="L2163">
        <v>60</v>
      </c>
      <c r="M2163">
        <v>180</v>
      </c>
      <c r="N2163">
        <f>IF(COUNTIFS($B$2:B2163,B2163)=1,1,0)</f>
        <v>1</v>
      </c>
    </row>
    <row r="2164" spans="1:14" x14ac:dyDescent="0.2">
      <c r="A2164">
        <v>2163</v>
      </c>
      <c r="B2164">
        <v>2089</v>
      </c>
      <c r="C2164">
        <f>1/COUNTIF(B:B,Table1[[#This Row],[order_id]])</f>
        <v>0.5</v>
      </c>
      <c r="D2164" t="str">
        <f>TEXT(Table1[[#This Row],[order_date]],"mmmm")</f>
        <v>June</v>
      </c>
      <c r="E2164" s="1">
        <v>45462</v>
      </c>
      <c r="F2164" s="1" t="str">
        <f>TEXT(Table1[[#This Row],[order_date]],"dddd")</f>
        <v>Wednesday</v>
      </c>
      <c r="G2164">
        <f>HOUR(Table1[[#This Row],[order_time]])</f>
        <v>14</v>
      </c>
      <c r="H2164" s="2">
        <v>0.58646990740740745</v>
      </c>
      <c r="I2164" t="s">
        <v>16</v>
      </c>
      <c r="J2164" t="s">
        <v>24</v>
      </c>
      <c r="K2164">
        <v>4</v>
      </c>
      <c r="L2164">
        <v>35</v>
      </c>
      <c r="M2164">
        <v>140</v>
      </c>
      <c r="N2164">
        <f>IF(COUNTIFS($B$2:B2164,B2164)=1,1,0)</f>
        <v>1</v>
      </c>
    </row>
    <row r="2165" spans="1:14" x14ac:dyDescent="0.2">
      <c r="A2165">
        <v>2164</v>
      </c>
      <c r="B2165">
        <v>2089</v>
      </c>
      <c r="C2165">
        <f>1/COUNTIF(B:B,Table1[[#This Row],[order_id]])</f>
        <v>0.5</v>
      </c>
      <c r="D2165" t="str">
        <f>TEXT(Table1[[#This Row],[order_date]],"mmmm")</f>
        <v>June</v>
      </c>
      <c r="E2165" s="1">
        <v>45462</v>
      </c>
      <c r="F2165" s="1" t="str">
        <f>TEXT(Table1[[#This Row],[order_date]],"dddd")</f>
        <v>Wednesday</v>
      </c>
      <c r="G2165">
        <f>HOUR(Table1[[#This Row],[order_time]])</f>
        <v>20</v>
      </c>
      <c r="H2165" s="2">
        <v>0.84777777777777774</v>
      </c>
      <c r="I2165" t="s">
        <v>18</v>
      </c>
      <c r="J2165" t="s">
        <v>27</v>
      </c>
      <c r="K2165">
        <v>4</v>
      </c>
      <c r="L2165">
        <v>40</v>
      </c>
      <c r="M2165">
        <v>160</v>
      </c>
      <c r="N2165">
        <f>IF(COUNTIFS($B$2:B2165,B2165)=1,1,0)</f>
        <v>0</v>
      </c>
    </row>
    <row r="2166" spans="1:14" x14ac:dyDescent="0.2">
      <c r="A2166">
        <v>2165</v>
      </c>
      <c r="B2166">
        <v>2090</v>
      </c>
      <c r="C2166">
        <f>1/COUNTIF(B:B,Table1[[#This Row],[order_id]])</f>
        <v>1</v>
      </c>
      <c r="D2166" t="str">
        <f>TEXT(Table1[[#This Row],[order_date]],"mmmm")</f>
        <v>June</v>
      </c>
      <c r="E2166" s="1">
        <v>45462</v>
      </c>
      <c r="F2166" s="1" t="str">
        <f>TEXT(Table1[[#This Row],[order_date]],"dddd")</f>
        <v>Wednesday</v>
      </c>
      <c r="G2166">
        <f>HOUR(Table1[[#This Row],[order_time]])</f>
        <v>11</v>
      </c>
      <c r="H2166" s="2">
        <v>0.46782407407407406</v>
      </c>
      <c r="I2166" t="s">
        <v>18</v>
      </c>
      <c r="J2166" t="s">
        <v>31</v>
      </c>
      <c r="K2166">
        <v>1</v>
      </c>
      <c r="L2166">
        <v>45</v>
      </c>
      <c r="M2166">
        <v>45</v>
      </c>
      <c r="N2166">
        <f>IF(COUNTIFS($B$2:B2166,B2166)=1,1,0)</f>
        <v>1</v>
      </c>
    </row>
    <row r="2167" spans="1:14" x14ac:dyDescent="0.2">
      <c r="A2167">
        <v>2166</v>
      </c>
      <c r="B2167">
        <v>2091</v>
      </c>
      <c r="C2167">
        <f>1/COUNTIF(B:B,Table1[[#This Row],[order_id]])</f>
        <v>0.5</v>
      </c>
      <c r="D2167" t="str">
        <f>TEXT(Table1[[#This Row],[order_date]],"mmmm")</f>
        <v>June</v>
      </c>
      <c r="E2167" s="1">
        <v>45463</v>
      </c>
      <c r="F2167" s="1" t="str">
        <f>TEXT(Table1[[#This Row],[order_date]],"dddd")</f>
        <v>Thursday</v>
      </c>
      <c r="G2167">
        <f>HOUR(Table1[[#This Row],[order_time]])</f>
        <v>13</v>
      </c>
      <c r="H2167" s="2">
        <v>0.54601851851851857</v>
      </c>
      <c r="I2167" t="s">
        <v>11</v>
      </c>
      <c r="J2167" t="s">
        <v>13</v>
      </c>
      <c r="K2167">
        <v>3</v>
      </c>
      <c r="L2167">
        <v>680</v>
      </c>
      <c r="M2167">
        <v>2040</v>
      </c>
      <c r="N2167">
        <f>IF(COUNTIFS($B$2:B2167,B2167)=1,1,0)</f>
        <v>1</v>
      </c>
    </row>
    <row r="2168" spans="1:14" x14ac:dyDescent="0.2">
      <c r="A2168">
        <v>2167</v>
      </c>
      <c r="B2168">
        <v>2091</v>
      </c>
      <c r="C2168">
        <f>1/COUNTIF(B:B,Table1[[#This Row],[order_id]])</f>
        <v>0.5</v>
      </c>
      <c r="D2168" t="str">
        <f>TEXT(Table1[[#This Row],[order_date]],"mmmm")</f>
        <v>June</v>
      </c>
      <c r="E2168" s="1">
        <v>45463</v>
      </c>
      <c r="F2168" s="1" t="str">
        <f>TEXT(Table1[[#This Row],[order_date]],"dddd")</f>
        <v>Thursday</v>
      </c>
      <c r="G2168">
        <f>HOUR(Table1[[#This Row],[order_time]])</f>
        <v>10</v>
      </c>
      <c r="H2168" s="2">
        <v>0.44990740740740742</v>
      </c>
      <c r="I2168" t="s">
        <v>18</v>
      </c>
      <c r="J2168" t="s">
        <v>26</v>
      </c>
      <c r="K2168">
        <v>1</v>
      </c>
      <c r="L2168">
        <v>55</v>
      </c>
      <c r="M2168">
        <v>55</v>
      </c>
      <c r="N2168">
        <f>IF(COUNTIFS($B$2:B2168,B2168)=1,1,0)</f>
        <v>0</v>
      </c>
    </row>
    <row r="2169" spans="1:14" x14ac:dyDescent="0.2">
      <c r="A2169">
        <v>2168</v>
      </c>
      <c r="B2169">
        <v>2092</v>
      </c>
      <c r="C2169">
        <f>1/COUNTIF(B:B,Table1[[#This Row],[order_id]])</f>
        <v>0.5</v>
      </c>
      <c r="D2169" t="str">
        <f>TEXT(Table1[[#This Row],[order_date]],"mmmm")</f>
        <v>June</v>
      </c>
      <c r="E2169" s="1">
        <v>45463</v>
      </c>
      <c r="F2169" s="1" t="str">
        <f>TEXT(Table1[[#This Row],[order_date]],"dddd")</f>
        <v>Thursday</v>
      </c>
      <c r="G2169">
        <f>HOUR(Table1[[#This Row],[order_time]])</f>
        <v>11</v>
      </c>
      <c r="H2169" s="2">
        <v>0.46944444444444444</v>
      </c>
      <c r="I2169" t="s">
        <v>9</v>
      </c>
      <c r="J2169" t="s">
        <v>22</v>
      </c>
      <c r="K2169">
        <v>5</v>
      </c>
      <c r="L2169">
        <v>15</v>
      </c>
      <c r="M2169">
        <v>75</v>
      </c>
      <c r="N2169">
        <f>IF(COUNTIFS($B$2:B2169,B2169)=1,1,0)</f>
        <v>1</v>
      </c>
    </row>
    <row r="2170" spans="1:14" x14ac:dyDescent="0.2">
      <c r="A2170">
        <v>2169</v>
      </c>
      <c r="B2170">
        <v>2092</v>
      </c>
      <c r="C2170">
        <f>1/COUNTIF(B:B,Table1[[#This Row],[order_id]])</f>
        <v>0.5</v>
      </c>
      <c r="D2170" t="str">
        <f>TEXT(Table1[[#This Row],[order_date]],"mmmm")</f>
        <v>June</v>
      </c>
      <c r="E2170" s="1">
        <v>45463</v>
      </c>
      <c r="F2170" s="1" t="str">
        <f>TEXT(Table1[[#This Row],[order_date]],"dddd")</f>
        <v>Thursday</v>
      </c>
      <c r="G2170">
        <f>HOUR(Table1[[#This Row],[order_time]])</f>
        <v>11</v>
      </c>
      <c r="H2170" s="2">
        <v>0.46438657407407408</v>
      </c>
      <c r="I2170" t="s">
        <v>18</v>
      </c>
      <c r="J2170" t="s">
        <v>26</v>
      </c>
      <c r="K2170">
        <v>5</v>
      </c>
      <c r="L2170">
        <v>55</v>
      </c>
      <c r="M2170">
        <v>275</v>
      </c>
      <c r="N2170">
        <f>IF(COUNTIFS($B$2:B2170,B2170)=1,1,0)</f>
        <v>0</v>
      </c>
    </row>
    <row r="2171" spans="1:14" x14ac:dyDescent="0.2">
      <c r="A2171">
        <v>2170</v>
      </c>
      <c r="B2171">
        <v>2093</v>
      </c>
      <c r="C2171">
        <f>1/COUNTIF(B:B,Table1[[#This Row],[order_id]])</f>
        <v>0.33333333333333331</v>
      </c>
      <c r="D2171" t="str">
        <f>TEXT(Table1[[#This Row],[order_date]],"mmmm")</f>
        <v>June</v>
      </c>
      <c r="E2171" s="1">
        <v>45463</v>
      </c>
      <c r="F2171" s="1" t="str">
        <f>TEXT(Table1[[#This Row],[order_date]],"dddd")</f>
        <v>Thursday</v>
      </c>
      <c r="G2171">
        <f>HOUR(Table1[[#This Row],[order_time]])</f>
        <v>15</v>
      </c>
      <c r="H2171" s="2">
        <v>0.63702546296296292</v>
      </c>
      <c r="I2171" t="s">
        <v>18</v>
      </c>
      <c r="J2171" t="s">
        <v>30</v>
      </c>
      <c r="K2171">
        <v>2</v>
      </c>
      <c r="L2171">
        <v>60</v>
      </c>
      <c r="M2171">
        <v>120</v>
      </c>
      <c r="N2171">
        <f>IF(COUNTIFS($B$2:B2171,B2171)=1,1,0)</f>
        <v>1</v>
      </c>
    </row>
    <row r="2172" spans="1:14" x14ac:dyDescent="0.2">
      <c r="A2172">
        <v>2171</v>
      </c>
      <c r="B2172">
        <v>2093</v>
      </c>
      <c r="C2172">
        <f>1/COUNTIF(B:B,Table1[[#This Row],[order_id]])</f>
        <v>0.33333333333333331</v>
      </c>
      <c r="D2172" t="str">
        <f>TEXT(Table1[[#This Row],[order_date]],"mmmm")</f>
        <v>June</v>
      </c>
      <c r="E2172" s="1">
        <v>45463</v>
      </c>
      <c r="F2172" s="1" t="str">
        <f>TEXT(Table1[[#This Row],[order_date]],"dddd")</f>
        <v>Thursday</v>
      </c>
      <c r="G2172">
        <f>HOUR(Table1[[#This Row],[order_time]])</f>
        <v>12</v>
      </c>
      <c r="H2172" s="2">
        <v>0.50112268518518521</v>
      </c>
      <c r="I2172" t="s">
        <v>11</v>
      </c>
      <c r="J2172" t="s">
        <v>13</v>
      </c>
      <c r="K2172">
        <v>4</v>
      </c>
      <c r="L2172">
        <v>680</v>
      </c>
      <c r="M2172">
        <v>2720</v>
      </c>
      <c r="N2172">
        <f>IF(COUNTIFS($B$2:B2172,B2172)=1,1,0)</f>
        <v>0</v>
      </c>
    </row>
    <row r="2173" spans="1:14" x14ac:dyDescent="0.2">
      <c r="A2173">
        <v>2172</v>
      </c>
      <c r="B2173">
        <v>2093</v>
      </c>
      <c r="C2173">
        <f>1/COUNTIF(B:B,Table1[[#This Row],[order_id]])</f>
        <v>0.33333333333333331</v>
      </c>
      <c r="D2173" t="str">
        <f>TEXT(Table1[[#This Row],[order_date]],"mmmm")</f>
        <v>June</v>
      </c>
      <c r="E2173" s="1">
        <v>45463</v>
      </c>
      <c r="F2173" s="1" t="str">
        <f>TEXT(Table1[[#This Row],[order_date]],"dddd")</f>
        <v>Thursday</v>
      </c>
      <c r="G2173">
        <f>HOUR(Table1[[#This Row],[order_time]])</f>
        <v>18</v>
      </c>
      <c r="H2173" s="2">
        <v>0.76429398148148153</v>
      </c>
      <c r="I2173" t="s">
        <v>9</v>
      </c>
      <c r="J2173" t="s">
        <v>20</v>
      </c>
      <c r="K2173">
        <v>4</v>
      </c>
      <c r="L2173">
        <v>25</v>
      </c>
      <c r="M2173">
        <v>100</v>
      </c>
      <c r="N2173">
        <f>IF(COUNTIFS($B$2:B2173,B2173)=1,1,0)</f>
        <v>0</v>
      </c>
    </row>
    <row r="2174" spans="1:14" x14ac:dyDescent="0.2">
      <c r="A2174">
        <v>2173</v>
      </c>
      <c r="B2174">
        <v>2094</v>
      </c>
      <c r="C2174">
        <f>1/COUNTIF(B:B,Table1[[#This Row],[order_id]])</f>
        <v>1</v>
      </c>
      <c r="D2174" t="str">
        <f>TEXT(Table1[[#This Row],[order_date]],"mmmm")</f>
        <v>June</v>
      </c>
      <c r="E2174" s="1">
        <v>45463</v>
      </c>
      <c r="F2174" s="1" t="str">
        <f>TEXT(Table1[[#This Row],[order_date]],"dddd")</f>
        <v>Thursday</v>
      </c>
      <c r="G2174">
        <f>HOUR(Table1[[#This Row],[order_time]])</f>
        <v>9</v>
      </c>
      <c r="H2174" s="2">
        <v>0.41626157407407405</v>
      </c>
      <c r="I2174" t="s">
        <v>11</v>
      </c>
      <c r="J2174" t="s">
        <v>25</v>
      </c>
      <c r="K2174">
        <v>3</v>
      </c>
      <c r="L2174">
        <v>1000</v>
      </c>
      <c r="M2174">
        <v>3000</v>
      </c>
      <c r="N2174">
        <f>IF(COUNTIFS($B$2:B2174,B2174)=1,1,0)</f>
        <v>1</v>
      </c>
    </row>
    <row r="2175" spans="1:14" x14ac:dyDescent="0.2">
      <c r="A2175">
        <v>2174</v>
      </c>
      <c r="B2175">
        <v>2095</v>
      </c>
      <c r="C2175">
        <f>1/COUNTIF(B:B,Table1[[#This Row],[order_id]])</f>
        <v>0.5</v>
      </c>
      <c r="D2175" t="str">
        <f>TEXT(Table1[[#This Row],[order_date]],"mmmm")</f>
        <v>June</v>
      </c>
      <c r="E2175" s="1">
        <v>45463</v>
      </c>
      <c r="F2175" s="1" t="str">
        <f>TEXT(Table1[[#This Row],[order_date]],"dddd")</f>
        <v>Thursday</v>
      </c>
      <c r="G2175">
        <f>HOUR(Table1[[#This Row],[order_time]])</f>
        <v>14</v>
      </c>
      <c r="H2175" s="2">
        <v>0.58635416666666662</v>
      </c>
      <c r="I2175" t="s">
        <v>11</v>
      </c>
      <c r="J2175" t="s">
        <v>14</v>
      </c>
      <c r="K2175">
        <v>4</v>
      </c>
      <c r="L2175">
        <v>700</v>
      </c>
      <c r="M2175">
        <v>2800</v>
      </c>
      <c r="N2175">
        <f>IF(COUNTIFS($B$2:B2175,B2175)=1,1,0)</f>
        <v>1</v>
      </c>
    </row>
    <row r="2176" spans="1:14" x14ac:dyDescent="0.2">
      <c r="A2176">
        <v>2175</v>
      </c>
      <c r="B2176">
        <v>2095</v>
      </c>
      <c r="C2176">
        <f>1/COUNTIF(B:B,Table1[[#This Row],[order_id]])</f>
        <v>0.5</v>
      </c>
      <c r="D2176" t="str">
        <f>TEXT(Table1[[#This Row],[order_date]],"mmmm")</f>
        <v>June</v>
      </c>
      <c r="E2176" s="1">
        <v>45463</v>
      </c>
      <c r="F2176" s="1" t="str">
        <f>TEXT(Table1[[#This Row],[order_date]],"dddd")</f>
        <v>Thursday</v>
      </c>
      <c r="G2176">
        <f>HOUR(Table1[[#This Row],[order_time]])</f>
        <v>19</v>
      </c>
      <c r="H2176" s="2">
        <v>0.81677083333333333</v>
      </c>
      <c r="I2176" t="s">
        <v>16</v>
      </c>
      <c r="J2176" t="s">
        <v>23</v>
      </c>
      <c r="K2176">
        <v>4</v>
      </c>
      <c r="L2176">
        <v>30</v>
      </c>
      <c r="M2176">
        <v>120</v>
      </c>
      <c r="N2176">
        <f>IF(COUNTIFS($B$2:B2176,B2176)=1,1,0)</f>
        <v>0</v>
      </c>
    </row>
    <row r="2177" spans="1:14" x14ac:dyDescent="0.2">
      <c r="A2177">
        <v>2176</v>
      </c>
      <c r="B2177">
        <v>2096</v>
      </c>
      <c r="C2177">
        <f>1/COUNTIF(B:B,Table1[[#This Row],[order_id]])</f>
        <v>0.33333333333333331</v>
      </c>
      <c r="D2177" t="str">
        <f>TEXT(Table1[[#This Row],[order_date]],"mmmm")</f>
        <v>June</v>
      </c>
      <c r="E2177" s="1">
        <v>45463</v>
      </c>
      <c r="F2177" s="1" t="str">
        <f>TEXT(Table1[[#This Row],[order_date]],"dddd")</f>
        <v>Thursday</v>
      </c>
      <c r="G2177">
        <f>HOUR(Table1[[#This Row],[order_time]])</f>
        <v>11</v>
      </c>
      <c r="H2177" s="2">
        <v>0.48162037037037037</v>
      </c>
      <c r="I2177" t="s">
        <v>18</v>
      </c>
      <c r="J2177" t="s">
        <v>26</v>
      </c>
      <c r="K2177">
        <v>1</v>
      </c>
      <c r="L2177">
        <v>55</v>
      </c>
      <c r="M2177">
        <v>55</v>
      </c>
      <c r="N2177">
        <f>IF(COUNTIFS($B$2:B2177,B2177)=1,1,0)</f>
        <v>1</v>
      </c>
    </row>
    <row r="2178" spans="1:14" x14ac:dyDescent="0.2">
      <c r="A2178">
        <v>2177</v>
      </c>
      <c r="B2178">
        <v>2096</v>
      </c>
      <c r="C2178">
        <f>1/COUNTIF(B:B,Table1[[#This Row],[order_id]])</f>
        <v>0.33333333333333331</v>
      </c>
      <c r="D2178" t="str">
        <f>TEXT(Table1[[#This Row],[order_date]],"mmmm")</f>
        <v>June</v>
      </c>
      <c r="E2178" s="1">
        <v>45463</v>
      </c>
      <c r="F2178" s="1" t="str">
        <f>TEXT(Table1[[#This Row],[order_date]],"dddd")</f>
        <v>Thursday</v>
      </c>
      <c r="G2178">
        <f>HOUR(Table1[[#This Row],[order_time]])</f>
        <v>19</v>
      </c>
      <c r="H2178" s="2">
        <v>0.79789351851851853</v>
      </c>
      <c r="I2178" t="s">
        <v>18</v>
      </c>
      <c r="J2178" t="s">
        <v>30</v>
      </c>
      <c r="K2178">
        <v>5</v>
      </c>
      <c r="L2178">
        <v>60</v>
      </c>
      <c r="M2178">
        <v>300</v>
      </c>
      <c r="N2178">
        <f>IF(COUNTIFS($B$2:B2178,B2178)=1,1,0)</f>
        <v>0</v>
      </c>
    </row>
    <row r="2179" spans="1:14" x14ac:dyDescent="0.2">
      <c r="A2179">
        <v>2178</v>
      </c>
      <c r="B2179">
        <v>2096</v>
      </c>
      <c r="C2179">
        <f>1/COUNTIF(B:B,Table1[[#This Row],[order_id]])</f>
        <v>0.33333333333333331</v>
      </c>
      <c r="D2179" t="str">
        <f>TEXT(Table1[[#This Row],[order_date]],"mmmm")</f>
        <v>June</v>
      </c>
      <c r="E2179" s="1">
        <v>45463</v>
      </c>
      <c r="F2179" s="1" t="str">
        <f>TEXT(Table1[[#This Row],[order_date]],"dddd")</f>
        <v>Thursday</v>
      </c>
      <c r="G2179">
        <f>HOUR(Table1[[#This Row],[order_time]])</f>
        <v>14</v>
      </c>
      <c r="H2179" s="2">
        <v>0.61731481481481476</v>
      </c>
      <c r="I2179" t="s">
        <v>11</v>
      </c>
      <c r="J2179" t="s">
        <v>14</v>
      </c>
      <c r="K2179">
        <v>3</v>
      </c>
      <c r="L2179">
        <v>700</v>
      </c>
      <c r="M2179">
        <v>2100</v>
      </c>
      <c r="N2179">
        <f>IF(COUNTIFS($B$2:B2179,B2179)=1,1,0)</f>
        <v>0</v>
      </c>
    </row>
    <row r="2180" spans="1:14" x14ac:dyDescent="0.2">
      <c r="A2180">
        <v>2179</v>
      </c>
      <c r="B2180">
        <v>2097</v>
      </c>
      <c r="C2180">
        <f>1/COUNTIF(B:B,Table1[[#This Row],[order_id]])</f>
        <v>1</v>
      </c>
      <c r="D2180" t="str">
        <f>TEXT(Table1[[#This Row],[order_date]],"mmmm")</f>
        <v>June</v>
      </c>
      <c r="E2180" s="1">
        <v>45463</v>
      </c>
      <c r="F2180" s="1" t="str">
        <f>TEXT(Table1[[#This Row],[order_date]],"dddd")</f>
        <v>Thursday</v>
      </c>
      <c r="G2180">
        <f>HOUR(Table1[[#This Row],[order_time]])</f>
        <v>18</v>
      </c>
      <c r="H2180" s="2">
        <v>0.78023148148148147</v>
      </c>
      <c r="I2180" t="s">
        <v>16</v>
      </c>
      <c r="J2180" t="s">
        <v>17</v>
      </c>
      <c r="K2180">
        <v>2</v>
      </c>
      <c r="L2180">
        <v>20</v>
      </c>
      <c r="M2180">
        <v>40</v>
      </c>
      <c r="N2180">
        <f>IF(COUNTIFS($B$2:B2180,B2180)=1,1,0)</f>
        <v>1</v>
      </c>
    </row>
    <row r="2181" spans="1:14" x14ac:dyDescent="0.2">
      <c r="A2181">
        <v>2180</v>
      </c>
      <c r="B2181">
        <v>2098</v>
      </c>
      <c r="C2181">
        <f>1/COUNTIF(B:B,Table1[[#This Row],[order_id]])</f>
        <v>1</v>
      </c>
      <c r="D2181" t="str">
        <f>TEXT(Table1[[#This Row],[order_date]],"mmmm")</f>
        <v>June</v>
      </c>
      <c r="E2181" s="1">
        <v>45463</v>
      </c>
      <c r="F2181" s="1" t="str">
        <f>TEXT(Table1[[#This Row],[order_date]],"dddd")</f>
        <v>Thursday</v>
      </c>
      <c r="G2181">
        <f>HOUR(Table1[[#This Row],[order_time]])</f>
        <v>18</v>
      </c>
      <c r="H2181" s="2">
        <v>0.78005787037037033</v>
      </c>
      <c r="I2181" t="s">
        <v>9</v>
      </c>
      <c r="J2181" t="s">
        <v>22</v>
      </c>
      <c r="K2181">
        <v>4</v>
      </c>
      <c r="L2181">
        <v>15</v>
      </c>
      <c r="M2181">
        <v>60</v>
      </c>
      <c r="N2181">
        <f>IF(COUNTIFS($B$2:B2181,B2181)=1,1,0)</f>
        <v>1</v>
      </c>
    </row>
    <row r="2182" spans="1:14" x14ac:dyDescent="0.2">
      <c r="A2182">
        <v>2181</v>
      </c>
      <c r="B2182">
        <v>2099</v>
      </c>
      <c r="C2182">
        <f>1/COUNTIF(B:B,Table1[[#This Row],[order_id]])</f>
        <v>0.5</v>
      </c>
      <c r="D2182" t="str">
        <f>TEXT(Table1[[#This Row],[order_date]],"mmmm")</f>
        <v>June</v>
      </c>
      <c r="E2182" s="1">
        <v>45463</v>
      </c>
      <c r="F2182" s="1" t="str">
        <f>TEXT(Table1[[#This Row],[order_date]],"dddd")</f>
        <v>Thursday</v>
      </c>
      <c r="G2182">
        <f>HOUR(Table1[[#This Row],[order_time]])</f>
        <v>10</v>
      </c>
      <c r="H2182" s="2">
        <v>0.41731481481481481</v>
      </c>
      <c r="I2182" t="s">
        <v>9</v>
      </c>
      <c r="J2182" t="s">
        <v>29</v>
      </c>
      <c r="K2182">
        <v>1</v>
      </c>
      <c r="L2182">
        <v>5</v>
      </c>
      <c r="M2182">
        <v>5</v>
      </c>
      <c r="N2182">
        <f>IF(COUNTIFS($B$2:B2182,B2182)=1,1,0)</f>
        <v>1</v>
      </c>
    </row>
    <row r="2183" spans="1:14" x14ac:dyDescent="0.2">
      <c r="A2183">
        <v>2182</v>
      </c>
      <c r="B2183">
        <v>2099</v>
      </c>
      <c r="C2183">
        <f>1/COUNTIF(B:B,Table1[[#This Row],[order_id]])</f>
        <v>0.5</v>
      </c>
      <c r="D2183" t="str">
        <f>TEXT(Table1[[#This Row],[order_date]],"mmmm")</f>
        <v>June</v>
      </c>
      <c r="E2183" s="1">
        <v>45463</v>
      </c>
      <c r="F2183" s="1" t="str">
        <f>TEXT(Table1[[#This Row],[order_date]],"dddd")</f>
        <v>Thursday</v>
      </c>
      <c r="G2183">
        <f>HOUR(Table1[[#This Row],[order_time]])</f>
        <v>18</v>
      </c>
      <c r="H2183" s="2">
        <v>0.79131944444444446</v>
      </c>
      <c r="I2183" t="s">
        <v>11</v>
      </c>
      <c r="J2183" t="s">
        <v>13</v>
      </c>
      <c r="K2183">
        <v>5</v>
      </c>
      <c r="L2183">
        <v>680</v>
      </c>
      <c r="M2183">
        <v>3400</v>
      </c>
      <c r="N2183">
        <f>IF(COUNTIFS($B$2:B2183,B2183)=1,1,0)</f>
        <v>0</v>
      </c>
    </row>
    <row r="2184" spans="1:14" x14ac:dyDescent="0.2">
      <c r="A2184">
        <v>2183</v>
      </c>
      <c r="B2184">
        <v>2100</v>
      </c>
      <c r="C2184">
        <f>1/COUNTIF(B:B,Table1[[#This Row],[order_id]])</f>
        <v>0.33333333333333331</v>
      </c>
      <c r="D2184" t="str">
        <f>TEXT(Table1[[#This Row],[order_date]],"mmmm")</f>
        <v>June</v>
      </c>
      <c r="E2184" s="1">
        <v>45464</v>
      </c>
      <c r="F2184" s="1" t="str">
        <f>TEXT(Table1[[#This Row],[order_date]],"dddd")</f>
        <v>Friday</v>
      </c>
      <c r="G2184">
        <f>HOUR(Table1[[#This Row],[order_time]])</f>
        <v>13</v>
      </c>
      <c r="H2184" s="2">
        <v>0.5819212962962963</v>
      </c>
      <c r="I2184" t="s">
        <v>9</v>
      </c>
      <c r="J2184" t="s">
        <v>22</v>
      </c>
      <c r="K2184">
        <v>4</v>
      </c>
      <c r="L2184">
        <v>15</v>
      </c>
      <c r="M2184">
        <v>60</v>
      </c>
      <c r="N2184">
        <f>IF(COUNTIFS($B$2:B2184,B2184)=1,1,0)</f>
        <v>1</v>
      </c>
    </row>
    <row r="2185" spans="1:14" x14ac:dyDescent="0.2">
      <c r="A2185">
        <v>2184</v>
      </c>
      <c r="B2185">
        <v>2100</v>
      </c>
      <c r="C2185">
        <f>1/COUNTIF(B:B,Table1[[#This Row],[order_id]])</f>
        <v>0.33333333333333331</v>
      </c>
      <c r="D2185" t="str">
        <f>TEXT(Table1[[#This Row],[order_date]],"mmmm")</f>
        <v>June</v>
      </c>
      <c r="E2185" s="1">
        <v>45464</v>
      </c>
      <c r="F2185" s="1" t="str">
        <f>TEXT(Table1[[#This Row],[order_date]],"dddd")</f>
        <v>Friday</v>
      </c>
      <c r="G2185">
        <f>HOUR(Table1[[#This Row],[order_time]])</f>
        <v>11</v>
      </c>
      <c r="H2185" s="2">
        <v>0.48760416666666667</v>
      </c>
      <c r="I2185" t="s">
        <v>16</v>
      </c>
      <c r="J2185" t="s">
        <v>17</v>
      </c>
      <c r="K2185">
        <v>3</v>
      </c>
      <c r="L2185">
        <v>20</v>
      </c>
      <c r="M2185">
        <v>60</v>
      </c>
      <c r="N2185">
        <f>IF(COUNTIFS($B$2:B2185,B2185)=1,1,0)</f>
        <v>0</v>
      </c>
    </row>
    <row r="2186" spans="1:14" x14ac:dyDescent="0.2">
      <c r="A2186">
        <v>2185</v>
      </c>
      <c r="B2186">
        <v>2100</v>
      </c>
      <c r="C2186">
        <f>1/COUNTIF(B:B,Table1[[#This Row],[order_id]])</f>
        <v>0.33333333333333331</v>
      </c>
      <c r="D2186" t="str">
        <f>TEXT(Table1[[#This Row],[order_date]],"mmmm")</f>
        <v>June</v>
      </c>
      <c r="E2186" s="1">
        <v>45464</v>
      </c>
      <c r="F2186" s="1" t="str">
        <f>TEXT(Table1[[#This Row],[order_date]],"dddd")</f>
        <v>Friday</v>
      </c>
      <c r="G2186">
        <f>HOUR(Table1[[#This Row],[order_time]])</f>
        <v>15</v>
      </c>
      <c r="H2186" s="2">
        <v>0.66230324074074076</v>
      </c>
      <c r="I2186" t="s">
        <v>9</v>
      </c>
      <c r="J2186" t="s">
        <v>20</v>
      </c>
      <c r="K2186">
        <v>5</v>
      </c>
      <c r="L2186">
        <v>25</v>
      </c>
      <c r="M2186">
        <v>125</v>
      </c>
      <c r="N2186">
        <f>IF(COUNTIFS($B$2:B2186,B2186)=1,1,0)</f>
        <v>0</v>
      </c>
    </row>
    <row r="2187" spans="1:14" x14ac:dyDescent="0.2">
      <c r="A2187">
        <v>2186</v>
      </c>
      <c r="B2187">
        <v>2101</v>
      </c>
      <c r="C2187">
        <f>1/COUNTIF(B:B,Table1[[#This Row],[order_id]])</f>
        <v>0.33333333333333331</v>
      </c>
      <c r="D2187" t="str">
        <f>TEXT(Table1[[#This Row],[order_date]],"mmmm")</f>
        <v>June</v>
      </c>
      <c r="E2187" s="1">
        <v>45464</v>
      </c>
      <c r="F2187" s="1" t="str">
        <f>TEXT(Table1[[#This Row],[order_date]],"dddd")</f>
        <v>Friday</v>
      </c>
      <c r="G2187">
        <f>HOUR(Table1[[#This Row],[order_time]])</f>
        <v>18</v>
      </c>
      <c r="H2187" s="2">
        <v>0.77195601851851847</v>
      </c>
      <c r="I2187" t="s">
        <v>18</v>
      </c>
      <c r="J2187" t="s">
        <v>31</v>
      </c>
      <c r="K2187">
        <v>4</v>
      </c>
      <c r="L2187">
        <v>45</v>
      </c>
      <c r="M2187">
        <v>180</v>
      </c>
      <c r="N2187">
        <f>IF(COUNTIFS($B$2:B2187,B2187)=1,1,0)</f>
        <v>1</v>
      </c>
    </row>
    <row r="2188" spans="1:14" x14ac:dyDescent="0.2">
      <c r="A2188">
        <v>2187</v>
      </c>
      <c r="B2188">
        <v>2101</v>
      </c>
      <c r="C2188">
        <f>1/COUNTIF(B:B,Table1[[#This Row],[order_id]])</f>
        <v>0.33333333333333331</v>
      </c>
      <c r="D2188" t="str">
        <f>TEXT(Table1[[#This Row],[order_date]],"mmmm")</f>
        <v>June</v>
      </c>
      <c r="E2188" s="1">
        <v>45464</v>
      </c>
      <c r="F2188" s="1" t="str">
        <f>TEXT(Table1[[#This Row],[order_date]],"dddd")</f>
        <v>Friday</v>
      </c>
      <c r="G2188">
        <f>HOUR(Table1[[#This Row],[order_time]])</f>
        <v>17</v>
      </c>
      <c r="H2188" s="2">
        <v>0.74721064814814819</v>
      </c>
      <c r="I2188" t="s">
        <v>16</v>
      </c>
      <c r="J2188" t="s">
        <v>28</v>
      </c>
      <c r="K2188">
        <v>3</v>
      </c>
      <c r="L2188">
        <v>25</v>
      </c>
      <c r="M2188">
        <v>75</v>
      </c>
      <c r="N2188">
        <f>IF(COUNTIFS($B$2:B2188,B2188)=1,1,0)</f>
        <v>0</v>
      </c>
    </row>
    <row r="2189" spans="1:14" x14ac:dyDescent="0.2">
      <c r="A2189">
        <v>2188</v>
      </c>
      <c r="B2189">
        <v>2101</v>
      </c>
      <c r="C2189">
        <f>1/COUNTIF(B:B,Table1[[#This Row],[order_id]])</f>
        <v>0.33333333333333331</v>
      </c>
      <c r="D2189" t="str">
        <f>TEXT(Table1[[#This Row],[order_date]],"mmmm")</f>
        <v>June</v>
      </c>
      <c r="E2189" s="1">
        <v>45464</v>
      </c>
      <c r="F2189" s="1" t="str">
        <f>TEXT(Table1[[#This Row],[order_date]],"dddd")</f>
        <v>Friday</v>
      </c>
      <c r="G2189">
        <f>HOUR(Table1[[#This Row],[order_time]])</f>
        <v>12</v>
      </c>
      <c r="H2189" s="2">
        <v>0.53776620370370365</v>
      </c>
      <c r="I2189" t="s">
        <v>11</v>
      </c>
      <c r="J2189" t="s">
        <v>25</v>
      </c>
      <c r="K2189">
        <v>4</v>
      </c>
      <c r="L2189">
        <v>1000</v>
      </c>
      <c r="M2189">
        <v>4000</v>
      </c>
      <c r="N2189">
        <f>IF(COUNTIFS($B$2:B2189,B2189)=1,1,0)</f>
        <v>0</v>
      </c>
    </row>
    <row r="2190" spans="1:14" x14ac:dyDescent="0.2">
      <c r="A2190">
        <v>2189</v>
      </c>
      <c r="B2190">
        <v>2102</v>
      </c>
      <c r="C2190">
        <f>1/COUNTIF(B:B,Table1[[#This Row],[order_id]])</f>
        <v>0.5</v>
      </c>
      <c r="D2190" t="str">
        <f>TEXT(Table1[[#This Row],[order_date]],"mmmm")</f>
        <v>June</v>
      </c>
      <c r="E2190" s="1">
        <v>45464</v>
      </c>
      <c r="F2190" s="1" t="str">
        <f>TEXT(Table1[[#This Row],[order_date]],"dddd")</f>
        <v>Friday</v>
      </c>
      <c r="G2190">
        <f>HOUR(Table1[[#This Row],[order_time]])</f>
        <v>20</v>
      </c>
      <c r="H2190" s="2">
        <v>0.83703703703703702</v>
      </c>
      <c r="I2190" t="s">
        <v>18</v>
      </c>
      <c r="J2190" t="s">
        <v>19</v>
      </c>
      <c r="K2190">
        <v>2</v>
      </c>
      <c r="L2190">
        <v>50</v>
      </c>
      <c r="M2190">
        <v>100</v>
      </c>
      <c r="N2190">
        <f>IF(COUNTIFS($B$2:B2190,B2190)=1,1,0)</f>
        <v>1</v>
      </c>
    </row>
    <row r="2191" spans="1:14" x14ac:dyDescent="0.2">
      <c r="A2191">
        <v>2190</v>
      </c>
      <c r="B2191">
        <v>2102</v>
      </c>
      <c r="C2191">
        <f>1/COUNTIF(B:B,Table1[[#This Row],[order_id]])</f>
        <v>0.5</v>
      </c>
      <c r="D2191" t="str">
        <f>TEXT(Table1[[#This Row],[order_date]],"mmmm")</f>
        <v>June</v>
      </c>
      <c r="E2191" s="1">
        <v>45464</v>
      </c>
      <c r="F2191" s="1" t="str">
        <f>TEXT(Table1[[#This Row],[order_date]],"dddd")</f>
        <v>Friday</v>
      </c>
      <c r="G2191">
        <f>HOUR(Table1[[#This Row],[order_time]])</f>
        <v>14</v>
      </c>
      <c r="H2191" s="2">
        <v>0.61422453703703705</v>
      </c>
      <c r="I2191" t="s">
        <v>18</v>
      </c>
      <c r="J2191" t="s">
        <v>27</v>
      </c>
      <c r="K2191">
        <v>1</v>
      </c>
      <c r="L2191">
        <v>40</v>
      </c>
      <c r="M2191">
        <v>40</v>
      </c>
      <c r="N2191">
        <f>IF(COUNTIFS($B$2:B2191,B2191)=1,1,0)</f>
        <v>0</v>
      </c>
    </row>
    <row r="2192" spans="1:14" x14ac:dyDescent="0.2">
      <c r="A2192">
        <v>2191</v>
      </c>
      <c r="B2192">
        <v>2103</v>
      </c>
      <c r="C2192">
        <f>1/COUNTIF(B:B,Table1[[#This Row],[order_id]])</f>
        <v>0.33333333333333331</v>
      </c>
      <c r="D2192" t="str">
        <f>TEXT(Table1[[#This Row],[order_date]],"mmmm")</f>
        <v>June</v>
      </c>
      <c r="E2192" s="1">
        <v>45464</v>
      </c>
      <c r="F2192" s="1" t="str">
        <f>TEXT(Table1[[#This Row],[order_date]],"dddd")</f>
        <v>Friday</v>
      </c>
      <c r="G2192">
        <f>HOUR(Table1[[#This Row],[order_time]])</f>
        <v>14</v>
      </c>
      <c r="H2192" s="2">
        <v>0.60370370370370374</v>
      </c>
      <c r="I2192" t="s">
        <v>11</v>
      </c>
      <c r="J2192" t="s">
        <v>25</v>
      </c>
      <c r="K2192">
        <v>1</v>
      </c>
      <c r="L2192">
        <v>1000</v>
      </c>
      <c r="M2192">
        <v>1000</v>
      </c>
      <c r="N2192">
        <f>IF(COUNTIFS($B$2:B2192,B2192)=1,1,0)</f>
        <v>1</v>
      </c>
    </row>
    <row r="2193" spans="1:14" x14ac:dyDescent="0.2">
      <c r="A2193">
        <v>2192</v>
      </c>
      <c r="B2193">
        <v>2103</v>
      </c>
      <c r="C2193">
        <f>1/COUNTIF(B:B,Table1[[#This Row],[order_id]])</f>
        <v>0.33333333333333331</v>
      </c>
      <c r="D2193" t="str">
        <f>TEXT(Table1[[#This Row],[order_date]],"mmmm")</f>
        <v>June</v>
      </c>
      <c r="E2193" s="1">
        <v>45464</v>
      </c>
      <c r="F2193" s="1" t="str">
        <f>TEXT(Table1[[#This Row],[order_date]],"dddd")</f>
        <v>Friday</v>
      </c>
      <c r="G2193">
        <f>HOUR(Table1[[#This Row],[order_time]])</f>
        <v>10</v>
      </c>
      <c r="H2193" s="2">
        <v>0.44957175925925924</v>
      </c>
      <c r="I2193" t="s">
        <v>9</v>
      </c>
      <c r="J2193" t="s">
        <v>29</v>
      </c>
      <c r="K2193">
        <v>1</v>
      </c>
      <c r="L2193">
        <v>5</v>
      </c>
      <c r="M2193">
        <v>5</v>
      </c>
      <c r="N2193">
        <f>IF(COUNTIFS($B$2:B2193,B2193)=1,1,0)</f>
        <v>0</v>
      </c>
    </row>
    <row r="2194" spans="1:14" x14ac:dyDescent="0.2">
      <c r="A2194">
        <v>2193</v>
      </c>
      <c r="B2194">
        <v>2103</v>
      </c>
      <c r="C2194">
        <f>1/COUNTIF(B:B,Table1[[#This Row],[order_id]])</f>
        <v>0.33333333333333331</v>
      </c>
      <c r="D2194" t="str">
        <f>TEXT(Table1[[#This Row],[order_date]],"mmmm")</f>
        <v>June</v>
      </c>
      <c r="E2194" s="1">
        <v>45464</v>
      </c>
      <c r="F2194" s="1" t="str">
        <f>TEXT(Table1[[#This Row],[order_date]],"dddd")</f>
        <v>Friday</v>
      </c>
      <c r="G2194">
        <f>HOUR(Table1[[#This Row],[order_time]])</f>
        <v>14</v>
      </c>
      <c r="H2194" s="2">
        <v>0.5862384259259259</v>
      </c>
      <c r="I2194" t="s">
        <v>11</v>
      </c>
      <c r="J2194" t="s">
        <v>14</v>
      </c>
      <c r="K2194">
        <v>4</v>
      </c>
      <c r="L2194">
        <v>700</v>
      </c>
      <c r="M2194">
        <v>2800</v>
      </c>
      <c r="N2194">
        <f>IF(COUNTIFS($B$2:B2194,B2194)=1,1,0)</f>
        <v>0</v>
      </c>
    </row>
    <row r="2195" spans="1:14" x14ac:dyDescent="0.2">
      <c r="A2195">
        <v>2194</v>
      </c>
      <c r="B2195">
        <v>2104</v>
      </c>
      <c r="C2195">
        <f>1/COUNTIF(B:B,Table1[[#This Row],[order_id]])</f>
        <v>0.5</v>
      </c>
      <c r="D2195" t="str">
        <f>TEXT(Table1[[#This Row],[order_date]],"mmmm")</f>
        <v>June</v>
      </c>
      <c r="E2195" s="1">
        <v>45464</v>
      </c>
      <c r="F2195" s="1" t="str">
        <f>TEXT(Table1[[#This Row],[order_date]],"dddd")</f>
        <v>Friday</v>
      </c>
      <c r="G2195">
        <f>HOUR(Table1[[#This Row],[order_time]])</f>
        <v>16</v>
      </c>
      <c r="H2195" s="2">
        <v>0.69694444444444448</v>
      </c>
      <c r="I2195" t="s">
        <v>11</v>
      </c>
      <c r="J2195" t="s">
        <v>13</v>
      </c>
      <c r="K2195">
        <v>2</v>
      </c>
      <c r="L2195">
        <v>680</v>
      </c>
      <c r="M2195">
        <v>1360</v>
      </c>
      <c r="N2195">
        <f>IF(COUNTIFS($B$2:B2195,B2195)=1,1,0)</f>
        <v>1</v>
      </c>
    </row>
    <row r="2196" spans="1:14" x14ac:dyDescent="0.2">
      <c r="A2196">
        <v>2195</v>
      </c>
      <c r="B2196">
        <v>2104</v>
      </c>
      <c r="C2196">
        <f>1/COUNTIF(B:B,Table1[[#This Row],[order_id]])</f>
        <v>0.5</v>
      </c>
      <c r="D2196" t="str">
        <f>TEXT(Table1[[#This Row],[order_date]],"mmmm")</f>
        <v>June</v>
      </c>
      <c r="E2196" s="1">
        <v>45464</v>
      </c>
      <c r="F2196" s="1" t="str">
        <f>TEXT(Table1[[#This Row],[order_date]],"dddd")</f>
        <v>Friday</v>
      </c>
      <c r="G2196">
        <f>HOUR(Table1[[#This Row],[order_time]])</f>
        <v>20</v>
      </c>
      <c r="H2196" s="2">
        <v>0.83552083333333338</v>
      </c>
      <c r="I2196" t="s">
        <v>11</v>
      </c>
      <c r="J2196" t="s">
        <v>25</v>
      </c>
      <c r="K2196">
        <v>1</v>
      </c>
      <c r="L2196">
        <v>1000</v>
      </c>
      <c r="M2196">
        <v>1000</v>
      </c>
      <c r="N2196">
        <f>IF(COUNTIFS($B$2:B2196,B2196)=1,1,0)</f>
        <v>0</v>
      </c>
    </row>
    <row r="2197" spans="1:14" x14ac:dyDescent="0.2">
      <c r="A2197">
        <v>2196</v>
      </c>
      <c r="B2197">
        <v>2105</v>
      </c>
      <c r="C2197">
        <f>1/COUNTIF(B:B,Table1[[#This Row],[order_id]])</f>
        <v>1</v>
      </c>
      <c r="D2197" t="str">
        <f>TEXT(Table1[[#This Row],[order_date]],"mmmm")</f>
        <v>June</v>
      </c>
      <c r="E2197" s="1">
        <v>45464</v>
      </c>
      <c r="F2197" s="1" t="str">
        <f>TEXT(Table1[[#This Row],[order_date]],"dddd")</f>
        <v>Friday</v>
      </c>
      <c r="G2197">
        <f>HOUR(Table1[[#This Row],[order_time]])</f>
        <v>16</v>
      </c>
      <c r="H2197" s="2">
        <v>0.70464120370370376</v>
      </c>
      <c r="I2197" t="s">
        <v>18</v>
      </c>
      <c r="J2197" t="s">
        <v>19</v>
      </c>
      <c r="K2197">
        <v>5</v>
      </c>
      <c r="L2197">
        <v>50</v>
      </c>
      <c r="M2197">
        <v>250</v>
      </c>
      <c r="N2197">
        <f>IF(COUNTIFS($B$2:B2197,B2197)=1,1,0)</f>
        <v>1</v>
      </c>
    </row>
    <row r="2198" spans="1:14" x14ac:dyDescent="0.2">
      <c r="A2198">
        <v>2197</v>
      </c>
      <c r="B2198">
        <v>2106</v>
      </c>
      <c r="C2198">
        <f>1/COUNTIF(B:B,Table1[[#This Row],[order_id]])</f>
        <v>1</v>
      </c>
      <c r="D2198" t="str">
        <f>TEXT(Table1[[#This Row],[order_date]],"mmmm")</f>
        <v>June</v>
      </c>
      <c r="E2198" s="1">
        <v>45464</v>
      </c>
      <c r="F2198" s="1" t="str">
        <f>TEXT(Table1[[#This Row],[order_date]],"dddd")</f>
        <v>Friday</v>
      </c>
      <c r="G2198">
        <f>HOUR(Table1[[#This Row],[order_time]])</f>
        <v>16</v>
      </c>
      <c r="H2198" s="2">
        <v>0.69011574074074078</v>
      </c>
      <c r="I2198" t="s">
        <v>16</v>
      </c>
      <c r="J2198" t="s">
        <v>24</v>
      </c>
      <c r="K2198">
        <v>1</v>
      </c>
      <c r="L2198">
        <v>35</v>
      </c>
      <c r="M2198">
        <v>35</v>
      </c>
      <c r="N2198">
        <f>IF(COUNTIFS($B$2:B2198,B2198)=1,1,0)</f>
        <v>1</v>
      </c>
    </row>
    <row r="2199" spans="1:14" x14ac:dyDescent="0.2">
      <c r="A2199">
        <v>2198</v>
      </c>
      <c r="B2199">
        <v>2107</v>
      </c>
      <c r="C2199">
        <f>1/COUNTIF(B:B,Table1[[#This Row],[order_id]])</f>
        <v>1</v>
      </c>
      <c r="D2199" t="str">
        <f>TEXT(Table1[[#This Row],[order_date]],"mmmm")</f>
        <v>June</v>
      </c>
      <c r="E2199" s="1">
        <v>45464</v>
      </c>
      <c r="F2199" s="1" t="str">
        <f>TEXT(Table1[[#This Row],[order_date]],"dddd")</f>
        <v>Friday</v>
      </c>
      <c r="G2199">
        <f>HOUR(Table1[[#This Row],[order_time]])</f>
        <v>19</v>
      </c>
      <c r="H2199" s="2">
        <v>0.79418981481481477</v>
      </c>
      <c r="I2199" t="s">
        <v>18</v>
      </c>
      <c r="J2199" t="s">
        <v>19</v>
      </c>
      <c r="K2199">
        <v>3</v>
      </c>
      <c r="L2199">
        <v>50</v>
      </c>
      <c r="M2199">
        <v>150</v>
      </c>
      <c r="N2199">
        <f>IF(COUNTIFS($B$2:B2199,B2199)=1,1,0)</f>
        <v>1</v>
      </c>
    </row>
    <row r="2200" spans="1:14" x14ac:dyDescent="0.2">
      <c r="A2200">
        <v>2199</v>
      </c>
      <c r="B2200">
        <v>2108</v>
      </c>
      <c r="C2200">
        <f>1/COUNTIF(B:B,Table1[[#This Row],[order_id]])</f>
        <v>0.33333333333333331</v>
      </c>
      <c r="D2200" t="str">
        <f>TEXT(Table1[[#This Row],[order_date]],"mmmm")</f>
        <v>June</v>
      </c>
      <c r="E2200" s="1">
        <v>45464</v>
      </c>
      <c r="F2200" s="1" t="str">
        <f>TEXT(Table1[[#This Row],[order_date]],"dddd")</f>
        <v>Friday</v>
      </c>
      <c r="G2200">
        <f>HOUR(Table1[[#This Row],[order_time]])</f>
        <v>16</v>
      </c>
      <c r="H2200" s="2">
        <v>0.67650462962962965</v>
      </c>
      <c r="I2200" t="s">
        <v>9</v>
      </c>
      <c r="J2200" t="s">
        <v>10</v>
      </c>
      <c r="K2200">
        <v>3</v>
      </c>
      <c r="L2200">
        <v>20</v>
      </c>
      <c r="M2200">
        <v>60</v>
      </c>
      <c r="N2200">
        <f>IF(COUNTIFS($B$2:B2200,B2200)=1,1,0)</f>
        <v>1</v>
      </c>
    </row>
    <row r="2201" spans="1:14" x14ac:dyDescent="0.2">
      <c r="A2201">
        <v>2200</v>
      </c>
      <c r="B2201">
        <v>2108</v>
      </c>
      <c r="C2201">
        <f>1/COUNTIF(B:B,Table1[[#This Row],[order_id]])</f>
        <v>0.33333333333333331</v>
      </c>
      <c r="D2201" t="str">
        <f>TEXT(Table1[[#This Row],[order_date]],"mmmm")</f>
        <v>June</v>
      </c>
      <c r="E2201" s="1">
        <v>45464</v>
      </c>
      <c r="F2201" s="1" t="str">
        <f>TEXT(Table1[[#This Row],[order_date]],"dddd")</f>
        <v>Friday</v>
      </c>
      <c r="G2201">
        <f>HOUR(Table1[[#This Row],[order_time]])</f>
        <v>12</v>
      </c>
      <c r="H2201" s="2">
        <v>0.5306481481481482</v>
      </c>
      <c r="I2201" t="s">
        <v>18</v>
      </c>
      <c r="J2201" t="s">
        <v>19</v>
      </c>
      <c r="K2201">
        <v>2</v>
      </c>
      <c r="L2201">
        <v>50</v>
      </c>
      <c r="M2201">
        <v>100</v>
      </c>
      <c r="N2201">
        <f>IF(COUNTIFS($B$2:B2201,B2201)=1,1,0)</f>
        <v>0</v>
      </c>
    </row>
    <row r="2202" spans="1:14" x14ac:dyDescent="0.2">
      <c r="A2202">
        <v>2201</v>
      </c>
      <c r="B2202">
        <v>2108</v>
      </c>
      <c r="C2202">
        <f>1/COUNTIF(B:B,Table1[[#This Row],[order_id]])</f>
        <v>0.33333333333333331</v>
      </c>
      <c r="D2202" t="str">
        <f>TEXT(Table1[[#This Row],[order_date]],"mmmm")</f>
        <v>June</v>
      </c>
      <c r="E2202" s="1">
        <v>45464</v>
      </c>
      <c r="F2202" s="1" t="str">
        <f>TEXT(Table1[[#This Row],[order_date]],"dddd")</f>
        <v>Friday</v>
      </c>
      <c r="G2202">
        <f>HOUR(Table1[[#This Row],[order_time]])</f>
        <v>16</v>
      </c>
      <c r="H2202" s="2">
        <v>0.70650462962962968</v>
      </c>
      <c r="I2202" t="s">
        <v>16</v>
      </c>
      <c r="J2202" t="s">
        <v>23</v>
      </c>
      <c r="K2202">
        <v>1</v>
      </c>
      <c r="L2202">
        <v>30</v>
      </c>
      <c r="M2202">
        <v>30</v>
      </c>
      <c r="N2202">
        <f>IF(COUNTIFS($B$2:B2202,B2202)=1,1,0)</f>
        <v>0</v>
      </c>
    </row>
    <row r="2203" spans="1:14" x14ac:dyDescent="0.2">
      <c r="A2203">
        <v>2202</v>
      </c>
      <c r="B2203">
        <v>2109</v>
      </c>
      <c r="C2203">
        <f>1/COUNTIF(B:B,Table1[[#This Row],[order_id]])</f>
        <v>0.5</v>
      </c>
      <c r="D2203" t="str">
        <f>TEXT(Table1[[#This Row],[order_date]],"mmmm")</f>
        <v>June</v>
      </c>
      <c r="E2203" s="1">
        <v>45464</v>
      </c>
      <c r="F2203" s="1" t="str">
        <f>TEXT(Table1[[#This Row],[order_date]],"dddd")</f>
        <v>Friday</v>
      </c>
      <c r="G2203">
        <f>HOUR(Table1[[#This Row],[order_time]])</f>
        <v>20</v>
      </c>
      <c r="H2203" s="2">
        <v>0.86496527777777776</v>
      </c>
      <c r="I2203" t="s">
        <v>18</v>
      </c>
      <c r="J2203" t="s">
        <v>27</v>
      </c>
      <c r="K2203">
        <v>5</v>
      </c>
      <c r="L2203">
        <v>40</v>
      </c>
      <c r="M2203">
        <v>200</v>
      </c>
      <c r="N2203">
        <f>IF(COUNTIFS($B$2:B2203,B2203)=1,1,0)</f>
        <v>1</v>
      </c>
    </row>
    <row r="2204" spans="1:14" x14ac:dyDescent="0.2">
      <c r="A2204">
        <v>2203</v>
      </c>
      <c r="B2204">
        <v>2109</v>
      </c>
      <c r="C2204">
        <f>1/COUNTIF(B:B,Table1[[#This Row],[order_id]])</f>
        <v>0.5</v>
      </c>
      <c r="D2204" t="str">
        <f>TEXT(Table1[[#This Row],[order_date]],"mmmm")</f>
        <v>June</v>
      </c>
      <c r="E2204" s="1">
        <v>45464</v>
      </c>
      <c r="F2204" s="1" t="str">
        <f>TEXT(Table1[[#This Row],[order_date]],"dddd")</f>
        <v>Friday</v>
      </c>
      <c r="G2204">
        <f>HOUR(Table1[[#This Row],[order_time]])</f>
        <v>18</v>
      </c>
      <c r="H2204" s="2">
        <v>0.77560185185185182</v>
      </c>
      <c r="I2204" t="s">
        <v>18</v>
      </c>
      <c r="J2204" t="s">
        <v>19</v>
      </c>
      <c r="K2204">
        <v>1</v>
      </c>
      <c r="L2204">
        <v>50</v>
      </c>
      <c r="M2204">
        <v>50</v>
      </c>
      <c r="N2204">
        <f>IF(COUNTIFS($B$2:B2204,B2204)=1,1,0)</f>
        <v>0</v>
      </c>
    </row>
    <row r="2205" spans="1:14" x14ac:dyDescent="0.2">
      <c r="A2205">
        <v>2204</v>
      </c>
      <c r="B2205">
        <v>2110</v>
      </c>
      <c r="C2205">
        <f>1/COUNTIF(B:B,Table1[[#This Row],[order_id]])</f>
        <v>1</v>
      </c>
      <c r="D2205" t="str">
        <f>TEXT(Table1[[#This Row],[order_date]],"mmmm")</f>
        <v>June</v>
      </c>
      <c r="E2205" s="1">
        <v>45465</v>
      </c>
      <c r="F2205" s="1" t="str">
        <f>TEXT(Table1[[#This Row],[order_date]],"dddd")</f>
        <v>Saturday</v>
      </c>
      <c r="G2205">
        <f>HOUR(Table1[[#This Row],[order_time]])</f>
        <v>13</v>
      </c>
      <c r="H2205" s="2">
        <v>0.56611111111111112</v>
      </c>
      <c r="I2205" t="s">
        <v>11</v>
      </c>
      <c r="J2205" t="s">
        <v>12</v>
      </c>
      <c r="K2205">
        <v>2</v>
      </c>
      <c r="L2205">
        <v>650</v>
      </c>
      <c r="M2205">
        <v>1300</v>
      </c>
      <c r="N2205">
        <f>IF(COUNTIFS($B$2:B2205,B2205)=1,1,0)</f>
        <v>1</v>
      </c>
    </row>
    <row r="2206" spans="1:14" x14ac:dyDescent="0.2">
      <c r="A2206">
        <v>2205</v>
      </c>
      <c r="B2206">
        <v>2111</v>
      </c>
      <c r="C2206">
        <f>1/COUNTIF(B:B,Table1[[#This Row],[order_id]])</f>
        <v>0.33333333333333331</v>
      </c>
      <c r="D2206" t="str">
        <f>TEXT(Table1[[#This Row],[order_date]],"mmmm")</f>
        <v>June</v>
      </c>
      <c r="E2206" s="1">
        <v>45465</v>
      </c>
      <c r="F2206" s="1" t="str">
        <f>TEXT(Table1[[#This Row],[order_date]],"dddd")</f>
        <v>Saturday</v>
      </c>
      <c r="G2206">
        <f>HOUR(Table1[[#This Row],[order_time]])</f>
        <v>20</v>
      </c>
      <c r="H2206" s="2">
        <v>0.85644675925925928</v>
      </c>
      <c r="I2206" t="s">
        <v>9</v>
      </c>
      <c r="J2206" t="s">
        <v>20</v>
      </c>
      <c r="K2206">
        <v>1</v>
      </c>
      <c r="L2206">
        <v>25</v>
      </c>
      <c r="M2206">
        <v>25</v>
      </c>
      <c r="N2206">
        <f>IF(COUNTIFS($B$2:B2206,B2206)=1,1,0)</f>
        <v>1</v>
      </c>
    </row>
    <row r="2207" spans="1:14" x14ac:dyDescent="0.2">
      <c r="A2207">
        <v>2206</v>
      </c>
      <c r="B2207">
        <v>2111</v>
      </c>
      <c r="C2207">
        <f>1/COUNTIF(B:B,Table1[[#This Row],[order_id]])</f>
        <v>0.33333333333333331</v>
      </c>
      <c r="D2207" t="str">
        <f>TEXT(Table1[[#This Row],[order_date]],"mmmm")</f>
        <v>June</v>
      </c>
      <c r="E2207" s="1">
        <v>45465</v>
      </c>
      <c r="F2207" s="1" t="str">
        <f>TEXT(Table1[[#This Row],[order_date]],"dddd")</f>
        <v>Saturday</v>
      </c>
      <c r="G2207">
        <f>HOUR(Table1[[#This Row],[order_time]])</f>
        <v>11</v>
      </c>
      <c r="H2207" s="2">
        <v>0.47814814814814816</v>
      </c>
      <c r="I2207" t="s">
        <v>11</v>
      </c>
      <c r="J2207" t="s">
        <v>13</v>
      </c>
      <c r="K2207">
        <v>4</v>
      </c>
      <c r="L2207">
        <v>680</v>
      </c>
      <c r="M2207">
        <v>2720</v>
      </c>
      <c r="N2207">
        <f>IF(COUNTIFS($B$2:B2207,B2207)=1,1,0)</f>
        <v>0</v>
      </c>
    </row>
    <row r="2208" spans="1:14" x14ac:dyDescent="0.2">
      <c r="A2208">
        <v>2207</v>
      </c>
      <c r="B2208">
        <v>2111</v>
      </c>
      <c r="C2208">
        <f>1/COUNTIF(B:B,Table1[[#This Row],[order_id]])</f>
        <v>0.33333333333333331</v>
      </c>
      <c r="D2208" t="str">
        <f>TEXT(Table1[[#This Row],[order_date]],"mmmm")</f>
        <v>June</v>
      </c>
      <c r="E2208" s="1">
        <v>45465</v>
      </c>
      <c r="F2208" s="1" t="str">
        <f>TEXT(Table1[[#This Row],[order_date]],"dddd")</f>
        <v>Saturday</v>
      </c>
      <c r="G2208">
        <f>HOUR(Table1[[#This Row],[order_time]])</f>
        <v>9</v>
      </c>
      <c r="H2208" s="2">
        <v>0.3810763888888889</v>
      </c>
      <c r="I2208" t="s">
        <v>11</v>
      </c>
      <c r="J2208" t="s">
        <v>13</v>
      </c>
      <c r="K2208">
        <v>2</v>
      </c>
      <c r="L2208">
        <v>680</v>
      </c>
      <c r="M2208">
        <v>1360</v>
      </c>
      <c r="N2208">
        <f>IF(COUNTIFS($B$2:B2208,B2208)=1,1,0)</f>
        <v>0</v>
      </c>
    </row>
    <row r="2209" spans="1:14" x14ac:dyDescent="0.2">
      <c r="A2209">
        <v>2208</v>
      </c>
      <c r="B2209">
        <v>2112</v>
      </c>
      <c r="C2209">
        <f>1/COUNTIF(B:B,Table1[[#This Row],[order_id]])</f>
        <v>0.33333333333333331</v>
      </c>
      <c r="D2209" t="str">
        <f>TEXT(Table1[[#This Row],[order_date]],"mmmm")</f>
        <v>June</v>
      </c>
      <c r="E2209" s="1">
        <v>45465</v>
      </c>
      <c r="F2209" s="1" t="str">
        <f>TEXT(Table1[[#This Row],[order_date]],"dddd")</f>
        <v>Saturday</v>
      </c>
      <c r="G2209">
        <f>HOUR(Table1[[#This Row],[order_time]])</f>
        <v>17</v>
      </c>
      <c r="H2209" s="2">
        <v>0.7211805555555556</v>
      </c>
      <c r="I2209" t="s">
        <v>18</v>
      </c>
      <c r="J2209" t="s">
        <v>31</v>
      </c>
      <c r="K2209">
        <v>3</v>
      </c>
      <c r="L2209">
        <v>45</v>
      </c>
      <c r="M2209">
        <v>135</v>
      </c>
      <c r="N2209">
        <f>IF(COUNTIFS($B$2:B2209,B2209)=1,1,0)</f>
        <v>1</v>
      </c>
    </row>
    <row r="2210" spans="1:14" x14ac:dyDescent="0.2">
      <c r="A2210">
        <v>2209</v>
      </c>
      <c r="B2210">
        <v>2112</v>
      </c>
      <c r="C2210">
        <f>1/COUNTIF(B:B,Table1[[#This Row],[order_id]])</f>
        <v>0.33333333333333331</v>
      </c>
      <c r="D2210" t="str">
        <f>TEXT(Table1[[#This Row],[order_date]],"mmmm")</f>
        <v>June</v>
      </c>
      <c r="E2210" s="1">
        <v>45465</v>
      </c>
      <c r="F2210" s="1" t="str">
        <f>TEXT(Table1[[#This Row],[order_date]],"dddd")</f>
        <v>Saturday</v>
      </c>
      <c r="G2210">
        <f>HOUR(Table1[[#This Row],[order_time]])</f>
        <v>15</v>
      </c>
      <c r="H2210" s="2">
        <v>0.64599537037037036</v>
      </c>
      <c r="I2210" t="s">
        <v>16</v>
      </c>
      <c r="J2210" t="s">
        <v>23</v>
      </c>
      <c r="K2210">
        <v>3</v>
      </c>
      <c r="L2210">
        <v>30</v>
      </c>
      <c r="M2210">
        <v>90</v>
      </c>
      <c r="N2210">
        <f>IF(COUNTIFS($B$2:B2210,B2210)=1,1,0)</f>
        <v>0</v>
      </c>
    </row>
    <row r="2211" spans="1:14" x14ac:dyDescent="0.2">
      <c r="A2211">
        <v>2210</v>
      </c>
      <c r="B2211">
        <v>2112</v>
      </c>
      <c r="C2211">
        <f>1/COUNTIF(B:B,Table1[[#This Row],[order_id]])</f>
        <v>0.33333333333333331</v>
      </c>
      <c r="D2211" t="str">
        <f>TEXT(Table1[[#This Row],[order_date]],"mmmm")</f>
        <v>June</v>
      </c>
      <c r="E2211" s="1">
        <v>45465</v>
      </c>
      <c r="F2211" s="1" t="str">
        <f>TEXT(Table1[[#This Row],[order_date]],"dddd")</f>
        <v>Saturday</v>
      </c>
      <c r="G2211">
        <f>HOUR(Table1[[#This Row],[order_time]])</f>
        <v>18</v>
      </c>
      <c r="H2211" s="2">
        <v>0.75633101851851847</v>
      </c>
      <c r="I2211" t="s">
        <v>18</v>
      </c>
      <c r="J2211" t="s">
        <v>31</v>
      </c>
      <c r="K2211">
        <v>1</v>
      </c>
      <c r="L2211">
        <v>45</v>
      </c>
      <c r="M2211">
        <v>45</v>
      </c>
      <c r="N2211">
        <f>IF(COUNTIFS($B$2:B2211,B2211)=1,1,0)</f>
        <v>0</v>
      </c>
    </row>
    <row r="2212" spans="1:14" x14ac:dyDescent="0.2">
      <c r="A2212">
        <v>2211</v>
      </c>
      <c r="B2212">
        <v>2113</v>
      </c>
      <c r="C2212">
        <f>1/COUNTIF(B:B,Table1[[#This Row],[order_id]])</f>
        <v>1</v>
      </c>
      <c r="D2212" t="str">
        <f>TEXT(Table1[[#This Row],[order_date]],"mmmm")</f>
        <v>June</v>
      </c>
      <c r="E2212" s="1">
        <v>45465</v>
      </c>
      <c r="F2212" s="1" t="str">
        <f>TEXT(Table1[[#This Row],[order_date]],"dddd")</f>
        <v>Saturday</v>
      </c>
      <c r="G2212">
        <f>HOUR(Table1[[#This Row],[order_time]])</f>
        <v>17</v>
      </c>
      <c r="H2212" s="2">
        <v>0.71796296296296291</v>
      </c>
      <c r="I2212" t="s">
        <v>16</v>
      </c>
      <c r="J2212" t="s">
        <v>23</v>
      </c>
      <c r="K2212">
        <v>1</v>
      </c>
      <c r="L2212">
        <v>30</v>
      </c>
      <c r="M2212">
        <v>30</v>
      </c>
      <c r="N2212">
        <f>IF(COUNTIFS($B$2:B2212,B2212)=1,1,0)</f>
        <v>1</v>
      </c>
    </row>
    <row r="2213" spans="1:14" x14ac:dyDescent="0.2">
      <c r="A2213">
        <v>2212</v>
      </c>
      <c r="B2213">
        <v>2114</v>
      </c>
      <c r="C2213">
        <f>1/COUNTIF(B:B,Table1[[#This Row],[order_id]])</f>
        <v>0.5</v>
      </c>
      <c r="D2213" t="str">
        <f>TEXT(Table1[[#This Row],[order_date]],"mmmm")</f>
        <v>June</v>
      </c>
      <c r="E2213" s="1">
        <v>45466</v>
      </c>
      <c r="F2213" s="1" t="str">
        <f>TEXT(Table1[[#This Row],[order_date]],"dddd")</f>
        <v>Sunday</v>
      </c>
      <c r="G2213">
        <f>HOUR(Table1[[#This Row],[order_time]])</f>
        <v>10</v>
      </c>
      <c r="H2213" s="2">
        <v>0.43584490740740739</v>
      </c>
      <c r="I2213" t="s">
        <v>11</v>
      </c>
      <c r="J2213" t="s">
        <v>15</v>
      </c>
      <c r="K2213">
        <v>2</v>
      </c>
      <c r="L2213">
        <v>600</v>
      </c>
      <c r="M2213">
        <v>1200</v>
      </c>
      <c r="N2213">
        <f>IF(COUNTIFS($B$2:B2213,B2213)=1,1,0)</f>
        <v>1</v>
      </c>
    </row>
    <row r="2214" spans="1:14" x14ac:dyDescent="0.2">
      <c r="A2214">
        <v>2213</v>
      </c>
      <c r="B2214">
        <v>2114</v>
      </c>
      <c r="C2214">
        <f>1/COUNTIF(B:B,Table1[[#This Row],[order_id]])</f>
        <v>0.5</v>
      </c>
      <c r="D2214" t="str">
        <f>TEXT(Table1[[#This Row],[order_date]],"mmmm")</f>
        <v>June</v>
      </c>
      <c r="E2214" s="1">
        <v>45466</v>
      </c>
      <c r="F2214" s="1" t="str">
        <f>TEXT(Table1[[#This Row],[order_date]],"dddd")</f>
        <v>Sunday</v>
      </c>
      <c r="G2214">
        <f>HOUR(Table1[[#This Row],[order_time]])</f>
        <v>12</v>
      </c>
      <c r="H2214" s="2">
        <v>0.51116898148148149</v>
      </c>
      <c r="I2214" t="s">
        <v>11</v>
      </c>
      <c r="J2214" t="s">
        <v>13</v>
      </c>
      <c r="K2214">
        <v>3</v>
      </c>
      <c r="L2214">
        <v>680</v>
      </c>
      <c r="M2214">
        <v>2040</v>
      </c>
      <c r="N2214">
        <f>IF(COUNTIFS($B$2:B2214,B2214)=1,1,0)</f>
        <v>0</v>
      </c>
    </row>
    <row r="2215" spans="1:14" x14ac:dyDescent="0.2">
      <c r="A2215">
        <v>2214</v>
      </c>
      <c r="B2215">
        <v>2115</v>
      </c>
      <c r="C2215">
        <f>1/COUNTIF(B:B,Table1[[#This Row],[order_id]])</f>
        <v>0.33333333333333331</v>
      </c>
      <c r="D2215" t="str">
        <f>TEXT(Table1[[#This Row],[order_date]],"mmmm")</f>
        <v>June</v>
      </c>
      <c r="E2215" s="1">
        <v>45466</v>
      </c>
      <c r="F2215" s="1" t="str">
        <f>TEXT(Table1[[#This Row],[order_date]],"dddd")</f>
        <v>Sunday</v>
      </c>
      <c r="G2215">
        <f>HOUR(Table1[[#This Row],[order_time]])</f>
        <v>19</v>
      </c>
      <c r="H2215" s="2">
        <v>0.81103009259259262</v>
      </c>
      <c r="I2215" t="s">
        <v>9</v>
      </c>
      <c r="J2215" t="s">
        <v>10</v>
      </c>
      <c r="K2215">
        <v>4</v>
      </c>
      <c r="L2215">
        <v>20</v>
      </c>
      <c r="M2215">
        <v>80</v>
      </c>
      <c r="N2215">
        <f>IF(COUNTIFS($B$2:B2215,B2215)=1,1,0)</f>
        <v>1</v>
      </c>
    </row>
    <row r="2216" spans="1:14" x14ac:dyDescent="0.2">
      <c r="A2216">
        <v>2215</v>
      </c>
      <c r="B2216">
        <v>2115</v>
      </c>
      <c r="C2216">
        <f>1/COUNTIF(B:B,Table1[[#This Row],[order_id]])</f>
        <v>0.33333333333333331</v>
      </c>
      <c r="D2216" t="str">
        <f>TEXT(Table1[[#This Row],[order_date]],"mmmm")</f>
        <v>June</v>
      </c>
      <c r="E2216" s="1">
        <v>45466</v>
      </c>
      <c r="F2216" s="1" t="str">
        <f>TEXT(Table1[[#This Row],[order_date]],"dddd")</f>
        <v>Sunday</v>
      </c>
      <c r="G2216">
        <f>HOUR(Table1[[#This Row],[order_time]])</f>
        <v>9</v>
      </c>
      <c r="H2216" s="2">
        <v>0.38131944444444443</v>
      </c>
      <c r="I2216" t="s">
        <v>11</v>
      </c>
      <c r="J2216" t="s">
        <v>15</v>
      </c>
      <c r="K2216">
        <v>3</v>
      </c>
      <c r="L2216">
        <v>600</v>
      </c>
      <c r="M2216">
        <v>1800</v>
      </c>
      <c r="N2216">
        <f>IF(COUNTIFS($B$2:B2216,B2216)=1,1,0)</f>
        <v>0</v>
      </c>
    </row>
    <row r="2217" spans="1:14" x14ac:dyDescent="0.2">
      <c r="A2217">
        <v>2216</v>
      </c>
      <c r="B2217">
        <v>2115</v>
      </c>
      <c r="C2217">
        <f>1/COUNTIF(B:B,Table1[[#This Row],[order_id]])</f>
        <v>0.33333333333333331</v>
      </c>
      <c r="D2217" t="str">
        <f>TEXT(Table1[[#This Row],[order_date]],"mmmm")</f>
        <v>June</v>
      </c>
      <c r="E2217" s="1">
        <v>45466</v>
      </c>
      <c r="F2217" s="1" t="str">
        <f>TEXT(Table1[[#This Row],[order_date]],"dddd")</f>
        <v>Sunday</v>
      </c>
      <c r="G2217">
        <f>HOUR(Table1[[#This Row],[order_time]])</f>
        <v>18</v>
      </c>
      <c r="H2217" s="2">
        <v>0.77439814814814811</v>
      </c>
      <c r="I2217" t="s">
        <v>16</v>
      </c>
      <c r="J2217" t="s">
        <v>17</v>
      </c>
      <c r="K2217">
        <v>3</v>
      </c>
      <c r="L2217">
        <v>20</v>
      </c>
      <c r="M2217">
        <v>60</v>
      </c>
      <c r="N2217">
        <f>IF(COUNTIFS($B$2:B2217,B2217)=1,1,0)</f>
        <v>0</v>
      </c>
    </row>
    <row r="2218" spans="1:14" x14ac:dyDescent="0.2">
      <c r="A2218">
        <v>2217</v>
      </c>
      <c r="B2218">
        <v>2116</v>
      </c>
      <c r="C2218">
        <f>1/COUNTIF(B:B,Table1[[#This Row],[order_id]])</f>
        <v>1</v>
      </c>
      <c r="D2218" t="str">
        <f>TEXT(Table1[[#This Row],[order_date]],"mmmm")</f>
        <v>June</v>
      </c>
      <c r="E2218" s="1">
        <v>45466</v>
      </c>
      <c r="F2218" s="1" t="str">
        <f>TEXT(Table1[[#This Row],[order_date]],"dddd")</f>
        <v>Sunday</v>
      </c>
      <c r="G2218">
        <f>HOUR(Table1[[#This Row],[order_time]])</f>
        <v>10</v>
      </c>
      <c r="H2218" s="2">
        <v>0.4378009259259259</v>
      </c>
      <c r="I2218" t="s">
        <v>11</v>
      </c>
      <c r="J2218" t="s">
        <v>15</v>
      </c>
      <c r="K2218">
        <v>3</v>
      </c>
      <c r="L2218">
        <v>600</v>
      </c>
      <c r="M2218">
        <v>1800</v>
      </c>
      <c r="N2218">
        <f>IF(COUNTIFS($B$2:B2218,B2218)=1,1,0)</f>
        <v>1</v>
      </c>
    </row>
    <row r="2219" spans="1:14" x14ac:dyDescent="0.2">
      <c r="A2219">
        <v>2218</v>
      </c>
      <c r="B2219">
        <v>2117</v>
      </c>
      <c r="C2219">
        <f>1/COUNTIF(B:B,Table1[[#This Row],[order_id]])</f>
        <v>1</v>
      </c>
      <c r="D2219" t="str">
        <f>TEXT(Table1[[#This Row],[order_date]],"mmmm")</f>
        <v>June</v>
      </c>
      <c r="E2219" s="1">
        <v>45466</v>
      </c>
      <c r="F2219" s="1" t="str">
        <f>TEXT(Table1[[#This Row],[order_date]],"dddd")</f>
        <v>Sunday</v>
      </c>
      <c r="G2219">
        <f>HOUR(Table1[[#This Row],[order_time]])</f>
        <v>19</v>
      </c>
      <c r="H2219" s="2">
        <v>0.81876157407407413</v>
      </c>
      <c r="I2219" t="s">
        <v>16</v>
      </c>
      <c r="J2219" t="s">
        <v>23</v>
      </c>
      <c r="K2219">
        <v>5</v>
      </c>
      <c r="L2219">
        <v>30</v>
      </c>
      <c r="M2219">
        <v>150</v>
      </c>
      <c r="N2219">
        <f>IF(COUNTIFS($B$2:B2219,B2219)=1,1,0)</f>
        <v>1</v>
      </c>
    </row>
    <row r="2220" spans="1:14" x14ac:dyDescent="0.2">
      <c r="A2220">
        <v>2219</v>
      </c>
      <c r="B2220">
        <v>2118</v>
      </c>
      <c r="C2220">
        <f>1/COUNTIF(B:B,Table1[[#This Row],[order_id]])</f>
        <v>0.33333333333333331</v>
      </c>
      <c r="D2220" t="str">
        <f>TEXT(Table1[[#This Row],[order_date]],"mmmm")</f>
        <v>June</v>
      </c>
      <c r="E2220" s="1">
        <v>45466</v>
      </c>
      <c r="F2220" s="1" t="str">
        <f>TEXT(Table1[[#This Row],[order_date]],"dddd")</f>
        <v>Sunday</v>
      </c>
      <c r="G2220">
        <f>HOUR(Table1[[#This Row],[order_time]])</f>
        <v>19</v>
      </c>
      <c r="H2220" s="2">
        <v>0.82655092592592594</v>
      </c>
      <c r="I2220" t="s">
        <v>11</v>
      </c>
      <c r="J2220" t="s">
        <v>14</v>
      </c>
      <c r="K2220">
        <v>1</v>
      </c>
      <c r="L2220">
        <v>700</v>
      </c>
      <c r="M2220">
        <v>700</v>
      </c>
      <c r="N2220">
        <f>IF(COUNTIFS($B$2:B2220,B2220)=1,1,0)</f>
        <v>1</v>
      </c>
    </row>
    <row r="2221" spans="1:14" x14ac:dyDescent="0.2">
      <c r="A2221">
        <v>2220</v>
      </c>
      <c r="B2221">
        <v>2118</v>
      </c>
      <c r="C2221">
        <f>1/COUNTIF(B:B,Table1[[#This Row],[order_id]])</f>
        <v>0.33333333333333331</v>
      </c>
      <c r="D2221" t="str">
        <f>TEXT(Table1[[#This Row],[order_date]],"mmmm")</f>
        <v>June</v>
      </c>
      <c r="E2221" s="1">
        <v>45466</v>
      </c>
      <c r="F2221" s="1" t="str">
        <f>TEXT(Table1[[#This Row],[order_date]],"dddd")</f>
        <v>Sunday</v>
      </c>
      <c r="G2221">
        <f>HOUR(Table1[[#This Row],[order_time]])</f>
        <v>14</v>
      </c>
      <c r="H2221" s="2">
        <v>0.59332175925925923</v>
      </c>
      <c r="I2221" t="s">
        <v>9</v>
      </c>
      <c r="J2221" t="s">
        <v>22</v>
      </c>
      <c r="K2221">
        <v>2</v>
      </c>
      <c r="L2221">
        <v>15</v>
      </c>
      <c r="M2221">
        <v>30</v>
      </c>
      <c r="N2221">
        <f>IF(COUNTIFS($B$2:B2221,B2221)=1,1,0)</f>
        <v>0</v>
      </c>
    </row>
    <row r="2222" spans="1:14" x14ac:dyDescent="0.2">
      <c r="A2222">
        <v>2221</v>
      </c>
      <c r="B2222">
        <v>2118</v>
      </c>
      <c r="C2222">
        <f>1/COUNTIF(B:B,Table1[[#This Row],[order_id]])</f>
        <v>0.33333333333333331</v>
      </c>
      <c r="D2222" t="str">
        <f>TEXT(Table1[[#This Row],[order_date]],"mmmm")</f>
        <v>June</v>
      </c>
      <c r="E2222" s="1">
        <v>45466</v>
      </c>
      <c r="F2222" s="1" t="str">
        <f>TEXT(Table1[[#This Row],[order_date]],"dddd")</f>
        <v>Sunday</v>
      </c>
      <c r="G2222">
        <f>HOUR(Table1[[#This Row],[order_time]])</f>
        <v>18</v>
      </c>
      <c r="H2222" s="2">
        <v>0.78221064814814811</v>
      </c>
      <c r="I2222" t="s">
        <v>11</v>
      </c>
      <c r="J2222" t="s">
        <v>14</v>
      </c>
      <c r="K2222">
        <v>5</v>
      </c>
      <c r="L2222">
        <v>700</v>
      </c>
      <c r="M2222">
        <v>3500</v>
      </c>
      <c r="N2222">
        <f>IF(COUNTIFS($B$2:B2222,B2222)=1,1,0)</f>
        <v>0</v>
      </c>
    </row>
    <row r="2223" spans="1:14" x14ac:dyDescent="0.2">
      <c r="A2223">
        <v>2222</v>
      </c>
      <c r="B2223">
        <v>2119</v>
      </c>
      <c r="C2223">
        <f>1/COUNTIF(B:B,Table1[[#This Row],[order_id]])</f>
        <v>0.33333333333333331</v>
      </c>
      <c r="D2223" t="str">
        <f>TEXT(Table1[[#This Row],[order_date]],"mmmm")</f>
        <v>June</v>
      </c>
      <c r="E2223" s="1">
        <v>45467</v>
      </c>
      <c r="F2223" s="1" t="str">
        <f>TEXT(Table1[[#This Row],[order_date]],"dddd")</f>
        <v>Monday</v>
      </c>
      <c r="G2223">
        <f>HOUR(Table1[[#This Row],[order_time]])</f>
        <v>20</v>
      </c>
      <c r="H2223" s="2">
        <v>0.86717592592592596</v>
      </c>
      <c r="I2223" t="s">
        <v>16</v>
      </c>
      <c r="J2223" t="s">
        <v>28</v>
      </c>
      <c r="K2223">
        <v>1</v>
      </c>
      <c r="L2223">
        <v>25</v>
      </c>
      <c r="M2223">
        <v>25</v>
      </c>
      <c r="N2223">
        <f>IF(COUNTIFS($B$2:B2223,B2223)=1,1,0)</f>
        <v>1</v>
      </c>
    </row>
    <row r="2224" spans="1:14" x14ac:dyDescent="0.2">
      <c r="A2224">
        <v>2223</v>
      </c>
      <c r="B2224">
        <v>2119</v>
      </c>
      <c r="C2224">
        <f>1/COUNTIF(B:B,Table1[[#This Row],[order_id]])</f>
        <v>0.33333333333333331</v>
      </c>
      <c r="D2224" t="str">
        <f>TEXT(Table1[[#This Row],[order_date]],"mmmm")</f>
        <v>June</v>
      </c>
      <c r="E2224" s="1">
        <v>45467</v>
      </c>
      <c r="F2224" s="1" t="str">
        <f>TEXT(Table1[[#This Row],[order_date]],"dddd")</f>
        <v>Monday</v>
      </c>
      <c r="G2224">
        <f>HOUR(Table1[[#This Row],[order_time]])</f>
        <v>9</v>
      </c>
      <c r="H2224" s="2">
        <v>0.40307870370370369</v>
      </c>
      <c r="I2224" t="s">
        <v>11</v>
      </c>
      <c r="J2224" t="s">
        <v>13</v>
      </c>
      <c r="K2224">
        <v>1</v>
      </c>
      <c r="L2224">
        <v>680</v>
      </c>
      <c r="M2224">
        <v>680</v>
      </c>
      <c r="N2224">
        <f>IF(COUNTIFS($B$2:B2224,B2224)=1,1,0)</f>
        <v>0</v>
      </c>
    </row>
    <row r="2225" spans="1:14" x14ac:dyDescent="0.2">
      <c r="A2225">
        <v>2224</v>
      </c>
      <c r="B2225">
        <v>2119</v>
      </c>
      <c r="C2225">
        <f>1/COUNTIF(B:B,Table1[[#This Row],[order_id]])</f>
        <v>0.33333333333333331</v>
      </c>
      <c r="D2225" t="str">
        <f>TEXT(Table1[[#This Row],[order_date]],"mmmm")</f>
        <v>June</v>
      </c>
      <c r="E2225" s="1">
        <v>45467</v>
      </c>
      <c r="F2225" s="1" t="str">
        <f>TEXT(Table1[[#This Row],[order_date]],"dddd")</f>
        <v>Monday</v>
      </c>
      <c r="G2225">
        <f>HOUR(Table1[[#This Row],[order_time]])</f>
        <v>18</v>
      </c>
      <c r="H2225" s="2">
        <v>0.75826388888888885</v>
      </c>
      <c r="I2225" t="s">
        <v>11</v>
      </c>
      <c r="J2225" t="s">
        <v>12</v>
      </c>
      <c r="K2225">
        <v>1</v>
      </c>
      <c r="L2225">
        <v>650</v>
      </c>
      <c r="M2225">
        <v>650</v>
      </c>
      <c r="N2225">
        <f>IF(COUNTIFS($B$2:B2225,B2225)=1,1,0)</f>
        <v>0</v>
      </c>
    </row>
    <row r="2226" spans="1:14" x14ac:dyDescent="0.2">
      <c r="A2226">
        <v>2225</v>
      </c>
      <c r="B2226">
        <v>2120</v>
      </c>
      <c r="C2226">
        <f>1/COUNTIF(B:B,Table1[[#This Row],[order_id]])</f>
        <v>1</v>
      </c>
      <c r="D2226" t="str">
        <f>TEXT(Table1[[#This Row],[order_date]],"mmmm")</f>
        <v>June</v>
      </c>
      <c r="E2226" s="1">
        <v>45467</v>
      </c>
      <c r="F2226" s="1" t="str">
        <f>TEXT(Table1[[#This Row],[order_date]],"dddd")</f>
        <v>Monday</v>
      </c>
      <c r="G2226">
        <f>HOUR(Table1[[#This Row],[order_time]])</f>
        <v>12</v>
      </c>
      <c r="H2226" s="2">
        <v>0.52768518518518515</v>
      </c>
      <c r="I2226" t="s">
        <v>11</v>
      </c>
      <c r="J2226" t="s">
        <v>25</v>
      </c>
      <c r="K2226">
        <v>4</v>
      </c>
      <c r="L2226">
        <v>1000</v>
      </c>
      <c r="M2226">
        <v>4000</v>
      </c>
      <c r="N2226">
        <f>IF(COUNTIFS($B$2:B2226,B2226)=1,1,0)</f>
        <v>1</v>
      </c>
    </row>
    <row r="2227" spans="1:14" x14ac:dyDescent="0.2">
      <c r="A2227">
        <v>2226</v>
      </c>
      <c r="B2227">
        <v>2121</v>
      </c>
      <c r="C2227">
        <f>1/COUNTIF(B:B,Table1[[#This Row],[order_id]])</f>
        <v>0.5</v>
      </c>
      <c r="D2227" t="str">
        <f>TEXT(Table1[[#This Row],[order_date]],"mmmm")</f>
        <v>June</v>
      </c>
      <c r="E2227" s="1">
        <v>45467</v>
      </c>
      <c r="F2227" s="1" t="str">
        <f>TEXT(Table1[[#This Row],[order_date]],"dddd")</f>
        <v>Monday</v>
      </c>
      <c r="G2227">
        <f>HOUR(Table1[[#This Row],[order_time]])</f>
        <v>10</v>
      </c>
      <c r="H2227" s="2">
        <v>0.41833333333333333</v>
      </c>
      <c r="I2227" t="s">
        <v>16</v>
      </c>
      <c r="J2227" t="s">
        <v>23</v>
      </c>
      <c r="K2227">
        <v>4</v>
      </c>
      <c r="L2227">
        <v>30</v>
      </c>
      <c r="M2227">
        <v>120</v>
      </c>
      <c r="N2227">
        <f>IF(COUNTIFS($B$2:B2227,B2227)=1,1,0)</f>
        <v>1</v>
      </c>
    </row>
    <row r="2228" spans="1:14" x14ac:dyDescent="0.2">
      <c r="A2228">
        <v>2227</v>
      </c>
      <c r="B2228">
        <v>2121</v>
      </c>
      <c r="C2228">
        <f>1/COUNTIF(B:B,Table1[[#This Row],[order_id]])</f>
        <v>0.5</v>
      </c>
      <c r="D2228" t="str">
        <f>TEXT(Table1[[#This Row],[order_date]],"mmmm")</f>
        <v>June</v>
      </c>
      <c r="E2228" s="1">
        <v>45467</v>
      </c>
      <c r="F2228" s="1" t="str">
        <f>TEXT(Table1[[#This Row],[order_date]],"dddd")</f>
        <v>Monday</v>
      </c>
      <c r="G2228">
        <f>HOUR(Table1[[#This Row],[order_time]])</f>
        <v>20</v>
      </c>
      <c r="H2228" s="2">
        <v>0.84351851851851856</v>
      </c>
      <c r="I2228" t="s">
        <v>9</v>
      </c>
      <c r="J2228" t="s">
        <v>29</v>
      </c>
      <c r="K2228">
        <v>1</v>
      </c>
      <c r="L2228">
        <v>5</v>
      </c>
      <c r="M2228">
        <v>5</v>
      </c>
      <c r="N2228">
        <f>IF(COUNTIFS($B$2:B2228,B2228)=1,1,0)</f>
        <v>0</v>
      </c>
    </row>
    <row r="2229" spans="1:14" x14ac:dyDescent="0.2">
      <c r="A2229">
        <v>2228</v>
      </c>
      <c r="B2229">
        <v>2122</v>
      </c>
      <c r="C2229">
        <f>1/COUNTIF(B:B,Table1[[#This Row],[order_id]])</f>
        <v>1</v>
      </c>
      <c r="D2229" t="str">
        <f>TEXT(Table1[[#This Row],[order_date]],"mmmm")</f>
        <v>June</v>
      </c>
      <c r="E2229" s="1">
        <v>45467</v>
      </c>
      <c r="F2229" s="1" t="str">
        <f>TEXT(Table1[[#This Row],[order_date]],"dddd")</f>
        <v>Monday</v>
      </c>
      <c r="G2229">
        <f>HOUR(Table1[[#This Row],[order_time]])</f>
        <v>12</v>
      </c>
      <c r="H2229" s="2">
        <v>0.5292824074074074</v>
      </c>
      <c r="I2229" t="s">
        <v>18</v>
      </c>
      <c r="J2229" t="s">
        <v>19</v>
      </c>
      <c r="K2229">
        <v>2</v>
      </c>
      <c r="L2229">
        <v>50</v>
      </c>
      <c r="M2229">
        <v>100</v>
      </c>
      <c r="N2229">
        <f>IF(COUNTIFS($B$2:B2229,B2229)=1,1,0)</f>
        <v>1</v>
      </c>
    </row>
    <row r="2230" spans="1:14" x14ac:dyDescent="0.2">
      <c r="A2230">
        <v>2229</v>
      </c>
      <c r="B2230">
        <v>2123</v>
      </c>
      <c r="C2230">
        <f>1/COUNTIF(B:B,Table1[[#This Row],[order_id]])</f>
        <v>1</v>
      </c>
      <c r="D2230" t="str">
        <f>TEXT(Table1[[#This Row],[order_date]],"mmmm")</f>
        <v>June</v>
      </c>
      <c r="E2230" s="1">
        <v>45467</v>
      </c>
      <c r="F2230" s="1" t="str">
        <f>TEXT(Table1[[#This Row],[order_date]],"dddd")</f>
        <v>Monday</v>
      </c>
      <c r="G2230">
        <f>HOUR(Table1[[#This Row],[order_time]])</f>
        <v>12</v>
      </c>
      <c r="H2230" s="2">
        <v>0.53091435185185187</v>
      </c>
      <c r="I2230" t="s">
        <v>11</v>
      </c>
      <c r="J2230" t="s">
        <v>14</v>
      </c>
      <c r="K2230">
        <v>2</v>
      </c>
      <c r="L2230">
        <v>700</v>
      </c>
      <c r="M2230">
        <v>1400</v>
      </c>
      <c r="N2230">
        <f>IF(COUNTIFS($B$2:B2230,B2230)=1,1,0)</f>
        <v>1</v>
      </c>
    </row>
    <row r="2231" spans="1:14" x14ac:dyDescent="0.2">
      <c r="A2231">
        <v>2230</v>
      </c>
      <c r="B2231">
        <v>2124</v>
      </c>
      <c r="C2231">
        <f>1/COUNTIF(B:B,Table1[[#This Row],[order_id]])</f>
        <v>0.33333333333333331</v>
      </c>
      <c r="D2231" t="str">
        <f>TEXT(Table1[[#This Row],[order_date]],"mmmm")</f>
        <v>June</v>
      </c>
      <c r="E2231" s="1">
        <v>45467</v>
      </c>
      <c r="F2231" s="1" t="str">
        <f>TEXT(Table1[[#This Row],[order_date]],"dddd")</f>
        <v>Monday</v>
      </c>
      <c r="G2231">
        <f>HOUR(Table1[[#This Row],[order_time]])</f>
        <v>15</v>
      </c>
      <c r="H2231" s="2">
        <v>0.65618055555555554</v>
      </c>
      <c r="I2231" t="s">
        <v>11</v>
      </c>
      <c r="J2231" t="s">
        <v>14</v>
      </c>
      <c r="K2231">
        <v>2</v>
      </c>
      <c r="L2231">
        <v>700</v>
      </c>
      <c r="M2231">
        <v>1400</v>
      </c>
      <c r="N2231">
        <f>IF(COUNTIFS($B$2:B2231,B2231)=1,1,0)</f>
        <v>1</v>
      </c>
    </row>
    <row r="2232" spans="1:14" x14ac:dyDescent="0.2">
      <c r="A2232">
        <v>2231</v>
      </c>
      <c r="B2232">
        <v>2124</v>
      </c>
      <c r="C2232">
        <f>1/COUNTIF(B:B,Table1[[#This Row],[order_id]])</f>
        <v>0.33333333333333331</v>
      </c>
      <c r="D2232" t="str">
        <f>TEXT(Table1[[#This Row],[order_date]],"mmmm")</f>
        <v>June</v>
      </c>
      <c r="E2232" s="1">
        <v>45467</v>
      </c>
      <c r="F2232" s="1" t="str">
        <f>TEXT(Table1[[#This Row],[order_date]],"dddd")</f>
        <v>Monday</v>
      </c>
      <c r="G2232">
        <f>HOUR(Table1[[#This Row],[order_time]])</f>
        <v>11</v>
      </c>
      <c r="H2232" s="2">
        <v>0.4753472222222222</v>
      </c>
      <c r="I2232" t="s">
        <v>11</v>
      </c>
      <c r="J2232" t="s">
        <v>13</v>
      </c>
      <c r="K2232">
        <v>1</v>
      </c>
      <c r="L2232">
        <v>680</v>
      </c>
      <c r="M2232">
        <v>680</v>
      </c>
      <c r="N2232">
        <f>IF(COUNTIFS($B$2:B2232,B2232)=1,1,0)</f>
        <v>0</v>
      </c>
    </row>
    <row r="2233" spans="1:14" x14ac:dyDescent="0.2">
      <c r="A2233">
        <v>2232</v>
      </c>
      <c r="B2233">
        <v>2124</v>
      </c>
      <c r="C2233">
        <f>1/COUNTIF(B:B,Table1[[#This Row],[order_id]])</f>
        <v>0.33333333333333331</v>
      </c>
      <c r="D2233" t="str">
        <f>TEXT(Table1[[#This Row],[order_date]],"mmmm")</f>
        <v>June</v>
      </c>
      <c r="E2233" s="1">
        <v>45467</v>
      </c>
      <c r="F2233" s="1" t="str">
        <f>TEXT(Table1[[#This Row],[order_date]],"dddd")</f>
        <v>Monday</v>
      </c>
      <c r="G2233">
        <f>HOUR(Table1[[#This Row],[order_time]])</f>
        <v>10</v>
      </c>
      <c r="H2233" s="2">
        <v>0.45445601851851852</v>
      </c>
      <c r="I2233" t="s">
        <v>11</v>
      </c>
      <c r="J2233" t="s">
        <v>15</v>
      </c>
      <c r="K2233">
        <v>2</v>
      </c>
      <c r="L2233">
        <v>600</v>
      </c>
      <c r="M2233">
        <v>1200</v>
      </c>
      <c r="N2233">
        <f>IF(COUNTIFS($B$2:B2233,B2233)=1,1,0)</f>
        <v>0</v>
      </c>
    </row>
    <row r="2234" spans="1:14" x14ac:dyDescent="0.2">
      <c r="A2234">
        <v>2233</v>
      </c>
      <c r="B2234">
        <v>2125</v>
      </c>
      <c r="C2234">
        <f>1/COUNTIF(B:B,Table1[[#This Row],[order_id]])</f>
        <v>0.33333333333333331</v>
      </c>
      <c r="D2234" t="str">
        <f>TEXT(Table1[[#This Row],[order_date]],"mmmm")</f>
        <v>June</v>
      </c>
      <c r="E2234" s="1">
        <v>45468</v>
      </c>
      <c r="F2234" s="1" t="str">
        <f>TEXT(Table1[[#This Row],[order_date]],"dddd")</f>
        <v>Tuesday</v>
      </c>
      <c r="G2234">
        <f>HOUR(Table1[[#This Row],[order_time]])</f>
        <v>18</v>
      </c>
      <c r="H2234" s="2">
        <v>0.79055555555555557</v>
      </c>
      <c r="I2234" t="s">
        <v>18</v>
      </c>
      <c r="J2234" t="s">
        <v>30</v>
      </c>
      <c r="K2234">
        <v>3</v>
      </c>
      <c r="L2234">
        <v>60</v>
      </c>
      <c r="M2234">
        <v>180</v>
      </c>
      <c r="N2234">
        <f>IF(COUNTIFS($B$2:B2234,B2234)=1,1,0)</f>
        <v>1</v>
      </c>
    </row>
    <row r="2235" spans="1:14" x14ac:dyDescent="0.2">
      <c r="A2235">
        <v>2234</v>
      </c>
      <c r="B2235">
        <v>2125</v>
      </c>
      <c r="C2235">
        <f>1/COUNTIF(B:B,Table1[[#This Row],[order_id]])</f>
        <v>0.33333333333333331</v>
      </c>
      <c r="D2235" t="str">
        <f>TEXT(Table1[[#This Row],[order_date]],"mmmm")</f>
        <v>June</v>
      </c>
      <c r="E2235" s="1">
        <v>45468</v>
      </c>
      <c r="F2235" s="1" t="str">
        <f>TEXT(Table1[[#This Row],[order_date]],"dddd")</f>
        <v>Tuesday</v>
      </c>
      <c r="G2235">
        <f>HOUR(Table1[[#This Row],[order_time]])</f>
        <v>18</v>
      </c>
      <c r="H2235" s="2">
        <v>0.77813657407407411</v>
      </c>
      <c r="I2235" t="s">
        <v>18</v>
      </c>
      <c r="J2235" t="s">
        <v>19</v>
      </c>
      <c r="K2235">
        <v>2</v>
      </c>
      <c r="L2235">
        <v>50</v>
      </c>
      <c r="M2235">
        <v>100</v>
      </c>
      <c r="N2235">
        <f>IF(COUNTIFS($B$2:B2235,B2235)=1,1,0)</f>
        <v>0</v>
      </c>
    </row>
    <row r="2236" spans="1:14" x14ac:dyDescent="0.2">
      <c r="A2236">
        <v>2235</v>
      </c>
      <c r="B2236">
        <v>2125</v>
      </c>
      <c r="C2236">
        <f>1/COUNTIF(B:B,Table1[[#This Row],[order_id]])</f>
        <v>0.33333333333333331</v>
      </c>
      <c r="D2236" t="str">
        <f>TEXT(Table1[[#This Row],[order_date]],"mmmm")</f>
        <v>June</v>
      </c>
      <c r="E2236" s="1">
        <v>45468</v>
      </c>
      <c r="F2236" s="1" t="str">
        <f>TEXT(Table1[[#This Row],[order_date]],"dddd")</f>
        <v>Tuesday</v>
      </c>
      <c r="G2236">
        <f>HOUR(Table1[[#This Row],[order_time]])</f>
        <v>13</v>
      </c>
      <c r="H2236" s="2">
        <v>0.55111111111111111</v>
      </c>
      <c r="I2236" t="s">
        <v>18</v>
      </c>
      <c r="J2236" t="s">
        <v>30</v>
      </c>
      <c r="K2236">
        <v>5</v>
      </c>
      <c r="L2236">
        <v>60</v>
      </c>
      <c r="M2236">
        <v>300</v>
      </c>
      <c r="N2236">
        <f>IF(COUNTIFS($B$2:B2236,B2236)=1,1,0)</f>
        <v>0</v>
      </c>
    </row>
    <row r="2237" spans="1:14" x14ac:dyDescent="0.2">
      <c r="A2237">
        <v>2236</v>
      </c>
      <c r="B2237">
        <v>2126</v>
      </c>
      <c r="C2237">
        <f>1/COUNTIF(B:B,Table1[[#This Row],[order_id]])</f>
        <v>0.5</v>
      </c>
      <c r="D2237" t="str">
        <f>TEXT(Table1[[#This Row],[order_date]],"mmmm")</f>
        <v>June</v>
      </c>
      <c r="E2237" s="1">
        <v>45468</v>
      </c>
      <c r="F2237" s="1" t="str">
        <f>TEXT(Table1[[#This Row],[order_date]],"dddd")</f>
        <v>Tuesday</v>
      </c>
      <c r="G2237">
        <f>HOUR(Table1[[#This Row],[order_time]])</f>
        <v>15</v>
      </c>
      <c r="H2237" s="2">
        <v>0.65559027777777779</v>
      </c>
      <c r="I2237" t="s">
        <v>9</v>
      </c>
      <c r="J2237" t="s">
        <v>21</v>
      </c>
      <c r="K2237">
        <v>5</v>
      </c>
      <c r="L2237">
        <v>10</v>
      </c>
      <c r="M2237">
        <v>50</v>
      </c>
      <c r="N2237">
        <f>IF(COUNTIFS($B$2:B2237,B2237)=1,1,0)</f>
        <v>1</v>
      </c>
    </row>
    <row r="2238" spans="1:14" x14ac:dyDescent="0.2">
      <c r="A2238">
        <v>2237</v>
      </c>
      <c r="B2238">
        <v>2126</v>
      </c>
      <c r="C2238">
        <f>1/COUNTIF(B:B,Table1[[#This Row],[order_id]])</f>
        <v>0.5</v>
      </c>
      <c r="D2238" t="str">
        <f>TEXT(Table1[[#This Row],[order_date]],"mmmm")</f>
        <v>June</v>
      </c>
      <c r="E2238" s="1">
        <v>45468</v>
      </c>
      <c r="F2238" s="1" t="str">
        <f>TEXT(Table1[[#This Row],[order_date]],"dddd")</f>
        <v>Tuesday</v>
      </c>
      <c r="G2238">
        <f>HOUR(Table1[[#This Row],[order_time]])</f>
        <v>10</v>
      </c>
      <c r="H2238" s="2">
        <v>0.41692129629629632</v>
      </c>
      <c r="I2238" t="s">
        <v>16</v>
      </c>
      <c r="J2238" t="s">
        <v>28</v>
      </c>
      <c r="K2238">
        <v>5</v>
      </c>
      <c r="L2238">
        <v>25</v>
      </c>
      <c r="M2238">
        <v>125</v>
      </c>
      <c r="N2238">
        <f>IF(COUNTIFS($B$2:B2238,B2238)=1,1,0)</f>
        <v>0</v>
      </c>
    </row>
    <row r="2239" spans="1:14" x14ac:dyDescent="0.2">
      <c r="A2239">
        <v>2238</v>
      </c>
      <c r="B2239">
        <v>2127</v>
      </c>
      <c r="C2239">
        <f>1/COUNTIF(B:B,Table1[[#This Row],[order_id]])</f>
        <v>1</v>
      </c>
      <c r="D2239" t="str">
        <f>TEXT(Table1[[#This Row],[order_date]],"mmmm")</f>
        <v>June</v>
      </c>
      <c r="E2239" s="1">
        <v>45468</v>
      </c>
      <c r="F2239" s="1" t="str">
        <f>TEXT(Table1[[#This Row],[order_date]],"dddd")</f>
        <v>Tuesday</v>
      </c>
      <c r="G2239">
        <f>HOUR(Table1[[#This Row],[order_time]])</f>
        <v>10</v>
      </c>
      <c r="H2239" s="2">
        <v>0.4450810185185185</v>
      </c>
      <c r="I2239" t="s">
        <v>11</v>
      </c>
      <c r="J2239" t="s">
        <v>15</v>
      </c>
      <c r="K2239">
        <v>4</v>
      </c>
      <c r="L2239">
        <v>600</v>
      </c>
      <c r="M2239">
        <v>2400</v>
      </c>
      <c r="N2239">
        <f>IF(COUNTIFS($B$2:B2239,B2239)=1,1,0)</f>
        <v>1</v>
      </c>
    </row>
    <row r="2240" spans="1:14" x14ac:dyDescent="0.2">
      <c r="A2240">
        <v>2239</v>
      </c>
      <c r="B2240">
        <v>2128</v>
      </c>
      <c r="C2240">
        <f>1/COUNTIF(B:B,Table1[[#This Row],[order_id]])</f>
        <v>1</v>
      </c>
      <c r="D2240" t="str">
        <f>TEXT(Table1[[#This Row],[order_date]],"mmmm")</f>
        <v>June</v>
      </c>
      <c r="E2240" s="1">
        <v>45468</v>
      </c>
      <c r="F2240" s="1" t="str">
        <f>TEXT(Table1[[#This Row],[order_date]],"dddd")</f>
        <v>Tuesday</v>
      </c>
      <c r="G2240">
        <f>HOUR(Table1[[#This Row],[order_time]])</f>
        <v>12</v>
      </c>
      <c r="H2240" s="2">
        <v>0.53119212962962958</v>
      </c>
      <c r="I2240" t="s">
        <v>9</v>
      </c>
      <c r="J2240" t="s">
        <v>20</v>
      </c>
      <c r="K2240">
        <v>3</v>
      </c>
      <c r="L2240">
        <v>25</v>
      </c>
      <c r="M2240">
        <v>75</v>
      </c>
      <c r="N2240">
        <f>IF(COUNTIFS($B$2:B2240,B2240)=1,1,0)</f>
        <v>1</v>
      </c>
    </row>
    <row r="2241" spans="1:14" x14ac:dyDescent="0.2">
      <c r="A2241">
        <v>2240</v>
      </c>
      <c r="B2241">
        <v>2129</v>
      </c>
      <c r="C2241">
        <f>1/COUNTIF(B:B,Table1[[#This Row],[order_id]])</f>
        <v>0.5</v>
      </c>
      <c r="D2241" t="str">
        <f>TEXT(Table1[[#This Row],[order_date]],"mmmm")</f>
        <v>June</v>
      </c>
      <c r="E2241" s="1">
        <v>45468</v>
      </c>
      <c r="F2241" s="1" t="str">
        <f>TEXT(Table1[[#This Row],[order_date]],"dddd")</f>
        <v>Tuesday</v>
      </c>
      <c r="G2241">
        <f>HOUR(Table1[[#This Row],[order_time]])</f>
        <v>19</v>
      </c>
      <c r="H2241" s="2">
        <v>0.80046296296296293</v>
      </c>
      <c r="I2241" t="s">
        <v>11</v>
      </c>
      <c r="J2241" t="s">
        <v>15</v>
      </c>
      <c r="K2241">
        <v>3</v>
      </c>
      <c r="L2241">
        <v>600</v>
      </c>
      <c r="M2241">
        <v>1800</v>
      </c>
      <c r="N2241">
        <f>IF(COUNTIFS($B$2:B2241,B2241)=1,1,0)</f>
        <v>1</v>
      </c>
    </row>
    <row r="2242" spans="1:14" x14ac:dyDescent="0.2">
      <c r="A2242">
        <v>2241</v>
      </c>
      <c r="B2242">
        <v>2129</v>
      </c>
      <c r="C2242">
        <f>1/COUNTIF(B:B,Table1[[#This Row],[order_id]])</f>
        <v>0.5</v>
      </c>
      <c r="D2242" t="str">
        <f>TEXT(Table1[[#This Row],[order_date]],"mmmm")</f>
        <v>June</v>
      </c>
      <c r="E2242" s="1">
        <v>45468</v>
      </c>
      <c r="F2242" s="1" t="str">
        <f>TEXT(Table1[[#This Row],[order_date]],"dddd")</f>
        <v>Tuesday</v>
      </c>
      <c r="G2242">
        <f>HOUR(Table1[[#This Row],[order_time]])</f>
        <v>11</v>
      </c>
      <c r="H2242" s="2">
        <v>0.48280092592592594</v>
      </c>
      <c r="I2242" t="s">
        <v>18</v>
      </c>
      <c r="J2242" t="s">
        <v>26</v>
      </c>
      <c r="K2242">
        <v>5</v>
      </c>
      <c r="L2242">
        <v>55</v>
      </c>
      <c r="M2242">
        <v>275</v>
      </c>
      <c r="N2242">
        <f>IF(COUNTIFS($B$2:B2242,B2242)=1,1,0)</f>
        <v>0</v>
      </c>
    </row>
    <row r="2243" spans="1:14" x14ac:dyDescent="0.2">
      <c r="A2243">
        <v>2242</v>
      </c>
      <c r="B2243">
        <v>2130</v>
      </c>
      <c r="C2243">
        <f>1/COUNTIF(B:B,Table1[[#This Row],[order_id]])</f>
        <v>0.33333333333333331</v>
      </c>
      <c r="D2243" t="str">
        <f>TEXT(Table1[[#This Row],[order_date]],"mmmm")</f>
        <v>June</v>
      </c>
      <c r="E2243" s="1">
        <v>45468</v>
      </c>
      <c r="F2243" s="1" t="str">
        <f>TEXT(Table1[[#This Row],[order_date]],"dddd")</f>
        <v>Tuesday</v>
      </c>
      <c r="G2243">
        <f>HOUR(Table1[[#This Row],[order_time]])</f>
        <v>11</v>
      </c>
      <c r="H2243" s="2">
        <v>0.48700231481481482</v>
      </c>
      <c r="I2243" t="s">
        <v>11</v>
      </c>
      <c r="J2243" t="s">
        <v>12</v>
      </c>
      <c r="K2243">
        <v>3</v>
      </c>
      <c r="L2243">
        <v>650</v>
      </c>
      <c r="M2243">
        <v>1950</v>
      </c>
      <c r="N2243">
        <f>IF(COUNTIFS($B$2:B2243,B2243)=1,1,0)</f>
        <v>1</v>
      </c>
    </row>
    <row r="2244" spans="1:14" x14ac:dyDescent="0.2">
      <c r="A2244">
        <v>2243</v>
      </c>
      <c r="B2244">
        <v>2130</v>
      </c>
      <c r="C2244">
        <f>1/COUNTIF(B:B,Table1[[#This Row],[order_id]])</f>
        <v>0.33333333333333331</v>
      </c>
      <c r="D2244" t="str">
        <f>TEXT(Table1[[#This Row],[order_date]],"mmmm")</f>
        <v>June</v>
      </c>
      <c r="E2244" s="1">
        <v>45468</v>
      </c>
      <c r="F2244" s="1" t="str">
        <f>TEXT(Table1[[#This Row],[order_date]],"dddd")</f>
        <v>Tuesday</v>
      </c>
      <c r="G2244">
        <f>HOUR(Table1[[#This Row],[order_time]])</f>
        <v>14</v>
      </c>
      <c r="H2244" s="2">
        <v>0.59079861111111109</v>
      </c>
      <c r="I2244" t="s">
        <v>11</v>
      </c>
      <c r="J2244" t="s">
        <v>15</v>
      </c>
      <c r="K2244">
        <v>1</v>
      </c>
      <c r="L2244">
        <v>600</v>
      </c>
      <c r="M2244">
        <v>600</v>
      </c>
      <c r="N2244">
        <f>IF(COUNTIFS($B$2:B2244,B2244)=1,1,0)</f>
        <v>0</v>
      </c>
    </row>
    <row r="2245" spans="1:14" x14ac:dyDescent="0.2">
      <c r="A2245">
        <v>2244</v>
      </c>
      <c r="B2245">
        <v>2130</v>
      </c>
      <c r="C2245">
        <f>1/COUNTIF(B:B,Table1[[#This Row],[order_id]])</f>
        <v>0.33333333333333331</v>
      </c>
      <c r="D2245" t="str">
        <f>TEXT(Table1[[#This Row],[order_date]],"mmmm")</f>
        <v>June</v>
      </c>
      <c r="E2245" s="1">
        <v>45468</v>
      </c>
      <c r="F2245" s="1" t="str">
        <f>TEXT(Table1[[#This Row],[order_date]],"dddd")</f>
        <v>Tuesday</v>
      </c>
      <c r="G2245">
        <f>HOUR(Table1[[#This Row],[order_time]])</f>
        <v>13</v>
      </c>
      <c r="H2245" s="2">
        <v>0.57885416666666667</v>
      </c>
      <c r="I2245" t="s">
        <v>9</v>
      </c>
      <c r="J2245" t="s">
        <v>29</v>
      </c>
      <c r="K2245">
        <v>4</v>
      </c>
      <c r="L2245">
        <v>5</v>
      </c>
      <c r="M2245">
        <v>20</v>
      </c>
      <c r="N2245">
        <f>IF(COUNTIFS($B$2:B2245,B2245)=1,1,0)</f>
        <v>0</v>
      </c>
    </row>
    <row r="2246" spans="1:14" x14ac:dyDescent="0.2">
      <c r="A2246">
        <v>2245</v>
      </c>
      <c r="B2246">
        <v>2131</v>
      </c>
      <c r="C2246">
        <f>1/COUNTIF(B:B,Table1[[#This Row],[order_id]])</f>
        <v>1</v>
      </c>
      <c r="D2246" t="str">
        <f>TEXT(Table1[[#This Row],[order_date]],"mmmm")</f>
        <v>June</v>
      </c>
      <c r="E2246" s="1">
        <v>45469</v>
      </c>
      <c r="F2246" s="1" t="str">
        <f>TEXT(Table1[[#This Row],[order_date]],"dddd")</f>
        <v>Wednesday</v>
      </c>
      <c r="G2246">
        <f>HOUR(Table1[[#This Row],[order_time]])</f>
        <v>18</v>
      </c>
      <c r="H2246" s="2">
        <v>0.77584490740740741</v>
      </c>
      <c r="I2246" t="s">
        <v>11</v>
      </c>
      <c r="J2246" t="s">
        <v>13</v>
      </c>
      <c r="K2246">
        <v>4</v>
      </c>
      <c r="L2246">
        <v>680</v>
      </c>
      <c r="M2246">
        <v>2720</v>
      </c>
      <c r="N2246">
        <f>IF(COUNTIFS($B$2:B2246,B2246)=1,1,0)</f>
        <v>1</v>
      </c>
    </row>
    <row r="2247" spans="1:14" x14ac:dyDescent="0.2">
      <c r="A2247">
        <v>2246</v>
      </c>
      <c r="B2247">
        <v>2132</v>
      </c>
      <c r="C2247">
        <f>1/COUNTIF(B:B,Table1[[#This Row],[order_id]])</f>
        <v>0.33333333333333331</v>
      </c>
      <c r="D2247" t="str">
        <f>TEXT(Table1[[#This Row],[order_date]],"mmmm")</f>
        <v>June</v>
      </c>
      <c r="E2247" s="1">
        <v>45469</v>
      </c>
      <c r="F2247" s="1" t="str">
        <f>TEXT(Table1[[#This Row],[order_date]],"dddd")</f>
        <v>Wednesday</v>
      </c>
      <c r="G2247">
        <f>HOUR(Table1[[#This Row],[order_time]])</f>
        <v>20</v>
      </c>
      <c r="H2247" s="2">
        <v>0.86089120370370376</v>
      </c>
      <c r="I2247" t="s">
        <v>18</v>
      </c>
      <c r="J2247" t="s">
        <v>30</v>
      </c>
      <c r="K2247">
        <v>4</v>
      </c>
      <c r="L2247">
        <v>60</v>
      </c>
      <c r="M2247">
        <v>240</v>
      </c>
      <c r="N2247">
        <f>IF(COUNTIFS($B$2:B2247,B2247)=1,1,0)</f>
        <v>1</v>
      </c>
    </row>
    <row r="2248" spans="1:14" x14ac:dyDescent="0.2">
      <c r="A2248">
        <v>2247</v>
      </c>
      <c r="B2248">
        <v>2132</v>
      </c>
      <c r="C2248">
        <f>1/COUNTIF(B:B,Table1[[#This Row],[order_id]])</f>
        <v>0.33333333333333331</v>
      </c>
      <c r="D2248" t="str">
        <f>TEXT(Table1[[#This Row],[order_date]],"mmmm")</f>
        <v>June</v>
      </c>
      <c r="E2248" s="1">
        <v>45469</v>
      </c>
      <c r="F2248" s="1" t="str">
        <f>TEXT(Table1[[#This Row],[order_date]],"dddd")</f>
        <v>Wednesday</v>
      </c>
      <c r="G2248">
        <f>HOUR(Table1[[#This Row],[order_time]])</f>
        <v>11</v>
      </c>
      <c r="H2248" s="2">
        <v>0.48192129629629632</v>
      </c>
      <c r="I2248" t="s">
        <v>16</v>
      </c>
      <c r="J2248" t="s">
        <v>17</v>
      </c>
      <c r="K2248">
        <v>5</v>
      </c>
      <c r="L2248">
        <v>20</v>
      </c>
      <c r="M2248">
        <v>100</v>
      </c>
      <c r="N2248">
        <f>IF(COUNTIFS($B$2:B2248,B2248)=1,1,0)</f>
        <v>0</v>
      </c>
    </row>
    <row r="2249" spans="1:14" x14ac:dyDescent="0.2">
      <c r="A2249">
        <v>2248</v>
      </c>
      <c r="B2249">
        <v>2132</v>
      </c>
      <c r="C2249">
        <f>1/COUNTIF(B:B,Table1[[#This Row],[order_id]])</f>
        <v>0.33333333333333331</v>
      </c>
      <c r="D2249" t="str">
        <f>TEXT(Table1[[#This Row],[order_date]],"mmmm")</f>
        <v>June</v>
      </c>
      <c r="E2249" s="1">
        <v>45469</v>
      </c>
      <c r="F2249" s="1" t="str">
        <f>TEXT(Table1[[#This Row],[order_date]],"dddd")</f>
        <v>Wednesday</v>
      </c>
      <c r="G2249">
        <f>HOUR(Table1[[#This Row],[order_time]])</f>
        <v>18</v>
      </c>
      <c r="H2249" s="2">
        <v>0.77888888888888885</v>
      </c>
      <c r="I2249" t="s">
        <v>16</v>
      </c>
      <c r="J2249" t="s">
        <v>28</v>
      </c>
      <c r="K2249">
        <v>5</v>
      </c>
      <c r="L2249">
        <v>25</v>
      </c>
      <c r="M2249">
        <v>125</v>
      </c>
      <c r="N2249">
        <f>IF(COUNTIFS($B$2:B2249,B2249)=1,1,0)</f>
        <v>0</v>
      </c>
    </row>
    <row r="2250" spans="1:14" x14ac:dyDescent="0.2">
      <c r="A2250">
        <v>2249</v>
      </c>
      <c r="B2250">
        <v>2133</v>
      </c>
      <c r="C2250">
        <f>1/COUNTIF(B:B,Table1[[#This Row],[order_id]])</f>
        <v>0.33333333333333331</v>
      </c>
      <c r="D2250" t="str">
        <f>TEXT(Table1[[#This Row],[order_date]],"mmmm")</f>
        <v>June</v>
      </c>
      <c r="E2250" s="1">
        <v>45469</v>
      </c>
      <c r="F2250" s="1" t="str">
        <f>TEXT(Table1[[#This Row],[order_date]],"dddd")</f>
        <v>Wednesday</v>
      </c>
      <c r="G2250">
        <f>HOUR(Table1[[#This Row],[order_time]])</f>
        <v>11</v>
      </c>
      <c r="H2250" s="2">
        <v>0.48988425925925927</v>
      </c>
      <c r="I2250" t="s">
        <v>16</v>
      </c>
      <c r="J2250" t="s">
        <v>23</v>
      </c>
      <c r="K2250">
        <v>1</v>
      </c>
      <c r="L2250">
        <v>30</v>
      </c>
      <c r="M2250">
        <v>30</v>
      </c>
      <c r="N2250">
        <f>IF(COUNTIFS($B$2:B2250,B2250)=1,1,0)</f>
        <v>1</v>
      </c>
    </row>
    <row r="2251" spans="1:14" x14ac:dyDescent="0.2">
      <c r="A2251">
        <v>2250</v>
      </c>
      <c r="B2251">
        <v>2133</v>
      </c>
      <c r="C2251">
        <f>1/COUNTIF(B:B,Table1[[#This Row],[order_id]])</f>
        <v>0.33333333333333331</v>
      </c>
      <c r="D2251" t="str">
        <f>TEXT(Table1[[#This Row],[order_date]],"mmmm")</f>
        <v>June</v>
      </c>
      <c r="E2251" s="1">
        <v>45469</v>
      </c>
      <c r="F2251" s="1" t="str">
        <f>TEXT(Table1[[#This Row],[order_date]],"dddd")</f>
        <v>Wednesday</v>
      </c>
      <c r="G2251">
        <f>HOUR(Table1[[#This Row],[order_time]])</f>
        <v>9</v>
      </c>
      <c r="H2251" s="2">
        <v>0.3891087962962963</v>
      </c>
      <c r="I2251" t="s">
        <v>16</v>
      </c>
      <c r="J2251" t="s">
        <v>28</v>
      </c>
      <c r="K2251">
        <v>1</v>
      </c>
      <c r="L2251">
        <v>25</v>
      </c>
      <c r="M2251">
        <v>25</v>
      </c>
      <c r="N2251">
        <f>IF(COUNTIFS($B$2:B2251,B2251)=1,1,0)</f>
        <v>0</v>
      </c>
    </row>
    <row r="2252" spans="1:14" x14ac:dyDescent="0.2">
      <c r="A2252">
        <v>2251</v>
      </c>
      <c r="B2252">
        <v>2133</v>
      </c>
      <c r="C2252">
        <f>1/COUNTIF(B:B,Table1[[#This Row],[order_id]])</f>
        <v>0.33333333333333331</v>
      </c>
      <c r="D2252" t="str">
        <f>TEXT(Table1[[#This Row],[order_date]],"mmmm")</f>
        <v>June</v>
      </c>
      <c r="E2252" s="1">
        <v>45469</v>
      </c>
      <c r="F2252" s="1" t="str">
        <f>TEXT(Table1[[#This Row],[order_date]],"dddd")</f>
        <v>Wednesday</v>
      </c>
      <c r="G2252">
        <f>HOUR(Table1[[#This Row],[order_time]])</f>
        <v>11</v>
      </c>
      <c r="H2252" s="2">
        <v>0.49118055555555556</v>
      </c>
      <c r="I2252" t="s">
        <v>16</v>
      </c>
      <c r="J2252" t="s">
        <v>24</v>
      </c>
      <c r="K2252">
        <v>3</v>
      </c>
      <c r="L2252">
        <v>35</v>
      </c>
      <c r="M2252">
        <v>105</v>
      </c>
      <c r="N2252">
        <f>IF(COUNTIFS($B$2:B2252,B2252)=1,1,0)</f>
        <v>0</v>
      </c>
    </row>
    <row r="2253" spans="1:14" x14ac:dyDescent="0.2">
      <c r="A2253">
        <v>2252</v>
      </c>
      <c r="B2253">
        <v>2134</v>
      </c>
      <c r="C2253">
        <f>1/COUNTIF(B:B,Table1[[#This Row],[order_id]])</f>
        <v>0.33333333333333331</v>
      </c>
      <c r="D2253" t="str">
        <f>TEXT(Table1[[#This Row],[order_date]],"mmmm")</f>
        <v>June</v>
      </c>
      <c r="E2253" s="1">
        <v>45469</v>
      </c>
      <c r="F2253" s="1" t="str">
        <f>TEXT(Table1[[#This Row],[order_date]],"dddd")</f>
        <v>Wednesday</v>
      </c>
      <c r="G2253">
        <f>HOUR(Table1[[#This Row],[order_time]])</f>
        <v>20</v>
      </c>
      <c r="H2253" s="2">
        <v>0.85776620370370371</v>
      </c>
      <c r="I2253" t="s">
        <v>11</v>
      </c>
      <c r="J2253" t="s">
        <v>14</v>
      </c>
      <c r="K2253">
        <v>2</v>
      </c>
      <c r="L2253">
        <v>700</v>
      </c>
      <c r="M2253">
        <v>1400</v>
      </c>
      <c r="N2253">
        <f>IF(COUNTIFS($B$2:B2253,B2253)=1,1,0)</f>
        <v>1</v>
      </c>
    </row>
    <row r="2254" spans="1:14" x14ac:dyDescent="0.2">
      <c r="A2254">
        <v>2253</v>
      </c>
      <c r="B2254">
        <v>2134</v>
      </c>
      <c r="C2254">
        <f>1/COUNTIF(B:B,Table1[[#This Row],[order_id]])</f>
        <v>0.33333333333333331</v>
      </c>
      <c r="D2254" t="str">
        <f>TEXT(Table1[[#This Row],[order_date]],"mmmm")</f>
        <v>June</v>
      </c>
      <c r="E2254" s="1">
        <v>45469</v>
      </c>
      <c r="F2254" s="1" t="str">
        <f>TEXT(Table1[[#This Row],[order_date]],"dddd")</f>
        <v>Wednesday</v>
      </c>
      <c r="G2254">
        <f>HOUR(Table1[[#This Row],[order_time]])</f>
        <v>11</v>
      </c>
      <c r="H2254" s="2">
        <v>0.47318287037037038</v>
      </c>
      <c r="I2254" t="s">
        <v>9</v>
      </c>
      <c r="J2254" t="s">
        <v>21</v>
      </c>
      <c r="K2254">
        <v>2</v>
      </c>
      <c r="L2254">
        <v>10</v>
      </c>
      <c r="M2254">
        <v>20</v>
      </c>
      <c r="N2254">
        <f>IF(COUNTIFS($B$2:B2254,B2254)=1,1,0)</f>
        <v>0</v>
      </c>
    </row>
    <row r="2255" spans="1:14" x14ac:dyDescent="0.2">
      <c r="A2255">
        <v>2254</v>
      </c>
      <c r="B2255">
        <v>2134</v>
      </c>
      <c r="C2255">
        <f>1/COUNTIF(B:B,Table1[[#This Row],[order_id]])</f>
        <v>0.33333333333333331</v>
      </c>
      <c r="D2255" t="str">
        <f>TEXT(Table1[[#This Row],[order_date]],"mmmm")</f>
        <v>June</v>
      </c>
      <c r="E2255" s="1">
        <v>45469</v>
      </c>
      <c r="F2255" s="1" t="str">
        <f>TEXT(Table1[[#This Row],[order_date]],"dddd")</f>
        <v>Wednesday</v>
      </c>
      <c r="G2255">
        <f>HOUR(Table1[[#This Row],[order_time]])</f>
        <v>15</v>
      </c>
      <c r="H2255" s="2">
        <v>0.66025462962962966</v>
      </c>
      <c r="I2255" t="s">
        <v>9</v>
      </c>
      <c r="J2255" t="s">
        <v>22</v>
      </c>
      <c r="K2255">
        <v>4</v>
      </c>
      <c r="L2255">
        <v>15</v>
      </c>
      <c r="M2255">
        <v>60</v>
      </c>
      <c r="N2255">
        <f>IF(COUNTIFS($B$2:B2255,B2255)=1,1,0)</f>
        <v>0</v>
      </c>
    </row>
    <row r="2256" spans="1:14" x14ac:dyDescent="0.2">
      <c r="A2256">
        <v>2255</v>
      </c>
      <c r="B2256">
        <v>2135</v>
      </c>
      <c r="C2256">
        <f>1/COUNTIF(B:B,Table1[[#This Row],[order_id]])</f>
        <v>0.33333333333333331</v>
      </c>
      <c r="D2256" t="str">
        <f>TEXT(Table1[[#This Row],[order_date]],"mmmm")</f>
        <v>June</v>
      </c>
      <c r="E2256" s="1">
        <v>45469</v>
      </c>
      <c r="F2256" s="1" t="str">
        <f>TEXT(Table1[[#This Row],[order_date]],"dddd")</f>
        <v>Wednesday</v>
      </c>
      <c r="G2256">
        <f>HOUR(Table1[[#This Row],[order_time]])</f>
        <v>11</v>
      </c>
      <c r="H2256" s="2">
        <v>0.49546296296296294</v>
      </c>
      <c r="I2256" t="s">
        <v>9</v>
      </c>
      <c r="J2256" t="s">
        <v>20</v>
      </c>
      <c r="K2256">
        <v>5</v>
      </c>
      <c r="L2256">
        <v>25</v>
      </c>
      <c r="M2256">
        <v>125</v>
      </c>
      <c r="N2256">
        <f>IF(COUNTIFS($B$2:B2256,B2256)=1,1,0)</f>
        <v>1</v>
      </c>
    </row>
    <row r="2257" spans="1:14" x14ac:dyDescent="0.2">
      <c r="A2257">
        <v>2256</v>
      </c>
      <c r="B2257">
        <v>2135</v>
      </c>
      <c r="C2257">
        <f>1/COUNTIF(B:B,Table1[[#This Row],[order_id]])</f>
        <v>0.33333333333333331</v>
      </c>
      <c r="D2257" t="str">
        <f>TEXT(Table1[[#This Row],[order_date]],"mmmm")</f>
        <v>June</v>
      </c>
      <c r="E2257" s="1">
        <v>45469</v>
      </c>
      <c r="F2257" s="1" t="str">
        <f>TEXT(Table1[[#This Row],[order_date]],"dddd")</f>
        <v>Wednesday</v>
      </c>
      <c r="G2257">
        <f>HOUR(Table1[[#This Row],[order_time]])</f>
        <v>11</v>
      </c>
      <c r="H2257" s="2">
        <v>0.46336805555555555</v>
      </c>
      <c r="I2257" t="s">
        <v>18</v>
      </c>
      <c r="J2257" t="s">
        <v>31</v>
      </c>
      <c r="K2257">
        <v>4</v>
      </c>
      <c r="L2257">
        <v>45</v>
      </c>
      <c r="M2257">
        <v>180</v>
      </c>
      <c r="N2257">
        <f>IF(COUNTIFS($B$2:B2257,B2257)=1,1,0)</f>
        <v>0</v>
      </c>
    </row>
    <row r="2258" spans="1:14" x14ac:dyDescent="0.2">
      <c r="A2258">
        <v>2257</v>
      </c>
      <c r="B2258">
        <v>2135</v>
      </c>
      <c r="C2258">
        <f>1/COUNTIF(B:B,Table1[[#This Row],[order_id]])</f>
        <v>0.33333333333333331</v>
      </c>
      <c r="D2258" t="str">
        <f>TEXT(Table1[[#This Row],[order_date]],"mmmm")</f>
        <v>June</v>
      </c>
      <c r="E2258" s="1">
        <v>45469</v>
      </c>
      <c r="F2258" s="1" t="str">
        <f>TEXT(Table1[[#This Row],[order_date]],"dddd")</f>
        <v>Wednesday</v>
      </c>
      <c r="G2258">
        <f>HOUR(Table1[[#This Row],[order_time]])</f>
        <v>15</v>
      </c>
      <c r="H2258" s="2">
        <v>0.64376157407407408</v>
      </c>
      <c r="I2258" t="s">
        <v>16</v>
      </c>
      <c r="J2258" t="s">
        <v>23</v>
      </c>
      <c r="K2258">
        <v>5</v>
      </c>
      <c r="L2258">
        <v>30</v>
      </c>
      <c r="M2258">
        <v>150</v>
      </c>
      <c r="N2258">
        <f>IF(COUNTIFS($B$2:B2258,B2258)=1,1,0)</f>
        <v>0</v>
      </c>
    </row>
    <row r="2259" spans="1:14" x14ac:dyDescent="0.2">
      <c r="A2259">
        <v>2258</v>
      </c>
      <c r="B2259">
        <v>2136</v>
      </c>
      <c r="C2259">
        <f>1/COUNTIF(B:B,Table1[[#This Row],[order_id]])</f>
        <v>1</v>
      </c>
      <c r="D2259" t="str">
        <f>TEXT(Table1[[#This Row],[order_date]],"mmmm")</f>
        <v>June</v>
      </c>
      <c r="E2259" s="1">
        <v>45469</v>
      </c>
      <c r="F2259" s="1" t="str">
        <f>TEXT(Table1[[#This Row],[order_date]],"dddd")</f>
        <v>Wednesday</v>
      </c>
      <c r="G2259">
        <f>HOUR(Table1[[#This Row],[order_time]])</f>
        <v>12</v>
      </c>
      <c r="H2259" s="2">
        <v>0.50307870370370367</v>
      </c>
      <c r="I2259" t="s">
        <v>18</v>
      </c>
      <c r="J2259" t="s">
        <v>31</v>
      </c>
      <c r="K2259">
        <v>4</v>
      </c>
      <c r="L2259">
        <v>45</v>
      </c>
      <c r="M2259">
        <v>180</v>
      </c>
      <c r="N2259">
        <f>IF(COUNTIFS($B$2:B2259,B2259)=1,1,0)</f>
        <v>1</v>
      </c>
    </row>
    <row r="2260" spans="1:14" x14ac:dyDescent="0.2">
      <c r="A2260">
        <v>2259</v>
      </c>
      <c r="B2260">
        <v>2137</v>
      </c>
      <c r="C2260">
        <f>1/COUNTIF(B:B,Table1[[#This Row],[order_id]])</f>
        <v>0.5</v>
      </c>
      <c r="D2260" t="str">
        <f>TEXT(Table1[[#This Row],[order_date]],"mmmm")</f>
        <v>June</v>
      </c>
      <c r="E2260" s="1">
        <v>45469</v>
      </c>
      <c r="F2260" s="1" t="str">
        <f>TEXT(Table1[[#This Row],[order_date]],"dddd")</f>
        <v>Wednesday</v>
      </c>
      <c r="G2260">
        <f>HOUR(Table1[[#This Row],[order_time]])</f>
        <v>13</v>
      </c>
      <c r="H2260" s="2">
        <v>0.57850694444444439</v>
      </c>
      <c r="I2260" t="s">
        <v>9</v>
      </c>
      <c r="J2260" t="s">
        <v>29</v>
      </c>
      <c r="K2260">
        <v>2</v>
      </c>
      <c r="L2260">
        <v>5</v>
      </c>
      <c r="M2260">
        <v>10</v>
      </c>
      <c r="N2260">
        <f>IF(COUNTIFS($B$2:B2260,B2260)=1,1,0)</f>
        <v>1</v>
      </c>
    </row>
    <row r="2261" spans="1:14" x14ac:dyDescent="0.2">
      <c r="A2261">
        <v>2260</v>
      </c>
      <c r="B2261">
        <v>2137</v>
      </c>
      <c r="C2261">
        <f>1/COUNTIF(B:B,Table1[[#This Row],[order_id]])</f>
        <v>0.5</v>
      </c>
      <c r="D2261" t="str">
        <f>TEXT(Table1[[#This Row],[order_date]],"mmmm")</f>
        <v>June</v>
      </c>
      <c r="E2261" s="1">
        <v>45469</v>
      </c>
      <c r="F2261" s="1" t="str">
        <f>TEXT(Table1[[#This Row],[order_date]],"dddd")</f>
        <v>Wednesday</v>
      </c>
      <c r="G2261">
        <f>HOUR(Table1[[#This Row],[order_time]])</f>
        <v>13</v>
      </c>
      <c r="H2261" s="2">
        <v>0.5813194444444445</v>
      </c>
      <c r="I2261" t="s">
        <v>11</v>
      </c>
      <c r="J2261" t="s">
        <v>15</v>
      </c>
      <c r="K2261">
        <v>2</v>
      </c>
      <c r="L2261">
        <v>600</v>
      </c>
      <c r="M2261">
        <v>1200</v>
      </c>
      <c r="N2261">
        <f>IF(COUNTIFS($B$2:B2261,B2261)=1,1,0)</f>
        <v>0</v>
      </c>
    </row>
    <row r="2262" spans="1:14" x14ac:dyDescent="0.2">
      <c r="A2262">
        <v>2261</v>
      </c>
      <c r="B2262">
        <v>2138</v>
      </c>
      <c r="C2262">
        <f>1/COUNTIF(B:B,Table1[[#This Row],[order_id]])</f>
        <v>0.5</v>
      </c>
      <c r="D2262" t="str">
        <f>TEXT(Table1[[#This Row],[order_date]],"mmmm")</f>
        <v>June</v>
      </c>
      <c r="E2262" s="1">
        <v>45469</v>
      </c>
      <c r="F2262" s="1" t="str">
        <f>TEXT(Table1[[#This Row],[order_date]],"dddd")</f>
        <v>Wednesday</v>
      </c>
      <c r="G2262">
        <f>HOUR(Table1[[#This Row],[order_time]])</f>
        <v>16</v>
      </c>
      <c r="H2262" s="2">
        <v>0.67166666666666663</v>
      </c>
      <c r="I2262" t="s">
        <v>16</v>
      </c>
      <c r="J2262" t="s">
        <v>23</v>
      </c>
      <c r="K2262">
        <v>5</v>
      </c>
      <c r="L2262">
        <v>30</v>
      </c>
      <c r="M2262">
        <v>150</v>
      </c>
      <c r="N2262">
        <f>IF(COUNTIFS($B$2:B2262,B2262)=1,1,0)</f>
        <v>1</v>
      </c>
    </row>
    <row r="2263" spans="1:14" x14ac:dyDescent="0.2">
      <c r="A2263">
        <v>2262</v>
      </c>
      <c r="B2263">
        <v>2138</v>
      </c>
      <c r="C2263">
        <f>1/COUNTIF(B:B,Table1[[#This Row],[order_id]])</f>
        <v>0.5</v>
      </c>
      <c r="D2263" t="str">
        <f>TEXT(Table1[[#This Row],[order_date]],"mmmm")</f>
        <v>June</v>
      </c>
      <c r="E2263" s="1">
        <v>45469</v>
      </c>
      <c r="F2263" s="1" t="str">
        <f>TEXT(Table1[[#This Row],[order_date]],"dddd")</f>
        <v>Wednesday</v>
      </c>
      <c r="G2263">
        <f>HOUR(Table1[[#This Row],[order_time]])</f>
        <v>18</v>
      </c>
      <c r="H2263" s="2">
        <v>0.75940972222222225</v>
      </c>
      <c r="I2263" t="s">
        <v>16</v>
      </c>
      <c r="J2263" t="s">
        <v>24</v>
      </c>
      <c r="K2263">
        <v>4</v>
      </c>
      <c r="L2263">
        <v>35</v>
      </c>
      <c r="M2263">
        <v>140</v>
      </c>
      <c r="N2263">
        <f>IF(COUNTIFS($B$2:B2263,B2263)=1,1,0)</f>
        <v>0</v>
      </c>
    </row>
    <row r="2264" spans="1:14" x14ac:dyDescent="0.2">
      <c r="A2264">
        <v>2263</v>
      </c>
      <c r="B2264">
        <v>2139</v>
      </c>
      <c r="C2264">
        <f>1/COUNTIF(B:B,Table1[[#This Row],[order_id]])</f>
        <v>0.5</v>
      </c>
      <c r="D2264" t="str">
        <f>TEXT(Table1[[#This Row],[order_date]],"mmmm")</f>
        <v>June</v>
      </c>
      <c r="E2264" s="1">
        <v>45469</v>
      </c>
      <c r="F2264" s="1" t="str">
        <f>TEXT(Table1[[#This Row],[order_date]],"dddd")</f>
        <v>Wednesday</v>
      </c>
      <c r="G2264">
        <f>HOUR(Table1[[#This Row],[order_time]])</f>
        <v>16</v>
      </c>
      <c r="H2264" s="2">
        <v>0.70278935185185187</v>
      </c>
      <c r="I2264" t="s">
        <v>11</v>
      </c>
      <c r="J2264" t="s">
        <v>15</v>
      </c>
      <c r="K2264">
        <v>3</v>
      </c>
      <c r="L2264">
        <v>600</v>
      </c>
      <c r="M2264">
        <v>1800</v>
      </c>
      <c r="N2264">
        <f>IF(COUNTIFS($B$2:B2264,B2264)=1,1,0)</f>
        <v>1</v>
      </c>
    </row>
    <row r="2265" spans="1:14" x14ac:dyDescent="0.2">
      <c r="A2265">
        <v>2264</v>
      </c>
      <c r="B2265">
        <v>2139</v>
      </c>
      <c r="C2265">
        <f>1/COUNTIF(B:B,Table1[[#This Row],[order_id]])</f>
        <v>0.5</v>
      </c>
      <c r="D2265" t="str">
        <f>TEXT(Table1[[#This Row],[order_date]],"mmmm")</f>
        <v>June</v>
      </c>
      <c r="E2265" s="1">
        <v>45469</v>
      </c>
      <c r="F2265" s="1" t="str">
        <f>TEXT(Table1[[#This Row],[order_date]],"dddd")</f>
        <v>Wednesday</v>
      </c>
      <c r="G2265">
        <f>HOUR(Table1[[#This Row],[order_time]])</f>
        <v>19</v>
      </c>
      <c r="H2265" s="2">
        <v>0.81590277777777775</v>
      </c>
      <c r="I2265" t="s">
        <v>11</v>
      </c>
      <c r="J2265" t="s">
        <v>12</v>
      </c>
      <c r="K2265">
        <v>1</v>
      </c>
      <c r="L2265">
        <v>650</v>
      </c>
      <c r="M2265">
        <v>650</v>
      </c>
      <c r="N2265">
        <f>IF(COUNTIFS($B$2:B2265,B2265)=1,1,0)</f>
        <v>0</v>
      </c>
    </row>
    <row r="2266" spans="1:14" x14ac:dyDescent="0.2">
      <c r="A2266">
        <v>2265</v>
      </c>
      <c r="B2266">
        <v>2140</v>
      </c>
      <c r="C2266">
        <f>1/COUNTIF(B:B,Table1[[#This Row],[order_id]])</f>
        <v>0.5</v>
      </c>
      <c r="D2266" t="str">
        <f>TEXT(Table1[[#This Row],[order_date]],"mmmm")</f>
        <v>June</v>
      </c>
      <c r="E2266" s="1">
        <v>45470</v>
      </c>
      <c r="F2266" s="1" t="str">
        <f>TEXT(Table1[[#This Row],[order_date]],"dddd")</f>
        <v>Thursday</v>
      </c>
      <c r="G2266">
        <f>HOUR(Table1[[#This Row],[order_time]])</f>
        <v>15</v>
      </c>
      <c r="H2266" s="2">
        <v>0.63359953703703709</v>
      </c>
      <c r="I2266" t="s">
        <v>11</v>
      </c>
      <c r="J2266" t="s">
        <v>13</v>
      </c>
      <c r="K2266">
        <v>5</v>
      </c>
      <c r="L2266">
        <v>680</v>
      </c>
      <c r="M2266">
        <v>3400</v>
      </c>
      <c r="N2266">
        <f>IF(COUNTIFS($B$2:B2266,B2266)=1,1,0)</f>
        <v>1</v>
      </c>
    </row>
    <row r="2267" spans="1:14" x14ac:dyDescent="0.2">
      <c r="A2267">
        <v>2266</v>
      </c>
      <c r="B2267">
        <v>2140</v>
      </c>
      <c r="C2267">
        <f>1/COUNTIF(B:B,Table1[[#This Row],[order_id]])</f>
        <v>0.5</v>
      </c>
      <c r="D2267" t="str">
        <f>TEXT(Table1[[#This Row],[order_date]],"mmmm")</f>
        <v>June</v>
      </c>
      <c r="E2267" s="1">
        <v>45470</v>
      </c>
      <c r="F2267" s="1" t="str">
        <f>TEXT(Table1[[#This Row],[order_date]],"dddd")</f>
        <v>Thursday</v>
      </c>
      <c r="G2267">
        <f>HOUR(Table1[[#This Row],[order_time]])</f>
        <v>20</v>
      </c>
      <c r="H2267" s="2">
        <v>0.86393518518518519</v>
      </c>
      <c r="I2267" t="s">
        <v>11</v>
      </c>
      <c r="J2267" t="s">
        <v>12</v>
      </c>
      <c r="K2267">
        <v>1</v>
      </c>
      <c r="L2267">
        <v>650</v>
      </c>
      <c r="M2267">
        <v>650</v>
      </c>
      <c r="N2267">
        <f>IF(COUNTIFS($B$2:B2267,B2267)=1,1,0)</f>
        <v>0</v>
      </c>
    </row>
    <row r="2268" spans="1:14" x14ac:dyDescent="0.2">
      <c r="A2268">
        <v>2267</v>
      </c>
      <c r="B2268">
        <v>2141</v>
      </c>
      <c r="C2268">
        <f>1/COUNTIF(B:B,Table1[[#This Row],[order_id]])</f>
        <v>1</v>
      </c>
      <c r="D2268" t="str">
        <f>TEXT(Table1[[#This Row],[order_date]],"mmmm")</f>
        <v>June</v>
      </c>
      <c r="E2268" s="1">
        <v>45470</v>
      </c>
      <c r="F2268" s="1" t="str">
        <f>TEXT(Table1[[#This Row],[order_date]],"dddd")</f>
        <v>Thursday</v>
      </c>
      <c r="G2268">
        <f>HOUR(Table1[[#This Row],[order_time]])</f>
        <v>13</v>
      </c>
      <c r="H2268" s="2">
        <v>0.54675925925925928</v>
      </c>
      <c r="I2268" t="s">
        <v>18</v>
      </c>
      <c r="J2268" t="s">
        <v>27</v>
      </c>
      <c r="K2268">
        <v>5</v>
      </c>
      <c r="L2268">
        <v>40</v>
      </c>
      <c r="M2268">
        <v>200</v>
      </c>
      <c r="N2268">
        <f>IF(COUNTIFS($B$2:B2268,B2268)=1,1,0)</f>
        <v>1</v>
      </c>
    </row>
    <row r="2269" spans="1:14" x14ac:dyDescent="0.2">
      <c r="A2269">
        <v>2268</v>
      </c>
      <c r="B2269">
        <v>2142</v>
      </c>
      <c r="C2269">
        <f>1/COUNTIF(B:B,Table1[[#This Row],[order_id]])</f>
        <v>1</v>
      </c>
      <c r="D2269" t="str">
        <f>TEXT(Table1[[#This Row],[order_date]],"mmmm")</f>
        <v>June</v>
      </c>
      <c r="E2269" s="1">
        <v>45470</v>
      </c>
      <c r="F2269" s="1" t="str">
        <f>TEXT(Table1[[#This Row],[order_date]],"dddd")</f>
        <v>Thursday</v>
      </c>
      <c r="G2269">
        <f>HOUR(Table1[[#This Row],[order_time]])</f>
        <v>10</v>
      </c>
      <c r="H2269" s="2">
        <v>0.4392361111111111</v>
      </c>
      <c r="I2269" t="s">
        <v>11</v>
      </c>
      <c r="J2269" t="s">
        <v>14</v>
      </c>
      <c r="K2269">
        <v>2</v>
      </c>
      <c r="L2269">
        <v>700</v>
      </c>
      <c r="M2269">
        <v>1400</v>
      </c>
      <c r="N2269">
        <f>IF(COUNTIFS($B$2:B2269,B2269)=1,1,0)</f>
        <v>1</v>
      </c>
    </row>
    <row r="2270" spans="1:14" x14ac:dyDescent="0.2">
      <c r="A2270">
        <v>2269</v>
      </c>
      <c r="B2270">
        <v>2143</v>
      </c>
      <c r="C2270">
        <f>1/COUNTIF(B:B,Table1[[#This Row],[order_id]])</f>
        <v>1</v>
      </c>
      <c r="D2270" t="str">
        <f>TEXT(Table1[[#This Row],[order_date]],"mmmm")</f>
        <v>June</v>
      </c>
      <c r="E2270" s="1">
        <v>45470</v>
      </c>
      <c r="F2270" s="1" t="str">
        <f>TEXT(Table1[[#This Row],[order_date]],"dddd")</f>
        <v>Thursday</v>
      </c>
      <c r="G2270">
        <f>HOUR(Table1[[#This Row],[order_time]])</f>
        <v>17</v>
      </c>
      <c r="H2270" s="2">
        <v>0.74456018518518519</v>
      </c>
      <c r="I2270" t="s">
        <v>11</v>
      </c>
      <c r="J2270" t="s">
        <v>15</v>
      </c>
      <c r="K2270">
        <v>5</v>
      </c>
      <c r="L2270">
        <v>600</v>
      </c>
      <c r="M2270">
        <v>3000</v>
      </c>
      <c r="N2270">
        <f>IF(COUNTIFS($B$2:B2270,B2270)=1,1,0)</f>
        <v>1</v>
      </c>
    </row>
    <row r="2271" spans="1:14" x14ac:dyDescent="0.2">
      <c r="A2271">
        <v>2270</v>
      </c>
      <c r="B2271">
        <v>2144</v>
      </c>
      <c r="C2271">
        <f>1/COUNTIF(B:B,Table1[[#This Row],[order_id]])</f>
        <v>1</v>
      </c>
      <c r="D2271" t="str">
        <f>TEXT(Table1[[#This Row],[order_date]],"mmmm")</f>
        <v>June</v>
      </c>
      <c r="E2271" s="1">
        <v>45470</v>
      </c>
      <c r="F2271" s="1" t="str">
        <f>TEXT(Table1[[#This Row],[order_date]],"dddd")</f>
        <v>Thursday</v>
      </c>
      <c r="G2271">
        <f>HOUR(Table1[[#This Row],[order_time]])</f>
        <v>20</v>
      </c>
      <c r="H2271" s="2">
        <v>0.8499768518518519</v>
      </c>
      <c r="I2271" t="s">
        <v>9</v>
      </c>
      <c r="J2271" t="s">
        <v>20</v>
      </c>
      <c r="K2271">
        <v>2</v>
      </c>
      <c r="L2271">
        <v>25</v>
      </c>
      <c r="M2271">
        <v>50</v>
      </c>
      <c r="N2271">
        <f>IF(COUNTIFS($B$2:B2271,B2271)=1,1,0)</f>
        <v>1</v>
      </c>
    </row>
    <row r="2272" spans="1:14" x14ac:dyDescent="0.2">
      <c r="A2272">
        <v>2271</v>
      </c>
      <c r="B2272">
        <v>2145</v>
      </c>
      <c r="C2272">
        <f>1/COUNTIF(B:B,Table1[[#This Row],[order_id]])</f>
        <v>0.33333333333333331</v>
      </c>
      <c r="D2272" t="str">
        <f>TEXT(Table1[[#This Row],[order_date]],"mmmm")</f>
        <v>June</v>
      </c>
      <c r="E2272" s="1">
        <v>45470</v>
      </c>
      <c r="F2272" s="1" t="str">
        <f>TEXT(Table1[[#This Row],[order_date]],"dddd")</f>
        <v>Thursday</v>
      </c>
      <c r="G2272">
        <f>HOUR(Table1[[#This Row],[order_time]])</f>
        <v>13</v>
      </c>
      <c r="H2272" s="2">
        <v>0.54218750000000004</v>
      </c>
      <c r="I2272" t="s">
        <v>18</v>
      </c>
      <c r="J2272" t="s">
        <v>19</v>
      </c>
      <c r="K2272">
        <v>2</v>
      </c>
      <c r="L2272">
        <v>50</v>
      </c>
      <c r="M2272">
        <v>100</v>
      </c>
      <c r="N2272">
        <f>IF(COUNTIFS($B$2:B2272,B2272)=1,1,0)</f>
        <v>1</v>
      </c>
    </row>
    <row r="2273" spans="1:14" x14ac:dyDescent="0.2">
      <c r="A2273">
        <v>2272</v>
      </c>
      <c r="B2273">
        <v>2145</v>
      </c>
      <c r="C2273">
        <f>1/COUNTIF(B:B,Table1[[#This Row],[order_id]])</f>
        <v>0.33333333333333331</v>
      </c>
      <c r="D2273" t="str">
        <f>TEXT(Table1[[#This Row],[order_date]],"mmmm")</f>
        <v>June</v>
      </c>
      <c r="E2273" s="1">
        <v>45470</v>
      </c>
      <c r="F2273" s="1" t="str">
        <f>TEXT(Table1[[#This Row],[order_date]],"dddd")</f>
        <v>Thursday</v>
      </c>
      <c r="G2273">
        <f>HOUR(Table1[[#This Row],[order_time]])</f>
        <v>13</v>
      </c>
      <c r="H2273" s="2">
        <v>0.56680555555555556</v>
      </c>
      <c r="I2273" t="s">
        <v>11</v>
      </c>
      <c r="J2273" t="s">
        <v>15</v>
      </c>
      <c r="K2273">
        <v>4</v>
      </c>
      <c r="L2273">
        <v>600</v>
      </c>
      <c r="M2273">
        <v>2400</v>
      </c>
      <c r="N2273">
        <f>IF(COUNTIFS($B$2:B2273,B2273)=1,1,0)</f>
        <v>0</v>
      </c>
    </row>
    <row r="2274" spans="1:14" x14ac:dyDescent="0.2">
      <c r="A2274">
        <v>2273</v>
      </c>
      <c r="B2274">
        <v>2145</v>
      </c>
      <c r="C2274">
        <f>1/COUNTIF(B:B,Table1[[#This Row],[order_id]])</f>
        <v>0.33333333333333331</v>
      </c>
      <c r="D2274" t="str">
        <f>TEXT(Table1[[#This Row],[order_date]],"mmmm")</f>
        <v>June</v>
      </c>
      <c r="E2274" s="1">
        <v>45470</v>
      </c>
      <c r="F2274" s="1" t="str">
        <f>TEXT(Table1[[#This Row],[order_date]],"dddd")</f>
        <v>Thursday</v>
      </c>
      <c r="G2274">
        <f>HOUR(Table1[[#This Row],[order_time]])</f>
        <v>15</v>
      </c>
      <c r="H2274" s="2">
        <v>0.63120370370370371</v>
      </c>
      <c r="I2274" t="s">
        <v>18</v>
      </c>
      <c r="J2274" t="s">
        <v>30</v>
      </c>
      <c r="K2274">
        <v>1</v>
      </c>
      <c r="L2274">
        <v>60</v>
      </c>
      <c r="M2274">
        <v>60</v>
      </c>
      <c r="N2274">
        <f>IF(COUNTIFS($B$2:B2274,B2274)=1,1,0)</f>
        <v>0</v>
      </c>
    </row>
    <row r="2275" spans="1:14" x14ac:dyDescent="0.2">
      <c r="A2275">
        <v>2274</v>
      </c>
      <c r="B2275">
        <v>2146</v>
      </c>
      <c r="C2275">
        <f>1/COUNTIF(B:B,Table1[[#This Row],[order_id]])</f>
        <v>1</v>
      </c>
      <c r="D2275" t="str">
        <f>TEXT(Table1[[#This Row],[order_date]],"mmmm")</f>
        <v>June</v>
      </c>
      <c r="E2275" s="1">
        <v>45470</v>
      </c>
      <c r="F2275" s="1" t="str">
        <f>TEXT(Table1[[#This Row],[order_date]],"dddd")</f>
        <v>Thursday</v>
      </c>
      <c r="G2275">
        <f>HOUR(Table1[[#This Row],[order_time]])</f>
        <v>17</v>
      </c>
      <c r="H2275" s="2">
        <v>0.7300578703703704</v>
      </c>
      <c r="I2275" t="s">
        <v>18</v>
      </c>
      <c r="J2275" t="s">
        <v>30</v>
      </c>
      <c r="K2275">
        <v>2</v>
      </c>
      <c r="L2275">
        <v>60</v>
      </c>
      <c r="M2275">
        <v>120</v>
      </c>
      <c r="N2275">
        <f>IF(COUNTIFS($B$2:B2275,B2275)=1,1,0)</f>
        <v>1</v>
      </c>
    </row>
    <row r="2276" spans="1:14" x14ac:dyDescent="0.2">
      <c r="A2276">
        <v>2275</v>
      </c>
      <c r="B2276">
        <v>2147</v>
      </c>
      <c r="C2276">
        <f>1/COUNTIF(B:B,Table1[[#This Row],[order_id]])</f>
        <v>0.5</v>
      </c>
      <c r="D2276" t="str">
        <f>TEXT(Table1[[#This Row],[order_date]],"mmmm")</f>
        <v>June</v>
      </c>
      <c r="E2276" s="1">
        <v>45470</v>
      </c>
      <c r="F2276" s="1" t="str">
        <f>TEXT(Table1[[#This Row],[order_date]],"dddd")</f>
        <v>Thursday</v>
      </c>
      <c r="G2276">
        <f>HOUR(Table1[[#This Row],[order_time]])</f>
        <v>10</v>
      </c>
      <c r="H2276" s="2">
        <v>0.42515046296296294</v>
      </c>
      <c r="I2276" t="s">
        <v>9</v>
      </c>
      <c r="J2276" t="s">
        <v>22</v>
      </c>
      <c r="K2276">
        <v>5</v>
      </c>
      <c r="L2276">
        <v>15</v>
      </c>
      <c r="M2276">
        <v>75</v>
      </c>
      <c r="N2276">
        <f>IF(COUNTIFS($B$2:B2276,B2276)=1,1,0)</f>
        <v>1</v>
      </c>
    </row>
    <row r="2277" spans="1:14" x14ac:dyDescent="0.2">
      <c r="A2277">
        <v>2276</v>
      </c>
      <c r="B2277">
        <v>2147</v>
      </c>
      <c r="C2277">
        <f>1/COUNTIF(B:B,Table1[[#This Row],[order_id]])</f>
        <v>0.5</v>
      </c>
      <c r="D2277" t="str">
        <f>TEXT(Table1[[#This Row],[order_date]],"mmmm")</f>
        <v>June</v>
      </c>
      <c r="E2277" s="1">
        <v>45470</v>
      </c>
      <c r="F2277" s="1" t="str">
        <f>TEXT(Table1[[#This Row],[order_date]],"dddd")</f>
        <v>Thursday</v>
      </c>
      <c r="G2277">
        <f>HOUR(Table1[[#This Row],[order_time]])</f>
        <v>15</v>
      </c>
      <c r="H2277" s="2">
        <v>0.66251157407407413</v>
      </c>
      <c r="I2277" t="s">
        <v>18</v>
      </c>
      <c r="J2277" t="s">
        <v>19</v>
      </c>
      <c r="K2277">
        <v>4</v>
      </c>
      <c r="L2277">
        <v>50</v>
      </c>
      <c r="M2277">
        <v>200</v>
      </c>
      <c r="N2277">
        <f>IF(COUNTIFS($B$2:B2277,B2277)=1,1,0)</f>
        <v>0</v>
      </c>
    </row>
    <row r="2278" spans="1:14" x14ac:dyDescent="0.2">
      <c r="A2278">
        <v>2277</v>
      </c>
      <c r="B2278">
        <v>2148</v>
      </c>
      <c r="C2278">
        <f>1/COUNTIF(B:B,Table1[[#This Row],[order_id]])</f>
        <v>1</v>
      </c>
      <c r="D2278" t="str">
        <f>TEXT(Table1[[#This Row],[order_date]],"mmmm")</f>
        <v>June</v>
      </c>
      <c r="E2278" s="1">
        <v>45470</v>
      </c>
      <c r="F2278" s="1" t="str">
        <f>TEXT(Table1[[#This Row],[order_date]],"dddd")</f>
        <v>Thursday</v>
      </c>
      <c r="G2278">
        <f>HOUR(Table1[[#This Row],[order_time]])</f>
        <v>10</v>
      </c>
      <c r="H2278" s="2">
        <v>0.45793981481481483</v>
      </c>
      <c r="I2278" t="s">
        <v>18</v>
      </c>
      <c r="J2278" t="s">
        <v>26</v>
      </c>
      <c r="K2278">
        <v>5</v>
      </c>
      <c r="L2278">
        <v>55</v>
      </c>
      <c r="M2278">
        <v>275</v>
      </c>
      <c r="N2278">
        <f>IF(COUNTIFS($B$2:B2278,B2278)=1,1,0)</f>
        <v>1</v>
      </c>
    </row>
    <row r="2279" spans="1:14" x14ac:dyDescent="0.2">
      <c r="A2279">
        <v>2278</v>
      </c>
      <c r="B2279">
        <v>2149</v>
      </c>
      <c r="C2279">
        <f>1/COUNTIF(B:B,Table1[[#This Row],[order_id]])</f>
        <v>0.33333333333333331</v>
      </c>
      <c r="D2279" t="str">
        <f>TEXT(Table1[[#This Row],[order_date]],"mmmm")</f>
        <v>June</v>
      </c>
      <c r="E2279" s="1">
        <v>45471</v>
      </c>
      <c r="F2279" s="1" t="str">
        <f>TEXT(Table1[[#This Row],[order_date]],"dddd")</f>
        <v>Friday</v>
      </c>
      <c r="G2279">
        <f>HOUR(Table1[[#This Row],[order_time]])</f>
        <v>12</v>
      </c>
      <c r="H2279" s="2">
        <v>0.5400462962962963</v>
      </c>
      <c r="I2279" t="s">
        <v>9</v>
      </c>
      <c r="J2279" t="s">
        <v>20</v>
      </c>
      <c r="K2279">
        <v>3</v>
      </c>
      <c r="L2279">
        <v>25</v>
      </c>
      <c r="M2279">
        <v>75</v>
      </c>
      <c r="N2279">
        <f>IF(COUNTIFS($B$2:B2279,B2279)=1,1,0)</f>
        <v>1</v>
      </c>
    </row>
    <row r="2280" spans="1:14" x14ac:dyDescent="0.2">
      <c r="A2280">
        <v>2279</v>
      </c>
      <c r="B2280">
        <v>2149</v>
      </c>
      <c r="C2280">
        <f>1/COUNTIF(B:B,Table1[[#This Row],[order_id]])</f>
        <v>0.33333333333333331</v>
      </c>
      <c r="D2280" t="str">
        <f>TEXT(Table1[[#This Row],[order_date]],"mmmm")</f>
        <v>June</v>
      </c>
      <c r="E2280" s="1">
        <v>45471</v>
      </c>
      <c r="F2280" s="1" t="str">
        <f>TEXT(Table1[[#This Row],[order_date]],"dddd")</f>
        <v>Friday</v>
      </c>
      <c r="G2280">
        <f>HOUR(Table1[[#This Row],[order_time]])</f>
        <v>11</v>
      </c>
      <c r="H2280" s="2">
        <v>0.48584490740740743</v>
      </c>
      <c r="I2280" t="s">
        <v>11</v>
      </c>
      <c r="J2280" t="s">
        <v>14</v>
      </c>
      <c r="K2280">
        <v>1</v>
      </c>
      <c r="L2280">
        <v>700</v>
      </c>
      <c r="M2280">
        <v>700</v>
      </c>
      <c r="N2280">
        <f>IF(COUNTIFS($B$2:B2280,B2280)=1,1,0)</f>
        <v>0</v>
      </c>
    </row>
    <row r="2281" spans="1:14" x14ac:dyDescent="0.2">
      <c r="A2281">
        <v>2280</v>
      </c>
      <c r="B2281">
        <v>2149</v>
      </c>
      <c r="C2281">
        <f>1/COUNTIF(B:B,Table1[[#This Row],[order_id]])</f>
        <v>0.33333333333333331</v>
      </c>
      <c r="D2281" t="str">
        <f>TEXT(Table1[[#This Row],[order_date]],"mmmm")</f>
        <v>June</v>
      </c>
      <c r="E2281" s="1">
        <v>45471</v>
      </c>
      <c r="F2281" s="1" t="str">
        <f>TEXT(Table1[[#This Row],[order_date]],"dddd")</f>
        <v>Friday</v>
      </c>
      <c r="G2281">
        <f>HOUR(Table1[[#This Row],[order_time]])</f>
        <v>10</v>
      </c>
      <c r="H2281" s="2">
        <v>0.4400810185185185</v>
      </c>
      <c r="I2281" t="s">
        <v>16</v>
      </c>
      <c r="J2281" t="s">
        <v>24</v>
      </c>
      <c r="K2281">
        <v>2</v>
      </c>
      <c r="L2281">
        <v>35</v>
      </c>
      <c r="M2281">
        <v>70</v>
      </c>
      <c r="N2281">
        <f>IF(COUNTIFS($B$2:B2281,B2281)=1,1,0)</f>
        <v>0</v>
      </c>
    </row>
    <row r="2282" spans="1:14" x14ac:dyDescent="0.2">
      <c r="A2282">
        <v>2281</v>
      </c>
      <c r="B2282">
        <v>2150</v>
      </c>
      <c r="C2282">
        <f>1/COUNTIF(B:B,Table1[[#This Row],[order_id]])</f>
        <v>1</v>
      </c>
      <c r="D2282" t="str">
        <f>TEXT(Table1[[#This Row],[order_date]],"mmmm")</f>
        <v>June</v>
      </c>
      <c r="E2282" s="1">
        <v>45471</v>
      </c>
      <c r="F2282" s="1" t="str">
        <f>TEXT(Table1[[#This Row],[order_date]],"dddd")</f>
        <v>Friday</v>
      </c>
      <c r="G2282">
        <f>HOUR(Table1[[#This Row],[order_time]])</f>
        <v>9</v>
      </c>
      <c r="H2282" s="2">
        <v>0.40240740740740738</v>
      </c>
      <c r="I2282" t="s">
        <v>11</v>
      </c>
      <c r="J2282" t="s">
        <v>25</v>
      </c>
      <c r="K2282">
        <v>2</v>
      </c>
      <c r="L2282">
        <v>1000</v>
      </c>
      <c r="M2282">
        <v>2000</v>
      </c>
      <c r="N2282">
        <f>IF(COUNTIFS($B$2:B2282,B2282)=1,1,0)</f>
        <v>1</v>
      </c>
    </row>
    <row r="2283" spans="1:14" x14ac:dyDescent="0.2">
      <c r="A2283">
        <v>2282</v>
      </c>
      <c r="B2283">
        <v>2151</v>
      </c>
      <c r="C2283">
        <f>1/COUNTIF(B:B,Table1[[#This Row],[order_id]])</f>
        <v>0.5</v>
      </c>
      <c r="D2283" t="str">
        <f>TEXT(Table1[[#This Row],[order_date]],"mmmm")</f>
        <v>June</v>
      </c>
      <c r="E2283" s="1">
        <v>45471</v>
      </c>
      <c r="F2283" s="1" t="str">
        <f>TEXT(Table1[[#This Row],[order_date]],"dddd")</f>
        <v>Friday</v>
      </c>
      <c r="G2283">
        <f>HOUR(Table1[[#This Row],[order_time]])</f>
        <v>12</v>
      </c>
      <c r="H2283" s="2">
        <v>0.53703703703703709</v>
      </c>
      <c r="I2283" t="s">
        <v>9</v>
      </c>
      <c r="J2283" t="s">
        <v>10</v>
      </c>
      <c r="K2283">
        <v>4</v>
      </c>
      <c r="L2283">
        <v>20</v>
      </c>
      <c r="M2283">
        <v>80</v>
      </c>
      <c r="N2283">
        <f>IF(COUNTIFS($B$2:B2283,B2283)=1,1,0)</f>
        <v>1</v>
      </c>
    </row>
    <row r="2284" spans="1:14" x14ac:dyDescent="0.2">
      <c r="A2284">
        <v>2283</v>
      </c>
      <c r="B2284">
        <v>2151</v>
      </c>
      <c r="C2284">
        <f>1/COUNTIF(B:B,Table1[[#This Row],[order_id]])</f>
        <v>0.5</v>
      </c>
      <c r="D2284" t="str">
        <f>TEXT(Table1[[#This Row],[order_date]],"mmmm")</f>
        <v>June</v>
      </c>
      <c r="E2284" s="1">
        <v>45471</v>
      </c>
      <c r="F2284" s="1" t="str">
        <f>TEXT(Table1[[#This Row],[order_date]],"dddd")</f>
        <v>Friday</v>
      </c>
      <c r="G2284">
        <f>HOUR(Table1[[#This Row],[order_time]])</f>
        <v>12</v>
      </c>
      <c r="H2284" s="2">
        <v>0.53270833333333334</v>
      </c>
      <c r="I2284" t="s">
        <v>9</v>
      </c>
      <c r="J2284" t="s">
        <v>20</v>
      </c>
      <c r="K2284">
        <v>4</v>
      </c>
      <c r="L2284">
        <v>25</v>
      </c>
      <c r="M2284">
        <v>100</v>
      </c>
      <c r="N2284">
        <f>IF(COUNTIFS($B$2:B2284,B2284)=1,1,0)</f>
        <v>0</v>
      </c>
    </row>
    <row r="2285" spans="1:14" x14ac:dyDescent="0.2">
      <c r="A2285">
        <v>2284</v>
      </c>
      <c r="B2285">
        <v>2152</v>
      </c>
      <c r="C2285">
        <f>1/COUNTIF(B:B,Table1[[#This Row],[order_id]])</f>
        <v>0.33333333333333331</v>
      </c>
      <c r="D2285" t="str">
        <f>TEXT(Table1[[#This Row],[order_date]],"mmmm")</f>
        <v>June</v>
      </c>
      <c r="E2285" s="1">
        <v>45471</v>
      </c>
      <c r="F2285" s="1" t="str">
        <f>TEXT(Table1[[#This Row],[order_date]],"dddd")</f>
        <v>Friday</v>
      </c>
      <c r="G2285">
        <f>HOUR(Table1[[#This Row],[order_time]])</f>
        <v>16</v>
      </c>
      <c r="H2285" s="2">
        <v>0.68707175925925923</v>
      </c>
      <c r="I2285" t="s">
        <v>11</v>
      </c>
      <c r="J2285" t="s">
        <v>25</v>
      </c>
      <c r="K2285">
        <v>2</v>
      </c>
      <c r="L2285">
        <v>1000</v>
      </c>
      <c r="M2285">
        <v>2000</v>
      </c>
      <c r="N2285">
        <f>IF(COUNTIFS($B$2:B2285,B2285)=1,1,0)</f>
        <v>1</v>
      </c>
    </row>
    <row r="2286" spans="1:14" x14ac:dyDescent="0.2">
      <c r="A2286">
        <v>2285</v>
      </c>
      <c r="B2286">
        <v>2152</v>
      </c>
      <c r="C2286">
        <f>1/COUNTIF(B:B,Table1[[#This Row],[order_id]])</f>
        <v>0.33333333333333331</v>
      </c>
      <c r="D2286" t="str">
        <f>TEXT(Table1[[#This Row],[order_date]],"mmmm")</f>
        <v>June</v>
      </c>
      <c r="E2286" s="1">
        <v>45471</v>
      </c>
      <c r="F2286" s="1" t="str">
        <f>TEXT(Table1[[#This Row],[order_date]],"dddd")</f>
        <v>Friday</v>
      </c>
      <c r="G2286">
        <f>HOUR(Table1[[#This Row],[order_time]])</f>
        <v>18</v>
      </c>
      <c r="H2286" s="2">
        <v>0.77967592592592594</v>
      </c>
      <c r="I2286" t="s">
        <v>18</v>
      </c>
      <c r="J2286" t="s">
        <v>19</v>
      </c>
      <c r="K2286">
        <v>3</v>
      </c>
      <c r="L2286">
        <v>50</v>
      </c>
      <c r="M2286">
        <v>150</v>
      </c>
      <c r="N2286">
        <f>IF(COUNTIFS($B$2:B2286,B2286)=1,1,0)</f>
        <v>0</v>
      </c>
    </row>
    <row r="2287" spans="1:14" x14ac:dyDescent="0.2">
      <c r="A2287">
        <v>2286</v>
      </c>
      <c r="B2287">
        <v>2152</v>
      </c>
      <c r="C2287">
        <f>1/COUNTIF(B:B,Table1[[#This Row],[order_id]])</f>
        <v>0.33333333333333331</v>
      </c>
      <c r="D2287" t="str">
        <f>TEXT(Table1[[#This Row],[order_date]],"mmmm")</f>
        <v>June</v>
      </c>
      <c r="E2287" s="1">
        <v>45471</v>
      </c>
      <c r="F2287" s="1" t="str">
        <f>TEXT(Table1[[#This Row],[order_date]],"dddd")</f>
        <v>Friday</v>
      </c>
      <c r="G2287">
        <f>HOUR(Table1[[#This Row],[order_time]])</f>
        <v>14</v>
      </c>
      <c r="H2287" s="2">
        <v>0.62408564814814815</v>
      </c>
      <c r="I2287" t="s">
        <v>11</v>
      </c>
      <c r="J2287" t="s">
        <v>15</v>
      </c>
      <c r="K2287">
        <v>5</v>
      </c>
      <c r="L2287">
        <v>600</v>
      </c>
      <c r="M2287">
        <v>3000</v>
      </c>
      <c r="N2287">
        <f>IF(COUNTIFS($B$2:B2287,B2287)=1,1,0)</f>
        <v>0</v>
      </c>
    </row>
    <row r="2288" spans="1:14" x14ac:dyDescent="0.2">
      <c r="A2288">
        <v>2287</v>
      </c>
      <c r="B2288">
        <v>2153</v>
      </c>
      <c r="C2288">
        <f>1/COUNTIF(B:B,Table1[[#This Row],[order_id]])</f>
        <v>0.33333333333333331</v>
      </c>
      <c r="D2288" t="str">
        <f>TEXT(Table1[[#This Row],[order_date]],"mmmm")</f>
        <v>June</v>
      </c>
      <c r="E2288" s="1">
        <v>45471</v>
      </c>
      <c r="F2288" s="1" t="str">
        <f>TEXT(Table1[[#This Row],[order_date]],"dddd")</f>
        <v>Friday</v>
      </c>
      <c r="G2288">
        <f>HOUR(Table1[[#This Row],[order_time]])</f>
        <v>19</v>
      </c>
      <c r="H2288" s="2">
        <v>0.80396990740740737</v>
      </c>
      <c r="I2288" t="s">
        <v>18</v>
      </c>
      <c r="J2288" t="s">
        <v>19</v>
      </c>
      <c r="K2288">
        <v>2</v>
      </c>
      <c r="L2288">
        <v>50</v>
      </c>
      <c r="M2288">
        <v>100</v>
      </c>
      <c r="N2288">
        <f>IF(COUNTIFS($B$2:B2288,B2288)=1,1,0)</f>
        <v>1</v>
      </c>
    </row>
    <row r="2289" spans="1:14" x14ac:dyDescent="0.2">
      <c r="A2289">
        <v>2288</v>
      </c>
      <c r="B2289">
        <v>2153</v>
      </c>
      <c r="C2289">
        <f>1/COUNTIF(B:B,Table1[[#This Row],[order_id]])</f>
        <v>0.33333333333333331</v>
      </c>
      <c r="D2289" t="str">
        <f>TEXT(Table1[[#This Row],[order_date]],"mmmm")</f>
        <v>June</v>
      </c>
      <c r="E2289" s="1">
        <v>45471</v>
      </c>
      <c r="F2289" s="1" t="str">
        <f>TEXT(Table1[[#This Row],[order_date]],"dddd")</f>
        <v>Friday</v>
      </c>
      <c r="G2289">
        <f>HOUR(Table1[[#This Row],[order_time]])</f>
        <v>9</v>
      </c>
      <c r="H2289" s="2">
        <v>0.39277777777777778</v>
      </c>
      <c r="I2289" t="s">
        <v>18</v>
      </c>
      <c r="J2289" t="s">
        <v>19</v>
      </c>
      <c r="K2289">
        <v>3</v>
      </c>
      <c r="L2289">
        <v>50</v>
      </c>
      <c r="M2289">
        <v>150</v>
      </c>
      <c r="N2289">
        <f>IF(COUNTIFS($B$2:B2289,B2289)=1,1,0)</f>
        <v>0</v>
      </c>
    </row>
    <row r="2290" spans="1:14" x14ac:dyDescent="0.2">
      <c r="A2290">
        <v>2289</v>
      </c>
      <c r="B2290">
        <v>2153</v>
      </c>
      <c r="C2290">
        <f>1/COUNTIF(B:B,Table1[[#This Row],[order_id]])</f>
        <v>0.33333333333333331</v>
      </c>
      <c r="D2290" t="str">
        <f>TEXT(Table1[[#This Row],[order_date]],"mmmm")</f>
        <v>June</v>
      </c>
      <c r="E2290" s="1">
        <v>45471</v>
      </c>
      <c r="F2290" s="1" t="str">
        <f>TEXT(Table1[[#This Row],[order_date]],"dddd")</f>
        <v>Friday</v>
      </c>
      <c r="G2290">
        <f>HOUR(Table1[[#This Row],[order_time]])</f>
        <v>12</v>
      </c>
      <c r="H2290" s="2">
        <v>0.53232638888888884</v>
      </c>
      <c r="I2290" t="s">
        <v>11</v>
      </c>
      <c r="J2290" t="s">
        <v>14</v>
      </c>
      <c r="K2290">
        <v>2</v>
      </c>
      <c r="L2290">
        <v>700</v>
      </c>
      <c r="M2290">
        <v>1400</v>
      </c>
      <c r="N2290">
        <f>IF(COUNTIFS($B$2:B2290,B2290)=1,1,0)</f>
        <v>0</v>
      </c>
    </row>
    <row r="2291" spans="1:14" x14ac:dyDescent="0.2">
      <c r="A2291">
        <v>2290</v>
      </c>
      <c r="B2291">
        <v>2154</v>
      </c>
      <c r="C2291">
        <f>1/COUNTIF(B:B,Table1[[#This Row],[order_id]])</f>
        <v>0.33333333333333331</v>
      </c>
      <c r="D2291" t="str">
        <f>TEXT(Table1[[#This Row],[order_date]],"mmmm")</f>
        <v>June</v>
      </c>
      <c r="E2291" s="1">
        <v>45471</v>
      </c>
      <c r="F2291" s="1" t="str">
        <f>TEXT(Table1[[#This Row],[order_date]],"dddd")</f>
        <v>Friday</v>
      </c>
      <c r="G2291">
        <f>HOUR(Table1[[#This Row],[order_time]])</f>
        <v>13</v>
      </c>
      <c r="H2291" s="2">
        <v>0.56373842592592593</v>
      </c>
      <c r="I2291" t="s">
        <v>9</v>
      </c>
      <c r="J2291" t="s">
        <v>22</v>
      </c>
      <c r="K2291">
        <v>3</v>
      </c>
      <c r="L2291">
        <v>15</v>
      </c>
      <c r="M2291">
        <v>45</v>
      </c>
      <c r="N2291">
        <f>IF(COUNTIFS($B$2:B2291,B2291)=1,1,0)</f>
        <v>1</v>
      </c>
    </row>
    <row r="2292" spans="1:14" x14ac:dyDescent="0.2">
      <c r="A2292">
        <v>2291</v>
      </c>
      <c r="B2292">
        <v>2154</v>
      </c>
      <c r="C2292">
        <f>1/COUNTIF(B:B,Table1[[#This Row],[order_id]])</f>
        <v>0.33333333333333331</v>
      </c>
      <c r="D2292" t="str">
        <f>TEXT(Table1[[#This Row],[order_date]],"mmmm")</f>
        <v>June</v>
      </c>
      <c r="E2292" s="1">
        <v>45471</v>
      </c>
      <c r="F2292" s="1" t="str">
        <f>TEXT(Table1[[#This Row],[order_date]],"dddd")</f>
        <v>Friday</v>
      </c>
      <c r="G2292">
        <f>HOUR(Table1[[#This Row],[order_time]])</f>
        <v>17</v>
      </c>
      <c r="H2292" s="2">
        <v>0.70893518518518517</v>
      </c>
      <c r="I2292" t="s">
        <v>9</v>
      </c>
      <c r="J2292" t="s">
        <v>22</v>
      </c>
      <c r="K2292">
        <v>4</v>
      </c>
      <c r="L2292">
        <v>15</v>
      </c>
      <c r="M2292">
        <v>60</v>
      </c>
      <c r="N2292">
        <f>IF(COUNTIFS($B$2:B2292,B2292)=1,1,0)</f>
        <v>0</v>
      </c>
    </row>
    <row r="2293" spans="1:14" x14ac:dyDescent="0.2">
      <c r="A2293">
        <v>2292</v>
      </c>
      <c r="B2293">
        <v>2154</v>
      </c>
      <c r="C2293">
        <f>1/COUNTIF(B:B,Table1[[#This Row],[order_id]])</f>
        <v>0.33333333333333331</v>
      </c>
      <c r="D2293" t="str">
        <f>TEXT(Table1[[#This Row],[order_date]],"mmmm")</f>
        <v>June</v>
      </c>
      <c r="E2293" s="1">
        <v>45471</v>
      </c>
      <c r="F2293" s="1" t="str">
        <f>TEXT(Table1[[#This Row],[order_date]],"dddd")</f>
        <v>Friday</v>
      </c>
      <c r="G2293">
        <f>HOUR(Table1[[#This Row],[order_time]])</f>
        <v>13</v>
      </c>
      <c r="H2293" s="2">
        <v>0.56623842592592588</v>
      </c>
      <c r="I2293" t="s">
        <v>16</v>
      </c>
      <c r="J2293" t="s">
        <v>24</v>
      </c>
      <c r="K2293">
        <v>3</v>
      </c>
      <c r="L2293">
        <v>35</v>
      </c>
      <c r="M2293">
        <v>105</v>
      </c>
      <c r="N2293">
        <f>IF(COUNTIFS($B$2:B2293,B2293)=1,1,0)</f>
        <v>0</v>
      </c>
    </row>
    <row r="2294" spans="1:14" x14ac:dyDescent="0.2">
      <c r="A2294">
        <v>2293</v>
      </c>
      <c r="B2294">
        <v>2155</v>
      </c>
      <c r="C2294">
        <f>1/COUNTIF(B:B,Table1[[#This Row],[order_id]])</f>
        <v>0.33333333333333331</v>
      </c>
      <c r="D2294" t="str">
        <f>TEXT(Table1[[#This Row],[order_date]],"mmmm")</f>
        <v>June</v>
      </c>
      <c r="E2294" s="1">
        <v>45471</v>
      </c>
      <c r="F2294" s="1" t="str">
        <f>TEXT(Table1[[#This Row],[order_date]],"dddd")</f>
        <v>Friday</v>
      </c>
      <c r="G2294">
        <f>HOUR(Table1[[#This Row],[order_time]])</f>
        <v>20</v>
      </c>
      <c r="H2294" s="2">
        <v>0.87388888888888894</v>
      </c>
      <c r="I2294" t="s">
        <v>16</v>
      </c>
      <c r="J2294" t="s">
        <v>24</v>
      </c>
      <c r="K2294">
        <v>5</v>
      </c>
      <c r="L2294">
        <v>35</v>
      </c>
      <c r="M2294">
        <v>175</v>
      </c>
      <c r="N2294">
        <f>IF(COUNTIFS($B$2:B2294,B2294)=1,1,0)</f>
        <v>1</v>
      </c>
    </row>
    <row r="2295" spans="1:14" x14ac:dyDescent="0.2">
      <c r="A2295">
        <v>2294</v>
      </c>
      <c r="B2295">
        <v>2155</v>
      </c>
      <c r="C2295">
        <f>1/COUNTIF(B:B,Table1[[#This Row],[order_id]])</f>
        <v>0.33333333333333331</v>
      </c>
      <c r="D2295" t="str">
        <f>TEXT(Table1[[#This Row],[order_date]],"mmmm")</f>
        <v>June</v>
      </c>
      <c r="E2295" s="1">
        <v>45471</v>
      </c>
      <c r="F2295" s="1" t="str">
        <f>TEXT(Table1[[#This Row],[order_date]],"dddd")</f>
        <v>Friday</v>
      </c>
      <c r="G2295">
        <f>HOUR(Table1[[#This Row],[order_time]])</f>
        <v>14</v>
      </c>
      <c r="H2295" s="2">
        <v>0.61481481481481481</v>
      </c>
      <c r="I2295" t="s">
        <v>18</v>
      </c>
      <c r="J2295" t="s">
        <v>27</v>
      </c>
      <c r="K2295">
        <v>5</v>
      </c>
      <c r="L2295">
        <v>40</v>
      </c>
      <c r="M2295">
        <v>200</v>
      </c>
      <c r="N2295">
        <f>IF(COUNTIFS($B$2:B2295,B2295)=1,1,0)</f>
        <v>0</v>
      </c>
    </row>
    <row r="2296" spans="1:14" x14ac:dyDescent="0.2">
      <c r="A2296">
        <v>2295</v>
      </c>
      <c r="B2296">
        <v>2155</v>
      </c>
      <c r="C2296">
        <f>1/COUNTIF(B:B,Table1[[#This Row],[order_id]])</f>
        <v>0.33333333333333331</v>
      </c>
      <c r="D2296" t="str">
        <f>TEXT(Table1[[#This Row],[order_date]],"mmmm")</f>
        <v>June</v>
      </c>
      <c r="E2296" s="1">
        <v>45471</v>
      </c>
      <c r="F2296" s="1" t="str">
        <f>TEXT(Table1[[#This Row],[order_date]],"dddd")</f>
        <v>Friday</v>
      </c>
      <c r="G2296">
        <f>HOUR(Table1[[#This Row],[order_time]])</f>
        <v>9</v>
      </c>
      <c r="H2296" s="2">
        <v>0.40770833333333334</v>
      </c>
      <c r="I2296" t="s">
        <v>9</v>
      </c>
      <c r="J2296" t="s">
        <v>22</v>
      </c>
      <c r="K2296">
        <v>4</v>
      </c>
      <c r="L2296">
        <v>15</v>
      </c>
      <c r="M2296">
        <v>60</v>
      </c>
      <c r="N2296">
        <f>IF(COUNTIFS($B$2:B2296,B2296)=1,1,0)</f>
        <v>0</v>
      </c>
    </row>
    <row r="2297" spans="1:14" x14ac:dyDescent="0.2">
      <c r="A2297">
        <v>2296</v>
      </c>
      <c r="B2297">
        <v>2156</v>
      </c>
      <c r="C2297">
        <f>1/COUNTIF(B:B,Table1[[#This Row],[order_id]])</f>
        <v>1</v>
      </c>
      <c r="D2297" t="str">
        <f>TEXT(Table1[[#This Row],[order_date]],"mmmm")</f>
        <v>June</v>
      </c>
      <c r="E2297" s="1">
        <v>45471</v>
      </c>
      <c r="F2297" s="1" t="str">
        <f>TEXT(Table1[[#This Row],[order_date]],"dddd")</f>
        <v>Friday</v>
      </c>
      <c r="G2297">
        <f>HOUR(Table1[[#This Row],[order_time]])</f>
        <v>15</v>
      </c>
      <c r="H2297" s="2">
        <v>0.63531249999999995</v>
      </c>
      <c r="I2297" t="s">
        <v>18</v>
      </c>
      <c r="J2297" t="s">
        <v>27</v>
      </c>
      <c r="K2297">
        <v>1</v>
      </c>
      <c r="L2297">
        <v>40</v>
      </c>
      <c r="M2297">
        <v>40</v>
      </c>
      <c r="N2297">
        <f>IF(COUNTIFS($B$2:B2297,B2297)=1,1,0)</f>
        <v>1</v>
      </c>
    </row>
    <row r="2298" spans="1:14" x14ac:dyDescent="0.2">
      <c r="A2298">
        <v>2297</v>
      </c>
      <c r="B2298">
        <v>2157</v>
      </c>
      <c r="C2298">
        <f>1/COUNTIF(B:B,Table1[[#This Row],[order_id]])</f>
        <v>1</v>
      </c>
      <c r="D2298" t="str">
        <f>TEXT(Table1[[#This Row],[order_date]],"mmmm")</f>
        <v>June</v>
      </c>
      <c r="E2298" s="1">
        <v>45472</v>
      </c>
      <c r="F2298" s="1" t="str">
        <f>TEXT(Table1[[#This Row],[order_date]],"dddd")</f>
        <v>Saturday</v>
      </c>
      <c r="G2298">
        <f>HOUR(Table1[[#This Row],[order_time]])</f>
        <v>14</v>
      </c>
      <c r="H2298" s="2">
        <v>0.60190972222222228</v>
      </c>
      <c r="I2298" t="s">
        <v>11</v>
      </c>
      <c r="J2298" t="s">
        <v>14</v>
      </c>
      <c r="K2298">
        <v>3</v>
      </c>
      <c r="L2298">
        <v>700</v>
      </c>
      <c r="M2298">
        <v>2100</v>
      </c>
      <c r="N2298">
        <f>IF(COUNTIFS($B$2:B2298,B2298)=1,1,0)</f>
        <v>1</v>
      </c>
    </row>
    <row r="2299" spans="1:14" x14ac:dyDescent="0.2">
      <c r="A2299">
        <v>2298</v>
      </c>
      <c r="B2299">
        <v>2158</v>
      </c>
      <c r="C2299">
        <f>1/COUNTIF(B:B,Table1[[#This Row],[order_id]])</f>
        <v>0.5</v>
      </c>
      <c r="D2299" t="str">
        <f>TEXT(Table1[[#This Row],[order_date]],"mmmm")</f>
        <v>June</v>
      </c>
      <c r="E2299" s="1">
        <v>45472</v>
      </c>
      <c r="F2299" s="1" t="str">
        <f>TEXT(Table1[[#This Row],[order_date]],"dddd")</f>
        <v>Saturday</v>
      </c>
      <c r="G2299">
        <f>HOUR(Table1[[#This Row],[order_time]])</f>
        <v>19</v>
      </c>
      <c r="H2299" s="2">
        <v>0.79575231481481479</v>
      </c>
      <c r="I2299" t="s">
        <v>9</v>
      </c>
      <c r="J2299" t="s">
        <v>10</v>
      </c>
      <c r="K2299">
        <v>3</v>
      </c>
      <c r="L2299">
        <v>20</v>
      </c>
      <c r="M2299">
        <v>60</v>
      </c>
      <c r="N2299">
        <f>IF(COUNTIFS($B$2:B2299,B2299)=1,1,0)</f>
        <v>1</v>
      </c>
    </row>
    <row r="2300" spans="1:14" x14ac:dyDescent="0.2">
      <c r="A2300">
        <v>2299</v>
      </c>
      <c r="B2300">
        <v>2158</v>
      </c>
      <c r="C2300">
        <f>1/COUNTIF(B:B,Table1[[#This Row],[order_id]])</f>
        <v>0.5</v>
      </c>
      <c r="D2300" t="str">
        <f>TEXT(Table1[[#This Row],[order_date]],"mmmm")</f>
        <v>June</v>
      </c>
      <c r="E2300" s="1">
        <v>45472</v>
      </c>
      <c r="F2300" s="1" t="str">
        <f>TEXT(Table1[[#This Row],[order_date]],"dddd")</f>
        <v>Saturday</v>
      </c>
      <c r="G2300">
        <f>HOUR(Table1[[#This Row],[order_time]])</f>
        <v>20</v>
      </c>
      <c r="H2300" s="2">
        <v>0.85724537037037041</v>
      </c>
      <c r="I2300" t="s">
        <v>11</v>
      </c>
      <c r="J2300" t="s">
        <v>12</v>
      </c>
      <c r="K2300">
        <v>2</v>
      </c>
      <c r="L2300">
        <v>650</v>
      </c>
      <c r="M2300">
        <v>1300</v>
      </c>
      <c r="N2300">
        <f>IF(COUNTIFS($B$2:B2300,B2300)=1,1,0)</f>
        <v>0</v>
      </c>
    </row>
    <row r="2301" spans="1:14" x14ac:dyDescent="0.2">
      <c r="A2301">
        <v>2300</v>
      </c>
      <c r="B2301">
        <v>2159</v>
      </c>
      <c r="C2301">
        <f>1/COUNTIF(B:B,Table1[[#This Row],[order_id]])</f>
        <v>1</v>
      </c>
      <c r="D2301" t="str">
        <f>TEXT(Table1[[#This Row],[order_date]],"mmmm")</f>
        <v>June</v>
      </c>
      <c r="E2301" s="1">
        <v>45472</v>
      </c>
      <c r="F2301" s="1" t="str">
        <f>TEXT(Table1[[#This Row],[order_date]],"dddd")</f>
        <v>Saturday</v>
      </c>
      <c r="G2301">
        <f>HOUR(Table1[[#This Row],[order_time]])</f>
        <v>18</v>
      </c>
      <c r="H2301" s="2">
        <v>0.763275462962963</v>
      </c>
      <c r="I2301" t="s">
        <v>11</v>
      </c>
      <c r="J2301" t="s">
        <v>14</v>
      </c>
      <c r="K2301">
        <v>1</v>
      </c>
      <c r="L2301">
        <v>700</v>
      </c>
      <c r="M2301">
        <v>700</v>
      </c>
      <c r="N2301">
        <f>IF(COUNTIFS($B$2:B2301,B2301)=1,1,0)</f>
        <v>1</v>
      </c>
    </row>
    <row r="2302" spans="1:14" x14ac:dyDescent="0.2">
      <c r="A2302">
        <v>2301</v>
      </c>
      <c r="B2302">
        <v>2160</v>
      </c>
      <c r="C2302">
        <f>1/COUNTIF(B:B,Table1[[#This Row],[order_id]])</f>
        <v>1</v>
      </c>
      <c r="D2302" t="str">
        <f>TEXT(Table1[[#This Row],[order_date]],"mmmm")</f>
        <v>June</v>
      </c>
      <c r="E2302" s="1">
        <v>45472</v>
      </c>
      <c r="F2302" s="1" t="str">
        <f>TEXT(Table1[[#This Row],[order_date]],"dddd")</f>
        <v>Saturday</v>
      </c>
      <c r="G2302">
        <f>HOUR(Table1[[#This Row],[order_time]])</f>
        <v>17</v>
      </c>
      <c r="H2302" s="2">
        <v>0.71130787037037035</v>
      </c>
      <c r="I2302" t="s">
        <v>18</v>
      </c>
      <c r="J2302" t="s">
        <v>19</v>
      </c>
      <c r="K2302">
        <v>3</v>
      </c>
      <c r="L2302">
        <v>50</v>
      </c>
      <c r="M2302">
        <v>150</v>
      </c>
      <c r="N2302">
        <f>IF(COUNTIFS($B$2:B2302,B2302)=1,1,0)</f>
        <v>1</v>
      </c>
    </row>
    <row r="2303" spans="1:14" x14ac:dyDescent="0.2">
      <c r="A2303">
        <v>2302</v>
      </c>
      <c r="B2303">
        <v>2161</v>
      </c>
      <c r="C2303">
        <f>1/COUNTIF(B:B,Table1[[#This Row],[order_id]])</f>
        <v>0.33333333333333331</v>
      </c>
      <c r="D2303" t="str">
        <f>TEXT(Table1[[#This Row],[order_date]],"mmmm")</f>
        <v>June</v>
      </c>
      <c r="E2303" s="1">
        <v>45472</v>
      </c>
      <c r="F2303" s="1" t="str">
        <f>TEXT(Table1[[#This Row],[order_date]],"dddd")</f>
        <v>Saturday</v>
      </c>
      <c r="G2303">
        <f>HOUR(Table1[[#This Row],[order_time]])</f>
        <v>10</v>
      </c>
      <c r="H2303" s="2">
        <v>0.44591435185185185</v>
      </c>
      <c r="I2303" t="s">
        <v>9</v>
      </c>
      <c r="J2303" t="s">
        <v>29</v>
      </c>
      <c r="K2303">
        <v>1</v>
      </c>
      <c r="L2303">
        <v>5</v>
      </c>
      <c r="M2303">
        <v>5</v>
      </c>
      <c r="N2303">
        <f>IF(COUNTIFS($B$2:B2303,B2303)=1,1,0)</f>
        <v>1</v>
      </c>
    </row>
    <row r="2304" spans="1:14" x14ac:dyDescent="0.2">
      <c r="A2304">
        <v>2303</v>
      </c>
      <c r="B2304">
        <v>2161</v>
      </c>
      <c r="C2304">
        <f>1/COUNTIF(B:B,Table1[[#This Row],[order_id]])</f>
        <v>0.33333333333333331</v>
      </c>
      <c r="D2304" t="str">
        <f>TEXT(Table1[[#This Row],[order_date]],"mmmm")</f>
        <v>June</v>
      </c>
      <c r="E2304" s="1">
        <v>45472</v>
      </c>
      <c r="F2304" s="1" t="str">
        <f>TEXT(Table1[[#This Row],[order_date]],"dddd")</f>
        <v>Saturday</v>
      </c>
      <c r="G2304">
        <f>HOUR(Table1[[#This Row],[order_time]])</f>
        <v>19</v>
      </c>
      <c r="H2304" s="2">
        <v>0.80539351851851848</v>
      </c>
      <c r="I2304" t="s">
        <v>9</v>
      </c>
      <c r="J2304" t="s">
        <v>10</v>
      </c>
      <c r="K2304">
        <v>1</v>
      </c>
      <c r="L2304">
        <v>20</v>
      </c>
      <c r="M2304">
        <v>20</v>
      </c>
      <c r="N2304">
        <f>IF(COUNTIFS($B$2:B2304,B2304)=1,1,0)</f>
        <v>0</v>
      </c>
    </row>
    <row r="2305" spans="1:14" x14ac:dyDescent="0.2">
      <c r="A2305">
        <v>2304</v>
      </c>
      <c r="B2305">
        <v>2161</v>
      </c>
      <c r="C2305">
        <f>1/COUNTIF(B:B,Table1[[#This Row],[order_id]])</f>
        <v>0.33333333333333331</v>
      </c>
      <c r="D2305" t="str">
        <f>TEXT(Table1[[#This Row],[order_date]],"mmmm")</f>
        <v>June</v>
      </c>
      <c r="E2305" s="1">
        <v>45472</v>
      </c>
      <c r="F2305" s="1" t="str">
        <f>TEXT(Table1[[#This Row],[order_date]],"dddd")</f>
        <v>Saturday</v>
      </c>
      <c r="G2305">
        <f>HOUR(Table1[[#This Row],[order_time]])</f>
        <v>10</v>
      </c>
      <c r="H2305" s="2">
        <v>0.43494212962962964</v>
      </c>
      <c r="I2305" t="s">
        <v>11</v>
      </c>
      <c r="J2305" t="s">
        <v>12</v>
      </c>
      <c r="K2305">
        <v>5</v>
      </c>
      <c r="L2305">
        <v>650</v>
      </c>
      <c r="M2305">
        <v>3250</v>
      </c>
      <c r="N2305">
        <f>IF(COUNTIFS($B$2:B2305,B2305)=1,1,0)</f>
        <v>0</v>
      </c>
    </row>
    <row r="2306" spans="1:14" x14ac:dyDescent="0.2">
      <c r="A2306">
        <v>2305</v>
      </c>
      <c r="B2306">
        <v>2162</v>
      </c>
      <c r="C2306">
        <f>1/COUNTIF(B:B,Table1[[#This Row],[order_id]])</f>
        <v>0.5</v>
      </c>
      <c r="D2306" t="str">
        <f>TEXT(Table1[[#This Row],[order_date]],"mmmm")</f>
        <v>June</v>
      </c>
      <c r="E2306" s="1">
        <v>45472</v>
      </c>
      <c r="F2306" s="1" t="str">
        <f>TEXT(Table1[[#This Row],[order_date]],"dddd")</f>
        <v>Saturday</v>
      </c>
      <c r="G2306">
        <f>HOUR(Table1[[#This Row],[order_time]])</f>
        <v>9</v>
      </c>
      <c r="H2306" s="2">
        <v>0.40331018518518519</v>
      </c>
      <c r="I2306" t="s">
        <v>9</v>
      </c>
      <c r="J2306" t="s">
        <v>21</v>
      </c>
      <c r="K2306">
        <v>1</v>
      </c>
      <c r="L2306">
        <v>10</v>
      </c>
      <c r="M2306">
        <v>10</v>
      </c>
      <c r="N2306">
        <f>IF(COUNTIFS($B$2:B2306,B2306)=1,1,0)</f>
        <v>1</v>
      </c>
    </row>
    <row r="2307" spans="1:14" x14ac:dyDescent="0.2">
      <c r="A2307">
        <v>2306</v>
      </c>
      <c r="B2307">
        <v>2162</v>
      </c>
      <c r="C2307">
        <f>1/COUNTIF(B:B,Table1[[#This Row],[order_id]])</f>
        <v>0.5</v>
      </c>
      <c r="D2307" t="str">
        <f>TEXT(Table1[[#This Row],[order_date]],"mmmm")</f>
        <v>June</v>
      </c>
      <c r="E2307" s="1">
        <v>45472</v>
      </c>
      <c r="F2307" s="1" t="str">
        <f>TEXT(Table1[[#This Row],[order_date]],"dddd")</f>
        <v>Saturday</v>
      </c>
      <c r="G2307">
        <f>HOUR(Table1[[#This Row],[order_time]])</f>
        <v>14</v>
      </c>
      <c r="H2307" s="2">
        <v>0.58792824074074079</v>
      </c>
      <c r="I2307" t="s">
        <v>16</v>
      </c>
      <c r="J2307" t="s">
        <v>28</v>
      </c>
      <c r="K2307">
        <v>3</v>
      </c>
      <c r="L2307">
        <v>25</v>
      </c>
      <c r="M2307">
        <v>75</v>
      </c>
      <c r="N2307">
        <f>IF(COUNTIFS($B$2:B2307,B2307)=1,1,0)</f>
        <v>0</v>
      </c>
    </row>
    <row r="2308" spans="1:14" x14ac:dyDescent="0.2">
      <c r="A2308">
        <v>2307</v>
      </c>
      <c r="B2308">
        <v>2163</v>
      </c>
      <c r="C2308">
        <f>1/COUNTIF(B:B,Table1[[#This Row],[order_id]])</f>
        <v>0.5</v>
      </c>
      <c r="D2308" t="str">
        <f>TEXT(Table1[[#This Row],[order_date]],"mmmm")</f>
        <v>June</v>
      </c>
      <c r="E2308" s="1">
        <v>45472</v>
      </c>
      <c r="F2308" s="1" t="str">
        <f>TEXT(Table1[[#This Row],[order_date]],"dddd")</f>
        <v>Saturday</v>
      </c>
      <c r="G2308">
        <f>HOUR(Table1[[#This Row],[order_time]])</f>
        <v>13</v>
      </c>
      <c r="H2308" s="2">
        <v>0.57311342592592596</v>
      </c>
      <c r="I2308" t="s">
        <v>18</v>
      </c>
      <c r="J2308" t="s">
        <v>27</v>
      </c>
      <c r="K2308">
        <v>2</v>
      </c>
      <c r="L2308">
        <v>40</v>
      </c>
      <c r="M2308">
        <v>80</v>
      </c>
      <c r="N2308">
        <f>IF(COUNTIFS($B$2:B2308,B2308)=1,1,0)</f>
        <v>1</v>
      </c>
    </row>
    <row r="2309" spans="1:14" x14ac:dyDescent="0.2">
      <c r="A2309">
        <v>2308</v>
      </c>
      <c r="B2309">
        <v>2163</v>
      </c>
      <c r="C2309">
        <f>1/COUNTIF(B:B,Table1[[#This Row],[order_id]])</f>
        <v>0.5</v>
      </c>
      <c r="D2309" t="str">
        <f>TEXT(Table1[[#This Row],[order_date]],"mmmm")</f>
        <v>June</v>
      </c>
      <c r="E2309" s="1">
        <v>45472</v>
      </c>
      <c r="F2309" s="1" t="str">
        <f>TEXT(Table1[[#This Row],[order_date]],"dddd")</f>
        <v>Saturday</v>
      </c>
      <c r="G2309">
        <f>HOUR(Table1[[#This Row],[order_time]])</f>
        <v>14</v>
      </c>
      <c r="H2309" s="2">
        <v>0.62054398148148149</v>
      </c>
      <c r="I2309" t="s">
        <v>11</v>
      </c>
      <c r="J2309" t="s">
        <v>14</v>
      </c>
      <c r="K2309">
        <v>4</v>
      </c>
      <c r="L2309">
        <v>700</v>
      </c>
      <c r="M2309">
        <v>2800</v>
      </c>
      <c r="N2309">
        <f>IF(COUNTIFS($B$2:B2309,B2309)=1,1,0)</f>
        <v>0</v>
      </c>
    </row>
    <row r="2310" spans="1:14" x14ac:dyDescent="0.2">
      <c r="A2310">
        <v>2309</v>
      </c>
      <c r="B2310">
        <v>2164</v>
      </c>
      <c r="C2310">
        <f>1/COUNTIF(B:B,Table1[[#This Row],[order_id]])</f>
        <v>1</v>
      </c>
      <c r="D2310" t="str">
        <f>TEXT(Table1[[#This Row],[order_date]],"mmmm")</f>
        <v>June</v>
      </c>
      <c r="E2310" s="1">
        <v>45472</v>
      </c>
      <c r="F2310" s="1" t="str">
        <f>TEXT(Table1[[#This Row],[order_date]],"dddd")</f>
        <v>Saturday</v>
      </c>
      <c r="G2310">
        <f>HOUR(Table1[[#This Row],[order_time]])</f>
        <v>17</v>
      </c>
      <c r="H2310" s="2">
        <v>0.71439814814814817</v>
      </c>
      <c r="I2310" t="s">
        <v>11</v>
      </c>
      <c r="J2310" t="s">
        <v>13</v>
      </c>
      <c r="K2310">
        <v>4</v>
      </c>
      <c r="L2310">
        <v>680</v>
      </c>
      <c r="M2310">
        <v>2720</v>
      </c>
      <c r="N2310">
        <f>IF(COUNTIFS($B$2:B2310,B2310)=1,1,0)</f>
        <v>1</v>
      </c>
    </row>
    <row r="2311" spans="1:14" x14ac:dyDescent="0.2">
      <c r="A2311">
        <v>2310</v>
      </c>
      <c r="B2311">
        <v>2165</v>
      </c>
      <c r="C2311">
        <f>1/COUNTIF(B:B,Table1[[#This Row],[order_id]])</f>
        <v>0.33333333333333331</v>
      </c>
      <c r="D2311" t="str">
        <f>TEXT(Table1[[#This Row],[order_date]],"mmmm")</f>
        <v>June</v>
      </c>
      <c r="E2311" s="1">
        <v>45472</v>
      </c>
      <c r="F2311" s="1" t="str">
        <f>TEXT(Table1[[#This Row],[order_date]],"dddd")</f>
        <v>Saturday</v>
      </c>
      <c r="G2311">
        <f>HOUR(Table1[[#This Row],[order_time]])</f>
        <v>14</v>
      </c>
      <c r="H2311" s="2">
        <v>0.60938657407407404</v>
      </c>
      <c r="I2311" t="s">
        <v>11</v>
      </c>
      <c r="J2311" t="s">
        <v>25</v>
      </c>
      <c r="K2311">
        <v>3</v>
      </c>
      <c r="L2311">
        <v>1000</v>
      </c>
      <c r="M2311">
        <v>3000</v>
      </c>
      <c r="N2311">
        <f>IF(COUNTIFS($B$2:B2311,B2311)=1,1,0)</f>
        <v>1</v>
      </c>
    </row>
    <row r="2312" spans="1:14" x14ac:dyDescent="0.2">
      <c r="A2312">
        <v>2311</v>
      </c>
      <c r="B2312">
        <v>2165</v>
      </c>
      <c r="C2312">
        <f>1/COUNTIF(B:B,Table1[[#This Row],[order_id]])</f>
        <v>0.33333333333333331</v>
      </c>
      <c r="D2312" t="str">
        <f>TEXT(Table1[[#This Row],[order_date]],"mmmm")</f>
        <v>June</v>
      </c>
      <c r="E2312" s="1">
        <v>45472</v>
      </c>
      <c r="F2312" s="1" t="str">
        <f>TEXT(Table1[[#This Row],[order_date]],"dddd")</f>
        <v>Saturday</v>
      </c>
      <c r="G2312">
        <f>HOUR(Table1[[#This Row],[order_time]])</f>
        <v>14</v>
      </c>
      <c r="H2312" s="2">
        <v>0.58480324074074075</v>
      </c>
      <c r="I2312" t="s">
        <v>18</v>
      </c>
      <c r="J2312" t="s">
        <v>19</v>
      </c>
      <c r="K2312">
        <v>1</v>
      </c>
      <c r="L2312">
        <v>50</v>
      </c>
      <c r="M2312">
        <v>50</v>
      </c>
      <c r="N2312">
        <f>IF(COUNTIFS($B$2:B2312,B2312)=1,1,0)</f>
        <v>0</v>
      </c>
    </row>
    <row r="2313" spans="1:14" x14ac:dyDescent="0.2">
      <c r="A2313">
        <v>2312</v>
      </c>
      <c r="B2313">
        <v>2165</v>
      </c>
      <c r="C2313">
        <f>1/COUNTIF(B:B,Table1[[#This Row],[order_id]])</f>
        <v>0.33333333333333331</v>
      </c>
      <c r="D2313" t="str">
        <f>TEXT(Table1[[#This Row],[order_date]],"mmmm")</f>
        <v>June</v>
      </c>
      <c r="E2313" s="1">
        <v>45472</v>
      </c>
      <c r="F2313" s="1" t="str">
        <f>TEXT(Table1[[#This Row],[order_date]],"dddd")</f>
        <v>Saturday</v>
      </c>
      <c r="G2313">
        <f>HOUR(Table1[[#This Row],[order_time]])</f>
        <v>9</v>
      </c>
      <c r="H2313" s="2">
        <v>0.38086805555555553</v>
      </c>
      <c r="I2313" t="s">
        <v>9</v>
      </c>
      <c r="J2313" t="s">
        <v>20</v>
      </c>
      <c r="K2313">
        <v>1</v>
      </c>
      <c r="L2313">
        <v>25</v>
      </c>
      <c r="M2313">
        <v>25</v>
      </c>
      <c r="N2313">
        <f>IF(COUNTIFS($B$2:B2313,B2313)=1,1,0)</f>
        <v>0</v>
      </c>
    </row>
    <row r="2314" spans="1:14" x14ac:dyDescent="0.2">
      <c r="A2314">
        <v>2313</v>
      </c>
      <c r="B2314">
        <v>2166</v>
      </c>
      <c r="C2314">
        <f>1/COUNTIF(B:B,Table1[[#This Row],[order_id]])</f>
        <v>0.33333333333333331</v>
      </c>
      <c r="D2314" t="str">
        <f>TEXT(Table1[[#This Row],[order_date]],"mmmm")</f>
        <v>June</v>
      </c>
      <c r="E2314" s="1">
        <v>45472</v>
      </c>
      <c r="F2314" s="1" t="str">
        <f>TEXT(Table1[[#This Row],[order_date]],"dddd")</f>
        <v>Saturday</v>
      </c>
      <c r="G2314">
        <f>HOUR(Table1[[#This Row],[order_time]])</f>
        <v>16</v>
      </c>
      <c r="H2314" s="2">
        <v>0.68745370370370373</v>
      </c>
      <c r="I2314" t="s">
        <v>11</v>
      </c>
      <c r="J2314" t="s">
        <v>25</v>
      </c>
      <c r="K2314">
        <v>4</v>
      </c>
      <c r="L2314">
        <v>1000</v>
      </c>
      <c r="M2314">
        <v>4000</v>
      </c>
      <c r="N2314">
        <f>IF(COUNTIFS($B$2:B2314,B2314)=1,1,0)</f>
        <v>1</v>
      </c>
    </row>
    <row r="2315" spans="1:14" x14ac:dyDescent="0.2">
      <c r="A2315">
        <v>2314</v>
      </c>
      <c r="B2315">
        <v>2166</v>
      </c>
      <c r="C2315">
        <f>1/COUNTIF(B:B,Table1[[#This Row],[order_id]])</f>
        <v>0.33333333333333331</v>
      </c>
      <c r="D2315" t="str">
        <f>TEXT(Table1[[#This Row],[order_date]],"mmmm")</f>
        <v>June</v>
      </c>
      <c r="E2315" s="1">
        <v>45472</v>
      </c>
      <c r="F2315" s="1" t="str">
        <f>TEXT(Table1[[#This Row],[order_date]],"dddd")</f>
        <v>Saturday</v>
      </c>
      <c r="G2315">
        <f>HOUR(Table1[[#This Row],[order_time]])</f>
        <v>18</v>
      </c>
      <c r="H2315" s="2">
        <v>0.75767361111111109</v>
      </c>
      <c r="I2315" t="s">
        <v>16</v>
      </c>
      <c r="J2315" t="s">
        <v>24</v>
      </c>
      <c r="K2315">
        <v>1</v>
      </c>
      <c r="L2315">
        <v>35</v>
      </c>
      <c r="M2315">
        <v>35</v>
      </c>
      <c r="N2315">
        <f>IF(COUNTIFS($B$2:B2315,B2315)=1,1,0)</f>
        <v>0</v>
      </c>
    </row>
    <row r="2316" spans="1:14" x14ac:dyDescent="0.2">
      <c r="A2316">
        <v>2315</v>
      </c>
      <c r="B2316">
        <v>2166</v>
      </c>
      <c r="C2316">
        <f>1/COUNTIF(B:B,Table1[[#This Row],[order_id]])</f>
        <v>0.33333333333333331</v>
      </c>
      <c r="D2316" t="str">
        <f>TEXT(Table1[[#This Row],[order_date]],"mmmm")</f>
        <v>June</v>
      </c>
      <c r="E2316" s="1">
        <v>45472</v>
      </c>
      <c r="F2316" s="1" t="str">
        <f>TEXT(Table1[[#This Row],[order_date]],"dddd")</f>
        <v>Saturday</v>
      </c>
      <c r="G2316">
        <f>HOUR(Table1[[#This Row],[order_time]])</f>
        <v>15</v>
      </c>
      <c r="H2316" s="2">
        <v>0.63574074074074072</v>
      </c>
      <c r="I2316" t="s">
        <v>18</v>
      </c>
      <c r="J2316" t="s">
        <v>31</v>
      </c>
      <c r="K2316">
        <v>4</v>
      </c>
      <c r="L2316">
        <v>45</v>
      </c>
      <c r="M2316">
        <v>180</v>
      </c>
      <c r="N2316">
        <f>IF(COUNTIFS($B$2:B2316,B2316)=1,1,0)</f>
        <v>0</v>
      </c>
    </row>
    <row r="2317" spans="1:14" x14ac:dyDescent="0.2">
      <c r="A2317">
        <v>2316</v>
      </c>
      <c r="B2317">
        <v>2167</v>
      </c>
      <c r="C2317">
        <f>1/COUNTIF(B:B,Table1[[#This Row],[order_id]])</f>
        <v>0.5</v>
      </c>
      <c r="D2317" t="str">
        <f>TEXT(Table1[[#This Row],[order_date]],"mmmm")</f>
        <v>June</v>
      </c>
      <c r="E2317" s="1">
        <v>45473</v>
      </c>
      <c r="F2317" s="1" t="str">
        <f>TEXT(Table1[[#This Row],[order_date]],"dddd")</f>
        <v>Sunday</v>
      </c>
      <c r="G2317">
        <f>HOUR(Table1[[#This Row],[order_time]])</f>
        <v>18</v>
      </c>
      <c r="H2317" s="2">
        <v>0.78771990740740738</v>
      </c>
      <c r="I2317" t="s">
        <v>11</v>
      </c>
      <c r="J2317" t="s">
        <v>14</v>
      </c>
      <c r="K2317">
        <v>4</v>
      </c>
      <c r="L2317">
        <v>700</v>
      </c>
      <c r="M2317">
        <v>2800</v>
      </c>
      <c r="N2317">
        <f>IF(COUNTIFS($B$2:B2317,B2317)=1,1,0)</f>
        <v>1</v>
      </c>
    </row>
    <row r="2318" spans="1:14" x14ac:dyDescent="0.2">
      <c r="A2318">
        <v>2317</v>
      </c>
      <c r="B2318">
        <v>2167</v>
      </c>
      <c r="C2318">
        <f>1/COUNTIF(B:B,Table1[[#This Row],[order_id]])</f>
        <v>0.5</v>
      </c>
      <c r="D2318" t="str">
        <f>TEXT(Table1[[#This Row],[order_date]],"mmmm")</f>
        <v>June</v>
      </c>
      <c r="E2318" s="1">
        <v>45473</v>
      </c>
      <c r="F2318" s="1" t="str">
        <f>TEXT(Table1[[#This Row],[order_date]],"dddd")</f>
        <v>Sunday</v>
      </c>
      <c r="G2318">
        <f>HOUR(Table1[[#This Row],[order_time]])</f>
        <v>12</v>
      </c>
      <c r="H2318" s="2">
        <v>0.5377777777777778</v>
      </c>
      <c r="I2318" t="s">
        <v>18</v>
      </c>
      <c r="J2318" t="s">
        <v>26</v>
      </c>
      <c r="K2318">
        <v>5</v>
      </c>
      <c r="L2318">
        <v>55</v>
      </c>
      <c r="M2318">
        <v>275</v>
      </c>
      <c r="N2318">
        <f>IF(COUNTIFS($B$2:B2318,B2318)=1,1,0)</f>
        <v>0</v>
      </c>
    </row>
    <row r="2319" spans="1:14" x14ac:dyDescent="0.2">
      <c r="A2319">
        <v>2318</v>
      </c>
      <c r="B2319">
        <v>2168</v>
      </c>
      <c r="C2319">
        <f>1/COUNTIF(B:B,Table1[[#This Row],[order_id]])</f>
        <v>0.5</v>
      </c>
      <c r="D2319" t="str">
        <f>TEXT(Table1[[#This Row],[order_date]],"mmmm")</f>
        <v>June</v>
      </c>
      <c r="E2319" s="1">
        <v>45473</v>
      </c>
      <c r="F2319" s="1" t="str">
        <f>TEXT(Table1[[#This Row],[order_date]],"dddd")</f>
        <v>Sunday</v>
      </c>
      <c r="G2319">
        <f>HOUR(Table1[[#This Row],[order_time]])</f>
        <v>15</v>
      </c>
      <c r="H2319" s="2">
        <v>0.63253472222222218</v>
      </c>
      <c r="I2319" t="s">
        <v>16</v>
      </c>
      <c r="J2319" t="s">
        <v>23</v>
      </c>
      <c r="K2319">
        <v>1</v>
      </c>
      <c r="L2319">
        <v>30</v>
      </c>
      <c r="M2319">
        <v>30</v>
      </c>
      <c r="N2319">
        <f>IF(COUNTIFS($B$2:B2319,B2319)=1,1,0)</f>
        <v>1</v>
      </c>
    </row>
    <row r="2320" spans="1:14" x14ac:dyDescent="0.2">
      <c r="A2320">
        <v>2319</v>
      </c>
      <c r="B2320">
        <v>2168</v>
      </c>
      <c r="C2320">
        <f>1/COUNTIF(B:B,Table1[[#This Row],[order_id]])</f>
        <v>0.5</v>
      </c>
      <c r="D2320" t="str">
        <f>TEXT(Table1[[#This Row],[order_date]],"mmmm")</f>
        <v>June</v>
      </c>
      <c r="E2320" s="1">
        <v>45473</v>
      </c>
      <c r="F2320" s="1" t="str">
        <f>TEXT(Table1[[#This Row],[order_date]],"dddd")</f>
        <v>Sunday</v>
      </c>
      <c r="G2320">
        <f>HOUR(Table1[[#This Row],[order_time]])</f>
        <v>11</v>
      </c>
      <c r="H2320" s="2">
        <v>0.46432870370370372</v>
      </c>
      <c r="I2320" t="s">
        <v>11</v>
      </c>
      <c r="J2320" t="s">
        <v>12</v>
      </c>
      <c r="K2320">
        <v>3</v>
      </c>
      <c r="L2320">
        <v>650</v>
      </c>
      <c r="M2320">
        <v>1950</v>
      </c>
      <c r="N2320">
        <f>IF(COUNTIFS($B$2:B2320,B2320)=1,1,0)</f>
        <v>0</v>
      </c>
    </row>
    <row r="2321" spans="1:14" x14ac:dyDescent="0.2">
      <c r="A2321">
        <v>2320</v>
      </c>
      <c r="B2321">
        <v>2169</v>
      </c>
      <c r="C2321">
        <f>1/COUNTIF(B:B,Table1[[#This Row],[order_id]])</f>
        <v>1</v>
      </c>
      <c r="D2321" t="str">
        <f>TEXT(Table1[[#This Row],[order_date]],"mmmm")</f>
        <v>June</v>
      </c>
      <c r="E2321" s="1">
        <v>45473</v>
      </c>
      <c r="F2321" s="1" t="str">
        <f>TEXT(Table1[[#This Row],[order_date]],"dddd")</f>
        <v>Sunday</v>
      </c>
      <c r="G2321">
        <f>HOUR(Table1[[#This Row],[order_time]])</f>
        <v>19</v>
      </c>
      <c r="H2321" s="2">
        <v>0.79553240740740738</v>
      </c>
      <c r="I2321" t="s">
        <v>16</v>
      </c>
      <c r="J2321" t="s">
        <v>28</v>
      </c>
      <c r="K2321">
        <v>5</v>
      </c>
      <c r="L2321">
        <v>25</v>
      </c>
      <c r="M2321">
        <v>125</v>
      </c>
      <c r="N2321">
        <f>IF(COUNTIFS($B$2:B2321,B2321)=1,1,0)</f>
        <v>1</v>
      </c>
    </row>
    <row r="2322" spans="1:14" x14ac:dyDescent="0.2">
      <c r="A2322">
        <v>2321</v>
      </c>
      <c r="B2322">
        <v>2170</v>
      </c>
      <c r="C2322">
        <f>1/COUNTIF(B:B,Table1[[#This Row],[order_id]])</f>
        <v>0.5</v>
      </c>
      <c r="D2322" t="str">
        <f>TEXT(Table1[[#This Row],[order_date]],"mmmm")</f>
        <v>June</v>
      </c>
      <c r="E2322" s="1">
        <v>45473</v>
      </c>
      <c r="F2322" s="1" t="str">
        <f>TEXT(Table1[[#This Row],[order_date]],"dddd")</f>
        <v>Sunday</v>
      </c>
      <c r="G2322">
        <f>HOUR(Table1[[#This Row],[order_time]])</f>
        <v>18</v>
      </c>
      <c r="H2322" s="2">
        <v>0.78420138888888891</v>
      </c>
      <c r="I2322" t="s">
        <v>18</v>
      </c>
      <c r="J2322" t="s">
        <v>27</v>
      </c>
      <c r="K2322">
        <v>3</v>
      </c>
      <c r="L2322">
        <v>40</v>
      </c>
      <c r="M2322">
        <v>120</v>
      </c>
      <c r="N2322">
        <f>IF(COUNTIFS($B$2:B2322,B2322)=1,1,0)</f>
        <v>1</v>
      </c>
    </row>
    <row r="2323" spans="1:14" x14ac:dyDescent="0.2">
      <c r="A2323">
        <v>2322</v>
      </c>
      <c r="B2323">
        <v>2170</v>
      </c>
      <c r="C2323">
        <f>1/COUNTIF(B:B,Table1[[#This Row],[order_id]])</f>
        <v>0.5</v>
      </c>
      <c r="D2323" t="str">
        <f>TEXT(Table1[[#This Row],[order_date]],"mmmm")</f>
        <v>June</v>
      </c>
      <c r="E2323" s="1">
        <v>45473</v>
      </c>
      <c r="F2323" s="1" t="str">
        <f>TEXT(Table1[[#This Row],[order_date]],"dddd")</f>
        <v>Sunday</v>
      </c>
      <c r="G2323">
        <f>HOUR(Table1[[#This Row],[order_time]])</f>
        <v>14</v>
      </c>
      <c r="H2323" s="2">
        <v>0.58765046296296297</v>
      </c>
      <c r="I2323" t="s">
        <v>16</v>
      </c>
      <c r="J2323" t="s">
        <v>28</v>
      </c>
      <c r="K2323">
        <v>4</v>
      </c>
      <c r="L2323">
        <v>25</v>
      </c>
      <c r="M2323">
        <v>100</v>
      </c>
      <c r="N2323">
        <f>IF(COUNTIFS($B$2:B2323,B2323)=1,1,0)</f>
        <v>0</v>
      </c>
    </row>
    <row r="2324" spans="1:14" x14ac:dyDescent="0.2">
      <c r="A2324">
        <v>2323</v>
      </c>
      <c r="B2324">
        <v>2171</v>
      </c>
      <c r="C2324">
        <f>1/COUNTIF(B:B,Table1[[#This Row],[order_id]])</f>
        <v>1</v>
      </c>
      <c r="D2324" t="str">
        <f>TEXT(Table1[[#This Row],[order_date]],"mmmm")</f>
        <v>June</v>
      </c>
      <c r="E2324" s="1">
        <v>45473</v>
      </c>
      <c r="F2324" s="1" t="str">
        <f>TEXT(Table1[[#This Row],[order_date]],"dddd")</f>
        <v>Sunday</v>
      </c>
      <c r="G2324">
        <f>HOUR(Table1[[#This Row],[order_time]])</f>
        <v>11</v>
      </c>
      <c r="H2324" s="2">
        <v>0.49653935185185183</v>
      </c>
      <c r="I2324" t="s">
        <v>11</v>
      </c>
      <c r="J2324" t="s">
        <v>25</v>
      </c>
      <c r="K2324">
        <v>4</v>
      </c>
      <c r="L2324">
        <v>1000</v>
      </c>
      <c r="M2324">
        <v>4000</v>
      </c>
      <c r="N2324">
        <f>IF(COUNTIFS($B$2:B2324,B2324)=1,1,0)</f>
        <v>1</v>
      </c>
    </row>
    <row r="2325" spans="1:14" x14ac:dyDescent="0.2">
      <c r="A2325">
        <v>2324</v>
      </c>
      <c r="B2325">
        <v>2172</v>
      </c>
      <c r="C2325">
        <f>1/COUNTIF(B:B,Table1[[#This Row],[order_id]])</f>
        <v>0.5</v>
      </c>
      <c r="D2325" t="str">
        <f>TEXT(Table1[[#This Row],[order_date]],"mmmm")</f>
        <v>June</v>
      </c>
      <c r="E2325" s="1">
        <v>45473</v>
      </c>
      <c r="F2325" s="1" t="str">
        <f>TEXT(Table1[[#This Row],[order_date]],"dddd")</f>
        <v>Sunday</v>
      </c>
      <c r="G2325">
        <f>HOUR(Table1[[#This Row],[order_time]])</f>
        <v>18</v>
      </c>
      <c r="H2325" s="2">
        <v>0.79046296296296292</v>
      </c>
      <c r="I2325" t="s">
        <v>9</v>
      </c>
      <c r="J2325" t="s">
        <v>22</v>
      </c>
      <c r="K2325">
        <v>5</v>
      </c>
      <c r="L2325">
        <v>15</v>
      </c>
      <c r="M2325">
        <v>75</v>
      </c>
      <c r="N2325">
        <f>IF(COUNTIFS($B$2:B2325,B2325)=1,1,0)</f>
        <v>1</v>
      </c>
    </row>
    <row r="2326" spans="1:14" x14ac:dyDescent="0.2">
      <c r="A2326">
        <v>2325</v>
      </c>
      <c r="B2326">
        <v>2172</v>
      </c>
      <c r="C2326">
        <f>1/COUNTIF(B:B,Table1[[#This Row],[order_id]])</f>
        <v>0.5</v>
      </c>
      <c r="D2326" t="str">
        <f>TEXT(Table1[[#This Row],[order_date]],"mmmm")</f>
        <v>June</v>
      </c>
      <c r="E2326" s="1">
        <v>45473</v>
      </c>
      <c r="F2326" s="1" t="str">
        <f>TEXT(Table1[[#This Row],[order_date]],"dddd")</f>
        <v>Sunday</v>
      </c>
      <c r="G2326">
        <f>HOUR(Table1[[#This Row],[order_time]])</f>
        <v>14</v>
      </c>
      <c r="H2326" s="2">
        <v>0.59699074074074077</v>
      </c>
      <c r="I2326" t="s">
        <v>16</v>
      </c>
      <c r="J2326" t="s">
        <v>24</v>
      </c>
      <c r="K2326">
        <v>5</v>
      </c>
      <c r="L2326">
        <v>35</v>
      </c>
      <c r="M2326">
        <v>175</v>
      </c>
      <c r="N2326">
        <f>IF(COUNTIFS($B$2:B2326,B2326)=1,1,0)</f>
        <v>0</v>
      </c>
    </row>
    <row r="2327" spans="1:14" x14ac:dyDescent="0.2">
      <c r="A2327">
        <v>2326</v>
      </c>
      <c r="B2327">
        <v>2173</v>
      </c>
      <c r="C2327">
        <f>1/COUNTIF(B:B,Table1[[#This Row],[order_id]])</f>
        <v>0.33333333333333331</v>
      </c>
      <c r="D2327" t="str">
        <f>TEXT(Table1[[#This Row],[order_date]],"mmmm")</f>
        <v>June</v>
      </c>
      <c r="E2327" s="1">
        <v>45473</v>
      </c>
      <c r="F2327" s="1" t="str">
        <f>TEXT(Table1[[#This Row],[order_date]],"dddd")</f>
        <v>Sunday</v>
      </c>
      <c r="G2327">
        <f>HOUR(Table1[[#This Row],[order_time]])</f>
        <v>13</v>
      </c>
      <c r="H2327" s="2">
        <v>0.58219907407407412</v>
      </c>
      <c r="I2327" t="s">
        <v>9</v>
      </c>
      <c r="J2327" t="s">
        <v>20</v>
      </c>
      <c r="K2327">
        <v>5</v>
      </c>
      <c r="L2327">
        <v>25</v>
      </c>
      <c r="M2327">
        <v>125</v>
      </c>
      <c r="N2327">
        <f>IF(COUNTIFS($B$2:B2327,B2327)=1,1,0)</f>
        <v>1</v>
      </c>
    </row>
    <row r="2328" spans="1:14" x14ac:dyDescent="0.2">
      <c r="A2328">
        <v>2327</v>
      </c>
      <c r="B2328">
        <v>2173</v>
      </c>
      <c r="C2328">
        <f>1/COUNTIF(B:B,Table1[[#This Row],[order_id]])</f>
        <v>0.33333333333333331</v>
      </c>
      <c r="D2328" t="str">
        <f>TEXT(Table1[[#This Row],[order_date]],"mmmm")</f>
        <v>June</v>
      </c>
      <c r="E2328" s="1">
        <v>45473</v>
      </c>
      <c r="F2328" s="1" t="str">
        <f>TEXT(Table1[[#This Row],[order_date]],"dddd")</f>
        <v>Sunday</v>
      </c>
      <c r="G2328">
        <f>HOUR(Table1[[#This Row],[order_time]])</f>
        <v>13</v>
      </c>
      <c r="H2328" s="2">
        <v>0.54520833333333329</v>
      </c>
      <c r="I2328" t="s">
        <v>18</v>
      </c>
      <c r="J2328" t="s">
        <v>31</v>
      </c>
      <c r="K2328">
        <v>2</v>
      </c>
      <c r="L2328">
        <v>45</v>
      </c>
      <c r="M2328">
        <v>90</v>
      </c>
      <c r="N2328">
        <f>IF(COUNTIFS($B$2:B2328,B2328)=1,1,0)</f>
        <v>0</v>
      </c>
    </row>
    <row r="2329" spans="1:14" x14ac:dyDescent="0.2">
      <c r="A2329">
        <v>2328</v>
      </c>
      <c r="B2329">
        <v>2173</v>
      </c>
      <c r="C2329">
        <f>1/COUNTIF(B:B,Table1[[#This Row],[order_id]])</f>
        <v>0.33333333333333331</v>
      </c>
      <c r="D2329" t="str">
        <f>TEXT(Table1[[#This Row],[order_date]],"mmmm")</f>
        <v>June</v>
      </c>
      <c r="E2329" s="1">
        <v>45473</v>
      </c>
      <c r="F2329" s="1" t="str">
        <f>TEXT(Table1[[#This Row],[order_date]],"dddd")</f>
        <v>Sunday</v>
      </c>
      <c r="G2329">
        <f>HOUR(Table1[[#This Row],[order_time]])</f>
        <v>13</v>
      </c>
      <c r="H2329" s="2">
        <v>0.57807870370370373</v>
      </c>
      <c r="I2329" t="s">
        <v>18</v>
      </c>
      <c r="J2329" t="s">
        <v>19</v>
      </c>
      <c r="K2329">
        <v>4</v>
      </c>
      <c r="L2329">
        <v>50</v>
      </c>
      <c r="M2329">
        <v>200</v>
      </c>
      <c r="N2329">
        <f>IF(COUNTIFS($B$2:B2329,B2329)=1,1,0)</f>
        <v>0</v>
      </c>
    </row>
    <row r="2330" spans="1:14" x14ac:dyDescent="0.2">
      <c r="A2330">
        <v>2329</v>
      </c>
      <c r="B2330">
        <v>2174</v>
      </c>
      <c r="C2330">
        <f>1/COUNTIF(B:B,Table1[[#This Row],[order_id]])</f>
        <v>0.33333333333333331</v>
      </c>
      <c r="D2330" t="str">
        <f>TEXT(Table1[[#This Row],[order_date]],"mmmm")</f>
        <v>June</v>
      </c>
      <c r="E2330" s="1">
        <v>45473</v>
      </c>
      <c r="F2330" s="1" t="str">
        <f>TEXT(Table1[[#This Row],[order_date]],"dddd")</f>
        <v>Sunday</v>
      </c>
      <c r="G2330">
        <f>HOUR(Table1[[#This Row],[order_time]])</f>
        <v>9</v>
      </c>
      <c r="H2330" s="2">
        <v>0.39208333333333334</v>
      </c>
      <c r="I2330" t="s">
        <v>18</v>
      </c>
      <c r="J2330" t="s">
        <v>31</v>
      </c>
      <c r="K2330">
        <v>3</v>
      </c>
      <c r="L2330">
        <v>45</v>
      </c>
      <c r="M2330">
        <v>135</v>
      </c>
      <c r="N2330">
        <f>IF(COUNTIFS($B$2:B2330,B2330)=1,1,0)</f>
        <v>1</v>
      </c>
    </row>
    <row r="2331" spans="1:14" x14ac:dyDescent="0.2">
      <c r="A2331">
        <v>2330</v>
      </c>
      <c r="B2331">
        <v>2174</v>
      </c>
      <c r="C2331">
        <f>1/COUNTIF(B:B,Table1[[#This Row],[order_id]])</f>
        <v>0.33333333333333331</v>
      </c>
      <c r="D2331" t="str">
        <f>TEXT(Table1[[#This Row],[order_date]],"mmmm")</f>
        <v>June</v>
      </c>
      <c r="E2331" s="1">
        <v>45473</v>
      </c>
      <c r="F2331" s="1" t="str">
        <f>TEXT(Table1[[#This Row],[order_date]],"dddd")</f>
        <v>Sunday</v>
      </c>
      <c r="G2331">
        <f>HOUR(Table1[[#This Row],[order_time]])</f>
        <v>20</v>
      </c>
      <c r="H2331" s="2">
        <v>0.87152777777777779</v>
      </c>
      <c r="I2331" t="s">
        <v>16</v>
      </c>
      <c r="J2331" t="s">
        <v>24</v>
      </c>
      <c r="K2331">
        <v>2</v>
      </c>
      <c r="L2331">
        <v>35</v>
      </c>
      <c r="M2331">
        <v>70</v>
      </c>
      <c r="N2331">
        <f>IF(COUNTIFS($B$2:B2331,B2331)=1,1,0)</f>
        <v>0</v>
      </c>
    </row>
    <row r="2332" spans="1:14" x14ac:dyDescent="0.2">
      <c r="A2332">
        <v>2331</v>
      </c>
      <c r="B2332">
        <v>2174</v>
      </c>
      <c r="C2332">
        <f>1/COUNTIF(B:B,Table1[[#This Row],[order_id]])</f>
        <v>0.33333333333333331</v>
      </c>
      <c r="D2332" t="str">
        <f>TEXT(Table1[[#This Row],[order_date]],"mmmm")</f>
        <v>June</v>
      </c>
      <c r="E2332" s="1">
        <v>45473</v>
      </c>
      <c r="F2332" s="1" t="str">
        <f>TEXT(Table1[[#This Row],[order_date]],"dddd")</f>
        <v>Sunday</v>
      </c>
      <c r="G2332">
        <f>HOUR(Table1[[#This Row],[order_time]])</f>
        <v>13</v>
      </c>
      <c r="H2332" s="2">
        <v>0.54218750000000004</v>
      </c>
      <c r="I2332" t="s">
        <v>16</v>
      </c>
      <c r="J2332" t="s">
        <v>17</v>
      </c>
      <c r="K2332">
        <v>4</v>
      </c>
      <c r="L2332">
        <v>20</v>
      </c>
      <c r="M2332">
        <v>80</v>
      </c>
      <c r="N2332">
        <f>IF(COUNTIFS($B$2:B2332,B2332)=1,1,0)</f>
        <v>0</v>
      </c>
    </row>
    <row r="2333" spans="1:14" x14ac:dyDescent="0.2">
      <c r="A2333">
        <v>2332</v>
      </c>
      <c r="B2333">
        <v>2175</v>
      </c>
      <c r="C2333">
        <f>1/COUNTIF(B:B,Table1[[#This Row],[order_id]])</f>
        <v>0.5</v>
      </c>
      <c r="D2333" t="str">
        <f>TEXT(Table1[[#This Row],[order_date]],"mmmm")</f>
        <v>June</v>
      </c>
      <c r="E2333" s="1">
        <v>45473</v>
      </c>
      <c r="F2333" s="1" t="str">
        <f>TEXT(Table1[[#This Row],[order_date]],"dddd")</f>
        <v>Sunday</v>
      </c>
      <c r="G2333">
        <f>HOUR(Table1[[#This Row],[order_time]])</f>
        <v>16</v>
      </c>
      <c r="H2333" s="2">
        <v>0.68055555555555558</v>
      </c>
      <c r="I2333" t="s">
        <v>11</v>
      </c>
      <c r="J2333" t="s">
        <v>15</v>
      </c>
      <c r="K2333">
        <v>2</v>
      </c>
      <c r="L2333">
        <v>600</v>
      </c>
      <c r="M2333">
        <v>1200</v>
      </c>
      <c r="N2333">
        <f>IF(COUNTIFS($B$2:B2333,B2333)=1,1,0)</f>
        <v>1</v>
      </c>
    </row>
    <row r="2334" spans="1:14" x14ac:dyDescent="0.2">
      <c r="A2334">
        <v>2333</v>
      </c>
      <c r="B2334">
        <v>2175</v>
      </c>
      <c r="C2334">
        <f>1/COUNTIF(B:B,Table1[[#This Row],[order_id]])</f>
        <v>0.5</v>
      </c>
      <c r="D2334" t="str">
        <f>TEXT(Table1[[#This Row],[order_date]],"mmmm")</f>
        <v>June</v>
      </c>
      <c r="E2334" s="1">
        <v>45473</v>
      </c>
      <c r="F2334" s="1" t="str">
        <f>TEXT(Table1[[#This Row],[order_date]],"dddd")</f>
        <v>Sunday</v>
      </c>
      <c r="G2334">
        <f>HOUR(Table1[[#This Row],[order_time]])</f>
        <v>14</v>
      </c>
      <c r="H2334" s="2">
        <v>0.59966435185185185</v>
      </c>
      <c r="I2334" t="s">
        <v>9</v>
      </c>
      <c r="J2334" t="s">
        <v>20</v>
      </c>
      <c r="K2334">
        <v>1</v>
      </c>
      <c r="L2334">
        <v>25</v>
      </c>
      <c r="M2334">
        <v>25</v>
      </c>
      <c r="N2334">
        <f>IF(COUNTIFS($B$2:B2334,B2334)=1,1,0)</f>
        <v>0</v>
      </c>
    </row>
    <row r="2335" spans="1:14" x14ac:dyDescent="0.2">
      <c r="A2335">
        <v>2334</v>
      </c>
      <c r="B2335">
        <v>2176</v>
      </c>
      <c r="C2335">
        <f>1/COUNTIF(B:B,Table1[[#This Row],[order_id]])</f>
        <v>0.33333333333333331</v>
      </c>
      <c r="D2335" t="str">
        <f>TEXT(Table1[[#This Row],[order_date]],"mmmm")</f>
        <v>June</v>
      </c>
      <c r="E2335" s="1">
        <v>45473</v>
      </c>
      <c r="F2335" s="1" t="str">
        <f>TEXT(Table1[[#This Row],[order_date]],"dddd")</f>
        <v>Sunday</v>
      </c>
      <c r="G2335">
        <f>HOUR(Table1[[#This Row],[order_time]])</f>
        <v>17</v>
      </c>
      <c r="H2335" s="2">
        <v>0.74615740740740744</v>
      </c>
      <c r="I2335" t="s">
        <v>9</v>
      </c>
      <c r="J2335" t="s">
        <v>10</v>
      </c>
      <c r="K2335">
        <v>4</v>
      </c>
      <c r="L2335">
        <v>20</v>
      </c>
      <c r="M2335">
        <v>80</v>
      </c>
      <c r="N2335">
        <f>IF(COUNTIFS($B$2:B2335,B2335)=1,1,0)</f>
        <v>1</v>
      </c>
    </row>
    <row r="2336" spans="1:14" x14ac:dyDescent="0.2">
      <c r="A2336">
        <v>2335</v>
      </c>
      <c r="B2336">
        <v>2176</v>
      </c>
      <c r="C2336">
        <f>1/COUNTIF(B:B,Table1[[#This Row],[order_id]])</f>
        <v>0.33333333333333331</v>
      </c>
      <c r="D2336" t="str">
        <f>TEXT(Table1[[#This Row],[order_date]],"mmmm")</f>
        <v>June</v>
      </c>
      <c r="E2336" s="1">
        <v>45473</v>
      </c>
      <c r="F2336" s="1" t="str">
        <f>TEXT(Table1[[#This Row],[order_date]],"dddd")</f>
        <v>Sunday</v>
      </c>
      <c r="G2336">
        <f>HOUR(Table1[[#This Row],[order_time]])</f>
        <v>16</v>
      </c>
      <c r="H2336" s="2">
        <v>0.69915509259259256</v>
      </c>
      <c r="I2336" t="s">
        <v>9</v>
      </c>
      <c r="J2336" t="s">
        <v>22</v>
      </c>
      <c r="K2336">
        <v>2</v>
      </c>
      <c r="L2336">
        <v>15</v>
      </c>
      <c r="M2336">
        <v>30</v>
      </c>
      <c r="N2336">
        <f>IF(COUNTIFS($B$2:B2336,B2336)=1,1,0)</f>
        <v>0</v>
      </c>
    </row>
    <row r="2337" spans="1:14" x14ac:dyDescent="0.2">
      <c r="A2337">
        <v>2336</v>
      </c>
      <c r="B2337">
        <v>2176</v>
      </c>
      <c r="C2337">
        <f>1/COUNTIF(B:B,Table1[[#This Row],[order_id]])</f>
        <v>0.33333333333333331</v>
      </c>
      <c r="D2337" t="str">
        <f>TEXT(Table1[[#This Row],[order_date]],"mmmm")</f>
        <v>June</v>
      </c>
      <c r="E2337" s="1">
        <v>45473</v>
      </c>
      <c r="F2337" s="1" t="str">
        <f>TEXT(Table1[[#This Row],[order_date]],"dddd")</f>
        <v>Sunday</v>
      </c>
      <c r="G2337">
        <f>HOUR(Table1[[#This Row],[order_time]])</f>
        <v>20</v>
      </c>
      <c r="H2337" s="2">
        <v>0.84401620370370367</v>
      </c>
      <c r="I2337" t="s">
        <v>18</v>
      </c>
      <c r="J2337" t="s">
        <v>31</v>
      </c>
      <c r="K2337">
        <v>4</v>
      </c>
      <c r="L2337">
        <v>45</v>
      </c>
      <c r="M2337">
        <v>180</v>
      </c>
      <c r="N2337">
        <f>IF(COUNTIFS($B$2:B2337,B2337)=1,1,0)</f>
        <v>0</v>
      </c>
    </row>
    <row r="2338" spans="1:14" x14ac:dyDescent="0.2">
      <c r="A2338">
        <v>2337</v>
      </c>
      <c r="B2338">
        <v>2177</v>
      </c>
      <c r="C2338">
        <f>1/COUNTIF(B:B,Table1[[#This Row],[order_id]])</f>
        <v>0.5</v>
      </c>
      <c r="D2338" t="str">
        <f>TEXT(Table1[[#This Row],[order_date]],"mmmm")</f>
        <v>July</v>
      </c>
      <c r="E2338" s="1">
        <v>45474</v>
      </c>
      <c r="F2338" s="1" t="str">
        <f>TEXT(Table1[[#This Row],[order_date]],"dddd")</f>
        <v>Monday</v>
      </c>
      <c r="G2338">
        <f>HOUR(Table1[[#This Row],[order_time]])</f>
        <v>11</v>
      </c>
      <c r="H2338" s="2">
        <v>0.48571759259259262</v>
      </c>
      <c r="I2338" t="s">
        <v>11</v>
      </c>
      <c r="J2338" t="s">
        <v>13</v>
      </c>
      <c r="K2338">
        <v>3</v>
      </c>
      <c r="L2338">
        <v>680</v>
      </c>
      <c r="M2338">
        <v>2040</v>
      </c>
      <c r="N2338">
        <f>IF(COUNTIFS($B$2:B2338,B2338)=1,1,0)</f>
        <v>1</v>
      </c>
    </row>
    <row r="2339" spans="1:14" x14ac:dyDescent="0.2">
      <c r="A2339">
        <v>2338</v>
      </c>
      <c r="B2339">
        <v>2177</v>
      </c>
      <c r="C2339">
        <f>1/COUNTIF(B:B,Table1[[#This Row],[order_id]])</f>
        <v>0.5</v>
      </c>
      <c r="D2339" t="str">
        <f>TEXT(Table1[[#This Row],[order_date]],"mmmm")</f>
        <v>July</v>
      </c>
      <c r="E2339" s="1">
        <v>45474</v>
      </c>
      <c r="F2339" s="1" t="str">
        <f>TEXT(Table1[[#This Row],[order_date]],"dddd")</f>
        <v>Monday</v>
      </c>
      <c r="G2339">
        <f>HOUR(Table1[[#This Row],[order_time]])</f>
        <v>18</v>
      </c>
      <c r="H2339" s="2">
        <v>0.778900462962963</v>
      </c>
      <c r="I2339" t="s">
        <v>11</v>
      </c>
      <c r="J2339" t="s">
        <v>12</v>
      </c>
      <c r="K2339">
        <v>5</v>
      </c>
      <c r="L2339">
        <v>650</v>
      </c>
      <c r="M2339">
        <v>3250</v>
      </c>
      <c r="N2339">
        <f>IF(COUNTIFS($B$2:B2339,B2339)=1,1,0)</f>
        <v>0</v>
      </c>
    </row>
    <row r="2340" spans="1:14" x14ac:dyDescent="0.2">
      <c r="A2340">
        <v>2339</v>
      </c>
      <c r="B2340">
        <v>2178</v>
      </c>
      <c r="C2340">
        <f>1/COUNTIF(B:B,Table1[[#This Row],[order_id]])</f>
        <v>1</v>
      </c>
      <c r="D2340" t="str">
        <f>TEXT(Table1[[#This Row],[order_date]],"mmmm")</f>
        <v>July</v>
      </c>
      <c r="E2340" s="1">
        <v>45474</v>
      </c>
      <c r="F2340" s="1" t="str">
        <f>TEXT(Table1[[#This Row],[order_date]],"dddd")</f>
        <v>Monday</v>
      </c>
      <c r="G2340">
        <f>HOUR(Table1[[#This Row],[order_time]])</f>
        <v>10</v>
      </c>
      <c r="H2340" s="2">
        <v>0.43870370370370371</v>
      </c>
      <c r="I2340" t="s">
        <v>11</v>
      </c>
      <c r="J2340" t="s">
        <v>14</v>
      </c>
      <c r="K2340">
        <v>4</v>
      </c>
      <c r="L2340">
        <v>700</v>
      </c>
      <c r="M2340">
        <v>2800</v>
      </c>
      <c r="N2340">
        <f>IF(COUNTIFS($B$2:B2340,B2340)=1,1,0)</f>
        <v>1</v>
      </c>
    </row>
    <row r="2341" spans="1:14" x14ac:dyDescent="0.2">
      <c r="A2341">
        <v>2340</v>
      </c>
      <c r="B2341">
        <v>2179</v>
      </c>
      <c r="C2341">
        <f>1/COUNTIF(B:B,Table1[[#This Row],[order_id]])</f>
        <v>0.5</v>
      </c>
      <c r="D2341" t="str">
        <f>TEXT(Table1[[#This Row],[order_date]],"mmmm")</f>
        <v>July</v>
      </c>
      <c r="E2341" s="1">
        <v>45474</v>
      </c>
      <c r="F2341" s="1" t="str">
        <f>TEXT(Table1[[#This Row],[order_date]],"dddd")</f>
        <v>Monday</v>
      </c>
      <c r="G2341">
        <f>HOUR(Table1[[#This Row],[order_time]])</f>
        <v>17</v>
      </c>
      <c r="H2341" s="2">
        <v>0.72744212962962962</v>
      </c>
      <c r="I2341" t="s">
        <v>11</v>
      </c>
      <c r="J2341" t="s">
        <v>15</v>
      </c>
      <c r="K2341">
        <v>4</v>
      </c>
      <c r="L2341">
        <v>600</v>
      </c>
      <c r="M2341">
        <v>2400</v>
      </c>
      <c r="N2341">
        <f>IF(COUNTIFS($B$2:B2341,B2341)=1,1,0)</f>
        <v>1</v>
      </c>
    </row>
    <row r="2342" spans="1:14" x14ac:dyDescent="0.2">
      <c r="A2342">
        <v>2341</v>
      </c>
      <c r="B2342">
        <v>2179</v>
      </c>
      <c r="C2342">
        <f>1/COUNTIF(B:B,Table1[[#This Row],[order_id]])</f>
        <v>0.5</v>
      </c>
      <c r="D2342" t="str">
        <f>TEXT(Table1[[#This Row],[order_date]],"mmmm")</f>
        <v>July</v>
      </c>
      <c r="E2342" s="1">
        <v>45474</v>
      </c>
      <c r="F2342" s="1" t="str">
        <f>TEXT(Table1[[#This Row],[order_date]],"dddd")</f>
        <v>Monday</v>
      </c>
      <c r="G2342">
        <f>HOUR(Table1[[#This Row],[order_time]])</f>
        <v>18</v>
      </c>
      <c r="H2342" s="2">
        <v>0.77737268518518521</v>
      </c>
      <c r="I2342" t="s">
        <v>11</v>
      </c>
      <c r="J2342" t="s">
        <v>14</v>
      </c>
      <c r="K2342">
        <v>5</v>
      </c>
      <c r="L2342">
        <v>700</v>
      </c>
      <c r="M2342">
        <v>3500</v>
      </c>
      <c r="N2342">
        <f>IF(COUNTIFS($B$2:B2342,B2342)=1,1,0)</f>
        <v>0</v>
      </c>
    </row>
    <row r="2343" spans="1:14" x14ac:dyDescent="0.2">
      <c r="A2343">
        <v>2342</v>
      </c>
      <c r="B2343">
        <v>2180</v>
      </c>
      <c r="C2343">
        <f>1/COUNTIF(B:B,Table1[[#This Row],[order_id]])</f>
        <v>1</v>
      </c>
      <c r="D2343" t="str">
        <f>TEXT(Table1[[#This Row],[order_date]],"mmmm")</f>
        <v>July</v>
      </c>
      <c r="E2343" s="1">
        <v>45474</v>
      </c>
      <c r="F2343" s="1" t="str">
        <f>TEXT(Table1[[#This Row],[order_date]],"dddd")</f>
        <v>Monday</v>
      </c>
      <c r="G2343">
        <f>HOUR(Table1[[#This Row],[order_time]])</f>
        <v>9</v>
      </c>
      <c r="H2343" s="2">
        <v>0.37609953703703702</v>
      </c>
      <c r="I2343" t="s">
        <v>11</v>
      </c>
      <c r="J2343" t="s">
        <v>15</v>
      </c>
      <c r="K2343">
        <v>4</v>
      </c>
      <c r="L2343">
        <v>600</v>
      </c>
      <c r="M2343">
        <v>2400</v>
      </c>
      <c r="N2343">
        <f>IF(COUNTIFS($B$2:B2343,B2343)=1,1,0)</f>
        <v>1</v>
      </c>
    </row>
    <row r="2344" spans="1:14" x14ac:dyDescent="0.2">
      <c r="A2344">
        <v>2343</v>
      </c>
      <c r="B2344">
        <v>2181</v>
      </c>
      <c r="C2344">
        <f>1/COUNTIF(B:B,Table1[[#This Row],[order_id]])</f>
        <v>1</v>
      </c>
      <c r="D2344" t="str">
        <f>TEXT(Table1[[#This Row],[order_date]],"mmmm")</f>
        <v>July</v>
      </c>
      <c r="E2344" s="1">
        <v>45474</v>
      </c>
      <c r="F2344" s="1" t="str">
        <f>TEXT(Table1[[#This Row],[order_date]],"dddd")</f>
        <v>Monday</v>
      </c>
      <c r="G2344">
        <f>HOUR(Table1[[#This Row],[order_time]])</f>
        <v>14</v>
      </c>
      <c r="H2344" s="2">
        <v>0.61636574074074069</v>
      </c>
      <c r="I2344" t="s">
        <v>11</v>
      </c>
      <c r="J2344" t="s">
        <v>14</v>
      </c>
      <c r="K2344">
        <v>2</v>
      </c>
      <c r="L2344">
        <v>700</v>
      </c>
      <c r="M2344">
        <v>1400</v>
      </c>
      <c r="N2344">
        <f>IF(COUNTIFS($B$2:B2344,B2344)=1,1,0)</f>
        <v>1</v>
      </c>
    </row>
    <row r="2345" spans="1:14" x14ac:dyDescent="0.2">
      <c r="A2345">
        <v>2344</v>
      </c>
      <c r="B2345">
        <v>2182</v>
      </c>
      <c r="C2345">
        <f>1/COUNTIF(B:B,Table1[[#This Row],[order_id]])</f>
        <v>1</v>
      </c>
      <c r="D2345" t="str">
        <f>TEXT(Table1[[#This Row],[order_date]],"mmmm")</f>
        <v>July</v>
      </c>
      <c r="E2345" s="1">
        <v>45474</v>
      </c>
      <c r="F2345" s="1" t="str">
        <f>TEXT(Table1[[#This Row],[order_date]],"dddd")</f>
        <v>Monday</v>
      </c>
      <c r="G2345">
        <f>HOUR(Table1[[#This Row],[order_time]])</f>
        <v>9</v>
      </c>
      <c r="H2345" s="2">
        <v>0.39354166666666668</v>
      </c>
      <c r="I2345" t="s">
        <v>11</v>
      </c>
      <c r="J2345" t="s">
        <v>15</v>
      </c>
      <c r="K2345">
        <v>1</v>
      </c>
      <c r="L2345">
        <v>600</v>
      </c>
      <c r="M2345">
        <v>600</v>
      </c>
      <c r="N2345">
        <f>IF(COUNTIFS($B$2:B2345,B2345)=1,1,0)</f>
        <v>1</v>
      </c>
    </row>
    <row r="2346" spans="1:14" x14ac:dyDescent="0.2">
      <c r="A2346">
        <v>2345</v>
      </c>
      <c r="B2346">
        <v>2183</v>
      </c>
      <c r="C2346">
        <f>1/COUNTIF(B:B,Table1[[#This Row],[order_id]])</f>
        <v>0.5</v>
      </c>
      <c r="D2346" t="str">
        <f>TEXT(Table1[[#This Row],[order_date]],"mmmm")</f>
        <v>July</v>
      </c>
      <c r="E2346" s="1">
        <v>45474</v>
      </c>
      <c r="F2346" s="1" t="str">
        <f>TEXT(Table1[[#This Row],[order_date]],"dddd")</f>
        <v>Monday</v>
      </c>
      <c r="G2346">
        <f>HOUR(Table1[[#This Row],[order_time]])</f>
        <v>9</v>
      </c>
      <c r="H2346" s="2">
        <v>0.3860763888888889</v>
      </c>
      <c r="I2346" t="s">
        <v>9</v>
      </c>
      <c r="J2346" t="s">
        <v>20</v>
      </c>
      <c r="K2346">
        <v>4</v>
      </c>
      <c r="L2346">
        <v>25</v>
      </c>
      <c r="M2346">
        <v>100</v>
      </c>
      <c r="N2346">
        <f>IF(COUNTIFS($B$2:B2346,B2346)=1,1,0)</f>
        <v>1</v>
      </c>
    </row>
    <row r="2347" spans="1:14" x14ac:dyDescent="0.2">
      <c r="A2347">
        <v>2346</v>
      </c>
      <c r="B2347">
        <v>2183</v>
      </c>
      <c r="C2347">
        <f>1/COUNTIF(B:B,Table1[[#This Row],[order_id]])</f>
        <v>0.5</v>
      </c>
      <c r="D2347" t="str">
        <f>TEXT(Table1[[#This Row],[order_date]],"mmmm")</f>
        <v>July</v>
      </c>
      <c r="E2347" s="1">
        <v>45474</v>
      </c>
      <c r="F2347" s="1" t="str">
        <f>TEXT(Table1[[#This Row],[order_date]],"dddd")</f>
        <v>Monday</v>
      </c>
      <c r="G2347">
        <f>HOUR(Table1[[#This Row],[order_time]])</f>
        <v>9</v>
      </c>
      <c r="H2347" s="2">
        <v>0.37686342592592592</v>
      </c>
      <c r="I2347" t="s">
        <v>11</v>
      </c>
      <c r="J2347" t="s">
        <v>14</v>
      </c>
      <c r="K2347">
        <v>2</v>
      </c>
      <c r="L2347">
        <v>700</v>
      </c>
      <c r="M2347">
        <v>1400</v>
      </c>
      <c r="N2347">
        <f>IF(COUNTIFS($B$2:B2347,B2347)=1,1,0)</f>
        <v>0</v>
      </c>
    </row>
    <row r="2348" spans="1:14" x14ac:dyDescent="0.2">
      <c r="A2348">
        <v>2347</v>
      </c>
      <c r="B2348">
        <v>2184</v>
      </c>
      <c r="C2348">
        <f>1/COUNTIF(B:B,Table1[[#This Row],[order_id]])</f>
        <v>0.33333333333333331</v>
      </c>
      <c r="D2348" t="str">
        <f>TEXT(Table1[[#This Row],[order_date]],"mmmm")</f>
        <v>July</v>
      </c>
      <c r="E2348" s="1">
        <v>45474</v>
      </c>
      <c r="F2348" s="1" t="str">
        <f>TEXT(Table1[[#This Row],[order_date]],"dddd")</f>
        <v>Monday</v>
      </c>
      <c r="G2348">
        <f>HOUR(Table1[[#This Row],[order_time]])</f>
        <v>10</v>
      </c>
      <c r="H2348" s="2">
        <v>0.43274305555555553</v>
      </c>
      <c r="I2348" t="s">
        <v>16</v>
      </c>
      <c r="J2348" t="s">
        <v>28</v>
      </c>
      <c r="K2348">
        <v>3</v>
      </c>
      <c r="L2348">
        <v>25</v>
      </c>
      <c r="M2348">
        <v>75</v>
      </c>
      <c r="N2348">
        <f>IF(COUNTIFS($B$2:B2348,B2348)=1,1,0)</f>
        <v>1</v>
      </c>
    </row>
    <row r="2349" spans="1:14" x14ac:dyDescent="0.2">
      <c r="A2349">
        <v>2348</v>
      </c>
      <c r="B2349">
        <v>2184</v>
      </c>
      <c r="C2349">
        <f>1/COUNTIF(B:B,Table1[[#This Row],[order_id]])</f>
        <v>0.33333333333333331</v>
      </c>
      <c r="D2349" t="str">
        <f>TEXT(Table1[[#This Row],[order_date]],"mmmm")</f>
        <v>July</v>
      </c>
      <c r="E2349" s="1">
        <v>45474</v>
      </c>
      <c r="F2349" s="1" t="str">
        <f>TEXT(Table1[[#This Row],[order_date]],"dddd")</f>
        <v>Monday</v>
      </c>
      <c r="G2349">
        <f>HOUR(Table1[[#This Row],[order_time]])</f>
        <v>20</v>
      </c>
      <c r="H2349" s="2">
        <v>0.83690972222222226</v>
      </c>
      <c r="I2349" t="s">
        <v>16</v>
      </c>
      <c r="J2349" t="s">
        <v>17</v>
      </c>
      <c r="K2349">
        <v>2</v>
      </c>
      <c r="L2349">
        <v>20</v>
      </c>
      <c r="M2349">
        <v>40</v>
      </c>
      <c r="N2349">
        <f>IF(COUNTIFS($B$2:B2349,B2349)=1,1,0)</f>
        <v>0</v>
      </c>
    </row>
    <row r="2350" spans="1:14" x14ac:dyDescent="0.2">
      <c r="A2350">
        <v>2349</v>
      </c>
      <c r="B2350">
        <v>2184</v>
      </c>
      <c r="C2350">
        <f>1/COUNTIF(B:B,Table1[[#This Row],[order_id]])</f>
        <v>0.33333333333333331</v>
      </c>
      <c r="D2350" t="str">
        <f>TEXT(Table1[[#This Row],[order_date]],"mmmm")</f>
        <v>July</v>
      </c>
      <c r="E2350" s="1">
        <v>45474</v>
      </c>
      <c r="F2350" s="1" t="str">
        <f>TEXT(Table1[[#This Row],[order_date]],"dddd")</f>
        <v>Monday</v>
      </c>
      <c r="G2350">
        <f>HOUR(Table1[[#This Row],[order_time]])</f>
        <v>9</v>
      </c>
      <c r="H2350" s="2">
        <v>0.40159722222222222</v>
      </c>
      <c r="I2350" t="s">
        <v>9</v>
      </c>
      <c r="J2350" t="s">
        <v>22</v>
      </c>
      <c r="K2350">
        <v>2</v>
      </c>
      <c r="L2350">
        <v>15</v>
      </c>
      <c r="M2350">
        <v>30</v>
      </c>
      <c r="N2350">
        <f>IF(COUNTIFS($B$2:B2350,B2350)=1,1,0)</f>
        <v>0</v>
      </c>
    </row>
    <row r="2351" spans="1:14" x14ac:dyDescent="0.2">
      <c r="A2351">
        <v>2350</v>
      </c>
      <c r="B2351">
        <v>2185</v>
      </c>
      <c r="C2351">
        <f>1/COUNTIF(B:B,Table1[[#This Row],[order_id]])</f>
        <v>1</v>
      </c>
      <c r="D2351" t="str">
        <f>TEXT(Table1[[#This Row],[order_date]],"mmmm")</f>
        <v>July</v>
      </c>
      <c r="E2351" s="1">
        <v>45474</v>
      </c>
      <c r="F2351" s="1" t="str">
        <f>TEXT(Table1[[#This Row],[order_date]],"dddd")</f>
        <v>Monday</v>
      </c>
      <c r="G2351">
        <f>HOUR(Table1[[#This Row],[order_time]])</f>
        <v>9</v>
      </c>
      <c r="H2351" s="2">
        <v>0.3989699074074074</v>
      </c>
      <c r="I2351" t="s">
        <v>9</v>
      </c>
      <c r="J2351" t="s">
        <v>29</v>
      </c>
      <c r="K2351">
        <v>5</v>
      </c>
      <c r="L2351">
        <v>5</v>
      </c>
      <c r="M2351">
        <v>25</v>
      </c>
      <c r="N2351">
        <f>IF(COUNTIFS($B$2:B2351,B2351)=1,1,0)</f>
        <v>1</v>
      </c>
    </row>
    <row r="2352" spans="1:14" x14ac:dyDescent="0.2">
      <c r="A2352">
        <v>2351</v>
      </c>
      <c r="B2352">
        <v>2186</v>
      </c>
      <c r="C2352">
        <f>1/COUNTIF(B:B,Table1[[#This Row],[order_id]])</f>
        <v>0.33333333333333331</v>
      </c>
      <c r="D2352" t="str">
        <f>TEXT(Table1[[#This Row],[order_date]],"mmmm")</f>
        <v>July</v>
      </c>
      <c r="E2352" s="1">
        <v>45474</v>
      </c>
      <c r="F2352" s="1" t="str">
        <f>TEXT(Table1[[#This Row],[order_date]],"dddd")</f>
        <v>Monday</v>
      </c>
      <c r="G2352">
        <f>HOUR(Table1[[#This Row],[order_time]])</f>
        <v>13</v>
      </c>
      <c r="H2352" s="2">
        <v>0.54648148148148146</v>
      </c>
      <c r="I2352" t="s">
        <v>11</v>
      </c>
      <c r="J2352" t="s">
        <v>12</v>
      </c>
      <c r="K2352">
        <v>4</v>
      </c>
      <c r="L2352">
        <v>650</v>
      </c>
      <c r="M2352">
        <v>2600</v>
      </c>
      <c r="N2352">
        <f>IF(COUNTIFS($B$2:B2352,B2352)=1,1,0)</f>
        <v>1</v>
      </c>
    </row>
    <row r="2353" spans="1:14" x14ac:dyDescent="0.2">
      <c r="A2353">
        <v>2352</v>
      </c>
      <c r="B2353">
        <v>2186</v>
      </c>
      <c r="C2353">
        <f>1/COUNTIF(B:B,Table1[[#This Row],[order_id]])</f>
        <v>0.33333333333333331</v>
      </c>
      <c r="D2353" t="str">
        <f>TEXT(Table1[[#This Row],[order_date]],"mmmm")</f>
        <v>July</v>
      </c>
      <c r="E2353" s="1">
        <v>45474</v>
      </c>
      <c r="F2353" s="1" t="str">
        <f>TEXT(Table1[[#This Row],[order_date]],"dddd")</f>
        <v>Monday</v>
      </c>
      <c r="G2353">
        <f>HOUR(Table1[[#This Row],[order_time]])</f>
        <v>9</v>
      </c>
      <c r="H2353" s="2">
        <v>0.41608796296296297</v>
      </c>
      <c r="I2353" t="s">
        <v>18</v>
      </c>
      <c r="J2353" t="s">
        <v>27</v>
      </c>
      <c r="K2353">
        <v>1</v>
      </c>
      <c r="L2353">
        <v>40</v>
      </c>
      <c r="M2353">
        <v>40</v>
      </c>
      <c r="N2353">
        <f>IF(COUNTIFS($B$2:B2353,B2353)=1,1,0)</f>
        <v>0</v>
      </c>
    </row>
    <row r="2354" spans="1:14" x14ac:dyDescent="0.2">
      <c r="A2354">
        <v>2353</v>
      </c>
      <c r="B2354">
        <v>2186</v>
      </c>
      <c r="C2354">
        <f>1/COUNTIF(B:B,Table1[[#This Row],[order_id]])</f>
        <v>0.33333333333333331</v>
      </c>
      <c r="D2354" t="str">
        <f>TEXT(Table1[[#This Row],[order_date]],"mmmm")</f>
        <v>July</v>
      </c>
      <c r="E2354" s="1">
        <v>45474</v>
      </c>
      <c r="F2354" s="1" t="str">
        <f>TEXT(Table1[[#This Row],[order_date]],"dddd")</f>
        <v>Monday</v>
      </c>
      <c r="G2354">
        <f>HOUR(Table1[[#This Row],[order_time]])</f>
        <v>14</v>
      </c>
      <c r="H2354" s="2">
        <v>0.61375000000000002</v>
      </c>
      <c r="I2354" t="s">
        <v>16</v>
      </c>
      <c r="J2354" t="s">
        <v>24</v>
      </c>
      <c r="K2354">
        <v>3</v>
      </c>
      <c r="L2354">
        <v>35</v>
      </c>
      <c r="M2354">
        <v>105</v>
      </c>
      <c r="N2354">
        <f>IF(COUNTIFS($B$2:B2354,B2354)=1,1,0)</f>
        <v>0</v>
      </c>
    </row>
    <row r="2355" spans="1:14" x14ac:dyDescent="0.2">
      <c r="A2355">
        <v>2354</v>
      </c>
      <c r="B2355">
        <v>2187</v>
      </c>
      <c r="C2355">
        <f>1/COUNTIF(B:B,Table1[[#This Row],[order_id]])</f>
        <v>1</v>
      </c>
      <c r="D2355" t="str">
        <f>TEXT(Table1[[#This Row],[order_date]],"mmmm")</f>
        <v>July</v>
      </c>
      <c r="E2355" s="1">
        <v>45475</v>
      </c>
      <c r="F2355" s="1" t="str">
        <f>TEXT(Table1[[#This Row],[order_date]],"dddd")</f>
        <v>Tuesday</v>
      </c>
      <c r="G2355">
        <f>HOUR(Table1[[#This Row],[order_time]])</f>
        <v>15</v>
      </c>
      <c r="H2355" s="2">
        <v>0.63188657407407411</v>
      </c>
      <c r="I2355" t="s">
        <v>11</v>
      </c>
      <c r="J2355" t="s">
        <v>12</v>
      </c>
      <c r="K2355">
        <v>1</v>
      </c>
      <c r="L2355">
        <v>650</v>
      </c>
      <c r="M2355">
        <v>650</v>
      </c>
      <c r="N2355">
        <f>IF(COUNTIFS($B$2:B2355,B2355)=1,1,0)</f>
        <v>1</v>
      </c>
    </row>
    <row r="2356" spans="1:14" x14ac:dyDescent="0.2">
      <c r="A2356">
        <v>2355</v>
      </c>
      <c r="B2356">
        <v>2188</v>
      </c>
      <c r="C2356">
        <f>1/COUNTIF(B:B,Table1[[#This Row],[order_id]])</f>
        <v>0.5</v>
      </c>
      <c r="D2356" t="str">
        <f>TEXT(Table1[[#This Row],[order_date]],"mmmm")</f>
        <v>July</v>
      </c>
      <c r="E2356" s="1">
        <v>45475</v>
      </c>
      <c r="F2356" s="1" t="str">
        <f>TEXT(Table1[[#This Row],[order_date]],"dddd")</f>
        <v>Tuesday</v>
      </c>
      <c r="G2356">
        <f>HOUR(Table1[[#This Row],[order_time]])</f>
        <v>11</v>
      </c>
      <c r="H2356" s="2">
        <v>0.49207175925925928</v>
      </c>
      <c r="I2356" t="s">
        <v>16</v>
      </c>
      <c r="J2356" t="s">
        <v>28</v>
      </c>
      <c r="K2356">
        <v>1</v>
      </c>
      <c r="L2356">
        <v>25</v>
      </c>
      <c r="M2356">
        <v>25</v>
      </c>
      <c r="N2356">
        <f>IF(COUNTIFS($B$2:B2356,B2356)=1,1,0)</f>
        <v>1</v>
      </c>
    </row>
    <row r="2357" spans="1:14" x14ac:dyDescent="0.2">
      <c r="A2357">
        <v>2356</v>
      </c>
      <c r="B2357">
        <v>2188</v>
      </c>
      <c r="C2357">
        <f>1/COUNTIF(B:B,Table1[[#This Row],[order_id]])</f>
        <v>0.5</v>
      </c>
      <c r="D2357" t="str">
        <f>TEXT(Table1[[#This Row],[order_date]],"mmmm")</f>
        <v>July</v>
      </c>
      <c r="E2357" s="1">
        <v>45475</v>
      </c>
      <c r="F2357" s="1" t="str">
        <f>TEXT(Table1[[#This Row],[order_date]],"dddd")</f>
        <v>Tuesday</v>
      </c>
      <c r="G2357">
        <f>HOUR(Table1[[#This Row],[order_time]])</f>
        <v>15</v>
      </c>
      <c r="H2357" s="2">
        <v>0.64085648148148144</v>
      </c>
      <c r="I2357" t="s">
        <v>18</v>
      </c>
      <c r="J2357" t="s">
        <v>30</v>
      </c>
      <c r="K2357">
        <v>2</v>
      </c>
      <c r="L2357">
        <v>60</v>
      </c>
      <c r="M2357">
        <v>120</v>
      </c>
      <c r="N2357">
        <f>IF(COUNTIFS($B$2:B2357,B2357)=1,1,0)</f>
        <v>0</v>
      </c>
    </row>
    <row r="2358" spans="1:14" x14ac:dyDescent="0.2">
      <c r="A2358">
        <v>2357</v>
      </c>
      <c r="B2358">
        <v>2189</v>
      </c>
      <c r="C2358">
        <f>1/COUNTIF(B:B,Table1[[#This Row],[order_id]])</f>
        <v>0.5</v>
      </c>
      <c r="D2358" t="str">
        <f>TEXT(Table1[[#This Row],[order_date]],"mmmm")</f>
        <v>July</v>
      </c>
      <c r="E2358" s="1">
        <v>45475</v>
      </c>
      <c r="F2358" s="1" t="str">
        <f>TEXT(Table1[[#This Row],[order_date]],"dddd")</f>
        <v>Tuesday</v>
      </c>
      <c r="G2358">
        <f>HOUR(Table1[[#This Row],[order_time]])</f>
        <v>14</v>
      </c>
      <c r="H2358" s="2">
        <v>0.59225694444444443</v>
      </c>
      <c r="I2358" t="s">
        <v>18</v>
      </c>
      <c r="J2358" t="s">
        <v>19</v>
      </c>
      <c r="K2358">
        <v>1</v>
      </c>
      <c r="L2358">
        <v>50</v>
      </c>
      <c r="M2358">
        <v>50</v>
      </c>
      <c r="N2358">
        <f>IF(COUNTIFS($B$2:B2358,B2358)=1,1,0)</f>
        <v>1</v>
      </c>
    </row>
    <row r="2359" spans="1:14" x14ac:dyDescent="0.2">
      <c r="A2359">
        <v>2358</v>
      </c>
      <c r="B2359">
        <v>2189</v>
      </c>
      <c r="C2359">
        <f>1/COUNTIF(B:B,Table1[[#This Row],[order_id]])</f>
        <v>0.5</v>
      </c>
      <c r="D2359" t="str">
        <f>TEXT(Table1[[#This Row],[order_date]],"mmmm")</f>
        <v>July</v>
      </c>
      <c r="E2359" s="1">
        <v>45475</v>
      </c>
      <c r="F2359" s="1" t="str">
        <f>TEXT(Table1[[#This Row],[order_date]],"dddd")</f>
        <v>Tuesday</v>
      </c>
      <c r="G2359">
        <f>HOUR(Table1[[#This Row],[order_time]])</f>
        <v>12</v>
      </c>
      <c r="H2359" s="2">
        <v>0.50012731481481476</v>
      </c>
      <c r="I2359" t="s">
        <v>11</v>
      </c>
      <c r="J2359" t="s">
        <v>25</v>
      </c>
      <c r="K2359">
        <v>1</v>
      </c>
      <c r="L2359">
        <v>1000</v>
      </c>
      <c r="M2359">
        <v>1000</v>
      </c>
      <c r="N2359">
        <f>IF(COUNTIFS($B$2:B2359,B2359)=1,1,0)</f>
        <v>0</v>
      </c>
    </row>
    <row r="2360" spans="1:14" x14ac:dyDescent="0.2">
      <c r="A2360">
        <v>2359</v>
      </c>
      <c r="B2360">
        <v>2190</v>
      </c>
      <c r="C2360">
        <f>1/COUNTIF(B:B,Table1[[#This Row],[order_id]])</f>
        <v>0.5</v>
      </c>
      <c r="D2360" t="str">
        <f>TEXT(Table1[[#This Row],[order_date]],"mmmm")</f>
        <v>July</v>
      </c>
      <c r="E2360" s="1">
        <v>45475</v>
      </c>
      <c r="F2360" s="1" t="str">
        <f>TEXT(Table1[[#This Row],[order_date]],"dddd")</f>
        <v>Tuesday</v>
      </c>
      <c r="G2360">
        <f>HOUR(Table1[[#This Row],[order_time]])</f>
        <v>10</v>
      </c>
      <c r="H2360" s="2">
        <v>0.43464120370370368</v>
      </c>
      <c r="I2360" t="s">
        <v>9</v>
      </c>
      <c r="J2360" t="s">
        <v>10</v>
      </c>
      <c r="K2360">
        <v>4</v>
      </c>
      <c r="L2360">
        <v>20</v>
      </c>
      <c r="M2360">
        <v>80</v>
      </c>
      <c r="N2360">
        <f>IF(COUNTIFS($B$2:B2360,B2360)=1,1,0)</f>
        <v>1</v>
      </c>
    </row>
    <row r="2361" spans="1:14" x14ac:dyDescent="0.2">
      <c r="A2361">
        <v>2360</v>
      </c>
      <c r="B2361">
        <v>2190</v>
      </c>
      <c r="C2361">
        <f>1/COUNTIF(B:B,Table1[[#This Row],[order_id]])</f>
        <v>0.5</v>
      </c>
      <c r="D2361" t="str">
        <f>TEXT(Table1[[#This Row],[order_date]],"mmmm")</f>
        <v>July</v>
      </c>
      <c r="E2361" s="1">
        <v>45475</v>
      </c>
      <c r="F2361" s="1" t="str">
        <f>TEXT(Table1[[#This Row],[order_date]],"dddd")</f>
        <v>Tuesday</v>
      </c>
      <c r="G2361">
        <f>HOUR(Table1[[#This Row],[order_time]])</f>
        <v>20</v>
      </c>
      <c r="H2361" s="2">
        <v>0.84682870370370367</v>
      </c>
      <c r="I2361" t="s">
        <v>9</v>
      </c>
      <c r="J2361" t="s">
        <v>21</v>
      </c>
      <c r="K2361">
        <v>3</v>
      </c>
      <c r="L2361">
        <v>10</v>
      </c>
      <c r="M2361">
        <v>30</v>
      </c>
      <c r="N2361">
        <f>IF(COUNTIFS($B$2:B2361,B2361)=1,1,0)</f>
        <v>0</v>
      </c>
    </row>
    <row r="2362" spans="1:14" x14ac:dyDescent="0.2">
      <c r="A2362">
        <v>2361</v>
      </c>
      <c r="B2362">
        <v>2191</v>
      </c>
      <c r="C2362">
        <f>1/COUNTIF(B:B,Table1[[#This Row],[order_id]])</f>
        <v>0.5</v>
      </c>
      <c r="D2362" t="str">
        <f>TEXT(Table1[[#This Row],[order_date]],"mmmm")</f>
        <v>July</v>
      </c>
      <c r="E2362" s="1">
        <v>45475</v>
      </c>
      <c r="F2362" s="1" t="str">
        <f>TEXT(Table1[[#This Row],[order_date]],"dddd")</f>
        <v>Tuesday</v>
      </c>
      <c r="G2362">
        <f>HOUR(Table1[[#This Row],[order_time]])</f>
        <v>9</v>
      </c>
      <c r="H2362" s="2">
        <v>0.40881944444444446</v>
      </c>
      <c r="I2362" t="s">
        <v>18</v>
      </c>
      <c r="J2362" t="s">
        <v>19</v>
      </c>
      <c r="K2362">
        <v>5</v>
      </c>
      <c r="L2362">
        <v>50</v>
      </c>
      <c r="M2362">
        <v>250</v>
      </c>
      <c r="N2362">
        <f>IF(COUNTIFS($B$2:B2362,B2362)=1,1,0)</f>
        <v>1</v>
      </c>
    </row>
    <row r="2363" spans="1:14" x14ac:dyDescent="0.2">
      <c r="A2363">
        <v>2362</v>
      </c>
      <c r="B2363">
        <v>2191</v>
      </c>
      <c r="C2363">
        <f>1/COUNTIF(B:B,Table1[[#This Row],[order_id]])</f>
        <v>0.5</v>
      </c>
      <c r="D2363" t="str">
        <f>TEXT(Table1[[#This Row],[order_date]],"mmmm")</f>
        <v>July</v>
      </c>
      <c r="E2363" s="1">
        <v>45475</v>
      </c>
      <c r="F2363" s="1" t="str">
        <f>TEXT(Table1[[#This Row],[order_date]],"dddd")</f>
        <v>Tuesday</v>
      </c>
      <c r="G2363">
        <f>HOUR(Table1[[#This Row],[order_time]])</f>
        <v>17</v>
      </c>
      <c r="H2363" s="2">
        <v>0.72480324074074076</v>
      </c>
      <c r="I2363" t="s">
        <v>11</v>
      </c>
      <c r="J2363" t="s">
        <v>14</v>
      </c>
      <c r="K2363">
        <v>1</v>
      </c>
      <c r="L2363">
        <v>700</v>
      </c>
      <c r="M2363">
        <v>700</v>
      </c>
      <c r="N2363">
        <f>IF(COUNTIFS($B$2:B2363,B2363)=1,1,0)</f>
        <v>0</v>
      </c>
    </row>
    <row r="2364" spans="1:14" x14ac:dyDescent="0.2">
      <c r="A2364">
        <v>2363</v>
      </c>
      <c r="B2364">
        <v>2192</v>
      </c>
      <c r="C2364">
        <f>1/COUNTIF(B:B,Table1[[#This Row],[order_id]])</f>
        <v>1</v>
      </c>
      <c r="D2364" t="str">
        <f>TEXT(Table1[[#This Row],[order_date]],"mmmm")</f>
        <v>July</v>
      </c>
      <c r="E2364" s="1">
        <v>45475</v>
      </c>
      <c r="F2364" s="1" t="str">
        <f>TEXT(Table1[[#This Row],[order_date]],"dddd")</f>
        <v>Tuesday</v>
      </c>
      <c r="G2364">
        <f>HOUR(Table1[[#This Row],[order_time]])</f>
        <v>12</v>
      </c>
      <c r="H2364" s="2">
        <v>0.52236111111111116</v>
      </c>
      <c r="I2364" t="s">
        <v>16</v>
      </c>
      <c r="J2364" t="s">
        <v>23</v>
      </c>
      <c r="K2364">
        <v>1</v>
      </c>
      <c r="L2364">
        <v>30</v>
      </c>
      <c r="M2364">
        <v>30</v>
      </c>
      <c r="N2364">
        <f>IF(COUNTIFS($B$2:B2364,B2364)=1,1,0)</f>
        <v>1</v>
      </c>
    </row>
    <row r="2365" spans="1:14" x14ac:dyDescent="0.2">
      <c r="A2365">
        <v>2364</v>
      </c>
      <c r="B2365">
        <v>2193</v>
      </c>
      <c r="C2365">
        <f>1/COUNTIF(B:B,Table1[[#This Row],[order_id]])</f>
        <v>0.33333333333333331</v>
      </c>
      <c r="D2365" t="str">
        <f>TEXT(Table1[[#This Row],[order_date]],"mmmm")</f>
        <v>July</v>
      </c>
      <c r="E2365" s="1">
        <v>45475</v>
      </c>
      <c r="F2365" s="1" t="str">
        <f>TEXT(Table1[[#This Row],[order_date]],"dddd")</f>
        <v>Tuesday</v>
      </c>
      <c r="G2365">
        <f>HOUR(Table1[[#This Row],[order_time]])</f>
        <v>15</v>
      </c>
      <c r="H2365" s="2">
        <v>0.63568287037037041</v>
      </c>
      <c r="I2365" t="s">
        <v>11</v>
      </c>
      <c r="J2365" t="s">
        <v>15</v>
      </c>
      <c r="K2365">
        <v>3</v>
      </c>
      <c r="L2365">
        <v>600</v>
      </c>
      <c r="M2365">
        <v>1800</v>
      </c>
      <c r="N2365">
        <f>IF(COUNTIFS($B$2:B2365,B2365)=1,1,0)</f>
        <v>1</v>
      </c>
    </row>
    <row r="2366" spans="1:14" x14ac:dyDescent="0.2">
      <c r="A2366">
        <v>2365</v>
      </c>
      <c r="B2366">
        <v>2193</v>
      </c>
      <c r="C2366">
        <f>1/COUNTIF(B:B,Table1[[#This Row],[order_id]])</f>
        <v>0.33333333333333331</v>
      </c>
      <c r="D2366" t="str">
        <f>TEXT(Table1[[#This Row],[order_date]],"mmmm")</f>
        <v>July</v>
      </c>
      <c r="E2366" s="1">
        <v>45475</v>
      </c>
      <c r="F2366" s="1" t="str">
        <f>TEXT(Table1[[#This Row],[order_date]],"dddd")</f>
        <v>Tuesday</v>
      </c>
      <c r="G2366">
        <f>HOUR(Table1[[#This Row],[order_time]])</f>
        <v>14</v>
      </c>
      <c r="H2366" s="2">
        <v>0.60714120370370372</v>
      </c>
      <c r="I2366" t="s">
        <v>11</v>
      </c>
      <c r="J2366" t="s">
        <v>13</v>
      </c>
      <c r="K2366">
        <v>4</v>
      </c>
      <c r="L2366">
        <v>680</v>
      </c>
      <c r="M2366">
        <v>2720</v>
      </c>
      <c r="N2366">
        <f>IF(COUNTIFS($B$2:B2366,B2366)=1,1,0)</f>
        <v>0</v>
      </c>
    </row>
    <row r="2367" spans="1:14" x14ac:dyDescent="0.2">
      <c r="A2367">
        <v>2366</v>
      </c>
      <c r="B2367">
        <v>2193</v>
      </c>
      <c r="C2367">
        <f>1/COUNTIF(B:B,Table1[[#This Row],[order_id]])</f>
        <v>0.33333333333333331</v>
      </c>
      <c r="D2367" t="str">
        <f>TEXT(Table1[[#This Row],[order_date]],"mmmm")</f>
        <v>July</v>
      </c>
      <c r="E2367" s="1">
        <v>45475</v>
      </c>
      <c r="F2367" s="1" t="str">
        <f>TEXT(Table1[[#This Row],[order_date]],"dddd")</f>
        <v>Tuesday</v>
      </c>
      <c r="G2367">
        <f>HOUR(Table1[[#This Row],[order_time]])</f>
        <v>15</v>
      </c>
      <c r="H2367" s="2">
        <v>0.63263888888888886</v>
      </c>
      <c r="I2367" t="s">
        <v>11</v>
      </c>
      <c r="J2367" t="s">
        <v>14</v>
      </c>
      <c r="K2367">
        <v>4</v>
      </c>
      <c r="L2367">
        <v>700</v>
      </c>
      <c r="M2367">
        <v>2800</v>
      </c>
      <c r="N2367">
        <f>IF(COUNTIFS($B$2:B2367,B2367)=1,1,0)</f>
        <v>0</v>
      </c>
    </row>
    <row r="2368" spans="1:14" x14ac:dyDescent="0.2">
      <c r="A2368">
        <v>2367</v>
      </c>
      <c r="B2368">
        <v>2194</v>
      </c>
      <c r="C2368">
        <f>1/COUNTIF(B:B,Table1[[#This Row],[order_id]])</f>
        <v>0.5</v>
      </c>
      <c r="D2368" t="str">
        <f>TEXT(Table1[[#This Row],[order_date]],"mmmm")</f>
        <v>July</v>
      </c>
      <c r="E2368" s="1">
        <v>45475</v>
      </c>
      <c r="F2368" s="1" t="str">
        <f>TEXT(Table1[[#This Row],[order_date]],"dddd")</f>
        <v>Tuesday</v>
      </c>
      <c r="G2368">
        <f>HOUR(Table1[[#This Row],[order_time]])</f>
        <v>15</v>
      </c>
      <c r="H2368" s="2">
        <v>0.6663310185185185</v>
      </c>
      <c r="I2368" t="s">
        <v>18</v>
      </c>
      <c r="J2368" t="s">
        <v>30</v>
      </c>
      <c r="K2368">
        <v>5</v>
      </c>
      <c r="L2368">
        <v>60</v>
      </c>
      <c r="M2368">
        <v>300</v>
      </c>
      <c r="N2368">
        <f>IF(COUNTIFS($B$2:B2368,B2368)=1,1,0)</f>
        <v>1</v>
      </c>
    </row>
    <row r="2369" spans="1:14" x14ac:dyDescent="0.2">
      <c r="A2369">
        <v>2368</v>
      </c>
      <c r="B2369">
        <v>2194</v>
      </c>
      <c r="C2369">
        <f>1/COUNTIF(B:B,Table1[[#This Row],[order_id]])</f>
        <v>0.5</v>
      </c>
      <c r="D2369" t="str">
        <f>TEXT(Table1[[#This Row],[order_date]],"mmmm")</f>
        <v>July</v>
      </c>
      <c r="E2369" s="1">
        <v>45475</v>
      </c>
      <c r="F2369" s="1" t="str">
        <f>TEXT(Table1[[#This Row],[order_date]],"dddd")</f>
        <v>Tuesday</v>
      </c>
      <c r="G2369">
        <f>HOUR(Table1[[#This Row],[order_time]])</f>
        <v>19</v>
      </c>
      <c r="H2369" s="2">
        <v>0.79937499999999995</v>
      </c>
      <c r="I2369" t="s">
        <v>18</v>
      </c>
      <c r="J2369" t="s">
        <v>27</v>
      </c>
      <c r="K2369">
        <v>1</v>
      </c>
      <c r="L2369">
        <v>40</v>
      </c>
      <c r="M2369">
        <v>40</v>
      </c>
      <c r="N2369">
        <f>IF(COUNTIFS($B$2:B2369,B2369)=1,1,0)</f>
        <v>0</v>
      </c>
    </row>
    <row r="2370" spans="1:14" x14ac:dyDescent="0.2">
      <c r="A2370">
        <v>2369</v>
      </c>
      <c r="B2370">
        <v>2195</v>
      </c>
      <c r="C2370">
        <f>1/COUNTIF(B:B,Table1[[#This Row],[order_id]])</f>
        <v>0.33333333333333331</v>
      </c>
      <c r="D2370" t="str">
        <f>TEXT(Table1[[#This Row],[order_date]],"mmmm")</f>
        <v>July</v>
      </c>
      <c r="E2370" s="1">
        <v>45475</v>
      </c>
      <c r="F2370" s="1" t="str">
        <f>TEXT(Table1[[#This Row],[order_date]],"dddd")</f>
        <v>Tuesday</v>
      </c>
      <c r="G2370">
        <f>HOUR(Table1[[#This Row],[order_time]])</f>
        <v>16</v>
      </c>
      <c r="H2370" s="2">
        <v>0.70296296296296301</v>
      </c>
      <c r="I2370" t="s">
        <v>16</v>
      </c>
      <c r="J2370" t="s">
        <v>24</v>
      </c>
      <c r="K2370">
        <v>1</v>
      </c>
      <c r="L2370">
        <v>35</v>
      </c>
      <c r="M2370">
        <v>35</v>
      </c>
      <c r="N2370">
        <f>IF(COUNTIFS($B$2:B2370,B2370)=1,1,0)</f>
        <v>1</v>
      </c>
    </row>
    <row r="2371" spans="1:14" x14ac:dyDescent="0.2">
      <c r="A2371">
        <v>2370</v>
      </c>
      <c r="B2371">
        <v>2195</v>
      </c>
      <c r="C2371">
        <f>1/COUNTIF(B:B,Table1[[#This Row],[order_id]])</f>
        <v>0.33333333333333331</v>
      </c>
      <c r="D2371" t="str">
        <f>TEXT(Table1[[#This Row],[order_date]],"mmmm")</f>
        <v>July</v>
      </c>
      <c r="E2371" s="1">
        <v>45475</v>
      </c>
      <c r="F2371" s="1" t="str">
        <f>TEXT(Table1[[#This Row],[order_date]],"dddd")</f>
        <v>Tuesday</v>
      </c>
      <c r="G2371">
        <f>HOUR(Table1[[#This Row],[order_time]])</f>
        <v>13</v>
      </c>
      <c r="H2371" s="2">
        <v>0.57428240740740744</v>
      </c>
      <c r="I2371" t="s">
        <v>18</v>
      </c>
      <c r="J2371" t="s">
        <v>19</v>
      </c>
      <c r="K2371">
        <v>4</v>
      </c>
      <c r="L2371">
        <v>50</v>
      </c>
      <c r="M2371">
        <v>200</v>
      </c>
      <c r="N2371">
        <f>IF(COUNTIFS($B$2:B2371,B2371)=1,1,0)</f>
        <v>0</v>
      </c>
    </row>
    <row r="2372" spans="1:14" x14ac:dyDescent="0.2">
      <c r="A2372">
        <v>2371</v>
      </c>
      <c r="B2372">
        <v>2195</v>
      </c>
      <c r="C2372">
        <f>1/COUNTIF(B:B,Table1[[#This Row],[order_id]])</f>
        <v>0.33333333333333331</v>
      </c>
      <c r="D2372" t="str">
        <f>TEXT(Table1[[#This Row],[order_date]],"mmmm")</f>
        <v>July</v>
      </c>
      <c r="E2372" s="1">
        <v>45475</v>
      </c>
      <c r="F2372" s="1" t="str">
        <f>TEXT(Table1[[#This Row],[order_date]],"dddd")</f>
        <v>Tuesday</v>
      </c>
      <c r="G2372">
        <f>HOUR(Table1[[#This Row],[order_time]])</f>
        <v>19</v>
      </c>
      <c r="H2372" s="2">
        <v>0.79957175925925927</v>
      </c>
      <c r="I2372" t="s">
        <v>9</v>
      </c>
      <c r="J2372" t="s">
        <v>20</v>
      </c>
      <c r="K2372">
        <v>2</v>
      </c>
      <c r="L2372">
        <v>25</v>
      </c>
      <c r="M2372">
        <v>50</v>
      </c>
      <c r="N2372">
        <f>IF(COUNTIFS($B$2:B2372,B2372)=1,1,0)</f>
        <v>0</v>
      </c>
    </row>
    <row r="2373" spans="1:14" x14ac:dyDescent="0.2">
      <c r="A2373">
        <v>2372</v>
      </c>
      <c r="B2373">
        <v>2196</v>
      </c>
      <c r="C2373">
        <f>1/COUNTIF(B:B,Table1[[#This Row],[order_id]])</f>
        <v>1</v>
      </c>
      <c r="D2373" t="str">
        <f>TEXT(Table1[[#This Row],[order_date]],"mmmm")</f>
        <v>July</v>
      </c>
      <c r="E2373" s="1">
        <v>45476</v>
      </c>
      <c r="F2373" s="1" t="str">
        <f>TEXT(Table1[[#This Row],[order_date]],"dddd")</f>
        <v>Wednesday</v>
      </c>
      <c r="G2373">
        <f>HOUR(Table1[[#This Row],[order_time]])</f>
        <v>17</v>
      </c>
      <c r="H2373" s="2">
        <v>0.72292824074074069</v>
      </c>
      <c r="I2373" t="s">
        <v>11</v>
      </c>
      <c r="J2373" t="s">
        <v>14</v>
      </c>
      <c r="K2373">
        <v>5</v>
      </c>
      <c r="L2373">
        <v>700</v>
      </c>
      <c r="M2373">
        <v>3500</v>
      </c>
      <c r="N2373">
        <f>IF(COUNTIFS($B$2:B2373,B2373)=1,1,0)</f>
        <v>1</v>
      </c>
    </row>
    <row r="2374" spans="1:14" x14ac:dyDescent="0.2">
      <c r="A2374">
        <v>2373</v>
      </c>
      <c r="B2374">
        <v>2197</v>
      </c>
      <c r="C2374">
        <f>1/COUNTIF(B:B,Table1[[#This Row],[order_id]])</f>
        <v>1</v>
      </c>
      <c r="D2374" t="str">
        <f>TEXT(Table1[[#This Row],[order_date]],"mmmm")</f>
        <v>July</v>
      </c>
      <c r="E2374" s="1">
        <v>45476</v>
      </c>
      <c r="F2374" s="1" t="str">
        <f>TEXT(Table1[[#This Row],[order_date]],"dddd")</f>
        <v>Wednesday</v>
      </c>
      <c r="G2374">
        <f>HOUR(Table1[[#This Row],[order_time]])</f>
        <v>18</v>
      </c>
      <c r="H2374" s="2">
        <v>0.75045138888888885</v>
      </c>
      <c r="I2374" t="s">
        <v>18</v>
      </c>
      <c r="J2374" t="s">
        <v>31</v>
      </c>
      <c r="K2374">
        <v>5</v>
      </c>
      <c r="L2374">
        <v>45</v>
      </c>
      <c r="M2374">
        <v>225</v>
      </c>
      <c r="N2374">
        <f>IF(COUNTIFS($B$2:B2374,B2374)=1,1,0)</f>
        <v>1</v>
      </c>
    </row>
    <row r="2375" spans="1:14" x14ac:dyDescent="0.2">
      <c r="A2375">
        <v>2374</v>
      </c>
      <c r="B2375">
        <v>2198</v>
      </c>
      <c r="C2375">
        <f>1/COUNTIF(B:B,Table1[[#This Row],[order_id]])</f>
        <v>1</v>
      </c>
      <c r="D2375" t="str">
        <f>TEXT(Table1[[#This Row],[order_date]],"mmmm")</f>
        <v>July</v>
      </c>
      <c r="E2375" s="1">
        <v>45476</v>
      </c>
      <c r="F2375" s="1" t="str">
        <f>TEXT(Table1[[#This Row],[order_date]],"dddd")</f>
        <v>Wednesday</v>
      </c>
      <c r="G2375">
        <f>HOUR(Table1[[#This Row],[order_time]])</f>
        <v>11</v>
      </c>
      <c r="H2375" s="2">
        <v>0.47517361111111112</v>
      </c>
      <c r="I2375" t="s">
        <v>9</v>
      </c>
      <c r="J2375" t="s">
        <v>29</v>
      </c>
      <c r="K2375">
        <v>1</v>
      </c>
      <c r="L2375">
        <v>5</v>
      </c>
      <c r="M2375">
        <v>5</v>
      </c>
      <c r="N2375">
        <f>IF(COUNTIFS($B$2:B2375,B2375)=1,1,0)</f>
        <v>1</v>
      </c>
    </row>
    <row r="2376" spans="1:14" x14ac:dyDescent="0.2">
      <c r="A2376">
        <v>2375</v>
      </c>
      <c r="B2376">
        <v>2199</v>
      </c>
      <c r="C2376">
        <f>1/COUNTIF(B:B,Table1[[#This Row],[order_id]])</f>
        <v>0.33333333333333331</v>
      </c>
      <c r="D2376" t="str">
        <f>TEXT(Table1[[#This Row],[order_date]],"mmmm")</f>
        <v>July</v>
      </c>
      <c r="E2376" s="1">
        <v>45476</v>
      </c>
      <c r="F2376" s="1" t="str">
        <f>TEXT(Table1[[#This Row],[order_date]],"dddd")</f>
        <v>Wednesday</v>
      </c>
      <c r="G2376">
        <f>HOUR(Table1[[#This Row],[order_time]])</f>
        <v>18</v>
      </c>
      <c r="H2376" s="2">
        <v>0.7757060185185185</v>
      </c>
      <c r="I2376" t="s">
        <v>9</v>
      </c>
      <c r="J2376" t="s">
        <v>29</v>
      </c>
      <c r="K2376">
        <v>1</v>
      </c>
      <c r="L2376">
        <v>5</v>
      </c>
      <c r="M2376">
        <v>5</v>
      </c>
      <c r="N2376">
        <f>IF(COUNTIFS($B$2:B2376,B2376)=1,1,0)</f>
        <v>1</v>
      </c>
    </row>
    <row r="2377" spans="1:14" x14ac:dyDescent="0.2">
      <c r="A2377">
        <v>2376</v>
      </c>
      <c r="B2377">
        <v>2199</v>
      </c>
      <c r="C2377">
        <f>1/COUNTIF(B:B,Table1[[#This Row],[order_id]])</f>
        <v>0.33333333333333331</v>
      </c>
      <c r="D2377" t="str">
        <f>TEXT(Table1[[#This Row],[order_date]],"mmmm")</f>
        <v>July</v>
      </c>
      <c r="E2377" s="1">
        <v>45476</v>
      </c>
      <c r="F2377" s="1" t="str">
        <f>TEXT(Table1[[#This Row],[order_date]],"dddd")</f>
        <v>Wednesday</v>
      </c>
      <c r="G2377">
        <f>HOUR(Table1[[#This Row],[order_time]])</f>
        <v>13</v>
      </c>
      <c r="H2377" s="2">
        <v>0.56652777777777774</v>
      </c>
      <c r="I2377" t="s">
        <v>16</v>
      </c>
      <c r="J2377" t="s">
        <v>28</v>
      </c>
      <c r="K2377">
        <v>5</v>
      </c>
      <c r="L2377">
        <v>25</v>
      </c>
      <c r="M2377">
        <v>125</v>
      </c>
      <c r="N2377">
        <f>IF(COUNTIFS($B$2:B2377,B2377)=1,1,0)</f>
        <v>0</v>
      </c>
    </row>
    <row r="2378" spans="1:14" x14ac:dyDescent="0.2">
      <c r="A2378">
        <v>2377</v>
      </c>
      <c r="B2378">
        <v>2199</v>
      </c>
      <c r="C2378">
        <f>1/COUNTIF(B:B,Table1[[#This Row],[order_id]])</f>
        <v>0.33333333333333331</v>
      </c>
      <c r="D2378" t="str">
        <f>TEXT(Table1[[#This Row],[order_date]],"mmmm")</f>
        <v>July</v>
      </c>
      <c r="E2378" s="1">
        <v>45476</v>
      </c>
      <c r="F2378" s="1" t="str">
        <f>TEXT(Table1[[#This Row],[order_date]],"dddd")</f>
        <v>Wednesday</v>
      </c>
      <c r="G2378">
        <f>HOUR(Table1[[#This Row],[order_time]])</f>
        <v>12</v>
      </c>
      <c r="H2378" s="2">
        <v>0.52641203703703698</v>
      </c>
      <c r="I2378" t="s">
        <v>18</v>
      </c>
      <c r="J2378" t="s">
        <v>30</v>
      </c>
      <c r="K2378">
        <v>1</v>
      </c>
      <c r="L2378">
        <v>60</v>
      </c>
      <c r="M2378">
        <v>60</v>
      </c>
      <c r="N2378">
        <f>IF(COUNTIFS($B$2:B2378,B2378)=1,1,0)</f>
        <v>0</v>
      </c>
    </row>
    <row r="2379" spans="1:14" x14ac:dyDescent="0.2">
      <c r="A2379">
        <v>2378</v>
      </c>
      <c r="B2379">
        <v>2200</v>
      </c>
      <c r="C2379">
        <f>1/COUNTIF(B:B,Table1[[#This Row],[order_id]])</f>
        <v>0.5</v>
      </c>
      <c r="D2379" t="str">
        <f>TEXT(Table1[[#This Row],[order_date]],"mmmm")</f>
        <v>July</v>
      </c>
      <c r="E2379" s="1">
        <v>45476</v>
      </c>
      <c r="F2379" s="1" t="str">
        <f>TEXT(Table1[[#This Row],[order_date]],"dddd")</f>
        <v>Wednesday</v>
      </c>
      <c r="G2379">
        <f>HOUR(Table1[[#This Row],[order_time]])</f>
        <v>10</v>
      </c>
      <c r="H2379" s="2">
        <v>0.45664351851851853</v>
      </c>
      <c r="I2379" t="s">
        <v>9</v>
      </c>
      <c r="J2379" t="s">
        <v>20</v>
      </c>
      <c r="K2379">
        <v>4</v>
      </c>
      <c r="L2379">
        <v>25</v>
      </c>
      <c r="M2379">
        <v>100</v>
      </c>
      <c r="N2379">
        <f>IF(COUNTIFS($B$2:B2379,B2379)=1,1,0)</f>
        <v>1</v>
      </c>
    </row>
    <row r="2380" spans="1:14" x14ac:dyDescent="0.2">
      <c r="A2380">
        <v>2379</v>
      </c>
      <c r="B2380">
        <v>2200</v>
      </c>
      <c r="C2380">
        <f>1/COUNTIF(B:B,Table1[[#This Row],[order_id]])</f>
        <v>0.5</v>
      </c>
      <c r="D2380" t="str">
        <f>TEXT(Table1[[#This Row],[order_date]],"mmmm")</f>
        <v>July</v>
      </c>
      <c r="E2380" s="1">
        <v>45476</v>
      </c>
      <c r="F2380" s="1" t="str">
        <f>TEXT(Table1[[#This Row],[order_date]],"dddd")</f>
        <v>Wednesday</v>
      </c>
      <c r="G2380">
        <f>HOUR(Table1[[#This Row],[order_time]])</f>
        <v>16</v>
      </c>
      <c r="H2380" s="2">
        <v>0.66888888888888887</v>
      </c>
      <c r="I2380" t="s">
        <v>16</v>
      </c>
      <c r="J2380" t="s">
        <v>28</v>
      </c>
      <c r="K2380">
        <v>5</v>
      </c>
      <c r="L2380">
        <v>25</v>
      </c>
      <c r="M2380">
        <v>125</v>
      </c>
      <c r="N2380">
        <f>IF(COUNTIFS($B$2:B2380,B2380)=1,1,0)</f>
        <v>0</v>
      </c>
    </row>
    <row r="2381" spans="1:14" x14ac:dyDescent="0.2">
      <c r="A2381">
        <v>2380</v>
      </c>
      <c r="B2381">
        <v>2201</v>
      </c>
      <c r="C2381">
        <f>1/COUNTIF(B:B,Table1[[#This Row],[order_id]])</f>
        <v>0.5</v>
      </c>
      <c r="D2381" t="str">
        <f>TEXT(Table1[[#This Row],[order_date]],"mmmm")</f>
        <v>July</v>
      </c>
      <c r="E2381" s="1">
        <v>45476</v>
      </c>
      <c r="F2381" s="1" t="str">
        <f>TEXT(Table1[[#This Row],[order_date]],"dddd")</f>
        <v>Wednesday</v>
      </c>
      <c r="G2381">
        <f>HOUR(Table1[[#This Row],[order_time]])</f>
        <v>17</v>
      </c>
      <c r="H2381" s="2">
        <v>0.74569444444444444</v>
      </c>
      <c r="I2381" t="s">
        <v>11</v>
      </c>
      <c r="J2381" t="s">
        <v>15</v>
      </c>
      <c r="K2381">
        <v>3</v>
      </c>
      <c r="L2381">
        <v>600</v>
      </c>
      <c r="M2381">
        <v>1800</v>
      </c>
      <c r="N2381">
        <f>IF(COUNTIFS($B$2:B2381,B2381)=1,1,0)</f>
        <v>1</v>
      </c>
    </row>
    <row r="2382" spans="1:14" x14ac:dyDescent="0.2">
      <c r="A2382">
        <v>2381</v>
      </c>
      <c r="B2382">
        <v>2201</v>
      </c>
      <c r="C2382">
        <f>1/COUNTIF(B:B,Table1[[#This Row],[order_id]])</f>
        <v>0.5</v>
      </c>
      <c r="D2382" t="str">
        <f>TEXT(Table1[[#This Row],[order_date]],"mmmm")</f>
        <v>July</v>
      </c>
      <c r="E2382" s="1">
        <v>45476</v>
      </c>
      <c r="F2382" s="1" t="str">
        <f>TEXT(Table1[[#This Row],[order_date]],"dddd")</f>
        <v>Wednesday</v>
      </c>
      <c r="G2382">
        <f>HOUR(Table1[[#This Row],[order_time]])</f>
        <v>13</v>
      </c>
      <c r="H2382" s="2">
        <v>0.55344907407407407</v>
      </c>
      <c r="I2382" t="s">
        <v>18</v>
      </c>
      <c r="J2382" t="s">
        <v>26</v>
      </c>
      <c r="K2382">
        <v>2</v>
      </c>
      <c r="L2382">
        <v>55</v>
      </c>
      <c r="M2382">
        <v>110</v>
      </c>
      <c r="N2382">
        <f>IF(COUNTIFS($B$2:B2382,B2382)=1,1,0)</f>
        <v>0</v>
      </c>
    </row>
    <row r="2383" spans="1:14" x14ac:dyDescent="0.2">
      <c r="A2383">
        <v>2382</v>
      </c>
      <c r="B2383">
        <v>2202</v>
      </c>
      <c r="C2383">
        <f>1/COUNTIF(B:B,Table1[[#This Row],[order_id]])</f>
        <v>0.5</v>
      </c>
      <c r="D2383" t="str">
        <f>TEXT(Table1[[#This Row],[order_date]],"mmmm")</f>
        <v>July</v>
      </c>
      <c r="E2383" s="1">
        <v>45476</v>
      </c>
      <c r="F2383" s="1" t="str">
        <f>TEXT(Table1[[#This Row],[order_date]],"dddd")</f>
        <v>Wednesday</v>
      </c>
      <c r="G2383">
        <f>HOUR(Table1[[#This Row],[order_time]])</f>
        <v>19</v>
      </c>
      <c r="H2383" s="2">
        <v>0.82565972222222217</v>
      </c>
      <c r="I2383" t="s">
        <v>11</v>
      </c>
      <c r="J2383" t="s">
        <v>12</v>
      </c>
      <c r="K2383">
        <v>5</v>
      </c>
      <c r="L2383">
        <v>650</v>
      </c>
      <c r="M2383">
        <v>3250</v>
      </c>
      <c r="N2383">
        <f>IF(COUNTIFS($B$2:B2383,B2383)=1,1,0)</f>
        <v>1</v>
      </c>
    </row>
    <row r="2384" spans="1:14" x14ac:dyDescent="0.2">
      <c r="A2384">
        <v>2383</v>
      </c>
      <c r="B2384">
        <v>2202</v>
      </c>
      <c r="C2384">
        <f>1/COUNTIF(B:B,Table1[[#This Row],[order_id]])</f>
        <v>0.5</v>
      </c>
      <c r="D2384" t="str">
        <f>TEXT(Table1[[#This Row],[order_date]],"mmmm")</f>
        <v>July</v>
      </c>
      <c r="E2384" s="1">
        <v>45476</v>
      </c>
      <c r="F2384" s="1" t="str">
        <f>TEXT(Table1[[#This Row],[order_date]],"dddd")</f>
        <v>Wednesday</v>
      </c>
      <c r="G2384">
        <f>HOUR(Table1[[#This Row],[order_time]])</f>
        <v>11</v>
      </c>
      <c r="H2384" s="2">
        <v>0.47258101851851853</v>
      </c>
      <c r="I2384" t="s">
        <v>16</v>
      </c>
      <c r="J2384" t="s">
        <v>17</v>
      </c>
      <c r="K2384">
        <v>2</v>
      </c>
      <c r="L2384">
        <v>20</v>
      </c>
      <c r="M2384">
        <v>40</v>
      </c>
      <c r="N2384">
        <f>IF(COUNTIFS($B$2:B2384,B2384)=1,1,0)</f>
        <v>0</v>
      </c>
    </row>
    <row r="2385" spans="1:14" x14ac:dyDescent="0.2">
      <c r="A2385">
        <v>2384</v>
      </c>
      <c r="B2385">
        <v>2203</v>
      </c>
      <c r="C2385">
        <f>1/COUNTIF(B:B,Table1[[#This Row],[order_id]])</f>
        <v>0.5</v>
      </c>
      <c r="D2385" t="str">
        <f>TEXT(Table1[[#This Row],[order_date]],"mmmm")</f>
        <v>July</v>
      </c>
      <c r="E2385" s="1">
        <v>45476</v>
      </c>
      <c r="F2385" s="1" t="str">
        <f>TEXT(Table1[[#This Row],[order_date]],"dddd")</f>
        <v>Wednesday</v>
      </c>
      <c r="G2385">
        <f>HOUR(Table1[[#This Row],[order_time]])</f>
        <v>19</v>
      </c>
      <c r="H2385" s="2">
        <v>0.79729166666666662</v>
      </c>
      <c r="I2385" t="s">
        <v>18</v>
      </c>
      <c r="J2385" t="s">
        <v>26</v>
      </c>
      <c r="K2385">
        <v>3</v>
      </c>
      <c r="L2385">
        <v>55</v>
      </c>
      <c r="M2385">
        <v>165</v>
      </c>
      <c r="N2385">
        <f>IF(COUNTIFS($B$2:B2385,B2385)=1,1,0)</f>
        <v>1</v>
      </c>
    </row>
    <row r="2386" spans="1:14" x14ac:dyDescent="0.2">
      <c r="A2386">
        <v>2385</v>
      </c>
      <c r="B2386">
        <v>2203</v>
      </c>
      <c r="C2386">
        <f>1/COUNTIF(B:B,Table1[[#This Row],[order_id]])</f>
        <v>0.5</v>
      </c>
      <c r="D2386" t="str">
        <f>TEXT(Table1[[#This Row],[order_date]],"mmmm")</f>
        <v>July</v>
      </c>
      <c r="E2386" s="1">
        <v>45476</v>
      </c>
      <c r="F2386" s="1" t="str">
        <f>TEXT(Table1[[#This Row],[order_date]],"dddd")</f>
        <v>Wednesday</v>
      </c>
      <c r="G2386">
        <f>HOUR(Table1[[#This Row],[order_time]])</f>
        <v>17</v>
      </c>
      <c r="H2386" s="2">
        <v>0.71596064814814819</v>
      </c>
      <c r="I2386" t="s">
        <v>11</v>
      </c>
      <c r="J2386" t="s">
        <v>14</v>
      </c>
      <c r="K2386">
        <v>2</v>
      </c>
      <c r="L2386">
        <v>700</v>
      </c>
      <c r="M2386">
        <v>1400</v>
      </c>
      <c r="N2386">
        <f>IF(COUNTIFS($B$2:B2386,B2386)=1,1,0)</f>
        <v>0</v>
      </c>
    </row>
    <row r="2387" spans="1:14" x14ac:dyDescent="0.2">
      <c r="A2387">
        <v>2386</v>
      </c>
      <c r="B2387">
        <v>2204</v>
      </c>
      <c r="C2387">
        <f>1/COUNTIF(B:B,Table1[[#This Row],[order_id]])</f>
        <v>1</v>
      </c>
      <c r="D2387" t="str">
        <f>TEXT(Table1[[#This Row],[order_date]],"mmmm")</f>
        <v>July</v>
      </c>
      <c r="E2387" s="1">
        <v>45477</v>
      </c>
      <c r="F2387" s="1" t="str">
        <f>TEXT(Table1[[#This Row],[order_date]],"dddd")</f>
        <v>Thursday</v>
      </c>
      <c r="G2387">
        <f>HOUR(Table1[[#This Row],[order_time]])</f>
        <v>20</v>
      </c>
      <c r="H2387" s="2">
        <v>0.87224537037037042</v>
      </c>
      <c r="I2387" t="s">
        <v>18</v>
      </c>
      <c r="J2387" t="s">
        <v>26</v>
      </c>
      <c r="K2387">
        <v>2</v>
      </c>
      <c r="L2387">
        <v>55</v>
      </c>
      <c r="M2387">
        <v>110</v>
      </c>
      <c r="N2387">
        <f>IF(COUNTIFS($B$2:B2387,B2387)=1,1,0)</f>
        <v>1</v>
      </c>
    </row>
    <row r="2388" spans="1:14" x14ac:dyDescent="0.2">
      <c r="A2388">
        <v>2387</v>
      </c>
      <c r="B2388">
        <v>2205</v>
      </c>
      <c r="C2388">
        <f>1/COUNTIF(B:B,Table1[[#This Row],[order_id]])</f>
        <v>1</v>
      </c>
      <c r="D2388" t="str">
        <f>TEXT(Table1[[#This Row],[order_date]],"mmmm")</f>
        <v>July</v>
      </c>
      <c r="E2388" s="1">
        <v>45477</v>
      </c>
      <c r="F2388" s="1" t="str">
        <f>TEXT(Table1[[#This Row],[order_date]],"dddd")</f>
        <v>Thursday</v>
      </c>
      <c r="G2388">
        <f>HOUR(Table1[[#This Row],[order_time]])</f>
        <v>19</v>
      </c>
      <c r="H2388" s="2">
        <v>0.81445601851851857</v>
      </c>
      <c r="I2388" t="s">
        <v>18</v>
      </c>
      <c r="J2388" t="s">
        <v>31</v>
      </c>
      <c r="K2388">
        <v>4</v>
      </c>
      <c r="L2388">
        <v>45</v>
      </c>
      <c r="M2388">
        <v>180</v>
      </c>
      <c r="N2388">
        <f>IF(COUNTIFS($B$2:B2388,B2388)=1,1,0)</f>
        <v>1</v>
      </c>
    </row>
    <row r="2389" spans="1:14" x14ac:dyDescent="0.2">
      <c r="A2389">
        <v>2388</v>
      </c>
      <c r="B2389">
        <v>2206</v>
      </c>
      <c r="C2389">
        <f>1/COUNTIF(B:B,Table1[[#This Row],[order_id]])</f>
        <v>1</v>
      </c>
      <c r="D2389" t="str">
        <f>TEXT(Table1[[#This Row],[order_date]],"mmmm")</f>
        <v>July</v>
      </c>
      <c r="E2389" s="1">
        <v>45477</v>
      </c>
      <c r="F2389" s="1" t="str">
        <f>TEXT(Table1[[#This Row],[order_date]],"dddd")</f>
        <v>Thursday</v>
      </c>
      <c r="G2389">
        <f>HOUR(Table1[[#This Row],[order_time]])</f>
        <v>11</v>
      </c>
      <c r="H2389" s="2">
        <v>0.46899305555555554</v>
      </c>
      <c r="I2389" t="s">
        <v>18</v>
      </c>
      <c r="J2389" t="s">
        <v>27</v>
      </c>
      <c r="K2389">
        <v>4</v>
      </c>
      <c r="L2389">
        <v>40</v>
      </c>
      <c r="M2389">
        <v>160</v>
      </c>
      <c r="N2389">
        <f>IF(COUNTIFS($B$2:B2389,B2389)=1,1,0)</f>
        <v>1</v>
      </c>
    </row>
    <row r="2390" spans="1:14" x14ac:dyDescent="0.2">
      <c r="A2390">
        <v>2389</v>
      </c>
      <c r="B2390">
        <v>2207</v>
      </c>
      <c r="C2390">
        <f>1/COUNTIF(B:B,Table1[[#This Row],[order_id]])</f>
        <v>0.5</v>
      </c>
      <c r="D2390" t="str">
        <f>TEXT(Table1[[#This Row],[order_date]],"mmmm")</f>
        <v>July</v>
      </c>
      <c r="E2390" s="1">
        <v>45477</v>
      </c>
      <c r="F2390" s="1" t="str">
        <f>TEXT(Table1[[#This Row],[order_date]],"dddd")</f>
        <v>Thursday</v>
      </c>
      <c r="G2390">
        <f>HOUR(Table1[[#This Row],[order_time]])</f>
        <v>13</v>
      </c>
      <c r="H2390" s="2">
        <v>0.55030092592592594</v>
      </c>
      <c r="I2390" t="s">
        <v>9</v>
      </c>
      <c r="J2390" t="s">
        <v>29</v>
      </c>
      <c r="K2390">
        <v>5</v>
      </c>
      <c r="L2390">
        <v>5</v>
      </c>
      <c r="M2390">
        <v>25</v>
      </c>
      <c r="N2390">
        <f>IF(COUNTIFS($B$2:B2390,B2390)=1,1,0)</f>
        <v>1</v>
      </c>
    </row>
    <row r="2391" spans="1:14" x14ac:dyDescent="0.2">
      <c r="A2391">
        <v>2390</v>
      </c>
      <c r="B2391">
        <v>2207</v>
      </c>
      <c r="C2391">
        <f>1/COUNTIF(B:B,Table1[[#This Row],[order_id]])</f>
        <v>0.5</v>
      </c>
      <c r="D2391" t="str">
        <f>TEXT(Table1[[#This Row],[order_date]],"mmmm")</f>
        <v>July</v>
      </c>
      <c r="E2391" s="1">
        <v>45477</v>
      </c>
      <c r="F2391" s="1" t="str">
        <f>TEXT(Table1[[#This Row],[order_date]],"dddd")</f>
        <v>Thursday</v>
      </c>
      <c r="G2391">
        <f>HOUR(Table1[[#This Row],[order_time]])</f>
        <v>14</v>
      </c>
      <c r="H2391" s="2">
        <v>0.60009259259259262</v>
      </c>
      <c r="I2391" t="s">
        <v>9</v>
      </c>
      <c r="J2391" t="s">
        <v>10</v>
      </c>
      <c r="K2391">
        <v>4</v>
      </c>
      <c r="L2391">
        <v>20</v>
      </c>
      <c r="M2391">
        <v>80</v>
      </c>
      <c r="N2391">
        <f>IF(COUNTIFS($B$2:B2391,B2391)=1,1,0)</f>
        <v>0</v>
      </c>
    </row>
    <row r="2392" spans="1:14" x14ac:dyDescent="0.2">
      <c r="A2392">
        <v>2391</v>
      </c>
      <c r="B2392">
        <v>2208</v>
      </c>
      <c r="C2392">
        <f>1/COUNTIF(B:B,Table1[[#This Row],[order_id]])</f>
        <v>0.33333333333333331</v>
      </c>
      <c r="D2392" t="str">
        <f>TEXT(Table1[[#This Row],[order_date]],"mmmm")</f>
        <v>July</v>
      </c>
      <c r="E2392" s="1">
        <v>45477</v>
      </c>
      <c r="F2392" s="1" t="str">
        <f>TEXT(Table1[[#This Row],[order_date]],"dddd")</f>
        <v>Thursday</v>
      </c>
      <c r="G2392">
        <f>HOUR(Table1[[#This Row],[order_time]])</f>
        <v>14</v>
      </c>
      <c r="H2392" s="2">
        <v>0.5980671296296296</v>
      </c>
      <c r="I2392" t="s">
        <v>16</v>
      </c>
      <c r="J2392" t="s">
        <v>28</v>
      </c>
      <c r="K2392">
        <v>2</v>
      </c>
      <c r="L2392">
        <v>25</v>
      </c>
      <c r="M2392">
        <v>50</v>
      </c>
      <c r="N2392">
        <f>IF(COUNTIFS($B$2:B2392,B2392)=1,1,0)</f>
        <v>1</v>
      </c>
    </row>
    <row r="2393" spans="1:14" x14ac:dyDescent="0.2">
      <c r="A2393">
        <v>2392</v>
      </c>
      <c r="B2393">
        <v>2208</v>
      </c>
      <c r="C2393">
        <f>1/COUNTIF(B:B,Table1[[#This Row],[order_id]])</f>
        <v>0.33333333333333331</v>
      </c>
      <c r="D2393" t="str">
        <f>TEXT(Table1[[#This Row],[order_date]],"mmmm")</f>
        <v>July</v>
      </c>
      <c r="E2393" s="1">
        <v>45477</v>
      </c>
      <c r="F2393" s="1" t="str">
        <f>TEXT(Table1[[#This Row],[order_date]],"dddd")</f>
        <v>Thursday</v>
      </c>
      <c r="G2393">
        <f>HOUR(Table1[[#This Row],[order_time]])</f>
        <v>13</v>
      </c>
      <c r="H2393" s="2">
        <v>0.58008101851851857</v>
      </c>
      <c r="I2393" t="s">
        <v>9</v>
      </c>
      <c r="J2393" t="s">
        <v>21</v>
      </c>
      <c r="K2393">
        <v>3</v>
      </c>
      <c r="L2393">
        <v>10</v>
      </c>
      <c r="M2393">
        <v>30</v>
      </c>
      <c r="N2393">
        <f>IF(COUNTIFS($B$2:B2393,B2393)=1,1,0)</f>
        <v>0</v>
      </c>
    </row>
    <row r="2394" spans="1:14" x14ac:dyDescent="0.2">
      <c r="A2394">
        <v>2393</v>
      </c>
      <c r="B2394">
        <v>2208</v>
      </c>
      <c r="C2394">
        <f>1/COUNTIF(B:B,Table1[[#This Row],[order_id]])</f>
        <v>0.33333333333333331</v>
      </c>
      <c r="D2394" t="str">
        <f>TEXT(Table1[[#This Row],[order_date]],"mmmm")</f>
        <v>July</v>
      </c>
      <c r="E2394" s="1">
        <v>45477</v>
      </c>
      <c r="F2394" s="1" t="str">
        <f>TEXT(Table1[[#This Row],[order_date]],"dddd")</f>
        <v>Thursday</v>
      </c>
      <c r="G2394">
        <f>HOUR(Table1[[#This Row],[order_time]])</f>
        <v>17</v>
      </c>
      <c r="H2394" s="2">
        <v>0.73138888888888887</v>
      </c>
      <c r="I2394" t="s">
        <v>16</v>
      </c>
      <c r="J2394" t="s">
        <v>23</v>
      </c>
      <c r="K2394">
        <v>3</v>
      </c>
      <c r="L2394">
        <v>30</v>
      </c>
      <c r="M2394">
        <v>90</v>
      </c>
      <c r="N2394">
        <f>IF(COUNTIFS($B$2:B2394,B2394)=1,1,0)</f>
        <v>0</v>
      </c>
    </row>
    <row r="2395" spans="1:14" x14ac:dyDescent="0.2">
      <c r="A2395">
        <v>2394</v>
      </c>
      <c r="B2395">
        <v>2209</v>
      </c>
      <c r="C2395">
        <f>1/COUNTIF(B:B,Table1[[#This Row],[order_id]])</f>
        <v>0.5</v>
      </c>
      <c r="D2395" t="str">
        <f>TEXT(Table1[[#This Row],[order_date]],"mmmm")</f>
        <v>July</v>
      </c>
      <c r="E2395" s="1">
        <v>45477</v>
      </c>
      <c r="F2395" s="1" t="str">
        <f>TEXT(Table1[[#This Row],[order_date]],"dddd")</f>
        <v>Thursday</v>
      </c>
      <c r="G2395">
        <f>HOUR(Table1[[#This Row],[order_time]])</f>
        <v>16</v>
      </c>
      <c r="H2395" s="2">
        <v>0.67143518518518519</v>
      </c>
      <c r="I2395" t="s">
        <v>16</v>
      </c>
      <c r="J2395" t="s">
        <v>28</v>
      </c>
      <c r="K2395">
        <v>3</v>
      </c>
      <c r="L2395">
        <v>25</v>
      </c>
      <c r="M2395">
        <v>75</v>
      </c>
      <c r="N2395">
        <f>IF(COUNTIFS($B$2:B2395,B2395)=1,1,0)</f>
        <v>1</v>
      </c>
    </row>
    <row r="2396" spans="1:14" x14ac:dyDescent="0.2">
      <c r="A2396">
        <v>2395</v>
      </c>
      <c r="B2396">
        <v>2209</v>
      </c>
      <c r="C2396">
        <f>1/COUNTIF(B:B,Table1[[#This Row],[order_id]])</f>
        <v>0.5</v>
      </c>
      <c r="D2396" t="str">
        <f>TEXT(Table1[[#This Row],[order_date]],"mmmm")</f>
        <v>July</v>
      </c>
      <c r="E2396" s="1">
        <v>45477</v>
      </c>
      <c r="F2396" s="1" t="str">
        <f>TEXT(Table1[[#This Row],[order_date]],"dddd")</f>
        <v>Thursday</v>
      </c>
      <c r="G2396">
        <f>HOUR(Table1[[#This Row],[order_time]])</f>
        <v>16</v>
      </c>
      <c r="H2396" s="2">
        <v>0.68686342592592597</v>
      </c>
      <c r="I2396" t="s">
        <v>16</v>
      </c>
      <c r="J2396" t="s">
        <v>23</v>
      </c>
      <c r="K2396">
        <v>1</v>
      </c>
      <c r="L2396">
        <v>30</v>
      </c>
      <c r="M2396">
        <v>30</v>
      </c>
      <c r="N2396">
        <f>IF(COUNTIFS($B$2:B2396,B2396)=1,1,0)</f>
        <v>0</v>
      </c>
    </row>
    <row r="2397" spans="1:14" x14ac:dyDescent="0.2">
      <c r="A2397">
        <v>2396</v>
      </c>
      <c r="B2397">
        <v>2210</v>
      </c>
      <c r="C2397">
        <f>1/COUNTIF(B:B,Table1[[#This Row],[order_id]])</f>
        <v>0.33333333333333331</v>
      </c>
      <c r="D2397" t="str">
        <f>TEXT(Table1[[#This Row],[order_date]],"mmmm")</f>
        <v>July</v>
      </c>
      <c r="E2397" s="1">
        <v>45478</v>
      </c>
      <c r="F2397" s="1" t="str">
        <f>TEXT(Table1[[#This Row],[order_date]],"dddd")</f>
        <v>Friday</v>
      </c>
      <c r="G2397">
        <f>HOUR(Table1[[#This Row],[order_time]])</f>
        <v>13</v>
      </c>
      <c r="H2397" s="2">
        <v>0.54334490740740737</v>
      </c>
      <c r="I2397" t="s">
        <v>16</v>
      </c>
      <c r="J2397" t="s">
        <v>24</v>
      </c>
      <c r="K2397">
        <v>3</v>
      </c>
      <c r="L2397">
        <v>35</v>
      </c>
      <c r="M2397">
        <v>105</v>
      </c>
      <c r="N2397">
        <f>IF(COUNTIFS($B$2:B2397,B2397)=1,1,0)</f>
        <v>1</v>
      </c>
    </row>
    <row r="2398" spans="1:14" x14ac:dyDescent="0.2">
      <c r="A2398">
        <v>2397</v>
      </c>
      <c r="B2398">
        <v>2210</v>
      </c>
      <c r="C2398">
        <f>1/COUNTIF(B:B,Table1[[#This Row],[order_id]])</f>
        <v>0.33333333333333331</v>
      </c>
      <c r="D2398" t="str">
        <f>TEXT(Table1[[#This Row],[order_date]],"mmmm")</f>
        <v>July</v>
      </c>
      <c r="E2398" s="1">
        <v>45478</v>
      </c>
      <c r="F2398" s="1" t="str">
        <f>TEXT(Table1[[#This Row],[order_date]],"dddd")</f>
        <v>Friday</v>
      </c>
      <c r="G2398">
        <f>HOUR(Table1[[#This Row],[order_time]])</f>
        <v>11</v>
      </c>
      <c r="H2398" s="2">
        <v>0.46693287037037035</v>
      </c>
      <c r="I2398" t="s">
        <v>11</v>
      </c>
      <c r="J2398" t="s">
        <v>15</v>
      </c>
      <c r="K2398">
        <v>1</v>
      </c>
      <c r="L2398">
        <v>600</v>
      </c>
      <c r="M2398">
        <v>600</v>
      </c>
      <c r="N2398">
        <f>IF(COUNTIFS($B$2:B2398,B2398)=1,1,0)</f>
        <v>0</v>
      </c>
    </row>
    <row r="2399" spans="1:14" x14ac:dyDescent="0.2">
      <c r="A2399">
        <v>2398</v>
      </c>
      <c r="B2399">
        <v>2210</v>
      </c>
      <c r="C2399">
        <f>1/COUNTIF(B:B,Table1[[#This Row],[order_id]])</f>
        <v>0.33333333333333331</v>
      </c>
      <c r="D2399" t="str">
        <f>TEXT(Table1[[#This Row],[order_date]],"mmmm")</f>
        <v>July</v>
      </c>
      <c r="E2399" s="1">
        <v>45478</v>
      </c>
      <c r="F2399" s="1" t="str">
        <f>TEXT(Table1[[#This Row],[order_date]],"dddd")</f>
        <v>Friday</v>
      </c>
      <c r="G2399">
        <f>HOUR(Table1[[#This Row],[order_time]])</f>
        <v>13</v>
      </c>
      <c r="H2399" s="2">
        <v>0.57502314814814814</v>
      </c>
      <c r="I2399" t="s">
        <v>16</v>
      </c>
      <c r="J2399" t="s">
        <v>17</v>
      </c>
      <c r="K2399">
        <v>1</v>
      </c>
      <c r="L2399">
        <v>20</v>
      </c>
      <c r="M2399">
        <v>20</v>
      </c>
      <c r="N2399">
        <f>IF(COUNTIFS($B$2:B2399,B2399)=1,1,0)</f>
        <v>0</v>
      </c>
    </row>
    <row r="2400" spans="1:14" x14ac:dyDescent="0.2">
      <c r="A2400">
        <v>2399</v>
      </c>
      <c r="B2400">
        <v>2211</v>
      </c>
      <c r="C2400">
        <f>1/COUNTIF(B:B,Table1[[#This Row],[order_id]])</f>
        <v>0.5</v>
      </c>
      <c r="D2400" t="str">
        <f>TEXT(Table1[[#This Row],[order_date]],"mmmm")</f>
        <v>July</v>
      </c>
      <c r="E2400" s="1">
        <v>45478</v>
      </c>
      <c r="F2400" s="1" t="str">
        <f>TEXT(Table1[[#This Row],[order_date]],"dddd")</f>
        <v>Friday</v>
      </c>
      <c r="G2400">
        <f>HOUR(Table1[[#This Row],[order_time]])</f>
        <v>11</v>
      </c>
      <c r="H2400" s="2">
        <v>0.46232638888888888</v>
      </c>
      <c r="I2400" t="s">
        <v>16</v>
      </c>
      <c r="J2400" t="s">
        <v>23</v>
      </c>
      <c r="K2400">
        <v>3</v>
      </c>
      <c r="L2400">
        <v>30</v>
      </c>
      <c r="M2400">
        <v>90</v>
      </c>
      <c r="N2400">
        <f>IF(COUNTIFS($B$2:B2400,B2400)=1,1,0)</f>
        <v>1</v>
      </c>
    </row>
    <row r="2401" spans="1:14" x14ac:dyDescent="0.2">
      <c r="A2401">
        <v>2400</v>
      </c>
      <c r="B2401">
        <v>2211</v>
      </c>
      <c r="C2401">
        <f>1/COUNTIF(B:B,Table1[[#This Row],[order_id]])</f>
        <v>0.5</v>
      </c>
      <c r="D2401" t="str">
        <f>TEXT(Table1[[#This Row],[order_date]],"mmmm")</f>
        <v>July</v>
      </c>
      <c r="E2401" s="1">
        <v>45478</v>
      </c>
      <c r="F2401" s="1" t="str">
        <f>TEXT(Table1[[#This Row],[order_date]],"dddd")</f>
        <v>Friday</v>
      </c>
      <c r="G2401">
        <f>HOUR(Table1[[#This Row],[order_time]])</f>
        <v>12</v>
      </c>
      <c r="H2401" s="2">
        <v>0.51512731481481477</v>
      </c>
      <c r="I2401" t="s">
        <v>9</v>
      </c>
      <c r="J2401" t="s">
        <v>10</v>
      </c>
      <c r="K2401">
        <v>3</v>
      </c>
      <c r="L2401">
        <v>20</v>
      </c>
      <c r="M2401">
        <v>60</v>
      </c>
      <c r="N2401">
        <f>IF(COUNTIFS($B$2:B2401,B2401)=1,1,0)</f>
        <v>0</v>
      </c>
    </row>
    <row r="2402" spans="1:14" x14ac:dyDescent="0.2">
      <c r="A2402">
        <v>2401</v>
      </c>
      <c r="B2402">
        <v>2212</v>
      </c>
      <c r="C2402">
        <f>1/COUNTIF(B:B,Table1[[#This Row],[order_id]])</f>
        <v>1</v>
      </c>
      <c r="D2402" t="str">
        <f>TEXT(Table1[[#This Row],[order_date]],"mmmm")</f>
        <v>July</v>
      </c>
      <c r="E2402" s="1">
        <v>45478</v>
      </c>
      <c r="F2402" s="1" t="str">
        <f>TEXT(Table1[[#This Row],[order_date]],"dddd")</f>
        <v>Friday</v>
      </c>
      <c r="G2402">
        <f>HOUR(Table1[[#This Row],[order_time]])</f>
        <v>17</v>
      </c>
      <c r="H2402" s="2">
        <v>0.71857638888888886</v>
      </c>
      <c r="I2402" t="s">
        <v>18</v>
      </c>
      <c r="J2402" t="s">
        <v>27</v>
      </c>
      <c r="K2402">
        <v>1</v>
      </c>
      <c r="L2402">
        <v>40</v>
      </c>
      <c r="M2402">
        <v>40</v>
      </c>
      <c r="N2402">
        <f>IF(COUNTIFS($B$2:B2402,B2402)=1,1,0)</f>
        <v>1</v>
      </c>
    </row>
    <row r="2403" spans="1:14" x14ac:dyDescent="0.2">
      <c r="A2403">
        <v>2402</v>
      </c>
      <c r="B2403">
        <v>2213</v>
      </c>
      <c r="C2403">
        <f>1/COUNTIF(B:B,Table1[[#This Row],[order_id]])</f>
        <v>0.33333333333333331</v>
      </c>
      <c r="D2403" t="str">
        <f>TEXT(Table1[[#This Row],[order_date]],"mmmm")</f>
        <v>July</v>
      </c>
      <c r="E2403" s="1">
        <v>45479</v>
      </c>
      <c r="F2403" s="1" t="str">
        <f>TEXT(Table1[[#This Row],[order_date]],"dddd")</f>
        <v>Saturday</v>
      </c>
      <c r="G2403">
        <f>HOUR(Table1[[#This Row],[order_time]])</f>
        <v>18</v>
      </c>
      <c r="H2403" s="2">
        <v>0.75420138888888888</v>
      </c>
      <c r="I2403" t="s">
        <v>16</v>
      </c>
      <c r="J2403" t="s">
        <v>28</v>
      </c>
      <c r="K2403">
        <v>2</v>
      </c>
      <c r="L2403">
        <v>25</v>
      </c>
      <c r="M2403">
        <v>50</v>
      </c>
      <c r="N2403">
        <f>IF(COUNTIFS($B$2:B2403,B2403)=1,1,0)</f>
        <v>1</v>
      </c>
    </row>
    <row r="2404" spans="1:14" x14ac:dyDescent="0.2">
      <c r="A2404">
        <v>2403</v>
      </c>
      <c r="B2404">
        <v>2213</v>
      </c>
      <c r="C2404">
        <f>1/COUNTIF(B:B,Table1[[#This Row],[order_id]])</f>
        <v>0.33333333333333331</v>
      </c>
      <c r="D2404" t="str">
        <f>TEXT(Table1[[#This Row],[order_date]],"mmmm")</f>
        <v>July</v>
      </c>
      <c r="E2404" s="1">
        <v>45479</v>
      </c>
      <c r="F2404" s="1" t="str">
        <f>TEXT(Table1[[#This Row],[order_date]],"dddd")</f>
        <v>Saturday</v>
      </c>
      <c r="G2404">
        <f>HOUR(Table1[[#This Row],[order_time]])</f>
        <v>17</v>
      </c>
      <c r="H2404" s="2">
        <v>0.74679398148148146</v>
      </c>
      <c r="I2404" t="s">
        <v>9</v>
      </c>
      <c r="J2404" t="s">
        <v>20</v>
      </c>
      <c r="K2404">
        <v>4</v>
      </c>
      <c r="L2404">
        <v>25</v>
      </c>
      <c r="M2404">
        <v>100</v>
      </c>
      <c r="N2404">
        <f>IF(COUNTIFS($B$2:B2404,B2404)=1,1,0)</f>
        <v>0</v>
      </c>
    </row>
    <row r="2405" spans="1:14" x14ac:dyDescent="0.2">
      <c r="A2405">
        <v>2404</v>
      </c>
      <c r="B2405">
        <v>2213</v>
      </c>
      <c r="C2405">
        <f>1/COUNTIF(B:B,Table1[[#This Row],[order_id]])</f>
        <v>0.33333333333333331</v>
      </c>
      <c r="D2405" t="str">
        <f>TEXT(Table1[[#This Row],[order_date]],"mmmm")</f>
        <v>July</v>
      </c>
      <c r="E2405" s="1">
        <v>45479</v>
      </c>
      <c r="F2405" s="1" t="str">
        <f>TEXT(Table1[[#This Row],[order_date]],"dddd")</f>
        <v>Saturday</v>
      </c>
      <c r="G2405">
        <f>HOUR(Table1[[#This Row],[order_time]])</f>
        <v>10</v>
      </c>
      <c r="H2405" s="2">
        <v>0.44697916666666665</v>
      </c>
      <c r="I2405" t="s">
        <v>11</v>
      </c>
      <c r="J2405" t="s">
        <v>25</v>
      </c>
      <c r="K2405">
        <v>5</v>
      </c>
      <c r="L2405">
        <v>1000</v>
      </c>
      <c r="M2405">
        <v>5000</v>
      </c>
      <c r="N2405">
        <f>IF(COUNTIFS($B$2:B2405,B2405)=1,1,0)</f>
        <v>0</v>
      </c>
    </row>
    <row r="2406" spans="1:14" x14ac:dyDescent="0.2">
      <c r="A2406">
        <v>2405</v>
      </c>
      <c r="B2406">
        <v>2214</v>
      </c>
      <c r="C2406">
        <f>1/COUNTIF(B:B,Table1[[#This Row],[order_id]])</f>
        <v>1</v>
      </c>
      <c r="D2406" t="str">
        <f>TEXT(Table1[[#This Row],[order_date]],"mmmm")</f>
        <v>July</v>
      </c>
      <c r="E2406" s="1">
        <v>45479</v>
      </c>
      <c r="F2406" s="1" t="str">
        <f>TEXT(Table1[[#This Row],[order_date]],"dddd")</f>
        <v>Saturday</v>
      </c>
      <c r="G2406">
        <f>HOUR(Table1[[#This Row],[order_time]])</f>
        <v>15</v>
      </c>
      <c r="H2406" s="2">
        <v>0.66223379629629631</v>
      </c>
      <c r="I2406" t="s">
        <v>18</v>
      </c>
      <c r="J2406" t="s">
        <v>26</v>
      </c>
      <c r="K2406">
        <v>4</v>
      </c>
      <c r="L2406">
        <v>55</v>
      </c>
      <c r="M2406">
        <v>220</v>
      </c>
      <c r="N2406">
        <f>IF(COUNTIFS($B$2:B2406,B2406)=1,1,0)</f>
        <v>1</v>
      </c>
    </row>
    <row r="2407" spans="1:14" x14ac:dyDescent="0.2">
      <c r="A2407">
        <v>2406</v>
      </c>
      <c r="B2407">
        <v>2215</v>
      </c>
      <c r="C2407">
        <f>1/COUNTIF(B:B,Table1[[#This Row],[order_id]])</f>
        <v>0.5</v>
      </c>
      <c r="D2407" t="str">
        <f>TEXT(Table1[[#This Row],[order_date]],"mmmm")</f>
        <v>July</v>
      </c>
      <c r="E2407" s="1">
        <v>45479</v>
      </c>
      <c r="F2407" s="1" t="str">
        <f>TEXT(Table1[[#This Row],[order_date]],"dddd")</f>
        <v>Saturday</v>
      </c>
      <c r="G2407">
        <f>HOUR(Table1[[#This Row],[order_time]])</f>
        <v>12</v>
      </c>
      <c r="H2407" s="2">
        <v>0.51146990740740739</v>
      </c>
      <c r="I2407" t="s">
        <v>9</v>
      </c>
      <c r="J2407" t="s">
        <v>22</v>
      </c>
      <c r="K2407">
        <v>5</v>
      </c>
      <c r="L2407">
        <v>15</v>
      </c>
      <c r="M2407">
        <v>75</v>
      </c>
      <c r="N2407">
        <f>IF(COUNTIFS($B$2:B2407,B2407)=1,1,0)</f>
        <v>1</v>
      </c>
    </row>
    <row r="2408" spans="1:14" x14ac:dyDescent="0.2">
      <c r="A2408">
        <v>2407</v>
      </c>
      <c r="B2408">
        <v>2215</v>
      </c>
      <c r="C2408">
        <f>1/COUNTIF(B:B,Table1[[#This Row],[order_id]])</f>
        <v>0.5</v>
      </c>
      <c r="D2408" t="str">
        <f>TEXT(Table1[[#This Row],[order_date]],"mmmm")</f>
        <v>July</v>
      </c>
      <c r="E2408" s="1">
        <v>45479</v>
      </c>
      <c r="F2408" s="1" t="str">
        <f>TEXT(Table1[[#This Row],[order_date]],"dddd")</f>
        <v>Saturday</v>
      </c>
      <c r="G2408">
        <f>HOUR(Table1[[#This Row],[order_time]])</f>
        <v>13</v>
      </c>
      <c r="H2408" s="2">
        <v>0.56099537037037039</v>
      </c>
      <c r="I2408" t="s">
        <v>16</v>
      </c>
      <c r="J2408" t="s">
        <v>28</v>
      </c>
      <c r="K2408">
        <v>4</v>
      </c>
      <c r="L2408">
        <v>25</v>
      </c>
      <c r="M2408">
        <v>100</v>
      </c>
      <c r="N2408">
        <f>IF(COUNTIFS($B$2:B2408,B2408)=1,1,0)</f>
        <v>0</v>
      </c>
    </row>
    <row r="2409" spans="1:14" x14ac:dyDescent="0.2">
      <c r="A2409">
        <v>2408</v>
      </c>
      <c r="B2409">
        <v>2216</v>
      </c>
      <c r="C2409">
        <f>1/COUNTIF(B:B,Table1[[#This Row],[order_id]])</f>
        <v>1</v>
      </c>
      <c r="D2409" t="str">
        <f>TEXT(Table1[[#This Row],[order_date]],"mmmm")</f>
        <v>July</v>
      </c>
      <c r="E2409" s="1">
        <v>45479</v>
      </c>
      <c r="F2409" s="1" t="str">
        <f>TEXT(Table1[[#This Row],[order_date]],"dddd")</f>
        <v>Saturday</v>
      </c>
      <c r="G2409">
        <f>HOUR(Table1[[#This Row],[order_time]])</f>
        <v>19</v>
      </c>
      <c r="H2409" s="2">
        <v>0.82017361111111109</v>
      </c>
      <c r="I2409" t="s">
        <v>16</v>
      </c>
      <c r="J2409" t="s">
        <v>23</v>
      </c>
      <c r="K2409">
        <v>3</v>
      </c>
      <c r="L2409">
        <v>30</v>
      </c>
      <c r="M2409">
        <v>90</v>
      </c>
      <c r="N2409">
        <f>IF(COUNTIFS($B$2:B2409,B2409)=1,1,0)</f>
        <v>1</v>
      </c>
    </row>
    <row r="2410" spans="1:14" x14ac:dyDescent="0.2">
      <c r="A2410">
        <v>2409</v>
      </c>
      <c r="B2410">
        <v>2217</v>
      </c>
      <c r="C2410">
        <f>1/COUNTIF(B:B,Table1[[#This Row],[order_id]])</f>
        <v>1</v>
      </c>
      <c r="D2410" t="str">
        <f>TEXT(Table1[[#This Row],[order_date]],"mmmm")</f>
        <v>July</v>
      </c>
      <c r="E2410" s="1">
        <v>45479</v>
      </c>
      <c r="F2410" s="1" t="str">
        <f>TEXT(Table1[[#This Row],[order_date]],"dddd")</f>
        <v>Saturday</v>
      </c>
      <c r="G2410">
        <f>HOUR(Table1[[#This Row],[order_time]])</f>
        <v>9</v>
      </c>
      <c r="H2410" s="2">
        <v>0.38564814814814813</v>
      </c>
      <c r="I2410" t="s">
        <v>16</v>
      </c>
      <c r="J2410" t="s">
        <v>23</v>
      </c>
      <c r="K2410">
        <v>3</v>
      </c>
      <c r="L2410">
        <v>30</v>
      </c>
      <c r="M2410">
        <v>90</v>
      </c>
      <c r="N2410">
        <f>IF(COUNTIFS($B$2:B2410,B2410)=1,1,0)</f>
        <v>1</v>
      </c>
    </row>
    <row r="2411" spans="1:14" x14ac:dyDescent="0.2">
      <c r="A2411">
        <v>2410</v>
      </c>
      <c r="B2411">
        <v>2218</v>
      </c>
      <c r="C2411">
        <f>1/COUNTIF(B:B,Table1[[#This Row],[order_id]])</f>
        <v>1</v>
      </c>
      <c r="D2411" t="str">
        <f>TEXT(Table1[[#This Row],[order_date]],"mmmm")</f>
        <v>July</v>
      </c>
      <c r="E2411" s="1">
        <v>45479</v>
      </c>
      <c r="F2411" s="1" t="str">
        <f>TEXT(Table1[[#This Row],[order_date]],"dddd")</f>
        <v>Saturday</v>
      </c>
      <c r="G2411">
        <f>HOUR(Table1[[#This Row],[order_time]])</f>
        <v>15</v>
      </c>
      <c r="H2411" s="2">
        <v>0.62840277777777775</v>
      </c>
      <c r="I2411" t="s">
        <v>9</v>
      </c>
      <c r="J2411" t="s">
        <v>20</v>
      </c>
      <c r="K2411">
        <v>5</v>
      </c>
      <c r="L2411">
        <v>25</v>
      </c>
      <c r="M2411">
        <v>125</v>
      </c>
      <c r="N2411">
        <f>IF(COUNTIFS($B$2:B2411,B2411)=1,1,0)</f>
        <v>1</v>
      </c>
    </row>
    <row r="2412" spans="1:14" x14ac:dyDescent="0.2">
      <c r="A2412">
        <v>2411</v>
      </c>
      <c r="B2412">
        <v>2219</v>
      </c>
      <c r="C2412">
        <f>1/COUNTIF(B:B,Table1[[#This Row],[order_id]])</f>
        <v>1</v>
      </c>
      <c r="D2412" t="str">
        <f>TEXT(Table1[[#This Row],[order_date]],"mmmm")</f>
        <v>July</v>
      </c>
      <c r="E2412" s="1">
        <v>45479</v>
      </c>
      <c r="F2412" s="1" t="str">
        <f>TEXT(Table1[[#This Row],[order_date]],"dddd")</f>
        <v>Saturday</v>
      </c>
      <c r="G2412">
        <f>HOUR(Table1[[#This Row],[order_time]])</f>
        <v>15</v>
      </c>
      <c r="H2412" s="2">
        <v>0.64445601851851853</v>
      </c>
      <c r="I2412" t="s">
        <v>11</v>
      </c>
      <c r="J2412" t="s">
        <v>15</v>
      </c>
      <c r="K2412">
        <v>4</v>
      </c>
      <c r="L2412">
        <v>600</v>
      </c>
      <c r="M2412">
        <v>2400</v>
      </c>
      <c r="N2412">
        <f>IF(COUNTIFS($B$2:B2412,B2412)=1,1,0)</f>
        <v>1</v>
      </c>
    </row>
    <row r="2413" spans="1:14" x14ac:dyDescent="0.2">
      <c r="A2413">
        <v>2412</v>
      </c>
      <c r="B2413">
        <v>2220</v>
      </c>
      <c r="C2413">
        <f>1/COUNTIF(B:B,Table1[[#This Row],[order_id]])</f>
        <v>0.5</v>
      </c>
      <c r="D2413" t="str">
        <f>TEXT(Table1[[#This Row],[order_date]],"mmmm")</f>
        <v>July</v>
      </c>
      <c r="E2413" s="1">
        <v>45480</v>
      </c>
      <c r="F2413" s="1" t="str">
        <f>TEXT(Table1[[#This Row],[order_date]],"dddd")</f>
        <v>Sunday</v>
      </c>
      <c r="G2413">
        <f>HOUR(Table1[[#This Row],[order_time]])</f>
        <v>17</v>
      </c>
      <c r="H2413" s="2">
        <v>0.71417824074074077</v>
      </c>
      <c r="I2413" t="s">
        <v>16</v>
      </c>
      <c r="J2413" t="s">
        <v>23</v>
      </c>
      <c r="K2413">
        <v>1</v>
      </c>
      <c r="L2413">
        <v>30</v>
      </c>
      <c r="M2413">
        <v>30</v>
      </c>
      <c r="N2413">
        <f>IF(COUNTIFS($B$2:B2413,B2413)=1,1,0)</f>
        <v>1</v>
      </c>
    </row>
    <row r="2414" spans="1:14" x14ac:dyDescent="0.2">
      <c r="A2414">
        <v>2413</v>
      </c>
      <c r="B2414">
        <v>2220</v>
      </c>
      <c r="C2414">
        <f>1/COUNTIF(B:B,Table1[[#This Row],[order_id]])</f>
        <v>0.5</v>
      </c>
      <c r="D2414" t="str">
        <f>TEXT(Table1[[#This Row],[order_date]],"mmmm")</f>
        <v>July</v>
      </c>
      <c r="E2414" s="1">
        <v>45480</v>
      </c>
      <c r="F2414" s="1" t="str">
        <f>TEXT(Table1[[#This Row],[order_date]],"dddd")</f>
        <v>Sunday</v>
      </c>
      <c r="G2414">
        <f>HOUR(Table1[[#This Row],[order_time]])</f>
        <v>19</v>
      </c>
      <c r="H2414" s="2">
        <v>0.81030092592592595</v>
      </c>
      <c r="I2414" t="s">
        <v>18</v>
      </c>
      <c r="J2414" t="s">
        <v>27</v>
      </c>
      <c r="K2414">
        <v>3</v>
      </c>
      <c r="L2414">
        <v>40</v>
      </c>
      <c r="M2414">
        <v>120</v>
      </c>
      <c r="N2414">
        <f>IF(COUNTIFS($B$2:B2414,B2414)=1,1,0)</f>
        <v>0</v>
      </c>
    </row>
    <row r="2415" spans="1:14" x14ac:dyDescent="0.2">
      <c r="A2415">
        <v>2414</v>
      </c>
      <c r="B2415">
        <v>2221</v>
      </c>
      <c r="C2415">
        <f>1/COUNTIF(B:B,Table1[[#This Row],[order_id]])</f>
        <v>0.5</v>
      </c>
      <c r="D2415" t="str">
        <f>TEXT(Table1[[#This Row],[order_date]],"mmmm")</f>
        <v>July</v>
      </c>
      <c r="E2415" s="1">
        <v>45480</v>
      </c>
      <c r="F2415" s="1" t="str">
        <f>TEXT(Table1[[#This Row],[order_date]],"dddd")</f>
        <v>Sunday</v>
      </c>
      <c r="G2415">
        <f>HOUR(Table1[[#This Row],[order_time]])</f>
        <v>19</v>
      </c>
      <c r="H2415" s="2">
        <v>0.80696759259259254</v>
      </c>
      <c r="I2415" t="s">
        <v>16</v>
      </c>
      <c r="J2415" t="s">
        <v>28</v>
      </c>
      <c r="K2415">
        <v>2</v>
      </c>
      <c r="L2415">
        <v>25</v>
      </c>
      <c r="M2415">
        <v>50</v>
      </c>
      <c r="N2415">
        <f>IF(COUNTIFS($B$2:B2415,B2415)=1,1,0)</f>
        <v>1</v>
      </c>
    </row>
    <row r="2416" spans="1:14" x14ac:dyDescent="0.2">
      <c r="A2416">
        <v>2415</v>
      </c>
      <c r="B2416">
        <v>2221</v>
      </c>
      <c r="C2416">
        <f>1/COUNTIF(B:B,Table1[[#This Row],[order_id]])</f>
        <v>0.5</v>
      </c>
      <c r="D2416" t="str">
        <f>TEXT(Table1[[#This Row],[order_date]],"mmmm")</f>
        <v>July</v>
      </c>
      <c r="E2416" s="1">
        <v>45480</v>
      </c>
      <c r="F2416" s="1" t="str">
        <f>TEXT(Table1[[#This Row],[order_date]],"dddd")</f>
        <v>Sunday</v>
      </c>
      <c r="G2416">
        <f>HOUR(Table1[[#This Row],[order_time]])</f>
        <v>15</v>
      </c>
      <c r="H2416" s="2">
        <v>0.63200231481481484</v>
      </c>
      <c r="I2416" t="s">
        <v>16</v>
      </c>
      <c r="J2416" t="s">
        <v>17</v>
      </c>
      <c r="K2416">
        <v>4</v>
      </c>
      <c r="L2416">
        <v>20</v>
      </c>
      <c r="M2416">
        <v>80</v>
      </c>
      <c r="N2416">
        <f>IF(COUNTIFS($B$2:B2416,B2416)=1,1,0)</f>
        <v>0</v>
      </c>
    </row>
    <row r="2417" spans="1:14" x14ac:dyDescent="0.2">
      <c r="A2417">
        <v>2416</v>
      </c>
      <c r="B2417">
        <v>2222</v>
      </c>
      <c r="C2417">
        <f>1/COUNTIF(B:B,Table1[[#This Row],[order_id]])</f>
        <v>0.33333333333333331</v>
      </c>
      <c r="D2417" t="str">
        <f>TEXT(Table1[[#This Row],[order_date]],"mmmm")</f>
        <v>July</v>
      </c>
      <c r="E2417" s="1">
        <v>45480</v>
      </c>
      <c r="F2417" s="1" t="str">
        <f>TEXT(Table1[[#This Row],[order_date]],"dddd")</f>
        <v>Sunday</v>
      </c>
      <c r="G2417">
        <f>HOUR(Table1[[#This Row],[order_time]])</f>
        <v>20</v>
      </c>
      <c r="H2417" s="2">
        <v>0.86342592592592593</v>
      </c>
      <c r="I2417" t="s">
        <v>18</v>
      </c>
      <c r="J2417" t="s">
        <v>31</v>
      </c>
      <c r="K2417">
        <v>2</v>
      </c>
      <c r="L2417">
        <v>45</v>
      </c>
      <c r="M2417">
        <v>90</v>
      </c>
      <c r="N2417">
        <f>IF(COUNTIFS($B$2:B2417,B2417)=1,1,0)</f>
        <v>1</v>
      </c>
    </row>
    <row r="2418" spans="1:14" x14ac:dyDescent="0.2">
      <c r="A2418">
        <v>2417</v>
      </c>
      <c r="B2418">
        <v>2222</v>
      </c>
      <c r="C2418">
        <f>1/COUNTIF(B:B,Table1[[#This Row],[order_id]])</f>
        <v>0.33333333333333331</v>
      </c>
      <c r="D2418" t="str">
        <f>TEXT(Table1[[#This Row],[order_date]],"mmmm")</f>
        <v>July</v>
      </c>
      <c r="E2418" s="1">
        <v>45480</v>
      </c>
      <c r="F2418" s="1" t="str">
        <f>TEXT(Table1[[#This Row],[order_date]],"dddd")</f>
        <v>Sunday</v>
      </c>
      <c r="G2418">
        <f>HOUR(Table1[[#This Row],[order_time]])</f>
        <v>15</v>
      </c>
      <c r="H2418" s="2">
        <v>0.64780092592592597</v>
      </c>
      <c r="I2418" t="s">
        <v>18</v>
      </c>
      <c r="J2418" t="s">
        <v>26</v>
      </c>
      <c r="K2418">
        <v>1</v>
      </c>
      <c r="L2418">
        <v>55</v>
      </c>
      <c r="M2418">
        <v>55</v>
      </c>
      <c r="N2418">
        <f>IF(COUNTIFS($B$2:B2418,B2418)=1,1,0)</f>
        <v>0</v>
      </c>
    </row>
    <row r="2419" spans="1:14" x14ac:dyDescent="0.2">
      <c r="A2419">
        <v>2418</v>
      </c>
      <c r="B2419">
        <v>2222</v>
      </c>
      <c r="C2419">
        <f>1/COUNTIF(B:B,Table1[[#This Row],[order_id]])</f>
        <v>0.33333333333333331</v>
      </c>
      <c r="D2419" t="str">
        <f>TEXT(Table1[[#This Row],[order_date]],"mmmm")</f>
        <v>July</v>
      </c>
      <c r="E2419" s="1">
        <v>45480</v>
      </c>
      <c r="F2419" s="1" t="str">
        <f>TEXT(Table1[[#This Row],[order_date]],"dddd")</f>
        <v>Sunday</v>
      </c>
      <c r="G2419">
        <f>HOUR(Table1[[#This Row],[order_time]])</f>
        <v>9</v>
      </c>
      <c r="H2419" s="2">
        <v>0.39449074074074075</v>
      </c>
      <c r="I2419" t="s">
        <v>11</v>
      </c>
      <c r="J2419" t="s">
        <v>25</v>
      </c>
      <c r="K2419">
        <v>4</v>
      </c>
      <c r="L2419">
        <v>1000</v>
      </c>
      <c r="M2419">
        <v>4000</v>
      </c>
      <c r="N2419">
        <f>IF(COUNTIFS($B$2:B2419,B2419)=1,1,0)</f>
        <v>0</v>
      </c>
    </row>
    <row r="2420" spans="1:14" x14ac:dyDescent="0.2">
      <c r="A2420">
        <v>2419</v>
      </c>
      <c r="B2420">
        <v>2223</v>
      </c>
      <c r="C2420">
        <f>1/COUNTIF(B:B,Table1[[#This Row],[order_id]])</f>
        <v>0.33333333333333331</v>
      </c>
      <c r="D2420" t="str">
        <f>TEXT(Table1[[#This Row],[order_date]],"mmmm")</f>
        <v>July</v>
      </c>
      <c r="E2420" s="1">
        <v>45480</v>
      </c>
      <c r="F2420" s="1" t="str">
        <f>TEXT(Table1[[#This Row],[order_date]],"dddd")</f>
        <v>Sunday</v>
      </c>
      <c r="G2420">
        <f>HOUR(Table1[[#This Row],[order_time]])</f>
        <v>14</v>
      </c>
      <c r="H2420" s="2">
        <v>0.58826388888888892</v>
      </c>
      <c r="I2420" t="s">
        <v>18</v>
      </c>
      <c r="J2420" t="s">
        <v>30</v>
      </c>
      <c r="K2420">
        <v>4</v>
      </c>
      <c r="L2420">
        <v>60</v>
      </c>
      <c r="M2420">
        <v>240</v>
      </c>
      <c r="N2420">
        <f>IF(COUNTIFS($B$2:B2420,B2420)=1,1,0)</f>
        <v>1</v>
      </c>
    </row>
    <row r="2421" spans="1:14" x14ac:dyDescent="0.2">
      <c r="A2421">
        <v>2420</v>
      </c>
      <c r="B2421">
        <v>2223</v>
      </c>
      <c r="C2421">
        <f>1/COUNTIF(B:B,Table1[[#This Row],[order_id]])</f>
        <v>0.33333333333333331</v>
      </c>
      <c r="D2421" t="str">
        <f>TEXT(Table1[[#This Row],[order_date]],"mmmm")</f>
        <v>July</v>
      </c>
      <c r="E2421" s="1">
        <v>45480</v>
      </c>
      <c r="F2421" s="1" t="str">
        <f>TEXT(Table1[[#This Row],[order_date]],"dddd")</f>
        <v>Sunday</v>
      </c>
      <c r="G2421">
        <f>HOUR(Table1[[#This Row],[order_time]])</f>
        <v>13</v>
      </c>
      <c r="H2421" s="2">
        <v>0.57967592592592587</v>
      </c>
      <c r="I2421" t="s">
        <v>16</v>
      </c>
      <c r="J2421" t="s">
        <v>23</v>
      </c>
      <c r="K2421">
        <v>3</v>
      </c>
      <c r="L2421">
        <v>30</v>
      </c>
      <c r="M2421">
        <v>90</v>
      </c>
      <c r="N2421">
        <f>IF(COUNTIFS($B$2:B2421,B2421)=1,1,0)</f>
        <v>0</v>
      </c>
    </row>
    <row r="2422" spans="1:14" x14ac:dyDescent="0.2">
      <c r="A2422">
        <v>2421</v>
      </c>
      <c r="B2422">
        <v>2223</v>
      </c>
      <c r="C2422">
        <f>1/COUNTIF(B:B,Table1[[#This Row],[order_id]])</f>
        <v>0.33333333333333331</v>
      </c>
      <c r="D2422" t="str">
        <f>TEXT(Table1[[#This Row],[order_date]],"mmmm")</f>
        <v>July</v>
      </c>
      <c r="E2422" s="1">
        <v>45480</v>
      </c>
      <c r="F2422" s="1" t="str">
        <f>TEXT(Table1[[#This Row],[order_date]],"dddd")</f>
        <v>Sunday</v>
      </c>
      <c r="G2422">
        <f>HOUR(Table1[[#This Row],[order_time]])</f>
        <v>11</v>
      </c>
      <c r="H2422" s="2">
        <v>0.48254629629629631</v>
      </c>
      <c r="I2422" t="s">
        <v>9</v>
      </c>
      <c r="J2422" t="s">
        <v>22</v>
      </c>
      <c r="K2422">
        <v>3</v>
      </c>
      <c r="L2422">
        <v>15</v>
      </c>
      <c r="M2422">
        <v>45</v>
      </c>
      <c r="N2422">
        <f>IF(COUNTIFS($B$2:B2422,B2422)=1,1,0)</f>
        <v>0</v>
      </c>
    </row>
    <row r="2423" spans="1:14" x14ac:dyDescent="0.2">
      <c r="A2423">
        <v>2422</v>
      </c>
      <c r="B2423">
        <v>2224</v>
      </c>
      <c r="C2423">
        <f>1/COUNTIF(B:B,Table1[[#This Row],[order_id]])</f>
        <v>0.5</v>
      </c>
      <c r="D2423" t="str">
        <f>TEXT(Table1[[#This Row],[order_date]],"mmmm")</f>
        <v>July</v>
      </c>
      <c r="E2423" s="1">
        <v>45480</v>
      </c>
      <c r="F2423" s="1" t="str">
        <f>TEXT(Table1[[#This Row],[order_date]],"dddd")</f>
        <v>Sunday</v>
      </c>
      <c r="G2423">
        <f>HOUR(Table1[[#This Row],[order_time]])</f>
        <v>12</v>
      </c>
      <c r="H2423" s="2">
        <v>0.54009259259259257</v>
      </c>
      <c r="I2423" t="s">
        <v>11</v>
      </c>
      <c r="J2423" t="s">
        <v>13</v>
      </c>
      <c r="K2423">
        <v>4</v>
      </c>
      <c r="L2423">
        <v>680</v>
      </c>
      <c r="M2423">
        <v>2720</v>
      </c>
      <c r="N2423">
        <f>IF(COUNTIFS($B$2:B2423,B2423)=1,1,0)</f>
        <v>1</v>
      </c>
    </row>
    <row r="2424" spans="1:14" x14ac:dyDescent="0.2">
      <c r="A2424">
        <v>2423</v>
      </c>
      <c r="B2424">
        <v>2224</v>
      </c>
      <c r="C2424">
        <f>1/COUNTIF(B:B,Table1[[#This Row],[order_id]])</f>
        <v>0.5</v>
      </c>
      <c r="D2424" t="str">
        <f>TEXT(Table1[[#This Row],[order_date]],"mmmm")</f>
        <v>July</v>
      </c>
      <c r="E2424" s="1">
        <v>45480</v>
      </c>
      <c r="F2424" s="1" t="str">
        <f>TEXT(Table1[[#This Row],[order_date]],"dddd")</f>
        <v>Sunday</v>
      </c>
      <c r="G2424">
        <f>HOUR(Table1[[#This Row],[order_time]])</f>
        <v>10</v>
      </c>
      <c r="H2424" s="2">
        <v>0.43708333333333332</v>
      </c>
      <c r="I2424" t="s">
        <v>9</v>
      </c>
      <c r="J2424" t="s">
        <v>29</v>
      </c>
      <c r="K2424">
        <v>1</v>
      </c>
      <c r="L2424">
        <v>5</v>
      </c>
      <c r="M2424">
        <v>5</v>
      </c>
      <c r="N2424">
        <f>IF(COUNTIFS($B$2:B2424,B2424)=1,1,0)</f>
        <v>0</v>
      </c>
    </row>
    <row r="2425" spans="1:14" x14ac:dyDescent="0.2">
      <c r="A2425">
        <v>2424</v>
      </c>
      <c r="B2425">
        <v>2225</v>
      </c>
      <c r="C2425">
        <f>1/COUNTIF(B:B,Table1[[#This Row],[order_id]])</f>
        <v>0.5</v>
      </c>
      <c r="D2425" t="str">
        <f>TEXT(Table1[[#This Row],[order_date]],"mmmm")</f>
        <v>July</v>
      </c>
      <c r="E2425" s="1">
        <v>45480</v>
      </c>
      <c r="F2425" s="1" t="str">
        <f>TEXT(Table1[[#This Row],[order_date]],"dddd")</f>
        <v>Sunday</v>
      </c>
      <c r="G2425">
        <f>HOUR(Table1[[#This Row],[order_time]])</f>
        <v>18</v>
      </c>
      <c r="H2425" s="2">
        <v>0.75396990740740744</v>
      </c>
      <c r="I2425" t="s">
        <v>9</v>
      </c>
      <c r="J2425" t="s">
        <v>22</v>
      </c>
      <c r="K2425">
        <v>4</v>
      </c>
      <c r="L2425">
        <v>15</v>
      </c>
      <c r="M2425">
        <v>60</v>
      </c>
      <c r="N2425">
        <f>IF(COUNTIFS($B$2:B2425,B2425)=1,1,0)</f>
        <v>1</v>
      </c>
    </row>
    <row r="2426" spans="1:14" x14ac:dyDescent="0.2">
      <c r="A2426">
        <v>2425</v>
      </c>
      <c r="B2426">
        <v>2225</v>
      </c>
      <c r="C2426">
        <f>1/COUNTIF(B:B,Table1[[#This Row],[order_id]])</f>
        <v>0.5</v>
      </c>
      <c r="D2426" t="str">
        <f>TEXT(Table1[[#This Row],[order_date]],"mmmm")</f>
        <v>July</v>
      </c>
      <c r="E2426" s="1">
        <v>45480</v>
      </c>
      <c r="F2426" s="1" t="str">
        <f>TEXT(Table1[[#This Row],[order_date]],"dddd")</f>
        <v>Sunday</v>
      </c>
      <c r="G2426">
        <f>HOUR(Table1[[#This Row],[order_time]])</f>
        <v>14</v>
      </c>
      <c r="H2426" s="2">
        <v>0.59516203703703707</v>
      </c>
      <c r="I2426" t="s">
        <v>18</v>
      </c>
      <c r="J2426" t="s">
        <v>27</v>
      </c>
      <c r="K2426">
        <v>1</v>
      </c>
      <c r="L2426">
        <v>40</v>
      </c>
      <c r="M2426">
        <v>40</v>
      </c>
      <c r="N2426">
        <f>IF(COUNTIFS($B$2:B2426,B2426)=1,1,0)</f>
        <v>0</v>
      </c>
    </row>
    <row r="2427" spans="1:14" x14ac:dyDescent="0.2">
      <c r="A2427">
        <v>2426</v>
      </c>
      <c r="B2427">
        <v>2226</v>
      </c>
      <c r="C2427">
        <f>1/COUNTIF(B:B,Table1[[#This Row],[order_id]])</f>
        <v>0.5</v>
      </c>
      <c r="D2427" t="str">
        <f>TEXT(Table1[[#This Row],[order_date]],"mmmm")</f>
        <v>July</v>
      </c>
      <c r="E2427" s="1">
        <v>45481</v>
      </c>
      <c r="F2427" s="1" t="str">
        <f>TEXT(Table1[[#This Row],[order_date]],"dddd")</f>
        <v>Monday</v>
      </c>
      <c r="G2427">
        <f>HOUR(Table1[[#This Row],[order_time]])</f>
        <v>18</v>
      </c>
      <c r="H2427" s="2">
        <v>0.78902777777777777</v>
      </c>
      <c r="I2427" t="s">
        <v>9</v>
      </c>
      <c r="J2427" t="s">
        <v>29</v>
      </c>
      <c r="K2427">
        <v>2</v>
      </c>
      <c r="L2427">
        <v>5</v>
      </c>
      <c r="M2427">
        <v>10</v>
      </c>
      <c r="N2427">
        <f>IF(COUNTIFS($B$2:B2427,B2427)=1,1,0)</f>
        <v>1</v>
      </c>
    </row>
    <row r="2428" spans="1:14" x14ac:dyDescent="0.2">
      <c r="A2428">
        <v>2427</v>
      </c>
      <c r="B2428">
        <v>2226</v>
      </c>
      <c r="C2428">
        <f>1/COUNTIF(B:B,Table1[[#This Row],[order_id]])</f>
        <v>0.5</v>
      </c>
      <c r="D2428" t="str">
        <f>TEXT(Table1[[#This Row],[order_date]],"mmmm")</f>
        <v>July</v>
      </c>
      <c r="E2428" s="1">
        <v>45481</v>
      </c>
      <c r="F2428" s="1" t="str">
        <f>TEXT(Table1[[#This Row],[order_date]],"dddd")</f>
        <v>Monday</v>
      </c>
      <c r="G2428">
        <f>HOUR(Table1[[#This Row],[order_time]])</f>
        <v>9</v>
      </c>
      <c r="H2428" s="2">
        <v>0.37725694444444446</v>
      </c>
      <c r="I2428" t="s">
        <v>11</v>
      </c>
      <c r="J2428" t="s">
        <v>25</v>
      </c>
      <c r="K2428">
        <v>1</v>
      </c>
      <c r="L2428">
        <v>1000</v>
      </c>
      <c r="M2428">
        <v>1000</v>
      </c>
      <c r="N2428">
        <f>IF(COUNTIFS($B$2:B2428,B2428)=1,1,0)</f>
        <v>0</v>
      </c>
    </row>
    <row r="2429" spans="1:14" x14ac:dyDescent="0.2">
      <c r="A2429">
        <v>2428</v>
      </c>
      <c r="B2429">
        <v>2227</v>
      </c>
      <c r="C2429">
        <f>1/COUNTIF(B:B,Table1[[#This Row],[order_id]])</f>
        <v>1</v>
      </c>
      <c r="D2429" t="str">
        <f>TEXT(Table1[[#This Row],[order_date]],"mmmm")</f>
        <v>July</v>
      </c>
      <c r="E2429" s="1">
        <v>45481</v>
      </c>
      <c r="F2429" s="1" t="str">
        <f>TEXT(Table1[[#This Row],[order_date]],"dddd")</f>
        <v>Monday</v>
      </c>
      <c r="G2429">
        <f>HOUR(Table1[[#This Row],[order_time]])</f>
        <v>18</v>
      </c>
      <c r="H2429" s="2">
        <v>0.7584143518518518</v>
      </c>
      <c r="I2429" t="s">
        <v>11</v>
      </c>
      <c r="J2429" t="s">
        <v>14</v>
      </c>
      <c r="K2429">
        <v>2</v>
      </c>
      <c r="L2429">
        <v>700</v>
      </c>
      <c r="M2429">
        <v>1400</v>
      </c>
      <c r="N2429">
        <f>IF(COUNTIFS($B$2:B2429,B2429)=1,1,0)</f>
        <v>1</v>
      </c>
    </row>
    <row r="2430" spans="1:14" x14ac:dyDescent="0.2">
      <c r="A2430">
        <v>2429</v>
      </c>
      <c r="B2430">
        <v>2228</v>
      </c>
      <c r="C2430">
        <f>1/COUNTIF(B:B,Table1[[#This Row],[order_id]])</f>
        <v>0.33333333333333331</v>
      </c>
      <c r="D2430" t="str">
        <f>TEXT(Table1[[#This Row],[order_date]],"mmmm")</f>
        <v>July</v>
      </c>
      <c r="E2430" s="1">
        <v>45481</v>
      </c>
      <c r="F2430" s="1" t="str">
        <f>TEXT(Table1[[#This Row],[order_date]],"dddd")</f>
        <v>Monday</v>
      </c>
      <c r="G2430">
        <f>HOUR(Table1[[#This Row],[order_time]])</f>
        <v>11</v>
      </c>
      <c r="H2430" s="2">
        <v>0.46211805555555557</v>
      </c>
      <c r="I2430" t="s">
        <v>16</v>
      </c>
      <c r="J2430" t="s">
        <v>17</v>
      </c>
      <c r="K2430">
        <v>2</v>
      </c>
      <c r="L2430">
        <v>20</v>
      </c>
      <c r="M2430">
        <v>40</v>
      </c>
      <c r="N2430">
        <f>IF(COUNTIFS($B$2:B2430,B2430)=1,1,0)</f>
        <v>1</v>
      </c>
    </row>
    <row r="2431" spans="1:14" x14ac:dyDescent="0.2">
      <c r="A2431">
        <v>2430</v>
      </c>
      <c r="B2431">
        <v>2228</v>
      </c>
      <c r="C2431">
        <f>1/COUNTIF(B:B,Table1[[#This Row],[order_id]])</f>
        <v>0.33333333333333331</v>
      </c>
      <c r="D2431" t="str">
        <f>TEXT(Table1[[#This Row],[order_date]],"mmmm")</f>
        <v>July</v>
      </c>
      <c r="E2431" s="1">
        <v>45481</v>
      </c>
      <c r="F2431" s="1" t="str">
        <f>TEXT(Table1[[#This Row],[order_date]],"dddd")</f>
        <v>Monday</v>
      </c>
      <c r="G2431">
        <f>HOUR(Table1[[#This Row],[order_time]])</f>
        <v>10</v>
      </c>
      <c r="H2431" s="2">
        <v>0.42040509259259257</v>
      </c>
      <c r="I2431" t="s">
        <v>11</v>
      </c>
      <c r="J2431" t="s">
        <v>25</v>
      </c>
      <c r="K2431">
        <v>5</v>
      </c>
      <c r="L2431">
        <v>1000</v>
      </c>
      <c r="M2431">
        <v>5000</v>
      </c>
      <c r="N2431">
        <f>IF(COUNTIFS($B$2:B2431,B2431)=1,1,0)</f>
        <v>0</v>
      </c>
    </row>
    <row r="2432" spans="1:14" x14ac:dyDescent="0.2">
      <c r="A2432">
        <v>2431</v>
      </c>
      <c r="B2432">
        <v>2228</v>
      </c>
      <c r="C2432">
        <f>1/COUNTIF(B:B,Table1[[#This Row],[order_id]])</f>
        <v>0.33333333333333331</v>
      </c>
      <c r="D2432" t="str">
        <f>TEXT(Table1[[#This Row],[order_date]],"mmmm")</f>
        <v>July</v>
      </c>
      <c r="E2432" s="1">
        <v>45481</v>
      </c>
      <c r="F2432" s="1" t="str">
        <f>TEXT(Table1[[#This Row],[order_date]],"dddd")</f>
        <v>Monday</v>
      </c>
      <c r="G2432">
        <f>HOUR(Table1[[#This Row],[order_time]])</f>
        <v>15</v>
      </c>
      <c r="H2432" s="2">
        <v>0.66230324074074076</v>
      </c>
      <c r="I2432" t="s">
        <v>16</v>
      </c>
      <c r="J2432" t="s">
        <v>23</v>
      </c>
      <c r="K2432">
        <v>2</v>
      </c>
      <c r="L2432">
        <v>30</v>
      </c>
      <c r="M2432">
        <v>60</v>
      </c>
      <c r="N2432">
        <f>IF(COUNTIFS($B$2:B2432,B2432)=1,1,0)</f>
        <v>0</v>
      </c>
    </row>
    <row r="2433" spans="1:14" x14ac:dyDescent="0.2">
      <c r="A2433">
        <v>2432</v>
      </c>
      <c r="B2433">
        <v>2229</v>
      </c>
      <c r="C2433">
        <f>1/COUNTIF(B:B,Table1[[#This Row],[order_id]])</f>
        <v>0.5</v>
      </c>
      <c r="D2433" t="str">
        <f>TEXT(Table1[[#This Row],[order_date]],"mmmm")</f>
        <v>July</v>
      </c>
      <c r="E2433" s="1">
        <v>45481</v>
      </c>
      <c r="F2433" s="1" t="str">
        <f>TEXT(Table1[[#This Row],[order_date]],"dddd")</f>
        <v>Monday</v>
      </c>
      <c r="G2433">
        <f>HOUR(Table1[[#This Row],[order_time]])</f>
        <v>18</v>
      </c>
      <c r="H2433" s="2">
        <v>0.75664351851851852</v>
      </c>
      <c r="I2433" t="s">
        <v>11</v>
      </c>
      <c r="J2433" t="s">
        <v>12</v>
      </c>
      <c r="K2433">
        <v>4</v>
      </c>
      <c r="L2433">
        <v>650</v>
      </c>
      <c r="M2433">
        <v>2600</v>
      </c>
      <c r="N2433">
        <f>IF(COUNTIFS($B$2:B2433,B2433)=1,1,0)</f>
        <v>1</v>
      </c>
    </row>
    <row r="2434" spans="1:14" x14ac:dyDescent="0.2">
      <c r="A2434">
        <v>2433</v>
      </c>
      <c r="B2434">
        <v>2229</v>
      </c>
      <c r="C2434">
        <f>1/COUNTIF(B:B,Table1[[#This Row],[order_id]])</f>
        <v>0.5</v>
      </c>
      <c r="D2434" t="str">
        <f>TEXT(Table1[[#This Row],[order_date]],"mmmm")</f>
        <v>July</v>
      </c>
      <c r="E2434" s="1">
        <v>45481</v>
      </c>
      <c r="F2434" s="1" t="str">
        <f>TEXT(Table1[[#This Row],[order_date]],"dddd")</f>
        <v>Monday</v>
      </c>
      <c r="G2434">
        <f>HOUR(Table1[[#This Row],[order_time]])</f>
        <v>18</v>
      </c>
      <c r="H2434" s="2">
        <v>0.78986111111111112</v>
      </c>
      <c r="I2434" t="s">
        <v>9</v>
      </c>
      <c r="J2434" t="s">
        <v>20</v>
      </c>
      <c r="K2434">
        <v>2</v>
      </c>
      <c r="L2434">
        <v>25</v>
      </c>
      <c r="M2434">
        <v>50</v>
      </c>
      <c r="N2434">
        <f>IF(COUNTIFS($B$2:B2434,B2434)=1,1,0)</f>
        <v>0</v>
      </c>
    </row>
    <row r="2435" spans="1:14" x14ac:dyDescent="0.2">
      <c r="A2435">
        <v>2434</v>
      </c>
      <c r="B2435">
        <v>2230</v>
      </c>
      <c r="C2435">
        <f>1/COUNTIF(B:B,Table1[[#This Row],[order_id]])</f>
        <v>0.33333333333333331</v>
      </c>
      <c r="D2435" t="str">
        <f>TEXT(Table1[[#This Row],[order_date]],"mmmm")</f>
        <v>July</v>
      </c>
      <c r="E2435" s="1">
        <v>45481</v>
      </c>
      <c r="F2435" s="1" t="str">
        <f>TEXT(Table1[[#This Row],[order_date]],"dddd")</f>
        <v>Monday</v>
      </c>
      <c r="G2435">
        <f>HOUR(Table1[[#This Row],[order_time]])</f>
        <v>10</v>
      </c>
      <c r="H2435" s="2">
        <v>0.4387847222222222</v>
      </c>
      <c r="I2435" t="s">
        <v>18</v>
      </c>
      <c r="J2435" t="s">
        <v>30</v>
      </c>
      <c r="K2435">
        <v>5</v>
      </c>
      <c r="L2435">
        <v>60</v>
      </c>
      <c r="M2435">
        <v>300</v>
      </c>
      <c r="N2435">
        <f>IF(COUNTIFS($B$2:B2435,B2435)=1,1,0)</f>
        <v>1</v>
      </c>
    </row>
    <row r="2436" spans="1:14" x14ac:dyDescent="0.2">
      <c r="A2436">
        <v>2435</v>
      </c>
      <c r="B2436">
        <v>2230</v>
      </c>
      <c r="C2436">
        <f>1/COUNTIF(B:B,Table1[[#This Row],[order_id]])</f>
        <v>0.33333333333333331</v>
      </c>
      <c r="D2436" t="str">
        <f>TEXT(Table1[[#This Row],[order_date]],"mmmm")</f>
        <v>July</v>
      </c>
      <c r="E2436" s="1">
        <v>45481</v>
      </c>
      <c r="F2436" s="1" t="str">
        <f>TEXT(Table1[[#This Row],[order_date]],"dddd")</f>
        <v>Monday</v>
      </c>
      <c r="G2436">
        <f>HOUR(Table1[[#This Row],[order_time]])</f>
        <v>10</v>
      </c>
      <c r="H2436" s="2">
        <v>0.42574074074074075</v>
      </c>
      <c r="I2436" t="s">
        <v>18</v>
      </c>
      <c r="J2436" t="s">
        <v>31</v>
      </c>
      <c r="K2436">
        <v>4</v>
      </c>
      <c r="L2436">
        <v>45</v>
      </c>
      <c r="M2436">
        <v>180</v>
      </c>
      <c r="N2436">
        <f>IF(COUNTIFS($B$2:B2436,B2436)=1,1,0)</f>
        <v>0</v>
      </c>
    </row>
    <row r="2437" spans="1:14" x14ac:dyDescent="0.2">
      <c r="A2437">
        <v>2436</v>
      </c>
      <c r="B2437">
        <v>2230</v>
      </c>
      <c r="C2437">
        <f>1/COUNTIF(B:B,Table1[[#This Row],[order_id]])</f>
        <v>0.33333333333333331</v>
      </c>
      <c r="D2437" t="str">
        <f>TEXT(Table1[[#This Row],[order_date]],"mmmm")</f>
        <v>July</v>
      </c>
      <c r="E2437" s="1">
        <v>45481</v>
      </c>
      <c r="F2437" s="1" t="str">
        <f>TEXT(Table1[[#This Row],[order_date]],"dddd")</f>
        <v>Monday</v>
      </c>
      <c r="G2437">
        <f>HOUR(Table1[[#This Row],[order_time]])</f>
        <v>11</v>
      </c>
      <c r="H2437" s="2">
        <v>0.47225694444444444</v>
      </c>
      <c r="I2437" t="s">
        <v>9</v>
      </c>
      <c r="J2437" t="s">
        <v>10</v>
      </c>
      <c r="K2437">
        <v>5</v>
      </c>
      <c r="L2437">
        <v>20</v>
      </c>
      <c r="M2437">
        <v>100</v>
      </c>
      <c r="N2437">
        <f>IF(COUNTIFS($B$2:B2437,B2437)=1,1,0)</f>
        <v>0</v>
      </c>
    </row>
    <row r="2438" spans="1:14" x14ac:dyDescent="0.2">
      <c r="A2438">
        <v>2437</v>
      </c>
      <c r="B2438">
        <v>2231</v>
      </c>
      <c r="C2438">
        <f>1/COUNTIF(B:B,Table1[[#This Row],[order_id]])</f>
        <v>0.33333333333333331</v>
      </c>
      <c r="D2438" t="str">
        <f>TEXT(Table1[[#This Row],[order_date]],"mmmm")</f>
        <v>July</v>
      </c>
      <c r="E2438" s="1">
        <v>45481</v>
      </c>
      <c r="F2438" s="1" t="str">
        <f>TEXT(Table1[[#This Row],[order_date]],"dddd")</f>
        <v>Monday</v>
      </c>
      <c r="G2438">
        <f>HOUR(Table1[[#This Row],[order_time]])</f>
        <v>19</v>
      </c>
      <c r="H2438" s="2">
        <v>0.79936342592592591</v>
      </c>
      <c r="I2438" t="s">
        <v>11</v>
      </c>
      <c r="J2438" t="s">
        <v>12</v>
      </c>
      <c r="K2438">
        <v>3</v>
      </c>
      <c r="L2438">
        <v>650</v>
      </c>
      <c r="M2438">
        <v>1950</v>
      </c>
      <c r="N2438">
        <f>IF(COUNTIFS($B$2:B2438,B2438)=1,1,0)</f>
        <v>1</v>
      </c>
    </row>
    <row r="2439" spans="1:14" x14ac:dyDescent="0.2">
      <c r="A2439">
        <v>2438</v>
      </c>
      <c r="B2439">
        <v>2231</v>
      </c>
      <c r="C2439">
        <f>1/COUNTIF(B:B,Table1[[#This Row],[order_id]])</f>
        <v>0.33333333333333331</v>
      </c>
      <c r="D2439" t="str">
        <f>TEXT(Table1[[#This Row],[order_date]],"mmmm")</f>
        <v>July</v>
      </c>
      <c r="E2439" s="1">
        <v>45481</v>
      </c>
      <c r="F2439" s="1" t="str">
        <f>TEXT(Table1[[#This Row],[order_date]],"dddd")</f>
        <v>Monday</v>
      </c>
      <c r="G2439">
        <f>HOUR(Table1[[#This Row],[order_time]])</f>
        <v>20</v>
      </c>
      <c r="H2439" s="2">
        <v>0.85758101851851853</v>
      </c>
      <c r="I2439" t="s">
        <v>9</v>
      </c>
      <c r="J2439" t="s">
        <v>22</v>
      </c>
      <c r="K2439">
        <v>1</v>
      </c>
      <c r="L2439">
        <v>15</v>
      </c>
      <c r="M2439">
        <v>15</v>
      </c>
      <c r="N2439">
        <f>IF(COUNTIFS($B$2:B2439,B2439)=1,1,0)</f>
        <v>0</v>
      </c>
    </row>
    <row r="2440" spans="1:14" x14ac:dyDescent="0.2">
      <c r="A2440">
        <v>2439</v>
      </c>
      <c r="B2440">
        <v>2231</v>
      </c>
      <c r="C2440">
        <f>1/COUNTIF(B:B,Table1[[#This Row],[order_id]])</f>
        <v>0.33333333333333331</v>
      </c>
      <c r="D2440" t="str">
        <f>TEXT(Table1[[#This Row],[order_date]],"mmmm")</f>
        <v>July</v>
      </c>
      <c r="E2440" s="1">
        <v>45481</v>
      </c>
      <c r="F2440" s="1" t="str">
        <f>TEXT(Table1[[#This Row],[order_date]],"dddd")</f>
        <v>Monday</v>
      </c>
      <c r="G2440">
        <f>HOUR(Table1[[#This Row],[order_time]])</f>
        <v>20</v>
      </c>
      <c r="H2440" s="2">
        <v>0.8681712962962963</v>
      </c>
      <c r="I2440" t="s">
        <v>18</v>
      </c>
      <c r="J2440" t="s">
        <v>31</v>
      </c>
      <c r="K2440">
        <v>5</v>
      </c>
      <c r="L2440">
        <v>45</v>
      </c>
      <c r="M2440">
        <v>225</v>
      </c>
      <c r="N2440">
        <f>IF(COUNTIFS($B$2:B2440,B2440)=1,1,0)</f>
        <v>0</v>
      </c>
    </row>
    <row r="2441" spans="1:14" x14ac:dyDescent="0.2">
      <c r="A2441">
        <v>2440</v>
      </c>
      <c r="B2441">
        <v>2232</v>
      </c>
      <c r="C2441">
        <f>1/COUNTIF(B:B,Table1[[#This Row],[order_id]])</f>
        <v>0.33333333333333331</v>
      </c>
      <c r="D2441" t="str">
        <f>TEXT(Table1[[#This Row],[order_date]],"mmmm")</f>
        <v>July</v>
      </c>
      <c r="E2441" s="1">
        <v>45481</v>
      </c>
      <c r="F2441" s="1" t="str">
        <f>TEXT(Table1[[#This Row],[order_date]],"dddd")</f>
        <v>Monday</v>
      </c>
      <c r="G2441">
        <f>HOUR(Table1[[#This Row],[order_time]])</f>
        <v>13</v>
      </c>
      <c r="H2441" s="2">
        <v>0.58116898148148144</v>
      </c>
      <c r="I2441" t="s">
        <v>9</v>
      </c>
      <c r="J2441" t="s">
        <v>10</v>
      </c>
      <c r="K2441">
        <v>3</v>
      </c>
      <c r="L2441">
        <v>20</v>
      </c>
      <c r="M2441">
        <v>60</v>
      </c>
      <c r="N2441">
        <f>IF(COUNTIFS($B$2:B2441,B2441)=1,1,0)</f>
        <v>1</v>
      </c>
    </row>
    <row r="2442" spans="1:14" x14ac:dyDescent="0.2">
      <c r="A2442">
        <v>2441</v>
      </c>
      <c r="B2442">
        <v>2232</v>
      </c>
      <c r="C2442">
        <f>1/COUNTIF(B:B,Table1[[#This Row],[order_id]])</f>
        <v>0.33333333333333331</v>
      </c>
      <c r="D2442" t="str">
        <f>TEXT(Table1[[#This Row],[order_date]],"mmmm")</f>
        <v>July</v>
      </c>
      <c r="E2442" s="1">
        <v>45481</v>
      </c>
      <c r="F2442" s="1" t="str">
        <f>TEXT(Table1[[#This Row],[order_date]],"dddd")</f>
        <v>Monday</v>
      </c>
      <c r="G2442">
        <f>HOUR(Table1[[#This Row],[order_time]])</f>
        <v>13</v>
      </c>
      <c r="H2442" s="2">
        <v>0.58211805555555551</v>
      </c>
      <c r="I2442" t="s">
        <v>16</v>
      </c>
      <c r="J2442" t="s">
        <v>23</v>
      </c>
      <c r="K2442">
        <v>3</v>
      </c>
      <c r="L2442">
        <v>30</v>
      </c>
      <c r="M2442">
        <v>90</v>
      </c>
      <c r="N2442">
        <f>IF(COUNTIFS($B$2:B2442,B2442)=1,1,0)</f>
        <v>0</v>
      </c>
    </row>
    <row r="2443" spans="1:14" x14ac:dyDescent="0.2">
      <c r="A2443">
        <v>2442</v>
      </c>
      <c r="B2443">
        <v>2232</v>
      </c>
      <c r="C2443">
        <f>1/COUNTIF(B:B,Table1[[#This Row],[order_id]])</f>
        <v>0.33333333333333331</v>
      </c>
      <c r="D2443" t="str">
        <f>TEXT(Table1[[#This Row],[order_date]],"mmmm")</f>
        <v>July</v>
      </c>
      <c r="E2443" s="1">
        <v>45481</v>
      </c>
      <c r="F2443" s="1" t="str">
        <f>TEXT(Table1[[#This Row],[order_date]],"dddd")</f>
        <v>Monday</v>
      </c>
      <c r="G2443">
        <f>HOUR(Table1[[#This Row],[order_time]])</f>
        <v>11</v>
      </c>
      <c r="H2443" s="2">
        <v>0.47265046296296298</v>
      </c>
      <c r="I2443" t="s">
        <v>18</v>
      </c>
      <c r="J2443" t="s">
        <v>19</v>
      </c>
      <c r="K2443">
        <v>1</v>
      </c>
      <c r="L2443">
        <v>50</v>
      </c>
      <c r="M2443">
        <v>50</v>
      </c>
      <c r="N2443">
        <f>IF(COUNTIFS($B$2:B2443,B2443)=1,1,0)</f>
        <v>0</v>
      </c>
    </row>
    <row r="2444" spans="1:14" x14ac:dyDescent="0.2">
      <c r="A2444">
        <v>2443</v>
      </c>
      <c r="B2444">
        <v>2233</v>
      </c>
      <c r="C2444">
        <f>1/COUNTIF(B:B,Table1[[#This Row],[order_id]])</f>
        <v>0.33333333333333331</v>
      </c>
      <c r="D2444" t="str">
        <f>TEXT(Table1[[#This Row],[order_date]],"mmmm")</f>
        <v>July</v>
      </c>
      <c r="E2444" s="1">
        <v>45481</v>
      </c>
      <c r="F2444" s="1" t="str">
        <f>TEXT(Table1[[#This Row],[order_date]],"dddd")</f>
        <v>Monday</v>
      </c>
      <c r="G2444">
        <f>HOUR(Table1[[#This Row],[order_time]])</f>
        <v>11</v>
      </c>
      <c r="H2444" s="2">
        <v>0.49912037037037038</v>
      </c>
      <c r="I2444" t="s">
        <v>11</v>
      </c>
      <c r="J2444" t="s">
        <v>14</v>
      </c>
      <c r="K2444">
        <v>2</v>
      </c>
      <c r="L2444">
        <v>700</v>
      </c>
      <c r="M2444">
        <v>1400</v>
      </c>
      <c r="N2444">
        <f>IF(COUNTIFS($B$2:B2444,B2444)=1,1,0)</f>
        <v>1</v>
      </c>
    </row>
    <row r="2445" spans="1:14" x14ac:dyDescent="0.2">
      <c r="A2445">
        <v>2444</v>
      </c>
      <c r="B2445">
        <v>2233</v>
      </c>
      <c r="C2445">
        <f>1/COUNTIF(B:B,Table1[[#This Row],[order_id]])</f>
        <v>0.33333333333333331</v>
      </c>
      <c r="D2445" t="str">
        <f>TEXT(Table1[[#This Row],[order_date]],"mmmm")</f>
        <v>July</v>
      </c>
      <c r="E2445" s="1">
        <v>45481</v>
      </c>
      <c r="F2445" s="1" t="str">
        <f>TEXT(Table1[[#This Row],[order_date]],"dddd")</f>
        <v>Monday</v>
      </c>
      <c r="G2445">
        <f>HOUR(Table1[[#This Row],[order_time]])</f>
        <v>20</v>
      </c>
      <c r="H2445" s="2">
        <v>0.86054398148148148</v>
      </c>
      <c r="I2445" t="s">
        <v>11</v>
      </c>
      <c r="J2445" t="s">
        <v>14</v>
      </c>
      <c r="K2445">
        <v>2</v>
      </c>
      <c r="L2445">
        <v>700</v>
      </c>
      <c r="M2445">
        <v>1400</v>
      </c>
      <c r="N2445">
        <f>IF(COUNTIFS($B$2:B2445,B2445)=1,1,0)</f>
        <v>0</v>
      </c>
    </row>
    <row r="2446" spans="1:14" x14ac:dyDescent="0.2">
      <c r="A2446">
        <v>2445</v>
      </c>
      <c r="B2446">
        <v>2233</v>
      </c>
      <c r="C2446">
        <f>1/COUNTIF(B:B,Table1[[#This Row],[order_id]])</f>
        <v>0.33333333333333331</v>
      </c>
      <c r="D2446" t="str">
        <f>TEXT(Table1[[#This Row],[order_date]],"mmmm")</f>
        <v>July</v>
      </c>
      <c r="E2446" s="1">
        <v>45481</v>
      </c>
      <c r="F2446" s="1" t="str">
        <f>TEXT(Table1[[#This Row],[order_date]],"dddd")</f>
        <v>Monday</v>
      </c>
      <c r="G2446">
        <f>HOUR(Table1[[#This Row],[order_time]])</f>
        <v>17</v>
      </c>
      <c r="H2446" s="2">
        <v>0.73728009259259264</v>
      </c>
      <c r="I2446" t="s">
        <v>18</v>
      </c>
      <c r="J2446" t="s">
        <v>26</v>
      </c>
      <c r="K2446">
        <v>4</v>
      </c>
      <c r="L2446">
        <v>55</v>
      </c>
      <c r="M2446">
        <v>220</v>
      </c>
      <c r="N2446">
        <f>IF(COUNTIFS($B$2:B2446,B2446)=1,1,0)</f>
        <v>0</v>
      </c>
    </row>
    <row r="2447" spans="1:14" x14ac:dyDescent="0.2">
      <c r="A2447">
        <v>2446</v>
      </c>
      <c r="B2447">
        <v>2234</v>
      </c>
      <c r="C2447">
        <f>1/COUNTIF(B:B,Table1[[#This Row],[order_id]])</f>
        <v>1</v>
      </c>
      <c r="D2447" t="str">
        <f>TEXT(Table1[[#This Row],[order_date]],"mmmm")</f>
        <v>July</v>
      </c>
      <c r="E2447" s="1">
        <v>45482</v>
      </c>
      <c r="F2447" s="1" t="str">
        <f>TEXT(Table1[[#This Row],[order_date]],"dddd")</f>
        <v>Tuesday</v>
      </c>
      <c r="G2447">
        <f>HOUR(Table1[[#This Row],[order_time]])</f>
        <v>18</v>
      </c>
      <c r="H2447" s="2">
        <v>0.77481481481481485</v>
      </c>
      <c r="I2447" t="s">
        <v>11</v>
      </c>
      <c r="J2447" t="s">
        <v>15</v>
      </c>
      <c r="K2447">
        <v>5</v>
      </c>
      <c r="L2447">
        <v>600</v>
      </c>
      <c r="M2447">
        <v>3000</v>
      </c>
      <c r="N2447">
        <f>IF(COUNTIFS($B$2:B2447,B2447)=1,1,0)</f>
        <v>1</v>
      </c>
    </row>
    <row r="2448" spans="1:14" x14ac:dyDescent="0.2">
      <c r="A2448">
        <v>2447</v>
      </c>
      <c r="B2448">
        <v>2235</v>
      </c>
      <c r="C2448">
        <f>1/COUNTIF(B:B,Table1[[#This Row],[order_id]])</f>
        <v>0.33333333333333331</v>
      </c>
      <c r="D2448" t="str">
        <f>TEXT(Table1[[#This Row],[order_date]],"mmmm")</f>
        <v>July</v>
      </c>
      <c r="E2448" s="1">
        <v>45482</v>
      </c>
      <c r="F2448" s="1" t="str">
        <f>TEXT(Table1[[#This Row],[order_date]],"dddd")</f>
        <v>Tuesday</v>
      </c>
      <c r="G2448">
        <f>HOUR(Table1[[#This Row],[order_time]])</f>
        <v>20</v>
      </c>
      <c r="H2448" s="2">
        <v>0.86603009259259256</v>
      </c>
      <c r="I2448" t="s">
        <v>11</v>
      </c>
      <c r="J2448" t="s">
        <v>15</v>
      </c>
      <c r="K2448">
        <v>5</v>
      </c>
      <c r="L2448">
        <v>600</v>
      </c>
      <c r="M2448">
        <v>3000</v>
      </c>
      <c r="N2448">
        <f>IF(COUNTIFS($B$2:B2448,B2448)=1,1,0)</f>
        <v>1</v>
      </c>
    </row>
    <row r="2449" spans="1:14" x14ac:dyDescent="0.2">
      <c r="A2449">
        <v>2448</v>
      </c>
      <c r="B2449">
        <v>2235</v>
      </c>
      <c r="C2449">
        <f>1/COUNTIF(B:B,Table1[[#This Row],[order_id]])</f>
        <v>0.33333333333333331</v>
      </c>
      <c r="D2449" t="str">
        <f>TEXT(Table1[[#This Row],[order_date]],"mmmm")</f>
        <v>July</v>
      </c>
      <c r="E2449" s="1">
        <v>45482</v>
      </c>
      <c r="F2449" s="1" t="str">
        <f>TEXT(Table1[[#This Row],[order_date]],"dddd")</f>
        <v>Tuesday</v>
      </c>
      <c r="G2449">
        <f>HOUR(Table1[[#This Row],[order_time]])</f>
        <v>12</v>
      </c>
      <c r="H2449" s="2">
        <v>0.54152777777777783</v>
      </c>
      <c r="I2449" t="s">
        <v>16</v>
      </c>
      <c r="J2449" t="s">
        <v>24</v>
      </c>
      <c r="K2449">
        <v>2</v>
      </c>
      <c r="L2449">
        <v>35</v>
      </c>
      <c r="M2449">
        <v>70</v>
      </c>
      <c r="N2449">
        <f>IF(COUNTIFS($B$2:B2449,B2449)=1,1,0)</f>
        <v>0</v>
      </c>
    </row>
    <row r="2450" spans="1:14" x14ac:dyDescent="0.2">
      <c r="A2450">
        <v>2449</v>
      </c>
      <c r="B2450">
        <v>2235</v>
      </c>
      <c r="C2450">
        <f>1/COUNTIF(B:B,Table1[[#This Row],[order_id]])</f>
        <v>0.33333333333333331</v>
      </c>
      <c r="D2450" t="str">
        <f>TEXT(Table1[[#This Row],[order_date]],"mmmm")</f>
        <v>July</v>
      </c>
      <c r="E2450" s="1">
        <v>45482</v>
      </c>
      <c r="F2450" s="1" t="str">
        <f>TEXT(Table1[[#This Row],[order_date]],"dddd")</f>
        <v>Tuesday</v>
      </c>
      <c r="G2450">
        <f>HOUR(Table1[[#This Row],[order_time]])</f>
        <v>12</v>
      </c>
      <c r="H2450" s="2">
        <v>0.51604166666666662</v>
      </c>
      <c r="I2450" t="s">
        <v>18</v>
      </c>
      <c r="J2450" t="s">
        <v>27</v>
      </c>
      <c r="K2450">
        <v>5</v>
      </c>
      <c r="L2450">
        <v>40</v>
      </c>
      <c r="M2450">
        <v>200</v>
      </c>
      <c r="N2450">
        <f>IF(COUNTIFS($B$2:B2450,B2450)=1,1,0)</f>
        <v>0</v>
      </c>
    </row>
    <row r="2451" spans="1:14" x14ac:dyDescent="0.2">
      <c r="A2451">
        <v>2450</v>
      </c>
      <c r="B2451">
        <v>2236</v>
      </c>
      <c r="C2451">
        <f>1/COUNTIF(B:B,Table1[[#This Row],[order_id]])</f>
        <v>0.33333333333333331</v>
      </c>
      <c r="D2451" t="str">
        <f>TEXT(Table1[[#This Row],[order_date]],"mmmm")</f>
        <v>July</v>
      </c>
      <c r="E2451" s="1">
        <v>45482</v>
      </c>
      <c r="F2451" s="1" t="str">
        <f>TEXT(Table1[[#This Row],[order_date]],"dddd")</f>
        <v>Tuesday</v>
      </c>
      <c r="G2451">
        <f>HOUR(Table1[[#This Row],[order_time]])</f>
        <v>17</v>
      </c>
      <c r="H2451" s="2">
        <v>0.7243518518518518</v>
      </c>
      <c r="I2451" t="s">
        <v>9</v>
      </c>
      <c r="J2451" t="s">
        <v>20</v>
      </c>
      <c r="K2451">
        <v>2</v>
      </c>
      <c r="L2451">
        <v>25</v>
      </c>
      <c r="M2451">
        <v>50</v>
      </c>
      <c r="N2451">
        <f>IF(COUNTIFS($B$2:B2451,B2451)=1,1,0)</f>
        <v>1</v>
      </c>
    </row>
    <row r="2452" spans="1:14" x14ac:dyDescent="0.2">
      <c r="A2452">
        <v>2451</v>
      </c>
      <c r="B2452">
        <v>2236</v>
      </c>
      <c r="C2452">
        <f>1/COUNTIF(B:B,Table1[[#This Row],[order_id]])</f>
        <v>0.33333333333333331</v>
      </c>
      <c r="D2452" t="str">
        <f>TEXT(Table1[[#This Row],[order_date]],"mmmm")</f>
        <v>July</v>
      </c>
      <c r="E2452" s="1">
        <v>45482</v>
      </c>
      <c r="F2452" s="1" t="str">
        <f>TEXT(Table1[[#This Row],[order_date]],"dddd")</f>
        <v>Tuesday</v>
      </c>
      <c r="G2452">
        <f>HOUR(Table1[[#This Row],[order_time]])</f>
        <v>19</v>
      </c>
      <c r="H2452" s="2">
        <v>0.80096064814814816</v>
      </c>
      <c r="I2452" t="s">
        <v>11</v>
      </c>
      <c r="J2452" t="s">
        <v>12</v>
      </c>
      <c r="K2452">
        <v>3</v>
      </c>
      <c r="L2452">
        <v>650</v>
      </c>
      <c r="M2452">
        <v>1950</v>
      </c>
      <c r="N2452">
        <f>IF(COUNTIFS($B$2:B2452,B2452)=1,1,0)</f>
        <v>0</v>
      </c>
    </row>
    <row r="2453" spans="1:14" x14ac:dyDescent="0.2">
      <c r="A2453">
        <v>2452</v>
      </c>
      <c r="B2453">
        <v>2236</v>
      </c>
      <c r="C2453">
        <f>1/COUNTIF(B:B,Table1[[#This Row],[order_id]])</f>
        <v>0.33333333333333331</v>
      </c>
      <c r="D2453" t="str">
        <f>TEXT(Table1[[#This Row],[order_date]],"mmmm")</f>
        <v>July</v>
      </c>
      <c r="E2453" s="1">
        <v>45482</v>
      </c>
      <c r="F2453" s="1" t="str">
        <f>TEXT(Table1[[#This Row],[order_date]],"dddd")</f>
        <v>Tuesday</v>
      </c>
      <c r="G2453">
        <f>HOUR(Table1[[#This Row],[order_time]])</f>
        <v>13</v>
      </c>
      <c r="H2453" s="2">
        <v>0.54469907407407403</v>
      </c>
      <c r="I2453" t="s">
        <v>16</v>
      </c>
      <c r="J2453" t="s">
        <v>24</v>
      </c>
      <c r="K2453">
        <v>5</v>
      </c>
      <c r="L2453">
        <v>35</v>
      </c>
      <c r="M2453">
        <v>175</v>
      </c>
      <c r="N2453">
        <f>IF(COUNTIFS($B$2:B2453,B2453)=1,1,0)</f>
        <v>0</v>
      </c>
    </row>
    <row r="2454" spans="1:14" x14ac:dyDescent="0.2">
      <c r="A2454">
        <v>2453</v>
      </c>
      <c r="B2454">
        <v>2237</v>
      </c>
      <c r="C2454">
        <f>1/COUNTIF(B:B,Table1[[#This Row],[order_id]])</f>
        <v>0.5</v>
      </c>
      <c r="D2454" t="str">
        <f>TEXT(Table1[[#This Row],[order_date]],"mmmm")</f>
        <v>July</v>
      </c>
      <c r="E2454" s="1">
        <v>45482</v>
      </c>
      <c r="F2454" s="1" t="str">
        <f>TEXT(Table1[[#This Row],[order_date]],"dddd")</f>
        <v>Tuesday</v>
      </c>
      <c r="G2454">
        <f>HOUR(Table1[[#This Row],[order_time]])</f>
        <v>15</v>
      </c>
      <c r="H2454" s="2">
        <v>0.62949074074074074</v>
      </c>
      <c r="I2454" t="s">
        <v>9</v>
      </c>
      <c r="J2454" t="s">
        <v>21</v>
      </c>
      <c r="K2454">
        <v>3</v>
      </c>
      <c r="L2454">
        <v>10</v>
      </c>
      <c r="M2454">
        <v>30</v>
      </c>
      <c r="N2454">
        <f>IF(COUNTIFS($B$2:B2454,B2454)=1,1,0)</f>
        <v>1</v>
      </c>
    </row>
    <row r="2455" spans="1:14" x14ac:dyDescent="0.2">
      <c r="A2455">
        <v>2454</v>
      </c>
      <c r="B2455">
        <v>2237</v>
      </c>
      <c r="C2455">
        <f>1/COUNTIF(B:B,Table1[[#This Row],[order_id]])</f>
        <v>0.5</v>
      </c>
      <c r="D2455" t="str">
        <f>TEXT(Table1[[#This Row],[order_date]],"mmmm")</f>
        <v>July</v>
      </c>
      <c r="E2455" s="1">
        <v>45482</v>
      </c>
      <c r="F2455" s="1" t="str">
        <f>TEXT(Table1[[#This Row],[order_date]],"dddd")</f>
        <v>Tuesday</v>
      </c>
      <c r="G2455">
        <f>HOUR(Table1[[#This Row],[order_time]])</f>
        <v>15</v>
      </c>
      <c r="H2455" s="2">
        <v>0.63391203703703702</v>
      </c>
      <c r="I2455" t="s">
        <v>11</v>
      </c>
      <c r="J2455" t="s">
        <v>14</v>
      </c>
      <c r="K2455">
        <v>3</v>
      </c>
      <c r="L2455">
        <v>700</v>
      </c>
      <c r="M2455">
        <v>2100</v>
      </c>
      <c r="N2455">
        <f>IF(COUNTIFS($B$2:B2455,B2455)=1,1,0)</f>
        <v>0</v>
      </c>
    </row>
    <row r="2456" spans="1:14" x14ac:dyDescent="0.2">
      <c r="A2456">
        <v>2455</v>
      </c>
      <c r="B2456">
        <v>2238</v>
      </c>
      <c r="C2456">
        <f>1/COUNTIF(B:B,Table1[[#This Row],[order_id]])</f>
        <v>0.33333333333333331</v>
      </c>
      <c r="D2456" t="str">
        <f>TEXT(Table1[[#This Row],[order_date]],"mmmm")</f>
        <v>July</v>
      </c>
      <c r="E2456" s="1">
        <v>45483</v>
      </c>
      <c r="F2456" s="1" t="str">
        <f>TEXT(Table1[[#This Row],[order_date]],"dddd")</f>
        <v>Wednesday</v>
      </c>
      <c r="G2456">
        <f>HOUR(Table1[[#This Row],[order_time]])</f>
        <v>16</v>
      </c>
      <c r="H2456" s="2">
        <v>0.6713541666666667</v>
      </c>
      <c r="I2456" t="s">
        <v>9</v>
      </c>
      <c r="J2456" t="s">
        <v>29</v>
      </c>
      <c r="K2456">
        <v>5</v>
      </c>
      <c r="L2456">
        <v>5</v>
      </c>
      <c r="M2456">
        <v>25</v>
      </c>
      <c r="N2456">
        <f>IF(COUNTIFS($B$2:B2456,B2456)=1,1,0)</f>
        <v>1</v>
      </c>
    </row>
    <row r="2457" spans="1:14" x14ac:dyDescent="0.2">
      <c r="A2457">
        <v>2456</v>
      </c>
      <c r="B2457">
        <v>2238</v>
      </c>
      <c r="C2457">
        <f>1/COUNTIF(B:B,Table1[[#This Row],[order_id]])</f>
        <v>0.33333333333333331</v>
      </c>
      <c r="D2457" t="str">
        <f>TEXT(Table1[[#This Row],[order_date]],"mmmm")</f>
        <v>July</v>
      </c>
      <c r="E2457" s="1">
        <v>45483</v>
      </c>
      <c r="F2457" s="1" t="str">
        <f>TEXT(Table1[[#This Row],[order_date]],"dddd")</f>
        <v>Wednesday</v>
      </c>
      <c r="G2457">
        <f>HOUR(Table1[[#This Row],[order_time]])</f>
        <v>9</v>
      </c>
      <c r="H2457" s="2">
        <v>0.37528935185185186</v>
      </c>
      <c r="I2457" t="s">
        <v>11</v>
      </c>
      <c r="J2457" t="s">
        <v>15</v>
      </c>
      <c r="K2457">
        <v>2</v>
      </c>
      <c r="L2457">
        <v>600</v>
      </c>
      <c r="M2457">
        <v>1200</v>
      </c>
      <c r="N2457">
        <f>IF(COUNTIFS($B$2:B2457,B2457)=1,1,0)</f>
        <v>0</v>
      </c>
    </row>
    <row r="2458" spans="1:14" x14ac:dyDescent="0.2">
      <c r="A2458">
        <v>2457</v>
      </c>
      <c r="B2458">
        <v>2238</v>
      </c>
      <c r="C2458">
        <f>1/COUNTIF(B:B,Table1[[#This Row],[order_id]])</f>
        <v>0.33333333333333331</v>
      </c>
      <c r="D2458" t="str">
        <f>TEXT(Table1[[#This Row],[order_date]],"mmmm")</f>
        <v>July</v>
      </c>
      <c r="E2458" s="1">
        <v>45483</v>
      </c>
      <c r="F2458" s="1" t="str">
        <f>TEXT(Table1[[#This Row],[order_date]],"dddd")</f>
        <v>Wednesday</v>
      </c>
      <c r="G2458">
        <f>HOUR(Table1[[#This Row],[order_time]])</f>
        <v>18</v>
      </c>
      <c r="H2458" s="2">
        <v>0.76864583333333336</v>
      </c>
      <c r="I2458" t="s">
        <v>18</v>
      </c>
      <c r="J2458" t="s">
        <v>30</v>
      </c>
      <c r="K2458">
        <v>1</v>
      </c>
      <c r="L2458">
        <v>60</v>
      </c>
      <c r="M2458">
        <v>60</v>
      </c>
      <c r="N2458">
        <f>IF(COUNTIFS($B$2:B2458,B2458)=1,1,0)</f>
        <v>0</v>
      </c>
    </row>
    <row r="2459" spans="1:14" x14ac:dyDescent="0.2">
      <c r="A2459">
        <v>2458</v>
      </c>
      <c r="B2459">
        <v>2239</v>
      </c>
      <c r="C2459">
        <f>1/COUNTIF(B:B,Table1[[#This Row],[order_id]])</f>
        <v>1</v>
      </c>
      <c r="D2459" t="str">
        <f>TEXT(Table1[[#This Row],[order_date]],"mmmm")</f>
        <v>July</v>
      </c>
      <c r="E2459" s="1">
        <v>45483</v>
      </c>
      <c r="F2459" s="1" t="str">
        <f>TEXT(Table1[[#This Row],[order_date]],"dddd")</f>
        <v>Wednesday</v>
      </c>
      <c r="G2459">
        <f>HOUR(Table1[[#This Row],[order_time]])</f>
        <v>11</v>
      </c>
      <c r="H2459" s="2">
        <v>0.47559027777777779</v>
      </c>
      <c r="I2459" t="s">
        <v>18</v>
      </c>
      <c r="J2459" t="s">
        <v>31</v>
      </c>
      <c r="K2459">
        <v>5</v>
      </c>
      <c r="L2459">
        <v>45</v>
      </c>
      <c r="M2459">
        <v>225</v>
      </c>
      <c r="N2459">
        <f>IF(COUNTIFS($B$2:B2459,B2459)=1,1,0)</f>
        <v>1</v>
      </c>
    </row>
    <row r="2460" spans="1:14" x14ac:dyDescent="0.2">
      <c r="A2460">
        <v>2459</v>
      </c>
      <c r="B2460">
        <v>2240</v>
      </c>
      <c r="C2460">
        <f>1/COUNTIF(B:B,Table1[[#This Row],[order_id]])</f>
        <v>1</v>
      </c>
      <c r="D2460" t="str">
        <f>TEXT(Table1[[#This Row],[order_date]],"mmmm")</f>
        <v>July</v>
      </c>
      <c r="E2460" s="1">
        <v>45483</v>
      </c>
      <c r="F2460" s="1" t="str">
        <f>TEXT(Table1[[#This Row],[order_date]],"dddd")</f>
        <v>Wednesday</v>
      </c>
      <c r="G2460">
        <f>HOUR(Table1[[#This Row],[order_time]])</f>
        <v>17</v>
      </c>
      <c r="H2460" s="2">
        <v>0.74244212962962963</v>
      </c>
      <c r="I2460" t="s">
        <v>18</v>
      </c>
      <c r="J2460" t="s">
        <v>27</v>
      </c>
      <c r="K2460">
        <v>1</v>
      </c>
      <c r="L2460">
        <v>40</v>
      </c>
      <c r="M2460">
        <v>40</v>
      </c>
      <c r="N2460">
        <f>IF(COUNTIFS($B$2:B2460,B2460)=1,1,0)</f>
        <v>1</v>
      </c>
    </row>
    <row r="2461" spans="1:14" x14ac:dyDescent="0.2">
      <c r="A2461">
        <v>2460</v>
      </c>
      <c r="B2461">
        <v>2241</v>
      </c>
      <c r="C2461">
        <f>1/COUNTIF(B:B,Table1[[#This Row],[order_id]])</f>
        <v>0.5</v>
      </c>
      <c r="D2461" t="str">
        <f>TEXT(Table1[[#This Row],[order_date]],"mmmm")</f>
        <v>July</v>
      </c>
      <c r="E2461" s="1">
        <v>45483</v>
      </c>
      <c r="F2461" s="1" t="str">
        <f>TEXT(Table1[[#This Row],[order_date]],"dddd")</f>
        <v>Wednesday</v>
      </c>
      <c r="G2461">
        <f>HOUR(Table1[[#This Row],[order_time]])</f>
        <v>15</v>
      </c>
      <c r="H2461" s="2">
        <v>0.63818287037037036</v>
      </c>
      <c r="I2461" t="s">
        <v>16</v>
      </c>
      <c r="J2461" t="s">
        <v>24</v>
      </c>
      <c r="K2461">
        <v>4</v>
      </c>
      <c r="L2461">
        <v>35</v>
      </c>
      <c r="M2461">
        <v>140</v>
      </c>
      <c r="N2461">
        <f>IF(COUNTIFS($B$2:B2461,B2461)=1,1,0)</f>
        <v>1</v>
      </c>
    </row>
    <row r="2462" spans="1:14" x14ac:dyDescent="0.2">
      <c r="A2462">
        <v>2461</v>
      </c>
      <c r="B2462">
        <v>2241</v>
      </c>
      <c r="C2462">
        <f>1/COUNTIF(B:B,Table1[[#This Row],[order_id]])</f>
        <v>0.5</v>
      </c>
      <c r="D2462" t="str">
        <f>TEXT(Table1[[#This Row],[order_date]],"mmmm")</f>
        <v>July</v>
      </c>
      <c r="E2462" s="1">
        <v>45483</v>
      </c>
      <c r="F2462" s="1" t="str">
        <f>TEXT(Table1[[#This Row],[order_date]],"dddd")</f>
        <v>Wednesday</v>
      </c>
      <c r="G2462">
        <f>HOUR(Table1[[#This Row],[order_time]])</f>
        <v>17</v>
      </c>
      <c r="H2462" s="2">
        <v>0.73995370370370372</v>
      </c>
      <c r="I2462" t="s">
        <v>18</v>
      </c>
      <c r="J2462" t="s">
        <v>19</v>
      </c>
      <c r="K2462">
        <v>4</v>
      </c>
      <c r="L2462">
        <v>50</v>
      </c>
      <c r="M2462">
        <v>200</v>
      </c>
      <c r="N2462">
        <f>IF(COUNTIFS($B$2:B2462,B2462)=1,1,0)</f>
        <v>0</v>
      </c>
    </row>
    <row r="2463" spans="1:14" x14ac:dyDescent="0.2">
      <c r="A2463">
        <v>2462</v>
      </c>
      <c r="B2463">
        <v>2242</v>
      </c>
      <c r="C2463">
        <f>1/COUNTIF(B:B,Table1[[#This Row],[order_id]])</f>
        <v>0.5</v>
      </c>
      <c r="D2463" t="str">
        <f>TEXT(Table1[[#This Row],[order_date]],"mmmm")</f>
        <v>July</v>
      </c>
      <c r="E2463" s="1">
        <v>45483</v>
      </c>
      <c r="F2463" s="1" t="str">
        <f>TEXT(Table1[[#This Row],[order_date]],"dddd")</f>
        <v>Wednesday</v>
      </c>
      <c r="G2463">
        <f>HOUR(Table1[[#This Row],[order_time]])</f>
        <v>20</v>
      </c>
      <c r="H2463" s="2">
        <v>0.83450231481481485</v>
      </c>
      <c r="I2463" t="s">
        <v>9</v>
      </c>
      <c r="J2463" t="s">
        <v>20</v>
      </c>
      <c r="K2463">
        <v>5</v>
      </c>
      <c r="L2463">
        <v>25</v>
      </c>
      <c r="M2463">
        <v>125</v>
      </c>
      <c r="N2463">
        <f>IF(COUNTIFS($B$2:B2463,B2463)=1,1,0)</f>
        <v>1</v>
      </c>
    </row>
    <row r="2464" spans="1:14" x14ac:dyDescent="0.2">
      <c r="A2464">
        <v>2463</v>
      </c>
      <c r="B2464">
        <v>2242</v>
      </c>
      <c r="C2464">
        <f>1/COUNTIF(B:B,Table1[[#This Row],[order_id]])</f>
        <v>0.5</v>
      </c>
      <c r="D2464" t="str">
        <f>TEXT(Table1[[#This Row],[order_date]],"mmmm")</f>
        <v>July</v>
      </c>
      <c r="E2464" s="1">
        <v>45483</v>
      </c>
      <c r="F2464" s="1" t="str">
        <f>TEXT(Table1[[#This Row],[order_date]],"dddd")</f>
        <v>Wednesday</v>
      </c>
      <c r="G2464">
        <f>HOUR(Table1[[#This Row],[order_time]])</f>
        <v>14</v>
      </c>
      <c r="H2464" s="2">
        <v>0.5904166666666667</v>
      </c>
      <c r="I2464" t="s">
        <v>11</v>
      </c>
      <c r="J2464" t="s">
        <v>13</v>
      </c>
      <c r="K2464">
        <v>3</v>
      </c>
      <c r="L2464">
        <v>680</v>
      </c>
      <c r="M2464">
        <v>2040</v>
      </c>
      <c r="N2464">
        <f>IF(COUNTIFS($B$2:B2464,B2464)=1,1,0)</f>
        <v>0</v>
      </c>
    </row>
    <row r="2465" spans="1:14" x14ac:dyDescent="0.2">
      <c r="A2465">
        <v>2464</v>
      </c>
      <c r="B2465">
        <v>2243</v>
      </c>
      <c r="C2465">
        <f>1/COUNTIF(B:B,Table1[[#This Row],[order_id]])</f>
        <v>1</v>
      </c>
      <c r="D2465" t="str">
        <f>TEXT(Table1[[#This Row],[order_date]],"mmmm")</f>
        <v>July</v>
      </c>
      <c r="E2465" s="1">
        <v>45483</v>
      </c>
      <c r="F2465" s="1" t="str">
        <f>TEXT(Table1[[#This Row],[order_date]],"dddd")</f>
        <v>Wednesday</v>
      </c>
      <c r="G2465">
        <f>HOUR(Table1[[#This Row],[order_time]])</f>
        <v>19</v>
      </c>
      <c r="H2465" s="2">
        <v>0.83056712962962964</v>
      </c>
      <c r="I2465" t="s">
        <v>18</v>
      </c>
      <c r="J2465" t="s">
        <v>19</v>
      </c>
      <c r="K2465">
        <v>3</v>
      </c>
      <c r="L2465">
        <v>50</v>
      </c>
      <c r="M2465">
        <v>150</v>
      </c>
      <c r="N2465">
        <f>IF(COUNTIFS($B$2:B2465,B2465)=1,1,0)</f>
        <v>1</v>
      </c>
    </row>
    <row r="2466" spans="1:14" x14ac:dyDescent="0.2">
      <c r="A2466">
        <v>2465</v>
      </c>
      <c r="B2466">
        <v>2244</v>
      </c>
      <c r="C2466">
        <f>1/COUNTIF(B:B,Table1[[#This Row],[order_id]])</f>
        <v>1</v>
      </c>
      <c r="D2466" t="str">
        <f>TEXT(Table1[[#This Row],[order_date]],"mmmm")</f>
        <v>July</v>
      </c>
      <c r="E2466" s="1">
        <v>45483</v>
      </c>
      <c r="F2466" s="1" t="str">
        <f>TEXT(Table1[[#This Row],[order_date]],"dddd")</f>
        <v>Wednesday</v>
      </c>
      <c r="G2466">
        <f>HOUR(Table1[[#This Row],[order_time]])</f>
        <v>18</v>
      </c>
      <c r="H2466" s="2">
        <v>0.7506018518518518</v>
      </c>
      <c r="I2466" t="s">
        <v>18</v>
      </c>
      <c r="J2466" t="s">
        <v>19</v>
      </c>
      <c r="K2466">
        <v>2</v>
      </c>
      <c r="L2466">
        <v>50</v>
      </c>
      <c r="M2466">
        <v>100</v>
      </c>
      <c r="N2466">
        <f>IF(COUNTIFS($B$2:B2466,B2466)=1,1,0)</f>
        <v>1</v>
      </c>
    </row>
    <row r="2467" spans="1:14" x14ac:dyDescent="0.2">
      <c r="A2467">
        <v>2466</v>
      </c>
      <c r="B2467">
        <v>2245</v>
      </c>
      <c r="C2467">
        <f>1/COUNTIF(B:B,Table1[[#This Row],[order_id]])</f>
        <v>1</v>
      </c>
      <c r="D2467" t="str">
        <f>TEXT(Table1[[#This Row],[order_date]],"mmmm")</f>
        <v>July</v>
      </c>
      <c r="E2467" s="1">
        <v>45483</v>
      </c>
      <c r="F2467" s="1" t="str">
        <f>TEXT(Table1[[#This Row],[order_date]],"dddd")</f>
        <v>Wednesday</v>
      </c>
      <c r="G2467">
        <f>HOUR(Table1[[#This Row],[order_time]])</f>
        <v>13</v>
      </c>
      <c r="H2467" s="2">
        <v>0.56892361111111112</v>
      </c>
      <c r="I2467" t="s">
        <v>9</v>
      </c>
      <c r="J2467" t="s">
        <v>29</v>
      </c>
      <c r="K2467">
        <v>2</v>
      </c>
      <c r="L2467">
        <v>5</v>
      </c>
      <c r="M2467">
        <v>10</v>
      </c>
      <c r="N2467">
        <f>IF(COUNTIFS($B$2:B2467,B2467)=1,1,0)</f>
        <v>1</v>
      </c>
    </row>
    <row r="2468" spans="1:14" x14ac:dyDescent="0.2">
      <c r="A2468">
        <v>2467</v>
      </c>
      <c r="B2468">
        <v>2246</v>
      </c>
      <c r="C2468">
        <f>1/COUNTIF(B:B,Table1[[#This Row],[order_id]])</f>
        <v>0.5</v>
      </c>
      <c r="D2468" t="str">
        <f>TEXT(Table1[[#This Row],[order_date]],"mmmm")</f>
        <v>July</v>
      </c>
      <c r="E2468" s="1">
        <v>45483</v>
      </c>
      <c r="F2468" s="1" t="str">
        <f>TEXT(Table1[[#This Row],[order_date]],"dddd")</f>
        <v>Wednesday</v>
      </c>
      <c r="G2468">
        <f>HOUR(Table1[[#This Row],[order_time]])</f>
        <v>11</v>
      </c>
      <c r="H2468" s="2">
        <v>0.46394675925925927</v>
      </c>
      <c r="I2468" t="s">
        <v>9</v>
      </c>
      <c r="J2468" t="s">
        <v>10</v>
      </c>
      <c r="K2468">
        <v>5</v>
      </c>
      <c r="L2468">
        <v>20</v>
      </c>
      <c r="M2468">
        <v>100</v>
      </c>
      <c r="N2468">
        <f>IF(COUNTIFS($B$2:B2468,B2468)=1,1,0)</f>
        <v>1</v>
      </c>
    </row>
    <row r="2469" spans="1:14" x14ac:dyDescent="0.2">
      <c r="A2469">
        <v>2468</v>
      </c>
      <c r="B2469">
        <v>2246</v>
      </c>
      <c r="C2469">
        <f>1/COUNTIF(B:B,Table1[[#This Row],[order_id]])</f>
        <v>0.5</v>
      </c>
      <c r="D2469" t="str">
        <f>TEXT(Table1[[#This Row],[order_date]],"mmmm")</f>
        <v>July</v>
      </c>
      <c r="E2469" s="1">
        <v>45483</v>
      </c>
      <c r="F2469" s="1" t="str">
        <f>TEXT(Table1[[#This Row],[order_date]],"dddd")</f>
        <v>Wednesday</v>
      </c>
      <c r="G2469">
        <f>HOUR(Table1[[#This Row],[order_time]])</f>
        <v>10</v>
      </c>
      <c r="H2469" s="2">
        <v>0.42085648148148147</v>
      </c>
      <c r="I2469" t="s">
        <v>18</v>
      </c>
      <c r="J2469" t="s">
        <v>26</v>
      </c>
      <c r="K2469">
        <v>3</v>
      </c>
      <c r="L2469">
        <v>55</v>
      </c>
      <c r="M2469">
        <v>165</v>
      </c>
      <c r="N2469">
        <f>IF(COUNTIFS($B$2:B2469,B2469)=1,1,0)</f>
        <v>0</v>
      </c>
    </row>
    <row r="2470" spans="1:14" x14ac:dyDescent="0.2">
      <c r="A2470">
        <v>2469</v>
      </c>
      <c r="B2470">
        <v>2247</v>
      </c>
      <c r="C2470">
        <f>1/COUNTIF(B:B,Table1[[#This Row],[order_id]])</f>
        <v>0.33333333333333331</v>
      </c>
      <c r="D2470" t="str">
        <f>TEXT(Table1[[#This Row],[order_date]],"mmmm")</f>
        <v>July</v>
      </c>
      <c r="E2470" s="1">
        <v>45483</v>
      </c>
      <c r="F2470" s="1" t="str">
        <f>TEXT(Table1[[#This Row],[order_date]],"dddd")</f>
        <v>Wednesday</v>
      </c>
      <c r="G2470">
        <f>HOUR(Table1[[#This Row],[order_time]])</f>
        <v>18</v>
      </c>
      <c r="H2470" s="2">
        <v>0.76526620370370368</v>
      </c>
      <c r="I2470" t="s">
        <v>9</v>
      </c>
      <c r="J2470" t="s">
        <v>21</v>
      </c>
      <c r="K2470">
        <v>5</v>
      </c>
      <c r="L2470">
        <v>10</v>
      </c>
      <c r="M2470">
        <v>50</v>
      </c>
      <c r="N2470">
        <f>IF(COUNTIFS($B$2:B2470,B2470)=1,1,0)</f>
        <v>1</v>
      </c>
    </row>
    <row r="2471" spans="1:14" x14ac:dyDescent="0.2">
      <c r="A2471">
        <v>2470</v>
      </c>
      <c r="B2471">
        <v>2247</v>
      </c>
      <c r="C2471">
        <f>1/COUNTIF(B:B,Table1[[#This Row],[order_id]])</f>
        <v>0.33333333333333331</v>
      </c>
      <c r="D2471" t="str">
        <f>TEXT(Table1[[#This Row],[order_date]],"mmmm")</f>
        <v>July</v>
      </c>
      <c r="E2471" s="1">
        <v>45483</v>
      </c>
      <c r="F2471" s="1" t="str">
        <f>TEXT(Table1[[#This Row],[order_date]],"dddd")</f>
        <v>Wednesday</v>
      </c>
      <c r="G2471">
        <f>HOUR(Table1[[#This Row],[order_time]])</f>
        <v>14</v>
      </c>
      <c r="H2471" s="2">
        <v>0.61030092592592589</v>
      </c>
      <c r="I2471" t="s">
        <v>9</v>
      </c>
      <c r="J2471" t="s">
        <v>20</v>
      </c>
      <c r="K2471">
        <v>4</v>
      </c>
      <c r="L2471">
        <v>25</v>
      </c>
      <c r="M2471">
        <v>100</v>
      </c>
      <c r="N2471">
        <f>IF(COUNTIFS($B$2:B2471,B2471)=1,1,0)</f>
        <v>0</v>
      </c>
    </row>
    <row r="2472" spans="1:14" x14ac:dyDescent="0.2">
      <c r="A2472">
        <v>2471</v>
      </c>
      <c r="B2472">
        <v>2247</v>
      </c>
      <c r="C2472">
        <f>1/COUNTIF(B:B,Table1[[#This Row],[order_id]])</f>
        <v>0.33333333333333331</v>
      </c>
      <c r="D2472" t="str">
        <f>TEXT(Table1[[#This Row],[order_date]],"mmmm")</f>
        <v>July</v>
      </c>
      <c r="E2472" s="1">
        <v>45483</v>
      </c>
      <c r="F2472" s="1" t="str">
        <f>TEXT(Table1[[#This Row],[order_date]],"dddd")</f>
        <v>Wednesday</v>
      </c>
      <c r="G2472">
        <f>HOUR(Table1[[#This Row],[order_time]])</f>
        <v>10</v>
      </c>
      <c r="H2472" s="2">
        <v>0.4481134259259259</v>
      </c>
      <c r="I2472" t="s">
        <v>18</v>
      </c>
      <c r="J2472" t="s">
        <v>30</v>
      </c>
      <c r="K2472">
        <v>4</v>
      </c>
      <c r="L2472">
        <v>60</v>
      </c>
      <c r="M2472">
        <v>240</v>
      </c>
      <c r="N2472">
        <f>IF(COUNTIFS($B$2:B2472,B2472)=1,1,0)</f>
        <v>0</v>
      </c>
    </row>
    <row r="2473" spans="1:14" x14ac:dyDescent="0.2">
      <c r="A2473">
        <v>2472</v>
      </c>
      <c r="B2473">
        <v>2248</v>
      </c>
      <c r="C2473">
        <f>1/COUNTIF(B:B,Table1[[#This Row],[order_id]])</f>
        <v>1</v>
      </c>
      <c r="D2473" t="str">
        <f>TEXT(Table1[[#This Row],[order_date]],"mmmm")</f>
        <v>July</v>
      </c>
      <c r="E2473" s="1">
        <v>45484</v>
      </c>
      <c r="F2473" s="1" t="str">
        <f>TEXT(Table1[[#This Row],[order_date]],"dddd")</f>
        <v>Thursday</v>
      </c>
      <c r="G2473">
        <f>HOUR(Table1[[#This Row],[order_time]])</f>
        <v>11</v>
      </c>
      <c r="H2473" s="2">
        <v>0.49839120370370371</v>
      </c>
      <c r="I2473" t="s">
        <v>9</v>
      </c>
      <c r="J2473" t="s">
        <v>10</v>
      </c>
      <c r="K2473">
        <v>3</v>
      </c>
      <c r="L2473">
        <v>20</v>
      </c>
      <c r="M2473">
        <v>60</v>
      </c>
      <c r="N2473">
        <f>IF(COUNTIFS($B$2:B2473,B2473)=1,1,0)</f>
        <v>1</v>
      </c>
    </row>
    <row r="2474" spans="1:14" x14ac:dyDescent="0.2">
      <c r="A2474">
        <v>2473</v>
      </c>
      <c r="B2474">
        <v>2249</v>
      </c>
      <c r="C2474">
        <f>1/COUNTIF(B:B,Table1[[#This Row],[order_id]])</f>
        <v>0.33333333333333331</v>
      </c>
      <c r="D2474" t="str">
        <f>TEXT(Table1[[#This Row],[order_date]],"mmmm")</f>
        <v>July</v>
      </c>
      <c r="E2474" s="1">
        <v>45484</v>
      </c>
      <c r="F2474" s="1" t="str">
        <f>TEXT(Table1[[#This Row],[order_date]],"dddd")</f>
        <v>Thursday</v>
      </c>
      <c r="G2474">
        <f>HOUR(Table1[[#This Row],[order_time]])</f>
        <v>17</v>
      </c>
      <c r="H2474" s="2">
        <v>0.73413194444444441</v>
      </c>
      <c r="I2474" t="s">
        <v>16</v>
      </c>
      <c r="J2474" t="s">
        <v>23</v>
      </c>
      <c r="K2474">
        <v>4</v>
      </c>
      <c r="L2474">
        <v>30</v>
      </c>
      <c r="M2474">
        <v>120</v>
      </c>
      <c r="N2474">
        <f>IF(COUNTIFS($B$2:B2474,B2474)=1,1,0)</f>
        <v>1</v>
      </c>
    </row>
    <row r="2475" spans="1:14" x14ac:dyDescent="0.2">
      <c r="A2475">
        <v>2474</v>
      </c>
      <c r="B2475">
        <v>2249</v>
      </c>
      <c r="C2475">
        <f>1/COUNTIF(B:B,Table1[[#This Row],[order_id]])</f>
        <v>0.33333333333333331</v>
      </c>
      <c r="D2475" t="str">
        <f>TEXT(Table1[[#This Row],[order_date]],"mmmm")</f>
        <v>July</v>
      </c>
      <c r="E2475" s="1">
        <v>45484</v>
      </c>
      <c r="F2475" s="1" t="str">
        <f>TEXT(Table1[[#This Row],[order_date]],"dddd")</f>
        <v>Thursday</v>
      </c>
      <c r="G2475">
        <f>HOUR(Table1[[#This Row],[order_time]])</f>
        <v>13</v>
      </c>
      <c r="H2475" s="2">
        <v>0.5637268518518519</v>
      </c>
      <c r="I2475" t="s">
        <v>9</v>
      </c>
      <c r="J2475" t="s">
        <v>20</v>
      </c>
      <c r="K2475">
        <v>3</v>
      </c>
      <c r="L2475">
        <v>25</v>
      </c>
      <c r="M2475">
        <v>75</v>
      </c>
      <c r="N2475">
        <f>IF(COUNTIFS($B$2:B2475,B2475)=1,1,0)</f>
        <v>0</v>
      </c>
    </row>
    <row r="2476" spans="1:14" x14ac:dyDescent="0.2">
      <c r="A2476">
        <v>2475</v>
      </c>
      <c r="B2476">
        <v>2249</v>
      </c>
      <c r="C2476">
        <f>1/COUNTIF(B:B,Table1[[#This Row],[order_id]])</f>
        <v>0.33333333333333331</v>
      </c>
      <c r="D2476" t="str">
        <f>TEXT(Table1[[#This Row],[order_date]],"mmmm")</f>
        <v>July</v>
      </c>
      <c r="E2476" s="1">
        <v>45484</v>
      </c>
      <c r="F2476" s="1" t="str">
        <f>TEXT(Table1[[#This Row],[order_date]],"dddd")</f>
        <v>Thursday</v>
      </c>
      <c r="G2476">
        <f>HOUR(Table1[[#This Row],[order_time]])</f>
        <v>18</v>
      </c>
      <c r="H2476" s="2">
        <v>0.77969907407407413</v>
      </c>
      <c r="I2476" t="s">
        <v>9</v>
      </c>
      <c r="J2476" t="s">
        <v>20</v>
      </c>
      <c r="K2476">
        <v>3</v>
      </c>
      <c r="L2476">
        <v>25</v>
      </c>
      <c r="M2476">
        <v>75</v>
      </c>
      <c r="N2476">
        <f>IF(COUNTIFS($B$2:B2476,B2476)=1,1,0)</f>
        <v>0</v>
      </c>
    </row>
    <row r="2477" spans="1:14" x14ac:dyDescent="0.2">
      <c r="A2477">
        <v>2476</v>
      </c>
      <c r="B2477">
        <v>2250</v>
      </c>
      <c r="C2477">
        <f>1/COUNTIF(B:B,Table1[[#This Row],[order_id]])</f>
        <v>0.5</v>
      </c>
      <c r="D2477" t="str">
        <f>TEXT(Table1[[#This Row],[order_date]],"mmmm")</f>
        <v>July</v>
      </c>
      <c r="E2477" s="1">
        <v>45484</v>
      </c>
      <c r="F2477" s="1" t="str">
        <f>TEXT(Table1[[#This Row],[order_date]],"dddd")</f>
        <v>Thursday</v>
      </c>
      <c r="G2477">
        <f>HOUR(Table1[[#This Row],[order_time]])</f>
        <v>18</v>
      </c>
      <c r="H2477" s="2">
        <v>0.79142361111111115</v>
      </c>
      <c r="I2477" t="s">
        <v>18</v>
      </c>
      <c r="J2477" t="s">
        <v>19</v>
      </c>
      <c r="K2477">
        <v>3</v>
      </c>
      <c r="L2477">
        <v>50</v>
      </c>
      <c r="M2477">
        <v>150</v>
      </c>
      <c r="N2477">
        <f>IF(COUNTIFS($B$2:B2477,B2477)=1,1,0)</f>
        <v>1</v>
      </c>
    </row>
    <row r="2478" spans="1:14" x14ac:dyDescent="0.2">
      <c r="A2478">
        <v>2477</v>
      </c>
      <c r="B2478">
        <v>2250</v>
      </c>
      <c r="C2478">
        <f>1/COUNTIF(B:B,Table1[[#This Row],[order_id]])</f>
        <v>0.5</v>
      </c>
      <c r="D2478" t="str">
        <f>TEXT(Table1[[#This Row],[order_date]],"mmmm")</f>
        <v>July</v>
      </c>
      <c r="E2478" s="1">
        <v>45484</v>
      </c>
      <c r="F2478" s="1" t="str">
        <f>TEXT(Table1[[#This Row],[order_date]],"dddd")</f>
        <v>Thursday</v>
      </c>
      <c r="G2478">
        <f>HOUR(Table1[[#This Row],[order_time]])</f>
        <v>18</v>
      </c>
      <c r="H2478" s="2">
        <v>0.76973379629629635</v>
      </c>
      <c r="I2478" t="s">
        <v>11</v>
      </c>
      <c r="J2478" t="s">
        <v>25</v>
      </c>
      <c r="K2478">
        <v>5</v>
      </c>
      <c r="L2478">
        <v>1000</v>
      </c>
      <c r="M2478">
        <v>5000</v>
      </c>
      <c r="N2478">
        <f>IF(COUNTIFS($B$2:B2478,B2478)=1,1,0)</f>
        <v>0</v>
      </c>
    </row>
    <row r="2479" spans="1:14" x14ac:dyDescent="0.2">
      <c r="A2479">
        <v>2478</v>
      </c>
      <c r="B2479">
        <v>2251</v>
      </c>
      <c r="C2479">
        <f>1/COUNTIF(B:B,Table1[[#This Row],[order_id]])</f>
        <v>0.33333333333333331</v>
      </c>
      <c r="D2479" t="str">
        <f>TEXT(Table1[[#This Row],[order_date]],"mmmm")</f>
        <v>July</v>
      </c>
      <c r="E2479" s="1">
        <v>45485</v>
      </c>
      <c r="F2479" s="1" t="str">
        <f>TEXT(Table1[[#This Row],[order_date]],"dddd")</f>
        <v>Friday</v>
      </c>
      <c r="G2479">
        <f>HOUR(Table1[[#This Row],[order_time]])</f>
        <v>9</v>
      </c>
      <c r="H2479" s="2">
        <v>0.39473379629629629</v>
      </c>
      <c r="I2479" t="s">
        <v>9</v>
      </c>
      <c r="J2479" t="s">
        <v>20</v>
      </c>
      <c r="K2479">
        <v>1</v>
      </c>
      <c r="L2479">
        <v>25</v>
      </c>
      <c r="M2479">
        <v>25</v>
      </c>
      <c r="N2479">
        <f>IF(COUNTIFS($B$2:B2479,B2479)=1,1,0)</f>
        <v>1</v>
      </c>
    </row>
    <row r="2480" spans="1:14" x14ac:dyDescent="0.2">
      <c r="A2480">
        <v>2479</v>
      </c>
      <c r="B2480">
        <v>2251</v>
      </c>
      <c r="C2480">
        <f>1/COUNTIF(B:B,Table1[[#This Row],[order_id]])</f>
        <v>0.33333333333333331</v>
      </c>
      <c r="D2480" t="str">
        <f>TEXT(Table1[[#This Row],[order_date]],"mmmm")</f>
        <v>July</v>
      </c>
      <c r="E2480" s="1">
        <v>45485</v>
      </c>
      <c r="F2480" s="1" t="str">
        <f>TEXT(Table1[[#This Row],[order_date]],"dddd")</f>
        <v>Friday</v>
      </c>
      <c r="G2480">
        <f>HOUR(Table1[[#This Row],[order_time]])</f>
        <v>14</v>
      </c>
      <c r="H2480" s="2">
        <v>0.61359953703703707</v>
      </c>
      <c r="I2480" t="s">
        <v>11</v>
      </c>
      <c r="J2480" t="s">
        <v>15</v>
      </c>
      <c r="K2480">
        <v>4</v>
      </c>
      <c r="L2480">
        <v>600</v>
      </c>
      <c r="M2480">
        <v>2400</v>
      </c>
      <c r="N2480">
        <f>IF(COUNTIFS($B$2:B2480,B2480)=1,1,0)</f>
        <v>0</v>
      </c>
    </row>
    <row r="2481" spans="1:14" x14ac:dyDescent="0.2">
      <c r="A2481">
        <v>2480</v>
      </c>
      <c r="B2481">
        <v>2251</v>
      </c>
      <c r="C2481">
        <f>1/COUNTIF(B:B,Table1[[#This Row],[order_id]])</f>
        <v>0.33333333333333331</v>
      </c>
      <c r="D2481" t="str">
        <f>TEXT(Table1[[#This Row],[order_date]],"mmmm")</f>
        <v>July</v>
      </c>
      <c r="E2481" s="1">
        <v>45485</v>
      </c>
      <c r="F2481" s="1" t="str">
        <f>TEXT(Table1[[#This Row],[order_date]],"dddd")</f>
        <v>Friday</v>
      </c>
      <c r="G2481">
        <f>HOUR(Table1[[#This Row],[order_time]])</f>
        <v>14</v>
      </c>
      <c r="H2481" s="2">
        <v>0.58957175925925931</v>
      </c>
      <c r="I2481" t="s">
        <v>16</v>
      </c>
      <c r="J2481" t="s">
        <v>23</v>
      </c>
      <c r="K2481">
        <v>1</v>
      </c>
      <c r="L2481">
        <v>30</v>
      </c>
      <c r="M2481">
        <v>30</v>
      </c>
      <c r="N2481">
        <f>IF(COUNTIFS($B$2:B2481,B2481)=1,1,0)</f>
        <v>0</v>
      </c>
    </row>
    <row r="2482" spans="1:14" x14ac:dyDescent="0.2">
      <c r="A2482">
        <v>2481</v>
      </c>
      <c r="B2482">
        <v>2252</v>
      </c>
      <c r="C2482">
        <f>1/COUNTIF(B:B,Table1[[#This Row],[order_id]])</f>
        <v>0.33333333333333331</v>
      </c>
      <c r="D2482" t="str">
        <f>TEXT(Table1[[#This Row],[order_date]],"mmmm")</f>
        <v>July</v>
      </c>
      <c r="E2482" s="1">
        <v>45485</v>
      </c>
      <c r="F2482" s="1" t="str">
        <f>TEXT(Table1[[#This Row],[order_date]],"dddd")</f>
        <v>Friday</v>
      </c>
      <c r="G2482">
        <f>HOUR(Table1[[#This Row],[order_time]])</f>
        <v>12</v>
      </c>
      <c r="H2482" s="2">
        <v>0.53396990740740746</v>
      </c>
      <c r="I2482" t="s">
        <v>11</v>
      </c>
      <c r="J2482" t="s">
        <v>15</v>
      </c>
      <c r="K2482">
        <v>4</v>
      </c>
      <c r="L2482">
        <v>600</v>
      </c>
      <c r="M2482">
        <v>2400</v>
      </c>
      <c r="N2482">
        <f>IF(COUNTIFS($B$2:B2482,B2482)=1,1,0)</f>
        <v>1</v>
      </c>
    </row>
    <row r="2483" spans="1:14" x14ac:dyDescent="0.2">
      <c r="A2483">
        <v>2482</v>
      </c>
      <c r="B2483">
        <v>2252</v>
      </c>
      <c r="C2483">
        <f>1/COUNTIF(B:B,Table1[[#This Row],[order_id]])</f>
        <v>0.33333333333333331</v>
      </c>
      <c r="D2483" t="str">
        <f>TEXT(Table1[[#This Row],[order_date]],"mmmm")</f>
        <v>July</v>
      </c>
      <c r="E2483" s="1">
        <v>45485</v>
      </c>
      <c r="F2483" s="1" t="str">
        <f>TEXT(Table1[[#This Row],[order_date]],"dddd")</f>
        <v>Friday</v>
      </c>
      <c r="G2483">
        <f>HOUR(Table1[[#This Row],[order_time]])</f>
        <v>19</v>
      </c>
      <c r="H2483" s="2">
        <v>0.82829861111111114</v>
      </c>
      <c r="I2483" t="s">
        <v>11</v>
      </c>
      <c r="J2483" t="s">
        <v>14</v>
      </c>
      <c r="K2483">
        <v>1</v>
      </c>
      <c r="L2483">
        <v>700</v>
      </c>
      <c r="M2483">
        <v>700</v>
      </c>
      <c r="N2483">
        <f>IF(COUNTIFS($B$2:B2483,B2483)=1,1,0)</f>
        <v>0</v>
      </c>
    </row>
    <row r="2484" spans="1:14" x14ac:dyDescent="0.2">
      <c r="A2484">
        <v>2483</v>
      </c>
      <c r="B2484">
        <v>2252</v>
      </c>
      <c r="C2484">
        <f>1/COUNTIF(B:B,Table1[[#This Row],[order_id]])</f>
        <v>0.33333333333333331</v>
      </c>
      <c r="D2484" t="str">
        <f>TEXT(Table1[[#This Row],[order_date]],"mmmm")</f>
        <v>July</v>
      </c>
      <c r="E2484" s="1">
        <v>45485</v>
      </c>
      <c r="F2484" s="1" t="str">
        <f>TEXT(Table1[[#This Row],[order_date]],"dddd")</f>
        <v>Friday</v>
      </c>
      <c r="G2484">
        <f>HOUR(Table1[[#This Row],[order_time]])</f>
        <v>19</v>
      </c>
      <c r="H2484" s="2">
        <v>0.80641203703703701</v>
      </c>
      <c r="I2484" t="s">
        <v>16</v>
      </c>
      <c r="J2484" t="s">
        <v>24</v>
      </c>
      <c r="K2484">
        <v>5</v>
      </c>
      <c r="L2484">
        <v>35</v>
      </c>
      <c r="M2484">
        <v>175</v>
      </c>
      <c r="N2484">
        <f>IF(COUNTIFS($B$2:B2484,B2484)=1,1,0)</f>
        <v>0</v>
      </c>
    </row>
    <row r="2485" spans="1:14" x14ac:dyDescent="0.2">
      <c r="A2485">
        <v>2484</v>
      </c>
      <c r="B2485">
        <v>2253</v>
      </c>
      <c r="C2485">
        <f>1/COUNTIF(B:B,Table1[[#This Row],[order_id]])</f>
        <v>1</v>
      </c>
      <c r="D2485" t="str">
        <f>TEXT(Table1[[#This Row],[order_date]],"mmmm")</f>
        <v>July</v>
      </c>
      <c r="E2485" s="1">
        <v>45485</v>
      </c>
      <c r="F2485" s="1" t="str">
        <f>TEXT(Table1[[#This Row],[order_date]],"dddd")</f>
        <v>Friday</v>
      </c>
      <c r="G2485">
        <f>HOUR(Table1[[#This Row],[order_time]])</f>
        <v>15</v>
      </c>
      <c r="H2485" s="2">
        <v>0.6457060185185185</v>
      </c>
      <c r="I2485" t="s">
        <v>11</v>
      </c>
      <c r="J2485" t="s">
        <v>14</v>
      </c>
      <c r="K2485">
        <v>3</v>
      </c>
      <c r="L2485">
        <v>700</v>
      </c>
      <c r="M2485">
        <v>2100</v>
      </c>
      <c r="N2485">
        <f>IF(COUNTIFS($B$2:B2485,B2485)=1,1,0)</f>
        <v>1</v>
      </c>
    </row>
    <row r="2486" spans="1:14" x14ac:dyDescent="0.2">
      <c r="A2486">
        <v>2485</v>
      </c>
      <c r="B2486">
        <v>2254</v>
      </c>
      <c r="C2486">
        <f>1/COUNTIF(B:B,Table1[[#This Row],[order_id]])</f>
        <v>0.5</v>
      </c>
      <c r="D2486" t="str">
        <f>TEXT(Table1[[#This Row],[order_date]],"mmmm")</f>
        <v>July</v>
      </c>
      <c r="E2486" s="1">
        <v>45485</v>
      </c>
      <c r="F2486" s="1" t="str">
        <f>TEXT(Table1[[#This Row],[order_date]],"dddd")</f>
        <v>Friday</v>
      </c>
      <c r="G2486">
        <f>HOUR(Table1[[#This Row],[order_time]])</f>
        <v>12</v>
      </c>
      <c r="H2486" s="2">
        <v>0.53689814814814818</v>
      </c>
      <c r="I2486" t="s">
        <v>9</v>
      </c>
      <c r="J2486" t="s">
        <v>21</v>
      </c>
      <c r="K2486">
        <v>4</v>
      </c>
      <c r="L2486">
        <v>10</v>
      </c>
      <c r="M2486">
        <v>40</v>
      </c>
      <c r="N2486">
        <f>IF(COUNTIFS($B$2:B2486,B2486)=1,1,0)</f>
        <v>1</v>
      </c>
    </row>
    <row r="2487" spans="1:14" x14ac:dyDescent="0.2">
      <c r="A2487">
        <v>2486</v>
      </c>
      <c r="B2487">
        <v>2254</v>
      </c>
      <c r="C2487">
        <f>1/COUNTIF(B:B,Table1[[#This Row],[order_id]])</f>
        <v>0.5</v>
      </c>
      <c r="D2487" t="str">
        <f>TEXT(Table1[[#This Row],[order_date]],"mmmm")</f>
        <v>July</v>
      </c>
      <c r="E2487" s="1">
        <v>45485</v>
      </c>
      <c r="F2487" s="1" t="str">
        <f>TEXT(Table1[[#This Row],[order_date]],"dddd")</f>
        <v>Friday</v>
      </c>
      <c r="G2487">
        <f>HOUR(Table1[[#This Row],[order_time]])</f>
        <v>14</v>
      </c>
      <c r="H2487" s="2">
        <v>0.5837268518518518</v>
      </c>
      <c r="I2487" t="s">
        <v>11</v>
      </c>
      <c r="J2487" t="s">
        <v>12</v>
      </c>
      <c r="K2487">
        <v>2</v>
      </c>
      <c r="L2487">
        <v>650</v>
      </c>
      <c r="M2487">
        <v>1300</v>
      </c>
      <c r="N2487">
        <f>IF(COUNTIFS($B$2:B2487,B2487)=1,1,0)</f>
        <v>0</v>
      </c>
    </row>
    <row r="2488" spans="1:14" x14ac:dyDescent="0.2">
      <c r="A2488">
        <v>2487</v>
      </c>
      <c r="B2488">
        <v>2255</v>
      </c>
      <c r="C2488">
        <f>1/COUNTIF(B:B,Table1[[#This Row],[order_id]])</f>
        <v>0.33333333333333331</v>
      </c>
      <c r="D2488" t="str">
        <f>TEXT(Table1[[#This Row],[order_date]],"mmmm")</f>
        <v>July</v>
      </c>
      <c r="E2488" s="1">
        <v>45485</v>
      </c>
      <c r="F2488" s="1" t="str">
        <f>TEXT(Table1[[#This Row],[order_date]],"dddd")</f>
        <v>Friday</v>
      </c>
      <c r="G2488">
        <f>HOUR(Table1[[#This Row],[order_time]])</f>
        <v>11</v>
      </c>
      <c r="H2488" s="2">
        <v>0.4982523148148148</v>
      </c>
      <c r="I2488" t="s">
        <v>11</v>
      </c>
      <c r="J2488" t="s">
        <v>15</v>
      </c>
      <c r="K2488">
        <v>1</v>
      </c>
      <c r="L2488">
        <v>600</v>
      </c>
      <c r="M2488">
        <v>600</v>
      </c>
      <c r="N2488">
        <f>IF(COUNTIFS($B$2:B2488,B2488)=1,1,0)</f>
        <v>1</v>
      </c>
    </row>
    <row r="2489" spans="1:14" x14ac:dyDescent="0.2">
      <c r="A2489">
        <v>2488</v>
      </c>
      <c r="B2489">
        <v>2255</v>
      </c>
      <c r="C2489">
        <f>1/COUNTIF(B:B,Table1[[#This Row],[order_id]])</f>
        <v>0.33333333333333331</v>
      </c>
      <c r="D2489" t="str">
        <f>TEXT(Table1[[#This Row],[order_date]],"mmmm")</f>
        <v>July</v>
      </c>
      <c r="E2489" s="1">
        <v>45485</v>
      </c>
      <c r="F2489" s="1" t="str">
        <f>TEXT(Table1[[#This Row],[order_date]],"dddd")</f>
        <v>Friday</v>
      </c>
      <c r="G2489">
        <f>HOUR(Table1[[#This Row],[order_time]])</f>
        <v>15</v>
      </c>
      <c r="H2489" s="2">
        <v>0.63155092592592588</v>
      </c>
      <c r="I2489" t="s">
        <v>11</v>
      </c>
      <c r="J2489" t="s">
        <v>25</v>
      </c>
      <c r="K2489">
        <v>1</v>
      </c>
      <c r="L2489">
        <v>1000</v>
      </c>
      <c r="M2489">
        <v>1000</v>
      </c>
      <c r="N2489">
        <f>IF(COUNTIFS($B$2:B2489,B2489)=1,1,0)</f>
        <v>0</v>
      </c>
    </row>
    <row r="2490" spans="1:14" x14ac:dyDescent="0.2">
      <c r="A2490">
        <v>2489</v>
      </c>
      <c r="B2490">
        <v>2255</v>
      </c>
      <c r="C2490">
        <f>1/COUNTIF(B:B,Table1[[#This Row],[order_id]])</f>
        <v>0.33333333333333331</v>
      </c>
      <c r="D2490" t="str">
        <f>TEXT(Table1[[#This Row],[order_date]],"mmmm")</f>
        <v>July</v>
      </c>
      <c r="E2490" s="1">
        <v>45485</v>
      </c>
      <c r="F2490" s="1" t="str">
        <f>TEXT(Table1[[#This Row],[order_date]],"dddd")</f>
        <v>Friday</v>
      </c>
      <c r="G2490">
        <f>HOUR(Table1[[#This Row],[order_time]])</f>
        <v>14</v>
      </c>
      <c r="H2490" s="2">
        <v>0.60256944444444449</v>
      </c>
      <c r="I2490" t="s">
        <v>11</v>
      </c>
      <c r="J2490" t="s">
        <v>12</v>
      </c>
      <c r="K2490">
        <v>1</v>
      </c>
      <c r="L2490">
        <v>650</v>
      </c>
      <c r="M2490">
        <v>650</v>
      </c>
      <c r="N2490">
        <f>IF(COUNTIFS($B$2:B2490,B2490)=1,1,0)</f>
        <v>0</v>
      </c>
    </row>
    <row r="2491" spans="1:14" x14ac:dyDescent="0.2">
      <c r="A2491">
        <v>2490</v>
      </c>
      <c r="B2491">
        <v>2256</v>
      </c>
      <c r="C2491">
        <f>1/COUNTIF(B:B,Table1[[#This Row],[order_id]])</f>
        <v>0.5</v>
      </c>
      <c r="D2491" t="str">
        <f>TEXT(Table1[[#This Row],[order_date]],"mmmm")</f>
        <v>July</v>
      </c>
      <c r="E2491" s="1">
        <v>45485</v>
      </c>
      <c r="F2491" s="1" t="str">
        <f>TEXT(Table1[[#This Row],[order_date]],"dddd")</f>
        <v>Friday</v>
      </c>
      <c r="G2491">
        <f>HOUR(Table1[[#This Row],[order_time]])</f>
        <v>18</v>
      </c>
      <c r="H2491" s="2">
        <v>0.77553240740740736</v>
      </c>
      <c r="I2491" t="s">
        <v>9</v>
      </c>
      <c r="J2491" t="s">
        <v>10</v>
      </c>
      <c r="K2491">
        <v>5</v>
      </c>
      <c r="L2491">
        <v>20</v>
      </c>
      <c r="M2491">
        <v>100</v>
      </c>
      <c r="N2491">
        <f>IF(COUNTIFS($B$2:B2491,B2491)=1,1,0)</f>
        <v>1</v>
      </c>
    </row>
    <row r="2492" spans="1:14" x14ac:dyDescent="0.2">
      <c r="A2492">
        <v>2491</v>
      </c>
      <c r="B2492">
        <v>2256</v>
      </c>
      <c r="C2492">
        <f>1/COUNTIF(B:B,Table1[[#This Row],[order_id]])</f>
        <v>0.5</v>
      </c>
      <c r="D2492" t="str">
        <f>TEXT(Table1[[#This Row],[order_date]],"mmmm")</f>
        <v>July</v>
      </c>
      <c r="E2492" s="1">
        <v>45485</v>
      </c>
      <c r="F2492" s="1" t="str">
        <f>TEXT(Table1[[#This Row],[order_date]],"dddd")</f>
        <v>Friday</v>
      </c>
      <c r="G2492">
        <f>HOUR(Table1[[#This Row],[order_time]])</f>
        <v>18</v>
      </c>
      <c r="H2492" s="2">
        <v>0.7707060185185185</v>
      </c>
      <c r="I2492" t="s">
        <v>18</v>
      </c>
      <c r="J2492" t="s">
        <v>19</v>
      </c>
      <c r="K2492">
        <v>1</v>
      </c>
      <c r="L2492">
        <v>50</v>
      </c>
      <c r="M2492">
        <v>50</v>
      </c>
      <c r="N2492">
        <f>IF(COUNTIFS($B$2:B2492,B2492)=1,1,0)</f>
        <v>0</v>
      </c>
    </row>
    <row r="2493" spans="1:14" x14ac:dyDescent="0.2">
      <c r="A2493">
        <v>2492</v>
      </c>
      <c r="B2493">
        <v>2257</v>
      </c>
      <c r="C2493">
        <f>1/COUNTIF(B:B,Table1[[#This Row],[order_id]])</f>
        <v>0.5</v>
      </c>
      <c r="D2493" t="str">
        <f>TEXT(Table1[[#This Row],[order_date]],"mmmm")</f>
        <v>July</v>
      </c>
      <c r="E2493" s="1">
        <v>45486</v>
      </c>
      <c r="F2493" s="1" t="str">
        <f>TEXT(Table1[[#This Row],[order_date]],"dddd")</f>
        <v>Saturday</v>
      </c>
      <c r="G2493">
        <f>HOUR(Table1[[#This Row],[order_time]])</f>
        <v>19</v>
      </c>
      <c r="H2493" s="2">
        <v>0.81468750000000001</v>
      </c>
      <c r="I2493" t="s">
        <v>11</v>
      </c>
      <c r="J2493" t="s">
        <v>13</v>
      </c>
      <c r="K2493">
        <v>2</v>
      </c>
      <c r="L2493">
        <v>680</v>
      </c>
      <c r="M2493">
        <v>1360</v>
      </c>
      <c r="N2493">
        <f>IF(COUNTIFS($B$2:B2493,B2493)=1,1,0)</f>
        <v>1</v>
      </c>
    </row>
    <row r="2494" spans="1:14" x14ac:dyDescent="0.2">
      <c r="A2494">
        <v>2493</v>
      </c>
      <c r="B2494">
        <v>2257</v>
      </c>
      <c r="C2494">
        <f>1/COUNTIF(B:B,Table1[[#This Row],[order_id]])</f>
        <v>0.5</v>
      </c>
      <c r="D2494" t="str">
        <f>TEXT(Table1[[#This Row],[order_date]],"mmmm")</f>
        <v>July</v>
      </c>
      <c r="E2494" s="1">
        <v>45486</v>
      </c>
      <c r="F2494" s="1" t="str">
        <f>TEXT(Table1[[#This Row],[order_date]],"dddd")</f>
        <v>Saturday</v>
      </c>
      <c r="G2494">
        <f>HOUR(Table1[[#This Row],[order_time]])</f>
        <v>9</v>
      </c>
      <c r="H2494" s="2">
        <v>0.3825115740740741</v>
      </c>
      <c r="I2494" t="s">
        <v>11</v>
      </c>
      <c r="J2494" t="s">
        <v>13</v>
      </c>
      <c r="K2494">
        <v>5</v>
      </c>
      <c r="L2494">
        <v>680</v>
      </c>
      <c r="M2494">
        <v>3400</v>
      </c>
      <c r="N2494">
        <f>IF(COUNTIFS($B$2:B2494,B2494)=1,1,0)</f>
        <v>0</v>
      </c>
    </row>
    <row r="2495" spans="1:14" x14ac:dyDescent="0.2">
      <c r="A2495">
        <v>2494</v>
      </c>
      <c r="B2495">
        <v>2258</v>
      </c>
      <c r="C2495">
        <f>1/COUNTIF(B:B,Table1[[#This Row],[order_id]])</f>
        <v>0.33333333333333331</v>
      </c>
      <c r="D2495" t="str">
        <f>TEXT(Table1[[#This Row],[order_date]],"mmmm")</f>
        <v>July</v>
      </c>
      <c r="E2495" s="1">
        <v>45486</v>
      </c>
      <c r="F2495" s="1" t="str">
        <f>TEXT(Table1[[#This Row],[order_date]],"dddd")</f>
        <v>Saturday</v>
      </c>
      <c r="G2495">
        <f>HOUR(Table1[[#This Row],[order_time]])</f>
        <v>20</v>
      </c>
      <c r="H2495" s="2">
        <v>0.8607407407407407</v>
      </c>
      <c r="I2495" t="s">
        <v>16</v>
      </c>
      <c r="J2495" t="s">
        <v>24</v>
      </c>
      <c r="K2495">
        <v>1</v>
      </c>
      <c r="L2495">
        <v>35</v>
      </c>
      <c r="M2495">
        <v>35</v>
      </c>
      <c r="N2495">
        <f>IF(COUNTIFS($B$2:B2495,B2495)=1,1,0)</f>
        <v>1</v>
      </c>
    </row>
    <row r="2496" spans="1:14" x14ac:dyDescent="0.2">
      <c r="A2496">
        <v>2495</v>
      </c>
      <c r="B2496">
        <v>2258</v>
      </c>
      <c r="C2496">
        <f>1/COUNTIF(B:B,Table1[[#This Row],[order_id]])</f>
        <v>0.33333333333333331</v>
      </c>
      <c r="D2496" t="str">
        <f>TEXT(Table1[[#This Row],[order_date]],"mmmm")</f>
        <v>July</v>
      </c>
      <c r="E2496" s="1">
        <v>45486</v>
      </c>
      <c r="F2496" s="1" t="str">
        <f>TEXT(Table1[[#This Row],[order_date]],"dddd")</f>
        <v>Saturday</v>
      </c>
      <c r="G2496">
        <f>HOUR(Table1[[#This Row],[order_time]])</f>
        <v>17</v>
      </c>
      <c r="H2496" s="2">
        <v>0.73396990740740742</v>
      </c>
      <c r="I2496" t="s">
        <v>16</v>
      </c>
      <c r="J2496" t="s">
        <v>23</v>
      </c>
      <c r="K2496">
        <v>2</v>
      </c>
      <c r="L2496">
        <v>30</v>
      </c>
      <c r="M2496">
        <v>60</v>
      </c>
      <c r="N2496">
        <f>IF(COUNTIFS($B$2:B2496,B2496)=1,1,0)</f>
        <v>0</v>
      </c>
    </row>
    <row r="2497" spans="1:14" x14ac:dyDescent="0.2">
      <c r="A2497">
        <v>2496</v>
      </c>
      <c r="B2497">
        <v>2258</v>
      </c>
      <c r="C2497">
        <f>1/COUNTIF(B:B,Table1[[#This Row],[order_id]])</f>
        <v>0.33333333333333331</v>
      </c>
      <c r="D2497" t="str">
        <f>TEXT(Table1[[#This Row],[order_date]],"mmmm")</f>
        <v>July</v>
      </c>
      <c r="E2497" s="1">
        <v>45486</v>
      </c>
      <c r="F2497" s="1" t="str">
        <f>TEXT(Table1[[#This Row],[order_date]],"dddd")</f>
        <v>Saturday</v>
      </c>
      <c r="G2497">
        <f>HOUR(Table1[[#This Row],[order_time]])</f>
        <v>19</v>
      </c>
      <c r="H2497" s="2">
        <v>0.79344907407407406</v>
      </c>
      <c r="I2497" t="s">
        <v>9</v>
      </c>
      <c r="J2497" t="s">
        <v>29</v>
      </c>
      <c r="K2497">
        <v>2</v>
      </c>
      <c r="L2497">
        <v>5</v>
      </c>
      <c r="M2497">
        <v>10</v>
      </c>
      <c r="N2497">
        <f>IF(COUNTIFS($B$2:B2497,B2497)=1,1,0)</f>
        <v>0</v>
      </c>
    </row>
    <row r="2498" spans="1:14" x14ac:dyDescent="0.2">
      <c r="A2498">
        <v>2497</v>
      </c>
      <c r="B2498">
        <v>2259</v>
      </c>
      <c r="C2498">
        <f>1/COUNTIF(B:B,Table1[[#This Row],[order_id]])</f>
        <v>0.5</v>
      </c>
      <c r="D2498" t="str">
        <f>TEXT(Table1[[#This Row],[order_date]],"mmmm")</f>
        <v>July</v>
      </c>
      <c r="E2498" s="1">
        <v>45486</v>
      </c>
      <c r="F2498" s="1" t="str">
        <f>TEXT(Table1[[#This Row],[order_date]],"dddd")</f>
        <v>Saturday</v>
      </c>
      <c r="G2498">
        <f>HOUR(Table1[[#This Row],[order_time]])</f>
        <v>17</v>
      </c>
      <c r="H2498" s="2">
        <v>0.73445601851851849</v>
      </c>
      <c r="I2498" t="s">
        <v>11</v>
      </c>
      <c r="J2498" t="s">
        <v>15</v>
      </c>
      <c r="K2498">
        <v>2</v>
      </c>
      <c r="L2498">
        <v>600</v>
      </c>
      <c r="M2498">
        <v>1200</v>
      </c>
      <c r="N2498">
        <f>IF(COUNTIFS($B$2:B2498,B2498)=1,1,0)</f>
        <v>1</v>
      </c>
    </row>
    <row r="2499" spans="1:14" x14ac:dyDescent="0.2">
      <c r="A2499">
        <v>2498</v>
      </c>
      <c r="B2499">
        <v>2259</v>
      </c>
      <c r="C2499">
        <f>1/COUNTIF(B:B,Table1[[#This Row],[order_id]])</f>
        <v>0.5</v>
      </c>
      <c r="D2499" t="str">
        <f>TEXT(Table1[[#This Row],[order_date]],"mmmm")</f>
        <v>July</v>
      </c>
      <c r="E2499" s="1">
        <v>45486</v>
      </c>
      <c r="F2499" s="1" t="str">
        <f>TEXT(Table1[[#This Row],[order_date]],"dddd")</f>
        <v>Saturday</v>
      </c>
      <c r="G2499">
        <f>HOUR(Table1[[#This Row],[order_time]])</f>
        <v>19</v>
      </c>
      <c r="H2499" s="2">
        <v>0.82362268518518522</v>
      </c>
      <c r="I2499" t="s">
        <v>18</v>
      </c>
      <c r="J2499" t="s">
        <v>27</v>
      </c>
      <c r="K2499">
        <v>3</v>
      </c>
      <c r="L2499">
        <v>40</v>
      </c>
      <c r="M2499">
        <v>120</v>
      </c>
      <c r="N2499">
        <f>IF(COUNTIFS($B$2:B2499,B2499)=1,1,0)</f>
        <v>0</v>
      </c>
    </row>
    <row r="2500" spans="1:14" x14ac:dyDescent="0.2">
      <c r="A2500">
        <v>2499</v>
      </c>
      <c r="B2500">
        <v>2260</v>
      </c>
      <c r="C2500">
        <f>1/COUNTIF(B:B,Table1[[#This Row],[order_id]])</f>
        <v>1</v>
      </c>
      <c r="D2500" t="str">
        <f>TEXT(Table1[[#This Row],[order_date]],"mmmm")</f>
        <v>July</v>
      </c>
      <c r="E2500" s="1">
        <v>45486</v>
      </c>
      <c r="F2500" s="1" t="str">
        <f>TEXT(Table1[[#This Row],[order_date]],"dddd")</f>
        <v>Saturday</v>
      </c>
      <c r="G2500">
        <f>HOUR(Table1[[#This Row],[order_time]])</f>
        <v>9</v>
      </c>
      <c r="H2500" s="2">
        <v>0.39884259259259258</v>
      </c>
      <c r="I2500" t="s">
        <v>18</v>
      </c>
      <c r="J2500" t="s">
        <v>26</v>
      </c>
      <c r="K2500">
        <v>5</v>
      </c>
      <c r="L2500">
        <v>55</v>
      </c>
      <c r="M2500">
        <v>275</v>
      </c>
      <c r="N2500">
        <f>IF(COUNTIFS($B$2:B2500,B2500)=1,1,0)</f>
        <v>1</v>
      </c>
    </row>
    <row r="2501" spans="1:14" x14ac:dyDescent="0.2">
      <c r="A2501">
        <v>2500</v>
      </c>
      <c r="B2501">
        <v>2261</v>
      </c>
      <c r="C2501">
        <f>1/COUNTIF(B:B,Table1[[#This Row],[order_id]])</f>
        <v>0.5</v>
      </c>
      <c r="D2501" t="str">
        <f>TEXT(Table1[[#This Row],[order_date]],"mmmm")</f>
        <v>July</v>
      </c>
      <c r="E2501" s="1">
        <v>45486</v>
      </c>
      <c r="F2501" s="1" t="str">
        <f>TEXT(Table1[[#This Row],[order_date]],"dddd")</f>
        <v>Saturday</v>
      </c>
      <c r="G2501">
        <f>HOUR(Table1[[#This Row],[order_time]])</f>
        <v>13</v>
      </c>
      <c r="H2501" s="2">
        <v>0.57996527777777773</v>
      </c>
      <c r="I2501" t="s">
        <v>18</v>
      </c>
      <c r="J2501" t="s">
        <v>30</v>
      </c>
      <c r="K2501">
        <v>5</v>
      </c>
      <c r="L2501">
        <v>60</v>
      </c>
      <c r="M2501">
        <v>300</v>
      </c>
      <c r="N2501">
        <f>IF(COUNTIFS($B$2:B2501,B2501)=1,1,0)</f>
        <v>1</v>
      </c>
    </row>
    <row r="2502" spans="1:14" x14ac:dyDescent="0.2">
      <c r="A2502">
        <v>2501</v>
      </c>
      <c r="B2502">
        <v>2261</v>
      </c>
      <c r="C2502">
        <f>1/COUNTIF(B:B,Table1[[#This Row],[order_id]])</f>
        <v>0.5</v>
      </c>
      <c r="D2502" t="str">
        <f>TEXT(Table1[[#This Row],[order_date]],"mmmm")</f>
        <v>July</v>
      </c>
      <c r="E2502" s="1">
        <v>45486</v>
      </c>
      <c r="F2502" s="1" t="str">
        <f>TEXT(Table1[[#This Row],[order_date]],"dddd")</f>
        <v>Saturday</v>
      </c>
      <c r="G2502">
        <f>HOUR(Table1[[#This Row],[order_time]])</f>
        <v>19</v>
      </c>
      <c r="H2502" s="2">
        <v>0.80858796296296298</v>
      </c>
      <c r="I2502" t="s">
        <v>18</v>
      </c>
      <c r="J2502" t="s">
        <v>26</v>
      </c>
      <c r="K2502">
        <v>5</v>
      </c>
      <c r="L2502">
        <v>55</v>
      </c>
      <c r="M2502">
        <v>275</v>
      </c>
      <c r="N2502">
        <f>IF(COUNTIFS($B$2:B2502,B2502)=1,1,0)</f>
        <v>0</v>
      </c>
    </row>
    <row r="2503" spans="1:14" x14ac:dyDescent="0.2">
      <c r="A2503">
        <v>2502</v>
      </c>
      <c r="B2503">
        <v>2262</v>
      </c>
      <c r="C2503">
        <f>1/COUNTIF(B:B,Table1[[#This Row],[order_id]])</f>
        <v>1</v>
      </c>
      <c r="D2503" t="str">
        <f>TEXT(Table1[[#This Row],[order_date]],"mmmm")</f>
        <v>July</v>
      </c>
      <c r="E2503" s="1">
        <v>45486</v>
      </c>
      <c r="F2503" s="1" t="str">
        <f>TEXT(Table1[[#This Row],[order_date]],"dddd")</f>
        <v>Saturday</v>
      </c>
      <c r="G2503">
        <f>HOUR(Table1[[#This Row],[order_time]])</f>
        <v>13</v>
      </c>
      <c r="H2503" s="2">
        <v>0.57885416666666667</v>
      </c>
      <c r="I2503" t="s">
        <v>9</v>
      </c>
      <c r="J2503" t="s">
        <v>20</v>
      </c>
      <c r="K2503">
        <v>4</v>
      </c>
      <c r="L2503">
        <v>25</v>
      </c>
      <c r="M2503">
        <v>100</v>
      </c>
      <c r="N2503">
        <f>IF(COUNTIFS($B$2:B2503,B2503)=1,1,0)</f>
        <v>1</v>
      </c>
    </row>
    <row r="2504" spans="1:14" x14ac:dyDescent="0.2">
      <c r="A2504">
        <v>2503</v>
      </c>
      <c r="B2504">
        <v>2263</v>
      </c>
      <c r="C2504">
        <f>1/COUNTIF(B:B,Table1[[#This Row],[order_id]])</f>
        <v>0.5</v>
      </c>
      <c r="D2504" t="str">
        <f>TEXT(Table1[[#This Row],[order_date]],"mmmm")</f>
        <v>July</v>
      </c>
      <c r="E2504" s="1">
        <v>45486</v>
      </c>
      <c r="F2504" s="1" t="str">
        <f>TEXT(Table1[[#This Row],[order_date]],"dddd")</f>
        <v>Saturday</v>
      </c>
      <c r="G2504">
        <f>HOUR(Table1[[#This Row],[order_time]])</f>
        <v>15</v>
      </c>
      <c r="H2504" s="2">
        <v>0.6647453703703704</v>
      </c>
      <c r="I2504" t="s">
        <v>9</v>
      </c>
      <c r="J2504" t="s">
        <v>22</v>
      </c>
      <c r="K2504">
        <v>3</v>
      </c>
      <c r="L2504">
        <v>15</v>
      </c>
      <c r="M2504">
        <v>45</v>
      </c>
      <c r="N2504">
        <f>IF(COUNTIFS($B$2:B2504,B2504)=1,1,0)</f>
        <v>1</v>
      </c>
    </row>
    <row r="2505" spans="1:14" x14ac:dyDescent="0.2">
      <c r="A2505">
        <v>2504</v>
      </c>
      <c r="B2505">
        <v>2263</v>
      </c>
      <c r="C2505">
        <f>1/COUNTIF(B:B,Table1[[#This Row],[order_id]])</f>
        <v>0.5</v>
      </c>
      <c r="D2505" t="str">
        <f>TEXT(Table1[[#This Row],[order_date]],"mmmm")</f>
        <v>July</v>
      </c>
      <c r="E2505" s="1">
        <v>45486</v>
      </c>
      <c r="F2505" s="1" t="str">
        <f>TEXT(Table1[[#This Row],[order_date]],"dddd")</f>
        <v>Saturday</v>
      </c>
      <c r="G2505">
        <f>HOUR(Table1[[#This Row],[order_time]])</f>
        <v>20</v>
      </c>
      <c r="H2505" s="2">
        <v>0.86296296296296293</v>
      </c>
      <c r="I2505" t="s">
        <v>16</v>
      </c>
      <c r="J2505" t="s">
        <v>23</v>
      </c>
      <c r="K2505">
        <v>1</v>
      </c>
      <c r="L2505">
        <v>30</v>
      </c>
      <c r="M2505">
        <v>30</v>
      </c>
      <c r="N2505">
        <f>IF(COUNTIFS($B$2:B2505,B2505)=1,1,0)</f>
        <v>0</v>
      </c>
    </row>
    <row r="2506" spans="1:14" x14ac:dyDescent="0.2">
      <c r="A2506">
        <v>2505</v>
      </c>
      <c r="B2506">
        <v>2264</v>
      </c>
      <c r="C2506">
        <f>1/COUNTIF(B:B,Table1[[#This Row],[order_id]])</f>
        <v>0.33333333333333331</v>
      </c>
      <c r="D2506" t="str">
        <f>TEXT(Table1[[#This Row],[order_date]],"mmmm")</f>
        <v>July</v>
      </c>
      <c r="E2506" s="1">
        <v>45487</v>
      </c>
      <c r="F2506" s="1" t="str">
        <f>TEXT(Table1[[#This Row],[order_date]],"dddd")</f>
        <v>Sunday</v>
      </c>
      <c r="G2506">
        <f>HOUR(Table1[[#This Row],[order_time]])</f>
        <v>11</v>
      </c>
      <c r="H2506" s="2">
        <v>0.49615740740740738</v>
      </c>
      <c r="I2506" t="s">
        <v>9</v>
      </c>
      <c r="J2506" t="s">
        <v>21</v>
      </c>
      <c r="K2506">
        <v>4</v>
      </c>
      <c r="L2506">
        <v>10</v>
      </c>
      <c r="M2506">
        <v>40</v>
      </c>
      <c r="N2506">
        <f>IF(COUNTIFS($B$2:B2506,B2506)=1,1,0)</f>
        <v>1</v>
      </c>
    </row>
    <row r="2507" spans="1:14" x14ac:dyDescent="0.2">
      <c r="A2507">
        <v>2506</v>
      </c>
      <c r="B2507">
        <v>2264</v>
      </c>
      <c r="C2507">
        <f>1/COUNTIF(B:B,Table1[[#This Row],[order_id]])</f>
        <v>0.33333333333333331</v>
      </c>
      <c r="D2507" t="str">
        <f>TEXT(Table1[[#This Row],[order_date]],"mmmm")</f>
        <v>July</v>
      </c>
      <c r="E2507" s="1">
        <v>45487</v>
      </c>
      <c r="F2507" s="1" t="str">
        <f>TEXT(Table1[[#This Row],[order_date]],"dddd")</f>
        <v>Sunday</v>
      </c>
      <c r="G2507">
        <f>HOUR(Table1[[#This Row],[order_time]])</f>
        <v>14</v>
      </c>
      <c r="H2507" s="2">
        <v>0.59991898148148148</v>
      </c>
      <c r="I2507" t="s">
        <v>18</v>
      </c>
      <c r="J2507" t="s">
        <v>19</v>
      </c>
      <c r="K2507">
        <v>5</v>
      </c>
      <c r="L2507">
        <v>50</v>
      </c>
      <c r="M2507">
        <v>250</v>
      </c>
      <c r="N2507">
        <f>IF(COUNTIFS($B$2:B2507,B2507)=1,1,0)</f>
        <v>0</v>
      </c>
    </row>
    <row r="2508" spans="1:14" x14ac:dyDescent="0.2">
      <c r="A2508">
        <v>2507</v>
      </c>
      <c r="B2508">
        <v>2264</v>
      </c>
      <c r="C2508">
        <f>1/COUNTIF(B:B,Table1[[#This Row],[order_id]])</f>
        <v>0.33333333333333331</v>
      </c>
      <c r="D2508" t="str">
        <f>TEXT(Table1[[#This Row],[order_date]],"mmmm")</f>
        <v>July</v>
      </c>
      <c r="E2508" s="1">
        <v>45487</v>
      </c>
      <c r="F2508" s="1" t="str">
        <f>TEXT(Table1[[#This Row],[order_date]],"dddd")</f>
        <v>Sunday</v>
      </c>
      <c r="G2508">
        <f>HOUR(Table1[[#This Row],[order_time]])</f>
        <v>16</v>
      </c>
      <c r="H2508" s="2">
        <v>0.67887731481481484</v>
      </c>
      <c r="I2508" t="s">
        <v>16</v>
      </c>
      <c r="J2508" t="s">
        <v>24</v>
      </c>
      <c r="K2508">
        <v>5</v>
      </c>
      <c r="L2508">
        <v>35</v>
      </c>
      <c r="M2508">
        <v>175</v>
      </c>
      <c r="N2508">
        <f>IF(COUNTIFS($B$2:B2508,B2508)=1,1,0)</f>
        <v>0</v>
      </c>
    </row>
    <row r="2509" spans="1:14" x14ac:dyDescent="0.2">
      <c r="A2509">
        <v>2508</v>
      </c>
      <c r="B2509">
        <v>2265</v>
      </c>
      <c r="C2509">
        <f>1/COUNTIF(B:B,Table1[[#This Row],[order_id]])</f>
        <v>0.5</v>
      </c>
      <c r="D2509" t="str">
        <f>TEXT(Table1[[#This Row],[order_date]],"mmmm")</f>
        <v>July</v>
      </c>
      <c r="E2509" s="1">
        <v>45487</v>
      </c>
      <c r="F2509" s="1" t="str">
        <f>TEXT(Table1[[#This Row],[order_date]],"dddd")</f>
        <v>Sunday</v>
      </c>
      <c r="G2509">
        <f>HOUR(Table1[[#This Row],[order_time]])</f>
        <v>11</v>
      </c>
      <c r="H2509" s="2">
        <v>0.49226851851851849</v>
      </c>
      <c r="I2509" t="s">
        <v>9</v>
      </c>
      <c r="J2509" t="s">
        <v>21</v>
      </c>
      <c r="K2509">
        <v>3</v>
      </c>
      <c r="L2509">
        <v>10</v>
      </c>
      <c r="M2509">
        <v>30</v>
      </c>
      <c r="N2509">
        <f>IF(COUNTIFS($B$2:B2509,B2509)=1,1,0)</f>
        <v>1</v>
      </c>
    </row>
    <row r="2510" spans="1:14" x14ac:dyDescent="0.2">
      <c r="A2510">
        <v>2509</v>
      </c>
      <c r="B2510">
        <v>2265</v>
      </c>
      <c r="C2510">
        <f>1/COUNTIF(B:B,Table1[[#This Row],[order_id]])</f>
        <v>0.5</v>
      </c>
      <c r="D2510" t="str">
        <f>TEXT(Table1[[#This Row],[order_date]],"mmmm")</f>
        <v>July</v>
      </c>
      <c r="E2510" s="1">
        <v>45487</v>
      </c>
      <c r="F2510" s="1" t="str">
        <f>TEXT(Table1[[#This Row],[order_date]],"dddd")</f>
        <v>Sunday</v>
      </c>
      <c r="G2510">
        <f>HOUR(Table1[[#This Row],[order_time]])</f>
        <v>10</v>
      </c>
      <c r="H2510" s="2">
        <v>0.44343749999999998</v>
      </c>
      <c r="I2510" t="s">
        <v>18</v>
      </c>
      <c r="J2510" t="s">
        <v>31</v>
      </c>
      <c r="K2510">
        <v>4</v>
      </c>
      <c r="L2510">
        <v>45</v>
      </c>
      <c r="M2510">
        <v>180</v>
      </c>
      <c r="N2510">
        <f>IF(COUNTIFS($B$2:B2510,B2510)=1,1,0)</f>
        <v>0</v>
      </c>
    </row>
    <row r="2511" spans="1:14" x14ac:dyDescent="0.2">
      <c r="A2511">
        <v>2510</v>
      </c>
      <c r="B2511">
        <v>2266</v>
      </c>
      <c r="C2511">
        <f>1/COUNTIF(B:B,Table1[[#This Row],[order_id]])</f>
        <v>1</v>
      </c>
      <c r="D2511" t="str">
        <f>TEXT(Table1[[#This Row],[order_date]],"mmmm")</f>
        <v>July</v>
      </c>
      <c r="E2511" s="1">
        <v>45487</v>
      </c>
      <c r="F2511" s="1" t="str">
        <f>TEXT(Table1[[#This Row],[order_date]],"dddd")</f>
        <v>Sunday</v>
      </c>
      <c r="G2511">
        <f>HOUR(Table1[[#This Row],[order_time]])</f>
        <v>9</v>
      </c>
      <c r="H2511" s="2">
        <v>0.3919097222222222</v>
      </c>
      <c r="I2511" t="s">
        <v>16</v>
      </c>
      <c r="J2511" t="s">
        <v>28</v>
      </c>
      <c r="K2511">
        <v>4</v>
      </c>
      <c r="L2511">
        <v>25</v>
      </c>
      <c r="M2511">
        <v>100</v>
      </c>
      <c r="N2511">
        <f>IF(COUNTIFS($B$2:B2511,B2511)=1,1,0)</f>
        <v>1</v>
      </c>
    </row>
    <row r="2512" spans="1:14" x14ac:dyDescent="0.2">
      <c r="A2512">
        <v>2511</v>
      </c>
      <c r="B2512">
        <v>2267</v>
      </c>
      <c r="C2512">
        <f>1/COUNTIF(B:B,Table1[[#This Row],[order_id]])</f>
        <v>0.5</v>
      </c>
      <c r="D2512" t="str">
        <f>TEXT(Table1[[#This Row],[order_date]],"mmmm")</f>
        <v>July</v>
      </c>
      <c r="E2512" s="1">
        <v>45487</v>
      </c>
      <c r="F2512" s="1" t="str">
        <f>TEXT(Table1[[#This Row],[order_date]],"dddd")</f>
        <v>Sunday</v>
      </c>
      <c r="G2512">
        <f>HOUR(Table1[[#This Row],[order_time]])</f>
        <v>18</v>
      </c>
      <c r="H2512" s="2">
        <v>0.78434027777777782</v>
      </c>
      <c r="I2512" t="s">
        <v>16</v>
      </c>
      <c r="J2512" t="s">
        <v>28</v>
      </c>
      <c r="K2512">
        <v>5</v>
      </c>
      <c r="L2512">
        <v>25</v>
      </c>
      <c r="M2512">
        <v>125</v>
      </c>
      <c r="N2512">
        <f>IF(COUNTIFS($B$2:B2512,B2512)=1,1,0)</f>
        <v>1</v>
      </c>
    </row>
    <row r="2513" spans="1:14" x14ac:dyDescent="0.2">
      <c r="A2513">
        <v>2512</v>
      </c>
      <c r="B2513">
        <v>2267</v>
      </c>
      <c r="C2513">
        <f>1/COUNTIF(B:B,Table1[[#This Row],[order_id]])</f>
        <v>0.5</v>
      </c>
      <c r="D2513" t="str">
        <f>TEXT(Table1[[#This Row],[order_date]],"mmmm")</f>
        <v>July</v>
      </c>
      <c r="E2513" s="1">
        <v>45487</v>
      </c>
      <c r="F2513" s="1" t="str">
        <f>TEXT(Table1[[#This Row],[order_date]],"dddd")</f>
        <v>Sunday</v>
      </c>
      <c r="G2513">
        <f>HOUR(Table1[[#This Row],[order_time]])</f>
        <v>11</v>
      </c>
      <c r="H2513" s="2">
        <v>0.49508101851851855</v>
      </c>
      <c r="I2513" t="s">
        <v>16</v>
      </c>
      <c r="J2513" t="s">
        <v>28</v>
      </c>
      <c r="K2513">
        <v>5</v>
      </c>
      <c r="L2513">
        <v>25</v>
      </c>
      <c r="M2513">
        <v>125</v>
      </c>
      <c r="N2513">
        <f>IF(COUNTIFS($B$2:B2513,B2513)=1,1,0)</f>
        <v>0</v>
      </c>
    </row>
    <row r="2514" spans="1:14" x14ac:dyDescent="0.2">
      <c r="A2514">
        <v>2513</v>
      </c>
      <c r="B2514">
        <v>2268</v>
      </c>
      <c r="C2514">
        <f>1/COUNTIF(B:B,Table1[[#This Row],[order_id]])</f>
        <v>0.5</v>
      </c>
      <c r="D2514" t="str">
        <f>TEXT(Table1[[#This Row],[order_date]],"mmmm")</f>
        <v>July</v>
      </c>
      <c r="E2514" s="1">
        <v>45487</v>
      </c>
      <c r="F2514" s="1" t="str">
        <f>TEXT(Table1[[#This Row],[order_date]],"dddd")</f>
        <v>Sunday</v>
      </c>
      <c r="G2514">
        <f>HOUR(Table1[[#This Row],[order_time]])</f>
        <v>17</v>
      </c>
      <c r="H2514" s="2">
        <v>0.74087962962962961</v>
      </c>
      <c r="I2514" t="s">
        <v>9</v>
      </c>
      <c r="J2514" t="s">
        <v>21</v>
      </c>
      <c r="K2514">
        <v>4</v>
      </c>
      <c r="L2514">
        <v>10</v>
      </c>
      <c r="M2514">
        <v>40</v>
      </c>
      <c r="N2514">
        <f>IF(COUNTIFS($B$2:B2514,B2514)=1,1,0)</f>
        <v>1</v>
      </c>
    </row>
    <row r="2515" spans="1:14" x14ac:dyDescent="0.2">
      <c r="A2515">
        <v>2514</v>
      </c>
      <c r="B2515">
        <v>2268</v>
      </c>
      <c r="C2515">
        <f>1/COUNTIF(B:B,Table1[[#This Row],[order_id]])</f>
        <v>0.5</v>
      </c>
      <c r="D2515" t="str">
        <f>TEXT(Table1[[#This Row],[order_date]],"mmmm")</f>
        <v>July</v>
      </c>
      <c r="E2515" s="1">
        <v>45487</v>
      </c>
      <c r="F2515" s="1" t="str">
        <f>TEXT(Table1[[#This Row],[order_date]],"dddd")</f>
        <v>Sunday</v>
      </c>
      <c r="G2515">
        <f>HOUR(Table1[[#This Row],[order_time]])</f>
        <v>11</v>
      </c>
      <c r="H2515" s="2">
        <v>0.4816435185185185</v>
      </c>
      <c r="I2515" t="s">
        <v>16</v>
      </c>
      <c r="J2515" t="s">
        <v>23</v>
      </c>
      <c r="K2515">
        <v>3</v>
      </c>
      <c r="L2515">
        <v>30</v>
      </c>
      <c r="M2515">
        <v>90</v>
      </c>
      <c r="N2515">
        <f>IF(COUNTIFS($B$2:B2515,B2515)=1,1,0)</f>
        <v>0</v>
      </c>
    </row>
    <row r="2516" spans="1:14" x14ac:dyDescent="0.2">
      <c r="A2516">
        <v>2515</v>
      </c>
      <c r="B2516">
        <v>2269</v>
      </c>
      <c r="C2516">
        <f>1/COUNTIF(B:B,Table1[[#This Row],[order_id]])</f>
        <v>0.5</v>
      </c>
      <c r="D2516" t="str">
        <f>TEXT(Table1[[#This Row],[order_date]],"mmmm")</f>
        <v>July</v>
      </c>
      <c r="E2516" s="1">
        <v>45487</v>
      </c>
      <c r="F2516" s="1" t="str">
        <f>TEXT(Table1[[#This Row],[order_date]],"dddd")</f>
        <v>Sunday</v>
      </c>
      <c r="G2516">
        <f>HOUR(Table1[[#This Row],[order_time]])</f>
        <v>17</v>
      </c>
      <c r="H2516" s="2">
        <v>0.7263425925925926</v>
      </c>
      <c r="I2516" t="s">
        <v>18</v>
      </c>
      <c r="J2516" t="s">
        <v>30</v>
      </c>
      <c r="K2516">
        <v>5</v>
      </c>
      <c r="L2516">
        <v>60</v>
      </c>
      <c r="M2516">
        <v>300</v>
      </c>
      <c r="N2516">
        <f>IF(COUNTIFS($B$2:B2516,B2516)=1,1,0)</f>
        <v>1</v>
      </c>
    </row>
    <row r="2517" spans="1:14" x14ac:dyDescent="0.2">
      <c r="A2517">
        <v>2516</v>
      </c>
      <c r="B2517">
        <v>2269</v>
      </c>
      <c r="C2517">
        <f>1/COUNTIF(B:B,Table1[[#This Row],[order_id]])</f>
        <v>0.5</v>
      </c>
      <c r="D2517" t="str">
        <f>TEXT(Table1[[#This Row],[order_date]],"mmmm")</f>
        <v>July</v>
      </c>
      <c r="E2517" s="1">
        <v>45487</v>
      </c>
      <c r="F2517" s="1" t="str">
        <f>TEXT(Table1[[#This Row],[order_date]],"dddd")</f>
        <v>Sunday</v>
      </c>
      <c r="G2517">
        <f>HOUR(Table1[[#This Row],[order_time]])</f>
        <v>10</v>
      </c>
      <c r="H2517" s="2">
        <v>0.4566898148148148</v>
      </c>
      <c r="I2517" t="s">
        <v>16</v>
      </c>
      <c r="J2517" t="s">
        <v>28</v>
      </c>
      <c r="K2517">
        <v>3</v>
      </c>
      <c r="L2517">
        <v>25</v>
      </c>
      <c r="M2517">
        <v>75</v>
      </c>
      <c r="N2517">
        <f>IF(COUNTIFS($B$2:B2517,B2517)=1,1,0)</f>
        <v>0</v>
      </c>
    </row>
    <row r="2518" spans="1:14" x14ac:dyDescent="0.2">
      <c r="A2518">
        <v>2517</v>
      </c>
      <c r="B2518">
        <v>2270</v>
      </c>
      <c r="C2518">
        <f>1/COUNTIF(B:B,Table1[[#This Row],[order_id]])</f>
        <v>0.5</v>
      </c>
      <c r="D2518" t="str">
        <f>TEXT(Table1[[#This Row],[order_date]],"mmmm")</f>
        <v>July</v>
      </c>
      <c r="E2518" s="1">
        <v>45487</v>
      </c>
      <c r="F2518" s="1" t="str">
        <f>TEXT(Table1[[#This Row],[order_date]],"dddd")</f>
        <v>Sunday</v>
      </c>
      <c r="G2518">
        <f>HOUR(Table1[[#This Row],[order_time]])</f>
        <v>16</v>
      </c>
      <c r="H2518" s="2">
        <v>0.66979166666666667</v>
      </c>
      <c r="I2518" t="s">
        <v>11</v>
      </c>
      <c r="J2518" t="s">
        <v>15</v>
      </c>
      <c r="K2518">
        <v>3</v>
      </c>
      <c r="L2518">
        <v>600</v>
      </c>
      <c r="M2518">
        <v>1800</v>
      </c>
      <c r="N2518">
        <f>IF(COUNTIFS($B$2:B2518,B2518)=1,1,0)</f>
        <v>1</v>
      </c>
    </row>
    <row r="2519" spans="1:14" x14ac:dyDescent="0.2">
      <c r="A2519">
        <v>2518</v>
      </c>
      <c r="B2519">
        <v>2270</v>
      </c>
      <c r="C2519">
        <f>1/COUNTIF(B:B,Table1[[#This Row],[order_id]])</f>
        <v>0.5</v>
      </c>
      <c r="D2519" t="str">
        <f>TEXT(Table1[[#This Row],[order_date]],"mmmm")</f>
        <v>July</v>
      </c>
      <c r="E2519" s="1">
        <v>45487</v>
      </c>
      <c r="F2519" s="1" t="str">
        <f>TEXT(Table1[[#This Row],[order_date]],"dddd")</f>
        <v>Sunday</v>
      </c>
      <c r="G2519">
        <f>HOUR(Table1[[#This Row],[order_time]])</f>
        <v>18</v>
      </c>
      <c r="H2519" s="2">
        <v>0.76700231481481485</v>
      </c>
      <c r="I2519" t="s">
        <v>16</v>
      </c>
      <c r="J2519" t="s">
        <v>28</v>
      </c>
      <c r="K2519">
        <v>4</v>
      </c>
      <c r="L2519">
        <v>25</v>
      </c>
      <c r="M2519">
        <v>100</v>
      </c>
      <c r="N2519">
        <f>IF(COUNTIFS($B$2:B2519,B2519)=1,1,0)</f>
        <v>0</v>
      </c>
    </row>
    <row r="2520" spans="1:14" x14ac:dyDescent="0.2">
      <c r="A2520">
        <v>2519</v>
      </c>
      <c r="B2520">
        <v>2271</v>
      </c>
      <c r="C2520">
        <f>1/COUNTIF(B:B,Table1[[#This Row],[order_id]])</f>
        <v>1</v>
      </c>
      <c r="D2520" t="str">
        <f>TEXT(Table1[[#This Row],[order_date]],"mmmm")</f>
        <v>July</v>
      </c>
      <c r="E2520" s="1">
        <v>45487</v>
      </c>
      <c r="F2520" s="1" t="str">
        <f>TEXT(Table1[[#This Row],[order_date]],"dddd")</f>
        <v>Sunday</v>
      </c>
      <c r="G2520">
        <f>HOUR(Table1[[#This Row],[order_time]])</f>
        <v>15</v>
      </c>
      <c r="H2520" s="2">
        <v>0.66027777777777774</v>
      </c>
      <c r="I2520" t="s">
        <v>18</v>
      </c>
      <c r="J2520" t="s">
        <v>30</v>
      </c>
      <c r="K2520">
        <v>4</v>
      </c>
      <c r="L2520">
        <v>60</v>
      </c>
      <c r="M2520">
        <v>240</v>
      </c>
      <c r="N2520">
        <f>IF(COUNTIFS($B$2:B2520,B2520)=1,1,0)</f>
        <v>1</v>
      </c>
    </row>
    <row r="2521" spans="1:14" x14ac:dyDescent="0.2">
      <c r="A2521">
        <v>2520</v>
      </c>
      <c r="B2521">
        <v>2272</v>
      </c>
      <c r="C2521">
        <f>1/COUNTIF(B:B,Table1[[#This Row],[order_id]])</f>
        <v>0.5</v>
      </c>
      <c r="D2521" t="str">
        <f>TEXT(Table1[[#This Row],[order_date]],"mmmm")</f>
        <v>July</v>
      </c>
      <c r="E2521" s="1">
        <v>45487</v>
      </c>
      <c r="F2521" s="1" t="str">
        <f>TEXT(Table1[[#This Row],[order_date]],"dddd")</f>
        <v>Sunday</v>
      </c>
      <c r="G2521">
        <f>HOUR(Table1[[#This Row],[order_time]])</f>
        <v>13</v>
      </c>
      <c r="H2521" s="2">
        <v>0.56108796296296293</v>
      </c>
      <c r="I2521" t="s">
        <v>11</v>
      </c>
      <c r="J2521" t="s">
        <v>14</v>
      </c>
      <c r="K2521">
        <v>1</v>
      </c>
      <c r="L2521">
        <v>700</v>
      </c>
      <c r="M2521">
        <v>700</v>
      </c>
      <c r="N2521">
        <f>IF(COUNTIFS($B$2:B2521,B2521)=1,1,0)</f>
        <v>1</v>
      </c>
    </row>
    <row r="2522" spans="1:14" x14ac:dyDescent="0.2">
      <c r="A2522">
        <v>2521</v>
      </c>
      <c r="B2522">
        <v>2272</v>
      </c>
      <c r="C2522">
        <f>1/COUNTIF(B:B,Table1[[#This Row],[order_id]])</f>
        <v>0.5</v>
      </c>
      <c r="D2522" t="str">
        <f>TEXT(Table1[[#This Row],[order_date]],"mmmm")</f>
        <v>July</v>
      </c>
      <c r="E2522" s="1">
        <v>45487</v>
      </c>
      <c r="F2522" s="1" t="str">
        <f>TEXT(Table1[[#This Row],[order_date]],"dddd")</f>
        <v>Sunday</v>
      </c>
      <c r="G2522">
        <f>HOUR(Table1[[#This Row],[order_time]])</f>
        <v>17</v>
      </c>
      <c r="H2522" s="2">
        <v>0.71810185185185182</v>
      </c>
      <c r="I2522" t="s">
        <v>11</v>
      </c>
      <c r="J2522" t="s">
        <v>25</v>
      </c>
      <c r="K2522">
        <v>5</v>
      </c>
      <c r="L2522">
        <v>1000</v>
      </c>
      <c r="M2522">
        <v>5000</v>
      </c>
      <c r="N2522">
        <f>IF(COUNTIFS($B$2:B2522,B2522)=1,1,0)</f>
        <v>0</v>
      </c>
    </row>
    <row r="2523" spans="1:14" x14ac:dyDescent="0.2">
      <c r="A2523">
        <v>2522</v>
      </c>
      <c r="B2523">
        <v>2273</v>
      </c>
      <c r="C2523">
        <f>1/COUNTIF(B:B,Table1[[#This Row],[order_id]])</f>
        <v>1</v>
      </c>
      <c r="D2523" t="str">
        <f>TEXT(Table1[[#This Row],[order_date]],"mmmm")</f>
        <v>July</v>
      </c>
      <c r="E2523" s="1">
        <v>45488</v>
      </c>
      <c r="F2523" s="1" t="str">
        <f>TEXT(Table1[[#This Row],[order_date]],"dddd")</f>
        <v>Monday</v>
      </c>
      <c r="G2523">
        <f>HOUR(Table1[[#This Row],[order_time]])</f>
        <v>14</v>
      </c>
      <c r="H2523" s="2">
        <v>0.59317129629629628</v>
      </c>
      <c r="I2523" t="s">
        <v>9</v>
      </c>
      <c r="J2523" t="s">
        <v>21</v>
      </c>
      <c r="K2523">
        <v>5</v>
      </c>
      <c r="L2523">
        <v>10</v>
      </c>
      <c r="M2523">
        <v>50</v>
      </c>
      <c r="N2523">
        <f>IF(COUNTIFS($B$2:B2523,B2523)=1,1,0)</f>
        <v>1</v>
      </c>
    </row>
    <row r="2524" spans="1:14" x14ac:dyDescent="0.2">
      <c r="A2524">
        <v>2523</v>
      </c>
      <c r="B2524">
        <v>2274</v>
      </c>
      <c r="C2524">
        <f>1/COUNTIF(B:B,Table1[[#This Row],[order_id]])</f>
        <v>1</v>
      </c>
      <c r="D2524" t="str">
        <f>TEXT(Table1[[#This Row],[order_date]],"mmmm")</f>
        <v>July</v>
      </c>
      <c r="E2524" s="1">
        <v>45488</v>
      </c>
      <c r="F2524" s="1" t="str">
        <f>TEXT(Table1[[#This Row],[order_date]],"dddd")</f>
        <v>Monday</v>
      </c>
      <c r="G2524">
        <f>HOUR(Table1[[#This Row],[order_time]])</f>
        <v>19</v>
      </c>
      <c r="H2524" s="2">
        <v>0.80210648148148145</v>
      </c>
      <c r="I2524" t="s">
        <v>18</v>
      </c>
      <c r="J2524" t="s">
        <v>26</v>
      </c>
      <c r="K2524">
        <v>3</v>
      </c>
      <c r="L2524">
        <v>55</v>
      </c>
      <c r="M2524">
        <v>165</v>
      </c>
      <c r="N2524">
        <f>IF(COUNTIFS($B$2:B2524,B2524)=1,1,0)</f>
        <v>1</v>
      </c>
    </row>
    <row r="2525" spans="1:14" x14ac:dyDescent="0.2">
      <c r="A2525">
        <v>2524</v>
      </c>
      <c r="B2525">
        <v>2275</v>
      </c>
      <c r="C2525">
        <f>1/COUNTIF(B:B,Table1[[#This Row],[order_id]])</f>
        <v>0.5</v>
      </c>
      <c r="D2525" t="str">
        <f>TEXT(Table1[[#This Row],[order_date]],"mmmm")</f>
        <v>July</v>
      </c>
      <c r="E2525" s="1">
        <v>45488</v>
      </c>
      <c r="F2525" s="1" t="str">
        <f>TEXT(Table1[[#This Row],[order_date]],"dddd")</f>
        <v>Monday</v>
      </c>
      <c r="G2525">
        <f>HOUR(Table1[[#This Row],[order_time]])</f>
        <v>17</v>
      </c>
      <c r="H2525" s="2">
        <v>0.71796296296296291</v>
      </c>
      <c r="I2525" t="s">
        <v>16</v>
      </c>
      <c r="J2525" t="s">
        <v>17</v>
      </c>
      <c r="K2525">
        <v>3</v>
      </c>
      <c r="L2525">
        <v>20</v>
      </c>
      <c r="M2525">
        <v>60</v>
      </c>
      <c r="N2525">
        <f>IF(COUNTIFS($B$2:B2525,B2525)=1,1,0)</f>
        <v>1</v>
      </c>
    </row>
    <row r="2526" spans="1:14" x14ac:dyDescent="0.2">
      <c r="A2526">
        <v>2525</v>
      </c>
      <c r="B2526">
        <v>2275</v>
      </c>
      <c r="C2526">
        <f>1/COUNTIF(B:B,Table1[[#This Row],[order_id]])</f>
        <v>0.5</v>
      </c>
      <c r="D2526" t="str">
        <f>TEXT(Table1[[#This Row],[order_date]],"mmmm")</f>
        <v>July</v>
      </c>
      <c r="E2526" s="1">
        <v>45488</v>
      </c>
      <c r="F2526" s="1" t="str">
        <f>TEXT(Table1[[#This Row],[order_date]],"dddd")</f>
        <v>Monday</v>
      </c>
      <c r="G2526">
        <f>HOUR(Table1[[#This Row],[order_time]])</f>
        <v>9</v>
      </c>
      <c r="H2526" s="2">
        <v>0.3941087962962963</v>
      </c>
      <c r="I2526" t="s">
        <v>18</v>
      </c>
      <c r="J2526" t="s">
        <v>31</v>
      </c>
      <c r="K2526">
        <v>5</v>
      </c>
      <c r="L2526">
        <v>45</v>
      </c>
      <c r="M2526">
        <v>225</v>
      </c>
      <c r="N2526">
        <f>IF(COUNTIFS($B$2:B2526,B2526)=1,1,0)</f>
        <v>0</v>
      </c>
    </row>
    <row r="2527" spans="1:14" x14ac:dyDescent="0.2">
      <c r="A2527">
        <v>2526</v>
      </c>
      <c r="B2527">
        <v>2276</v>
      </c>
      <c r="C2527">
        <f>1/COUNTIF(B:B,Table1[[#This Row],[order_id]])</f>
        <v>1</v>
      </c>
      <c r="D2527" t="str">
        <f>TEXT(Table1[[#This Row],[order_date]],"mmmm")</f>
        <v>July</v>
      </c>
      <c r="E2527" s="1">
        <v>45488</v>
      </c>
      <c r="F2527" s="1" t="str">
        <f>TEXT(Table1[[#This Row],[order_date]],"dddd")</f>
        <v>Monday</v>
      </c>
      <c r="G2527">
        <f>HOUR(Table1[[#This Row],[order_time]])</f>
        <v>11</v>
      </c>
      <c r="H2527" s="2">
        <v>0.47436342592592595</v>
      </c>
      <c r="I2527" t="s">
        <v>9</v>
      </c>
      <c r="J2527" t="s">
        <v>20</v>
      </c>
      <c r="K2527">
        <v>3</v>
      </c>
      <c r="L2527">
        <v>25</v>
      </c>
      <c r="M2527">
        <v>75</v>
      </c>
      <c r="N2527">
        <f>IF(COUNTIFS($B$2:B2527,B2527)=1,1,0)</f>
        <v>1</v>
      </c>
    </row>
    <row r="2528" spans="1:14" x14ac:dyDescent="0.2">
      <c r="A2528">
        <v>2527</v>
      </c>
      <c r="B2528">
        <v>2277</v>
      </c>
      <c r="C2528">
        <f>1/COUNTIF(B:B,Table1[[#This Row],[order_id]])</f>
        <v>0.33333333333333331</v>
      </c>
      <c r="D2528" t="str">
        <f>TEXT(Table1[[#This Row],[order_date]],"mmmm")</f>
        <v>July</v>
      </c>
      <c r="E2528" s="1">
        <v>45488</v>
      </c>
      <c r="F2528" s="1" t="str">
        <f>TEXT(Table1[[#This Row],[order_date]],"dddd")</f>
        <v>Monday</v>
      </c>
      <c r="G2528">
        <f>HOUR(Table1[[#This Row],[order_time]])</f>
        <v>19</v>
      </c>
      <c r="H2528" s="2">
        <v>0.81</v>
      </c>
      <c r="I2528" t="s">
        <v>16</v>
      </c>
      <c r="J2528" t="s">
        <v>24</v>
      </c>
      <c r="K2528">
        <v>3</v>
      </c>
      <c r="L2528">
        <v>35</v>
      </c>
      <c r="M2528">
        <v>105</v>
      </c>
      <c r="N2528">
        <f>IF(COUNTIFS($B$2:B2528,B2528)=1,1,0)</f>
        <v>1</v>
      </c>
    </row>
    <row r="2529" spans="1:14" x14ac:dyDescent="0.2">
      <c r="A2529">
        <v>2528</v>
      </c>
      <c r="B2529">
        <v>2277</v>
      </c>
      <c r="C2529">
        <f>1/COUNTIF(B:B,Table1[[#This Row],[order_id]])</f>
        <v>0.33333333333333331</v>
      </c>
      <c r="D2529" t="str">
        <f>TEXT(Table1[[#This Row],[order_date]],"mmmm")</f>
        <v>July</v>
      </c>
      <c r="E2529" s="1">
        <v>45488</v>
      </c>
      <c r="F2529" s="1" t="str">
        <f>TEXT(Table1[[#This Row],[order_date]],"dddd")</f>
        <v>Monday</v>
      </c>
      <c r="G2529">
        <f>HOUR(Table1[[#This Row],[order_time]])</f>
        <v>19</v>
      </c>
      <c r="H2529" s="2">
        <v>0.80827546296296293</v>
      </c>
      <c r="I2529" t="s">
        <v>16</v>
      </c>
      <c r="J2529" t="s">
        <v>23</v>
      </c>
      <c r="K2529">
        <v>4</v>
      </c>
      <c r="L2529">
        <v>30</v>
      </c>
      <c r="M2529">
        <v>120</v>
      </c>
      <c r="N2529">
        <f>IF(COUNTIFS($B$2:B2529,B2529)=1,1,0)</f>
        <v>0</v>
      </c>
    </row>
    <row r="2530" spans="1:14" x14ac:dyDescent="0.2">
      <c r="A2530">
        <v>2529</v>
      </c>
      <c r="B2530">
        <v>2277</v>
      </c>
      <c r="C2530">
        <f>1/COUNTIF(B:B,Table1[[#This Row],[order_id]])</f>
        <v>0.33333333333333331</v>
      </c>
      <c r="D2530" t="str">
        <f>TEXT(Table1[[#This Row],[order_date]],"mmmm")</f>
        <v>July</v>
      </c>
      <c r="E2530" s="1">
        <v>45488</v>
      </c>
      <c r="F2530" s="1" t="str">
        <f>TEXT(Table1[[#This Row],[order_date]],"dddd")</f>
        <v>Monday</v>
      </c>
      <c r="G2530">
        <f>HOUR(Table1[[#This Row],[order_time]])</f>
        <v>18</v>
      </c>
      <c r="H2530" s="2">
        <v>0.77064814814814819</v>
      </c>
      <c r="I2530" t="s">
        <v>18</v>
      </c>
      <c r="J2530" t="s">
        <v>30</v>
      </c>
      <c r="K2530">
        <v>1</v>
      </c>
      <c r="L2530">
        <v>60</v>
      </c>
      <c r="M2530">
        <v>60</v>
      </c>
      <c r="N2530">
        <f>IF(COUNTIFS($B$2:B2530,B2530)=1,1,0)</f>
        <v>0</v>
      </c>
    </row>
    <row r="2531" spans="1:14" x14ac:dyDescent="0.2">
      <c r="A2531">
        <v>2530</v>
      </c>
      <c r="B2531">
        <v>2278</v>
      </c>
      <c r="C2531">
        <f>1/COUNTIF(B:B,Table1[[#This Row],[order_id]])</f>
        <v>0.5</v>
      </c>
      <c r="D2531" t="str">
        <f>TEXT(Table1[[#This Row],[order_date]],"mmmm")</f>
        <v>July</v>
      </c>
      <c r="E2531" s="1">
        <v>45488</v>
      </c>
      <c r="F2531" s="1" t="str">
        <f>TEXT(Table1[[#This Row],[order_date]],"dddd")</f>
        <v>Monday</v>
      </c>
      <c r="G2531">
        <f>HOUR(Table1[[#This Row],[order_time]])</f>
        <v>19</v>
      </c>
      <c r="H2531" s="2">
        <v>0.82634259259259257</v>
      </c>
      <c r="I2531" t="s">
        <v>16</v>
      </c>
      <c r="J2531" t="s">
        <v>23</v>
      </c>
      <c r="K2531">
        <v>2</v>
      </c>
      <c r="L2531">
        <v>30</v>
      </c>
      <c r="M2531">
        <v>60</v>
      </c>
      <c r="N2531">
        <f>IF(COUNTIFS($B$2:B2531,B2531)=1,1,0)</f>
        <v>1</v>
      </c>
    </row>
    <row r="2532" spans="1:14" x14ac:dyDescent="0.2">
      <c r="A2532">
        <v>2531</v>
      </c>
      <c r="B2532">
        <v>2278</v>
      </c>
      <c r="C2532">
        <f>1/COUNTIF(B:B,Table1[[#This Row],[order_id]])</f>
        <v>0.5</v>
      </c>
      <c r="D2532" t="str">
        <f>TEXT(Table1[[#This Row],[order_date]],"mmmm")</f>
        <v>July</v>
      </c>
      <c r="E2532" s="1">
        <v>45488</v>
      </c>
      <c r="F2532" s="1" t="str">
        <f>TEXT(Table1[[#This Row],[order_date]],"dddd")</f>
        <v>Monday</v>
      </c>
      <c r="G2532">
        <f>HOUR(Table1[[#This Row],[order_time]])</f>
        <v>13</v>
      </c>
      <c r="H2532" s="2">
        <v>0.57131944444444449</v>
      </c>
      <c r="I2532" t="s">
        <v>18</v>
      </c>
      <c r="J2532" t="s">
        <v>30</v>
      </c>
      <c r="K2532">
        <v>4</v>
      </c>
      <c r="L2532">
        <v>60</v>
      </c>
      <c r="M2532">
        <v>240</v>
      </c>
      <c r="N2532">
        <f>IF(COUNTIFS($B$2:B2532,B2532)=1,1,0)</f>
        <v>0</v>
      </c>
    </row>
    <row r="2533" spans="1:14" x14ac:dyDescent="0.2">
      <c r="A2533">
        <v>2532</v>
      </c>
      <c r="B2533">
        <v>2279</v>
      </c>
      <c r="C2533">
        <f>1/COUNTIF(B:B,Table1[[#This Row],[order_id]])</f>
        <v>0.33333333333333331</v>
      </c>
      <c r="D2533" t="str">
        <f>TEXT(Table1[[#This Row],[order_date]],"mmmm")</f>
        <v>July</v>
      </c>
      <c r="E2533" s="1">
        <v>45488</v>
      </c>
      <c r="F2533" s="1" t="str">
        <f>TEXT(Table1[[#This Row],[order_date]],"dddd")</f>
        <v>Monday</v>
      </c>
      <c r="G2533">
        <f>HOUR(Table1[[#This Row],[order_time]])</f>
        <v>13</v>
      </c>
      <c r="H2533" s="2">
        <v>0.55549768518518516</v>
      </c>
      <c r="I2533" t="s">
        <v>11</v>
      </c>
      <c r="J2533" t="s">
        <v>15</v>
      </c>
      <c r="K2533">
        <v>1</v>
      </c>
      <c r="L2533">
        <v>600</v>
      </c>
      <c r="M2533">
        <v>600</v>
      </c>
      <c r="N2533">
        <f>IF(COUNTIFS($B$2:B2533,B2533)=1,1,0)</f>
        <v>1</v>
      </c>
    </row>
    <row r="2534" spans="1:14" x14ac:dyDescent="0.2">
      <c r="A2534">
        <v>2533</v>
      </c>
      <c r="B2534">
        <v>2279</v>
      </c>
      <c r="C2534">
        <f>1/COUNTIF(B:B,Table1[[#This Row],[order_id]])</f>
        <v>0.33333333333333331</v>
      </c>
      <c r="D2534" t="str">
        <f>TEXT(Table1[[#This Row],[order_date]],"mmmm")</f>
        <v>July</v>
      </c>
      <c r="E2534" s="1">
        <v>45488</v>
      </c>
      <c r="F2534" s="1" t="str">
        <f>TEXT(Table1[[#This Row],[order_date]],"dddd")</f>
        <v>Monday</v>
      </c>
      <c r="G2534">
        <f>HOUR(Table1[[#This Row],[order_time]])</f>
        <v>19</v>
      </c>
      <c r="H2534" s="2">
        <v>0.79374999999999996</v>
      </c>
      <c r="I2534" t="s">
        <v>9</v>
      </c>
      <c r="J2534" t="s">
        <v>21</v>
      </c>
      <c r="K2534">
        <v>3</v>
      </c>
      <c r="L2534">
        <v>10</v>
      </c>
      <c r="M2534">
        <v>30</v>
      </c>
      <c r="N2534">
        <f>IF(COUNTIFS($B$2:B2534,B2534)=1,1,0)</f>
        <v>0</v>
      </c>
    </row>
    <row r="2535" spans="1:14" x14ac:dyDescent="0.2">
      <c r="A2535">
        <v>2534</v>
      </c>
      <c r="B2535">
        <v>2279</v>
      </c>
      <c r="C2535">
        <f>1/COUNTIF(B:B,Table1[[#This Row],[order_id]])</f>
        <v>0.33333333333333331</v>
      </c>
      <c r="D2535" t="str">
        <f>TEXT(Table1[[#This Row],[order_date]],"mmmm")</f>
        <v>July</v>
      </c>
      <c r="E2535" s="1">
        <v>45488</v>
      </c>
      <c r="F2535" s="1" t="str">
        <f>TEXT(Table1[[#This Row],[order_date]],"dddd")</f>
        <v>Monday</v>
      </c>
      <c r="G2535">
        <f>HOUR(Table1[[#This Row],[order_time]])</f>
        <v>9</v>
      </c>
      <c r="H2535" s="2">
        <v>0.39709490740740738</v>
      </c>
      <c r="I2535" t="s">
        <v>16</v>
      </c>
      <c r="J2535" t="s">
        <v>23</v>
      </c>
      <c r="K2535">
        <v>2</v>
      </c>
      <c r="L2535">
        <v>30</v>
      </c>
      <c r="M2535">
        <v>60</v>
      </c>
      <c r="N2535">
        <f>IF(COUNTIFS($B$2:B2535,B2535)=1,1,0)</f>
        <v>0</v>
      </c>
    </row>
    <row r="2536" spans="1:14" x14ac:dyDescent="0.2">
      <c r="A2536">
        <v>2535</v>
      </c>
      <c r="B2536">
        <v>2280</v>
      </c>
      <c r="C2536">
        <f>1/COUNTIF(B:B,Table1[[#This Row],[order_id]])</f>
        <v>1</v>
      </c>
      <c r="D2536" t="str">
        <f>TEXT(Table1[[#This Row],[order_date]],"mmmm")</f>
        <v>July</v>
      </c>
      <c r="E2536" s="1">
        <v>45489</v>
      </c>
      <c r="F2536" s="1" t="str">
        <f>TEXT(Table1[[#This Row],[order_date]],"dddd")</f>
        <v>Tuesday</v>
      </c>
      <c r="G2536">
        <f>HOUR(Table1[[#This Row],[order_time]])</f>
        <v>17</v>
      </c>
      <c r="H2536" s="2">
        <v>0.72575231481481484</v>
      </c>
      <c r="I2536" t="s">
        <v>16</v>
      </c>
      <c r="J2536" t="s">
        <v>28</v>
      </c>
      <c r="K2536">
        <v>3</v>
      </c>
      <c r="L2536">
        <v>25</v>
      </c>
      <c r="M2536">
        <v>75</v>
      </c>
      <c r="N2536">
        <f>IF(COUNTIFS($B$2:B2536,B2536)=1,1,0)</f>
        <v>1</v>
      </c>
    </row>
    <row r="2537" spans="1:14" x14ac:dyDescent="0.2">
      <c r="A2537">
        <v>2536</v>
      </c>
      <c r="B2537">
        <v>2281</v>
      </c>
      <c r="C2537">
        <f>1/COUNTIF(B:B,Table1[[#This Row],[order_id]])</f>
        <v>0.5</v>
      </c>
      <c r="D2537" t="str">
        <f>TEXT(Table1[[#This Row],[order_date]],"mmmm")</f>
        <v>July</v>
      </c>
      <c r="E2537" s="1">
        <v>45489</v>
      </c>
      <c r="F2537" s="1" t="str">
        <f>TEXT(Table1[[#This Row],[order_date]],"dddd")</f>
        <v>Tuesday</v>
      </c>
      <c r="G2537">
        <f>HOUR(Table1[[#This Row],[order_time]])</f>
        <v>17</v>
      </c>
      <c r="H2537" s="2">
        <v>0.72960648148148144</v>
      </c>
      <c r="I2537" t="s">
        <v>16</v>
      </c>
      <c r="J2537" t="s">
        <v>17</v>
      </c>
      <c r="K2537">
        <v>5</v>
      </c>
      <c r="L2537">
        <v>20</v>
      </c>
      <c r="M2537">
        <v>100</v>
      </c>
      <c r="N2537">
        <f>IF(COUNTIFS($B$2:B2537,B2537)=1,1,0)</f>
        <v>1</v>
      </c>
    </row>
    <row r="2538" spans="1:14" x14ac:dyDescent="0.2">
      <c r="A2538">
        <v>2537</v>
      </c>
      <c r="B2538">
        <v>2281</v>
      </c>
      <c r="C2538">
        <f>1/COUNTIF(B:B,Table1[[#This Row],[order_id]])</f>
        <v>0.5</v>
      </c>
      <c r="D2538" t="str">
        <f>TEXT(Table1[[#This Row],[order_date]],"mmmm")</f>
        <v>July</v>
      </c>
      <c r="E2538" s="1">
        <v>45489</v>
      </c>
      <c r="F2538" s="1" t="str">
        <f>TEXT(Table1[[#This Row],[order_date]],"dddd")</f>
        <v>Tuesday</v>
      </c>
      <c r="G2538">
        <f>HOUR(Table1[[#This Row],[order_time]])</f>
        <v>19</v>
      </c>
      <c r="H2538" s="2">
        <v>0.80318287037037039</v>
      </c>
      <c r="I2538" t="s">
        <v>18</v>
      </c>
      <c r="J2538" t="s">
        <v>30</v>
      </c>
      <c r="K2538">
        <v>1</v>
      </c>
      <c r="L2538">
        <v>60</v>
      </c>
      <c r="M2538">
        <v>60</v>
      </c>
      <c r="N2538">
        <f>IF(COUNTIFS($B$2:B2538,B2538)=1,1,0)</f>
        <v>0</v>
      </c>
    </row>
    <row r="2539" spans="1:14" x14ac:dyDescent="0.2">
      <c r="A2539">
        <v>2538</v>
      </c>
      <c r="B2539">
        <v>2282</v>
      </c>
      <c r="C2539">
        <f>1/COUNTIF(B:B,Table1[[#This Row],[order_id]])</f>
        <v>0.5</v>
      </c>
      <c r="D2539" t="str">
        <f>TEXT(Table1[[#This Row],[order_date]],"mmmm")</f>
        <v>July</v>
      </c>
      <c r="E2539" s="1">
        <v>45489</v>
      </c>
      <c r="F2539" s="1" t="str">
        <f>TEXT(Table1[[#This Row],[order_date]],"dddd")</f>
        <v>Tuesday</v>
      </c>
      <c r="G2539">
        <f>HOUR(Table1[[#This Row],[order_time]])</f>
        <v>10</v>
      </c>
      <c r="H2539" s="2">
        <v>0.42534722222222221</v>
      </c>
      <c r="I2539" t="s">
        <v>18</v>
      </c>
      <c r="J2539" t="s">
        <v>31</v>
      </c>
      <c r="K2539">
        <v>3</v>
      </c>
      <c r="L2539">
        <v>45</v>
      </c>
      <c r="M2539">
        <v>135</v>
      </c>
      <c r="N2539">
        <f>IF(COUNTIFS($B$2:B2539,B2539)=1,1,0)</f>
        <v>1</v>
      </c>
    </row>
    <row r="2540" spans="1:14" x14ac:dyDescent="0.2">
      <c r="A2540">
        <v>2539</v>
      </c>
      <c r="B2540">
        <v>2282</v>
      </c>
      <c r="C2540">
        <f>1/COUNTIF(B:B,Table1[[#This Row],[order_id]])</f>
        <v>0.5</v>
      </c>
      <c r="D2540" t="str">
        <f>TEXT(Table1[[#This Row],[order_date]],"mmmm")</f>
        <v>July</v>
      </c>
      <c r="E2540" s="1">
        <v>45489</v>
      </c>
      <c r="F2540" s="1" t="str">
        <f>TEXT(Table1[[#This Row],[order_date]],"dddd")</f>
        <v>Tuesday</v>
      </c>
      <c r="G2540">
        <f>HOUR(Table1[[#This Row],[order_time]])</f>
        <v>16</v>
      </c>
      <c r="H2540" s="2">
        <v>0.66752314814814817</v>
      </c>
      <c r="I2540" t="s">
        <v>9</v>
      </c>
      <c r="J2540" t="s">
        <v>20</v>
      </c>
      <c r="K2540">
        <v>5</v>
      </c>
      <c r="L2540">
        <v>25</v>
      </c>
      <c r="M2540">
        <v>125</v>
      </c>
      <c r="N2540">
        <f>IF(COUNTIFS($B$2:B2540,B2540)=1,1,0)</f>
        <v>0</v>
      </c>
    </row>
    <row r="2541" spans="1:14" x14ac:dyDescent="0.2">
      <c r="A2541">
        <v>2540</v>
      </c>
      <c r="B2541">
        <v>2283</v>
      </c>
      <c r="C2541">
        <f>1/COUNTIF(B:B,Table1[[#This Row],[order_id]])</f>
        <v>0.33333333333333331</v>
      </c>
      <c r="D2541" t="str">
        <f>TEXT(Table1[[#This Row],[order_date]],"mmmm")</f>
        <v>July</v>
      </c>
      <c r="E2541" s="1">
        <v>45489</v>
      </c>
      <c r="F2541" s="1" t="str">
        <f>TEXT(Table1[[#This Row],[order_date]],"dddd")</f>
        <v>Tuesday</v>
      </c>
      <c r="G2541">
        <f>HOUR(Table1[[#This Row],[order_time]])</f>
        <v>13</v>
      </c>
      <c r="H2541" s="2">
        <v>0.544525462962963</v>
      </c>
      <c r="I2541" t="s">
        <v>18</v>
      </c>
      <c r="J2541" t="s">
        <v>26</v>
      </c>
      <c r="K2541">
        <v>1</v>
      </c>
      <c r="L2541">
        <v>55</v>
      </c>
      <c r="M2541">
        <v>55</v>
      </c>
      <c r="N2541">
        <f>IF(COUNTIFS($B$2:B2541,B2541)=1,1,0)</f>
        <v>1</v>
      </c>
    </row>
    <row r="2542" spans="1:14" x14ac:dyDescent="0.2">
      <c r="A2542">
        <v>2541</v>
      </c>
      <c r="B2542">
        <v>2283</v>
      </c>
      <c r="C2542">
        <f>1/COUNTIF(B:B,Table1[[#This Row],[order_id]])</f>
        <v>0.33333333333333331</v>
      </c>
      <c r="D2542" t="str">
        <f>TEXT(Table1[[#This Row],[order_date]],"mmmm")</f>
        <v>July</v>
      </c>
      <c r="E2542" s="1">
        <v>45489</v>
      </c>
      <c r="F2542" s="1" t="str">
        <f>TEXT(Table1[[#This Row],[order_date]],"dddd")</f>
        <v>Tuesday</v>
      </c>
      <c r="G2542">
        <f>HOUR(Table1[[#This Row],[order_time]])</f>
        <v>15</v>
      </c>
      <c r="H2542" s="2">
        <v>0.65557870370370375</v>
      </c>
      <c r="I2542" t="s">
        <v>18</v>
      </c>
      <c r="J2542" t="s">
        <v>27</v>
      </c>
      <c r="K2542">
        <v>1</v>
      </c>
      <c r="L2542">
        <v>40</v>
      </c>
      <c r="M2542">
        <v>40</v>
      </c>
      <c r="N2542">
        <f>IF(COUNTIFS($B$2:B2542,B2542)=1,1,0)</f>
        <v>0</v>
      </c>
    </row>
    <row r="2543" spans="1:14" x14ac:dyDescent="0.2">
      <c r="A2543">
        <v>2542</v>
      </c>
      <c r="B2543">
        <v>2283</v>
      </c>
      <c r="C2543">
        <f>1/COUNTIF(B:B,Table1[[#This Row],[order_id]])</f>
        <v>0.33333333333333331</v>
      </c>
      <c r="D2543" t="str">
        <f>TEXT(Table1[[#This Row],[order_date]],"mmmm")</f>
        <v>July</v>
      </c>
      <c r="E2543" s="1">
        <v>45489</v>
      </c>
      <c r="F2543" s="1" t="str">
        <f>TEXT(Table1[[#This Row],[order_date]],"dddd")</f>
        <v>Tuesday</v>
      </c>
      <c r="G2543">
        <f>HOUR(Table1[[#This Row],[order_time]])</f>
        <v>16</v>
      </c>
      <c r="H2543" s="2">
        <v>0.69407407407407407</v>
      </c>
      <c r="I2543" t="s">
        <v>16</v>
      </c>
      <c r="J2543" t="s">
        <v>28</v>
      </c>
      <c r="K2543">
        <v>1</v>
      </c>
      <c r="L2543">
        <v>25</v>
      </c>
      <c r="M2543">
        <v>25</v>
      </c>
      <c r="N2543">
        <f>IF(COUNTIFS($B$2:B2543,B2543)=1,1,0)</f>
        <v>0</v>
      </c>
    </row>
    <row r="2544" spans="1:14" x14ac:dyDescent="0.2">
      <c r="A2544">
        <v>2543</v>
      </c>
      <c r="B2544">
        <v>2284</v>
      </c>
      <c r="C2544">
        <f>1/COUNTIF(B:B,Table1[[#This Row],[order_id]])</f>
        <v>0.5</v>
      </c>
      <c r="D2544" t="str">
        <f>TEXT(Table1[[#This Row],[order_date]],"mmmm")</f>
        <v>July</v>
      </c>
      <c r="E2544" s="1">
        <v>45489</v>
      </c>
      <c r="F2544" s="1" t="str">
        <f>TEXT(Table1[[#This Row],[order_date]],"dddd")</f>
        <v>Tuesday</v>
      </c>
      <c r="G2544">
        <f>HOUR(Table1[[#This Row],[order_time]])</f>
        <v>9</v>
      </c>
      <c r="H2544" s="2">
        <v>0.40927083333333331</v>
      </c>
      <c r="I2544" t="s">
        <v>11</v>
      </c>
      <c r="J2544" t="s">
        <v>13</v>
      </c>
      <c r="K2544">
        <v>4</v>
      </c>
      <c r="L2544">
        <v>680</v>
      </c>
      <c r="M2544">
        <v>2720</v>
      </c>
      <c r="N2544">
        <f>IF(COUNTIFS($B$2:B2544,B2544)=1,1,0)</f>
        <v>1</v>
      </c>
    </row>
    <row r="2545" spans="1:14" x14ac:dyDescent="0.2">
      <c r="A2545">
        <v>2544</v>
      </c>
      <c r="B2545">
        <v>2284</v>
      </c>
      <c r="C2545">
        <f>1/COUNTIF(B:B,Table1[[#This Row],[order_id]])</f>
        <v>0.5</v>
      </c>
      <c r="D2545" t="str">
        <f>TEXT(Table1[[#This Row],[order_date]],"mmmm")</f>
        <v>July</v>
      </c>
      <c r="E2545" s="1">
        <v>45489</v>
      </c>
      <c r="F2545" s="1" t="str">
        <f>TEXT(Table1[[#This Row],[order_date]],"dddd")</f>
        <v>Tuesday</v>
      </c>
      <c r="G2545">
        <f>HOUR(Table1[[#This Row],[order_time]])</f>
        <v>9</v>
      </c>
      <c r="H2545" s="2">
        <v>0.39030092592592591</v>
      </c>
      <c r="I2545" t="s">
        <v>16</v>
      </c>
      <c r="J2545" t="s">
        <v>17</v>
      </c>
      <c r="K2545">
        <v>2</v>
      </c>
      <c r="L2545">
        <v>20</v>
      </c>
      <c r="M2545">
        <v>40</v>
      </c>
      <c r="N2545">
        <f>IF(COUNTIFS($B$2:B2545,B2545)=1,1,0)</f>
        <v>0</v>
      </c>
    </row>
    <row r="2546" spans="1:14" x14ac:dyDescent="0.2">
      <c r="A2546">
        <v>2545</v>
      </c>
      <c r="B2546">
        <v>2285</v>
      </c>
      <c r="C2546">
        <f>1/COUNTIF(B:B,Table1[[#This Row],[order_id]])</f>
        <v>0.33333333333333331</v>
      </c>
      <c r="D2546" t="str">
        <f>TEXT(Table1[[#This Row],[order_date]],"mmmm")</f>
        <v>July</v>
      </c>
      <c r="E2546" s="1">
        <v>45489</v>
      </c>
      <c r="F2546" s="1" t="str">
        <f>TEXT(Table1[[#This Row],[order_date]],"dddd")</f>
        <v>Tuesday</v>
      </c>
      <c r="G2546">
        <f>HOUR(Table1[[#This Row],[order_time]])</f>
        <v>9</v>
      </c>
      <c r="H2546" s="2">
        <v>0.37643518518518521</v>
      </c>
      <c r="I2546" t="s">
        <v>9</v>
      </c>
      <c r="J2546" t="s">
        <v>21</v>
      </c>
      <c r="K2546">
        <v>1</v>
      </c>
      <c r="L2546">
        <v>10</v>
      </c>
      <c r="M2546">
        <v>10</v>
      </c>
      <c r="N2546">
        <f>IF(COUNTIFS($B$2:B2546,B2546)=1,1,0)</f>
        <v>1</v>
      </c>
    </row>
    <row r="2547" spans="1:14" x14ac:dyDescent="0.2">
      <c r="A2547">
        <v>2546</v>
      </c>
      <c r="B2547">
        <v>2285</v>
      </c>
      <c r="C2547">
        <f>1/COUNTIF(B:B,Table1[[#This Row],[order_id]])</f>
        <v>0.33333333333333331</v>
      </c>
      <c r="D2547" t="str">
        <f>TEXT(Table1[[#This Row],[order_date]],"mmmm")</f>
        <v>July</v>
      </c>
      <c r="E2547" s="1">
        <v>45489</v>
      </c>
      <c r="F2547" s="1" t="str">
        <f>TEXT(Table1[[#This Row],[order_date]],"dddd")</f>
        <v>Tuesday</v>
      </c>
      <c r="G2547">
        <f>HOUR(Table1[[#This Row],[order_time]])</f>
        <v>20</v>
      </c>
      <c r="H2547" s="2">
        <v>0.85082175925925929</v>
      </c>
      <c r="I2547" t="s">
        <v>18</v>
      </c>
      <c r="J2547" t="s">
        <v>27</v>
      </c>
      <c r="K2547">
        <v>1</v>
      </c>
      <c r="L2547">
        <v>40</v>
      </c>
      <c r="M2547">
        <v>40</v>
      </c>
      <c r="N2547">
        <f>IF(COUNTIFS($B$2:B2547,B2547)=1,1,0)</f>
        <v>0</v>
      </c>
    </row>
    <row r="2548" spans="1:14" x14ac:dyDescent="0.2">
      <c r="A2548">
        <v>2547</v>
      </c>
      <c r="B2548">
        <v>2285</v>
      </c>
      <c r="C2548">
        <f>1/COUNTIF(B:B,Table1[[#This Row],[order_id]])</f>
        <v>0.33333333333333331</v>
      </c>
      <c r="D2548" t="str">
        <f>TEXT(Table1[[#This Row],[order_date]],"mmmm")</f>
        <v>July</v>
      </c>
      <c r="E2548" s="1">
        <v>45489</v>
      </c>
      <c r="F2548" s="1" t="str">
        <f>TEXT(Table1[[#This Row],[order_date]],"dddd")</f>
        <v>Tuesday</v>
      </c>
      <c r="G2548">
        <f>HOUR(Table1[[#This Row],[order_time]])</f>
        <v>18</v>
      </c>
      <c r="H2548" s="2">
        <v>0.77638888888888891</v>
      </c>
      <c r="I2548" t="s">
        <v>9</v>
      </c>
      <c r="J2548" t="s">
        <v>29</v>
      </c>
      <c r="K2548">
        <v>1</v>
      </c>
      <c r="L2548">
        <v>5</v>
      </c>
      <c r="M2548">
        <v>5</v>
      </c>
      <c r="N2548">
        <f>IF(COUNTIFS($B$2:B2548,B2548)=1,1,0)</f>
        <v>0</v>
      </c>
    </row>
    <row r="2549" spans="1:14" x14ac:dyDescent="0.2">
      <c r="A2549">
        <v>2548</v>
      </c>
      <c r="B2549">
        <v>2286</v>
      </c>
      <c r="C2549">
        <f>1/COUNTIF(B:B,Table1[[#This Row],[order_id]])</f>
        <v>0.5</v>
      </c>
      <c r="D2549" t="str">
        <f>TEXT(Table1[[#This Row],[order_date]],"mmmm")</f>
        <v>July</v>
      </c>
      <c r="E2549" s="1">
        <v>45489</v>
      </c>
      <c r="F2549" s="1" t="str">
        <f>TEXT(Table1[[#This Row],[order_date]],"dddd")</f>
        <v>Tuesday</v>
      </c>
      <c r="G2549">
        <f>HOUR(Table1[[#This Row],[order_time]])</f>
        <v>9</v>
      </c>
      <c r="H2549" s="2">
        <v>0.40072916666666669</v>
      </c>
      <c r="I2549" t="s">
        <v>16</v>
      </c>
      <c r="J2549" t="s">
        <v>23</v>
      </c>
      <c r="K2549">
        <v>5</v>
      </c>
      <c r="L2549">
        <v>30</v>
      </c>
      <c r="M2549">
        <v>150</v>
      </c>
      <c r="N2549">
        <f>IF(COUNTIFS($B$2:B2549,B2549)=1,1,0)</f>
        <v>1</v>
      </c>
    </row>
    <row r="2550" spans="1:14" x14ac:dyDescent="0.2">
      <c r="A2550">
        <v>2549</v>
      </c>
      <c r="B2550">
        <v>2286</v>
      </c>
      <c r="C2550">
        <f>1/COUNTIF(B:B,Table1[[#This Row],[order_id]])</f>
        <v>0.5</v>
      </c>
      <c r="D2550" t="str">
        <f>TEXT(Table1[[#This Row],[order_date]],"mmmm")</f>
        <v>July</v>
      </c>
      <c r="E2550" s="1">
        <v>45489</v>
      </c>
      <c r="F2550" s="1" t="str">
        <f>TEXT(Table1[[#This Row],[order_date]],"dddd")</f>
        <v>Tuesday</v>
      </c>
      <c r="G2550">
        <f>HOUR(Table1[[#This Row],[order_time]])</f>
        <v>11</v>
      </c>
      <c r="H2550" s="2">
        <v>0.47693287037037035</v>
      </c>
      <c r="I2550" t="s">
        <v>11</v>
      </c>
      <c r="J2550" t="s">
        <v>12</v>
      </c>
      <c r="K2550">
        <v>2</v>
      </c>
      <c r="L2550">
        <v>650</v>
      </c>
      <c r="M2550">
        <v>1300</v>
      </c>
      <c r="N2550">
        <f>IF(COUNTIFS($B$2:B2550,B2550)=1,1,0)</f>
        <v>0</v>
      </c>
    </row>
    <row r="2551" spans="1:14" x14ac:dyDescent="0.2">
      <c r="A2551">
        <v>2550</v>
      </c>
      <c r="B2551">
        <v>2287</v>
      </c>
      <c r="C2551">
        <f>1/COUNTIF(B:B,Table1[[#This Row],[order_id]])</f>
        <v>1</v>
      </c>
      <c r="D2551" t="str">
        <f>TEXT(Table1[[#This Row],[order_date]],"mmmm")</f>
        <v>July</v>
      </c>
      <c r="E2551" s="1">
        <v>45490</v>
      </c>
      <c r="F2551" s="1" t="str">
        <f>TEXT(Table1[[#This Row],[order_date]],"dddd")</f>
        <v>Wednesday</v>
      </c>
      <c r="G2551">
        <f>HOUR(Table1[[#This Row],[order_time]])</f>
        <v>13</v>
      </c>
      <c r="H2551" s="2">
        <v>0.5562731481481481</v>
      </c>
      <c r="I2551" t="s">
        <v>11</v>
      </c>
      <c r="J2551" t="s">
        <v>14</v>
      </c>
      <c r="K2551">
        <v>4</v>
      </c>
      <c r="L2551">
        <v>700</v>
      </c>
      <c r="M2551">
        <v>2800</v>
      </c>
      <c r="N2551">
        <f>IF(COUNTIFS($B$2:B2551,B2551)=1,1,0)</f>
        <v>1</v>
      </c>
    </row>
    <row r="2552" spans="1:14" x14ac:dyDescent="0.2">
      <c r="A2552">
        <v>2551</v>
      </c>
      <c r="B2552">
        <v>2288</v>
      </c>
      <c r="C2552">
        <f>1/COUNTIF(B:B,Table1[[#This Row],[order_id]])</f>
        <v>0.33333333333333331</v>
      </c>
      <c r="D2552" t="str">
        <f>TEXT(Table1[[#This Row],[order_date]],"mmmm")</f>
        <v>July</v>
      </c>
      <c r="E2552" s="1">
        <v>45490</v>
      </c>
      <c r="F2552" s="1" t="str">
        <f>TEXT(Table1[[#This Row],[order_date]],"dddd")</f>
        <v>Wednesday</v>
      </c>
      <c r="G2552">
        <f>HOUR(Table1[[#This Row],[order_time]])</f>
        <v>18</v>
      </c>
      <c r="H2552" s="2">
        <v>0.78006944444444448</v>
      </c>
      <c r="I2552" t="s">
        <v>11</v>
      </c>
      <c r="J2552" t="s">
        <v>15</v>
      </c>
      <c r="K2552">
        <v>4</v>
      </c>
      <c r="L2552">
        <v>600</v>
      </c>
      <c r="M2552">
        <v>2400</v>
      </c>
      <c r="N2552">
        <f>IF(COUNTIFS($B$2:B2552,B2552)=1,1,0)</f>
        <v>1</v>
      </c>
    </row>
    <row r="2553" spans="1:14" x14ac:dyDescent="0.2">
      <c r="A2553">
        <v>2552</v>
      </c>
      <c r="B2553">
        <v>2288</v>
      </c>
      <c r="C2553">
        <f>1/COUNTIF(B:B,Table1[[#This Row],[order_id]])</f>
        <v>0.33333333333333331</v>
      </c>
      <c r="D2553" t="str">
        <f>TEXT(Table1[[#This Row],[order_date]],"mmmm")</f>
        <v>July</v>
      </c>
      <c r="E2553" s="1">
        <v>45490</v>
      </c>
      <c r="F2553" s="1" t="str">
        <f>TEXT(Table1[[#This Row],[order_date]],"dddd")</f>
        <v>Wednesday</v>
      </c>
      <c r="G2553">
        <f>HOUR(Table1[[#This Row],[order_time]])</f>
        <v>11</v>
      </c>
      <c r="H2553" s="2">
        <v>0.46388888888888891</v>
      </c>
      <c r="I2553" t="s">
        <v>18</v>
      </c>
      <c r="J2553" t="s">
        <v>30</v>
      </c>
      <c r="K2553">
        <v>5</v>
      </c>
      <c r="L2553">
        <v>60</v>
      </c>
      <c r="M2553">
        <v>300</v>
      </c>
      <c r="N2553">
        <f>IF(COUNTIFS($B$2:B2553,B2553)=1,1,0)</f>
        <v>0</v>
      </c>
    </row>
    <row r="2554" spans="1:14" x14ac:dyDescent="0.2">
      <c r="A2554">
        <v>2553</v>
      </c>
      <c r="B2554">
        <v>2288</v>
      </c>
      <c r="C2554">
        <f>1/COUNTIF(B:B,Table1[[#This Row],[order_id]])</f>
        <v>0.33333333333333331</v>
      </c>
      <c r="D2554" t="str">
        <f>TEXT(Table1[[#This Row],[order_date]],"mmmm")</f>
        <v>July</v>
      </c>
      <c r="E2554" s="1">
        <v>45490</v>
      </c>
      <c r="F2554" s="1" t="str">
        <f>TEXT(Table1[[#This Row],[order_date]],"dddd")</f>
        <v>Wednesday</v>
      </c>
      <c r="G2554">
        <f>HOUR(Table1[[#This Row],[order_time]])</f>
        <v>18</v>
      </c>
      <c r="H2554" s="2">
        <v>0.77908564814814818</v>
      </c>
      <c r="I2554" t="s">
        <v>18</v>
      </c>
      <c r="J2554" t="s">
        <v>26</v>
      </c>
      <c r="K2554">
        <v>2</v>
      </c>
      <c r="L2554">
        <v>55</v>
      </c>
      <c r="M2554">
        <v>110</v>
      </c>
      <c r="N2554">
        <f>IF(COUNTIFS($B$2:B2554,B2554)=1,1,0)</f>
        <v>0</v>
      </c>
    </row>
    <row r="2555" spans="1:14" x14ac:dyDescent="0.2">
      <c r="A2555">
        <v>2554</v>
      </c>
      <c r="B2555">
        <v>2289</v>
      </c>
      <c r="C2555">
        <f>1/COUNTIF(B:B,Table1[[#This Row],[order_id]])</f>
        <v>0.5</v>
      </c>
      <c r="D2555" t="str">
        <f>TEXT(Table1[[#This Row],[order_date]],"mmmm")</f>
        <v>July</v>
      </c>
      <c r="E2555" s="1">
        <v>45490</v>
      </c>
      <c r="F2555" s="1" t="str">
        <f>TEXT(Table1[[#This Row],[order_date]],"dddd")</f>
        <v>Wednesday</v>
      </c>
      <c r="G2555">
        <f>HOUR(Table1[[#This Row],[order_time]])</f>
        <v>15</v>
      </c>
      <c r="H2555" s="2">
        <v>0.66476851851851848</v>
      </c>
      <c r="I2555" t="s">
        <v>18</v>
      </c>
      <c r="J2555" t="s">
        <v>26</v>
      </c>
      <c r="K2555">
        <v>4</v>
      </c>
      <c r="L2555">
        <v>55</v>
      </c>
      <c r="M2555">
        <v>220</v>
      </c>
      <c r="N2555">
        <f>IF(COUNTIFS($B$2:B2555,B2555)=1,1,0)</f>
        <v>1</v>
      </c>
    </row>
    <row r="2556" spans="1:14" x14ac:dyDescent="0.2">
      <c r="A2556">
        <v>2555</v>
      </c>
      <c r="B2556">
        <v>2289</v>
      </c>
      <c r="C2556">
        <f>1/COUNTIF(B:B,Table1[[#This Row],[order_id]])</f>
        <v>0.5</v>
      </c>
      <c r="D2556" t="str">
        <f>TEXT(Table1[[#This Row],[order_date]],"mmmm")</f>
        <v>July</v>
      </c>
      <c r="E2556" s="1">
        <v>45490</v>
      </c>
      <c r="F2556" s="1" t="str">
        <f>TEXT(Table1[[#This Row],[order_date]],"dddd")</f>
        <v>Wednesday</v>
      </c>
      <c r="G2556">
        <f>HOUR(Table1[[#This Row],[order_time]])</f>
        <v>12</v>
      </c>
      <c r="H2556" s="2">
        <v>0.50651620370370365</v>
      </c>
      <c r="I2556" t="s">
        <v>18</v>
      </c>
      <c r="J2556" t="s">
        <v>30</v>
      </c>
      <c r="K2556">
        <v>5</v>
      </c>
      <c r="L2556">
        <v>60</v>
      </c>
      <c r="M2556">
        <v>300</v>
      </c>
      <c r="N2556">
        <f>IF(COUNTIFS($B$2:B2556,B2556)=1,1,0)</f>
        <v>0</v>
      </c>
    </row>
    <row r="2557" spans="1:14" x14ac:dyDescent="0.2">
      <c r="A2557">
        <v>2556</v>
      </c>
      <c r="B2557">
        <v>2290</v>
      </c>
      <c r="C2557">
        <f>1/COUNTIF(B:B,Table1[[#This Row],[order_id]])</f>
        <v>0.5</v>
      </c>
      <c r="D2557" t="str">
        <f>TEXT(Table1[[#This Row],[order_date]],"mmmm")</f>
        <v>July</v>
      </c>
      <c r="E2557" s="1">
        <v>45490</v>
      </c>
      <c r="F2557" s="1" t="str">
        <f>TEXT(Table1[[#This Row],[order_date]],"dddd")</f>
        <v>Wednesday</v>
      </c>
      <c r="G2557">
        <f>HOUR(Table1[[#This Row],[order_time]])</f>
        <v>20</v>
      </c>
      <c r="H2557" s="2">
        <v>0.86979166666666663</v>
      </c>
      <c r="I2557" t="s">
        <v>9</v>
      </c>
      <c r="J2557" t="s">
        <v>21</v>
      </c>
      <c r="K2557">
        <v>2</v>
      </c>
      <c r="L2557">
        <v>10</v>
      </c>
      <c r="M2557">
        <v>20</v>
      </c>
      <c r="N2557">
        <f>IF(COUNTIFS($B$2:B2557,B2557)=1,1,0)</f>
        <v>1</v>
      </c>
    </row>
    <row r="2558" spans="1:14" x14ac:dyDescent="0.2">
      <c r="A2558">
        <v>2557</v>
      </c>
      <c r="B2558">
        <v>2290</v>
      </c>
      <c r="C2558">
        <f>1/COUNTIF(B:B,Table1[[#This Row],[order_id]])</f>
        <v>0.5</v>
      </c>
      <c r="D2558" t="str">
        <f>TEXT(Table1[[#This Row],[order_date]],"mmmm")</f>
        <v>July</v>
      </c>
      <c r="E2558" s="1">
        <v>45490</v>
      </c>
      <c r="F2558" s="1" t="str">
        <f>TEXT(Table1[[#This Row],[order_date]],"dddd")</f>
        <v>Wednesday</v>
      </c>
      <c r="G2558">
        <f>HOUR(Table1[[#This Row],[order_time]])</f>
        <v>16</v>
      </c>
      <c r="H2558" s="2">
        <v>0.70406250000000004</v>
      </c>
      <c r="I2558" t="s">
        <v>9</v>
      </c>
      <c r="J2558" t="s">
        <v>29</v>
      </c>
      <c r="K2558">
        <v>3</v>
      </c>
      <c r="L2558">
        <v>5</v>
      </c>
      <c r="M2558">
        <v>15</v>
      </c>
      <c r="N2558">
        <f>IF(COUNTIFS($B$2:B2558,B2558)=1,1,0)</f>
        <v>0</v>
      </c>
    </row>
    <row r="2559" spans="1:14" x14ac:dyDescent="0.2">
      <c r="A2559">
        <v>2558</v>
      </c>
      <c r="B2559">
        <v>2291</v>
      </c>
      <c r="C2559">
        <f>1/COUNTIF(B:B,Table1[[#This Row],[order_id]])</f>
        <v>0.5</v>
      </c>
      <c r="D2559" t="str">
        <f>TEXT(Table1[[#This Row],[order_date]],"mmmm")</f>
        <v>July</v>
      </c>
      <c r="E2559" s="1">
        <v>45490</v>
      </c>
      <c r="F2559" s="1" t="str">
        <f>TEXT(Table1[[#This Row],[order_date]],"dddd")</f>
        <v>Wednesday</v>
      </c>
      <c r="G2559">
        <f>HOUR(Table1[[#This Row],[order_time]])</f>
        <v>19</v>
      </c>
      <c r="H2559" s="2">
        <v>0.81039351851851849</v>
      </c>
      <c r="I2559" t="s">
        <v>11</v>
      </c>
      <c r="J2559" t="s">
        <v>14</v>
      </c>
      <c r="K2559">
        <v>1</v>
      </c>
      <c r="L2559">
        <v>700</v>
      </c>
      <c r="M2559">
        <v>700</v>
      </c>
      <c r="N2559">
        <f>IF(COUNTIFS($B$2:B2559,B2559)=1,1,0)</f>
        <v>1</v>
      </c>
    </row>
    <row r="2560" spans="1:14" x14ac:dyDescent="0.2">
      <c r="A2560">
        <v>2559</v>
      </c>
      <c r="B2560">
        <v>2291</v>
      </c>
      <c r="C2560">
        <f>1/COUNTIF(B:B,Table1[[#This Row],[order_id]])</f>
        <v>0.5</v>
      </c>
      <c r="D2560" t="str">
        <f>TEXT(Table1[[#This Row],[order_date]],"mmmm")</f>
        <v>July</v>
      </c>
      <c r="E2560" s="1">
        <v>45490</v>
      </c>
      <c r="F2560" s="1" t="str">
        <f>TEXT(Table1[[#This Row],[order_date]],"dddd")</f>
        <v>Wednesday</v>
      </c>
      <c r="G2560">
        <f>HOUR(Table1[[#This Row],[order_time]])</f>
        <v>13</v>
      </c>
      <c r="H2560" s="2">
        <v>0.57245370370370374</v>
      </c>
      <c r="I2560" t="s">
        <v>16</v>
      </c>
      <c r="J2560" t="s">
        <v>28</v>
      </c>
      <c r="K2560">
        <v>1</v>
      </c>
      <c r="L2560">
        <v>25</v>
      </c>
      <c r="M2560">
        <v>25</v>
      </c>
      <c r="N2560">
        <f>IF(COUNTIFS($B$2:B2560,B2560)=1,1,0)</f>
        <v>0</v>
      </c>
    </row>
    <row r="2561" spans="1:14" x14ac:dyDescent="0.2">
      <c r="A2561">
        <v>2560</v>
      </c>
      <c r="B2561">
        <v>2292</v>
      </c>
      <c r="C2561">
        <f>1/COUNTIF(B:B,Table1[[#This Row],[order_id]])</f>
        <v>0.33333333333333331</v>
      </c>
      <c r="D2561" t="str">
        <f>TEXT(Table1[[#This Row],[order_date]],"mmmm")</f>
        <v>July</v>
      </c>
      <c r="E2561" s="1">
        <v>45490</v>
      </c>
      <c r="F2561" s="1" t="str">
        <f>TEXT(Table1[[#This Row],[order_date]],"dddd")</f>
        <v>Wednesday</v>
      </c>
      <c r="G2561">
        <f>HOUR(Table1[[#This Row],[order_time]])</f>
        <v>16</v>
      </c>
      <c r="H2561" s="2">
        <v>0.69519675925925928</v>
      </c>
      <c r="I2561" t="s">
        <v>11</v>
      </c>
      <c r="J2561" t="s">
        <v>25</v>
      </c>
      <c r="K2561">
        <v>3</v>
      </c>
      <c r="L2561">
        <v>1000</v>
      </c>
      <c r="M2561">
        <v>3000</v>
      </c>
      <c r="N2561">
        <f>IF(COUNTIFS($B$2:B2561,B2561)=1,1,0)</f>
        <v>1</v>
      </c>
    </row>
    <row r="2562" spans="1:14" x14ac:dyDescent="0.2">
      <c r="A2562">
        <v>2561</v>
      </c>
      <c r="B2562">
        <v>2292</v>
      </c>
      <c r="C2562">
        <f>1/COUNTIF(B:B,Table1[[#This Row],[order_id]])</f>
        <v>0.33333333333333331</v>
      </c>
      <c r="D2562" t="str">
        <f>TEXT(Table1[[#This Row],[order_date]],"mmmm")</f>
        <v>July</v>
      </c>
      <c r="E2562" s="1">
        <v>45490</v>
      </c>
      <c r="F2562" s="1" t="str">
        <f>TEXT(Table1[[#This Row],[order_date]],"dddd")</f>
        <v>Wednesday</v>
      </c>
      <c r="G2562">
        <f>HOUR(Table1[[#This Row],[order_time]])</f>
        <v>20</v>
      </c>
      <c r="H2562" s="2">
        <v>0.83785879629629634</v>
      </c>
      <c r="I2562" t="s">
        <v>16</v>
      </c>
      <c r="J2562" t="s">
        <v>28</v>
      </c>
      <c r="K2562">
        <v>4</v>
      </c>
      <c r="L2562">
        <v>25</v>
      </c>
      <c r="M2562">
        <v>100</v>
      </c>
      <c r="N2562">
        <f>IF(COUNTIFS($B$2:B2562,B2562)=1,1,0)</f>
        <v>0</v>
      </c>
    </row>
    <row r="2563" spans="1:14" x14ac:dyDescent="0.2">
      <c r="A2563">
        <v>2562</v>
      </c>
      <c r="B2563">
        <v>2292</v>
      </c>
      <c r="C2563">
        <f>1/COUNTIF(B:B,Table1[[#This Row],[order_id]])</f>
        <v>0.33333333333333331</v>
      </c>
      <c r="D2563" t="str">
        <f>TEXT(Table1[[#This Row],[order_date]],"mmmm")</f>
        <v>July</v>
      </c>
      <c r="E2563" s="1">
        <v>45490</v>
      </c>
      <c r="F2563" s="1" t="str">
        <f>TEXT(Table1[[#This Row],[order_date]],"dddd")</f>
        <v>Wednesday</v>
      </c>
      <c r="G2563">
        <f>HOUR(Table1[[#This Row],[order_time]])</f>
        <v>11</v>
      </c>
      <c r="H2563" s="2">
        <v>0.48880787037037038</v>
      </c>
      <c r="I2563" t="s">
        <v>11</v>
      </c>
      <c r="J2563" t="s">
        <v>13</v>
      </c>
      <c r="K2563">
        <v>5</v>
      </c>
      <c r="L2563">
        <v>680</v>
      </c>
      <c r="M2563">
        <v>3400</v>
      </c>
      <c r="N2563">
        <f>IF(COUNTIFS($B$2:B2563,B2563)=1,1,0)</f>
        <v>0</v>
      </c>
    </row>
    <row r="2564" spans="1:14" x14ac:dyDescent="0.2">
      <c r="A2564">
        <v>2563</v>
      </c>
      <c r="B2564">
        <v>2293</v>
      </c>
      <c r="C2564">
        <f>1/COUNTIF(B:B,Table1[[#This Row],[order_id]])</f>
        <v>0.33333333333333331</v>
      </c>
      <c r="D2564" t="str">
        <f>TEXT(Table1[[#This Row],[order_date]],"mmmm")</f>
        <v>July</v>
      </c>
      <c r="E2564" s="1">
        <v>45490</v>
      </c>
      <c r="F2564" s="1" t="str">
        <f>TEXT(Table1[[#This Row],[order_date]],"dddd")</f>
        <v>Wednesday</v>
      </c>
      <c r="G2564">
        <f>HOUR(Table1[[#This Row],[order_time]])</f>
        <v>19</v>
      </c>
      <c r="H2564" s="2">
        <v>0.79679398148148151</v>
      </c>
      <c r="I2564" t="s">
        <v>16</v>
      </c>
      <c r="J2564" t="s">
        <v>23</v>
      </c>
      <c r="K2564">
        <v>3</v>
      </c>
      <c r="L2564">
        <v>30</v>
      </c>
      <c r="M2564">
        <v>90</v>
      </c>
      <c r="N2564">
        <f>IF(COUNTIFS($B$2:B2564,B2564)=1,1,0)</f>
        <v>1</v>
      </c>
    </row>
    <row r="2565" spans="1:14" x14ac:dyDescent="0.2">
      <c r="A2565">
        <v>2564</v>
      </c>
      <c r="B2565">
        <v>2293</v>
      </c>
      <c r="C2565">
        <f>1/COUNTIF(B:B,Table1[[#This Row],[order_id]])</f>
        <v>0.33333333333333331</v>
      </c>
      <c r="D2565" t="str">
        <f>TEXT(Table1[[#This Row],[order_date]],"mmmm")</f>
        <v>July</v>
      </c>
      <c r="E2565" s="1">
        <v>45490</v>
      </c>
      <c r="F2565" s="1" t="str">
        <f>TEXT(Table1[[#This Row],[order_date]],"dddd")</f>
        <v>Wednesday</v>
      </c>
      <c r="G2565">
        <f>HOUR(Table1[[#This Row],[order_time]])</f>
        <v>19</v>
      </c>
      <c r="H2565" s="2">
        <v>0.80440972222222218</v>
      </c>
      <c r="I2565" t="s">
        <v>11</v>
      </c>
      <c r="J2565" t="s">
        <v>15</v>
      </c>
      <c r="K2565">
        <v>1</v>
      </c>
      <c r="L2565">
        <v>600</v>
      </c>
      <c r="M2565">
        <v>600</v>
      </c>
      <c r="N2565">
        <f>IF(COUNTIFS($B$2:B2565,B2565)=1,1,0)</f>
        <v>0</v>
      </c>
    </row>
    <row r="2566" spans="1:14" x14ac:dyDescent="0.2">
      <c r="A2566">
        <v>2565</v>
      </c>
      <c r="B2566">
        <v>2293</v>
      </c>
      <c r="C2566">
        <f>1/COUNTIF(B:B,Table1[[#This Row],[order_id]])</f>
        <v>0.33333333333333331</v>
      </c>
      <c r="D2566" t="str">
        <f>TEXT(Table1[[#This Row],[order_date]],"mmmm")</f>
        <v>July</v>
      </c>
      <c r="E2566" s="1">
        <v>45490</v>
      </c>
      <c r="F2566" s="1" t="str">
        <f>TEXT(Table1[[#This Row],[order_date]],"dddd")</f>
        <v>Wednesday</v>
      </c>
      <c r="G2566">
        <f>HOUR(Table1[[#This Row],[order_time]])</f>
        <v>13</v>
      </c>
      <c r="H2566" s="2">
        <v>0.5715393518518519</v>
      </c>
      <c r="I2566" t="s">
        <v>16</v>
      </c>
      <c r="J2566" t="s">
        <v>23</v>
      </c>
      <c r="K2566">
        <v>1</v>
      </c>
      <c r="L2566">
        <v>30</v>
      </c>
      <c r="M2566">
        <v>30</v>
      </c>
      <c r="N2566">
        <f>IF(COUNTIFS($B$2:B2566,B2566)=1,1,0)</f>
        <v>0</v>
      </c>
    </row>
    <row r="2567" spans="1:14" x14ac:dyDescent="0.2">
      <c r="A2567">
        <v>2566</v>
      </c>
      <c r="B2567">
        <v>2294</v>
      </c>
      <c r="C2567">
        <f>1/COUNTIF(B:B,Table1[[#This Row],[order_id]])</f>
        <v>1</v>
      </c>
      <c r="D2567" t="str">
        <f>TEXT(Table1[[#This Row],[order_date]],"mmmm")</f>
        <v>July</v>
      </c>
      <c r="E2567" s="1">
        <v>45490</v>
      </c>
      <c r="F2567" s="1" t="str">
        <f>TEXT(Table1[[#This Row],[order_date]],"dddd")</f>
        <v>Wednesday</v>
      </c>
      <c r="G2567">
        <f>HOUR(Table1[[#This Row],[order_time]])</f>
        <v>16</v>
      </c>
      <c r="H2567" s="2">
        <v>0.68167824074074079</v>
      </c>
      <c r="I2567" t="s">
        <v>16</v>
      </c>
      <c r="J2567" t="s">
        <v>28</v>
      </c>
      <c r="K2567">
        <v>2</v>
      </c>
      <c r="L2567">
        <v>25</v>
      </c>
      <c r="M2567">
        <v>50</v>
      </c>
      <c r="N2567">
        <f>IF(COUNTIFS($B$2:B2567,B2567)=1,1,0)</f>
        <v>1</v>
      </c>
    </row>
    <row r="2568" spans="1:14" x14ac:dyDescent="0.2">
      <c r="A2568">
        <v>2567</v>
      </c>
      <c r="B2568">
        <v>2295</v>
      </c>
      <c r="C2568">
        <f>1/COUNTIF(B:B,Table1[[#This Row],[order_id]])</f>
        <v>1</v>
      </c>
      <c r="D2568" t="str">
        <f>TEXT(Table1[[#This Row],[order_date]],"mmmm")</f>
        <v>July</v>
      </c>
      <c r="E2568" s="1">
        <v>45490</v>
      </c>
      <c r="F2568" s="1" t="str">
        <f>TEXT(Table1[[#This Row],[order_date]],"dddd")</f>
        <v>Wednesday</v>
      </c>
      <c r="G2568">
        <f>HOUR(Table1[[#This Row],[order_time]])</f>
        <v>19</v>
      </c>
      <c r="H2568" s="2">
        <v>0.8102314814814815</v>
      </c>
      <c r="I2568" t="s">
        <v>9</v>
      </c>
      <c r="J2568" t="s">
        <v>22</v>
      </c>
      <c r="K2568">
        <v>5</v>
      </c>
      <c r="L2568">
        <v>15</v>
      </c>
      <c r="M2568">
        <v>75</v>
      </c>
      <c r="N2568">
        <f>IF(COUNTIFS($B$2:B2568,B2568)=1,1,0)</f>
        <v>1</v>
      </c>
    </row>
    <row r="2569" spans="1:14" x14ac:dyDescent="0.2">
      <c r="A2569">
        <v>2568</v>
      </c>
      <c r="B2569">
        <v>2296</v>
      </c>
      <c r="C2569">
        <f>1/COUNTIF(B:B,Table1[[#This Row],[order_id]])</f>
        <v>1</v>
      </c>
      <c r="D2569" t="str">
        <f>TEXT(Table1[[#This Row],[order_date]],"mmmm")</f>
        <v>July</v>
      </c>
      <c r="E2569" s="1">
        <v>45491</v>
      </c>
      <c r="F2569" s="1" t="str">
        <f>TEXT(Table1[[#This Row],[order_date]],"dddd")</f>
        <v>Thursday</v>
      </c>
      <c r="G2569">
        <f>HOUR(Table1[[#This Row],[order_time]])</f>
        <v>12</v>
      </c>
      <c r="H2569" s="2">
        <v>0.52732638888888894</v>
      </c>
      <c r="I2569" t="s">
        <v>9</v>
      </c>
      <c r="J2569" t="s">
        <v>21</v>
      </c>
      <c r="K2569">
        <v>5</v>
      </c>
      <c r="L2569">
        <v>10</v>
      </c>
      <c r="M2569">
        <v>50</v>
      </c>
      <c r="N2569">
        <f>IF(COUNTIFS($B$2:B2569,B2569)=1,1,0)</f>
        <v>1</v>
      </c>
    </row>
    <row r="2570" spans="1:14" x14ac:dyDescent="0.2">
      <c r="A2570">
        <v>2569</v>
      </c>
      <c r="B2570">
        <v>2297</v>
      </c>
      <c r="C2570">
        <f>1/COUNTIF(B:B,Table1[[#This Row],[order_id]])</f>
        <v>0.5</v>
      </c>
      <c r="D2570" t="str">
        <f>TEXT(Table1[[#This Row],[order_date]],"mmmm")</f>
        <v>July</v>
      </c>
      <c r="E2570" s="1">
        <v>45491</v>
      </c>
      <c r="F2570" s="1" t="str">
        <f>TEXT(Table1[[#This Row],[order_date]],"dddd")</f>
        <v>Thursday</v>
      </c>
      <c r="G2570">
        <f>HOUR(Table1[[#This Row],[order_time]])</f>
        <v>15</v>
      </c>
      <c r="H2570" s="2">
        <v>0.6257638888888889</v>
      </c>
      <c r="I2570" t="s">
        <v>16</v>
      </c>
      <c r="J2570" t="s">
        <v>23</v>
      </c>
      <c r="K2570">
        <v>1</v>
      </c>
      <c r="L2570">
        <v>30</v>
      </c>
      <c r="M2570">
        <v>30</v>
      </c>
      <c r="N2570">
        <f>IF(COUNTIFS($B$2:B2570,B2570)=1,1,0)</f>
        <v>1</v>
      </c>
    </row>
    <row r="2571" spans="1:14" x14ac:dyDescent="0.2">
      <c r="A2571">
        <v>2570</v>
      </c>
      <c r="B2571">
        <v>2297</v>
      </c>
      <c r="C2571">
        <f>1/COUNTIF(B:B,Table1[[#This Row],[order_id]])</f>
        <v>0.5</v>
      </c>
      <c r="D2571" t="str">
        <f>TEXT(Table1[[#This Row],[order_date]],"mmmm")</f>
        <v>July</v>
      </c>
      <c r="E2571" s="1">
        <v>45491</v>
      </c>
      <c r="F2571" s="1" t="str">
        <f>TEXT(Table1[[#This Row],[order_date]],"dddd")</f>
        <v>Thursday</v>
      </c>
      <c r="G2571">
        <f>HOUR(Table1[[#This Row],[order_time]])</f>
        <v>18</v>
      </c>
      <c r="H2571" s="2">
        <v>0.78315972222222219</v>
      </c>
      <c r="I2571" t="s">
        <v>16</v>
      </c>
      <c r="J2571" t="s">
        <v>23</v>
      </c>
      <c r="K2571">
        <v>5</v>
      </c>
      <c r="L2571">
        <v>30</v>
      </c>
      <c r="M2571">
        <v>150</v>
      </c>
      <c r="N2571">
        <f>IF(COUNTIFS($B$2:B2571,B2571)=1,1,0)</f>
        <v>0</v>
      </c>
    </row>
    <row r="2572" spans="1:14" x14ac:dyDescent="0.2">
      <c r="A2572">
        <v>2571</v>
      </c>
      <c r="B2572">
        <v>2298</v>
      </c>
      <c r="C2572">
        <f>1/COUNTIF(B:B,Table1[[#This Row],[order_id]])</f>
        <v>0.33333333333333331</v>
      </c>
      <c r="D2572" t="str">
        <f>TEXT(Table1[[#This Row],[order_date]],"mmmm")</f>
        <v>July</v>
      </c>
      <c r="E2572" s="1">
        <v>45491</v>
      </c>
      <c r="F2572" s="1" t="str">
        <f>TEXT(Table1[[#This Row],[order_date]],"dddd")</f>
        <v>Thursday</v>
      </c>
      <c r="G2572">
        <f>HOUR(Table1[[#This Row],[order_time]])</f>
        <v>11</v>
      </c>
      <c r="H2572" s="2">
        <v>0.47412037037037036</v>
      </c>
      <c r="I2572" t="s">
        <v>11</v>
      </c>
      <c r="J2572" t="s">
        <v>25</v>
      </c>
      <c r="K2572">
        <v>3</v>
      </c>
      <c r="L2572">
        <v>1000</v>
      </c>
      <c r="M2572">
        <v>3000</v>
      </c>
      <c r="N2572">
        <f>IF(COUNTIFS($B$2:B2572,B2572)=1,1,0)</f>
        <v>1</v>
      </c>
    </row>
    <row r="2573" spans="1:14" x14ac:dyDescent="0.2">
      <c r="A2573">
        <v>2572</v>
      </c>
      <c r="B2573">
        <v>2298</v>
      </c>
      <c r="C2573">
        <f>1/COUNTIF(B:B,Table1[[#This Row],[order_id]])</f>
        <v>0.33333333333333331</v>
      </c>
      <c r="D2573" t="str">
        <f>TEXT(Table1[[#This Row],[order_date]],"mmmm")</f>
        <v>July</v>
      </c>
      <c r="E2573" s="1">
        <v>45491</v>
      </c>
      <c r="F2573" s="1" t="str">
        <f>TEXT(Table1[[#This Row],[order_date]],"dddd")</f>
        <v>Thursday</v>
      </c>
      <c r="G2573">
        <f>HOUR(Table1[[#This Row],[order_time]])</f>
        <v>14</v>
      </c>
      <c r="H2573" s="2">
        <v>0.59407407407407409</v>
      </c>
      <c r="I2573" t="s">
        <v>18</v>
      </c>
      <c r="J2573" t="s">
        <v>30</v>
      </c>
      <c r="K2573">
        <v>2</v>
      </c>
      <c r="L2573">
        <v>60</v>
      </c>
      <c r="M2573">
        <v>120</v>
      </c>
      <c r="N2573">
        <f>IF(COUNTIFS($B$2:B2573,B2573)=1,1,0)</f>
        <v>0</v>
      </c>
    </row>
    <row r="2574" spans="1:14" x14ac:dyDescent="0.2">
      <c r="A2574">
        <v>2573</v>
      </c>
      <c r="B2574">
        <v>2298</v>
      </c>
      <c r="C2574">
        <f>1/COUNTIF(B:B,Table1[[#This Row],[order_id]])</f>
        <v>0.33333333333333331</v>
      </c>
      <c r="D2574" t="str">
        <f>TEXT(Table1[[#This Row],[order_date]],"mmmm")</f>
        <v>July</v>
      </c>
      <c r="E2574" s="1">
        <v>45491</v>
      </c>
      <c r="F2574" s="1" t="str">
        <f>TEXT(Table1[[#This Row],[order_date]],"dddd")</f>
        <v>Thursday</v>
      </c>
      <c r="G2574">
        <f>HOUR(Table1[[#This Row],[order_time]])</f>
        <v>11</v>
      </c>
      <c r="H2574" s="2">
        <v>0.4596412037037037</v>
      </c>
      <c r="I2574" t="s">
        <v>9</v>
      </c>
      <c r="J2574" t="s">
        <v>21</v>
      </c>
      <c r="K2574">
        <v>3</v>
      </c>
      <c r="L2574">
        <v>10</v>
      </c>
      <c r="M2574">
        <v>30</v>
      </c>
      <c r="N2574">
        <f>IF(COUNTIFS($B$2:B2574,B2574)=1,1,0)</f>
        <v>0</v>
      </c>
    </row>
    <row r="2575" spans="1:14" x14ac:dyDescent="0.2">
      <c r="A2575">
        <v>2574</v>
      </c>
      <c r="B2575">
        <v>2299</v>
      </c>
      <c r="C2575">
        <f>1/COUNTIF(B:B,Table1[[#This Row],[order_id]])</f>
        <v>0.33333333333333331</v>
      </c>
      <c r="D2575" t="str">
        <f>TEXT(Table1[[#This Row],[order_date]],"mmmm")</f>
        <v>July</v>
      </c>
      <c r="E2575" s="1">
        <v>45491</v>
      </c>
      <c r="F2575" s="1" t="str">
        <f>TEXT(Table1[[#This Row],[order_date]],"dddd")</f>
        <v>Thursday</v>
      </c>
      <c r="G2575">
        <f>HOUR(Table1[[#This Row],[order_time]])</f>
        <v>18</v>
      </c>
      <c r="H2575" s="2">
        <v>0.77635416666666668</v>
      </c>
      <c r="I2575" t="s">
        <v>16</v>
      </c>
      <c r="J2575" t="s">
        <v>17</v>
      </c>
      <c r="K2575">
        <v>5</v>
      </c>
      <c r="L2575">
        <v>20</v>
      </c>
      <c r="M2575">
        <v>100</v>
      </c>
      <c r="N2575">
        <f>IF(COUNTIFS($B$2:B2575,B2575)=1,1,0)</f>
        <v>1</v>
      </c>
    </row>
    <row r="2576" spans="1:14" x14ac:dyDescent="0.2">
      <c r="A2576">
        <v>2575</v>
      </c>
      <c r="B2576">
        <v>2299</v>
      </c>
      <c r="C2576">
        <f>1/COUNTIF(B:B,Table1[[#This Row],[order_id]])</f>
        <v>0.33333333333333331</v>
      </c>
      <c r="D2576" t="str">
        <f>TEXT(Table1[[#This Row],[order_date]],"mmmm")</f>
        <v>July</v>
      </c>
      <c r="E2576" s="1">
        <v>45491</v>
      </c>
      <c r="F2576" s="1" t="str">
        <f>TEXT(Table1[[#This Row],[order_date]],"dddd")</f>
        <v>Thursday</v>
      </c>
      <c r="G2576">
        <f>HOUR(Table1[[#This Row],[order_time]])</f>
        <v>9</v>
      </c>
      <c r="H2576" s="2">
        <v>0.39930555555555558</v>
      </c>
      <c r="I2576" t="s">
        <v>11</v>
      </c>
      <c r="J2576" t="s">
        <v>14</v>
      </c>
      <c r="K2576">
        <v>3</v>
      </c>
      <c r="L2576">
        <v>700</v>
      </c>
      <c r="M2576">
        <v>2100</v>
      </c>
      <c r="N2576">
        <f>IF(COUNTIFS($B$2:B2576,B2576)=1,1,0)</f>
        <v>0</v>
      </c>
    </row>
    <row r="2577" spans="1:14" x14ac:dyDescent="0.2">
      <c r="A2577">
        <v>2576</v>
      </c>
      <c r="B2577">
        <v>2299</v>
      </c>
      <c r="C2577">
        <f>1/COUNTIF(B:B,Table1[[#This Row],[order_id]])</f>
        <v>0.33333333333333331</v>
      </c>
      <c r="D2577" t="str">
        <f>TEXT(Table1[[#This Row],[order_date]],"mmmm")</f>
        <v>July</v>
      </c>
      <c r="E2577" s="1">
        <v>45491</v>
      </c>
      <c r="F2577" s="1" t="str">
        <f>TEXT(Table1[[#This Row],[order_date]],"dddd")</f>
        <v>Thursday</v>
      </c>
      <c r="G2577">
        <f>HOUR(Table1[[#This Row],[order_time]])</f>
        <v>11</v>
      </c>
      <c r="H2577" s="2">
        <v>0.48729166666666668</v>
      </c>
      <c r="I2577" t="s">
        <v>11</v>
      </c>
      <c r="J2577" t="s">
        <v>25</v>
      </c>
      <c r="K2577">
        <v>5</v>
      </c>
      <c r="L2577">
        <v>1000</v>
      </c>
      <c r="M2577">
        <v>5000</v>
      </c>
      <c r="N2577">
        <f>IF(COUNTIFS($B$2:B2577,B2577)=1,1,0)</f>
        <v>0</v>
      </c>
    </row>
    <row r="2578" spans="1:14" x14ac:dyDescent="0.2">
      <c r="A2578">
        <v>2577</v>
      </c>
      <c r="B2578">
        <v>2300</v>
      </c>
      <c r="C2578">
        <f>1/COUNTIF(B:B,Table1[[#This Row],[order_id]])</f>
        <v>1</v>
      </c>
      <c r="D2578" t="str">
        <f>TEXT(Table1[[#This Row],[order_date]],"mmmm")</f>
        <v>July</v>
      </c>
      <c r="E2578" s="1">
        <v>45492</v>
      </c>
      <c r="F2578" s="1" t="str">
        <f>TEXT(Table1[[#This Row],[order_date]],"dddd")</f>
        <v>Friday</v>
      </c>
      <c r="G2578">
        <f>HOUR(Table1[[#This Row],[order_time]])</f>
        <v>19</v>
      </c>
      <c r="H2578" s="2">
        <v>0.82275462962962964</v>
      </c>
      <c r="I2578" t="s">
        <v>11</v>
      </c>
      <c r="J2578" t="s">
        <v>14</v>
      </c>
      <c r="K2578">
        <v>5</v>
      </c>
      <c r="L2578">
        <v>700</v>
      </c>
      <c r="M2578">
        <v>3500</v>
      </c>
      <c r="N2578">
        <f>IF(COUNTIFS($B$2:B2578,B2578)=1,1,0)</f>
        <v>1</v>
      </c>
    </row>
    <row r="2579" spans="1:14" x14ac:dyDescent="0.2">
      <c r="A2579">
        <v>2578</v>
      </c>
      <c r="B2579">
        <v>2301</v>
      </c>
      <c r="C2579">
        <f>1/COUNTIF(B:B,Table1[[#This Row],[order_id]])</f>
        <v>0.5</v>
      </c>
      <c r="D2579" t="str">
        <f>TEXT(Table1[[#This Row],[order_date]],"mmmm")</f>
        <v>July</v>
      </c>
      <c r="E2579" s="1">
        <v>45492</v>
      </c>
      <c r="F2579" s="1" t="str">
        <f>TEXT(Table1[[#This Row],[order_date]],"dddd")</f>
        <v>Friday</v>
      </c>
      <c r="G2579">
        <f>HOUR(Table1[[#This Row],[order_time]])</f>
        <v>12</v>
      </c>
      <c r="H2579" s="2">
        <v>0.52689814814814817</v>
      </c>
      <c r="I2579" t="s">
        <v>18</v>
      </c>
      <c r="J2579" t="s">
        <v>26</v>
      </c>
      <c r="K2579">
        <v>5</v>
      </c>
      <c r="L2579">
        <v>55</v>
      </c>
      <c r="M2579">
        <v>275</v>
      </c>
      <c r="N2579">
        <f>IF(COUNTIFS($B$2:B2579,B2579)=1,1,0)</f>
        <v>1</v>
      </c>
    </row>
    <row r="2580" spans="1:14" x14ac:dyDescent="0.2">
      <c r="A2580">
        <v>2579</v>
      </c>
      <c r="B2580">
        <v>2301</v>
      </c>
      <c r="C2580">
        <f>1/COUNTIF(B:B,Table1[[#This Row],[order_id]])</f>
        <v>0.5</v>
      </c>
      <c r="D2580" t="str">
        <f>TEXT(Table1[[#This Row],[order_date]],"mmmm")</f>
        <v>July</v>
      </c>
      <c r="E2580" s="1">
        <v>45492</v>
      </c>
      <c r="F2580" s="1" t="str">
        <f>TEXT(Table1[[#This Row],[order_date]],"dddd")</f>
        <v>Friday</v>
      </c>
      <c r="G2580">
        <f>HOUR(Table1[[#This Row],[order_time]])</f>
        <v>19</v>
      </c>
      <c r="H2580" s="2">
        <v>0.82802083333333332</v>
      </c>
      <c r="I2580" t="s">
        <v>16</v>
      </c>
      <c r="J2580" t="s">
        <v>24</v>
      </c>
      <c r="K2580">
        <v>2</v>
      </c>
      <c r="L2580">
        <v>35</v>
      </c>
      <c r="M2580">
        <v>70</v>
      </c>
      <c r="N2580">
        <f>IF(COUNTIFS($B$2:B2580,B2580)=1,1,0)</f>
        <v>0</v>
      </c>
    </row>
    <row r="2581" spans="1:14" x14ac:dyDescent="0.2">
      <c r="A2581">
        <v>2580</v>
      </c>
      <c r="B2581">
        <v>2302</v>
      </c>
      <c r="C2581">
        <f>1/COUNTIF(B:B,Table1[[#This Row],[order_id]])</f>
        <v>1</v>
      </c>
      <c r="D2581" t="str">
        <f>TEXT(Table1[[#This Row],[order_date]],"mmmm")</f>
        <v>July</v>
      </c>
      <c r="E2581" s="1">
        <v>45492</v>
      </c>
      <c r="F2581" s="1" t="str">
        <f>TEXT(Table1[[#This Row],[order_date]],"dddd")</f>
        <v>Friday</v>
      </c>
      <c r="G2581">
        <f>HOUR(Table1[[#This Row],[order_time]])</f>
        <v>19</v>
      </c>
      <c r="H2581" s="2">
        <v>0.81760416666666669</v>
      </c>
      <c r="I2581" t="s">
        <v>18</v>
      </c>
      <c r="J2581" t="s">
        <v>19</v>
      </c>
      <c r="K2581">
        <v>5</v>
      </c>
      <c r="L2581">
        <v>50</v>
      </c>
      <c r="M2581">
        <v>250</v>
      </c>
      <c r="N2581">
        <f>IF(COUNTIFS($B$2:B2581,B2581)=1,1,0)</f>
        <v>1</v>
      </c>
    </row>
    <row r="2582" spans="1:14" x14ac:dyDescent="0.2">
      <c r="A2582">
        <v>2581</v>
      </c>
      <c r="B2582">
        <v>2303</v>
      </c>
      <c r="C2582">
        <f>1/COUNTIF(B:B,Table1[[#This Row],[order_id]])</f>
        <v>1</v>
      </c>
      <c r="D2582" t="str">
        <f>TEXT(Table1[[#This Row],[order_date]],"mmmm")</f>
        <v>July</v>
      </c>
      <c r="E2582" s="1">
        <v>45492</v>
      </c>
      <c r="F2582" s="1" t="str">
        <f>TEXT(Table1[[#This Row],[order_date]],"dddd")</f>
        <v>Friday</v>
      </c>
      <c r="G2582">
        <f>HOUR(Table1[[#This Row],[order_time]])</f>
        <v>9</v>
      </c>
      <c r="H2582" s="2">
        <v>0.38322916666666668</v>
      </c>
      <c r="I2582" t="s">
        <v>11</v>
      </c>
      <c r="J2582" t="s">
        <v>25</v>
      </c>
      <c r="K2582">
        <v>1</v>
      </c>
      <c r="L2582">
        <v>1000</v>
      </c>
      <c r="M2582">
        <v>1000</v>
      </c>
      <c r="N2582">
        <f>IF(COUNTIFS($B$2:B2582,B2582)=1,1,0)</f>
        <v>1</v>
      </c>
    </row>
    <row r="2583" spans="1:14" x14ac:dyDescent="0.2">
      <c r="A2583">
        <v>2582</v>
      </c>
      <c r="B2583">
        <v>2304</v>
      </c>
      <c r="C2583">
        <f>1/COUNTIF(B:B,Table1[[#This Row],[order_id]])</f>
        <v>0.5</v>
      </c>
      <c r="D2583" t="str">
        <f>TEXT(Table1[[#This Row],[order_date]],"mmmm")</f>
        <v>July</v>
      </c>
      <c r="E2583" s="1">
        <v>45492</v>
      </c>
      <c r="F2583" s="1" t="str">
        <f>TEXT(Table1[[#This Row],[order_date]],"dddd")</f>
        <v>Friday</v>
      </c>
      <c r="G2583">
        <f>HOUR(Table1[[#This Row],[order_time]])</f>
        <v>20</v>
      </c>
      <c r="H2583" s="2">
        <v>0.85159722222222223</v>
      </c>
      <c r="I2583" t="s">
        <v>18</v>
      </c>
      <c r="J2583" t="s">
        <v>31</v>
      </c>
      <c r="K2583">
        <v>5</v>
      </c>
      <c r="L2583">
        <v>45</v>
      </c>
      <c r="M2583">
        <v>225</v>
      </c>
      <c r="N2583">
        <f>IF(COUNTIFS($B$2:B2583,B2583)=1,1,0)</f>
        <v>1</v>
      </c>
    </row>
    <row r="2584" spans="1:14" x14ac:dyDescent="0.2">
      <c r="A2584">
        <v>2583</v>
      </c>
      <c r="B2584">
        <v>2304</v>
      </c>
      <c r="C2584">
        <f>1/COUNTIF(B:B,Table1[[#This Row],[order_id]])</f>
        <v>0.5</v>
      </c>
      <c r="D2584" t="str">
        <f>TEXT(Table1[[#This Row],[order_date]],"mmmm")</f>
        <v>July</v>
      </c>
      <c r="E2584" s="1">
        <v>45492</v>
      </c>
      <c r="F2584" s="1" t="str">
        <f>TEXT(Table1[[#This Row],[order_date]],"dddd")</f>
        <v>Friday</v>
      </c>
      <c r="G2584">
        <f>HOUR(Table1[[#This Row],[order_time]])</f>
        <v>13</v>
      </c>
      <c r="H2584" s="2">
        <v>0.56781250000000005</v>
      </c>
      <c r="I2584" t="s">
        <v>18</v>
      </c>
      <c r="J2584" t="s">
        <v>30</v>
      </c>
      <c r="K2584">
        <v>3</v>
      </c>
      <c r="L2584">
        <v>60</v>
      </c>
      <c r="M2584">
        <v>180</v>
      </c>
      <c r="N2584">
        <f>IF(COUNTIFS($B$2:B2584,B2584)=1,1,0)</f>
        <v>0</v>
      </c>
    </row>
    <row r="2585" spans="1:14" x14ac:dyDescent="0.2">
      <c r="A2585">
        <v>2584</v>
      </c>
      <c r="B2585">
        <v>2305</v>
      </c>
      <c r="C2585">
        <f>1/COUNTIF(B:B,Table1[[#This Row],[order_id]])</f>
        <v>1</v>
      </c>
      <c r="D2585" t="str">
        <f>TEXT(Table1[[#This Row],[order_date]],"mmmm")</f>
        <v>July</v>
      </c>
      <c r="E2585" s="1">
        <v>45493</v>
      </c>
      <c r="F2585" s="1" t="str">
        <f>TEXT(Table1[[#This Row],[order_date]],"dddd")</f>
        <v>Saturday</v>
      </c>
      <c r="G2585">
        <f>HOUR(Table1[[#This Row],[order_time]])</f>
        <v>13</v>
      </c>
      <c r="H2585" s="2">
        <v>0.55777777777777782</v>
      </c>
      <c r="I2585" t="s">
        <v>16</v>
      </c>
      <c r="J2585" t="s">
        <v>17</v>
      </c>
      <c r="K2585">
        <v>3</v>
      </c>
      <c r="L2585">
        <v>20</v>
      </c>
      <c r="M2585">
        <v>60</v>
      </c>
      <c r="N2585">
        <f>IF(COUNTIFS($B$2:B2585,B2585)=1,1,0)</f>
        <v>1</v>
      </c>
    </row>
    <row r="2586" spans="1:14" x14ac:dyDescent="0.2">
      <c r="A2586">
        <v>2585</v>
      </c>
      <c r="B2586">
        <v>2306</v>
      </c>
      <c r="C2586">
        <f>1/COUNTIF(B:B,Table1[[#This Row],[order_id]])</f>
        <v>0.33333333333333331</v>
      </c>
      <c r="D2586" t="str">
        <f>TEXT(Table1[[#This Row],[order_date]],"mmmm")</f>
        <v>July</v>
      </c>
      <c r="E2586" s="1">
        <v>45493</v>
      </c>
      <c r="F2586" s="1" t="str">
        <f>TEXT(Table1[[#This Row],[order_date]],"dddd")</f>
        <v>Saturday</v>
      </c>
      <c r="G2586">
        <f>HOUR(Table1[[#This Row],[order_time]])</f>
        <v>19</v>
      </c>
      <c r="H2586" s="2">
        <v>0.8238078703703704</v>
      </c>
      <c r="I2586" t="s">
        <v>18</v>
      </c>
      <c r="J2586" t="s">
        <v>19</v>
      </c>
      <c r="K2586">
        <v>2</v>
      </c>
      <c r="L2586">
        <v>50</v>
      </c>
      <c r="M2586">
        <v>100</v>
      </c>
      <c r="N2586">
        <f>IF(COUNTIFS($B$2:B2586,B2586)=1,1,0)</f>
        <v>1</v>
      </c>
    </row>
    <row r="2587" spans="1:14" x14ac:dyDescent="0.2">
      <c r="A2587">
        <v>2586</v>
      </c>
      <c r="B2587">
        <v>2306</v>
      </c>
      <c r="C2587">
        <f>1/COUNTIF(B:B,Table1[[#This Row],[order_id]])</f>
        <v>0.33333333333333331</v>
      </c>
      <c r="D2587" t="str">
        <f>TEXT(Table1[[#This Row],[order_date]],"mmmm")</f>
        <v>July</v>
      </c>
      <c r="E2587" s="1">
        <v>45493</v>
      </c>
      <c r="F2587" s="1" t="str">
        <f>TEXT(Table1[[#This Row],[order_date]],"dddd")</f>
        <v>Saturday</v>
      </c>
      <c r="G2587">
        <f>HOUR(Table1[[#This Row],[order_time]])</f>
        <v>16</v>
      </c>
      <c r="H2587" s="2">
        <v>0.66862268518518519</v>
      </c>
      <c r="I2587" t="s">
        <v>9</v>
      </c>
      <c r="J2587" t="s">
        <v>21</v>
      </c>
      <c r="K2587">
        <v>1</v>
      </c>
      <c r="L2587">
        <v>10</v>
      </c>
      <c r="M2587">
        <v>10</v>
      </c>
      <c r="N2587">
        <f>IF(COUNTIFS($B$2:B2587,B2587)=1,1,0)</f>
        <v>0</v>
      </c>
    </row>
    <row r="2588" spans="1:14" x14ac:dyDescent="0.2">
      <c r="A2588">
        <v>2587</v>
      </c>
      <c r="B2588">
        <v>2306</v>
      </c>
      <c r="C2588">
        <f>1/COUNTIF(B:B,Table1[[#This Row],[order_id]])</f>
        <v>0.33333333333333331</v>
      </c>
      <c r="D2588" t="str">
        <f>TEXT(Table1[[#This Row],[order_date]],"mmmm")</f>
        <v>July</v>
      </c>
      <c r="E2588" s="1">
        <v>45493</v>
      </c>
      <c r="F2588" s="1" t="str">
        <f>TEXT(Table1[[#This Row],[order_date]],"dddd")</f>
        <v>Saturday</v>
      </c>
      <c r="G2588">
        <f>HOUR(Table1[[#This Row],[order_time]])</f>
        <v>12</v>
      </c>
      <c r="H2588" s="2">
        <v>0.52302083333333338</v>
      </c>
      <c r="I2588" t="s">
        <v>11</v>
      </c>
      <c r="J2588" t="s">
        <v>13</v>
      </c>
      <c r="K2588">
        <v>3</v>
      </c>
      <c r="L2588">
        <v>680</v>
      </c>
      <c r="M2588">
        <v>2040</v>
      </c>
      <c r="N2588">
        <f>IF(COUNTIFS($B$2:B2588,B2588)=1,1,0)</f>
        <v>0</v>
      </c>
    </row>
    <row r="2589" spans="1:14" x14ac:dyDescent="0.2">
      <c r="A2589">
        <v>2588</v>
      </c>
      <c r="B2589">
        <v>2307</v>
      </c>
      <c r="C2589">
        <f>1/COUNTIF(B:B,Table1[[#This Row],[order_id]])</f>
        <v>0.5</v>
      </c>
      <c r="D2589" t="str">
        <f>TEXT(Table1[[#This Row],[order_date]],"mmmm")</f>
        <v>July</v>
      </c>
      <c r="E2589" s="1">
        <v>45493</v>
      </c>
      <c r="F2589" s="1" t="str">
        <f>TEXT(Table1[[#This Row],[order_date]],"dddd")</f>
        <v>Saturday</v>
      </c>
      <c r="G2589">
        <f>HOUR(Table1[[#This Row],[order_time]])</f>
        <v>11</v>
      </c>
      <c r="H2589" s="2">
        <v>0.47803240740740743</v>
      </c>
      <c r="I2589" t="s">
        <v>16</v>
      </c>
      <c r="J2589" t="s">
        <v>28</v>
      </c>
      <c r="K2589">
        <v>5</v>
      </c>
      <c r="L2589">
        <v>25</v>
      </c>
      <c r="M2589">
        <v>125</v>
      </c>
      <c r="N2589">
        <f>IF(COUNTIFS($B$2:B2589,B2589)=1,1,0)</f>
        <v>1</v>
      </c>
    </row>
    <row r="2590" spans="1:14" x14ac:dyDescent="0.2">
      <c r="A2590">
        <v>2589</v>
      </c>
      <c r="B2590">
        <v>2307</v>
      </c>
      <c r="C2590">
        <f>1/COUNTIF(B:B,Table1[[#This Row],[order_id]])</f>
        <v>0.5</v>
      </c>
      <c r="D2590" t="str">
        <f>TEXT(Table1[[#This Row],[order_date]],"mmmm")</f>
        <v>July</v>
      </c>
      <c r="E2590" s="1">
        <v>45493</v>
      </c>
      <c r="F2590" s="1" t="str">
        <f>TEXT(Table1[[#This Row],[order_date]],"dddd")</f>
        <v>Saturday</v>
      </c>
      <c r="G2590">
        <f>HOUR(Table1[[#This Row],[order_time]])</f>
        <v>9</v>
      </c>
      <c r="H2590" s="2">
        <v>0.39555555555555555</v>
      </c>
      <c r="I2590" t="s">
        <v>16</v>
      </c>
      <c r="J2590" t="s">
        <v>24</v>
      </c>
      <c r="K2590">
        <v>5</v>
      </c>
      <c r="L2590">
        <v>35</v>
      </c>
      <c r="M2590">
        <v>175</v>
      </c>
      <c r="N2590">
        <f>IF(COUNTIFS($B$2:B2590,B2590)=1,1,0)</f>
        <v>0</v>
      </c>
    </row>
    <row r="2591" spans="1:14" x14ac:dyDescent="0.2">
      <c r="A2591">
        <v>2590</v>
      </c>
      <c r="B2591">
        <v>2308</v>
      </c>
      <c r="C2591">
        <f>1/COUNTIF(B:B,Table1[[#This Row],[order_id]])</f>
        <v>0.33333333333333331</v>
      </c>
      <c r="D2591" t="str">
        <f>TEXT(Table1[[#This Row],[order_date]],"mmmm")</f>
        <v>July</v>
      </c>
      <c r="E2591" s="1">
        <v>45493</v>
      </c>
      <c r="F2591" s="1" t="str">
        <f>TEXT(Table1[[#This Row],[order_date]],"dddd")</f>
        <v>Saturday</v>
      </c>
      <c r="G2591">
        <f>HOUR(Table1[[#This Row],[order_time]])</f>
        <v>10</v>
      </c>
      <c r="H2591" s="2">
        <v>0.44738425925925923</v>
      </c>
      <c r="I2591" t="s">
        <v>9</v>
      </c>
      <c r="J2591" t="s">
        <v>29</v>
      </c>
      <c r="K2591">
        <v>3</v>
      </c>
      <c r="L2591">
        <v>5</v>
      </c>
      <c r="M2591">
        <v>15</v>
      </c>
      <c r="N2591">
        <f>IF(COUNTIFS($B$2:B2591,B2591)=1,1,0)</f>
        <v>1</v>
      </c>
    </row>
    <row r="2592" spans="1:14" x14ac:dyDescent="0.2">
      <c r="A2592">
        <v>2591</v>
      </c>
      <c r="B2592">
        <v>2308</v>
      </c>
      <c r="C2592">
        <f>1/COUNTIF(B:B,Table1[[#This Row],[order_id]])</f>
        <v>0.33333333333333331</v>
      </c>
      <c r="D2592" t="str">
        <f>TEXT(Table1[[#This Row],[order_date]],"mmmm")</f>
        <v>July</v>
      </c>
      <c r="E2592" s="1">
        <v>45493</v>
      </c>
      <c r="F2592" s="1" t="str">
        <f>TEXT(Table1[[#This Row],[order_date]],"dddd")</f>
        <v>Saturday</v>
      </c>
      <c r="G2592">
        <f>HOUR(Table1[[#This Row],[order_time]])</f>
        <v>18</v>
      </c>
      <c r="H2592" s="2">
        <v>0.78622685185185182</v>
      </c>
      <c r="I2592" t="s">
        <v>9</v>
      </c>
      <c r="J2592" t="s">
        <v>10</v>
      </c>
      <c r="K2592">
        <v>4</v>
      </c>
      <c r="L2592">
        <v>20</v>
      </c>
      <c r="M2592">
        <v>80</v>
      </c>
      <c r="N2592">
        <f>IF(COUNTIFS($B$2:B2592,B2592)=1,1,0)</f>
        <v>0</v>
      </c>
    </row>
    <row r="2593" spans="1:14" x14ac:dyDescent="0.2">
      <c r="A2593">
        <v>2592</v>
      </c>
      <c r="B2593">
        <v>2308</v>
      </c>
      <c r="C2593">
        <f>1/COUNTIF(B:B,Table1[[#This Row],[order_id]])</f>
        <v>0.33333333333333331</v>
      </c>
      <c r="D2593" t="str">
        <f>TEXT(Table1[[#This Row],[order_date]],"mmmm")</f>
        <v>July</v>
      </c>
      <c r="E2593" s="1">
        <v>45493</v>
      </c>
      <c r="F2593" s="1" t="str">
        <f>TEXT(Table1[[#This Row],[order_date]],"dddd")</f>
        <v>Saturday</v>
      </c>
      <c r="G2593">
        <f>HOUR(Table1[[#This Row],[order_time]])</f>
        <v>15</v>
      </c>
      <c r="H2593" s="2">
        <v>0.65813657407407411</v>
      </c>
      <c r="I2593" t="s">
        <v>18</v>
      </c>
      <c r="J2593" t="s">
        <v>19</v>
      </c>
      <c r="K2593">
        <v>5</v>
      </c>
      <c r="L2593">
        <v>50</v>
      </c>
      <c r="M2593">
        <v>250</v>
      </c>
      <c r="N2593">
        <f>IF(COUNTIFS($B$2:B2593,B2593)=1,1,0)</f>
        <v>0</v>
      </c>
    </row>
    <row r="2594" spans="1:14" x14ac:dyDescent="0.2">
      <c r="A2594">
        <v>2593</v>
      </c>
      <c r="B2594">
        <v>2309</v>
      </c>
      <c r="C2594">
        <f>1/COUNTIF(B:B,Table1[[#This Row],[order_id]])</f>
        <v>1</v>
      </c>
      <c r="D2594" t="str">
        <f>TEXT(Table1[[#This Row],[order_date]],"mmmm")</f>
        <v>July</v>
      </c>
      <c r="E2594" s="1">
        <v>45493</v>
      </c>
      <c r="F2594" s="1" t="str">
        <f>TEXT(Table1[[#This Row],[order_date]],"dddd")</f>
        <v>Saturday</v>
      </c>
      <c r="G2594">
        <f>HOUR(Table1[[#This Row],[order_time]])</f>
        <v>16</v>
      </c>
      <c r="H2594" s="2">
        <v>0.67377314814814815</v>
      </c>
      <c r="I2594" t="s">
        <v>11</v>
      </c>
      <c r="J2594" t="s">
        <v>14</v>
      </c>
      <c r="K2594">
        <v>5</v>
      </c>
      <c r="L2594">
        <v>700</v>
      </c>
      <c r="M2594">
        <v>3500</v>
      </c>
      <c r="N2594">
        <f>IF(COUNTIFS($B$2:B2594,B2594)=1,1,0)</f>
        <v>1</v>
      </c>
    </row>
    <row r="2595" spans="1:14" x14ac:dyDescent="0.2">
      <c r="A2595">
        <v>2594</v>
      </c>
      <c r="B2595">
        <v>2310</v>
      </c>
      <c r="C2595">
        <f>1/COUNTIF(B:B,Table1[[#This Row],[order_id]])</f>
        <v>0.5</v>
      </c>
      <c r="D2595" t="str">
        <f>TEXT(Table1[[#This Row],[order_date]],"mmmm")</f>
        <v>July</v>
      </c>
      <c r="E2595" s="1">
        <v>45493</v>
      </c>
      <c r="F2595" s="1" t="str">
        <f>TEXT(Table1[[#This Row],[order_date]],"dddd")</f>
        <v>Saturday</v>
      </c>
      <c r="G2595">
        <f>HOUR(Table1[[#This Row],[order_time]])</f>
        <v>17</v>
      </c>
      <c r="H2595" s="2">
        <v>0.72346064814814814</v>
      </c>
      <c r="I2595" t="s">
        <v>18</v>
      </c>
      <c r="J2595" t="s">
        <v>27</v>
      </c>
      <c r="K2595">
        <v>2</v>
      </c>
      <c r="L2595">
        <v>40</v>
      </c>
      <c r="M2595">
        <v>80</v>
      </c>
      <c r="N2595">
        <f>IF(COUNTIFS($B$2:B2595,B2595)=1,1,0)</f>
        <v>1</v>
      </c>
    </row>
    <row r="2596" spans="1:14" x14ac:dyDescent="0.2">
      <c r="A2596">
        <v>2595</v>
      </c>
      <c r="B2596">
        <v>2310</v>
      </c>
      <c r="C2596">
        <f>1/COUNTIF(B:B,Table1[[#This Row],[order_id]])</f>
        <v>0.5</v>
      </c>
      <c r="D2596" t="str">
        <f>TEXT(Table1[[#This Row],[order_date]],"mmmm")</f>
        <v>July</v>
      </c>
      <c r="E2596" s="1">
        <v>45493</v>
      </c>
      <c r="F2596" s="1" t="str">
        <f>TEXT(Table1[[#This Row],[order_date]],"dddd")</f>
        <v>Saturday</v>
      </c>
      <c r="G2596">
        <f>HOUR(Table1[[#This Row],[order_time]])</f>
        <v>10</v>
      </c>
      <c r="H2596" s="2">
        <v>0.42143518518518519</v>
      </c>
      <c r="I2596" t="s">
        <v>11</v>
      </c>
      <c r="J2596" t="s">
        <v>25</v>
      </c>
      <c r="K2596">
        <v>5</v>
      </c>
      <c r="L2596">
        <v>1000</v>
      </c>
      <c r="M2596">
        <v>5000</v>
      </c>
      <c r="N2596">
        <f>IF(COUNTIFS($B$2:B2596,B2596)=1,1,0)</f>
        <v>0</v>
      </c>
    </row>
    <row r="2597" spans="1:14" x14ac:dyDescent="0.2">
      <c r="A2597">
        <v>2596</v>
      </c>
      <c r="B2597">
        <v>2311</v>
      </c>
      <c r="C2597">
        <f>1/COUNTIF(B:B,Table1[[#This Row],[order_id]])</f>
        <v>0.33333333333333331</v>
      </c>
      <c r="D2597" t="str">
        <f>TEXT(Table1[[#This Row],[order_date]],"mmmm")</f>
        <v>July</v>
      </c>
      <c r="E2597" s="1">
        <v>45493</v>
      </c>
      <c r="F2597" s="1" t="str">
        <f>TEXT(Table1[[#This Row],[order_date]],"dddd")</f>
        <v>Saturday</v>
      </c>
      <c r="G2597">
        <f>HOUR(Table1[[#This Row],[order_time]])</f>
        <v>14</v>
      </c>
      <c r="H2597" s="2">
        <v>0.60678240740740741</v>
      </c>
      <c r="I2597" t="s">
        <v>11</v>
      </c>
      <c r="J2597" t="s">
        <v>14</v>
      </c>
      <c r="K2597">
        <v>4</v>
      </c>
      <c r="L2597">
        <v>700</v>
      </c>
      <c r="M2597">
        <v>2800</v>
      </c>
      <c r="N2597">
        <f>IF(COUNTIFS($B$2:B2597,B2597)=1,1,0)</f>
        <v>1</v>
      </c>
    </row>
    <row r="2598" spans="1:14" x14ac:dyDescent="0.2">
      <c r="A2598">
        <v>2597</v>
      </c>
      <c r="B2598">
        <v>2311</v>
      </c>
      <c r="C2598">
        <f>1/COUNTIF(B:B,Table1[[#This Row],[order_id]])</f>
        <v>0.33333333333333331</v>
      </c>
      <c r="D2598" t="str">
        <f>TEXT(Table1[[#This Row],[order_date]],"mmmm")</f>
        <v>July</v>
      </c>
      <c r="E2598" s="1">
        <v>45493</v>
      </c>
      <c r="F2598" s="1" t="str">
        <f>TEXT(Table1[[#This Row],[order_date]],"dddd")</f>
        <v>Saturday</v>
      </c>
      <c r="G2598">
        <f>HOUR(Table1[[#This Row],[order_time]])</f>
        <v>15</v>
      </c>
      <c r="H2598" s="2">
        <v>0.64899305555555553</v>
      </c>
      <c r="I2598" t="s">
        <v>16</v>
      </c>
      <c r="J2598" t="s">
        <v>28</v>
      </c>
      <c r="K2598">
        <v>5</v>
      </c>
      <c r="L2598">
        <v>25</v>
      </c>
      <c r="M2598">
        <v>125</v>
      </c>
      <c r="N2598">
        <f>IF(COUNTIFS($B$2:B2598,B2598)=1,1,0)</f>
        <v>0</v>
      </c>
    </row>
    <row r="2599" spans="1:14" x14ac:dyDescent="0.2">
      <c r="A2599">
        <v>2598</v>
      </c>
      <c r="B2599">
        <v>2311</v>
      </c>
      <c r="C2599">
        <f>1/COUNTIF(B:B,Table1[[#This Row],[order_id]])</f>
        <v>0.33333333333333331</v>
      </c>
      <c r="D2599" t="str">
        <f>TEXT(Table1[[#This Row],[order_date]],"mmmm")</f>
        <v>July</v>
      </c>
      <c r="E2599" s="1">
        <v>45493</v>
      </c>
      <c r="F2599" s="1" t="str">
        <f>TEXT(Table1[[#This Row],[order_date]],"dddd")</f>
        <v>Saturday</v>
      </c>
      <c r="G2599">
        <f>HOUR(Table1[[#This Row],[order_time]])</f>
        <v>20</v>
      </c>
      <c r="H2599" s="2">
        <v>0.85369212962962959</v>
      </c>
      <c r="I2599" t="s">
        <v>9</v>
      </c>
      <c r="J2599" t="s">
        <v>10</v>
      </c>
      <c r="K2599">
        <v>1</v>
      </c>
      <c r="L2599">
        <v>20</v>
      </c>
      <c r="M2599">
        <v>20</v>
      </c>
      <c r="N2599">
        <f>IF(COUNTIFS($B$2:B2599,B2599)=1,1,0)</f>
        <v>0</v>
      </c>
    </row>
    <row r="2600" spans="1:14" x14ac:dyDescent="0.2">
      <c r="A2600">
        <v>2599</v>
      </c>
      <c r="B2600">
        <v>2312</v>
      </c>
      <c r="C2600">
        <f>1/COUNTIF(B:B,Table1[[#This Row],[order_id]])</f>
        <v>0.5</v>
      </c>
      <c r="D2600" t="str">
        <f>TEXT(Table1[[#This Row],[order_date]],"mmmm")</f>
        <v>July</v>
      </c>
      <c r="E2600" s="1">
        <v>45493</v>
      </c>
      <c r="F2600" s="1" t="str">
        <f>TEXT(Table1[[#This Row],[order_date]],"dddd")</f>
        <v>Saturday</v>
      </c>
      <c r="G2600">
        <f>HOUR(Table1[[#This Row],[order_time]])</f>
        <v>11</v>
      </c>
      <c r="H2600" s="2">
        <v>0.47116898148148151</v>
      </c>
      <c r="I2600" t="s">
        <v>9</v>
      </c>
      <c r="J2600" t="s">
        <v>29</v>
      </c>
      <c r="K2600">
        <v>3</v>
      </c>
      <c r="L2600">
        <v>5</v>
      </c>
      <c r="M2600">
        <v>15</v>
      </c>
      <c r="N2600">
        <f>IF(COUNTIFS($B$2:B2600,B2600)=1,1,0)</f>
        <v>1</v>
      </c>
    </row>
    <row r="2601" spans="1:14" x14ac:dyDescent="0.2">
      <c r="A2601">
        <v>2600</v>
      </c>
      <c r="B2601">
        <v>2312</v>
      </c>
      <c r="C2601">
        <f>1/COUNTIF(B:B,Table1[[#This Row],[order_id]])</f>
        <v>0.5</v>
      </c>
      <c r="D2601" t="str">
        <f>TEXT(Table1[[#This Row],[order_date]],"mmmm")</f>
        <v>July</v>
      </c>
      <c r="E2601" s="1">
        <v>45493</v>
      </c>
      <c r="F2601" s="1" t="str">
        <f>TEXT(Table1[[#This Row],[order_date]],"dddd")</f>
        <v>Saturday</v>
      </c>
      <c r="G2601">
        <f>HOUR(Table1[[#This Row],[order_time]])</f>
        <v>20</v>
      </c>
      <c r="H2601" s="2">
        <v>0.83739583333333334</v>
      </c>
      <c r="I2601" t="s">
        <v>9</v>
      </c>
      <c r="J2601" t="s">
        <v>21</v>
      </c>
      <c r="K2601">
        <v>4</v>
      </c>
      <c r="L2601">
        <v>10</v>
      </c>
      <c r="M2601">
        <v>40</v>
      </c>
      <c r="N2601">
        <f>IF(COUNTIFS($B$2:B2601,B2601)=1,1,0)</f>
        <v>0</v>
      </c>
    </row>
    <row r="2602" spans="1:14" x14ac:dyDescent="0.2">
      <c r="A2602">
        <v>2601</v>
      </c>
      <c r="B2602">
        <v>2313</v>
      </c>
      <c r="C2602">
        <f>1/COUNTIF(B:B,Table1[[#This Row],[order_id]])</f>
        <v>1</v>
      </c>
      <c r="D2602" t="str">
        <f>TEXT(Table1[[#This Row],[order_date]],"mmmm")</f>
        <v>July</v>
      </c>
      <c r="E2602" s="1">
        <v>45493</v>
      </c>
      <c r="F2602" s="1" t="str">
        <f>TEXT(Table1[[#This Row],[order_date]],"dddd")</f>
        <v>Saturday</v>
      </c>
      <c r="G2602">
        <f>HOUR(Table1[[#This Row],[order_time]])</f>
        <v>9</v>
      </c>
      <c r="H2602" s="2">
        <v>0.41461805555555553</v>
      </c>
      <c r="I2602" t="s">
        <v>9</v>
      </c>
      <c r="J2602" t="s">
        <v>29</v>
      </c>
      <c r="K2602">
        <v>2</v>
      </c>
      <c r="L2602">
        <v>5</v>
      </c>
      <c r="M2602">
        <v>10</v>
      </c>
      <c r="N2602">
        <f>IF(COUNTIFS($B$2:B2602,B2602)=1,1,0)</f>
        <v>1</v>
      </c>
    </row>
    <row r="2603" spans="1:14" x14ac:dyDescent="0.2">
      <c r="A2603">
        <v>2602</v>
      </c>
      <c r="B2603">
        <v>2314</v>
      </c>
      <c r="C2603">
        <f>1/COUNTIF(B:B,Table1[[#This Row],[order_id]])</f>
        <v>1</v>
      </c>
      <c r="D2603" t="str">
        <f>TEXT(Table1[[#This Row],[order_date]],"mmmm")</f>
        <v>July</v>
      </c>
      <c r="E2603" s="1">
        <v>45493</v>
      </c>
      <c r="F2603" s="1" t="str">
        <f>TEXT(Table1[[#This Row],[order_date]],"dddd")</f>
        <v>Saturday</v>
      </c>
      <c r="G2603">
        <f>HOUR(Table1[[#This Row],[order_time]])</f>
        <v>14</v>
      </c>
      <c r="H2603" s="2">
        <v>0.58783564814814815</v>
      </c>
      <c r="I2603" t="s">
        <v>11</v>
      </c>
      <c r="J2603" t="s">
        <v>12</v>
      </c>
      <c r="K2603">
        <v>4</v>
      </c>
      <c r="L2603">
        <v>650</v>
      </c>
      <c r="M2603">
        <v>2600</v>
      </c>
      <c r="N2603">
        <f>IF(COUNTIFS($B$2:B2603,B2603)=1,1,0)</f>
        <v>1</v>
      </c>
    </row>
    <row r="2604" spans="1:14" x14ac:dyDescent="0.2">
      <c r="A2604">
        <v>2603</v>
      </c>
      <c r="B2604">
        <v>2315</v>
      </c>
      <c r="C2604">
        <f>1/COUNTIF(B:B,Table1[[#This Row],[order_id]])</f>
        <v>0.33333333333333331</v>
      </c>
      <c r="D2604" t="str">
        <f>TEXT(Table1[[#This Row],[order_date]],"mmmm")</f>
        <v>July</v>
      </c>
      <c r="E2604" s="1">
        <v>45494</v>
      </c>
      <c r="F2604" s="1" t="str">
        <f>TEXT(Table1[[#This Row],[order_date]],"dddd")</f>
        <v>Sunday</v>
      </c>
      <c r="G2604">
        <f>HOUR(Table1[[#This Row],[order_time]])</f>
        <v>13</v>
      </c>
      <c r="H2604" s="2">
        <v>0.56896990740740738</v>
      </c>
      <c r="I2604" t="s">
        <v>16</v>
      </c>
      <c r="J2604" t="s">
        <v>28</v>
      </c>
      <c r="K2604">
        <v>2</v>
      </c>
      <c r="L2604">
        <v>25</v>
      </c>
      <c r="M2604">
        <v>50</v>
      </c>
      <c r="N2604">
        <f>IF(COUNTIFS($B$2:B2604,B2604)=1,1,0)</f>
        <v>1</v>
      </c>
    </row>
    <row r="2605" spans="1:14" x14ac:dyDescent="0.2">
      <c r="A2605">
        <v>2604</v>
      </c>
      <c r="B2605">
        <v>2315</v>
      </c>
      <c r="C2605">
        <f>1/COUNTIF(B:B,Table1[[#This Row],[order_id]])</f>
        <v>0.33333333333333331</v>
      </c>
      <c r="D2605" t="str">
        <f>TEXT(Table1[[#This Row],[order_date]],"mmmm")</f>
        <v>July</v>
      </c>
      <c r="E2605" s="1">
        <v>45494</v>
      </c>
      <c r="F2605" s="1" t="str">
        <f>TEXT(Table1[[#This Row],[order_date]],"dddd")</f>
        <v>Sunday</v>
      </c>
      <c r="G2605">
        <f>HOUR(Table1[[#This Row],[order_time]])</f>
        <v>9</v>
      </c>
      <c r="H2605" s="2">
        <v>0.40674768518518517</v>
      </c>
      <c r="I2605" t="s">
        <v>16</v>
      </c>
      <c r="J2605" t="s">
        <v>28</v>
      </c>
      <c r="K2605">
        <v>4</v>
      </c>
      <c r="L2605">
        <v>25</v>
      </c>
      <c r="M2605">
        <v>100</v>
      </c>
      <c r="N2605">
        <f>IF(COUNTIFS($B$2:B2605,B2605)=1,1,0)</f>
        <v>0</v>
      </c>
    </row>
    <row r="2606" spans="1:14" x14ac:dyDescent="0.2">
      <c r="A2606">
        <v>2605</v>
      </c>
      <c r="B2606">
        <v>2315</v>
      </c>
      <c r="C2606">
        <f>1/COUNTIF(B:B,Table1[[#This Row],[order_id]])</f>
        <v>0.33333333333333331</v>
      </c>
      <c r="D2606" t="str">
        <f>TEXT(Table1[[#This Row],[order_date]],"mmmm")</f>
        <v>July</v>
      </c>
      <c r="E2606" s="1">
        <v>45494</v>
      </c>
      <c r="F2606" s="1" t="str">
        <f>TEXT(Table1[[#This Row],[order_date]],"dddd")</f>
        <v>Sunday</v>
      </c>
      <c r="G2606">
        <f>HOUR(Table1[[#This Row],[order_time]])</f>
        <v>17</v>
      </c>
      <c r="H2606" s="2">
        <v>0.72206018518518522</v>
      </c>
      <c r="I2606" t="s">
        <v>9</v>
      </c>
      <c r="J2606" t="s">
        <v>22</v>
      </c>
      <c r="K2606">
        <v>5</v>
      </c>
      <c r="L2606">
        <v>15</v>
      </c>
      <c r="M2606">
        <v>75</v>
      </c>
      <c r="N2606">
        <f>IF(COUNTIFS($B$2:B2606,B2606)=1,1,0)</f>
        <v>0</v>
      </c>
    </row>
    <row r="2607" spans="1:14" x14ac:dyDescent="0.2">
      <c r="A2607">
        <v>2606</v>
      </c>
      <c r="B2607">
        <v>2316</v>
      </c>
      <c r="C2607">
        <f>1/COUNTIF(B:B,Table1[[#This Row],[order_id]])</f>
        <v>0.33333333333333331</v>
      </c>
      <c r="D2607" t="str">
        <f>TEXT(Table1[[#This Row],[order_date]],"mmmm")</f>
        <v>July</v>
      </c>
      <c r="E2607" s="1">
        <v>45494</v>
      </c>
      <c r="F2607" s="1" t="str">
        <f>TEXT(Table1[[#This Row],[order_date]],"dddd")</f>
        <v>Sunday</v>
      </c>
      <c r="G2607">
        <f>HOUR(Table1[[#This Row],[order_time]])</f>
        <v>11</v>
      </c>
      <c r="H2607" s="2">
        <v>0.49412037037037038</v>
      </c>
      <c r="I2607" t="s">
        <v>11</v>
      </c>
      <c r="J2607" t="s">
        <v>14</v>
      </c>
      <c r="K2607">
        <v>5</v>
      </c>
      <c r="L2607">
        <v>700</v>
      </c>
      <c r="M2607">
        <v>3500</v>
      </c>
      <c r="N2607">
        <f>IF(COUNTIFS($B$2:B2607,B2607)=1,1,0)</f>
        <v>1</v>
      </c>
    </row>
    <row r="2608" spans="1:14" x14ac:dyDescent="0.2">
      <c r="A2608">
        <v>2607</v>
      </c>
      <c r="B2608">
        <v>2316</v>
      </c>
      <c r="C2608">
        <f>1/COUNTIF(B:B,Table1[[#This Row],[order_id]])</f>
        <v>0.33333333333333331</v>
      </c>
      <c r="D2608" t="str">
        <f>TEXT(Table1[[#This Row],[order_date]],"mmmm")</f>
        <v>July</v>
      </c>
      <c r="E2608" s="1">
        <v>45494</v>
      </c>
      <c r="F2608" s="1" t="str">
        <f>TEXT(Table1[[#This Row],[order_date]],"dddd")</f>
        <v>Sunday</v>
      </c>
      <c r="G2608">
        <f>HOUR(Table1[[#This Row],[order_time]])</f>
        <v>19</v>
      </c>
      <c r="H2608" s="2">
        <v>0.79616898148148152</v>
      </c>
      <c r="I2608" t="s">
        <v>9</v>
      </c>
      <c r="J2608" t="s">
        <v>10</v>
      </c>
      <c r="K2608">
        <v>4</v>
      </c>
      <c r="L2608">
        <v>20</v>
      </c>
      <c r="M2608">
        <v>80</v>
      </c>
      <c r="N2608">
        <f>IF(COUNTIFS($B$2:B2608,B2608)=1,1,0)</f>
        <v>0</v>
      </c>
    </row>
    <row r="2609" spans="1:14" x14ac:dyDescent="0.2">
      <c r="A2609">
        <v>2608</v>
      </c>
      <c r="B2609">
        <v>2316</v>
      </c>
      <c r="C2609">
        <f>1/COUNTIF(B:B,Table1[[#This Row],[order_id]])</f>
        <v>0.33333333333333331</v>
      </c>
      <c r="D2609" t="str">
        <f>TEXT(Table1[[#This Row],[order_date]],"mmmm")</f>
        <v>July</v>
      </c>
      <c r="E2609" s="1">
        <v>45494</v>
      </c>
      <c r="F2609" s="1" t="str">
        <f>TEXT(Table1[[#This Row],[order_date]],"dddd")</f>
        <v>Sunday</v>
      </c>
      <c r="G2609">
        <f>HOUR(Table1[[#This Row],[order_time]])</f>
        <v>10</v>
      </c>
      <c r="H2609" s="2">
        <v>0.44138888888888889</v>
      </c>
      <c r="I2609" t="s">
        <v>18</v>
      </c>
      <c r="J2609" t="s">
        <v>27</v>
      </c>
      <c r="K2609">
        <v>1</v>
      </c>
      <c r="L2609">
        <v>40</v>
      </c>
      <c r="M2609">
        <v>40</v>
      </c>
      <c r="N2609">
        <f>IF(COUNTIFS($B$2:B2609,B2609)=1,1,0)</f>
        <v>0</v>
      </c>
    </row>
    <row r="2610" spans="1:14" x14ac:dyDescent="0.2">
      <c r="A2610">
        <v>2609</v>
      </c>
      <c r="B2610">
        <v>2317</v>
      </c>
      <c r="C2610">
        <f>1/COUNTIF(B:B,Table1[[#This Row],[order_id]])</f>
        <v>1</v>
      </c>
      <c r="D2610" t="str">
        <f>TEXT(Table1[[#This Row],[order_date]],"mmmm")</f>
        <v>July</v>
      </c>
      <c r="E2610" s="1">
        <v>45494</v>
      </c>
      <c r="F2610" s="1" t="str">
        <f>TEXT(Table1[[#This Row],[order_date]],"dddd")</f>
        <v>Sunday</v>
      </c>
      <c r="G2610">
        <f>HOUR(Table1[[#This Row],[order_time]])</f>
        <v>16</v>
      </c>
      <c r="H2610" s="2">
        <v>0.70078703703703704</v>
      </c>
      <c r="I2610" t="s">
        <v>18</v>
      </c>
      <c r="J2610" t="s">
        <v>31</v>
      </c>
      <c r="K2610">
        <v>5</v>
      </c>
      <c r="L2610">
        <v>45</v>
      </c>
      <c r="M2610">
        <v>225</v>
      </c>
      <c r="N2610">
        <f>IF(COUNTIFS($B$2:B2610,B2610)=1,1,0)</f>
        <v>1</v>
      </c>
    </row>
    <row r="2611" spans="1:14" x14ac:dyDescent="0.2">
      <c r="A2611">
        <v>2610</v>
      </c>
      <c r="B2611">
        <v>2318</v>
      </c>
      <c r="C2611">
        <f>1/COUNTIF(B:B,Table1[[#This Row],[order_id]])</f>
        <v>1</v>
      </c>
      <c r="D2611" t="str">
        <f>TEXT(Table1[[#This Row],[order_date]],"mmmm")</f>
        <v>July</v>
      </c>
      <c r="E2611" s="1">
        <v>45494</v>
      </c>
      <c r="F2611" s="1" t="str">
        <f>TEXT(Table1[[#This Row],[order_date]],"dddd")</f>
        <v>Sunday</v>
      </c>
      <c r="G2611">
        <f>HOUR(Table1[[#This Row],[order_time]])</f>
        <v>12</v>
      </c>
      <c r="H2611" s="2">
        <v>0.51736111111111116</v>
      </c>
      <c r="I2611" t="s">
        <v>16</v>
      </c>
      <c r="J2611" t="s">
        <v>28</v>
      </c>
      <c r="K2611">
        <v>5</v>
      </c>
      <c r="L2611">
        <v>25</v>
      </c>
      <c r="M2611">
        <v>125</v>
      </c>
      <c r="N2611">
        <f>IF(COUNTIFS($B$2:B2611,B2611)=1,1,0)</f>
        <v>1</v>
      </c>
    </row>
    <row r="2612" spans="1:14" x14ac:dyDescent="0.2">
      <c r="A2612">
        <v>2611</v>
      </c>
      <c r="B2612">
        <v>2319</v>
      </c>
      <c r="C2612">
        <f>1/COUNTIF(B:B,Table1[[#This Row],[order_id]])</f>
        <v>0.5</v>
      </c>
      <c r="D2612" t="str">
        <f>TEXT(Table1[[#This Row],[order_date]],"mmmm")</f>
        <v>July</v>
      </c>
      <c r="E2612" s="1">
        <v>45494</v>
      </c>
      <c r="F2612" s="1" t="str">
        <f>TEXT(Table1[[#This Row],[order_date]],"dddd")</f>
        <v>Sunday</v>
      </c>
      <c r="G2612">
        <f>HOUR(Table1[[#This Row],[order_time]])</f>
        <v>17</v>
      </c>
      <c r="H2612" s="2">
        <v>0.74223379629629627</v>
      </c>
      <c r="I2612" t="s">
        <v>16</v>
      </c>
      <c r="J2612" t="s">
        <v>24</v>
      </c>
      <c r="K2612">
        <v>5</v>
      </c>
      <c r="L2612">
        <v>35</v>
      </c>
      <c r="M2612">
        <v>175</v>
      </c>
      <c r="N2612">
        <f>IF(COUNTIFS($B$2:B2612,B2612)=1,1,0)</f>
        <v>1</v>
      </c>
    </row>
    <row r="2613" spans="1:14" x14ac:dyDescent="0.2">
      <c r="A2613">
        <v>2612</v>
      </c>
      <c r="B2613">
        <v>2319</v>
      </c>
      <c r="C2613">
        <f>1/COUNTIF(B:B,Table1[[#This Row],[order_id]])</f>
        <v>0.5</v>
      </c>
      <c r="D2613" t="str">
        <f>TEXT(Table1[[#This Row],[order_date]],"mmmm")</f>
        <v>July</v>
      </c>
      <c r="E2613" s="1">
        <v>45494</v>
      </c>
      <c r="F2613" s="1" t="str">
        <f>TEXT(Table1[[#This Row],[order_date]],"dddd")</f>
        <v>Sunday</v>
      </c>
      <c r="G2613">
        <f>HOUR(Table1[[#This Row],[order_time]])</f>
        <v>16</v>
      </c>
      <c r="H2613" s="2">
        <v>0.69256944444444446</v>
      </c>
      <c r="I2613" t="s">
        <v>11</v>
      </c>
      <c r="J2613" t="s">
        <v>14</v>
      </c>
      <c r="K2613">
        <v>5</v>
      </c>
      <c r="L2613">
        <v>700</v>
      </c>
      <c r="M2613">
        <v>3500</v>
      </c>
      <c r="N2613">
        <f>IF(COUNTIFS($B$2:B2613,B2613)=1,1,0)</f>
        <v>0</v>
      </c>
    </row>
    <row r="2614" spans="1:14" x14ac:dyDescent="0.2">
      <c r="A2614">
        <v>2613</v>
      </c>
      <c r="B2614">
        <v>2320</v>
      </c>
      <c r="C2614">
        <f>1/COUNTIF(B:B,Table1[[#This Row],[order_id]])</f>
        <v>1</v>
      </c>
      <c r="D2614" t="str">
        <f>TEXT(Table1[[#This Row],[order_date]],"mmmm")</f>
        <v>July</v>
      </c>
      <c r="E2614" s="1">
        <v>45495</v>
      </c>
      <c r="F2614" s="1" t="str">
        <f>TEXT(Table1[[#This Row],[order_date]],"dddd")</f>
        <v>Monday</v>
      </c>
      <c r="G2614">
        <f>HOUR(Table1[[#This Row],[order_time]])</f>
        <v>11</v>
      </c>
      <c r="H2614" s="2">
        <v>0.46390046296296295</v>
      </c>
      <c r="I2614" t="s">
        <v>16</v>
      </c>
      <c r="J2614" t="s">
        <v>28</v>
      </c>
      <c r="K2614">
        <v>2</v>
      </c>
      <c r="L2614">
        <v>25</v>
      </c>
      <c r="M2614">
        <v>50</v>
      </c>
      <c r="N2614">
        <f>IF(COUNTIFS($B$2:B2614,B2614)=1,1,0)</f>
        <v>1</v>
      </c>
    </row>
    <row r="2615" spans="1:14" x14ac:dyDescent="0.2">
      <c r="A2615">
        <v>2614</v>
      </c>
      <c r="B2615">
        <v>2321</v>
      </c>
      <c r="C2615">
        <f>1/COUNTIF(B:B,Table1[[#This Row],[order_id]])</f>
        <v>0.5</v>
      </c>
      <c r="D2615" t="str">
        <f>TEXT(Table1[[#This Row],[order_date]],"mmmm")</f>
        <v>July</v>
      </c>
      <c r="E2615" s="1">
        <v>45495</v>
      </c>
      <c r="F2615" s="1" t="str">
        <f>TEXT(Table1[[#This Row],[order_date]],"dddd")</f>
        <v>Monday</v>
      </c>
      <c r="G2615">
        <f>HOUR(Table1[[#This Row],[order_time]])</f>
        <v>9</v>
      </c>
      <c r="H2615" s="2">
        <v>0.39525462962962965</v>
      </c>
      <c r="I2615" t="s">
        <v>18</v>
      </c>
      <c r="J2615" t="s">
        <v>30</v>
      </c>
      <c r="K2615">
        <v>5</v>
      </c>
      <c r="L2615">
        <v>60</v>
      </c>
      <c r="M2615">
        <v>300</v>
      </c>
      <c r="N2615">
        <f>IF(COUNTIFS($B$2:B2615,B2615)=1,1,0)</f>
        <v>1</v>
      </c>
    </row>
    <row r="2616" spans="1:14" x14ac:dyDescent="0.2">
      <c r="A2616">
        <v>2615</v>
      </c>
      <c r="B2616">
        <v>2321</v>
      </c>
      <c r="C2616">
        <f>1/COUNTIF(B:B,Table1[[#This Row],[order_id]])</f>
        <v>0.5</v>
      </c>
      <c r="D2616" t="str">
        <f>TEXT(Table1[[#This Row],[order_date]],"mmmm")</f>
        <v>July</v>
      </c>
      <c r="E2616" s="1">
        <v>45495</v>
      </c>
      <c r="F2616" s="1" t="str">
        <f>TEXT(Table1[[#This Row],[order_date]],"dddd")</f>
        <v>Monday</v>
      </c>
      <c r="G2616">
        <f>HOUR(Table1[[#This Row],[order_time]])</f>
        <v>14</v>
      </c>
      <c r="H2616" s="2">
        <v>0.62050925925925926</v>
      </c>
      <c r="I2616" t="s">
        <v>16</v>
      </c>
      <c r="J2616" t="s">
        <v>17</v>
      </c>
      <c r="K2616">
        <v>2</v>
      </c>
      <c r="L2616">
        <v>20</v>
      </c>
      <c r="M2616">
        <v>40</v>
      </c>
      <c r="N2616">
        <f>IF(COUNTIFS($B$2:B2616,B2616)=1,1,0)</f>
        <v>0</v>
      </c>
    </row>
    <row r="2617" spans="1:14" x14ac:dyDescent="0.2">
      <c r="A2617">
        <v>2616</v>
      </c>
      <c r="B2617">
        <v>2322</v>
      </c>
      <c r="C2617">
        <f>1/COUNTIF(B:B,Table1[[#This Row],[order_id]])</f>
        <v>0.33333333333333331</v>
      </c>
      <c r="D2617" t="str">
        <f>TEXT(Table1[[#This Row],[order_date]],"mmmm")</f>
        <v>July</v>
      </c>
      <c r="E2617" s="1">
        <v>45495</v>
      </c>
      <c r="F2617" s="1" t="str">
        <f>TEXT(Table1[[#This Row],[order_date]],"dddd")</f>
        <v>Monday</v>
      </c>
      <c r="G2617">
        <f>HOUR(Table1[[#This Row],[order_time]])</f>
        <v>12</v>
      </c>
      <c r="H2617" s="2">
        <v>0.5380787037037037</v>
      </c>
      <c r="I2617" t="s">
        <v>11</v>
      </c>
      <c r="J2617" t="s">
        <v>13</v>
      </c>
      <c r="K2617">
        <v>5</v>
      </c>
      <c r="L2617">
        <v>680</v>
      </c>
      <c r="M2617">
        <v>3400</v>
      </c>
      <c r="N2617">
        <f>IF(COUNTIFS($B$2:B2617,B2617)=1,1,0)</f>
        <v>1</v>
      </c>
    </row>
    <row r="2618" spans="1:14" x14ac:dyDescent="0.2">
      <c r="A2618">
        <v>2617</v>
      </c>
      <c r="B2618">
        <v>2322</v>
      </c>
      <c r="C2618">
        <f>1/COUNTIF(B:B,Table1[[#This Row],[order_id]])</f>
        <v>0.33333333333333331</v>
      </c>
      <c r="D2618" t="str">
        <f>TEXT(Table1[[#This Row],[order_date]],"mmmm")</f>
        <v>July</v>
      </c>
      <c r="E2618" s="1">
        <v>45495</v>
      </c>
      <c r="F2618" s="1" t="str">
        <f>TEXT(Table1[[#This Row],[order_date]],"dddd")</f>
        <v>Monday</v>
      </c>
      <c r="G2618">
        <f>HOUR(Table1[[#This Row],[order_time]])</f>
        <v>20</v>
      </c>
      <c r="H2618" s="2">
        <v>0.87379629629629629</v>
      </c>
      <c r="I2618" t="s">
        <v>18</v>
      </c>
      <c r="J2618" t="s">
        <v>31</v>
      </c>
      <c r="K2618">
        <v>4</v>
      </c>
      <c r="L2618">
        <v>45</v>
      </c>
      <c r="M2618">
        <v>180</v>
      </c>
      <c r="N2618">
        <f>IF(COUNTIFS($B$2:B2618,B2618)=1,1,0)</f>
        <v>0</v>
      </c>
    </row>
    <row r="2619" spans="1:14" x14ac:dyDescent="0.2">
      <c r="A2619">
        <v>2618</v>
      </c>
      <c r="B2619">
        <v>2322</v>
      </c>
      <c r="C2619">
        <f>1/COUNTIF(B:B,Table1[[#This Row],[order_id]])</f>
        <v>0.33333333333333331</v>
      </c>
      <c r="D2619" t="str">
        <f>TEXT(Table1[[#This Row],[order_date]],"mmmm")</f>
        <v>July</v>
      </c>
      <c r="E2619" s="1">
        <v>45495</v>
      </c>
      <c r="F2619" s="1" t="str">
        <f>TEXT(Table1[[#This Row],[order_date]],"dddd")</f>
        <v>Monday</v>
      </c>
      <c r="G2619">
        <f>HOUR(Table1[[#This Row],[order_time]])</f>
        <v>9</v>
      </c>
      <c r="H2619" s="2">
        <v>0.41065972222222225</v>
      </c>
      <c r="I2619" t="s">
        <v>18</v>
      </c>
      <c r="J2619" t="s">
        <v>30</v>
      </c>
      <c r="K2619">
        <v>2</v>
      </c>
      <c r="L2619">
        <v>60</v>
      </c>
      <c r="M2619">
        <v>120</v>
      </c>
      <c r="N2619">
        <f>IF(COUNTIFS($B$2:B2619,B2619)=1,1,0)</f>
        <v>0</v>
      </c>
    </row>
    <row r="2620" spans="1:14" x14ac:dyDescent="0.2">
      <c r="A2620">
        <v>2619</v>
      </c>
      <c r="B2620">
        <v>2323</v>
      </c>
      <c r="C2620">
        <f>1/COUNTIF(B:B,Table1[[#This Row],[order_id]])</f>
        <v>1</v>
      </c>
      <c r="D2620" t="str">
        <f>TEXT(Table1[[#This Row],[order_date]],"mmmm")</f>
        <v>July</v>
      </c>
      <c r="E2620" s="1">
        <v>45495</v>
      </c>
      <c r="F2620" s="1" t="str">
        <f>TEXT(Table1[[#This Row],[order_date]],"dddd")</f>
        <v>Monday</v>
      </c>
      <c r="G2620">
        <f>HOUR(Table1[[#This Row],[order_time]])</f>
        <v>18</v>
      </c>
      <c r="H2620" s="2">
        <v>0.78680555555555554</v>
      </c>
      <c r="I2620" t="s">
        <v>18</v>
      </c>
      <c r="J2620" t="s">
        <v>30</v>
      </c>
      <c r="K2620">
        <v>1</v>
      </c>
      <c r="L2620">
        <v>60</v>
      </c>
      <c r="M2620">
        <v>60</v>
      </c>
      <c r="N2620">
        <f>IF(COUNTIFS($B$2:B2620,B2620)=1,1,0)</f>
        <v>1</v>
      </c>
    </row>
    <row r="2621" spans="1:14" x14ac:dyDescent="0.2">
      <c r="A2621">
        <v>2620</v>
      </c>
      <c r="B2621">
        <v>2324</v>
      </c>
      <c r="C2621">
        <f>1/COUNTIF(B:B,Table1[[#This Row],[order_id]])</f>
        <v>0.5</v>
      </c>
      <c r="D2621" t="str">
        <f>TEXT(Table1[[#This Row],[order_date]],"mmmm")</f>
        <v>July</v>
      </c>
      <c r="E2621" s="1">
        <v>45495</v>
      </c>
      <c r="F2621" s="1" t="str">
        <f>TEXT(Table1[[#This Row],[order_date]],"dddd")</f>
        <v>Monday</v>
      </c>
      <c r="G2621">
        <f>HOUR(Table1[[#This Row],[order_time]])</f>
        <v>20</v>
      </c>
      <c r="H2621" s="2">
        <v>0.87134259259259261</v>
      </c>
      <c r="I2621" t="s">
        <v>9</v>
      </c>
      <c r="J2621" t="s">
        <v>21</v>
      </c>
      <c r="K2621">
        <v>2</v>
      </c>
      <c r="L2621">
        <v>10</v>
      </c>
      <c r="M2621">
        <v>20</v>
      </c>
      <c r="N2621">
        <f>IF(COUNTIFS($B$2:B2621,B2621)=1,1,0)</f>
        <v>1</v>
      </c>
    </row>
    <row r="2622" spans="1:14" x14ac:dyDescent="0.2">
      <c r="A2622">
        <v>2621</v>
      </c>
      <c r="B2622">
        <v>2324</v>
      </c>
      <c r="C2622">
        <f>1/COUNTIF(B:B,Table1[[#This Row],[order_id]])</f>
        <v>0.5</v>
      </c>
      <c r="D2622" t="str">
        <f>TEXT(Table1[[#This Row],[order_date]],"mmmm")</f>
        <v>July</v>
      </c>
      <c r="E2622" s="1">
        <v>45495</v>
      </c>
      <c r="F2622" s="1" t="str">
        <f>TEXT(Table1[[#This Row],[order_date]],"dddd")</f>
        <v>Monday</v>
      </c>
      <c r="G2622">
        <f>HOUR(Table1[[#This Row],[order_time]])</f>
        <v>12</v>
      </c>
      <c r="H2622" s="2">
        <v>0.53811342592592593</v>
      </c>
      <c r="I2622" t="s">
        <v>11</v>
      </c>
      <c r="J2622" t="s">
        <v>14</v>
      </c>
      <c r="K2622">
        <v>1</v>
      </c>
      <c r="L2622">
        <v>700</v>
      </c>
      <c r="M2622">
        <v>700</v>
      </c>
      <c r="N2622">
        <f>IF(COUNTIFS($B$2:B2622,B2622)=1,1,0)</f>
        <v>0</v>
      </c>
    </row>
    <row r="2623" spans="1:14" x14ac:dyDescent="0.2">
      <c r="A2623">
        <v>2622</v>
      </c>
      <c r="B2623">
        <v>2325</v>
      </c>
      <c r="C2623">
        <f>1/COUNTIF(B:B,Table1[[#This Row],[order_id]])</f>
        <v>0.5</v>
      </c>
      <c r="D2623" t="str">
        <f>TEXT(Table1[[#This Row],[order_date]],"mmmm")</f>
        <v>July</v>
      </c>
      <c r="E2623" s="1">
        <v>45495</v>
      </c>
      <c r="F2623" s="1" t="str">
        <f>TEXT(Table1[[#This Row],[order_date]],"dddd")</f>
        <v>Monday</v>
      </c>
      <c r="G2623">
        <f>HOUR(Table1[[#This Row],[order_time]])</f>
        <v>18</v>
      </c>
      <c r="H2623" s="2">
        <v>0.75828703703703704</v>
      </c>
      <c r="I2623" t="s">
        <v>18</v>
      </c>
      <c r="J2623" t="s">
        <v>30</v>
      </c>
      <c r="K2623">
        <v>1</v>
      </c>
      <c r="L2623">
        <v>60</v>
      </c>
      <c r="M2623">
        <v>60</v>
      </c>
      <c r="N2623">
        <f>IF(COUNTIFS($B$2:B2623,B2623)=1,1,0)</f>
        <v>1</v>
      </c>
    </row>
    <row r="2624" spans="1:14" x14ac:dyDescent="0.2">
      <c r="A2624">
        <v>2623</v>
      </c>
      <c r="B2624">
        <v>2325</v>
      </c>
      <c r="C2624">
        <f>1/COUNTIF(B:B,Table1[[#This Row],[order_id]])</f>
        <v>0.5</v>
      </c>
      <c r="D2624" t="str">
        <f>TEXT(Table1[[#This Row],[order_date]],"mmmm")</f>
        <v>July</v>
      </c>
      <c r="E2624" s="1">
        <v>45495</v>
      </c>
      <c r="F2624" s="1" t="str">
        <f>TEXT(Table1[[#This Row],[order_date]],"dddd")</f>
        <v>Monday</v>
      </c>
      <c r="G2624">
        <f>HOUR(Table1[[#This Row],[order_time]])</f>
        <v>20</v>
      </c>
      <c r="H2624" s="2">
        <v>0.87410879629629634</v>
      </c>
      <c r="I2624" t="s">
        <v>16</v>
      </c>
      <c r="J2624" t="s">
        <v>28</v>
      </c>
      <c r="K2624">
        <v>3</v>
      </c>
      <c r="L2624">
        <v>25</v>
      </c>
      <c r="M2624">
        <v>75</v>
      </c>
      <c r="N2624">
        <f>IF(COUNTIFS($B$2:B2624,B2624)=1,1,0)</f>
        <v>0</v>
      </c>
    </row>
    <row r="2625" spans="1:14" x14ac:dyDescent="0.2">
      <c r="A2625">
        <v>2624</v>
      </c>
      <c r="B2625">
        <v>2326</v>
      </c>
      <c r="C2625">
        <f>1/COUNTIF(B:B,Table1[[#This Row],[order_id]])</f>
        <v>0.5</v>
      </c>
      <c r="D2625" t="str">
        <f>TEXT(Table1[[#This Row],[order_date]],"mmmm")</f>
        <v>July</v>
      </c>
      <c r="E2625" s="1">
        <v>45496</v>
      </c>
      <c r="F2625" s="1" t="str">
        <f>TEXT(Table1[[#This Row],[order_date]],"dddd")</f>
        <v>Tuesday</v>
      </c>
      <c r="G2625">
        <f>HOUR(Table1[[#This Row],[order_time]])</f>
        <v>10</v>
      </c>
      <c r="H2625" s="2">
        <v>0.43326388888888889</v>
      </c>
      <c r="I2625" t="s">
        <v>9</v>
      </c>
      <c r="J2625" t="s">
        <v>20</v>
      </c>
      <c r="K2625">
        <v>3</v>
      </c>
      <c r="L2625">
        <v>25</v>
      </c>
      <c r="M2625">
        <v>75</v>
      </c>
      <c r="N2625">
        <f>IF(COUNTIFS($B$2:B2625,B2625)=1,1,0)</f>
        <v>1</v>
      </c>
    </row>
    <row r="2626" spans="1:14" x14ac:dyDescent="0.2">
      <c r="A2626">
        <v>2625</v>
      </c>
      <c r="B2626">
        <v>2326</v>
      </c>
      <c r="C2626">
        <f>1/COUNTIF(B:B,Table1[[#This Row],[order_id]])</f>
        <v>0.5</v>
      </c>
      <c r="D2626" t="str">
        <f>TEXT(Table1[[#This Row],[order_date]],"mmmm")</f>
        <v>July</v>
      </c>
      <c r="E2626" s="1">
        <v>45496</v>
      </c>
      <c r="F2626" s="1" t="str">
        <f>TEXT(Table1[[#This Row],[order_date]],"dddd")</f>
        <v>Tuesday</v>
      </c>
      <c r="G2626">
        <f>HOUR(Table1[[#This Row],[order_time]])</f>
        <v>17</v>
      </c>
      <c r="H2626" s="2">
        <v>0.73689814814814814</v>
      </c>
      <c r="I2626" t="s">
        <v>11</v>
      </c>
      <c r="J2626" t="s">
        <v>15</v>
      </c>
      <c r="K2626">
        <v>5</v>
      </c>
      <c r="L2626">
        <v>600</v>
      </c>
      <c r="M2626">
        <v>3000</v>
      </c>
      <c r="N2626">
        <f>IF(COUNTIFS($B$2:B2626,B2626)=1,1,0)</f>
        <v>0</v>
      </c>
    </row>
    <row r="2627" spans="1:14" x14ac:dyDescent="0.2">
      <c r="A2627">
        <v>2626</v>
      </c>
      <c r="B2627">
        <v>2327</v>
      </c>
      <c r="C2627">
        <f>1/COUNTIF(B:B,Table1[[#This Row],[order_id]])</f>
        <v>0.33333333333333331</v>
      </c>
      <c r="D2627" t="str">
        <f>TEXT(Table1[[#This Row],[order_date]],"mmmm")</f>
        <v>July</v>
      </c>
      <c r="E2627" s="1">
        <v>45496</v>
      </c>
      <c r="F2627" s="1" t="str">
        <f>TEXT(Table1[[#This Row],[order_date]],"dddd")</f>
        <v>Tuesday</v>
      </c>
      <c r="G2627">
        <f>HOUR(Table1[[#This Row],[order_time]])</f>
        <v>9</v>
      </c>
      <c r="H2627" s="2">
        <v>0.37718750000000001</v>
      </c>
      <c r="I2627" t="s">
        <v>18</v>
      </c>
      <c r="J2627" t="s">
        <v>31</v>
      </c>
      <c r="K2627">
        <v>4</v>
      </c>
      <c r="L2627">
        <v>45</v>
      </c>
      <c r="M2627">
        <v>180</v>
      </c>
      <c r="N2627">
        <f>IF(COUNTIFS($B$2:B2627,B2627)=1,1,0)</f>
        <v>1</v>
      </c>
    </row>
    <row r="2628" spans="1:14" x14ac:dyDescent="0.2">
      <c r="A2628">
        <v>2627</v>
      </c>
      <c r="B2628">
        <v>2327</v>
      </c>
      <c r="C2628">
        <f>1/COUNTIF(B:B,Table1[[#This Row],[order_id]])</f>
        <v>0.33333333333333331</v>
      </c>
      <c r="D2628" t="str">
        <f>TEXT(Table1[[#This Row],[order_date]],"mmmm")</f>
        <v>July</v>
      </c>
      <c r="E2628" s="1">
        <v>45496</v>
      </c>
      <c r="F2628" s="1" t="str">
        <f>TEXT(Table1[[#This Row],[order_date]],"dddd")</f>
        <v>Tuesday</v>
      </c>
      <c r="G2628">
        <f>HOUR(Table1[[#This Row],[order_time]])</f>
        <v>19</v>
      </c>
      <c r="H2628" s="2">
        <v>0.7952893518518519</v>
      </c>
      <c r="I2628" t="s">
        <v>9</v>
      </c>
      <c r="J2628" t="s">
        <v>22</v>
      </c>
      <c r="K2628">
        <v>4</v>
      </c>
      <c r="L2628">
        <v>15</v>
      </c>
      <c r="M2628">
        <v>60</v>
      </c>
      <c r="N2628">
        <f>IF(COUNTIFS($B$2:B2628,B2628)=1,1,0)</f>
        <v>0</v>
      </c>
    </row>
    <row r="2629" spans="1:14" x14ac:dyDescent="0.2">
      <c r="A2629">
        <v>2628</v>
      </c>
      <c r="B2629">
        <v>2327</v>
      </c>
      <c r="C2629">
        <f>1/COUNTIF(B:B,Table1[[#This Row],[order_id]])</f>
        <v>0.33333333333333331</v>
      </c>
      <c r="D2629" t="str">
        <f>TEXT(Table1[[#This Row],[order_date]],"mmmm")</f>
        <v>July</v>
      </c>
      <c r="E2629" s="1">
        <v>45496</v>
      </c>
      <c r="F2629" s="1" t="str">
        <f>TEXT(Table1[[#This Row],[order_date]],"dddd")</f>
        <v>Tuesday</v>
      </c>
      <c r="G2629">
        <f>HOUR(Table1[[#This Row],[order_time]])</f>
        <v>12</v>
      </c>
      <c r="H2629" s="2">
        <v>0.52619212962962958</v>
      </c>
      <c r="I2629" t="s">
        <v>18</v>
      </c>
      <c r="J2629" t="s">
        <v>19</v>
      </c>
      <c r="K2629">
        <v>2</v>
      </c>
      <c r="L2629">
        <v>50</v>
      </c>
      <c r="M2629">
        <v>100</v>
      </c>
      <c r="N2629">
        <f>IF(COUNTIFS($B$2:B2629,B2629)=1,1,0)</f>
        <v>0</v>
      </c>
    </row>
    <row r="2630" spans="1:14" x14ac:dyDescent="0.2">
      <c r="A2630">
        <v>2629</v>
      </c>
      <c r="B2630">
        <v>2328</v>
      </c>
      <c r="C2630">
        <f>1/COUNTIF(B:B,Table1[[#This Row],[order_id]])</f>
        <v>0.33333333333333331</v>
      </c>
      <c r="D2630" t="str">
        <f>TEXT(Table1[[#This Row],[order_date]],"mmmm")</f>
        <v>July</v>
      </c>
      <c r="E2630" s="1">
        <v>45496</v>
      </c>
      <c r="F2630" s="1" t="str">
        <f>TEXT(Table1[[#This Row],[order_date]],"dddd")</f>
        <v>Tuesday</v>
      </c>
      <c r="G2630">
        <f>HOUR(Table1[[#This Row],[order_time]])</f>
        <v>14</v>
      </c>
      <c r="H2630" s="2">
        <v>0.58818287037037043</v>
      </c>
      <c r="I2630" t="s">
        <v>16</v>
      </c>
      <c r="J2630" t="s">
        <v>17</v>
      </c>
      <c r="K2630">
        <v>3</v>
      </c>
      <c r="L2630">
        <v>20</v>
      </c>
      <c r="M2630">
        <v>60</v>
      </c>
      <c r="N2630">
        <f>IF(COUNTIFS($B$2:B2630,B2630)=1,1,0)</f>
        <v>1</v>
      </c>
    </row>
    <row r="2631" spans="1:14" x14ac:dyDescent="0.2">
      <c r="A2631">
        <v>2630</v>
      </c>
      <c r="B2631">
        <v>2328</v>
      </c>
      <c r="C2631">
        <f>1/COUNTIF(B:B,Table1[[#This Row],[order_id]])</f>
        <v>0.33333333333333331</v>
      </c>
      <c r="D2631" t="str">
        <f>TEXT(Table1[[#This Row],[order_date]],"mmmm")</f>
        <v>July</v>
      </c>
      <c r="E2631" s="1">
        <v>45496</v>
      </c>
      <c r="F2631" s="1" t="str">
        <f>TEXT(Table1[[#This Row],[order_date]],"dddd")</f>
        <v>Tuesday</v>
      </c>
      <c r="G2631">
        <f>HOUR(Table1[[#This Row],[order_time]])</f>
        <v>15</v>
      </c>
      <c r="H2631" s="2">
        <v>0.65396990740740746</v>
      </c>
      <c r="I2631" t="s">
        <v>18</v>
      </c>
      <c r="J2631" t="s">
        <v>19</v>
      </c>
      <c r="K2631">
        <v>4</v>
      </c>
      <c r="L2631">
        <v>50</v>
      </c>
      <c r="M2631">
        <v>200</v>
      </c>
      <c r="N2631">
        <f>IF(COUNTIFS($B$2:B2631,B2631)=1,1,0)</f>
        <v>0</v>
      </c>
    </row>
    <row r="2632" spans="1:14" x14ac:dyDescent="0.2">
      <c r="A2632">
        <v>2631</v>
      </c>
      <c r="B2632">
        <v>2328</v>
      </c>
      <c r="C2632">
        <f>1/COUNTIF(B:B,Table1[[#This Row],[order_id]])</f>
        <v>0.33333333333333331</v>
      </c>
      <c r="D2632" t="str">
        <f>TEXT(Table1[[#This Row],[order_date]],"mmmm")</f>
        <v>July</v>
      </c>
      <c r="E2632" s="1">
        <v>45496</v>
      </c>
      <c r="F2632" s="1" t="str">
        <f>TEXT(Table1[[#This Row],[order_date]],"dddd")</f>
        <v>Tuesday</v>
      </c>
      <c r="G2632">
        <f>HOUR(Table1[[#This Row],[order_time]])</f>
        <v>15</v>
      </c>
      <c r="H2632" s="2">
        <v>0.64375000000000004</v>
      </c>
      <c r="I2632" t="s">
        <v>9</v>
      </c>
      <c r="J2632" t="s">
        <v>20</v>
      </c>
      <c r="K2632">
        <v>5</v>
      </c>
      <c r="L2632">
        <v>25</v>
      </c>
      <c r="M2632">
        <v>125</v>
      </c>
      <c r="N2632">
        <f>IF(COUNTIFS($B$2:B2632,B2632)=1,1,0)</f>
        <v>0</v>
      </c>
    </row>
    <row r="2633" spans="1:14" x14ac:dyDescent="0.2">
      <c r="A2633">
        <v>2632</v>
      </c>
      <c r="B2633">
        <v>2329</v>
      </c>
      <c r="C2633">
        <f>1/COUNTIF(B:B,Table1[[#This Row],[order_id]])</f>
        <v>0.5</v>
      </c>
      <c r="D2633" t="str">
        <f>TEXT(Table1[[#This Row],[order_date]],"mmmm")</f>
        <v>July</v>
      </c>
      <c r="E2633" s="1">
        <v>45496</v>
      </c>
      <c r="F2633" s="1" t="str">
        <f>TEXT(Table1[[#This Row],[order_date]],"dddd")</f>
        <v>Tuesday</v>
      </c>
      <c r="G2633">
        <f>HOUR(Table1[[#This Row],[order_time]])</f>
        <v>19</v>
      </c>
      <c r="H2633" s="2">
        <v>0.82092592592592595</v>
      </c>
      <c r="I2633" t="s">
        <v>16</v>
      </c>
      <c r="J2633" t="s">
        <v>17</v>
      </c>
      <c r="K2633">
        <v>3</v>
      </c>
      <c r="L2633">
        <v>20</v>
      </c>
      <c r="M2633">
        <v>60</v>
      </c>
      <c r="N2633">
        <f>IF(COUNTIFS($B$2:B2633,B2633)=1,1,0)</f>
        <v>1</v>
      </c>
    </row>
    <row r="2634" spans="1:14" x14ac:dyDescent="0.2">
      <c r="A2634">
        <v>2633</v>
      </c>
      <c r="B2634">
        <v>2329</v>
      </c>
      <c r="C2634">
        <f>1/COUNTIF(B:B,Table1[[#This Row],[order_id]])</f>
        <v>0.5</v>
      </c>
      <c r="D2634" t="str">
        <f>TEXT(Table1[[#This Row],[order_date]],"mmmm")</f>
        <v>July</v>
      </c>
      <c r="E2634" s="1">
        <v>45496</v>
      </c>
      <c r="F2634" s="1" t="str">
        <f>TEXT(Table1[[#This Row],[order_date]],"dddd")</f>
        <v>Tuesday</v>
      </c>
      <c r="G2634">
        <f>HOUR(Table1[[#This Row],[order_time]])</f>
        <v>16</v>
      </c>
      <c r="H2634" s="2">
        <v>0.6882638888888889</v>
      </c>
      <c r="I2634" t="s">
        <v>9</v>
      </c>
      <c r="J2634" t="s">
        <v>20</v>
      </c>
      <c r="K2634">
        <v>1</v>
      </c>
      <c r="L2634">
        <v>25</v>
      </c>
      <c r="M2634">
        <v>25</v>
      </c>
      <c r="N2634">
        <f>IF(COUNTIFS($B$2:B2634,B2634)=1,1,0)</f>
        <v>0</v>
      </c>
    </row>
    <row r="2635" spans="1:14" x14ac:dyDescent="0.2">
      <c r="A2635">
        <v>2634</v>
      </c>
      <c r="B2635">
        <v>2330</v>
      </c>
      <c r="C2635">
        <f>1/COUNTIF(B:B,Table1[[#This Row],[order_id]])</f>
        <v>1</v>
      </c>
      <c r="D2635" t="str">
        <f>TEXT(Table1[[#This Row],[order_date]],"mmmm")</f>
        <v>July</v>
      </c>
      <c r="E2635" s="1">
        <v>45496</v>
      </c>
      <c r="F2635" s="1" t="str">
        <f>TEXT(Table1[[#This Row],[order_date]],"dddd")</f>
        <v>Tuesday</v>
      </c>
      <c r="G2635">
        <f>HOUR(Table1[[#This Row],[order_time]])</f>
        <v>11</v>
      </c>
      <c r="H2635" s="2">
        <v>0.4904513888888889</v>
      </c>
      <c r="I2635" t="s">
        <v>11</v>
      </c>
      <c r="J2635" t="s">
        <v>25</v>
      </c>
      <c r="K2635">
        <v>5</v>
      </c>
      <c r="L2635">
        <v>1000</v>
      </c>
      <c r="M2635">
        <v>5000</v>
      </c>
      <c r="N2635">
        <f>IF(COUNTIFS($B$2:B2635,B2635)=1,1,0)</f>
        <v>1</v>
      </c>
    </row>
    <row r="2636" spans="1:14" x14ac:dyDescent="0.2">
      <c r="A2636">
        <v>2635</v>
      </c>
      <c r="B2636">
        <v>2331</v>
      </c>
      <c r="C2636">
        <f>1/COUNTIF(B:B,Table1[[#This Row],[order_id]])</f>
        <v>1</v>
      </c>
      <c r="D2636" t="str">
        <f>TEXT(Table1[[#This Row],[order_date]],"mmmm")</f>
        <v>July</v>
      </c>
      <c r="E2636" s="1">
        <v>45497</v>
      </c>
      <c r="F2636" s="1" t="str">
        <f>TEXT(Table1[[#This Row],[order_date]],"dddd")</f>
        <v>Wednesday</v>
      </c>
      <c r="G2636">
        <f>HOUR(Table1[[#This Row],[order_time]])</f>
        <v>18</v>
      </c>
      <c r="H2636" s="2">
        <v>0.7724537037037037</v>
      </c>
      <c r="I2636" t="s">
        <v>18</v>
      </c>
      <c r="J2636" t="s">
        <v>31</v>
      </c>
      <c r="K2636">
        <v>5</v>
      </c>
      <c r="L2636">
        <v>45</v>
      </c>
      <c r="M2636">
        <v>225</v>
      </c>
      <c r="N2636">
        <f>IF(COUNTIFS($B$2:B2636,B2636)=1,1,0)</f>
        <v>1</v>
      </c>
    </row>
    <row r="2637" spans="1:14" x14ac:dyDescent="0.2">
      <c r="A2637">
        <v>2636</v>
      </c>
      <c r="B2637">
        <v>2332</v>
      </c>
      <c r="C2637">
        <f>1/COUNTIF(B:B,Table1[[#This Row],[order_id]])</f>
        <v>1</v>
      </c>
      <c r="D2637" t="str">
        <f>TEXT(Table1[[#This Row],[order_date]],"mmmm")</f>
        <v>July</v>
      </c>
      <c r="E2637" s="1">
        <v>45497</v>
      </c>
      <c r="F2637" s="1" t="str">
        <f>TEXT(Table1[[#This Row],[order_date]],"dddd")</f>
        <v>Wednesday</v>
      </c>
      <c r="G2637">
        <f>HOUR(Table1[[#This Row],[order_time]])</f>
        <v>20</v>
      </c>
      <c r="H2637" s="2">
        <v>0.86383101851851851</v>
      </c>
      <c r="I2637" t="s">
        <v>9</v>
      </c>
      <c r="J2637" t="s">
        <v>21</v>
      </c>
      <c r="K2637">
        <v>4</v>
      </c>
      <c r="L2637">
        <v>10</v>
      </c>
      <c r="M2637">
        <v>40</v>
      </c>
      <c r="N2637">
        <f>IF(COUNTIFS($B$2:B2637,B2637)=1,1,0)</f>
        <v>1</v>
      </c>
    </row>
    <row r="2638" spans="1:14" x14ac:dyDescent="0.2">
      <c r="A2638">
        <v>2637</v>
      </c>
      <c r="B2638">
        <v>2333</v>
      </c>
      <c r="C2638">
        <f>1/COUNTIF(B:B,Table1[[#This Row],[order_id]])</f>
        <v>1</v>
      </c>
      <c r="D2638" t="str">
        <f>TEXT(Table1[[#This Row],[order_date]],"mmmm")</f>
        <v>July</v>
      </c>
      <c r="E2638" s="1">
        <v>45497</v>
      </c>
      <c r="F2638" s="1" t="str">
        <f>TEXT(Table1[[#This Row],[order_date]],"dddd")</f>
        <v>Wednesday</v>
      </c>
      <c r="G2638">
        <f>HOUR(Table1[[#This Row],[order_time]])</f>
        <v>12</v>
      </c>
      <c r="H2638" s="2">
        <v>0.50342592592592594</v>
      </c>
      <c r="I2638" t="s">
        <v>11</v>
      </c>
      <c r="J2638" t="s">
        <v>14</v>
      </c>
      <c r="K2638">
        <v>2</v>
      </c>
      <c r="L2638">
        <v>700</v>
      </c>
      <c r="M2638">
        <v>1400</v>
      </c>
      <c r="N2638">
        <f>IF(COUNTIFS($B$2:B2638,B2638)=1,1,0)</f>
        <v>1</v>
      </c>
    </row>
    <row r="2639" spans="1:14" x14ac:dyDescent="0.2">
      <c r="A2639">
        <v>2638</v>
      </c>
      <c r="B2639">
        <v>2334</v>
      </c>
      <c r="C2639">
        <f>1/COUNTIF(B:B,Table1[[#This Row],[order_id]])</f>
        <v>1</v>
      </c>
      <c r="D2639" t="str">
        <f>TEXT(Table1[[#This Row],[order_date]],"mmmm")</f>
        <v>July</v>
      </c>
      <c r="E2639" s="1">
        <v>45497</v>
      </c>
      <c r="F2639" s="1" t="str">
        <f>TEXT(Table1[[#This Row],[order_date]],"dddd")</f>
        <v>Wednesday</v>
      </c>
      <c r="G2639">
        <f>HOUR(Table1[[#This Row],[order_time]])</f>
        <v>14</v>
      </c>
      <c r="H2639" s="2">
        <v>0.61768518518518523</v>
      </c>
      <c r="I2639" t="s">
        <v>18</v>
      </c>
      <c r="J2639" t="s">
        <v>27</v>
      </c>
      <c r="K2639">
        <v>2</v>
      </c>
      <c r="L2639">
        <v>40</v>
      </c>
      <c r="M2639">
        <v>80</v>
      </c>
      <c r="N2639">
        <f>IF(COUNTIFS($B$2:B2639,B2639)=1,1,0)</f>
        <v>1</v>
      </c>
    </row>
    <row r="2640" spans="1:14" x14ac:dyDescent="0.2">
      <c r="A2640">
        <v>2639</v>
      </c>
      <c r="B2640">
        <v>2335</v>
      </c>
      <c r="C2640">
        <f>1/COUNTIF(B:B,Table1[[#This Row],[order_id]])</f>
        <v>0.5</v>
      </c>
      <c r="D2640" t="str">
        <f>TEXT(Table1[[#This Row],[order_date]],"mmmm")</f>
        <v>July</v>
      </c>
      <c r="E2640" s="1">
        <v>45497</v>
      </c>
      <c r="F2640" s="1" t="str">
        <f>TEXT(Table1[[#This Row],[order_date]],"dddd")</f>
        <v>Wednesday</v>
      </c>
      <c r="G2640">
        <f>HOUR(Table1[[#This Row],[order_time]])</f>
        <v>20</v>
      </c>
      <c r="H2640" s="2">
        <v>0.85508101851851848</v>
      </c>
      <c r="I2640" t="s">
        <v>11</v>
      </c>
      <c r="J2640" t="s">
        <v>13</v>
      </c>
      <c r="K2640">
        <v>4</v>
      </c>
      <c r="L2640">
        <v>680</v>
      </c>
      <c r="M2640">
        <v>2720</v>
      </c>
      <c r="N2640">
        <f>IF(COUNTIFS($B$2:B2640,B2640)=1,1,0)</f>
        <v>1</v>
      </c>
    </row>
    <row r="2641" spans="1:14" x14ac:dyDescent="0.2">
      <c r="A2641">
        <v>2640</v>
      </c>
      <c r="B2641">
        <v>2335</v>
      </c>
      <c r="C2641">
        <f>1/COUNTIF(B:B,Table1[[#This Row],[order_id]])</f>
        <v>0.5</v>
      </c>
      <c r="D2641" t="str">
        <f>TEXT(Table1[[#This Row],[order_date]],"mmmm")</f>
        <v>July</v>
      </c>
      <c r="E2641" s="1">
        <v>45497</v>
      </c>
      <c r="F2641" s="1" t="str">
        <f>TEXT(Table1[[#This Row],[order_date]],"dddd")</f>
        <v>Wednesday</v>
      </c>
      <c r="G2641">
        <f>HOUR(Table1[[#This Row],[order_time]])</f>
        <v>9</v>
      </c>
      <c r="H2641" s="2">
        <v>0.39129629629629631</v>
      </c>
      <c r="I2641" t="s">
        <v>16</v>
      </c>
      <c r="J2641" t="s">
        <v>17</v>
      </c>
      <c r="K2641">
        <v>3</v>
      </c>
      <c r="L2641">
        <v>20</v>
      </c>
      <c r="M2641">
        <v>60</v>
      </c>
      <c r="N2641">
        <f>IF(COUNTIFS($B$2:B2641,B2641)=1,1,0)</f>
        <v>0</v>
      </c>
    </row>
    <row r="2642" spans="1:14" x14ac:dyDescent="0.2">
      <c r="A2642">
        <v>2641</v>
      </c>
      <c r="B2642">
        <v>2336</v>
      </c>
      <c r="C2642">
        <f>1/COUNTIF(B:B,Table1[[#This Row],[order_id]])</f>
        <v>0.5</v>
      </c>
      <c r="D2642" t="str">
        <f>TEXT(Table1[[#This Row],[order_date]],"mmmm")</f>
        <v>July</v>
      </c>
      <c r="E2642" s="1">
        <v>45497</v>
      </c>
      <c r="F2642" s="1" t="str">
        <f>TEXT(Table1[[#This Row],[order_date]],"dddd")</f>
        <v>Wednesday</v>
      </c>
      <c r="G2642">
        <f>HOUR(Table1[[#This Row],[order_time]])</f>
        <v>12</v>
      </c>
      <c r="H2642" s="2">
        <v>0.51120370370370372</v>
      </c>
      <c r="I2642" t="s">
        <v>9</v>
      </c>
      <c r="J2642" t="s">
        <v>21</v>
      </c>
      <c r="K2642">
        <v>3</v>
      </c>
      <c r="L2642">
        <v>10</v>
      </c>
      <c r="M2642">
        <v>30</v>
      </c>
      <c r="N2642">
        <f>IF(COUNTIFS($B$2:B2642,B2642)=1,1,0)</f>
        <v>1</v>
      </c>
    </row>
    <row r="2643" spans="1:14" x14ac:dyDescent="0.2">
      <c r="A2643">
        <v>2642</v>
      </c>
      <c r="B2643">
        <v>2336</v>
      </c>
      <c r="C2643">
        <f>1/COUNTIF(B:B,Table1[[#This Row],[order_id]])</f>
        <v>0.5</v>
      </c>
      <c r="D2643" t="str">
        <f>TEXT(Table1[[#This Row],[order_date]],"mmmm")</f>
        <v>July</v>
      </c>
      <c r="E2643" s="1">
        <v>45497</v>
      </c>
      <c r="F2643" s="1" t="str">
        <f>TEXT(Table1[[#This Row],[order_date]],"dddd")</f>
        <v>Wednesday</v>
      </c>
      <c r="G2643">
        <f>HOUR(Table1[[#This Row],[order_time]])</f>
        <v>11</v>
      </c>
      <c r="H2643" s="2">
        <v>0.4863425925925926</v>
      </c>
      <c r="I2643" t="s">
        <v>11</v>
      </c>
      <c r="J2643" t="s">
        <v>14</v>
      </c>
      <c r="K2643">
        <v>5</v>
      </c>
      <c r="L2643">
        <v>700</v>
      </c>
      <c r="M2643">
        <v>3500</v>
      </c>
      <c r="N2643">
        <f>IF(COUNTIFS($B$2:B2643,B2643)=1,1,0)</f>
        <v>0</v>
      </c>
    </row>
    <row r="2644" spans="1:14" x14ac:dyDescent="0.2">
      <c r="A2644">
        <v>2643</v>
      </c>
      <c r="B2644">
        <v>2337</v>
      </c>
      <c r="C2644">
        <f>1/COUNTIF(B:B,Table1[[#This Row],[order_id]])</f>
        <v>0.33333333333333331</v>
      </c>
      <c r="D2644" t="str">
        <f>TEXT(Table1[[#This Row],[order_date]],"mmmm")</f>
        <v>July</v>
      </c>
      <c r="E2644" s="1">
        <v>45498</v>
      </c>
      <c r="F2644" s="1" t="str">
        <f>TEXT(Table1[[#This Row],[order_date]],"dddd")</f>
        <v>Thursday</v>
      </c>
      <c r="G2644">
        <f>HOUR(Table1[[#This Row],[order_time]])</f>
        <v>14</v>
      </c>
      <c r="H2644" s="2">
        <v>0.59710648148148149</v>
      </c>
      <c r="I2644" t="s">
        <v>11</v>
      </c>
      <c r="J2644" t="s">
        <v>15</v>
      </c>
      <c r="K2644">
        <v>1</v>
      </c>
      <c r="L2644">
        <v>600</v>
      </c>
      <c r="M2644">
        <v>600</v>
      </c>
      <c r="N2644">
        <f>IF(COUNTIFS($B$2:B2644,B2644)=1,1,0)</f>
        <v>1</v>
      </c>
    </row>
    <row r="2645" spans="1:14" x14ac:dyDescent="0.2">
      <c r="A2645">
        <v>2644</v>
      </c>
      <c r="B2645">
        <v>2337</v>
      </c>
      <c r="C2645">
        <f>1/COUNTIF(B:B,Table1[[#This Row],[order_id]])</f>
        <v>0.33333333333333331</v>
      </c>
      <c r="D2645" t="str">
        <f>TEXT(Table1[[#This Row],[order_date]],"mmmm")</f>
        <v>July</v>
      </c>
      <c r="E2645" s="1">
        <v>45498</v>
      </c>
      <c r="F2645" s="1" t="str">
        <f>TEXT(Table1[[#This Row],[order_date]],"dddd")</f>
        <v>Thursday</v>
      </c>
      <c r="G2645">
        <f>HOUR(Table1[[#This Row],[order_time]])</f>
        <v>20</v>
      </c>
      <c r="H2645" s="2">
        <v>0.87291666666666667</v>
      </c>
      <c r="I2645" t="s">
        <v>11</v>
      </c>
      <c r="J2645" t="s">
        <v>13</v>
      </c>
      <c r="K2645">
        <v>3</v>
      </c>
      <c r="L2645">
        <v>680</v>
      </c>
      <c r="M2645">
        <v>2040</v>
      </c>
      <c r="N2645">
        <f>IF(COUNTIFS($B$2:B2645,B2645)=1,1,0)</f>
        <v>0</v>
      </c>
    </row>
    <row r="2646" spans="1:14" x14ac:dyDescent="0.2">
      <c r="A2646">
        <v>2645</v>
      </c>
      <c r="B2646">
        <v>2337</v>
      </c>
      <c r="C2646">
        <f>1/COUNTIF(B:B,Table1[[#This Row],[order_id]])</f>
        <v>0.33333333333333331</v>
      </c>
      <c r="D2646" t="str">
        <f>TEXT(Table1[[#This Row],[order_date]],"mmmm")</f>
        <v>July</v>
      </c>
      <c r="E2646" s="1">
        <v>45498</v>
      </c>
      <c r="F2646" s="1" t="str">
        <f>TEXT(Table1[[#This Row],[order_date]],"dddd")</f>
        <v>Thursday</v>
      </c>
      <c r="G2646">
        <f>HOUR(Table1[[#This Row],[order_time]])</f>
        <v>12</v>
      </c>
      <c r="H2646" s="2">
        <v>0.51172453703703702</v>
      </c>
      <c r="I2646" t="s">
        <v>11</v>
      </c>
      <c r="J2646" t="s">
        <v>13</v>
      </c>
      <c r="K2646">
        <v>3</v>
      </c>
      <c r="L2646">
        <v>680</v>
      </c>
      <c r="M2646">
        <v>2040</v>
      </c>
      <c r="N2646">
        <f>IF(COUNTIFS($B$2:B2646,B2646)=1,1,0)</f>
        <v>0</v>
      </c>
    </row>
    <row r="2647" spans="1:14" x14ac:dyDescent="0.2">
      <c r="A2647">
        <v>2646</v>
      </c>
      <c r="B2647">
        <v>2338</v>
      </c>
      <c r="C2647">
        <f>1/COUNTIF(B:B,Table1[[#This Row],[order_id]])</f>
        <v>1</v>
      </c>
      <c r="D2647" t="str">
        <f>TEXT(Table1[[#This Row],[order_date]],"mmmm")</f>
        <v>July</v>
      </c>
      <c r="E2647" s="1">
        <v>45498</v>
      </c>
      <c r="F2647" s="1" t="str">
        <f>TEXT(Table1[[#This Row],[order_date]],"dddd")</f>
        <v>Thursday</v>
      </c>
      <c r="G2647">
        <f>HOUR(Table1[[#This Row],[order_time]])</f>
        <v>11</v>
      </c>
      <c r="H2647" s="2">
        <v>0.49203703703703705</v>
      </c>
      <c r="I2647" t="s">
        <v>11</v>
      </c>
      <c r="J2647" t="s">
        <v>14</v>
      </c>
      <c r="K2647">
        <v>2</v>
      </c>
      <c r="L2647">
        <v>700</v>
      </c>
      <c r="M2647">
        <v>1400</v>
      </c>
      <c r="N2647">
        <f>IF(COUNTIFS($B$2:B2647,B2647)=1,1,0)</f>
        <v>1</v>
      </c>
    </row>
    <row r="2648" spans="1:14" x14ac:dyDescent="0.2">
      <c r="A2648">
        <v>2647</v>
      </c>
      <c r="B2648">
        <v>2339</v>
      </c>
      <c r="C2648">
        <f>1/COUNTIF(B:B,Table1[[#This Row],[order_id]])</f>
        <v>0.33333333333333331</v>
      </c>
      <c r="D2648" t="str">
        <f>TEXT(Table1[[#This Row],[order_date]],"mmmm")</f>
        <v>July</v>
      </c>
      <c r="E2648" s="1">
        <v>45498</v>
      </c>
      <c r="F2648" s="1" t="str">
        <f>TEXT(Table1[[#This Row],[order_date]],"dddd")</f>
        <v>Thursday</v>
      </c>
      <c r="G2648">
        <f>HOUR(Table1[[#This Row],[order_time]])</f>
        <v>15</v>
      </c>
      <c r="H2648" s="2">
        <v>0.62511574074074072</v>
      </c>
      <c r="I2648" t="s">
        <v>9</v>
      </c>
      <c r="J2648" t="s">
        <v>22</v>
      </c>
      <c r="K2648">
        <v>2</v>
      </c>
      <c r="L2648">
        <v>15</v>
      </c>
      <c r="M2648">
        <v>30</v>
      </c>
      <c r="N2648">
        <f>IF(COUNTIFS($B$2:B2648,B2648)=1,1,0)</f>
        <v>1</v>
      </c>
    </row>
    <row r="2649" spans="1:14" x14ac:dyDescent="0.2">
      <c r="A2649">
        <v>2648</v>
      </c>
      <c r="B2649">
        <v>2339</v>
      </c>
      <c r="C2649">
        <f>1/COUNTIF(B:B,Table1[[#This Row],[order_id]])</f>
        <v>0.33333333333333331</v>
      </c>
      <c r="D2649" t="str">
        <f>TEXT(Table1[[#This Row],[order_date]],"mmmm")</f>
        <v>July</v>
      </c>
      <c r="E2649" s="1">
        <v>45498</v>
      </c>
      <c r="F2649" s="1" t="str">
        <f>TEXT(Table1[[#This Row],[order_date]],"dddd")</f>
        <v>Thursday</v>
      </c>
      <c r="G2649">
        <f>HOUR(Table1[[#This Row],[order_time]])</f>
        <v>9</v>
      </c>
      <c r="H2649" s="2">
        <v>0.41134259259259259</v>
      </c>
      <c r="I2649" t="s">
        <v>16</v>
      </c>
      <c r="J2649" t="s">
        <v>17</v>
      </c>
      <c r="K2649">
        <v>5</v>
      </c>
      <c r="L2649">
        <v>20</v>
      </c>
      <c r="M2649">
        <v>100</v>
      </c>
      <c r="N2649">
        <f>IF(COUNTIFS($B$2:B2649,B2649)=1,1,0)</f>
        <v>0</v>
      </c>
    </row>
    <row r="2650" spans="1:14" x14ac:dyDescent="0.2">
      <c r="A2650">
        <v>2649</v>
      </c>
      <c r="B2650">
        <v>2339</v>
      </c>
      <c r="C2650">
        <f>1/COUNTIF(B:B,Table1[[#This Row],[order_id]])</f>
        <v>0.33333333333333331</v>
      </c>
      <c r="D2650" t="str">
        <f>TEXT(Table1[[#This Row],[order_date]],"mmmm")</f>
        <v>July</v>
      </c>
      <c r="E2650" s="1">
        <v>45498</v>
      </c>
      <c r="F2650" s="1" t="str">
        <f>TEXT(Table1[[#This Row],[order_date]],"dddd")</f>
        <v>Thursday</v>
      </c>
      <c r="G2650">
        <f>HOUR(Table1[[#This Row],[order_time]])</f>
        <v>16</v>
      </c>
      <c r="H2650" s="2">
        <v>0.69643518518518521</v>
      </c>
      <c r="I2650" t="s">
        <v>16</v>
      </c>
      <c r="J2650" t="s">
        <v>24</v>
      </c>
      <c r="K2650">
        <v>5</v>
      </c>
      <c r="L2650">
        <v>35</v>
      </c>
      <c r="M2650">
        <v>175</v>
      </c>
      <c r="N2650">
        <f>IF(COUNTIFS($B$2:B2650,B2650)=1,1,0)</f>
        <v>0</v>
      </c>
    </row>
    <row r="2651" spans="1:14" x14ac:dyDescent="0.2">
      <c r="A2651">
        <v>2650</v>
      </c>
      <c r="B2651">
        <v>2340</v>
      </c>
      <c r="C2651">
        <f>1/COUNTIF(B:B,Table1[[#This Row],[order_id]])</f>
        <v>1</v>
      </c>
      <c r="D2651" t="str">
        <f>TEXT(Table1[[#This Row],[order_date]],"mmmm")</f>
        <v>July</v>
      </c>
      <c r="E2651" s="1">
        <v>45499</v>
      </c>
      <c r="F2651" s="1" t="str">
        <f>TEXT(Table1[[#This Row],[order_date]],"dddd")</f>
        <v>Friday</v>
      </c>
      <c r="G2651">
        <f>HOUR(Table1[[#This Row],[order_time]])</f>
        <v>10</v>
      </c>
      <c r="H2651" s="2">
        <v>0.43998842592592591</v>
      </c>
      <c r="I2651" t="s">
        <v>11</v>
      </c>
      <c r="J2651" t="s">
        <v>12</v>
      </c>
      <c r="K2651">
        <v>1</v>
      </c>
      <c r="L2651">
        <v>650</v>
      </c>
      <c r="M2651">
        <v>650</v>
      </c>
      <c r="N2651">
        <f>IF(COUNTIFS($B$2:B2651,B2651)=1,1,0)</f>
        <v>1</v>
      </c>
    </row>
    <row r="2652" spans="1:14" x14ac:dyDescent="0.2">
      <c r="A2652">
        <v>2651</v>
      </c>
      <c r="B2652">
        <v>2341</v>
      </c>
      <c r="C2652">
        <f>1/COUNTIF(B:B,Table1[[#This Row],[order_id]])</f>
        <v>0.33333333333333331</v>
      </c>
      <c r="D2652" t="str">
        <f>TEXT(Table1[[#This Row],[order_date]],"mmmm")</f>
        <v>July</v>
      </c>
      <c r="E2652" s="1">
        <v>45499</v>
      </c>
      <c r="F2652" s="1" t="str">
        <f>TEXT(Table1[[#This Row],[order_date]],"dddd")</f>
        <v>Friday</v>
      </c>
      <c r="G2652">
        <f>HOUR(Table1[[#This Row],[order_time]])</f>
        <v>10</v>
      </c>
      <c r="H2652" s="2">
        <v>0.41924768518518518</v>
      </c>
      <c r="I2652" t="s">
        <v>16</v>
      </c>
      <c r="J2652" t="s">
        <v>24</v>
      </c>
      <c r="K2652">
        <v>1</v>
      </c>
      <c r="L2652">
        <v>35</v>
      </c>
      <c r="M2652">
        <v>35</v>
      </c>
      <c r="N2652">
        <f>IF(COUNTIFS($B$2:B2652,B2652)=1,1,0)</f>
        <v>1</v>
      </c>
    </row>
    <row r="2653" spans="1:14" x14ac:dyDescent="0.2">
      <c r="A2653">
        <v>2652</v>
      </c>
      <c r="B2653">
        <v>2341</v>
      </c>
      <c r="C2653">
        <f>1/COUNTIF(B:B,Table1[[#This Row],[order_id]])</f>
        <v>0.33333333333333331</v>
      </c>
      <c r="D2653" t="str">
        <f>TEXT(Table1[[#This Row],[order_date]],"mmmm")</f>
        <v>July</v>
      </c>
      <c r="E2653" s="1">
        <v>45499</v>
      </c>
      <c r="F2653" s="1" t="str">
        <f>TEXT(Table1[[#This Row],[order_date]],"dddd")</f>
        <v>Friday</v>
      </c>
      <c r="G2653">
        <f>HOUR(Table1[[#This Row],[order_time]])</f>
        <v>9</v>
      </c>
      <c r="H2653" s="2">
        <v>0.38254629629629627</v>
      </c>
      <c r="I2653" t="s">
        <v>16</v>
      </c>
      <c r="J2653" t="s">
        <v>24</v>
      </c>
      <c r="K2653">
        <v>2</v>
      </c>
      <c r="L2653">
        <v>35</v>
      </c>
      <c r="M2653">
        <v>70</v>
      </c>
      <c r="N2653">
        <f>IF(COUNTIFS($B$2:B2653,B2653)=1,1,0)</f>
        <v>0</v>
      </c>
    </row>
    <row r="2654" spans="1:14" x14ac:dyDescent="0.2">
      <c r="A2654">
        <v>2653</v>
      </c>
      <c r="B2654">
        <v>2341</v>
      </c>
      <c r="C2654">
        <f>1/COUNTIF(B:B,Table1[[#This Row],[order_id]])</f>
        <v>0.33333333333333331</v>
      </c>
      <c r="D2654" t="str">
        <f>TEXT(Table1[[#This Row],[order_date]],"mmmm")</f>
        <v>July</v>
      </c>
      <c r="E2654" s="1">
        <v>45499</v>
      </c>
      <c r="F2654" s="1" t="str">
        <f>TEXT(Table1[[#This Row],[order_date]],"dddd")</f>
        <v>Friday</v>
      </c>
      <c r="G2654">
        <f>HOUR(Table1[[#This Row],[order_time]])</f>
        <v>12</v>
      </c>
      <c r="H2654" s="2">
        <v>0.51648148148148143</v>
      </c>
      <c r="I2654" t="s">
        <v>16</v>
      </c>
      <c r="J2654" t="s">
        <v>24</v>
      </c>
      <c r="K2654">
        <v>3</v>
      </c>
      <c r="L2654">
        <v>35</v>
      </c>
      <c r="M2654">
        <v>105</v>
      </c>
      <c r="N2654">
        <f>IF(COUNTIFS($B$2:B2654,B2654)=1,1,0)</f>
        <v>0</v>
      </c>
    </row>
    <row r="2655" spans="1:14" x14ac:dyDescent="0.2">
      <c r="A2655">
        <v>2654</v>
      </c>
      <c r="B2655">
        <v>2342</v>
      </c>
      <c r="C2655">
        <f>1/COUNTIF(B:B,Table1[[#This Row],[order_id]])</f>
        <v>0.33333333333333331</v>
      </c>
      <c r="D2655" t="str">
        <f>TEXT(Table1[[#This Row],[order_date]],"mmmm")</f>
        <v>July</v>
      </c>
      <c r="E2655" s="1">
        <v>45499</v>
      </c>
      <c r="F2655" s="1" t="str">
        <f>TEXT(Table1[[#This Row],[order_date]],"dddd")</f>
        <v>Friday</v>
      </c>
      <c r="G2655">
        <f>HOUR(Table1[[#This Row],[order_time]])</f>
        <v>17</v>
      </c>
      <c r="H2655" s="2">
        <v>0.724212962962963</v>
      </c>
      <c r="I2655" t="s">
        <v>9</v>
      </c>
      <c r="J2655" t="s">
        <v>21</v>
      </c>
      <c r="K2655">
        <v>5</v>
      </c>
      <c r="L2655">
        <v>10</v>
      </c>
      <c r="M2655">
        <v>50</v>
      </c>
      <c r="N2655">
        <f>IF(COUNTIFS($B$2:B2655,B2655)=1,1,0)</f>
        <v>1</v>
      </c>
    </row>
    <row r="2656" spans="1:14" x14ac:dyDescent="0.2">
      <c r="A2656">
        <v>2655</v>
      </c>
      <c r="B2656">
        <v>2342</v>
      </c>
      <c r="C2656">
        <f>1/COUNTIF(B:B,Table1[[#This Row],[order_id]])</f>
        <v>0.33333333333333331</v>
      </c>
      <c r="D2656" t="str">
        <f>TEXT(Table1[[#This Row],[order_date]],"mmmm")</f>
        <v>July</v>
      </c>
      <c r="E2656" s="1">
        <v>45499</v>
      </c>
      <c r="F2656" s="1" t="str">
        <f>TEXT(Table1[[#This Row],[order_date]],"dddd")</f>
        <v>Friday</v>
      </c>
      <c r="G2656">
        <f>HOUR(Table1[[#This Row],[order_time]])</f>
        <v>11</v>
      </c>
      <c r="H2656" s="2">
        <v>0.46199074074074076</v>
      </c>
      <c r="I2656" t="s">
        <v>16</v>
      </c>
      <c r="J2656" t="s">
        <v>23</v>
      </c>
      <c r="K2656">
        <v>4</v>
      </c>
      <c r="L2656">
        <v>30</v>
      </c>
      <c r="M2656">
        <v>120</v>
      </c>
      <c r="N2656">
        <f>IF(COUNTIFS($B$2:B2656,B2656)=1,1,0)</f>
        <v>0</v>
      </c>
    </row>
    <row r="2657" spans="1:14" x14ac:dyDescent="0.2">
      <c r="A2657">
        <v>2656</v>
      </c>
      <c r="B2657">
        <v>2342</v>
      </c>
      <c r="C2657">
        <f>1/COUNTIF(B:B,Table1[[#This Row],[order_id]])</f>
        <v>0.33333333333333331</v>
      </c>
      <c r="D2657" t="str">
        <f>TEXT(Table1[[#This Row],[order_date]],"mmmm")</f>
        <v>July</v>
      </c>
      <c r="E2657" s="1">
        <v>45499</v>
      </c>
      <c r="F2657" s="1" t="str">
        <f>TEXT(Table1[[#This Row],[order_date]],"dddd")</f>
        <v>Friday</v>
      </c>
      <c r="G2657">
        <f>HOUR(Table1[[#This Row],[order_time]])</f>
        <v>17</v>
      </c>
      <c r="H2657" s="2">
        <v>0.74016203703703709</v>
      </c>
      <c r="I2657" t="s">
        <v>16</v>
      </c>
      <c r="J2657" t="s">
        <v>28</v>
      </c>
      <c r="K2657">
        <v>2</v>
      </c>
      <c r="L2657">
        <v>25</v>
      </c>
      <c r="M2657">
        <v>50</v>
      </c>
      <c r="N2657">
        <f>IF(COUNTIFS($B$2:B2657,B2657)=1,1,0)</f>
        <v>0</v>
      </c>
    </row>
    <row r="2658" spans="1:14" x14ac:dyDescent="0.2">
      <c r="A2658">
        <v>2657</v>
      </c>
      <c r="B2658">
        <v>2343</v>
      </c>
      <c r="C2658">
        <f>1/COUNTIF(B:B,Table1[[#This Row],[order_id]])</f>
        <v>0.5</v>
      </c>
      <c r="D2658" t="str">
        <f>TEXT(Table1[[#This Row],[order_date]],"mmmm")</f>
        <v>July</v>
      </c>
      <c r="E2658" s="1">
        <v>45499</v>
      </c>
      <c r="F2658" s="1" t="str">
        <f>TEXT(Table1[[#This Row],[order_date]],"dddd")</f>
        <v>Friday</v>
      </c>
      <c r="G2658">
        <f>HOUR(Table1[[#This Row],[order_time]])</f>
        <v>10</v>
      </c>
      <c r="H2658" s="2">
        <v>0.41792824074074075</v>
      </c>
      <c r="I2658" t="s">
        <v>11</v>
      </c>
      <c r="J2658" t="s">
        <v>15</v>
      </c>
      <c r="K2658">
        <v>3</v>
      </c>
      <c r="L2658">
        <v>600</v>
      </c>
      <c r="M2658">
        <v>1800</v>
      </c>
      <c r="N2658">
        <f>IF(COUNTIFS($B$2:B2658,B2658)=1,1,0)</f>
        <v>1</v>
      </c>
    </row>
    <row r="2659" spans="1:14" x14ac:dyDescent="0.2">
      <c r="A2659">
        <v>2658</v>
      </c>
      <c r="B2659">
        <v>2343</v>
      </c>
      <c r="C2659">
        <f>1/COUNTIF(B:B,Table1[[#This Row],[order_id]])</f>
        <v>0.5</v>
      </c>
      <c r="D2659" t="str">
        <f>TEXT(Table1[[#This Row],[order_date]],"mmmm")</f>
        <v>July</v>
      </c>
      <c r="E2659" s="1">
        <v>45499</v>
      </c>
      <c r="F2659" s="1" t="str">
        <f>TEXT(Table1[[#This Row],[order_date]],"dddd")</f>
        <v>Friday</v>
      </c>
      <c r="G2659">
        <f>HOUR(Table1[[#This Row],[order_time]])</f>
        <v>15</v>
      </c>
      <c r="H2659" s="2">
        <v>0.64461805555555551</v>
      </c>
      <c r="I2659" t="s">
        <v>18</v>
      </c>
      <c r="J2659" t="s">
        <v>30</v>
      </c>
      <c r="K2659">
        <v>4</v>
      </c>
      <c r="L2659">
        <v>60</v>
      </c>
      <c r="M2659">
        <v>240</v>
      </c>
      <c r="N2659">
        <f>IF(COUNTIFS($B$2:B2659,B2659)=1,1,0)</f>
        <v>0</v>
      </c>
    </row>
    <row r="2660" spans="1:14" x14ac:dyDescent="0.2">
      <c r="A2660">
        <v>2659</v>
      </c>
      <c r="B2660">
        <v>2344</v>
      </c>
      <c r="C2660">
        <f>1/COUNTIF(B:B,Table1[[#This Row],[order_id]])</f>
        <v>1</v>
      </c>
      <c r="D2660" t="str">
        <f>TEXT(Table1[[#This Row],[order_date]],"mmmm")</f>
        <v>July</v>
      </c>
      <c r="E2660" s="1">
        <v>45499</v>
      </c>
      <c r="F2660" s="1" t="str">
        <f>TEXT(Table1[[#This Row],[order_date]],"dddd")</f>
        <v>Friday</v>
      </c>
      <c r="G2660">
        <f>HOUR(Table1[[#This Row],[order_time]])</f>
        <v>19</v>
      </c>
      <c r="H2660" s="2">
        <v>0.79204861111111113</v>
      </c>
      <c r="I2660" t="s">
        <v>9</v>
      </c>
      <c r="J2660" t="s">
        <v>10</v>
      </c>
      <c r="K2660">
        <v>5</v>
      </c>
      <c r="L2660">
        <v>20</v>
      </c>
      <c r="M2660">
        <v>100</v>
      </c>
      <c r="N2660">
        <f>IF(COUNTIFS($B$2:B2660,B2660)=1,1,0)</f>
        <v>1</v>
      </c>
    </row>
    <row r="2661" spans="1:14" x14ac:dyDescent="0.2">
      <c r="A2661">
        <v>2660</v>
      </c>
      <c r="B2661">
        <v>2345</v>
      </c>
      <c r="C2661">
        <f>1/COUNTIF(B:B,Table1[[#This Row],[order_id]])</f>
        <v>1</v>
      </c>
      <c r="D2661" t="str">
        <f>TEXT(Table1[[#This Row],[order_date]],"mmmm")</f>
        <v>July</v>
      </c>
      <c r="E2661" s="1">
        <v>45499</v>
      </c>
      <c r="F2661" s="1" t="str">
        <f>TEXT(Table1[[#This Row],[order_date]],"dddd")</f>
        <v>Friday</v>
      </c>
      <c r="G2661">
        <f>HOUR(Table1[[#This Row],[order_time]])</f>
        <v>16</v>
      </c>
      <c r="H2661" s="2">
        <v>0.69741898148148151</v>
      </c>
      <c r="I2661" t="s">
        <v>18</v>
      </c>
      <c r="J2661" t="s">
        <v>27</v>
      </c>
      <c r="K2661">
        <v>2</v>
      </c>
      <c r="L2661">
        <v>40</v>
      </c>
      <c r="M2661">
        <v>80</v>
      </c>
      <c r="N2661">
        <f>IF(COUNTIFS($B$2:B2661,B2661)=1,1,0)</f>
        <v>1</v>
      </c>
    </row>
    <row r="2662" spans="1:14" x14ac:dyDescent="0.2">
      <c r="A2662">
        <v>2661</v>
      </c>
      <c r="B2662">
        <v>2346</v>
      </c>
      <c r="C2662">
        <f>1/COUNTIF(B:B,Table1[[#This Row],[order_id]])</f>
        <v>1</v>
      </c>
      <c r="D2662" t="str">
        <f>TEXT(Table1[[#This Row],[order_date]],"mmmm")</f>
        <v>July</v>
      </c>
      <c r="E2662" s="1">
        <v>45500</v>
      </c>
      <c r="F2662" s="1" t="str">
        <f>TEXT(Table1[[#This Row],[order_date]],"dddd")</f>
        <v>Saturday</v>
      </c>
      <c r="G2662">
        <f>HOUR(Table1[[#This Row],[order_time]])</f>
        <v>10</v>
      </c>
      <c r="H2662" s="2">
        <v>0.4329513888888889</v>
      </c>
      <c r="I2662" t="s">
        <v>9</v>
      </c>
      <c r="J2662" t="s">
        <v>29</v>
      </c>
      <c r="K2662">
        <v>1</v>
      </c>
      <c r="L2662">
        <v>5</v>
      </c>
      <c r="M2662">
        <v>5</v>
      </c>
      <c r="N2662">
        <f>IF(COUNTIFS($B$2:B2662,B2662)=1,1,0)</f>
        <v>1</v>
      </c>
    </row>
    <row r="2663" spans="1:14" x14ac:dyDescent="0.2">
      <c r="A2663">
        <v>2662</v>
      </c>
      <c r="B2663">
        <v>2347</v>
      </c>
      <c r="C2663">
        <f>1/COUNTIF(B:B,Table1[[#This Row],[order_id]])</f>
        <v>0.5</v>
      </c>
      <c r="D2663" t="str">
        <f>TEXT(Table1[[#This Row],[order_date]],"mmmm")</f>
        <v>July</v>
      </c>
      <c r="E2663" s="1">
        <v>45500</v>
      </c>
      <c r="F2663" s="1" t="str">
        <f>TEXT(Table1[[#This Row],[order_date]],"dddd")</f>
        <v>Saturday</v>
      </c>
      <c r="G2663">
        <f>HOUR(Table1[[#This Row],[order_time]])</f>
        <v>9</v>
      </c>
      <c r="H2663" s="2">
        <v>0.40761574074074075</v>
      </c>
      <c r="I2663" t="s">
        <v>18</v>
      </c>
      <c r="J2663" t="s">
        <v>26</v>
      </c>
      <c r="K2663">
        <v>1</v>
      </c>
      <c r="L2663">
        <v>55</v>
      </c>
      <c r="M2663">
        <v>55</v>
      </c>
      <c r="N2663">
        <f>IF(COUNTIFS($B$2:B2663,B2663)=1,1,0)</f>
        <v>1</v>
      </c>
    </row>
    <row r="2664" spans="1:14" x14ac:dyDescent="0.2">
      <c r="A2664">
        <v>2663</v>
      </c>
      <c r="B2664">
        <v>2347</v>
      </c>
      <c r="C2664">
        <f>1/COUNTIF(B:B,Table1[[#This Row],[order_id]])</f>
        <v>0.5</v>
      </c>
      <c r="D2664" t="str">
        <f>TEXT(Table1[[#This Row],[order_date]],"mmmm")</f>
        <v>July</v>
      </c>
      <c r="E2664" s="1">
        <v>45500</v>
      </c>
      <c r="F2664" s="1" t="str">
        <f>TEXT(Table1[[#This Row],[order_date]],"dddd")</f>
        <v>Saturday</v>
      </c>
      <c r="G2664">
        <f>HOUR(Table1[[#This Row],[order_time]])</f>
        <v>14</v>
      </c>
      <c r="H2664" s="2">
        <v>0.60398148148148145</v>
      </c>
      <c r="I2664" t="s">
        <v>11</v>
      </c>
      <c r="J2664" t="s">
        <v>25</v>
      </c>
      <c r="K2664">
        <v>3</v>
      </c>
      <c r="L2664">
        <v>1000</v>
      </c>
      <c r="M2664">
        <v>3000</v>
      </c>
      <c r="N2664">
        <f>IF(COUNTIFS($B$2:B2664,B2664)=1,1,0)</f>
        <v>0</v>
      </c>
    </row>
    <row r="2665" spans="1:14" x14ac:dyDescent="0.2">
      <c r="A2665">
        <v>2664</v>
      </c>
      <c r="B2665">
        <v>2348</v>
      </c>
      <c r="C2665">
        <f>1/COUNTIF(B:B,Table1[[#This Row],[order_id]])</f>
        <v>0.33333333333333331</v>
      </c>
      <c r="D2665" t="str">
        <f>TEXT(Table1[[#This Row],[order_date]],"mmmm")</f>
        <v>July</v>
      </c>
      <c r="E2665" s="1">
        <v>45500</v>
      </c>
      <c r="F2665" s="1" t="str">
        <f>TEXT(Table1[[#This Row],[order_date]],"dddd")</f>
        <v>Saturday</v>
      </c>
      <c r="G2665">
        <f>HOUR(Table1[[#This Row],[order_time]])</f>
        <v>17</v>
      </c>
      <c r="H2665" s="2">
        <v>0.7131481481481482</v>
      </c>
      <c r="I2665" t="s">
        <v>18</v>
      </c>
      <c r="J2665" t="s">
        <v>31</v>
      </c>
      <c r="K2665">
        <v>2</v>
      </c>
      <c r="L2665">
        <v>45</v>
      </c>
      <c r="M2665">
        <v>90</v>
      </c>
      <c r="N2665">
        <f>IF(COUNTIFS($B$2:B2665,B2665)=1,1,0)</f>
        <v>1</v>
      </c>
    </row>
    <row r="2666" spans="1:14" x14ac:dyDescent="0.2">
      <c r="A2666">
        <v>2665</v>
      </c>
      <c r="B2666">
        <v>2348</v>
      </c>
      <c r="C2666">
        <f>1/COUNTIF(B:B,Table1[[#This Row],[order_id]])</f>
        <v>0.33333333333333331</v>
      </c>
      <c r="D2666" t="str">
        <f>TEXT(Table1[[#This Row],[order_date]],"mmmm")</f>
        <v>July</v>
      </c>
      <c r="E2666" s="1">
        <v>45500</v>
      </c>
      <c r="F2666" s="1" t="str">
        <f>TEXT(Table1[[#This Row],[order_date]],"dddd")</f>
        <v>Saturday</v>
      </c>
      <c r="G2666">
        <f>HOUR(Table1[[#This Row],[order_time]])</f>
        <v>10</v>
      </c>
      <c r="H2666" s="2">
        <v>0.45159722222222221</v>
      </c>
      <c r="I2666" t="s">
        <v>18</v>
      </c>
      <c r="J2666" t="s">
        <v>30</v>
      </c>
      <c r="K2666">
        <v>1</v>
      </c>
      <c r="L2666">
        <v>60</v>
      </c>
      <c r="M2666">
        <v>60</v>
      </c>
      <c r="N2666">
        <f>IF(COUNTIFS($B$2:B2666,B2666)=1,1,0)</f>
        <v>0</v>
      </c>
    </row>
    <row r="2667" spans="1:14" x14ac:dyDescent="0.2">
      <c r="A2667">
        <v>2666</v>
      </c>
      <c r="B2667">
        <v>2348</v>
      </c>
      <c r="C2667">
        <f>1/COUNTIF(B:B,Table1[[#This Row],[order_id]])</f>
        <v>0.33333333333333331</v>
      </c>
      <c r="D2667" t="str">
        <f>TEXT(Table1[[#This Row],[order_date]],"mmmm")</f>
        <v>July</v>
      </c>
      <c r="E2667" s="1">
        <v>45500</v>
      </c>
      <c r="F2667" s="1" t="str">
        <f>TEXT(Table1[[#This Row],[order_date]],"dddd")</f>
        <v>Saturday</v>
      </c>
      <c r="G2667">
        <f>HOUR(Table1[[#This Row],[order_time]])</f>
        <v>18</v>
      </c>
      <c r="H2667" s="2">
        <v>0.76755787037037038</v>
      </c>
      <c r="I2667" t="s">
        <v>16</v>
      </c>
      <c r="J2667" t="s">
        <v>24</v>
      </c>
      <c r="K2667">
        <v>4</v>
      </c>
      <c r="L2667">
        <v>35</v>
      </c>
      <c r="M2667">
        <v>140</v>
      </c>
      <c r="N2667">
        <f>IF(COUNTIFS($B$2:B2667,B2667)=1,1,0)</f>
        <v>0</v>
      </c>
    </row>
    <row r="2668" spans="1:14" x14ac:dyDescent="0.2">
      <c r="A2668">
        <v>2667</v>
      </c>
      <c r="B2668">
        <v>2349</v>
      </c>
      <c r="C2668">
        <f>1/COUNTIF(B:B,Table1[[#This Row],[order_id]])</f>
        <v>0.33333333333333331</v>
      </c>
      <c r="D2668" t="str">
        <f>TEXT(Table1[[#This Row],[order_date]],"mmmm")</f>
        <v>July</v>
      </c>
      <c r="E2668" s="1">
        <v>45500</v>
      </c>
      <c r="F2668" s="1" t="str">
        <f>TEXT(Table1[[#This Row],[order_date]],"dddd")</f>
        <v>Saturday</v>
      </c>
      <c r="G2668">
        <f>HOUR(Table1[[#This Row],[order_time]])</f>
        <v>14</v>
      </c>
      <c r="H2668" s="2">
        <v>0.61048611111111106</v>
      </c>
      <c r="I2668" t="s">
        <v>11</v>
      </c>
      <c r="J2668" t="s">
        <v>13</v>
      </c>
      <c r="K2668">
        <v>1</v>
      </c>
      <c r="L2668">
        <v>680</v>
      </c>
      <c r="M2668">
        <v>680</v>
      </c>
      <c r="N2668">
        <f>IF(COUNTIFS($B$2:B2668,B2668)=1,1,0)</f>
        <v>1</v>
      </c>
    </row>
    <row r="2669" spans="1:14" x14ac:dyDescent="0.2">
      <c r="A2669">
        <v>2668</v>
      </c>
      <c r="B2669">
        <v>2349</v>
      </c>
      <c r="C2669">
        <f>1/COUNTIF(B:B,Table1[[#This Row],[order_id]])</f>
        <v>0.33333333333333331</v>
      </c>
      <c r="D2669" t="str">
        <f>TEXT(Table1[[#This Row],[order_date]],"mmmm")</f>
        <v>July</v>
      </c>
      <c r="E2669" s="1">
        <v>45500</v>
      </c>
      <c r="F2669" s="1" t="str">
        <f>TEXT(Table1[[#This Row],[order_date]],"dddd")</f>
        <v>Saturday</v>
      </c>
      <c r="G2669">
        <f>HOUR(Table1[[#This Row],[order_time]])</f>
        <v>14</v>
      </c>
      <c r="H2669" s="2">
        <v>0.59094907407407404</v>
      </c>
      <c r="I2669" t="s">
        <v>9</v>
      </c>
      <c r="J2669" t="s">
        <v>29</v>
      </c>
      <c r="K2669">
        <v>3</v>
      </c>
      <c r="L2669">
        <v>5</v>
      </c>
      <c r="M2669">
        <v>15</v>
      </c>
      <c r="N2669">
        <f>IF(COUNTIFS($B$2:B2669,B2669)=1,1,0)</f>
        <v>0</v>
      </c>
    </row>
    <row r="2670" spans="1:14" x14ac:dyDescent="0.2">
      <c r="A2670">
        <v>2669</v>
      </c>
      <c r="B2670">
        <v>2349</v>
      </c>
      <c r="C2670">
        <f>1/COUNTIF(B:B,Table1[[#This Row],[order_id]])</f>
        <v>0.33333333333333331</v>
      </c>
      <c r="D2670" t="str">
        <f>TEXT(Table1[[#This Row],[order_date]],"mmmm")</f>
        <v>July</v>
      </c>
      <c r="E2670" s="1">
        <v>45500</v>
      </c>
      <c r="F2670" s="1" t="str">
        <f>TEXT(Table1[[#This Row],[order_date]],"dddd")</f>
        <v>Saturday</v>
      </c>
      <c r="G2670">
        <f>HOUR(Table1[[#This Row],[order_time]])</f>
        <v>19</v>
      </c>
      <c r="H2670" s="2">
        <v>0.80054398148148154</v>
      </c>
      <c r="I2670" t="s">
        <v>16</v>
      </c>
      <c r="J2670" t="s">
        <v>23</v>
      </c>
      <c r="K2670">
        <v>4</v>
      </c>
      <c r="L2670">
        <v>30</v>
      </c>
      <c r="M2670">
        <v>120</v>
      </c>
      <c r="N2670">
        <f>IF(COUNTIFS($B$2:B2670,B2670)=1,1,0)</f>
        <v>0</v>
      </c>
    </row>
    <row r="2671" spans="1:14" x14ac:dyDescent="0.2">
      <c r="A2671">
        <v>2670</v>
      </c>
      <c r="B2671">
        <v>2350</v>
      </c>
      <c r="C2671">
        <f>1/COUNTIF(B:B,Table1[[#This Row],[order_id]])</f>
        <v>1</v>
      </c>
      <c r="D2671" t="str">
        <f>TEXT(Table1[[#This Row],[order_date]],"mmmm")</f>
        <v>July</v>
      </c>
      <c r="E2671" s="1">
        <v>45500</v>
      </c>
      <c r="F2671" s="1" t="str">
        <f>TEXT(Table1[[#This Row],[order_date]],"dddd")</f>
        <v>Saturday</v>
      </c>
      <c r="G2671">
        <f>HOUR(Table1[[#This Row],[order_time]])</f>
        <v>10</v>
      </c>
      <c r="H2671" s="2">
        <v>0.42537037037037034</v>
      </c>
      <c r="I2671" t="s">
        <v>11</v>
      </c>
      <c r="J2671" t="s">
        <v>12</v>
      </c>
      <c r="K2671">
        <v>1</v>
      </c>
      <c r="L2671">
        <v>650</v>
      </c>
      <c r="M2671">
        <v>650</v>
      </c>
      <c r="N2671">
        <f>IF(COUNTIFS($B$2:B2671,B2671)=1,1,0)</f>
        <v>1</v>
      </c>
    </row>
    <row r="2672" spans="1:14" x14ac:dyDescent="0.2">
      <c r="A2672">
        <v>2671</v>
      </c>
      <c r="B2672">
        <v>2351</v>
      </c>
      <c r="C2672">
        <f>1/COUNTIF(B:B,Table1[[#This Row],[order_id]])</f>
        <v>0.5</v>
      </c>
      <c r="D2672" t="str">
        <f>TEXT(Table1[[#This Row],[order_date]],"mmmm")</f>
        <v>July</v>
      </c>
      <c r="E2672" s="1">
        <v>45500</v>
      </c>
      <c r="F2672" s="1" t="str">
        <f>TEXT(Table1[[#This Row],[order_date]],"dddd")</f>
        <v>Saturday</v>
      </c>
      <c r="G2672">
        <f>HOUR(Table1[[#This Row],[order_time]])</f>
        <v>12</v>
      </c>
      <c r="H2672" s="2">
        <v>0.50324074074074077</v>
      </c>
      <c r="I2672" t="s">
        <v>11</v>
      </c>
      <c r="J2672" t="s">
        <v>15</v>
      </c>
      <c r="K2672">
        <v>5</v>
      </c>
      <c r="L2672">
        <v>600</v>
      </c>
      <c r="M2672">
        <v>3000</v>
      </c>
      <c r="N2672">
        <f>IF(COUNTIFS($B$2:B2672,B2672)=1,1,0)</f>
        <v>1</v>
      </c>
    </row>
    <row r="2673" spans="1:14" x14ac:dyDescent="0.2">
      <c r="A2673">
        <v>2672</v>
      </c>
      <c r="B2673">
        <v>2351</v>
      </c>
      <c r="C2673">
        <f>1/COUNTIF(B:B,Table1[[#This Row],[order_id]])</f>
        <v>0.5</v>
      </c>
      <c r="D2673" t="str">
        <f>TEXT(Table1[[#This Row],[order_date]],"mmmm")</f>
        <v>July</v>
      </c>
      <c r="E2673" s="1">
        <v>45500</v>
      </c>
      <c r="F2673" s="1" t="str">
        <f>TEXT(Table1[[#This Row],[order_date]],"dddd")</f>
        <v>Saturday</v>
      </c>
      <c r="G2673">
        <f>HOUR(Table1[[#This Row],[order_time]])</f>
        <v>16</v>
      </c>
      <c r="H2673" s="2">
        <v>0.67663194444444441</v>
      </c>
      <c r="I2673" t="s">
        <v>9</v>
      </c>
      <c r="J2673" t="s">
        <v>20</v>
      </c>
      <c r="K2673">
        <v>1</v>
      </c>
      <c r="L2673">
        <v>25</v>
      </c>
      <c r="M2673">
        <v>25</v>
      </c>
      <c r="N2673">
        <f>IF(COUNTIFS($B$2:B2673,B2673)=1,1,0)</f>
        <v>0</v>
      </c>
    </row>
    <row r="2674" spans="1:14" x14ac:dyDescent="0.2">
      <c r="A2674">
        <v>2673</v>
      </c>
      <c r="B2674">
        <v>2352</v>
      </c>
      <c r="C2674">
        <f>1/COUNTIF(B:B,Table1[[#This Row],[order_id]])</f>
        <v>0.33333333333333331</v>
      </c>
      <c r="D2674" t="str">
        <f>TEXT(Table1[[#This Row],[order_date]],"mmmm")</f>
        <v>July</v>
      </c>
      <c r="E2674" s="1">
        <v>45500</v>
      </c>
      <c r="F2674" s="1" t="str">
        <f>TEXT(Table1[[#This Row],[order_date]],"dddd")</f>
        <v>Saturday</v>
      </c>
      <c r="G2674">
        <f>HOUR(Table1[[#This Row],[order_time]])</f>
        <v>16</v>
      </c>
      <c r="H2674" s="2">
        <v>0.6721759259259259</v>
      </c>
      <c r="I2674" t="s">
        <v>11</v>
      </c>
      <c r="J2674" t="s">
        <v>25</v>
      </c>
      <c r="K2674">
        <v>5</v>
      </c>
      <c r="L2674">
        <v>1000</v>
      </c>
      <c r="M2674">
        <v>5000</v>
      </c>
      <c r="N2674">
        <f>IF(COUNTIFS($B$2:B2674,B2674)=1,1,0)</f>
        <v>1</v>
      </c>
    </row>
    <row r="2675" spans="1:14" x14ac:dyDescent="0.2">
      <c r="A2675">
        <v>2674</v>
      </c>
      <c r="B2675">
        <v>2352</v>
      </c>
      <c r="C2675">
        <f>1/COUNTIF(B:B,Table1[[#This Row],[order_id]])</f>
        <v>0.33333333333333331</v>
      </c>
      <c r="D2675" t="str">
        <f>TEXT(Table1[[#This Row],[order_date]],"mmmm")</f>
        <v>July</v>
      </c>
      <c r="E2675" s="1">
        <v>45500</v>
      </c>
      <c r="F2675" s="1" t="str">
        <f>TEXT(Table1[[#This Row],[order_date]],"dddd")</f>
        <v>Saturday</v>
      </c>
      <c r="G2675">
        <f>HOUR(Table1[[#This Row],[order_time]])</f>
        <v>11</v>
      </c>
      <c r="H2675" s="2">
        <v>0.49660879629629628</v>
      </c>
      <c r="I2675" t="s">
        <v>16</v>
      </c>
      <c r="J2675" t="s">
        <v>24</v>
      </c>
      <c r="K2675">
        <v>4</v>
      </c>
      <c r="L2675">
        <v>35</v>
      </c>
      <c r="M2675">
        <v>140</v>
      </c>
      <c r="N2675">
        <f>IF(COUNTIFS($B$2:B2675,B2675)=1,1,0)</f>
        <v>0</v>
      </c>
    </row>
    <row r="2676" spans="1:14" x14ac:dyDescent="0.2">
      <c r="A2676">
        <v>2675</v>
      </c>
      <c r="B2676">
        <v>2352</v>
      </c>
      <c r="C2676">
        <f>1/COUNTIF(B:B,Table1[[#This Row],[order_id]])</f>
        <v>0.33333333333333331</v>
      </c>
      <c r="D2676" t="str">
        <f>TEXT(Table1[[#This Row],[order_date]],"mmmm")</f>
        <v>July</v>
      </c>
      <c r="E2676" s="1">
        <v>45500</v>
      </c>
      <c r="F2676" s="1" t="str">
        <f>TEXT(Table1[[#This Row],[order_date]],"dddd")</f>
        <v>Saturday</v>
      </c>
      <c r="G2676">
        <f>HOUR(Table1[[#This Row],[order_time]])</f>
        <v>9</v>
      </c>
      <c r="H2676" s="2">
        <v>0.41516203703703702</v>
      </c>
      <c r="I2676" t="s">
        <v>16</v>
      </c>
      <c r="J2676" t="s">
        <v>24</v>
      </c>
      <c r="K2676">
        <v>3</v>
      </c>
      <c r="L2676">
        <v>35</v>
      </c>
      <c r="M2676">
        <v>105</v>
      </c>
      <c r="N2676">
        <f>IF(COUNTIFS($B$2:B2676,B2676)=1,1,0)</f>
        <v>0</v>
      </c>
    </row>
    <row r="2677" spans="1:14" x14ac:dyDescent="0.2">
      <c r="A2677">
        <v>2676</v>
      </c>
      <c r="B2677">
        <v>2353</v>
      </c>
      <c r="C2677">
        <f>1/COUNTIF(B:B,Table1[[#This Row],[order_id]])</f>
        <v>1</v>
      </c>
      <c r="D2677" t="str">
        <f>TEXT(Table1[[#This Row],[order_date]],"mmmm")</f>
        <v>July</v>
      </c>
      <c r="E2677" s="1">
        <v>45500</v>
      </c>
      <c r="F2677" s="1" t="str">
        <f>TEXT(Table1[[#This Row],[order_date]],"dddd")</f>
        <v>Saturday</v>
      </c>
      <c r="G2677">
        <f>HOUR(Table1[[#This Row],[order_time]])</f>
        <v>18</v>
      </c>
      <c r="H2677" s="2">
        <v>0.76472222222222219</v>
      </c>
      <c r="I2677" t="s">
        <v>16</v>
      </c>
      <c r="J2677" t="s">
        <v>28</v>
      </c>
      <c r="K2677">
        <v>3</v>
      </c>
      <c r="L2677">
        <v>25</v>
      </c>
      <c r="M2677">
        <v>75</v>
      </c>
      <c r="N2677">
        <f>IF(COUNTIFS($B$2:B2677,B2677)=1,1,0)</f>
        <v>1</v>
      </c>
    </row>
    <row r="2678" spans="1:14" x14ac:dyDescent="0.2">
      <c r="A2678">
        <v>2677</v>
      </c>
      <c r="B2678">
        <v>2354</v>
      </c>
      <c r="C2678">
        <f>1/COUNTIF(B:B,Table1[[#This Row],[order_id]])</f>
        <v>0.5</v>
      </c>
      <c r="D2678" t="str">
        <f>TEXT(Table1[[#This Row],[order_date]],"mmmm")</f>
        <v>July</v>
      </c>
      <c r="E2678" s="1">
        <v>45500</v>
      </c>
      <c r="F2678" s="1" t="str">
        <f>TEXT(Table1[[#This Row],[order_date]],"dddd")</f>
        <v>Saturday</v>
      </c>
      <c r="G2678">
        <f>HOUR(Table1[[#This Row],[order_time]])</f>
        <v>18</v>
      </c>
      <c r="H2678" s="2">
        <v>0.7836805555555556</v>
      </c>
      <c r="I2678" t="s">
        <v>11</v>
      </c>
      <c r="J2678" t="s">
        <v>14</v>
      </c>
      <c r="K2678">
        <v>4</v>
      </c>
      <c r="L2678">
        <v>700</v>
      </c>
      <c r="M2678">
        <v>2800</v>
      </c>
      <c r="N2678">
        <f>IF(COUNTIFS($B$2:B2678,B2678)=1,1,0)</f>
        <v>1</v>
      </c>
    </row>
    <row r="2679" spans="1:14" x14ac:dyDescent="0.2">
      <c r="A2679">
        <v>2678</v>
      </c>
      <c r="B2679">
        <v>2354</v>
      </c>
      <c r="C2679">
        <f>1/COUNTIF(B:B,Table1[[#This Row],[order_id]])</f>
        <v>0.5</v>
      </c>
      <c r="D2679" t="str">
        <f>TEXT(Table1[[#This Row],[order_date]],"mmmm")</f>
        <v>July</v>
      </c>
      <c r="E2679" s="1">
        <v>45500</v>
      </c>
      <c r="F2679" s="1" t="str">
        <f>TEXT(Table1[[#This Row],[order_date]],"dddd")</f>
        <v>Saturday</v>
      </c>
      <c r="G2679">
        <f>HOUR(Table1[[#This Row],[order_time]])</f>
        <v>17</v>
      </c>
      <c r="H2679" s="2">
        <v>0.74557870370370372</v>
      </c>
      <c r="I2679" t="s">
        <v>18</v>
      </c>
      <c r="J2679" t="s">
        <v>31</v>
      </c>
      <c r="K2679">
        <v>1</v>
      </c>
      <c r="L2679">
        <v>45</v>
      </c>
      <c r="M2679">
        <v>45</v>
      </c>
      <c r="N2679">
        <f>IF(COUNTIFS($B$2:B2679,B2679)=1,1,0)</f>
        <v>0</v>
      </c>
    </row>
    <row r="2680" spans="1:14" x14ac:dyDescent="0.2">
      <c r="A2680">
        <v>2679</v>
      </c>
      <c r="B2680">
        <v>2355</v>
      </c>
      <c r="C2680">
        <f>1/COUNTIF(B:B,Table1[[#This Row],[order_id]])</f>
        <v>0.5</v>
      </c>
      <c r="D2680" t="str">
        <f>TEXT(Table1[[#This Row],[order_date]],"mmmm")</f>
        <v>July</v>
      </c>
      <c r="E2680" s="1">
        <v>45501</v>
      </c>
      <c r="F2680" s="1" t="str">
        <f>TEXT(Table1[[#This Row],[order_date]],"dddd")</f>
        <v>Sunday</v>
      </c>
      <c r="G2680">
        <f>HOUR(Table1[[#This Row],[order_time]])</f>
        <v>14</v>
      </c>
      <c r="H2680" s="2">
        <v>0.6197569444444444</v>
      </c>
      <c r="I2680" t="s">
        <v>18</v>
      </c>
      <c r="J2680" t="s">
        <v>30</v>
      </c>
      <c r="K2680">
        <v>5</v>
      </c>
      <c r="L2680">
        <v>60</v>
      </c>
      <c r="M2680">
        <v>300</v>
      </c>
      <c r="N2680">
        <f>IF(COUNTIFS($B$2:B2680,B2680)=1,1,0)</f>
        <v>1</v>
      </c>
    </row>
    <row r="2681" spans="1:14" x14ac:dyDescent="0.2">
      <c r="A2681">
        <v>2680</v>
      </c>
      <c r="B2681">
        <v>2355</v>
      </c>
      <c r="C2681">
        <f>1/COUNTIF(B:B,Table1[[#This Row],[order_id]])</f>
        <v>0.5</v>
      </c>
      <c r="D2681" t="str">
        <f>TEXT(Table1[[#This Row],[order_date]],"mmmm")</f>
        <v>July</v>
      </c>
      <c r="E2681" s="1">
        <v>45501</v>
      </c>
      <c r="F2681" s="1" t="str">
        <f>TEXT(Table1[[#This Row],[order_date]],"dddd")</f>
        <v>Sunday</v>
      </c>
      <c r="G2681">
        <f>HOUR(Table1[[#This Row],[order_time]])</f>
        <v>18</v>
      </c>
      <c r="H2681" s="2">
        <v>0.78651620370370368</v>
      </c>
      <c r="I2681" t="s">
        <v>9</v>
      </c>
      <c r="J2681" t="s">
        <v>20</v>
      </c>
      <c r="K2681">
        <v>5</v>
      </c>
      <c r="L2681">
        <v>25</v>
      </c>
      <c r="M2681">
        <v>125</v>
      </c>
      <c r="N2681">
        <f>IF(COUNTIFS($B$2:B2681,B2681)=1,1,0)</f>
        <v>0</v>
      </c>
    </row>
    <row r="2682" spans="1:14" x14ac:dyDescent="0.2">
      <c r="A2682">
        <v>2681</v>
      </c>
      <c r="B2682">
        <v>2356</v>
      </c>
      <c r="C2682">
        <f>1/COUNTIF(B:B,Table1[[#This Row],[order_id]])</f>
        <v>1</v>
      </c>
      <c r="D2682" t="str">
        <f>TEXT(Table1[[#This Row],[order_date]],"mmmm")</f>
        <v>July</v>
      </c>
      <c r="E2682" s="1">
        <v>45501</v>
      </c>
      <c r="F2682" s="1" t="str">
        <f>TEXT(Table1[[#This Row],[order_date]],"dddd")</f>
        <v>Sunday</v>
      </c>
      <c r="G2682">
        <f>HOUR(Table1[[#This Row],[order_time]])</f>
        <v>10</v>
      </c>
      <c r="H2682" s="2">
        <v>0.43026620370370372</v>
      </c>
      <c r="I2682" t="s">
        <v>16</v>
      </c>
      <c r="J2682" t="s">
        <v>17</v>
      </c>
      <c r="K2682">
        <v>1</v>
      </c>
      <c r="L2682">
        <v>20</v>
      </c>
      <c r="M2682">
        <v>20</v>
      </c>
      <c r="N2682">
        <f>IF(COUNTIFS($B$2:B2682,B2682)=1,1,0)</f>
        <v>1</v>
      </c>
    </row>
    <row r="2683" spans="1:14" x14ac:dyDescent="0.2">
      <c r="A2683">
        <v>2682</v>
      </c>
      <c r="B2683">
        <v>2357</v>
      </c>
      <c r="C2683">
        <f>1/COUNTIF(B:B,Table1[[#This Row],[order_id]])</f>
        <v>1</v>
      </c>
      <c r="D2683" t="str">
        <f>TEXT(Table1[[#This Row],[order_date]],"mmmm")</f>
        <v>July</v>
      </c>
      <c r="E2683" s="1">
        <v>45501</v>
      </c>
      <c r="F2683" s="1" t="str">
        <f>TEXT(Table1[[#This Row],[order_date]],"dddd")</f>
        <v>Sunday</v>
      </c>
      <c r="G2683">
        <f>HOUR(Table1[[#This Row],[order_time]])</f>
        <v>9</v>
      </c>
      <c r="H2683" s="2">
        <v>0.4088310185185185</v>
      </c>
      <c r="I2683" t="s">
        <v>9</v>
      </c>
      <c r="J2683" t="s">
        <v>22</v>
      </c>
      <c r="K2683">
        <v>4</v>
      </c>
      <c r="L2683">
        <v>15</v>
      </c>
      <c r="M2683">
        <v>60</v>
      </c>
      <c r="N2683">
        <f>IF(COUNTIFS($B$2:B2683,B2683)=1,1,0)</f>
        <v>1</v>
      </c>
    </row>
    <row r="2684" spans="1:14" x14ac:dyDescent="0.2">
      <c r="A2684">
        <v>2683</v>
      </c>
      <c r="B2684">
        <v>2358</v>
      </c>
      <c r="C2684">
        <f>1/COUNTIF(B:B,Table1[[#This Row],[order_id]])</f>
        <v>1</v>
      </c>
      <c r="D2684" t="str">
        <f>TEXT(Table1[[#This Row],[order_date]],"mmmm")</f>
        <v>July</v>
      </c>
      <c r="E2684" s="1">
        <v>45501</v>
      </c>
      <c r="F2684" s="1" t="str">
        <f>TEXT(Table1[[#This Row],[order_date]],"dddd")</f>
        <v>Sunday</v>
      </c>
      <c r="G2684">
        <f>HOUR(Table1[[#This Row],[order_time]])</f>
        <v>14</v>
      </c>
      <c r="H2684" s="2">
        <v>0.61423611111111109</v>
      </c>
      <c r="I2684" t="s">
        <v>16</v>
      </c>
      <c r="J2684" t="s">
        <v>17</v>
      </c>
      <c r="K2684">
        <v>4</v>
      </c>
      <c r="L2684">
        <v>20</v>
      </c>
      <c r="M2684">
        <v>80</v>
      </c>
      <c r="N2684">
        <f>IF(COUNTIFS($B$2:B2684,B2684)=1,1,0)</f>
        <v>1</v>
      </c>
    </row>
    <row r="2685" spans="1:14" x14ac:dyDescent="0.2">
      <c r="A2685">
        <v>2684</v>
      </c>
      <c r="B2685">
        <v>2359</v>
      </c>
      <c r="C2685">
        <f>1/COUNTIF(B:B,Table1[[#This Row],[order_id]])</f>
        <v>0.5</v>
      </c>
      <c r="D2685" t="str">
        <f>TEXT(Table1[[#This Row],[order_date]],"mmmm")</f>
        <v>July</v>
      </c>
      <c r="E2685" s="1">
        <v>45501</v>
      </c>
      <c r="F2685" s="1" t="str">
        <f>TEXT(Table1[[#This Row],[order_date]],"dddd")</f>
        <v>Sunday</v>
      </c>
      <c r="G2685">
        <f>HOUR(Table1[[#This Row],[order_time]])</f>
        <v>11</v>
      </c>
      <c r="H2685" s="2">
        <v>0.49480324074074072</v>
      </c>
      <c r="I2685" t="s">
        <v>9</v>
      </c>
      <c r="J2685" t="s">
        <v>29</v>
      </c>
      <c r="K2685">
        <v>3</v>
      </c>
      <c r="L2685">
        <v>5</v>
      </c>
      <c r="M2685">
        <v>15</v>
      </c>
      <c r="N2685">
        <f>IF(COUNTIFS($B$2:B2685,B2685)=1,1,0)</f>
        <v>1</v>
      </c>
    </row>
    <row r="2686" spans="1:14" x14ac:dyDescent="0.2">
      <c r="A2686">
        <v>2685</v>
      </c>
      <c r="B2686">
        <v>2359</v>
      </c>
      <c r="C2686">
        <f>1/COUNTIF(B:B,Table1[[#This Row],[order_id]])</f>
        <v>0.5</v>
      </c>
      <c r="D2686" t="str">
        <f>TEXT(Table1[[#This Row],[order_date]],"mmmm")</f>
        <v>July</v>
      </c>
      <c r="E2686" s="1">
        <v>45501</v>
      </c>
      <c r="F2686" s="1" t="str">
        <f>TEXT(Table1[[#This Row],[order_date]],"dddd")</f>
        <v>Sunday</v>
      </c>
      <c r="G2686">
        <f>HOUR(Table1[[#This Row],[order_time]])</f>
        <v>14</v>
      </c>
      <c r="H2686" s="2">
        <v>0.59719907407407402</v>
      </c>
      <c r="I2686" t="s">
        <v>18</v>
      </c>
      <c r="J2686" t="s">
        <v>19</v>
      </c>
      <c r="K2686">
        <v>4</v>
      </c>
      <c r="L2686">
        <v>50</v>
      </c>
      <c r="M2686">
        <v>200</v>
      </c>
      <c r="N2686">
        <f>IF(COUNTIFS($B$2:B2686,B2686)=1,1,0)</f>
        <v>0</v>
      </c>
    </row>
    <row r="2687" spans="1:14" x14ac:dyDescent="0.2">
      <c r="A2687">
        <v>2686</v>
      </c>
      <c r="B2687">
        <v>2360</v>
      </c>
      <c r="C2687">
        <f>1/COUNTIF(B:B,Table1[[#This Row],[order_id]])</f>
        <v>1</v>
      </c>
      <c r="D2687" t="str">
        <f>TEXT(Table1[[#This Row],[order_date]],"mmmm")</f>
        <v>July</v>
      </c>
      <c r="E2687" s="1">
        <v>45501</v>
      </c>
      <c r="F2687" s="1" t="str">
        <f>TEXT(Table1[[#This Row],[order_date]],"dddd")</f>
        <v>Sunday</v>
      </c>
      <c r="G2687">
        <f>HOUR(Table1[[#This Row],[order_time]])</f>
        <v>16</v>
      </c>
      <c r="H2687" s="2">
        <v>0.69146990740740744</v>
      </c>
      <c r="I2687" t="s">
        <v>11</v>
      </c>
      <c r="J2687" t="s">
        <v>14</v>
      </c>
      <c r="K2687">
        <v>4</v>
      </c>
      <c r="L2687">
        <v>700</v>
      </c>
      <c r="M2687">
        <v>2800</v>
      </c>
      <c r="N2687">
        <f>IF(COUNTIFS($B$2:B2687,B2687)=1,1,0)</f>
        <v>1</v>
      </c>
    </row>
    <row r="2688" spans="1:14" x14ac:dyDescent="0.2">
      <c r="A2688">
        <v>2687</v>
      </c>
      <c r="B2688">
        <v>2361</v>
      </c>
      <c r="C2688">
        <f>1/COUNTIF(B:B,Table1[[#This Row],[order_id]])</f>
        <v>1</v>
      </c>
      <c r="D2688" t="str">
        <f>TEXT(Table1[[#This Row],[order_date]],"mmmm")</f>
        <v>July</v>
      </c>
      <c r="E2688" s="1">
        <v>45502</v>
      </c>
      <c r="F2688" s="1" t="str">
        <f>TEXT(Table1[[#This Row],[order_date]],"dddd")</f>
        <v>Monday</v>
      </c>
      <c r="G2688">
        <f>HOUR(Table1[[#This Row],[order_time]])</f>
        <v>19</v>
      </c>
      <c r="H2688" s="2">
        <v>0.79202546296296295</v>
      </c>
      <c r="I2688" t="s">
        <v>11</v>
      </c>
      <c r="J2688" t="s">
        <v>12</v>
      </c>
      <c r="K2688">
        <v>4</v>
      </c>
      <c r="L2688">
        <v>650</v>
      </c>
      <c r="M2688">
        <v>2600</v>
      </c>
      <c r="N2688">
        <f>IF(COUNTIFS($B$2:B2688,B2688)=1,1,0)</f>
        <v>1</v>
      </c>
    </row>
    <row r="2689" spans="1:14" x14ac:dyDescent="0.2">
      <c r="A2689">
        <v>2688</v>
      </c>
      <c r="B2689">
        <v>2362</v>
      </c>
      <c r="C2689">
        <f>1/COUNTIF(B:B,Table1[[#This Row],[order_id]])</f>
        <v>0.5</v>
      </c>
      <c r="D2689" t="str">
        <f>TEXT(Table1[[#This Row],[order_date]],"mmmm")</f>
        <v>July</v>
      </c>
      <c r="E2689" s="1">
        <v>45502</v>
      </c>
      <c r="F2689" s="1" t="str">
        <f>TEXT(Table1[[#This Row],[order_date]],"dddd")</f>
        <v>Monday</v>
      </c>
      <c r="G2689">
        <f>HOUR(Table1[[#This Row],[order_time]])</f>
        <v>17</v>
      </c>
      <c r="H2689" s="2">
        <v>0.74899305555555551</v>
      </c>
      <c r="I2689" t="s">
        <v>16</v>
      </c>
      <c r="J2689" t="s">
        <v>28</v>
      </c>
      <c r="K2689">
        <v>3</v>
      </c>
      <c r="L2689">
        <v>25</v>
      </c>
      <c r="M2689">
        <v>75</v>
      </c>
      <c r="N2689">
        <f>IF(COUNTIFS($B$2:B2689,B2689)=1,1,0)</f>
        <v>1</v>
      </c>
    </row>
    <row r="2690" spans="1:14" x14ac:dyDescent="0.2">
      <c r="A2690">
        <v>2689</v>
      </c>
      <c r="B2690">
        <v>2362</v>
      </c>
      <c r="C2690">
        <f>1/COUNTIF(B:B,Table1[[#This Row],[order_id]])</f>
        <v>0.5</v>
      </c>
      <c r="D2690" t="str">
        <f>TEXT(Table1[[#This Row],[order_date]],"mmmm")</f>
        <v>July</v>
      </c>
      <c r="E2690" s="1">
        <v>45502</v>
      </c>
      <c r="F2690" s="1" t="str">
        <f>TEXT(Table1[[#This Row],[order_date]],"dddd")</f>
        <v>Monday</v>
      </c>
      <c r="G2690">
        <f>HOUR(Table1[[#This Row],[order_time]])</f>
        <v>20</v>
      </c>
      <c r="H2690" s="2">
        <v>0.85819444444444448</v>
      </c>
      <c r="I2690" t="s">
        <v>18</v>
      </c>
      <c r="J2690" t="s">
        <v>31</v>
      </c>
      <c r="K2690">
        <v>4</v>
      </c>
      <c r="L2690">
        <v>45</v>
      </c>
      <c r="M2690">
        <v>180</v>
      </c>
      <c r="N2690">
        <f>IF(COUNTIFS($B$2:B2690,B2690)=1,1,0)</f>
        <v>0</v>
      </c>
    </row>
    <row r="2691" spans="1:14" x14ac:dyDescent="0.2">
      <c r="A2691">
        <v>2690</v>
      </c>
      <c r="B2691">
        <v>2363</v>
      </c>
      <c r="C2691">
        <f>1/COUNTIF(B:B,Table1[[#This Row],[order_id]])</f>
        <v>0.5</v>
      </c>
      <c r="D2691" t="str">
        <f>TEXT(Table1[[#This Row],[order_date]],"mmmm")</f>
        <v>July</v>
      </c>
      <c r="E2691" s="1">
        <v>45502</v>
      </c>
      <c r="F2691" s="1" t="str">
        <f>TEXT(Table1[[#This Row],[order_date]],"dddd")</f>
        <v>Monday</v>
      </c>
      <c r="G2691">
        <f>HOUR(Table1[[#This Row],[order_time]])</f>
        <v>15</v>
      </c>
      <c r="H2691" s="2">
        <v>0.63930555555555557</v>
      </c>
      <c r="I2691" t="s">
        <v>16</v>
      </c>
      <c r="J2691" t="s">
        <v>23</v>
      </c>
      <c r="K2691">
        <v>4</v>
      </c>
      <c r="L2691">
        <v>30</v>
      </c>
      <c r="M2691">
        <v>120</v>
      </c>
      <c r="N2691">
        <f>IF(COUNTIFS($B$2:B2691,B2691)=1,1,0)</f>
        <v>1</v>
      </c>
    </row>
    <row r="2692" spans="1:14" x14ac:dyDescent="0.2">
      <c r="A2692">
        <v>2691</v>
      </c>
      <c r="B2692">
        <v>2363</v>
      </c>
      <c r="C2692">
        <f>1/COUNTIF(B:B,Table1[[#This Row],[order_id]])</f>
        <v>0.5</v>
      </c>
      <c r="D2692" t="str">
        <f>TEXT(Table1[[#This Row],[order_date]],"mmmm")</f>
        <v>July</v>
      </c>
      <c r="E2692" s="1">
        <v>45502</v>
      </c>
      <c r="F2692" s="1" t="str">
        <f>TEXT(Table1[[#This Row],[order_date]],"dddd")</f>
        <v>Monday</v>
      </c>
      <c r="G2692">
        <f>HOUR(Table1[[#This Row],[order_time]])</f>
        <v>13</v>
      </c>
      <c r="H2692" s="2">
        <v>0.5569560185185185</v>
      </c>
      <c r="I2692" t="s">
        <v>9</v>
      </c>
      <c r="J2692" t="s">
        <v>10</v>
      </c>
      <c r="K2692">
        <v>3</v>
      </c>
      <c r="L2692">
        <v>20</v>
      </c>
      <c r="M2692">
        <v>60</v>
      </c>
      <c r="N2692">
        <f>IF(COUNTIFS($B$2:B2692,B2692)=1,1,0)</f>
        <v>0</v>
      </c>
    </row>
    <row r="2693" spans="1:14" x14ac:dyDescent="0.2">
      <c r="A2693">
        <v>2692</v>
      </c>
      <c r="B2693">
        <v>2364</v>
      </c>
      <c r="C2693">
        <f>1/COUNTIF(B:B,Table1[[#This Row],[order_id]])</f>
        <v>1</v>
      </c>
      <c r="D2693" t="str">
        <f>TEXT(Table1[[#This Row],[order_date]],"mmmm")</f>
        <v>July</v>
      </c>
      <c r="E2693" s="1">
        <v>45503</v>
      </c>
      <c r="F2693" s="1" t="str">
        <f>TEXT(Table1[[#This Row],[order_date]],"dddd")</f>
        <v>Tuesday</v>
      </c>
      <c r="G2693">
        <f>HOUR(Table1[[#This Row],[order_time]])</f>
        <v>13</v>
      </c>
      <c r="H2693" s="2">
        <v>0.56981481481481477</v>
      </c>
      <c r="I2693" t="s">
        <v>18</v>
      </c>
      <c r="J2693" t="s">
        <v>26</v>
      </c>
      <c r="K2693">
        <v>2</v>
      </c>
      <c r="L2693">
        <v>55</v>
      </c>
      <c r="M2693">
        <v>110</v>
      </c>
      <c r="N2693">
        <f>IF(COUNTIFS($B$2:B2693,B2693)=1,1,0)</f>
        <v>1</v>
      </c>
    </row>
    <row r="2694" spans="1:14" x14ac:dyDescent="0.2">
      <c r="A2694">
        <v>2693</v>
      </c>
      <c r="B2694">
        <v>2365</v>
      </c>
      <c r="C2694">
        <f>1/COUNTIF(B:B,Table1[[#This Row],[order_id]])</f>
        <v>0.33333333333333331</v>
      </c>
      <c r="D2694" t="str">
        <f>TEXT(Table1[[#This Row],[order_date]],"mmmm")</f>
        <v>July</v>
      </c>
      <c r="E2694" s="1">
        <v>45503</v>
      </c>
      <c r="F2694" s="1" t="str">
        <f>TEXT(Table1[[#This Row],[order_date]],"dddd")</f>
        <v>Tuesday</v>
      </c>
      <c r="G2694">
        <f>HOUR(Table1[[#This Row],[order_time]])</f>
        <v>16</v>
      </c>
      <c r="H2694" s="2">
        <v>0.67787037037037035</v>
      </c>
      <c r="I2694" t="s">
        <v>9</v>
      </c>
      <c r="J2694" t="s">
        <v>10</v>
      </c>
      <c r="K2694">
        <v>2</v>
      </c>
      <c r="L2694">
        <v>20</v>
      </c>
      <c r="M2694">
        <v>40</v>
      </c>
      <c r="N2694">
        <f>IF(COUNTIFS($B$2:B2694,B2694)=1,1,0)</f>
        <v>1</v>
      </c>
    </row>
    <row r="2695" spans="1:14" x14ac:dyDescent="0.2">
      <c r="A2695">
        <v>2694</v>
      </c>
      <c r="B2695">
        <v>2365</v>
      </c>
      <c r="C2695">
        <f>1/COUNTIF(B:B,Table1[[#This Row],[order_id]])</f>
        <v>0.33333333333333331</v>
      </c>
      <c r="D2695" t="str">
        <f>TEXT(Table1[[#This Row],[order_date]],"mmmm")</f>
        <v>July</v>
      </c>
      <c r="E2695" s="1">
        <v>45503</v>
      </c>
      <c r="F2695" s="1" t="str">
        <f>TEXT(Table1[[#This Row],[order_date]],"dddd")</f>
        <v>Tuesday</v>
      </c>
      <c r="G2695">
        <f>HOUR(Table1[[#This Row],[order_time]])</f>
        <v>10</v>
      </c>
      <c r="H2695" s="2">
        <v>0.43321759259259257</v>
      </c>
      <c r="I2695" t="s">
        <v>11</v>
      </c>
      <c r="J2695" t="s">
        <v>25</v>
      </c>
      <c r="K2695">
        <v>5</v>
      </c>
      <c r="L2695">
        <v>1000</v>
      </c>
      <c r="M2695">
        <v>5000</v>
      </c>
      <c r="N2695">
        <f>IF(COUNTIFS($B$2:B2695,B2695)=1,1,0)</f>
        <v>0</v>
      </c>
    </row>
    <row r="2696" spans="1:14" x14ac:dyDescent="0.2">
      <c r="A2696">
        <v>2695</v>
      </c>
      <c r="B2696">
        <v>2365</v>
      </c>
      <c r="C2696">
        <f>1/COUNTIF(B:B,Table1[[#This Row],[order_id]])</f>
        <v>0.33333333333333331</v>
      </c>
      <c r="D2696" t="str">
        <f>TEXT(Table1[[#This Row],[order_date]],"mmmm")</f>
        <v>July</v>
      </c>
      <c r="E2696" s="1">
        <v>45503</v>
      </c>
      <c r="F2696" s="1" t="str">
        <f>TEXT(Table1[[#This Row],[order_date]],"dddd")</f>
        <v>Tuesday</v>
      </c>
      <c r="G2696">
        <f>HOUR(Table1[[#This Row],[order_time]])</f>
        <v>14</v>
      </c>
      <c r="H2696" s="2">
        <v>0.6234143518518519</v>
      </c>
      <c r="I2696" t="s">
        <v>16</v>
      </c>
      <c r="J2696" t="s">
        <v>17</v>
      </c>
      <c r="K2696">
        <v>3</v>
      </c>
      <c r="L2696">
        <v>20</v>
      </c>
      <c r="M2696">
        <v>60</v>
      </c>
      <c r="N2696">
        <f>IF(COUNTIFS($B$2:B2696,B2696)=1,1,0)</f>
        <v>0</v>
      </c>
    </row>
    <row r="2697" spans="1:14" x14ac:dyDescent="0.2">
      <c r="A2697">
        <v>2696</v>
      </c>
      <c r="B2697">
        <v>2366</v>
      </c>
      <c r="C2697">
        <f>1/COUNTIF(B:B,Table1[[#This Row],[order_id]])</f>
        <v>0.33333333333333331</v>
      </c>
      <c r="D2697" t="str">
        <f>TEXT(Table1[[#This Row],[order_date]],"mmmm")</f>
        <v>July</v>
      </c>
      <c r="E2697" s="1">
        <v>45503</v>
      </c>
      <c r="F2697" s="1" t="str">
        <f>TEXT(Table1[[#This Row],[order_date]],"dddd")</f>
        <v>Tuesday</v>
      </c>
      <c r="G2697">
        <f>HOUR(Table1[[#This Row],[order_time]])</f>
        <v>16</v>
      </c>
      <c r="H2697" s="2">
        <v>0.69734953703703706</v>
      </c>
      <c r="I2697" t="s">
        <v>18</v>
      </c>
      <c r="J2697" t="s">
        <v>27</v>
      </c>
      <c r="K2697">
        <v>2</v>
      </c>
      <c r="L2697">
        <v>40</v>
      </c>
      <c r="M2697">
        <v>80</v>
      </c>
      <c r="N2697">
        <f>IF(COUNTIFS($B$2:B2697,B2697)=1,1,0)</f>
        <v>1</v>
      </c>
    </row>
    <row r="2698" spans="1:14" x14ac:dyDescent="0.2">
      <c r="A2698">
        <v>2697</v>
      </c>
      <c r="B2698">
        <v>2366</v>
      </c>
      <c r="C2698">
        <f>1/COUNTIF(B:B,Table1[[#This Row],[order_id]])</f>
        <v>0.33333333333333331</v>
      </c>
      <c r="D2698" t="str">
        <f>TEXT(Table1[[#This Row],[order_date]],"mmmm")</f>
        <v>July</v>
      </c>
      <c r="E2698" s="1">
        <v>45503</v>
      </c>
      <c r="F2698" s="1" t="str">
        <f>TEXT(Table1[[#This Row],[order_date]],"dddd")</f>
        <v>Tuesday</v>
      </c>
      <c r="G2698">
        <f>HOUR(Table1[[#This Row],[order_time]])</f>
        <v>15</v>
      </c>
      <c r="H2698" s="2">
        <v>0.64781250000000001</v>
      </c>
      <c r="I2698" t="s">
        <v>9</v>
      </c>
      <c r="J2698" t="s">
        <v>10</v>
      </c>
      <c r="K2698">
        <v>1</v>
      </c>
      <c r="L2698">
        <v>20</v>
      </c>
      <c r="M2698">
        <v>20</v>
      </c>
      <c r="N2698">
        <f>IF(COUNTIFS($B$2:B2698,B2698)=1,1,0)</f>
        <v>0</v>
      </c>
    </row>
    <row r="2699" spans="1:14" x14ac:dyDescent="0.2">
      <c r="A2699">
        <v>2698</v>
      </c>
      <c r="B2699">
        <v>2366</v>
      </c>
      <c r="C2699">
        <f>1/COUNTIF(B:B,Table1[[#This Row],[order_id]])</f>
        <v>0.33333333333333331</v>
      </c>
      <c r="D2699" t="str">
        <f>TEXT(Table1[[#This Row],[order_date]],"mmmm")</f>
        <v>July</v>
      </c>
      <c r="E2699" s="1">
        <v>45503</v>
      </c>
      <c r="F2699" s="1" t="str">
        <f>TEXT(Table1[[#This Row],[order_date]],"dddd")</f>
        <v>Tuesday</v>
      </c>
      <c r="G2699">
        <f>HOUR(Table1[[#This Row],[order_time]])</f>
        <v>11</v>
      </c>
      <c r="H2699" s="2">
        <v>0.47021990740740743</v>
      </c>
      <c r="I2699" t="s">
        <v>18</v>
      </c>
      <c r="J2699" t="s">
        <v>31</v>
      </c>
      <c r="K2699">
        <v>3</v>
      </c>
      <c r="L2699">
        <v>45</v>
      </c>
      <c r="M2699">
        <v>135</v>
      </c>
      <c r="N2699">
        <f>IF(COUNTIFS($B$2:B2699,B2699)=1,1,0)</f>
        <v>0</v>
      </c>
    </row>
    <row r="2700" spans="1:14" x14ac:dyDescent="0.2">
      <c r="A2700">
        <v>2699</v>
      </c>
      <c r="B2700">
        <v>2367</v>
      </c>
      <c r="C2700">
        <f>1/COUNTIF(B:B,Table1[[#This Row],[order_id]])</f>
        <v>0.33333333333333331</v>
      </c>
      <c r="D2700" t="str">
        <f>TEXT(Table1[[#This Row],[order_date]],"mmmm")</f>
        <v>July</v>
      </c>
      <c r="E2700" s="1">
        <v>45503</v>
      </c>
      <c r="F2700" s="1" t="str">
        <f>TEXT(Table1[[#This Row],[order_date]],"dddd")</f>
        <v>Tuesday</v>
      </c>
      <c r="G2700">
        <f>HOUR(Table1[[#This Row],[order_time]])</f>
        <v>17</v>
      </c>
      <c r="H2700" s="2">
        <v>0.73466435185185186</v>
      </c>
      <c r="I2700" t="s">
        <v>11</v>
      </c>
      <c r="J2700" t="s">
        <v>15</v>
      </c>
      <c r="K2700">
        <v>3</v>
      </c>
      <c r="L2700">
        <v>600</v>
      </c>
      <c r="M2700">
        <v>1800</v>
      </c>
      <c r="N2700">
        <f>IF(COUNTIFS($B$2:B2700,B2700)=1,1,0)</f>
        <v>1</v>
      </c>
    </row>
    <row r="2701" spans="1:14" x14ac:dyDescent="0.2">
      <c r="A2701">
        <v>2700</v>
      </c>
      <c r="B2701">
        <v>2367</v>
      </c>
      <c r="C2701">
        <f>1/COUNTIF(B:B,Table1[[#This Row],[order_id]])</f>
        <v>0.33333333333333331</v>
      </c>
      <c r="D2701" t="str">
        <f>TEXT(Table1[[#This Row],[order_date]],"mmmm")</f>
        <v>July</v>
      </c>
      <c r="E2701" s="1">
        <v>45503</v>
      </c>
      <c r="F2701" s="1" t="str">
        <f>TEXT(Table1[[#This Row],[order_date]],"dddd")</f>
        <v>Tuesday</v>
      </c>
      <c r="G2701">
        <f>HOUR(Table1[[#This Row],[order_time]])</f>
        <v>9</v>
      </c>
      <c r="H2701" s="2">
        <v>0.39271990740740742</v>
      </c>
      <c r="I2701" t="s">
        <v>9</v>
      </c>
      <c r="J2701" t="s">
        <v>29</v>
      </c>
      <c r="K2701">
        <v>4</v>
      </c>
      <c r="L2701">
        <v>5</v>
      </c>
      <c r="M2701">
        <v>20</v>
      </c>
      <c r="N2701">
        <f>IF(COUNTIFS($B$2:B2701,B2701)=1,1,0)</f>
        <v>0</v>
      </c>
    </row>
    <row r="2702" spans="1:14" x14ac:dyDescent="0.2">
      <c r="A2702">
        <v>2701</v>
      </c>
      <c r="B2702">
        <v>2367</v>
      </c>
      <c r="C2702">
        <f>1/COUNTIF(B:B,Table1[[#This Row],[order_id]])</f>
        <v>0.33333333333333331</v>
      </c>
      <c r="D2702" t="str">
        <f>TEXT(Table1[[#This Row],[order_date]],"mmmm")</f>
        <v>July</v>
      </c>
      <c r="E2702" s="1">
        <v>45503</v>
      </c>
      <c r="F2702" s="1" t="str">
        <f>TEXT(Table1[[#This Row],[order_date]],"dddd")</f>
        <v>Tuesday</v>
      </c>
      <c r="G2702">
        <f>HOUR(Table1[[#This Row],[order_time]])</f>
        <v>15</v>
      </c>
      <c r="H2702" s="2">
        <v>0.63075231481481486</v>
      </c>
      <c r="I2702" t="s">
        <v>9</v>
      </c>
      <c r="J2702" t="s">
        <v>21</v>
      </c>
      <c r="K2702">
        <v>4</v>
      </c>
      <c r="L2702">
        <v>10</v>
      </c>
      <c r="M2702">
        <v>40</v>
      </c>
      <c r="N2702">
        <f>IF(COUNTIFS($B$2:B2702,B2702)=1,1,0)</f>
        <v>0</v>
      </c>
    </row>
    <row r="2703" spans="1:14" x14ac:dyDescent="0.2">
      <c r="A2703">
        <v>2702</v>
      </c>
      <c r="B2703">
        <v>2368</v>
      </c>
      <c r="C2703">
        <f>1/COUNTIF(B:B,Table1[[#This Row],[order_id]])</f>
        <v>1</v>
      </c>
      <c r="D2703" t="str">
        <f>TEXT(Table1[[#This Row],[order_date]],"mmmm")</f>
        <v>July</v>
      </c>
      <c r="E2703" s="1">
        <v>45503</v>
      </c>
      <c r="F2703" s="1" t="str">
        <f>TEXT(Table1[[#This Row],[order_date]],"dddd")</f>
        <v>Tuesday</v>
      </c>
      <c r="G2703">
        <f>HOUR(Table1[[#This Row],[order_time]])</f>
        <v>12</v>
      </c>
      <c r="H2703" s="2">
        <v>0.52846064814814819</v>
      </c>
      <c r="I2703" t="s">
        <v>18</v>
      </c>
      <c r="J2703" t="s">
        <v>31</v>
      </c>
      <c r="K2703">
        <v>2</v>
      </c>
      <c r="L2703">
        <v>45</v>
      </c>
      <c r="M2703">
        <v>90</v>
      </c>
      <c r="N2703">
        <f>IF(COUNTIFS($B$2:B2703,B2703)=1,1,0)</f>
        <v>1</v>
      </c>
    </row>
    <row r="2704" spans="1:14" x14ac:dyDescent="0.2">
      <c r="A2704">
        <v>2703</v>
      </c>
      <c r="B2704">
        <v>2369</v>
      </c>
      <c r="C2704">
        <f>1/COUNTIF(B:B,Table1[[#This Row],[order_id]])</f>
        <v>1</v>
      </c>
      <c r="D2704" t="str">
        <f>TEXT(Table1[[#This Row],[order_date]],"mmmm")</f>
        <v>July</v>
      </c>
      <c r="E2704" s="1">
        <v>45503</v>
      </c>
      <c r="F2704" s="1" t="str">
        <f>TEXT(Table1[[#This Row],[order_date]],"dddd")</f>
        <v>Tuesday</v>
      </c>
      <c r="G2704">
        <f>HOUR(Table1[[#This Row],[order_time]])</f>
        <v>16</v>
      </c>
      <c r="H2704" s="2">
        <v>0.67585648148148147</v>
      </c>
      <c r="I2704" t="s">
        <v>9</v>
      </c>
      <c r="J2704" t="s">
        <v>21</v>
      </c>
      <c r="K2704">
        <v>2</v>
      </c>
      <c r="L2704">
        <v>10</v>
      </c>
      <c r="M2704">
        <v>20</v>
      </c>
      <c r="N2704">
        <f>IF(COUNTIFS($B$2:B2704,B2704)=1,1,0)</f>
        <v>1</v>
      </c>
    </row>
    <row r="2705" spans="1:14" x14ac:dyDescent="0.2">
      <c r="A2705">
        <v>2704</v>
      </c>
      <c r="B2705">
        <v>2370</v>
      </c>
      <c r="C2705">
        <f>1/COUNTIF(B:B,Table1[[#This Row],[order_id]])</f>
        <v>1</v>
      </c>
      <c r="D2705" t="str">
        <f>TEXT(Table1[[#This Row],[order_date]],"mmmm")</f>
        <v>July</v>
      </c>
      <c r="E2705" s="1">
        <v>45504</v>
      </c>
      <c r="F2705" s="1" t="str">
        <f>TEXT(Table1[[#This Row],[order_date]],"dddd")</f>
        <v>Wednesday</v>
      </c>
      <c r="G2705">
        <f>HOUR(Table1[[#This Row],[order_time]])</f>
        <v>9</v>
      </c>
      <c r="H2705" s="2">
        <v>0.41121527777777778</v>
      </c>
      <c r="I2705" t="s">
        <v>18</v>
      </c>
      <c r="J2705" t="s">
        <v>30</v>
      </c>
      <c r="K2705">
        <v>4</v>
      </c>
      <c r="L2705">
        <v>60</v>
      </c>
      <c r="M2705">
        <v>240</v>
      </c>
      <c r="N2705">
        <f>IF(COUNTIFS($B$2:B2705,B2705)=1,1,0)</f>
        <v>1</v>
      </c>
    </row>
    <row r="2706" spans="1:14" x14ac:dyDescent="0.2">
      <c r="A2706">
        <v>2705</v>
      </c>
      <c r="B2706">
        <v>2371</v>
      </c>
      <c r="C2706">
        <f>1/COUNTIF(B:B,Table1[[#This Row],[order_id]])</f>
        <v>0.33333333333333331</v>
      </c>
      <c r="D2706" t="str">
        <f>TEXT(Table1[[#This Row],[order_date]],"mmmm")</f>
        <v>July</v>
      </c>
      <c r="E2706" s="1">
        <v>45504</v>
      </c>
      <c r="F2706" s="1" t="str">
        <f>TEXT(Table1[[#This Row],[order_date]],"dddd")</f>
        <v>Wednesday</v>
      </c>
      <c r="G2706">
        <f>HOUR(Table1[[#This Row],[order_time]])</f>
        <v>10</v>
      </c>
      <c r="H2706" s="2">
        <v>0.44039351851851855</v>
      </c>
      <c r="I2706" t="s">
        <v>16</v>
      </c>
      <c r="J2706" t="s">
        <v>24</v>
      </c>
      <c r="K2706">
        <v>2</v>
      </c>
      <c r="L2706">
        <v>35</v>
      </c>
      <c r="M2706">
        <v>70</v>
      </c>
      <c r="N2706">
        <f>IF(COUNTIFS($B$2:B2706,B2706)=1,1,0)</f>
        <v>1</v>
      </c>
    </row>
    <row r="2707" spans="1:14" x14ac:dyDescent="0.2">
      <c r="A2707">
        <v>2706</v>
      </c>
      <c r="B2707">
        <v>2371</v>
      </c>
      <c r="C2707">
        <f>1/COUNTIF(B:B,Table1[[#This Row],[order_id]])</f>
        <v>0.33333333333333331</v>
      </c>
      <c r="D2707" t="str">
        <f>TEXT(Table1[[#This Row],[order_date]],"mmmm")</f>
        <v>July</v>
      </c>
      <c r="E2707" s="1">
        <v>45504</v>
      </c>
      <c r="F2707" s="1" t="str">
        <f>TEXT(Table1[[#This Row],[order_date]],"dddd")</f>
        <v>Wednesday</v>
      </c>
      <c r="G2707">
        <f>HOUR(Table1[[#This Row],[order_time]])</f>
        <v>14</v>
      </c>
      <c r="H2707" s="2">
        <v>0.60313657407407406</v>
      </c>
      <c r="I2707" t="s">
        <v>11</v>
      </c>
      <c r="J2707" t="s">
        <v>13</v>
      </c>
      <c r="K2707">
        <v>1</v>
      </c>
      <c r="L2707">
        <v>680</v>
      </c>
      <c r="M2707">
        <v>680</v>
      </c>
      <c r="N2707">
        <f>IF(COUNTIFS($B$2:B2707,B2707)=1,1,0)</f>
        <v>0</v>
      </c>
    </row>
    <row r="2708" spans="1:14" x14ac:dyDescent="0.2">
      <c r="A2708">
        <v>2707</v>
      </c>
      <c r="B2708">
        <v>2371</v>
      </c>
      <c r="C2708">
        <f>1/COUNTIF(B:B,Table1[[#This Row],[order_id]])</f>
        <v>0.33333333333333331</v>
      </c>
      <c r="D2708" t="str">
        <f>TEXT(Table1[[#This Row],[order_date]],"mmmm")</f>
        <v>July</v>
      </c>
      <c r="E2708" s="1">
        <v>45504</v>
      </c>
      <c r="F2708" s="1" t="str">
        <f>TEXT(Table1[[#This Row],[order_date]],"dddd")</f>
        <v>Wednesday</v>
      </c>
      <c r="G2708">
        <f>HOUR(Table1[[#This Row],[order_time]])</f>
        <v>14</v>
      </c>
      <c r="H2708" s="2">
        <v>0.59432870370370372</v>
      </c>
      <c r="I2708" t="s">
        <v>18</v>
      </c>
      <c r="J2708" t="s">
        <v>26</v>
      </c>
      <c r="K2708">
        <v>4</v>
      </c>
      <c r="L2708">
        <v>55</v>
      </c>
      <c r="M2708">
        <v>220</v>
      </c>
      <c r="N2708">
        <f>IF(COUNTIFS($B$2:B2708,B2708)=1,1,0)</f>
        <v>0</v>
      </c>
    </row>
    <row r="2709" spans="1:14" x14ac:dyDescent="0.2">
      <c r="A2709">
        <v>2708</v>
      </c>
      <c r="B2709">
        <v>2372</v>
      </c>
      <c r="C2709">
        <f>1/COUNTIF(B:B,Table1[[#This Row],[order_id]])</f>
        <v>0.5</v>
      </c>
      <c r="D2709" t="str">
        <f>TEXT(Table1[[#This Row],[order_date]],"mmmm")</f>
        <v>July</v>
      </c>
      <c r="E2709" s="1">
        <v>45504</v>
      </c>
      <c r="F2709" s="1" t="str">
        <f>TEXT(Table1[[#This Row],[order_date]],"dddd")</f>
        <v>Wednesday</v>
      </c>
      <c r="G2709">
        <f>HOUR(Table1[[#This Row],[order_time]])</f>
        <v>17</v>
      </c>
      <c r="H2709" s="2">
        <v>0.74263888888888885</v>
      </c>
      <c r="I2709" t="s">
        <v>18</v>
      </c>
      <c r="J2709" t="s">
        <v>31</v>
      </c>
      <c r="K2709">
        <v>4</v>
      </c>
      <c r="L2709">
        <v>45</v>
      </c>
      <c r="M2709">
        <v>180</v>
      </c>
      <c r="N2709">
        <f>IF(COUNTIFS($B$2:B2709,B2709)=1,1,0)</f>
        <v>1</v>
      </c>
    </row>
    <row r="2710" spans="1:14" x14ac:dyDescent="0.2">
      <c r="A2710">
        <v>2709</v>
      </c>
      <c r="B2710">
        <v>2372</v>
      </c>
      <c r="C2710">
        <f>1/COUNTIF(B:B,Table1[[#This Row],[order_id]])</f>
        <v>0.5</v>
      </c>
      <c r="D2710" t="str">
        <f>TEXT(Table1[[#This Row],[order_date]],"mmmm")</f>
        <v>July</v>
      </c>
      <c r="E2710" s="1">
        <v>45504</v>
      </c>
      <c r="F2710" s="1" t="str">
        <f>TEXT(Table1[[#This Row],[order_date]],"dddd")</f>
        <v>Wednesday</v>
      </c>
      <c r="G2710">
        <f>HOUR(Table1[[#This Row],[order_time]])</f>
        <v>10</v>
      </c>
      <c r="H2710" s="2">
        <v>0.45340277777777777</v>
      </c>
      <c r="I2710" t="s">
        <v>9</v>
      </c>
      <c r="J2710" t="s">
        <v>22</v>
      </c>
      <c r="K2710">
        <v>4</v>
      </c>
      <c r="L2710">
        <v>15</v>
      </c>
      <c r="M2710">
        <v>60</v>
      </c>
      <c r="N2710">
        <f>IF(COUNTIFS($B$2:B2710,B2710)=1,1,0)</f>
        <v>0</v>
      </c>
    </row>
    <row r="2711" spans="1:14" x14ac:dyDescent="0.2">
      <c r="A2711">
        <v>2710</v>
      </c>
      <c r="B2711">
        <v>2373</v>
      </c>
      <c r="C2711">
        <f>1/COUNTIF(B:B,Table1[[#This Row],[order_id]])</f>
        <v>0.33333333333333331</v>
      </c>
      <c r="D2711" t="str">
        <f>TEXT(Table1[[#This Row],[order_date]],"mmmm")</f>
        <v>July</v>
      </c>
      <c r="E2711" s="1">
        <v>45504</v>
      </c>
      <c r="F2711" s="1" t="str">
        <f>TEXT(Table1[[#This Row],[order_date]],"dddd")</f>
        <v>Wednesday</v>
      </c>
      <c r="G2711">
        <f>HOUR(Table1[[#This Row],[order_time]])</f>
        <v>20</v>
      </c>
      <c r="H2711" s="2">
        <v>0.8517824074074074</v>
      </c>
      <c r="I2711" t="s">
        <v>11</v>
      </c>
      <c r="J2711" t="s">
        <v>12</v>
      </c>
      <c r="K2711">
        <v>5</v>
      </c>
      <c r="L2711">
        <v>650</v>
      </c>
      <c r="M2711">
        <v>3250</v>
      </c>
      <c r="N2711">
        <f>IF(COUNTIFS($B$2:B2711,B2711)=1,1,0)</f>
        <v>1</v>
      </c>
    </row>
    <row r="2712" spans="1:14" x14ac:dyDescent="0.2">
      <c r="A2712">
        <v>2711</v>
      </c>
      <c r="B2712">
        <v>2373</v>
      </c>
      <c r="C2712">
        <f>1/COUNTIF(B:B,Table1[[#This Row],[order_id]])</f>
        <v>0.33333333333333331</v>
      </c>
      <c r="D2712" t="str">
        <f>TEXT(Table1[[#This Row],[order_date]],"mmmm")</f>
        <v>July</v>
      </c>
      <c r="E2712" s="1">
        <v>45504</v>
      </c>
      <c r="F2712" s="1" t="str">
        <f>TEXT(Table1[[#This Row],[order_date]],"dddd")</f>
        <v>Wednesday</v>
      </c>
      <c r="G2712">
        <f>HOUR(Table1[[#This Row],[order_time]])</f>
        <v>17</v>
      </c>
      <c r="H2712" s="2">
        <v>0.7369444444444444</v>
      </c>
      <c r="I2712" t="s">
        <v>18</v>
      </c>
      <c r="J2712" t="s">
        <v>19</v>
      </c>
      <c r="K2712">
        <v>5</v>
      </c>
      <c r="L2712">
        <v>50</v>
      </c>
      <c r="M2712">
        <v>250</v>
      </c>
      <c r="N2712">
        <f>IF(COUNTIFS($B$2:B2712,B2712)=1,1,0)</f>
        <v>0</v>
      </c>
    </row>
    <row r="2713" spans="1:14" x14ac:dyDescent="0.2">
      <c r="A2713">
        <v>2712</v>
      </c>
      <c r="B2713">
        <v>2373</v>
      </c>
      <c r="C2713">
        <f>1/COUNTIF(B:B,Table1[[#This Row],[order_id]])</f>
        <v>0.33333333333333331</v>
      </c>
      <c r="D2713" t="str">
        <f>TEXT(Table1[[#This Row],[order_date]],"mmmm")</f>
        <v>July</v>
      </c>
      <c r="E2713" s="1">
        <v>45504</v>
      </c>
      <c r="F2713" s="1" t="str">
        <f>TEXT(Table1[[#This Row],[order_date]],"dddd")</f>
        <v>Wednesday</v>
      </c>
      <c r="G2713">
        <f>HOUR(Table1[[#This Row],[order_time]])</f>
        <v>10</v>
      </c>
      <c r="H2713" s="2">
        <v>0.44260416666666669</v>
      </c>
      <c r="I2713" t="s">
        <v>18</v>
      </c>
      <c r="J2713" t="s">
        <v>27</v>
      </c>
      <c r="K2713">
        <v>5</v>
      </c>
      <c r="L2713">
        <v>40</v>
      </c>
      <c r="M2713">
        <v>200</v>
      </c>
      <c r="N2713">
        <f>IF(COUNTIFS($B$2:B2713,B2713)=1,1,0)</f>
        <v>0</v>
      </c>
    </row>
    <row r="2714" spans="1:14" x14ac:dyDescent="0.2">
      <c r="A2714">
        <v>2713</v>
      </c>
      <c r="B2714">
        <v>2374</v>
      </c>
      <c r="C2714">
        <f>1/COUNTIF(B:B,Table1[[#This Row],[order_id]])</f>
        <v>0.5</v>
      </c>
      <c r="D2714" t="str">
        <f>TEXT(Table1[[#This Row],[order_date]],"mmmm")</f>
        <v>July</v>
      </c>
      <c r="E2714" s="1">
        <v>45504</v>
      </c>
      <c r="F2714" s="1" t="str">
        <f>TEXT(Table1[[#This Row],[order_date]],"dddd")</f>
        <v>Wednesday</v>
      </c>
      <c r="G2714">
        <f>HOUR(Table1[[#This Row],[order_time]])</f>
        <v>12</v>
      </c>
      <c r="H2714" s="2">
        <v>0.50003472222222223</v>
      </c>
      <c r="I2714" t="s">
        <v>9</v>
      </c>
      <c r="J2714" t="s">
        <v>20</v>
      </c>
      <c r="K2714">
        <v>5</v>
      </c>
      <c r="L2714">
        <v>25</v>
      </c>
      <c r="M2714">
        <v>125</v>
      </c>
      <c r="N2714">
        <f>IF(COUNTIFS($B$2:B2714,B2714)=1,1,0)</f>
        <v>1</v>
      </c>
    </row>
    <row r="2715" spans="1:14" x14ac:dyDescent="0.2">
      <c r="A2715">
        <v>2714</v>
      </c>
      <c r="B2715">
        <v>2374</v>
      </c>
      <c r="C2715">
        <f>1/COUNTIF(B:B,Table1[[#This Row],[order_id]])</f>
        <v>0.5</v>
      </c>
      <c r="D2715" t="str">
        <f>TEXT(Table1[[#This Row],[order_date]],"mmmm")</f>
        <v>July</v>
      </c>
      <c r="E2715" s="1">
        <v>45504</v>
      </c>
      <c r="F2715" s="1" t="str">
        <f>TEXT(Table1[[#This Row],[order_date]],"dddd")</f>
        <v>Wednesday</v>
      </c>
      <c r="G2715">
        <f>HOUR(Table1[[#This Row],[order_time]])</f>
        <v>15</v>
      </c>
      <c r="H2715" s="2">
        <v>0.63837962962962957</v>
      </c>
      <c r="I2715" t="s">
        <v>18</v>
      </c>
      <c r="J2715" t="s">
        <v>26</v>
      </c>
      <c r="K2715">
        <v>3</v>
      </c>
      <c r="L2715">
        <v>55</v>
      </c>
      <c r="M2715">
        <v>165</v>
      </c>
      <c r="N2715">
        <f>IF(COUNTIFS($B$2:B2715,B2715)=1,1,0)</f>
        <v>0</v>
      </c>
    </row>
    <row r="2716" spans="1:14" x14ac:dyDescent="0.2">
      <c r="A2716">
        <v>2715</v>
      </c>
      <c r="B2716">
        <v>2375</v>
      </c>
      <c r="C2716">
        <f>1/COUNTIF(B:B,Table1[[#This Row],[order_id]])</f>
        <v>1</v>
      </c>
      <c r="D2716" t="str">
        <f>TEXT(Table1[[#This Row],[order_date]],"mmmm")</f>
        <v>July</v>
      </c>
      <c r="E2716" s="1">
        <v>45504</v>
      </c>
      <c r="F2716" s="1" t="str">
        <f>TEXT(Table1[[#This Row],[order_date]],"dddd")</f>
        <v>Wednesday</v>
      </c>
      <c r="G2716">
        <f>HOUR(Table1[[#This Row],[order_time]])</f>
        <v>15</v>
      </c>
      <c r="H2716" s="2">
        <v>0.64973379629629635</v>
      </c>
      <c r="I2716" t="s">
        <v>11</v>
      </c>
      <c r="J2716" t="s">
        <v>25</v>
      </c>
      <c r="K2716">
        <v>5</v>
      </c>
      <c r="L2716">
        <v>1000</v>
      </c>
      <c r="M2716">
        <v>5000</v>
      </c>
      <c r="N2716">
        <f>IF(COUNTIFS($B$2:B2716,B2716)=1,1,0)</f>
        <v>1</v>
      </c>
    </row>
    <row r="2717" spans="1:14" x14ac:dyDescent="0.2">
      <c r="A2717">
        <v>2716</v>
      </c>
      <c r="B2717">
        <v>2376</v>
      </c>
      <c r="C2717">
        <f>1/COUNTIF(B:B,Table1[[#This Row],[order_id]])</f>
        <v>0.33333333333333331</v>
      </c>
      <c r="D2717" t="str">
        <f>TEXT(Table1[[#This Row],[order_date]],"mmmm")</f>
        <v>July</v>
      </c>
      <c r="E2717" s="1">
        <v>45504</v>
      </c>
      <c r="F2717" s="1" t="str">
        <f>TEXT(Table1[[#This Row],[order_date]],"dddd")</f>
        <v>Wednesday</v>
      </c>
      <c r="G2717">
        <f>HOUR(Table1[[#This Row],[order_time]])</f>
        <v>11</v>
      </c>
      <c r="H2717" s="2">
        <v>0.48810185185185184</v>
      </c>
      <c r="I2717" t="s">
        <v>16</v>
      </c>
      <c r="J2717" t="s">
        <v>17</v>
      </c>
      <c r="K2717">
        <v>5</v>
      </c>
      <c r="L2717">
        <v>20</v>
      </c>
      <c r="M2717">
        <v>100</v>
      </c>
      <c r="N2717">
        <f>IF(COUNTIFS($B$2:B2717,B2717)=1,1,0)</f>
        <v>1</v>
      </c>
    </row>
    <row r="2718" spans="1:14" x14ac:dyDescent="0.2">
      <c r="A2718">
        <v>2717</v>
      </c>
      <c r="B2718">
        <v>2376</v>
      </c>
      <c r="C2718">
        <f>1/COUNTIF(B:B,Table1[[#This Row],[order_id]])</f>
        <v>0.33333333333333331</v>
      </c>
      <c r="D2718" t="str">
        <f>TEXT(Table1[[#This Row],[order_date]],"mmmm")</f>
        <v>July</v>
      </c>
      <c r="E2718" s="1">
        <v>45504</v>
      </c>
      <c r="F2718" s="1" t="str">
        <f>TEXT(Table1[[#This Row],[order_date]],"dddd")</f>
        <v>Wednesday</v>
      </c>
      <c r="G2718">
        <f>HOUR(Table1[[#This Row],[order_time]])</f>
        <v>20</v>
      </c>
      <c r="H2718" s="2">
        <v>0.84303240740740737</v>
      </c>
      <c r="I2718" t="s">
        <v>16</v>
      </c>
      <c r="J2718" t="s">
        <v>17</v>
      </c>
      <c r="K2718">
        <v>5</v>
      </c>
      <c r="L2718">
        <v>20</v>
      </c>
      <c r="M2718">
        <v>100</v>
      </c>
      <c r="N2718">
        <f>IF(COUNTIFS($B$2:B2718,B2718)=1,1,0)</f>
        <v>0</v>
      </c>
    </row>
    <row r="2719" spans="1:14" x14ac:dyDescent="0.2">
      <c r="A2719">
        <v>2718</v>
      </c>
      <c r="B2719">
        <v>2376</v>
      </c>
      <c r="C2719">
        <f>1/COUNTIF(B:B,Table1[[#This Row],[order_id]])</f>
        <v>0.33333333333333331</v>
      </c>
      <c r="D2719" t="str">
        <f>TEXT(Table1[[#This Row],[order_date]],"mmmm")</f>
        <v>July</v>
      </c>
      <c r="E2719" s="1">
        <v>45504</v>
      </c>
      <c r="F2719" s="1" t="str">
        <f>TEXT(Table1[[#This Row],[order_date]],"dddd")</f>
        <v>Wednesday</v>
      </c>
      <c r="G2719">
        <f>HOUR(Table1[[#This Row],[order_time]])</f>
        <v>19</v>
      </c>
      <c r="H2719" s="2">
        <v>0.80256944444444445</v>
      </c>
      <c r="I2719" t="s">
        <v>18</v>
      </c>
      <c r="J2719" t="s">
        <v>26</v>
      </c>
      <c r="K2719">
        <v>5</v>
      </c>
      <c r="L2719">
        <v>55</v>
      </c>
      <c r="M2719">
        <v>275</v>
      </c>
      <c r="N2719">
        <f>IF(COUNTIFS($B$2:B2719,B2719)=1,1,0)</f>
        <v>0</v>
      </c>
    </row>
    <row r="2720" spans="1:14" x14ac:dyDescent="0.2">
      <c r="A2720">
        <v>2719</v>
      </c>
      <c r="B2720">
        <v>2377</v>
      </c>
      <c r="C2720">
        <f>1/COUNTIF(B:B,Table1[[#This Row],[order_id]])</f>
        <v>0.33333333333333331</v>
      </c>
      <c r="D2720" t="str">
        <f>TEXT(Table1[[#This Row],[order_date]],"mmmm")</f>
        <v>July</v>
      </c>
      <c r="E2720" s="1">
        <v>45504</v>
      </c>
      <c r="F2720" s="1" t="str">
        <f>TEXT(Table1[[#This Row],[order_date]],"dddd")</f>
        <v>Wednesday</v>
      </c>
      <c r="G2720">
        <f>HOUR(Table1[[#This Row],[order_time]])</f>
        <v>14</v>
      </c>
      <c r="H2720" s="2">
        <v>0.61494212962962957</v>
      </c>
      <c r="I2720" t="s">
        <v>9</v>
      </c>
      <c r="J2720" t="s">
        <v>22</v>
      </c>
      <c r="K2720">
        <v>1</v>
      </c>
      <c r="L2720">
        <v>15</v>
      </c>
      <c r="M2720">
        <v>15</v>
      </c>
      <c r="N2720">
        <f>IF(COUNTIFS($B$2:B2720,B2720)=1,1,0)</f>
        <v>1</v>
      </c>
    </row>
    <row r="2721" spans="1:14" x14ac:dyDescent="0.2">
      <c r="A2721">
        <v>2720</v>
      </c>
      <c r="B2721">
        <v>2377</v>
      </c>
      <c r="C2721">
        <f>1/COUNTIF(B:B,Table1[[#This Row],[order_id]])</f>
        <v>0.33333333333333331</v>
      </c>
      <c r="D2721" t="str">
        <f>TEXT(Table1[[#This Row],[order_date]],"mmmm")</f>
        <v>July</v>
      </c>
      <c r="E2721" s="1">
        <v>45504</v>
      </c>
      <c r="F2721" s="1" t="str">
        <f>TEXT(Table1[[#This Row],[order_date]],"dddd")</f>
        <v>Wednesday</v>
      </c>
      <c r="G2721">
        <f>HOUR(Table1[[#This Row],[order_time]])</f>
        <v>17</v>
      </c>
      <c r="H2721" s="2">
        <v>0.71787037037037038</v>
      </c>
      <c r="I2721" t="s">
        <v>18</v>
      </c>
      <c r="J2721" t="s">
        <v>19</v>
      </c>
      <c r="K2721">
        <v>1</v>
      </c>
      <c r="L2721">
        <v>50</v>
      </c>
      <c r="M2721">
        <v>50</v>
      </c>
      <c r="N2721">
        <f>IF(COUNTIFS($B$2:B2721,B2721)=1,1,0)</f>
        <v>0</v>
      </c>
    </row>
    <row r="2722" spans="1:14" x14ac:dyDescent="0.2">
      <c r="A2722">
        <v>2721</v>
      </c>
      <c r="B2722">
        <v>2377</v>
      </c>
      <c r="C2722">
        <f>1/COUNTIF(B:B,Table1[[#This Row],[order_id]])</f>
        <v>0.33333333333333331</v>
      </c>
      <c r="D2722" t="str">
        <f>TEXT(Table1[[#This Row],[order_date]],"mmmm")</f>
        <v>July</v>
      </c>
      <c r="E2722" s="1">
        <v>45504</v>
      </c>
      <c r="F2722" s="1" t="str">
        <f>TEXT(Table1[[#This Row],[order_date]],"dddd")</f>
        <v>Wednesday</v>
      </c>
      <c r="G2722">
        <f>HOUR(Table1[[#This Row],[order_time]])</f>
        <v>20</v>
      </c>
      <c r="H2722" s="2">
        <v>0.84107638888888892</v>
      </c>
      <c r="I2722" t="s">
        <v>16</v>
      </c>
      <c r="J2722" t="s">
        <v>23</v>
      </c>
      <c r="K2722">
        <v>4</v>
      </c>
      <c r="L2722">
        <v>30</v>
      </c>
      <c r="M2722">
        <v>120</v>
      </c>
      <c r="N2722">
        <f>IF(COUNTIFS($B$2:B2722,B2722)=1,1,0)</f>
        <v>0</v>
      </c>
    </row>
    <row r="2723" spans="1:14" x14ac:dyDescent="0.2">
      <c r="A2723">
        <v>2722</v>
      </c>
      <c r="B2723">
        <v>2378</v>
      </c>
      <c r="C2723">
        <f>1/COUNTIF(B:B,Table1[[#This Row],[order_id]])</f>
        <v>0.33333333333333331</v>
      </c>
      <c r="D2723" t="str">
        <f>TEXT(Table1[[#This Row],[order_date]],"mmmm")</f>
        <v>August</v>
      </c>
      <c r="E2723" s="1">
        <v>45505</v>
      </c>
      <c r="F2723" s="1" t="str">
        <f>TEXT(Table1[[#This Row],[order_date]],"dddd")</f>
        <v>Thursday</v>
      </c>
      <c r="G2723">
        <f>HOUR(Table1[[#This Row],[order_time]])</f>
        <v>10</v>
      </c>
      <c r="H2723" s="2">
        <v>0.42006944444444444</v>
      </c>
      <c r="I2723" t="s">
        <v>11</v>
      </c>
      <c r="J2723" t="s">
        <v>13</v>
      </c>
      <c r="K2723">
        <v>2</v>
      </c>
      <c r="L2723">
        <v>680</v>
      </c>
      <c r="M2723">
        <v>1360</v>
      </c>
      <c r="N2723">
        <f>IF(COUNTIFS($B$2:B2723,B2723)=1,1,0)</f>
        <v>1</v>
      </c>
    </row>
    <row r="2724" spans="1:14" x14ac:dyDescent="0.2">
      <c r="A2724">
        <v>2723</v>
      </c>
      <c r="B2724">
        <v>2378</v>
      </c>
      <c r="C2724">
        <f>1/COUNTIF(B:B,Table1[[#This Row],[order_id]])</f>
        <v>0.33333333333333331</v>
      </c>
      <c r="D2724" t="str">
        <f>TEXT(Table1[[#This Row],[order_date]],"mmmm")</f>
        <v>August</v>
      </c>
      <c r="E2724" s="1">
        <v>45505</v>
      </c>
      <c r="F2724" s="1" t="str">
        <f>TEXT(Table1[[#This Row],[order_date]],"dddd")</f>
        <v>Thursday</v>
      </c>
      <c r="G2724">
        <f>HOUR(Table1[[#This Row],[order_time]])</f>
        <v>11</v>
      </c>
      <c r="H2724" s="2">
        <v>0.46105324074074072</v>
      </c>
      <c r="I2724" t="s">
        <v>9</v>
      </c>
      <c r="J2724" t="s">
        <v>21</v>
      </c>
      <c r="K2724">
        <v>5</v>
      </c>
      <c r="L2724">
        <v>10</v>
      </c>
      <c r="M2724">
        <v>50</v>
      </c>
      <c r="N2724">
        <f>IF(COUNTIFS($B$2:B2724,B2724)=1,1,0)</f>
        <v>0</v>
      </c>
    </row>
    <row r="2725" spans="1:14" x14ac:dyDescent="0.2">
      <c r="A2725">
        <v>2724</v>
      </c>
      <c r="B2725">
        <v>2378</v>
      </c>
      <c r="C2725">
        <f>1/COUNTIF(B:B,Table1[[#This Row],[order_id]])</f>
        <v>0.33333333333333331</v>
      </c>
      <c r="D2725" t="str">
        <f>TEXT(Table1[[#This Row],[order_date]],"mmmm")</f>
        <v>August</v>
      </c>
      <c r="E2725" s="1">
        <v>45505</v>
      </c>
      <c r="F2725" s="1" t="str">
        <f>TEXT(Table1[[#This Row],[order_date]],"dddd")</f>
        <v>Thursday</v>
      </c>
      <c r="G2725">
        <f>HOUR(Table1[[#This Row],[order_time]])</f>
        <v>15</v>
      </c>
      <c r="H2725" s="2">
        <v>0.62921296296296292</v>
      </c>
      <c r="I2725" t="s">
        <v>11</v>
      </c>
      <c r="J2725" t="s">
        <v>25</v>
      </c>
      <c r="K2725">
        <v>1</v>
      </c>
      <c r="L2725">
        <v>1000</v>
      </c>
      <c r="M2725">
        <v>1000</v>
      </c>
      <c r="N2725">
        <f>IF(COUNTIFS($B$2:B2725,B2725)=1,1,0)</f>
        <v>0</v>
      </c>
    </row>
    <row r="2726" spans="1:14" x14ac:dyDescent="0.2">
      <c r="A2726">
        <v>2725</v>
      </c>
      <c r="B2726">
        <v>2379</v>
      </c>
      <c r="C2726">
        <f>1/COUNTIF(B:B,Table1[[#This Row],[order_id]])</f>
        <v>1</v>
      </c>
      <c r="D2726" t="str">
        <f>TEXT(Table1[[#This Row],[order_date]],"mmmm")</f>
        <v>August</v>
      </c>
      <c r="E2726" s="1">
        <v>45505</v>
      </c>
      <c r="F2726" s="1" t="str">
        <f>TEXT(Table1[[#This Row],[order_date]],"dddd")</f>
        <v>Thursday</v>
      </c>
      <c r="G2726">
        <f>HOUR(Table1[[#This Row],[order_time]])</f>
        <v>17</v>
      </c>
      <c r="H2726" s="2">
        <v>0.73313657407407407</v>
      </c>
      <c r="I2726" t="s">
        <v>18</v>
      </c>
      <c r="J2726" t="s">
        <v>27</v>
      </c>
      <c r="K2726">
        <v>2</v>
      </c>
      <c r="L2726">
        <v>40</v>
      </c>
      <c r="M2726">
        <v>80</v>
      </c>
      <c r="N2726">
        <f>IF(COUNTIFS($B$2:B2726,B2726)=1,1,0)</f>
        <v>1</v>
      </c>
    </row>
    <row r="2727" spans="1:14" x14ac:dyDescent="0.2">
      <c r="A2727">
        <v>2726</v>
      </c>
      <c r="B2727">
        <v>2380</v>
      </c>
      <c r="C2727">
        <f>1/COUNTIF(B:B,Table1[[#This Row],[order_id]])</f>
        <v>0.33333333333333331</v>
      </c>
      <c r="D2727" t="str">
        <f>TEXT(Table1[[#This Row],[order_date]],"mmmm")</f>
        <v>August</v>
      </c>
      <c r="E2727" s="1">
        <v>45505</v>
      </c>
      <c r="F2727" s="1" t="str">
        <f>TEXT(Table1[[#This Row],[order_date]],"dddd")</f>
        <v>Thursday</v>
      </c>
      <c r="G2727">
        <f>HOUR(Table1[[#This Row],[order_time]])</f>
        <v>10</v>
      </c>
      <c r="H2727" s="2">
        <v>0.43303240740740739</v>
      </c>
      <c r="I2727" t="s">
        <v>11</v>
      </c>
      <c r="J2727" t="s">
        <v>13</v>
      </c>
      <c r="K2727">
        <v>1</v>
      </c>
      <c r="L2727">
        <v>680</v>
      </c>
      <c r="M2727">
        <v>680</v>
      </c>
      <c r="N2727">
        <f>IF(COUNTIFS($B$2:B2727,B2727)=1,1,0)</f>
        <v>1</v>
      </c>
    </row>
    <row r="2728" spans="1:14" x14ac:dyDescent="0.2">
      <c r="A2728">
        <v>2727</v>
      </c>
      <c r="B2728">
        <v>2380</v>
      </c>
      <c r="C2728">
        <f>1/COUNTIF(B:B,Table1[[#This Row],[order_id]])</f>
        <v>0.33333333333333331</v>
      </c>
      <c r="D2728" t="str">
        <f>TEXT(Table1[[#This Row],[order_date]],"mmmm")</f>
        <v>August</v>
      </c>
      <c r="E2728" s="1">
        <v>45505</v>
      </c>
      <c r="F2728" s="1" t="str">
        <f>TEXT(Table1[[#This Row],[order_date]],"dddd")</f>
        <v>Thursday</v>
      </c>
      <c r="G2728">
        <f>HOUR(Table1[[#This Row],[order_time]])</f>
        <v>18</v>
      </c>
      <c r="H2728" s="2">
        <v>0.76831018518518523</v>
      </c>
      <c r="I2728" t="s">
        <v>16</v>
      </c>
      <c r="J2728" t="s">
        <v>24</v>
      </c>
      <c r="K2728">
        <v>1</v>
      </c>
      <c r="L2728">
        <v>35</v>
      </c>
      <c r="M2728">
        <v>35</v>
      </c>
      <c r="N2728">
        <f>IF(COUNTIFS($B$2:B2728,B2728)=1,1,0)</f>
        <v>0</v>
      </c>
    </row>
    <row r="2729" spans="1:14" x14ac:dyDescent="0.2">
      <c r="A2729">
        <v>2728</v>
      </c>
      <c r="B2729">
        <v>2380</v>
      </c>
      <c r="C2729">
        <f>1/COUNTIF(B:B,Table1[[#This Row],[order_id]])</f>
        <v>0.33333333333333331</v>
      </c>
      <c r="D2729" t="str">
        <f>TEXT(Table1[[#This Row],[order_date]],"mmmm")</f>
        <v>August</v>
      </c>
      <c r="E2729" s="1">
        <v>45505</v>
      </c>
      <c r="F2729" s="1" t="str">
        <f>TEXT(Table1[[#This Row],[order_date]],"dddd")</f>
        <v>Thursday</v>
      </c>
      <c r="G2729">
        <f>HOUR(Table1[[#This Row],[order_time]])</f>
        <v>20</v>
      </c>
      <c r="H2729" s="2">
        <v>0.83344907407407409</v>
      </c>
      <c r="I2729" t="s">
        <v>18</v>
      </c>
      <c r="J2729" t="s">
        <v>27</v>
      </c>
      <c r="K2729">
        <v>2</v>
      </c>
      <c r="L2729">
        <v>40</v>
      </c>
      <c r="M2729">
        <v>80</v>
      </c>
      <c r="N2729">
        <f>IF(COUNTIFS($B$2:B2729,B2729)=1,1,0)</f>
        <v>0</v>
      </c>
    </row>
    <row r="2730" spans="1:14" x14ac:dyDescent="0.2">
      <c r="A2730">
        <v>2729</v>
      </c>
      <c r="B2730">
        <v>2381</v>
      </c>
      <c r="C2730">
        <f>1/COUNTIF(B:B,Table1[[#This Row],[order_id]])</f>
        <v>0.33333333333333331</v>
      </c>
      <c r="D2730" t="str">
        <f>TEXT(Table1[[#This Row],[order_date]],"mmmm")</f>
        <v>August</v>
      </c>
      <c r="E2730" s="1">
        <v>45505</v>
      </c>
      <c r="F2730" s="1" t="str">
        <f>TEXT(Table1[[#This Row],[order_date]],"dddd")</f>
        <v>Thursday</v>
      </c>
      <c r="G2730">
        <f>HOUR(Table1[[#This Row],[order_time]])</f>
        <v>17</v>
      </c>
      <c r="H2730" s="2">
        <v>0.71030092592592597</v>
      </c>
      <c r="I2730" t="s">
        <v>16</v>
      </c>
      <c r="J2730" t="s">
        <v>24</v>
      </c>
      <c r="K2730">
        <v>5</v>
      </c>
      <c r="L2730">
        <v>35</v>
      </c>
      <c r="M2730">
        <v>175</v>
      </c>
      <c r="N2730">
        <f>IF(COUNTIFS($B$2:B2730,B2730)=1,1,0)</f>
        <v>1</v>
      </c>
    </row>
    <row r="2731" spans="1:14" x14ac:dyDescent="0.2">
      <c r="A2731">
        <v>2730</v>
      </c>
      <c r="B2731">
        <v>2381</v>
      </c>
      <c r="C2731">
        <f>1/COUNTIF(B:B,Table1[[#This Row],[order_id]])</f>
        <v>0.33333333333333331</v>
      </c>
      <c r="D2731" t="str">
        <f>TEXT(Table1[[#This Row],[order_date]],"mmmm")</f>
        <v>August</v>
      </c>
      <c r="E2731" s="1">
        <v>45505</v>
      </c>
      <c r="F2731" s="1" t="str">
        <f>TEXT(Table1[[#This Row],[order_date]],"dddd")</f>
        <v>Thursday</v>
      </c>
      <c r="G2731">
        <f>HOUR(Table1[[#This Row],[order_time]])</f>
        <v>20</v>
      </c>
      <c r="H2731" s="2">
        <v>0.87010416666666668</v>
      </c>
      <c r="I2731" t="s">
        <v>18</v>
      </c>
      <c r="J2731" t="s">
        <v>19</v>
      </c>
      <c r="K2731">
        <v>4</v>
      </c>
      <c r="L2731">
        <v>50</v>
      </c>
      <c r="M2731">
        <v>200</v>
      </c>
      <c r="N2731">
        <f>IF(COUNTIFS($B$2:B2731,B2731)=1,1,0)</f>
        <v>0</v>
      </c>
    </row>
    <row r="2732" spans="1:14" x14ac:dyDescent="0.2">
      <c r="A2732">
        <v>2731</v>
      </c>
      <c r="B2732">
        <v>2381</v>
      </c>
      <c r="C2732">
        <f>1/COUNTIF(B:B,Table1[[#This Row],[order_id]])</f>
        <v>0.33333333333333331</v>
      </c>
      <c r="D2732" t="str">
        <f>TEXT(Table1[[#This Row],[order_date]],"mmmm")</f>
        <v>August</v>
      </c>
      <c r="E2732" s="1">
        <v>45505</v>
      </c>
      <c r="F2732" s="1" t="str">
        <f>TEXT(Table1[[#This Row],[order_date]],"dddd")</f>
        <v>Thursday</v>
      </c>
      <c r="G2732">
        <f>HOUR(Table1[[#This Row],[order_time]])</f>
        <v>15</v>
      </c>
      <c r="H2732" s="2">
        <v>0.64402777777777775</v>
      </c>
      <c r="I2732" t="s">
        <v>18</v>
      </c>
      <c r="J2732" t="s">
        <v>31</v>
      </c>
      <c r="K2732">
        <v>5</v>
      </c>
      <c r="L2732">
        <v>45</v>
      </c>
      <c r="M2732">
        <v>225</v>
      </c>
      <c r="N2732">
        <f>IF(COUNTIFS($B$2:B2732,B2732)=1,1,0)</f>
        <v>0</v>
      </c>
    </row>
    <row r="2733" spans="1:14" x14ac:dyDescent="0.2">
      <c r="A2733">
        <v>2732</v>
      </c>
      <c r="B2733">
        <v>2382</v>
      </c>
      <c r="C2733">
        <f>1/COUNTIF(B:B,Table1[[#This Row],[order_id]])</f>
        <v>1</v>
      </c>
      <c r="D2733" t="str">
        <f>TEXT(Table1[[#This Row],[order_date]],"mmmm")</f>
        <v>August</v>
      </c>
      <c r="E2733" s="1">
        <v>45505</v>
      </c>
      <c r="F2733" s="1" t="str">
        <f>TEXT(Table1[[#This Row],[order_date]],"dddd")</f>
        <v>Thursday</v>
      </c>
      <c r="G2733">
        <f>HOUR(Table1[[#This Row],[order_time]])</f>
        <v>12</v>
      </c>
      <c r="H2733" s="2">
        <v>0.52082175925925922</v>
      </c>
      <c r="I2733" t="s">
        <v>9</v>
      </c>
      <c r="J2733" t="s">
        <v>21</v>
      </c>
      <c r="K2733">
        <v>1</v>
      </c>
      <c r="L2733">
        <v>10</v>
      </c>
      <c r="M2733">
        <v>10</v>
      </c>
      <c r="N2733">
        <f>IF(COUNTIFS($B$2:B2733,B2733)=1,1,0)</f>
        <v>1</v>
      </c>
    </row>
    <row r="2734" spans="1:14" x14ac:dyDescent="0.2">
      <c r="A2734">
        <v>2733</v>
      </c>
      <c r="B2734">
        <v>2383</v>
      </c>
      <c r="C2734">
        <f>1/COUNTIF(B:B,Table1[[#This Row],[order_id]])</f>
        <v>0.5</v>
      </c>
      <c r="D2734" t="str">
        <f>TEXT(Table1[[#This Row],[order_date]],"mmmm")</f>
        <v>August</v>
      </c>
      <c r="E2734" s="1">
        <v>45505</v>
      </c>
      <c r="F2734" s="1" t="str">
        <f>TEXT(Table1[[#This Row],[order_date]],"dddd")</f>
        <v>Thursday</v>
      </c>
      <c r="G2734">
        <f>HOUR(Table1[[#This Row],[order_time]])</f>
        <v>12</v>
      </c>
      <c r="H2734" s="2">
        <v>0.53237268518518521</v>
      </c>
      <c r="I2734" t="s">
        <v>9</v>
      </c>
      <c r="J2734" t="s">
        <v>22</v>
      </c>
      <c r="K2734">
        <v>5</v>
      </c>
      <c r="L2734">
        <v>15</v>
      </c>
      <c r="M2734">
        <v>75</v>
      </c>
      <c r="N2734">
        <f>IF(COUNTIFS($B$2:B2734,B2734)=1,1,0)</f>
        <v>1</v>
      </c>
    </row>
    <row r="2735" spans="1:14" x14ac:dyDescent="0.2">
      <c r="A2735">
        <v>2734</v>
      </c>
      <c r="B2735">
        <v>2383</v>
      </c>
      <c r="C2735">
        <f>1/COUNTIF(B:B,Table1[[#This Row],[order_id]])</f>
        <v>0.5</v>
      </c>
      <c r="D2735" t="str">
        <f>TEXT(Table1[[#This Row],[order_date]],"mmmm")</f>
        <v>August</v>
      </c>
      <c r="E2735" s="1">
        <v>45505</v>
      </c>
      <c r="F2735" s="1" t="str">
        <f>TEXT(Table1[[#This Row],[order_date]],"dddd")</f>
        <v>Thursday</v>
      </c>
      <c r="G2735">
        <f>HOUR(Table1[[#This Row],[order_time]])</f>
        <v>19</v>
      </c>
      <c r="H2735" s="2">
        <v>0.8273611111111111</v>
      </c>
      <c r="I2735" t="s">
        <v>9</v>
      </c>
      <c r="J2735" t="s">
        <v>20</v>
      </c>
      <c r="K2735">
        <v>3</v>
      </c>
      <c r="L2735">
        <v>25</v>
      </c>
      <c r="M2735">
        <v>75</v>
      </c>
      <c r="N2735">
        <f>IF(COUNTIFS($B$2:B2735,B2735)=1,1,0)</f>
        <v>0</v>
      </c>
    </row>
    <row r="2736" spans="1:14" x14ac:dyDescent="0.2">
      <c r="A2736">
        <v>2735</v>
      </c>
      <c r="B2736">
        <v>2384</v>
      </c>
      <c r="C2736">
        <f>1/COUNTIF(B:B,Table1[[#This Row],[order_id]])</f>
        <v>0.5</v>
      </c>
      <c r="D2736" t="str">
        <f>TEXT(Table1[[#This Row],[order_date]],"mmmm")</f>
        <v>August</v>
      </c>
      <c r="E2736" s="1">
        <v>45505</v>
      </c>
      <c r="F2736" s="1" t="str">
        <f>TEXT(Table1[[#This Row],[order_date]],"dddd")</f>
        <v>Thursday</v>
      </c>
      <c r="G2736">
        <f>HOUR(Table1[[#This Row],[order_time]])</f>
        <v>19</v>
      </c>
      <c r="H2736" s="2">
        <v>0.81540509259259264</v>
      </c>
      <c r="I2736" t="s">
        <v>18</v>
      </c>
      <c r="J2736" t="s">
        <v>30</v>
      </c>
      <c r="K2736">
        <v>1</v>
      </c>
      <c r="L2736">
        <v>60</v>
      </c>
      <c r="M2736">
        <v>60</v>
      </c>
      <c r="N2736">
        <f>IF(COUNTIFS($B$2:B2736,B2736)=1,1,0)</f>
        <v>1</v>
      </c>
    </row>
    <row r="2737" spans="1:14" x14ac:dyDescent="0.2">
      <c r="A2737">
        <v>2736</v>
      </c>
      <c r="B2737">
        <v>2384</v>
      </c>
      <c r="C2737">
        <f>1/COUNTIF(B:B,Table1[[#This Row],[order_id]])</f>
        <v>0.5</v>
      </c>
      <c r="D2737" t="str">
        <f>TEXT(Table1[[#This Row],[order_date]],"mmmm")</f>
        <v>August</v>
      </c>
      <c r="E2737" s="1">
        <v>45505</v>
      </c>
      <c r="F2737" s="1" t="str">
        <f>TEXT(Table1[[#This Row],[order_date]],"dddd")</f>
        <v>Thursday</v>
      </c>
      <c r="G2737">
        <f>HOUR(Table1[[#This Row],[order_time]])</f>
        <v>16</v>
      </c>
      <c r="H2737" s="2">
        <v>0.69633101851851853</v>
      </c>
      <c r="I2737" t="s">
        <v>18</v>
      </c>
      <c r="J2737" t="s">
        <v>26</v>
      </c>
      <c r="K2737">
        <v>3</v>
      </c>
      <c r="L2737">
        <v>55</v>
      </c>
      <c r="M2737">
        <v>165</v>
      </c>
      <c r="N2737">
        <f>IF(COUNTIFS($B$2:B2737,B2737)=1,1,0)</f>
        <v>0</v>
      </c>
    </row>
    <row r="2738" spans="1:14" x14ac:dyDescent="0.2">
      <c r="A2738">
        <v>2737</v>
      </c>
      <c r="B2738">
        <v>2385</v>
      </c>
      <c r="C2738">
        <f>1/COUNTIF(B:B,Table1[[#This Row],[order_id]])</f>
        <v>0.33333333333333331</v>
      </c>
      <c r="D2738" t="str">
        <f>TEXT(Table1[[#This Row],[order_date]],"mmmm")</f>
        <v>August</v>
      </c>
      <c r="E2738" s="1">
        <v>45505</v>
      </c>
      <c r="F2738" s="1" t="str">
        <f>TEXT(Table1[[#This Row],[order_date]],"dddd")</f>
        <v>Thursday</v>
      </c>
      <c r="G2738">
        <f>HOUR(Table1[[#This Row],[order_time]])</f>
        <v>18</v>
      </c>
      <c r="H2738" s="2">
        <v>0.75574074074074071</v>
      </c>
      <c r="I2738" t="s">
        <v>18</v>
      </c>
      <c r="J2738" t="s">
        <v>26</v>
      </c>
      <c r="K2738">
        <v>1</v>
      </c>
      <c r="L2738">
        <v>55</v>
      </c>
      <c r="M2738">
        <v>55</v>
      </c>
      <c r="N2738">
        <f>IF(COUNTIFS($B$2:B2738,B2738)=1,1,0)</f>
        <v>1</v>
      </c>
    </row>
    <row r="2739" spans="1:14" x14ac:dyDescent="0.2">
      <c r="A2739">
        <v>2738</v>
      </c>
      <c r="B2739">
        <v>2385</v>
      </c>
      <c r="C2739">
        <f>1/COUNTIF(B:B,Table1[[#This Row],[order_id]])</f>
        <v>0.33333333333333331</v>
      </c>
      <c r="D2739" t="str">
        <f>TEXT(Table1[[#This Row],[order_date]],"mmmm")</f>
        <v>August</v>
      </c>
      <c r="E2739" s="1">
        <v>45505</v>
      </c>
      <c r="F2739" s="1" t="str">
        <f>TEXT(Table1[[#This Row],[order_date]],"dddd")</f>
        <v>Thursday</v>
      </c>
      <c r="G2739">
        <f>HOUR(Table1[[#This Row],[order_time]])</f>
        <v>17</v>
      </c>
      <c r="H2739" s="2">
        <v>0.73137731481481483</v>
      </c>
      <c r="I2739" t="s">
        <v>9</v>
      </c>
      <c r="J2739" t="s">
        <v>20</v>
      </c>
      <c r="K2739">
        <v>3</v>
      </c>
      <c r="L2739">
        <v>25</v>
      </c>
      <c r="M2739">
        <v>75</v>
      </c>
      <c r="N2739">
        <f>IF(COUNTIFS($B$2:B2739,B2739)=1,1,0)</f>
        <v>0</v>
      </c>
    </row>
    <row r="2740" spans="1:14" x14ac:dyDescent="0.2">
      <c r="A2740">
        <v>2739</v>
      </c>
      <c r="B2740">
        <v>2385</v>
      </c>
      <c r="C2740">
        <f>1/COUNTIF(B:B,Table1[[#This Row],[order_id]])</f>
        <v>0.33333333333333331</v>
      </c>
      <c r="D2740" t="str">
        <f>TEXT(Table1[[#This Row],[order_date]],"mmmm")</f>
        <v>August</v>
      </c>
      <c r="E2740" s="1">
        <v>45505</v>
      </c>
      <c r="F2740" s="1" t="str">
        <f>TEXT(Table1[[#This Row],[order_date]],"dddd")</f>
        <v>Thursday</v>
      </c>
      <c r="G2740">
        <f>HOUR(Table1[[#This Row],[order_time]])</f>
        <v>12</v>
      </c>
      <c r="H2740" s="2">
        <v>0.52907407407407403</v>
      </c>
      <c r="I2740" t="s">
        <v>11</v>
      </c>
      <c r="J2740" t="s">
        <v>15</v>
      </c>
      <c r="K2740">
        <v>5</v>
      </c>
      <c r="L2740">
        <v>600</v>
      </c>
      <c r="M2740">
        <v>3000</v>
      </c>
      <c r="N2740">
        <f>IF(COUNTIFS($B$2:B2740,B2740)=1,1,0)</f>
        <v>0</v>
      </c>
    </row>
    <row r="2741" spans="1:14" x14ac:dyDescent="0.2">
      <c r="A2741">
        <v>2740</v>
      </c>
      <c r="B2741">
        <v>2386</v>
      </c>
      <c r="C2741">
        <f>1/COUNTIF(B:B,Table1[[#This Row],[order_id]])</f>
        <v>1</v>
      </c>
      <c r="D2741" t="str">
        <f>TEXT(Table1[[#This Row],[order_date]],"mmmm")</f>
        <v>August</v>
      </c>
      <c r="E2741" s="1">
        <v>45505</v>
      </c>
      <c r="F2741" s="1" t="str">
        <f>TEXT(Table1[[#This Row],[order_date]],"dddd")</f>
        <v>Thursday</v>
      </c>
      <c r="G2741">
        <f>HOUR(Table1[[#This Row],[order_time]])</f>
        <v>11</v>
      </c>
      <c r="H2741" s="2">
        <v>0.45937499999999998</v>
      </c>
      <c r="I2741" t="s">
        <v>11</v>
      </c>
      <c r="J2741" t="s">
        <v>13</v>
      </c>
      <c r="K2741">
        <v>4</v>
      </c>
      <c r="L2741">
        <v>680</v>
      </c>
      <c r="M2741">
        <v>2720</v>
      </c>
      <c r="N2741">
        <f>IF(COUNTIFS($B$2:B2741,B2741)=1,1,0)</f>
        <v>1</v>
      </c>
    </row>
    <row r="2742" spans="1:14" x14ac:dyDescent="0.2">
      <c r="A2742">
        <v>2741</v>
      </c>
      <c r="B2742">
        <v>2387</v>
      </c>
      <c r="C2742">
        <f>1/COUNTIF(B:B,Table1[[#This Row],[order_id]])</f>
        <v>0.33333333333333331</v>
      </c>
      <c r="D2742" t="str">
        <f>TEXT(Table1[[#This Row],[order_date]],"mmmm")</f>
        <v>August</v>
      </c>
      <c r="E2742" s="1">
        <v>45505</v>
      </c>
      <c r="F2742" s="1" t="str">
        <f>TEXT(Table1[[#This Row],[order_date]],"dddd")</f>
        <v>Thursday</v>
      </c>
      <c r="G2742">
        <f>HOUR(Table1[[#This Row],[order_time]])</f>
        <v>10</v>
      </c>
      <c r="H2742" s="2">
        <v>0.42899305555555556</v>
      </c>
      <c r="I2742" t="s">
        <v>9</v>
      </c>
      <c r="J2742" t="s">
        <v>21</v>
      </c>
      <c r="K2742">
        <v>1</v>
      </c>
      <c r="L2742">
        <v>10</v>
      </c>
      <c r="M2742">
        <v>10</v>
      </c>
      <c r="N2742">
        <f>IF(COUNTIFS($B$2:B2742,B2742)=1,1,0)</f>
        <v>1</v>
      </c>
    </row>
    <row r="2743" spans="1:14" x14ac:dyDescent="0.2">
      <c r="A2743">
        <v>2742</v>
      </c>
      <c r="B2743">
        <v>2387</v>
      </c>
      <c r="C2743">
        <f>1/COUNTIF(B:B,Table1[[#This Row],[order_id]])</f>
        <v>0.33333333333333331</v>
      </c>
      <c r="D2743" t="str">
        <f>TEXT(Table1[[#This Row],[order_date]],"mmmm")</f>
        <v>August</v>
      </c>
      <c r="E2743" s="1">
        <v>45505</v>
      </c>
      <c r="F2743" s="1" t="str">
        <f>TEXT(Table1[[#This Row],[order_date]],"dddd")</f>
        <v>Thursday</v>
      </c>
      <c r="G2743">
        <f>HOUR(Table1[[#This Row],[order_time]])</f>
        <v>20</v>
      </c>
      <c r="H2743" s="2">
        <v>0.8743981481481482</v>
      </c>
      <c r="I2743" t="s">
        <v>16</v>
      </c>
      <c r="J2743" t="s">
        <v>28</v>
      </c>
      <c r="K2743">
        <v>3</v>
      </c>
      <c r="L2743">
        <v>25</v>
      </c>
      <c r="M2743">
        <v>75</v>
      </c>
      <c r="N2743">
        <f>IF(COUNTIFS($B$2:B2743,B2743)=1,1,0)</f>
        <v>0</v>
      </c>
    </row>
    <row r="2744" spans="1:14" x14ac:dyDescent="0.2">
      <c r="A2744">
        <v>2743</v>
      </c>
      <c r="B2744">
        <v>2387</v>
      </c>
      <c r="C2744">
        <f>1/COUNTIF(B:B,Table1[[#This Row],[order_id]])</f>
        <v>0.33333333333333331</v>
      </c>
      <c r="D2744" t="str">
        <f>TEXT(Table1[[#This Row],[order_date]],"mmmm")</f>
        <v>August</v>
      </c>
      <c r="E2744" s="1">
        <v>45505</v>
      </c>
      <c r="F2744" s="1" t="str">
        <f>TEXT(Table1[[#This Row],[order_date]],"dddd")</f>
        <v>Thursday</v>
      </c>
      <c r="G2744">
        <f>HOUR(Table1[[#This Row],[order_time]])</f>
        <v>9</v>
      </c>
      <c r="H2744" s="2">
        <v>0.39833333333333332</v>
      </c>
      <c r="I2744" t="s">
        <v>16</v>
      </c>
      <c r="J2744" t="s">
        <v>28</v>
      </c>
      <c r="K2744">
        <v>2</v>
      </c>
      <c r="L2744">
        <v>25</v>
      </c>
      <c r="M2744">
        <v>50</v>
      </c>
      <c r="N2744">
        <f>IF(COUNTIFS($B$2:B2744,B2744)=1,1,0)</f>
        <v>0</v>
      </c>
    </row>
    <row r="2745" spans="1:14" x14ac:dyDescent="0.2">
      <c r="A2745">
        <v>2744</v>
      </c>
      <c r="B2745">
        <v>2388</v>
      </c>
      <c r="C2745">
        <f>1/COUNTIF(B:B,Table1[[#This Row],[order_id]])</f>
        <v>0.33333333333333331</v>
      </c>
      <c r="D2745" t="str">
        <f>TEXT(Table1[[#This Row],[order_date]],"mmmm")</f>
        <v>August</v>
      </c>
      <c r="E2745" s="1">
        <v>45506</v>
      </c>
      <c r="F2745" s="1" t="str">
        <f>TEXT(Table1[[#This Row],[order_date]],"dddd")</f>
        <v>Friday</v>
      </c>
      <c r="G2745">
        <f>HOUR(Table1[[#This Row],[order_time]])</f>
        <v>19</v>
      </c>
      <c r="H2745" s="2">
        <v>0.79609953703703706</v>
      </c>
      <c r="I2745" t="s">
        <v>9</v>
      </c>
      <c r="J2745" t="s">
        <v>21</v>
      </c>
      <c r="K2745">
        <v>1</v>
      </c>
      <c r="L2745">
        <v>10</v>
      </c>
      <c r="M2745">
        <v>10</v>
      </c>
      <c r="N2745">
        <f>IF(COUNTIFS($B$2:B2745,B2745)=1,1,0)</f>
        <v>1</v>
      </c>
    </row>
    <row r="2746" spans="1:14" x14ac:dyDescent="0.2">
      <c r="A2746">
        <v>2745</v>
      </c>
      <c r="B2746">
        <v>2388</v>
      </c>
      <c r="C2746">
        <f>1/COUNTIF(B:B,Table1[[#This Row],[order_id]])</f>
        <v>0.33333333333333331</v>
      </c>
      <c r="D2746" t="str">
        <f>TEXT(Table1[[#This Row],[order_date]],"mmmm")</f>
        <v>August</v>
      </c>
      <c r="E2746" s="1">
        <v>45506</v>
      </c>
      <c r="F2746" s="1" t="str">
        <f>TEXT(Table1[[#This Row],[order_date]],"dddd")</f>
        <v>Friday</v>
      </c>
      <c r="G2746">
        <f>HOUR(Table1[[#This Row],[order_time]])</f>
        <v>19</v>
      </c>
      <c r="H2746" s="2">
        <v>0.81585648148148149</v>
      </c>
      <c r="I2746" t="s">
        <v>9</v>
      </c>
      <c r="J2746" t="s">
        <v>20</v>
      </c>
      <c r="K2746">
        <v>3</v>
      </c>
      <c r="L2746">
        <v>25</v>
      </c>
      <c r="M2746">
        <v>75</v>
      </c>
      <c r="N2746">
        <f>IF(COUNTIFS($B$2:B2746,B2746)=1,1,0)</f>
        <v>0</v>
      </c>
    </row>
    <row r="2747" spans="1:14" x14ac:dyDescent="0.2">
      <c r="A2747">
        <v>2746</v>
      </c>
      <c r="B2747">
        <v>2388</v>
      </c>
      <c r="C2747">
        <f>1/COUNTIF(B:B,Table1[[#This Row],[order_id]])</f>
        <v>0.33333333333333331</v>
      </c>
      <c r="D2747" t="str">
        <f>TEXT(Table1[[#This Row],[order_date]],"mmmm")</f>
        <v>August</v>
      </c>
      <c r="E2747" s="1">
        <v>45506</v>
      </c>
      <c r="F2747" s="1" t="str">
        <f>TEXT(Table1[[#This Row],[order_date]],"dddd")</f>
        <v>Friday</v>
      </c>
      <c r="G2747">
        <f>HOUR(Table1[[#This Row],[order_time]])</f>
        <v>9</v>
      </c>
      <c r="H2747" s="2">
        <v>0.39344907407407409</v>
      </c>
      <c r="I2747" t="s">
        <v>16</v>
      </c>
      <c r="J2747" t="s">
        <v>28</v>
      </c>
      <c r="K2747">
        <v>2</v>
      </c>
      <c r="L2747">
        <v>25</v>
      </c>
      <c r="M2747">
        <v>50</v>
      </c>
      <c r="N2747">
        <f>IF(COUNTIFS($B$2:B2747,B2747)=1,1,0)</f>
        <v>0</v>
      </c>
    </row>
    <row r="2748" spans="1:14" x14ac:dyDescent="0.2">
      <c r="A2748">
        <v>2747</v>
      </c>
      <c r="B2748">
        <v>2389</v>
      </c>
      <c r="C2748">
        <f>1/COUNTIF(B:B,Table1[[#This Row],[order_id]])</f>
        <v>0.5</v>
      </c>
      <c r="D2748" t="str">
        <f>TEXT(Table1[[#This Row],[order_date]],"mmmm")</f>
        <v>August</v>
      </c>
      <c r="E2748" s="1">
        <v>45506</v>
      </c>
      <c r="F2748" s="1" t="str">
        <f>TEXT(Table1[[#This Row],[order_date]],"dddd")</f>
        <v>Friday</v>
      </c>
      <c r="G2748">
        <f>HOUR(Table1[[#This Row],[order_time]])</f>
        <v>13</v>
      </c>
      <c r="H2748" s="2">
        <v>0.55254629629629626</v>
      </c>
      <c r="I2748" t="s">
        <v>16</v>
      </c>
      <c r="J2748" t="s">
        <v>28</v>
      </c>
      <c r="K2748">
        <v>4</v>
      </c>
      <c r="L2748">
        <v>25</v>
      </c>
      <c r="M2748">
        <v>100</v>
      </c>
      <c r="N2748">
        <f>IF(COUNTIFS($B$2:B2748,B2748)=1,1,0)</f>
        <v>1</v>
      </c>
    </row>
    <row r="2749" spans="1:14" x14ac:dyDescent="0.2">
      <c r="A2749">
        <v>2748</v>
      </c>
      <c r="B2749">
        <v>2389</v>
      </c>
      <c r="C2749">
        <f>1/COUNTIF(B:B,Table1[[#This Row],[order_id]])</f>
        <v>0.5</v>
      </c>
      <c r="D2749" t="str">
        <f>TEXT(Table1[[#This Row],[order_date]],"mmmm")</f>
        <v>August</v>
      </c>
      <c r="E2749" s="1">
        <v>45506</v>
      </c>
      <c r="F2749" s="1" t="str">
        <f>TEXT(Table1[[#This Row],[order_date]],"dddd")</f>
        <v>Friday</v>
      </c>
      <c r="G2749">
        <f>HOUR(Table1[[#This Row],[order_time]])</f>
        <v>11</v>
      </c>
      <c r="H2749" s="2">
        <v>0.46900462962962963</v>
      </c>
      <c r="I2749" t="s">
        <v>11</v>
      </c>
      <c r="J2749" t="s">
        <v>15</v>
      </c>
      <c r="K2749">
        <v>3</v>
      </c>
      <c r="L2749">
        <v>600</v>
      </c>
      <c r="M2749">
        <v>1800</v>
      </c>
      <c r="N2749">
        <f>IF(COUNTIFS($B$2:B2749,B2749)=1,1,0)</f>
        <v>0</v>
      </c>
    </row>
    <row r="2750" spans="1:14" x14ac:dyDescent="0.2">
      <c r="A2750">
        <v>2749</v>
      </c>
      <c r="B2750">
        <v>2390</v>
      </c>
      <c r="C2750">
        <f>1/COUNTIF(B:B,Table1[[#This Row],[order_id]])</f>
        <v>0.33333333333333331</v>
      </c>
      <c r="D2750" t="str">
        <f>TEXT(Table1[[#This Row],[order_date]],"mmmm")</f>
        <v>August</v>
      </c>
      <c r="E2750" s="1">
        <v>45506</v>
      </c>
      <c r="F2750" s="1" t="str">
        <f>TEXT(Table1[[#This Row],[order_date]],"dddd")</f>
        <v>Friday</v>
      </c>
      <c r="G2750">
        <f>HOUR(Table1[[#This Row],[order_time]])</f>
        <v>18</v>
      </c>
      <c r="H2750" s="2">
        <v>0.77780092592592598</v>
      </c>
      <c r="I2750" t="s">
        <v>18</v>
      </c>
      <c r="J2750" t="s">
        <v>26</v>
      </c>
      <c r="K2750">
        <v>2</v>
      </c>
      <c r="L2750">
        <v>55</v>
      </c>
      <c r="M2750">
        <v>110</v>
      </c>
      <c r="N2750">
        <f>IF(COUNTIFS($B$2:B2750,B2750)=1,1,0)</f>
        <v>1</v>
      </c>
    </row>
    <row r="2751" spans="1:14" x14ac:dyDescent="0.2">
      <c r="A2751">
        <v>2750</v>
      </c>
      <c r="B2751">
        <v>2390</v>
      </c>
      <c r="C2751">
        <f>1/COUNTIF(B:B,Table1[[#This Row],[order_id]])</f>
        <v>0.33333333333333331</v>
      </c>
      <c r="D2751" t="str">
        <f>TEXT(Table1[[#This Row],[order_date]],"mmmm")</f>
        <v>August</v>
      </c>
      <c r="E2751" s="1">
        <v>45506</v>
      </c>
      <c r="F2751" s="1" t="str">
        <f>TEXT(Table1[[#This Row],[order_date]],"dddd")</f>
        <v>Friday</v>
      </c>
      <c r="G2751">
        <f>HOUR(Table1[[#This Row],[order_time]])</f>
        <v>14</v>
      </c>
      <c r="H2751" s="2">
        <v>0.62229166666666669</v>
      </c>
      <c r="I2751" t="s">
        <v>9</v>
      </c>
      <c r="J2751" t="s">
        <v>20</v>
      </c>
      <c r="K2751">
        <v>4</v>
      </c>
      <c r="L2751">
        <v>25</v>
      </c>
      <c r="M2751">
        <v>100</v>
      </c>
      <c r="N2751">
        <f>IF(COUNTIFS($B$2:B2751,B2751)=1,1,0)</f>
        <v>0</v>
      </c>
    </row>
    <row r="2752" spans="1:14" x14ac:dyDescent="0.2">
      <c r="A2752">
        <v>2751</v>
      </c>
      <c r="B2752">
        <v>2390</v>
      </c>
      <c r="C2752">
        <f>1/COUNTIF(B:B,Table1[[#This Row],[order_id]])</f>
        <v>0.33333333333333331</v>
      </c>
      <c r="D2752" t="str">
        <f>TEXT(Table1[[#This Row],[order_date]],"mmmm")</f>
        <v>August</v>
      </c>
      <c r="E2752" s="1">
        <v>45506</v>
      </c>
      <c r="F2752" s="1" t="str">
        <f>TEXT(Table1[[#This Row],[order_date]],"dddd")</f>
        <v>Friday</v>
      </c>
      <c r="G2752">
        <f>HOUR(Table1[[#This Row],[order_time]])</f>
        <v>13</v>
      </c>
      <c r="H2752" s="2">
        <v>0.56351851851851853</v>
      </c>
      <c r="I2752" t="s">
        <v>11</v>
      </c>
      <c r="J2752" t="s">
        <v>15</v>
      </c>
      <c r="K2752">
        <v>4</v>
      </c>
      <c r="L2752">
        <v>600</v>
      </c>
      <c r="M2752">
        <v>2400</v>
      </c>
      <c r="N2752">
        <f>IF(COUNTIFS($B$2:B2752,B2752)=1,1,0)</f>
        <v>0</v>
      </c>
    </row>
    <row r="2753" spans="1:14" x14ac:dyDescent="0.2">
      <c r="A2753">
        <v>2752</v>
      </c>
      <c r="B2753">
        <v>2391</v>
      </c>
      <c r="C2753">
        <f>1/COUNTIF(B:B,Table1[[#This Row],[order_id]])</f>
        <v>1</v>
      </c>
      <c r="D2753" t="str">
        <f>TEXT(Table1[[#This Row],[order_date]],"mmmm")</f>
        <v>August</v>
      </c>
      <c r="E2753" s="1">
        <v>45506</v>
      </c>
      <c r="F2753" s="1" t="str">
        <f>TEXT(Table1[[#This Row],[order_date]],"dddd")</f>
        <v>Friday</v>
      </c>
      <c r="G2753">
        <f>HOUR(Table1[[#This Row],[order_time]])</f>
        <v>19</v>
      </c>
      <c r="H2753" s="2">
        <v>0.81070601851851853</v>
      </c>
      <c r="I2753" t="s">
        <v>18</v>
      </c>
      <c r="J2753" t="s">
        <v>30</v>
      </c>
      <c r="K2753">
        <v>2</v>
      </c>
      <c r="L2753">
        <v>60</v>
      </c>
      <c r="M2753">
        <v>120</v>
      </c>
      <c r="N2753">
        <f>IF(COUNTIFS($B$2:B2753,B2753)=1,1,0)</f>
        <v>1</v>
      </c>
    </row>
    <row r="2754" spans="1:14" x14ac:dyDescent="0.2">
      <c r="A2754">
        <v>2753</v>
      </c>
      <c r="B2754">
        <v>2392</v>
      </c>
      <c r="C2754">
        <f>1/COUNTIF(B:B,Table1[[#This Row],[order_id]])</f>
        <v>0.33333333333333331</v>
      </c>
      <c r="D2754" t="str">
        <f>TEXT(Table1[[#This Row],[order_date]],"mmmm")</f>
        <v>August</v>
      </c>
      <c r="E2754" s="1">
        <v>45506</v>
      </c>
      <c r="F2754" s="1" t="str">
        <f>TEXT(Table1[[#This Row],[order_date]],"dddd")</f>
        <v>Friday</v>
      </c>
      <c r="G2754">
        <f>HOUR(Table1[[#This Row],[order_time]])</f>
        <v>18</v>
      </c>
      <c r="H2754" s="2">
        <v>0.77340277777777777</v>
      </c>
      <c r="I2754" t="s">
        <v>16</v>
      </c>
      <c r="J2754" t="s">
        <v>17</v>
      </c>
      <c r="K2754">
        <v>4</v>
      </c>
      <c r="L2754">
        <v>20</v>
      </c>
      <c r="M2754">
        <v>80</v>
      </c>
      <c r="N2754">
        <f>IF(COUNTIFS($B$2:B2754,B2754)=1,1,0)</f>
        <v>1</v>
      </c>
    </row>
    <row r="2755" spans="1:14" x14ac:dyDescent="0.2">
      <c r="A2755">
        <v>2754</v>
      </c>
      <c r="B2755">
        <v>2392</v>
      </c>
      <c r="C2755">
        <f>1/COUNTIF(B:B,Table1[[#This Row],[order_id]])</f>
        <v>0.33333333333333331</v>
      </c>
      <c r="D2755" t="str">
        <f>TEXT(Table1[[#This Row],[order_date]],"mmmm")</f>
        <v>August</v>
      </c>
      <c r="E2755" s="1">
        <v>45506</v>
      </c>
      <c r="F2755" s="1" t="str">
        <f>TEXT(Table1[[#This Row],[order_date]],"dddd")</f>
        <v>Friday</v>
      </c>
      <c r="G2755">
        <f>HOUR(Table1[[#This Row],[order_time]])</f>
        <v>19</v>
      </c>
      <c r="H2755" s="2">
        <v>0.79181712962962958</v>
      </c>
      <c r="I2755" t="s">
        <v>11</v>
      </c>
      <c r="J2755" t="s">
        <v>13</v>
      </c>
      <c r="K2755">
        <v>3</v>
      </c>
      <c r="L2755">
        <v>680</v>
      </c>
      <c r="M2755">
        <v>2040</v>
      </c>
      <c r="N2755">
        <f>IF(COUNTIFS($B$2:B2755,B2755)=1,1,0)</f>
        <v>0</v>
      </c>
    </row>
    <row r="2756" spans="1:14" x14ac:dyDescent="0.2">
      <c r="A2756">
        <v>2755</v>
      </c>
      <c r="B2756">
        <v>2392</v>
      </c>
      <c r="C2756">
        <f>1/COUNTIF(B:B,Table1[[#This Row],[order_id]])</f>
        <v>0.33333333333333331</v>
      </c>
      <c r="D2756" t="str">
        <f>TEXT(Table1[[#This Row],[order_date]],"mmmm")</f>
        <v>August</v>
      </c>
      <c r="E2756" s="1">
        <v>45506</v>
      </c>
      <c r="F2756" s="1" t="str">
        <f>TEXT(Table1[[#This Row],[order_date]],"dddd")</f>
        <v>Friday</v>
      </c>
      <c r="G2756">
        <f>HOUR(Table1[[#This Row],[order_time]])</f>
        <v>13</v>
      </c>
      <c r="H2756" s="2">
        <v>0.5587037037037037</v>
      </c>
      <c r="I2756" t="s">
        <v>18</v>
      </c>
      <c r="J2756" t="s">
        <v>30</v>
      </c>
      <c r="K2756">
        <v>1</v>
      </c>
      <c r="L2756">
        <v>60</v>
      </c>
      <c r="M2756">
        <v>60</v>
      </c>
      <c r="N2756">
        <f>IF(COUNTIFS($B$2:B2756,B2756)=1,1,0)</f>
        <v>0</v>
      </c>
    </row>
    <row r="2757" spans="1:14" x14ac:dyDescent="0.2">
      <c r="A2757">
        <v>2756</v>
      </c>
      <c r="B2757">
        <v>2393</v>
      </c>
      <c r="C2757">
        <f>1/COUNTIF(B:B,Table1[[#This Row],[order_id]])</f>
        <v>0.33333333333333331</v>
      </c>
      <c r="D2757" t="str">
        <f>TEXT(Table1[[#This Row],[order_date]],"mmmm")</f>
        <v>August</v>
      </c>
      <c r="E2757" s="1">
        <v>45506</v>
      </c>
      <c r="F2757" s="1" t="str">
        <f>TEXT(Table1[[#This Row],[order_date]],"dddd")</f>
        <v>Friday</v>
      </c>
      <c r="G2757">
        <f>HOUR(Table1[[#This Row],[order_time]])</f>
        <v>20</v>
      </c>
      <c r="H2757" s="2">
        <v>0.83921296296296299</v>
      </c>
      <c r="I2757" t="s">
        <v>9</v>
      </c>
      <c r="J2757" t="s">
        <v>29</v>
      </c>
      <c r="K2757">
        <v>3</v>
      </c>
      <c r="L2757">
        <v>5</v>
      </c>
      <c r="M2757">
        <v>15</v>
      </c>
      <c r="N2757">
        <f>IF(COUNTIFS($B$2:B2757,B2757)=1,1,0)</f>
        <v>1</v>
      </c>
    </row>
    <row r="2758" spans="1:14" x14ac:dyDescent="0.2">
      <c r="A2758">
        <v>2757</v>
      </c>
      <c r="B2758">
        <v>2393</v>
      </c>
      <c r="C2758">
        <f>1/COUNTIF(B:B,Table1[[#This Row],[order_id]])</f>
        <v>0.33333333333333331</v>
      </c>
      <c r="D2758" t="str">
        <f>TEXT(Table1[[#This Row],[order_date]],"mmmm")</f>
        <v>August</v>
      </c>
      <c r="E2758" s="1">
        <v>45506</v>
      </c>
      <c r="F2758" s="1" t="str">
        <f>TEXT(Table1[[#This Row],[order_date]],"dddd")</f>
        <v>Friday</v>
      </c>
      <c r="G2758">
        <f>HOUR(Table1[[#This Row],[order_time]])</f>
        <v>18</v>
      </c>
      <c r="H2758" s="2">
        <v>0.78570601851851851</v>
      </c>
      <c r="I2758" t="s">
        <v>16</v>
      </c>
      <c r="J2758" t="s">
        <v>17</v>
      </c>
      <c r="K2758">
        <v>1</v>
      </c>
      <c r="L2758">
        <v>20</v>
      </c>
      <c r="M2758">
        <v>20</v>
      </c>
      <c r="N2758">
        <f>IF(COUNTIFS($B$2:B2758,B2758)=1,1,0)</f>
        <v>0</v>
      </c>
    </row>
    <row r="2759" spans="1:14" x14ac:dyDescent="0.2">
      <c r="A2759">
        <v>2758</v>
      </c>
      <c r="B2759">
        <v>2393</v>
      </c>
      <c r="C2759">
        <f>1/COUNTIF(B:B,Table1[[#This Row],[order_id]])</f>
        <v>0.33333333333333331</v>
      </c>
      <c r="D2759" t="str">
        <f>TEXT(Table1[[#This Row],[order_date]],"mmmm")</f>
        <v>August</v>
      </c>
      <c r="E2759" s="1">
        <v>45506</v>
      </c>
      <c r="F2759" s="1" t="str">
        <f>TEXT(Table1[[#This Row],[order_date]],"dddd")</f>
        <v>Friday</v>
      </c>
      <c r="G2759">
        <f>HOUR(Table1[[#This Row],[order_time]])</f>
        <v>16</v>
      </c>
      <c r="H2759" s="2">
        <v>0.70339120370370367</v>
      </c>
      <c r="I2759" t="s">
        <v>9</v>
      </c>
      <c r="J2759" t="s">
        <v>22</v>
      </c>
      <c r="K2759">
        <v>1</v>
      </c>
      <c r="L2759">
        <v>15</v>
      </c>
      <c r="M2759">
        <v>15</v>
      </c>
      <c r="N2759">
        <f>IF(COUNTIFS($B$2:B2759,B2759)=1,1,0)</f>
        <v>0</v>
      </c>
    </row>
    <row r="2760" spans="1:14" x14ac:dyDescent="0.2">
      <c r="A2760">
        <v>2759</v>
      </c>
      <c r="B2760">
        <v>2394</v>
      </c>
      <c r="C2760">
        <f>1/COUNTIF(B:B,Table1[[#This Row],[order_id]])</f>
        <v>0.5</v>
      </c>
      <c r="D2760" t="str">
        <f>TEXT(Table1[[#This Row],[order_date]],"mmmm")</f>
        <v>August</v>
      </c>
      <c r="E2760" s="1">
        <v>45506</v>
      </c>
      <c r="F2760" s="1" t="str">
        <f>TEXT(Table1[[#This Row],[order_date]],"dddd")</f>
        <v>Friday</v>
      </c>
      <c r="G2760">
        <f>HOUR(Table1[[#This Row],[order_time]])</f>
        <v>19</v>
      </c>
      <c r="H2760" s="2">
        <v>0.82652777777777775</v>
      </c>
      <c r="I2760" t="s">
        <v>11</v>
      </c>
      <c r="J2760" t="s">
        <v>13</v>
      </c>
      <c r="K2760">
        <v>5</v>
      </c>
      <c r="L2760">
        <v>680</v>
      </c>
      <c r="M2760">
        <v>3400</v>
      </c>
      <c r="N2760">
        <f>IF(COUNTIFS($B$2:B2760,B2760)=1,1,0)</f>
        <v>1</v>
      </c>
    </row>
    <row r="2761" spans="1:14" x14ac:dyDescent="0.2">
      <c r="A2761">
        <v>2760</v>
      </c>
      <c r="B2761">
        <v>2394</v>
      </c>
      <c r="C2761">
        <f>1/COUNTIF(B:B,Table1[[#This Row],[order_id]])</f>
        <v>0.5</v>
      </c>
      <c r="D2761" t="str">
        <f>TEXT(Table1[[#This Row],[order_date]],"mmmm")</f>
        <v>August</v>
      </c>
      <c r="E2761" s="1">
        <v>45506</v>
      </c>
      <c r="F2761" s="1" t="str">
        <f>TEXT(Table1[[#This Row],[order_date]],"dddd")</f>
        <v>Friday</v>
      </c>
      <c r="G2761">
        <f>HOUR(Table1[[#This Row],[order_time]])</f>
        <v>11</v>
      </c>
      <c r="H2761" s="2">
        <v>0.48447916666666668</v>
      </c>
      <c r="I2761" t="s">
        <v>16</v>
      </c>
      <c r="J2761" t="s">
        <v>28</v>
      </c>
      <c r="K2761">
        <v>2</v>
      </c>
      <c r="L2761">
        <v>25</v>
      </c>
      <c r="M2761">
        <v>50</v>
      </c>
      <c r="N2761">
        <f>IF(COUNTIFS($B$2:B2761,B2761)=1,1,0)</f>
        <v>0</v>
      </c>
    </row>
    <row r="2762" spans="1:14" x14ac:dyDescent="0.2">
      <c r="A2762">
        <v>2761</v>
      </c>
      <c r="B2762">
        <v>2395</v>
      </c>
      <c r="C2762">
        <f>1/COUNTIF(B:B,Table1[[#This Row],[order_id]])</f>
        <v>1</v>
      </c>
      <c r="D2762" t="str">
        <f>TEXT(Table1[[#This Row],[order_date]],"mmmm")</f>
        <v>August</v>
      </c>
      <c r="E2762" s="1">
        <v>45506</v>
      </c>
      <c r="F2762" s="1" t="str">
        <f>TEXT(Table1[[#This Row],[order_date]],"dddd")</f>
        <v>Friday</v>
      </c>
      <c r="G2762">
        <f>HOUR(Table1[[#This Row],[order_time]])</f>
        <v>15</v>
      </c>
      <c r="H2762" s="2">
        <v>0.63589120370370367</v>
      </c>
      <c r="I2762" t="s">
        <v>11</v>
      </c>
      <c r="J2762" t="s">
        <v>14</v>
      </c>
      <c r="K2762">
        <v>4</v>
      </c>
      <c r="L2762">
        <v>700</v>
      </c>
      <c r="M2762">
        <v>2800</v>
      </c>
      <c r="N2762">
        <f>IF(COUNTIFS($B$2:B2762,B2762)=1,1,0)</f>
        <v>1</v>
      </c>
    </row>
    <row r="2763" spans="1:14" x14ac:dyDescent="0.2">
      <c r="A2763">
        <v>2762</v>
      </c>
      <c r="B2763">
        <v>2396</v>
      </c>
      <c r="C2763">
        <f>1/COUNTIF(B:B,Table1[[#This Row],[order_id]])</f>
        <v>1</v>
      </c>
      <c r="D2763" t="str">
        <f>TEXT(Table1[[#This Row],[order_date]],"mmmm")</f>
        <v>August</v>
      </c>
      <c r="E2763" s="1">
        <v>45507</v>
      </c>
      <c r="F2763" s="1" t="str">
        <f>TEXT(Table1[[#This Row],[order_date]],"dddd")</f>
        <v>Saturday</v>
      </c>
      <c r="G2763">
        <f>HOUR(Table1[[#This Row],[order_time]])</f>
        <v>16</v>
      </c>
      <c r="H2763" s="2">
        <v>0.66957175925925927</v>
      </c>
      <c r="I2763" t="s">
        <v>18</v>
      </c>
      <c r="J2763" t="s">
        <v>31</v>
      </c>
      <c r="K2763">
        <v>5</v>
      </c>
      <c r="L2763">
        <v>45</v>
      </c>
      <c r="M2763">
        <v>225</v>
      </c>
      <c r="N2763">
        <f>IF(COUNTIFS($B$2:B2763,B2763)=1,1,0)</f>
        <v>1</v>
      </c>
    </row>
    <row r="2764" spans="1:14" x14ac:dyDescent="0.2">
      <c r="A2764">
        <v>2763</v>
      </c>
      <c r="B2764">
        <v>2397</v>
      </c>
      <c r="C2764">
        <f>1/COUNTIF(B:B,Table1[[#This Row],[order_id]])</f>
        <v>1</v>
      </c>
      <c r="D2764" t="str">
        <f>TEXT(Table1[[#This Row],[order_date]],"mmmm")</f>
        <v>August</v>
      </c>
      <c r="E2764" s="1">
        <v>45507</v>
      </c>
      <c r="F2764" s="1" t="str">
        <f>TEXT(Table1[[#This Row],[order_date]],"dddd")</f>
        <v>Saturday</v>
      </c>
      <c r="G2764">
        <f>HOUR(Table1[[#This Row],[order_time]])</f>
        <v>15</v>
      </c>
      <c r="H2764" s="2">
        <v>0.6303009259259259</v>
      </c>
      <c r="I2764" t="s">
        <v>16</v>
      </c>
      <c r="J2764" t="s">
        <v>28</v>
      </c>
      <c r="K2764">
        <v>1</v>
      </c>
      <c r="L2764">
        <v>25</v>
      </c>
      <c r="M2764">
        <v>25</v>
      </c>
      <c r="N2764">
        <f>IF(COUNTIFS($B$2:B2764,B2764)=1,1,0)</f>
        <v>1</v>
      </c>
    </row>
    <row r="2765" spans="1:14" x14ac:dyDescent="0.2">
      <c r="A2765">
        <v>2764</v>
      </c>
      <c r="B2765">
        <v>2398</v>
      </c>
      <c r="C2765">
        <f>1/COUNTIF(B:B,Table1[[#This Row],[order_id]])</f>
        <v>1</v>
      </c>
      <c r="D2765" t="str">
        <f>TEXT(Table1[[#This Row],[order_date]],"mmmm")</f>
        <v>August</v>
      </c>
      <c r="E2765" s="1">
        <v>45507</v>
      </c>
      <c r="F2765" s="1" t="str">
        <f>TEXT(Table1[[#This Row],[order_date]],"dddd")</f>
        <v>Saturday</v>
      </c>
      <c r="G2765">
        <f>HOUR(Table1[[#This Row],[order_time]])</f>
        <v>15</v>
      </c>
      <c r="H2765" s="2">
        <v>0.63031250000000005</v>
      </c>
      <c r="I2765" t="s">
        <v>16</v>
      </c>
      <c r="J2765" t="s">
        <v>24</v>
      </c>
      <c r="K2765">
        <v>1</v>
      </c>
      <c r="L2765">
        <v>35</v>
      </c>
      <c r="M2765">
        <v>35</v>
      </c>
      <c r="N2765">
        <f>IF(COUNTIFS($B$2:B2765,B2765)=1,1,0)</f>
        <v>1</v>
      </c>
    </row>
    <row r="2766" spans="1:14" x14ac:dyDescent="0.2">
      <c r="A2766">
        <v>2765</v>
      </c>
      <c r="B2766">
        <v>2399</v>
      </c>
      <c r="C2766">
        <f>1/COUNTIF(B:B,Table1[[#This Row],[order_id]])</f>
        <v>0.33333333333333331</v>
      </c>
      <c r="D2766" t="str">
        <f>TEXT(Table1[[#This Row],[order_date]],"mmmm")</f>
        <v>August</v>
      </c>
      <c r="E2766" s="1">
        <v>45507</v>
      </c>
      <c r="F2766" s="1" t="str">
        <f>TEXT(Table1[[#This Row],[order_date]],"dddd")</f>
        <v>Saturday</v>
      </c>
      <c r="G2766">
        <f>HOUR(Table1[[#This Row],[order_time]])</f>
        <v>17</v>
      </c>
      <c r="H2766" s="2">
        <v>0.72906249999999995</v>
      </c>
      <c r="I2766" t="s">
        <v>16</v>
      </c>
      <c r="J2766" t="s">
        <v>23</v>
      </c>
      <c r="K2766">
        <v>1</v>
      </c>
      <c r="L2766">
        <v>30</v>
      </c>
      <c r="M2766">
        <v>30</v>
      </c>
      <c r="N2766">
        <f>IF(COUNTIFS($B$2:B2766,B2766)=1,1,0)</f>
        <v>1</v>
      </c>
    </row>
    <row r="2767" spans="1:14" x14ac:dyDescent="0.2">
      <c r="A2767">
        <v>2766</v>
      </c>
      <c r="B2767">
        <v>2399</v>
      </c>
      <c r="C2767">
        <f>1/COUNTIF(B:B,Table1[[#This Row],[order_id]])</f>
        <v>0.33333333333333331</v>
      </c>
      <c r="D2767" t="str">
        <f>TEXT(Table1[[#This Row],[order_date]],"mmmm")</f>
        <v>August</v>
      </c>
      <c r="E2767" s="1">
        <v>45507</v>
      </c>
      <c r="F2767" s="1" t="str">
        <f>TEXT(Table1[[#This Row],[order_date]],"dddd")</f>
        <v>Saturday</v>
      </c>
      <c r="G2767">
        <f>HOUR(Table1[[#This Row],[order_time]])</f>
        <v>19</v>
      </c>
      <c r="H2767" s="2">
        <v>0.81777777777777783</v>
      </c>
      <c r="I2767" t="s">
        <v>9</v>
      </c>
      <c r="J2767" t="s">
        <v>20</v>
      </c>
      <c r="K2767">
        <v>4</v>
      </c>
      <c r="L2767">
        <v>25</v>
      </c>
      <c r="M2767">
        <v>100</v>
      </c>
      <c r="N2767">
        <f>IF(COUNTIFS($B$2:B2767,B2767)=1,1,0)</f>
        <v>0</v>
      </c>
    </row>
    <row r="2768" spans="1:14" x14ac:dyDescent="0.2">
      <c r="A2768">
        <v>2767</v>
      </c>
      <c r="B2768">
        <v>2399</v>
      </c>
      <c r="C2768">
        <f>1/COUNTIF(B:B,Table1[[#This Row],[order_id]])</f>
        <v>0.33333333333333331</v>
      </c>
      <c r="D2768" t="str">
        <f>TEXT(Table1[[#This Row],[order_date]],"mmmm")</f>
        <v>August</v>
      </c>
      <c r="E2768" s="1">
        <v>45507</v>
      </c>
      <c r="F2768" s="1" t="str">
        <f>TEXT(Table1[[#This Row],[order_date]],"dddd")</f>
        <v>Saturday</v>
      </c>
      <c r="G2768">
        <f>HOUR(Table1[[#This Row],[order_time]])</f>
        <v>9</v>
      </c>
      <c r="H2768" s="2">
        <v>0.39020833333333332</v>
      </c>
      <c r="I2768" t="s">
        <v>18</v>
      </c>
      <c r="J2768" t="s">
        <v>30</v>
      </c>
      <c r="K2768">
        <v>1</v>
      </c>
      <c r="L2768">
        <v>60</v>
      </c>
      <c r="M2768">
        <v>60</v>
      </c>
      <c r="N2768">
        <f>IF(COUNTIFS($B$2:B2768,B2768)=1,1,0)</f>
        <v>0</v>
      </c>
    </row>
    <row r="2769" spans="1:14" x14ac:dyDescent="0.2">
      <c r="A2769">
        <v>2768</v>
      </c>
      <c r="B2769">
        <v>2400</v>
      </c>
      <c r="C2769">
        <f>1/COUNTIF(B:B,Table1[[#This Row],[order_id]])</f>
        <v>0.5</v>
      </c>
      <c r="D2769" t="str">
        <f>TEXT(Table1[[#This Row],[order_date]],"mmmm")</f>
        <v>August</v>
      </c>
      <c r="E2769" s="1">
        <v>45507</v>
      </c>
      <c r="F2769" s="1" t="str">
        <f>TEXT(Table1[[#This Row],[order_date]],"dddd")</f>
        <v>Saturday</v>
      </c>
      <c r="G2769">
        <f>HOUR(Table1[[#This Row],[order_time]])</f>
        <v>13</v>
      </c>
      <c r="H2769" s="2">
        <v>0.54754629629629625</v>
      </c>
      <c r="I2769" t="s">
        <v>16</v>
      </c>
      <c r="J2769" t="s">
        <v>24</v>
      </c>
      <c r="K2769">
        <v>2</v>
      </c>
      <c r="L2769">
        <v>35</v>
      </c>
      <c r="M2769">
        <v>70</v>
      </c>
      <c r="N2769">
        <f>IF(COUNTIFS($B$2:B2769,B2769)=1,1,0)</f>
        <v>1</v>
      </c>
    </row>
    <row r="2770" spans="1:14" x14ac:dyDescent="0.2">
      <c r="A2770">
        <v>2769</v>
      </c>
      <c r="B2770">
        <v>2400</v>
      </c>
      <c r="C2770">
        <f>1/COUNTIF(B:B,Table1[[#This Row],[order_id]])</f>
        <v>0.5</v>
      </c>
      <c r="D2770" t="str">
        <f>TEXT(Table1[[#This Row],[order_date]],"mmmm")</f>
        <v>August</v>
      </c>
      <c r="E2770" s="1">
        <v>45507</v>
      </c>
      <c r="F2770" s="1" t="str">
        <f>TEXT(Table1[[#This Row],[order_date]],"dddd")</f>
        <v>Saturday</v>
      </c>
      <c r="G2770">
        <f>HOUR(Table1[[#This Row],[order_time]])</f>
        <v>19</v>
      </c>
      <c r="H2770" s="2">
        <v>0.82046296296296295</v>
      </c>
      <c r="I2770" t="s">
        <v>11</v>
      </c>
      <c r="J2770" t="s">
        <v>12</v>
      </c>
      <c r="K2770">
        <v>1</v>
      </c>
      <c r="L2770">
        <v>650</v>
      </c>
      <c r="M2770">
        <v>650</v>
      </c>
      <c r="N2770">
        <f>IF(COUNTIFS($B$2:B2770,B2770)=1,1,0)</f>
        <v>0</v>
      </c>
    </row>
    <row r="2771" spans="1:14" x14ac:dyDescent="0.2">
      <c r="A2771">
        <v>2770</v>
      </c>
      <c r="B2771">
        <v>2401</v>
      </c>
      <c r="C2771">
        <f>1/COUNTIF(B:B,Table1[[#This Row],[order_id]])</f>
        <v>0.33333333333333331</v>
      </c>
      <c r="D2771" t="str">
        <f>TEXT(Table1[[#This Row],[order_date]],"mmmm")</f>
        <v>August</v>
      </c>
      <c r="E2771" s="1">
        <v>45507</v>
      </c>
      <c r="F2771" s="1" t="str">
        <f>TEXT(Table1[[#This Row],[order_date]],"dddd")</f>
        <v>Saturday</v>
      </c>
      <c r="G2771">
        <f>HOUR(Table1[[#This Row],[order_time]])</f>
        <v>10</v>
      </c>
      <c r="H2771" s="2">
        <v>0.45033564814814814</v>
      </c>
      <c r="I2771" t="s">
        <v>11</v>
      </c>
      <c r="J2771" t="s">
        <v>12</v>
      </c>
      <c r="K2771">
        <v>4</v>
      </c>
      <c r="L2771">
        <v>650</v>
      </c>
      <c r="M2771">
        <v>2600</v>
      </c>
      <c r="N2771">
        <f>IF(COUNTIFS($B$2:B2771,B2771)=1,1,0)</f>
        <v>1</v>
      </c>
    </row>
    <row r="2772" spans="1:14" x14ac:dyDescent="0.2">
      <c r="A2772">
        <v>2771</v>
      </c>
      <c r="B2772">
        <v>2401</v>
      </c>
      <c r="C2772">
        <f>1/COUNTIF(B:B,Table1[[#This Row],[order_id]])</f>
        <v>0.33333333333333331</v>
      </c>
      <c r="D2772" t="str">
        <f>TEXT(Table1[[#This Row],[order_date]],"mmmm")</f>
        <v>August</v>
      </c>
      <c r="E2772" s="1">
        <v>45507</v>
      </c>
      <c r="F2772" s="1" t="str">
        <f>TEXT(Table1[[#This Row],[order_date]],"dddd")</f>
        <v>Saturday</v>
      </c>
      <c r="G2772">
        <f>HOUR(Table1[[#This Row],[order_time]])</f>
        <v>14</v>
      </c>
      <c r="H2772" s="2">
        <v>0.62251157407407409</v>
      </c>
      <c r="I2772" t="s">
        <v>9</v>
      </c>
      <c r="J2772" t="s">
        <v>22</v>
      </c>
      <c r="K2772">
        <v>4</v>
      </c>
      <c r="L2772">
        <v>15</v>
      </c>
      <c r="M2772">
        <v>60</v>
      </c>
      <c r="N2772">
        <f>IF(COUNTIFS($B$2:B2772,B2772)=1,1,0)</f>
        <v>0</v>
      </c>
    </row>
    <row r="2773" spans="1:14" x14ac:dyDescent="0.2">
      <c r="A2773">
        <v>2772</v>
      </c>
      <c r="B2773">
        <v>2401</v>
      </c>
      <c r="C2773">
        <f>1/COUNTIF(B:B,Table1[[#This Row],[order_id]])</f>
        <v>0.33333333333333331</v>
      </c>
      <c r="D2773" t="str">
        <f>TEXT(Table1[[#This Row],[order_date]],"mmmm")</f>
        <v>August</v>
      </c>
      <c r="E2773" s="1">
        <v>45507</v>
      </c>
      <c r="F2773" s="1" t="str">
        <f>TEXT(Table1[[#This Row],[order_date]],"dddd")</f>
        <v>Saturday</v>
      </c>
      <c r="G2773">
        <f>HOUR(Table1[[#This Row],[order_time]])</f>
        <v>16</v>
      </c>
      <c r="H2773" s="2">
        <v>0.69986111111111116</v>
      </c>
      <c r="I2773" t="s">
        <v>11</v>
      </c>
      <c r="J2773" t="s">
        <v>25</v>
      </c>
      <c r="K2773">
        <v>4</v>
      </c>
      <c r="L2773">
        <v>1000</v>
      </c>
      <c r="M2773">
        <v>4000</v>
      </c>
      <c r="N2773">
        <f>IF(COUNTIFS($B$2:B2773,B2773)=1,1,0)</f>
        <v>0</v>
      </c>
    </row>
    <row r="2774" spans="1:14" x14ac:dyDescent="0.2">
      <c r="A2774">
        <v>2773</v>
      </c>
      <c r="B2774">
        <v>2402</v>
      </c>
      <c r="C2774">
        <f>1/COUNTIF(B:B,Table1[[#This Row],[order_id]])</f>
        <v>1</v>
      </c>
      <c r="D2774" t="str">
        <f>TEXT(Table1[[#This Row],[order_date]],"mmmm")</f>
        <v>August</v>
      </c>
      <c r="E2774" s="1">
        <v>45507</v>
      </c>
      <c r="F2774" s="1" t="str">
        <f>TEXT(Table1[[#This Row],[order_date]],"dddd")</f>
        <v>Saturday</v>
      </c>
      <c r="G2774">
        <f>HOUR(Table1[[#This Row],[order_time]])</f>
        <v>13</v>
      </c>
      <c r="H2774" s="2">
        <v>0.58303240740740736</v>
      </c>
      <c r="I2774" t="s">
        <v>11</v>
      </c>
      <c r="J2774" t="s">
        <v>12</v>
      </c>
      <c r="K2774">
        <v>4</v>
      </c>
      <c r="L2774">
        <v>650</v>
      </c>
      <c r="M2774">
        <v>2600</v>
      </c>
      <c r="N2774">
        <f>IF(COUNTIFS($B$2:B2774,B2774)=1,1,0)</f>
        <v>1</v>
      </c>
    </row>
    <row r="2775" spans="1:14" x14ac:dyDescent="0.2">
      <c r="A2775">
        <v>2774</v>
      </c>
      <c r="B2775">
        <v>2403</v>
      </c>
      <c r="C2775">
        <f>1/COUNTIF(B:B,Table1[[#This Row],[order_id]])</f>
        <v>0.5</v>
      </c>
      <c r="D2775" t="str">
        <f>TEXT(Table1[[#This Row],[order_date]],"mmmm")</f>
        <v>August</v>
      </c>
      <c r="E2775" s="1">
        <v>45508</v>
      </c>
      <c r="F2775" s="1" t="str">
        <f>TEXT(Table1[[#This Row],[order_date]],"dddd")</f>
        <v>Sunday</v>
      </c>
      <c r="G2775">
        <f>HOUR(Table1[[#This Row],[order_time]])</f>
        <v>18</v>
      </c>
      <c r="H2775" s="2">
        <v>0.75064814814814818</v>
      </c>
      <c r="I2775" t="s">
        <v>9</v>
      </c>
      <c r="J2775" t="s">
        <v>20</v>
      </c>
      <c r="K2775">
        <v>3</v>
      </c>
      <c r="L2775">
        <v>25</v>
      </c>
      <c r="M2775">
        <v>75</v>
      </c>
      <c r="N2775">
        <f>IF(COUNTIFS($B$2:B2775,B2775)=1,1,0)</f>
        <v>1</v>
      </c>
    </row>
    <row r="2776" spans="1:14" x14ac:dyDescent="0.2">
      <c r="A2776">
        <v>2775</v>
      </c>
      <c r="B2776">
        <v>2403</v>
      </c>
      <c r="C2776">
        <f>1/COUNTIF(B:B,Table1[[#This Row],[order_id]])</f>
        <v>0.5</v>
      </c>
      <c r="D2776" t="str">
        <f>TEXT(Table1[[#This Row],[order_date]],"mmmm")</f>
        <v>August</v>
      </c>
      <c r="E2776" s="1">
        <v>45508</v>
      </c>
      <c r="F2776" s="1" t="str">
        <f>TEXT(Table1[[#This Row],[order_date]],"dddd")</f>
        <v>Sunday</v>
      </c>
      <c r="G2776">
        <f>HOUR(Table1[[#This Row],[order_time]])</f>
        <v>11</v>
      </c>
      <c r="H2776" s="2">
        <v>0.47437499999999999</v>
      </c>
      <c r="I2776" t="s">
        <v>16</v>
      </c>
      <c r="J2776" t="s">
        <v>23</v>
      </c>
      <c r="K2776">
        <v>1</v>
      </c>
      <c r="L2776">
        <v>30</v>
      </c>
      <c r="M2776">
        <v>30</v>
      </c>
      <c r="N2776">
        <f>IF(COUNTIFS($B$2:B2776,B2776)=1,1,0)</f>
        <v>0</v>
      </c>
    </row>
    <row r="2777" spans="1:14" x14ac:dyDescent="0.2">
      <c r="A2777">
        <v>2776</v>
      </c>
      <c r="B2777">
        <v>2404</v>
      </c>
      <c r="C2777">
        <f>1/COUNTIF(B:B,Table1[[#This Row],[order_id]])</f>
        <v>0.33333333333333331</v>
      </c>
      <c r="D2777" t="str">
        <f>TEXT(Table1[[#This Row],[order_date]],"mmmm")</f>
        <v>August</v>
      </c>
      <c r="E2777" s="1">
        <v>45508</v>
      </c>
      <c r="F2777" s="1" t="str">
        <f>TEXT(Table1[[#This Row],[order_date]],"dddd")</f>
        <v>Sunday</v>
      </c>
      <c r="G2777">
        <f>HOUR(Table1[[#This Row],[order_time]])</f>
        <v>15</v>
      </c>
      <c r="H2777" s="2">
        <v>0.62650462962962961</v>
      </c>
      <c r="I2777" t="s">
        <v>18</v>
      </c>
      <c r="J2777" t="s">
        <v>31</v>
      </c>
      <c r="K2777">
        <v>1</v>
      </c>
      <c r="L2777">
        <v>45</v>
      </c>
      <c r="M2777">
        <v>45</v>
      </c>
      <c r="N2777">
        <f>IF(COUNTIFS($B$2:B2777,B2777)=1,1,0)</f>
        <v>1</v>
      </c>
    </row>
    <row r="2778" spans="1:14" x14ac:dyDescent="0.2">
      <c r="A2778">
        <v>2777</v>
      </c>
      <c r="B2778">
        <v>2404</v>
      </c>
      <c r="C2778">
        <f>1/COUNTIF(B:B,Table1[[#This Row],[order_id]])</f>
        <v>0.33333333333333331</v>
      </c>
      <c r="D2778" t="str">
        <f>TEXT(Table1[[#This Row],[order_date]],"mmmm")</f>
        <v>August</v>
      </c>
      <c r="E2778" s="1">
        <v>45508</v>
      </c>
      <c r="F2778" s="1" t="str">
        <f>TEXT(Table1[[#This Row],[order_date]],"dddd")</f>
        <v>Sunday</v>
      </c>
      <c r="G2778">
        <f>HOUR(Table1[[#This Row],[order_time]])</f>
        <v>13</v>
      </c>
      <c r="H2778" s="2">
        <v>0.55421296296296296</v>
      </c>
      <c r="I2778" t="s">
        <v>11</v>
      </c>
      <c r="J2778" t="s">
        <v>12</v>
      </c>
      <c r="K2778">
        <v>2</v>
      </c>
      <c r="L2778">
        <v>650</v>
      </c>
      <c r="M2778">
        <v>1300</v>
      </c>
      <c r="N2778">
        <f>IF(COUNTIFS($B$2:B2778,B2778)=1,1,0)</f>
        <v>0</v>
      </c>
    </row>
    <row r="2779" spans="1:14" x14ac:dyDescent="0.2">
      <c r="A2779">
        <v>2778</v>
      </c>
      <c r="B2779">
        <v>2404</v>
      </c>
      <c r="C2779">
        <f>1/COUNTIF(B:B,Table1[[#This Row],[order_id]])</f>
        <v>0.33333333333333331</v>
      </c>
      <c r="D2779" t="str">
        <f>TEXT(Table1[[#This Row],[order_date]],"mmmm")</f>
        <v>August</v>
      </c>
      <c r="E2779" s="1">
        <v>45508</v>
      </c>
      <c r="F2779" s="1" t="str">
        <f>TEXT(Table1[[#This Row],[order_date]],"dddd")</f>
        <v>Sunday</v>
      </c>
      <c r="G2779">
        <f>HOUR(Table1[[#This Row],[order_time]])</f>
        <v>11</v>
      </c>
      <c r="H2779" s="2">
        <v>0.45976851851851852</v>
      </c>
      <c r="I2779" t="s">
        <v>9</v>
      </c>
      <c r="J2779" t="s">
        <v>29</v>
      </c>
      <c r="K2779">
        <v>2</v>
      </c>
      <c r="L2779">
        <v>5</v>
      </c>
      <c r="M2779">
        <v>10</v>
      </c>
      <c r="N2779">
        <f>IF(COUNTIFS($B$2:B2779,B2779)=1,1,0)</f>
        <v>0</v>
      </c>
    </row>
    <row r="2780" spans="1:14" x14ac:dyDescent="0.2">
      <c r="A2780">
        <v>2779</v>
      </c>
      <c r="B2780">
        <v>2405</v>
      </c>
      <c r="C2780">
        <f>1/COUNTIF(B:B,Table1[[#This Row],[order_id]])</f>
        <v>1</v>
      </c>
      <c r="D2780" t="str">
        <f>TEXT(Table1[[#This Row],[order_date]],"mmmm")</f>
        <v>August</v>
      </c>
      <c r="E2780" s="1">
        <v>45508</v>
      </c>
      <c r="F2780" s="1" t="str">
        <f>TEXT(Table1[[#This Row],[order_date]],"dddd")</f>
        <v>Sunday</v>
      </c>
      <c r="G2780">
        <f>HOUR(Table1[[#This Row],[order_time]])</f>
        <v>9</v>
      </c>
      <c r="H2780" s="2">
        <v>0.40342592592592591</v>
      </c>
      <c r="I2780" t="s">
        <v>18</v>
      </c>
      <c r="J2780" t="s">
        <v>26</v>
      </c>
      <c r="K2780">
        <v>4</v>
      </c>
      <c r="L2780">
        <v>55</v>
      </c>
      <c r="M2780">
        <v>220</v>
      </c>
      <c r="N2780">
        <f>IF(COUNTIFS($B$2:B2780,B2780)=1,1,0)</f>
        <v>1</v>
      </c>
    </row>
    <row r="2781" spans="1:14" x14ac:dyDescent="0.2">
      <c r="A2781">
        <v>2780</v>
      </c>
      <c r="B2781">
        <v>2406</v>
      </c>
      <c r="C2781">
        <f>1/COUNTIF(B:B,Table1[[#This Row],[order_id]])</f>
        <v>0.33333333333333331</v>
      </c>
      <c r="D2781" t="str">
        <f>TEXT(Table1[[#This Row],[order_date]],"mmmm")</f>
        <v>August</v>
      </c>
      <c r="E2781" s="1">
        <v>45508</v>
      </c>
      <c r="F2781" s="1" t="str">
        <f>TEXT(Table1[[#This Row],[order_date]],"dddd")</f>
        <v>Sunday</v>
      </c>
      <c r="G2781">
        <f>HOUR(Table1[[#This Row],[order_time]])</f>
        <v>18</v>
      </c>
      <c r="H2781" s="2">
        <v>0.7911111111111111</v>
      </c>
      <c r="I2781" t="s">
        <v>18</v>
      </c>
      <c r="J2781" t="s">
        <v>19</v>
      </c>
      <c r="K2781">
        <v>5</v>
      </c>
      <c r="L2781">
        <v>50</v>
      </c>
      <c r="M2781">
        <v>250</v>
      </c>
      <c r="N2781">
        <f>IF(COUNTIFS($B$2:B2781,B2781)=1,1,0)</f>
        <v>1</v>
      </c>
    </row>
    <row r="2782" spans="1:14" x14ac:dyDescent="0.2">
      <c r="A2782">
        <v>2781</v>
      </c>
      <c r="B2782">
        <v>2406</v>
      </c>
      <c r="C2782">
        <f>1/COUNTIF(B:B,Table1[[#This Row],[order_id]])</f>
        <v>0.33333333333333331</v>
      </c>
      <c r="D2782" t="str">
        <f>TEXT(Table1[[#This Row],[order_date]],"mmmm")</f>
        <v>August</v>
      </c>
      <c r="E2782" s="1">
        <v>45508</v>
      </c>
      <c r="F2782" s="1" t="str">
        <f>TEXT(Table1[[#This Row],[order_date]],"dddd")</f>
        <v>Sunday</v>
      </c>
      <c r="G2782">
        <f>HOUR(Table1[[#This Row],[order_time]])</f>
        <v>20</v>
      </c>
      <c r="H2782" s="2">
        <v>0.86105324074074074</v>
      </c>
      <c r="I2782" t="s">
        <v>16</v>
      </c>
      <c r="J2782" t="s">
        <v>23</v>
      </c>
      <c r="K2782">
        <v>5</v>
      </c>
      <c r="L2782">
        <v>30</v>
      </c>
      <c r="M2782">
        <v>150</v>
      </c>
      <c r="N2782">
        <f>IF(COUNTIFS($B$2:B2782,B2782)=1,1,0)</f>
        <v>0</v>
      </c>
    </row>
    <row r="2783" spans="1:14" x14ac:dyDescent="0.2">
      <c r="A2783">
        <v>2782</v>
      </c>
      <c r="B2783">
        <v>2406</v>
      </c>
      <c r="C2783">
        <f>1/COUNTIF(B:B,Table1[[#This Row],[order_id]])</f>
        <v>0.33333333333333331</v>
      </c>
      <c r="D2783" t="str">
        <f>TEXT(Table1[[#This Row],[order_date]],"mmmm")</f>
        <v>August</v>
      </c>
      <c r="E2783" s="1">
        <v>45508</v>
      </c>
      <c r="F2783" s="1" t="str">
        <f>TEXT(Table1[[#This Row],[order_date]],"dddd")</f>
        <v>Sunday</v>
      </c>
      <c r="G2783">
        <f>HOUR(Table1[[#This Row],[order_time]])</f>
        <v>12</v>
      </c>
      <c r="H2783" s="2">
        <v>0.51052083333333331</v>
      </c>
      <c r="I2783" t="s">
        <v>16</v>
      </c>
      <c r="J2783" t="s">
        <v>28</v>
      </c>
      <c r="K2783">
        <v>4</v>
      </c>
      <c r="L2783">
        <v>25</v>
      </c>
      <c r="M2783">
        <v>100</v>
      </c>
      <c r="N2783">
        <f>IF(COUNTIFS($B$2:B2783,B2783)=1,1,0)</f>
        <v>0</v>
      </c>
    </row>
    <row r="2784" spans="1:14" x14ac:dyDescent="0.2">
      <c r="A2784">
        <v>2783</v>
      </c>
      <c r="B2784">
        <v>2407</v>
      </c>
      <c r="C2784">
        <f>1/COUNTIF(B:B,Table1[[#This Row],[order_id]])</f>
        <v>0.33333333333333331</v>
      </c>
      <c r="D2784" t="str">
        <f>TEXT(Table1[[#This Row],[order_date]],"mmmm")</f>
        <v>August</v>
      </c>
      <c r="E2784" s="1">
        <v>45508</v>
      </c>
      <c r="F2784" s="1" t="str">
        <f>TEXT(Table1[[#This Row],[order_date]],"dddd")</f>
        <v>Sunday</v>
      </c>
      <c r="G2784">
        <f>HOUR(Table1[[#This Row],[order_time]])</f>
        <v>9</v>
      </c>
      <c r="H2784" s="2">
        <v>0.38184027777777779</v>
      </c>
      <c r="I2784" t="s">
        <v>18</v>
      </c>
      <c r="J2784" t="s">
        <v>19</v>
      </c>
      <c r="K2784">
        <v>1</v>
      </c>
      <c r="L2784">
        <v>50</v>
      </c>
      <c r="M2784">
        <v>50</v>
      </c>
      <c r="N2784">
        <f>IF(COUNTIFS($B$2:B2784,B2784)=1,1,0)</f>
        <v>1</v>
      </c>
    </row>
    <row r="2785" spans="1:14" x14ac:dyDescent="0.2">
      <c r="A2785">
        <v>2784</v>
      </c>
      <c r="B2785">
        <v>2407</v>
      </c>
      <c r="C2785">
        <f>1/COUNTIF(B:B,Table1[[#This Row],[order_id]])</f>
        <v>0.33333333333333331</v>
      </c>
      <c r="D2785" t="str">
        <f>TEXT(Table1[[#This Row],[order_date]],"mmmm")</f>
        <v>August</v>
      </c>
      <c r="E2785" s="1">
        <v>45508</v>
      </c>
      <c r="F2785" s="1" t="str">
        <f>TEXT(Table1[[#This Row],[order_date]],"dddd")</f>
        <v>Sunday</v>
      </c>
      <c r="G2785">
        <f>HOUR(Table1[[#This Row],[order_time]])</f>
        <v>20</v>
      </c>
      <c r="H2785" s="2">
        <v>0.84733796296296293</v>
      </c>
      <c r="I2785" t="s">
        <v>18</v>
      </c>
      <c r="J2785" t="s">
        <v>19</v>
      </c>
      <c r="K2785">
        <v>5</v>
      </c>
      <c r="L2785">
        <v>50</v>
      </c>
      <c r="M2785">
        <v>250</v>
      </c>
      <c r="N2785">
        <f>IF(COUNTIFS($B$2:B2785,B2785)=1,1,0)</f>
        <v>0</v>
      </c>
    </row>
    <row r="2786" spans="1:14" x14ac:dyDescent="0.2">
      <c r="A2786">
        <v>2785</v>
      </c>
      <c r="B2786">
        <v>2407</v>
      </c>
      <c r="C2786">
        <f>1/COUNTIF(B:B,Table1[[#This Row],[order_id]])</f>
        <v>0.33333333333333331</v>
      </c>
      <c r="D2786" t="str">
        <f>TEXT(Table1[[#This Row],[order_date]],"mmmm")</f>
        <v>August</v>
      </c>
      <c r="E2786" s="1">
        <v>45508</v>
      </c>
      <c r="F2786" s="1" t="str">
        <f>TEXT(Table1[[#This Row],[order_date]],"dddd")</f>
        <v>Sunday</v>
      </c>
      <c r="G2786">
        <f>HOUR(Table1[[#This Row],[order_time]])</f>
        <v>9</v>
      </c>
      <c r="H2786" s="2">
        <v>0.37666666666666665</v>
      </c>
      <c r="I2786" t="s">
        <v>9</v>
      </c>
      <c r="J2786" t="s">
        <v>22</v>
      </c>
      <c r="K2786">
        <v>3</v>
      </c>
      <c r="L2786">
        <v>15</v>
      </c>
      <c r="M2786">
        <v>45</v>
      </c>
      <c r="N2786">
        <f>IF(COUNTIFS($B$2:B2786,B2786)=1,1,0)</f>
        <v>0</v>
      </c>
    </row>
    <row r="2787" spans="1:14" x14ac:dyDescent="0.2">
      <c r="A2787">
        <v>2786</v>
      </c>
      <c r="B2787">
        <v>2408</v>
      </c>
      <c r="C2787">
        <f>1/COUNTIF(B:B,Table1[[#This Row],[order_id]])</f>
        <v>1</v>
      </c>
      <c r="D2787" t="str">
        <f>TEXT(Table1[[#This Row],[order_date]],"mmmm")</f>
        <v>August</v>
      </c>
      <c r="E2787" s="1">
        <v>45508</v>
      </c>
      <c r="F2787" s="1" t="str">
        <f>TEXT(Table1[[#This Row],[order_date]],"dddd")</f>
        <v>Sunday</v>
      </c>
      <c r="G2787">
        <f>HOUR(Table1[[#This Row],[order_time]])</f>
        <v>16</v>
      </c>
      <c r="H2787" s="2">
        <v>0.68040509259259263</v>
      </c>
      <c r="I2787" t="s">
        <v>18</v>
      </c>
      <c r="J2787" t="s">
        <v>30</v>
      </c>
      <c r="K2787">
        <v>1</v>
      </c>
      <c r="L2787">
        <v>60</v>
      </c>
      <c r="M2787">
        <v>60</v>
      </c>
      <c r="N2787">
        <f>IF(COUNTIFS($B$2:B2787,B2787)=1,1,0)</f>
        <v>1</v>
      </c>
    </row>
    <row r="2788" spans="1:14" x14ac:dyDescent="0.2">
      <c r="A2788">
        <v>2787</v>
      </c>
      <c r="B2788">
        <v>2409</v>
      </c>
      <c r="C2788">
        <f>1/COUNTIF(B:B,Table1[[#This Row],[order_id]])</f>
        <v>1</v>
      </c>
      <c r="D2788" t="str">
        <f>TEXT(Table1[[#This Row],[order_date]],"mmmm")</f>
        <v>August</v>
      </c>
      <c r="E2788" s="1">
        <v>45509</v>
      </c>
      <c r="F2788" s="1" t="str">
        <f>TEXT(Table1[[#This Row],[order_date]],"dddd")</f>
        <v>Monday</v>
      </c>
      <c r="G2788">
        <f>HOUR(Table1[[#This Row],[order_time]])</f>
        <v>18</v>
      </c>
      <c r="H2788" s="2">
        <v>0.78023148148148147</v>
      </c>
      <c r="I2788" t="s">
        <v>9</v>
      </c>
      <c r="J2788" t="s">
        <v>20</v>
      </c>
      <c r="K2788">
        <v>3</v>
      </c>
      <c r="L2788">
        <v>25</v>
      </c>
      <c r="M2788">
        <v>75</v>
      </c>
      <c r="N2788">
        <f>IF(COUNTIFS($B$2:B2788,B2788)=1,1,0)</f>
        <v>1</v>
      </c>
    </row>
    <row r="2789" spans="1:14" x14ac:dyDescent="0.2">
      <c r="A2789">
        <v>2788</v>
      </c>
      <c r="B2789">
        <v>2410</v>
      </c>
      <c r="C2789">
        <f>1/COUNTIF(B:B,Table1[[#This Row],[order_id]])</f>
        <v>0.33333333333333331</v>
      </c>
      <c r="D2789" t="str">
        <f>TEXT(Table1[[#This Row],[order_date]],"mmmm")</f>
        <v>August</v>
      </c>
      <c r="E2789" s="1">
        <v>45509</v>
      </c>
      <c r="F2789" s="1" t="str">
        <f>TEXT(Table1[[#This Row],[order_date]],"dddd")</f>
        <v>Monday</v>
      </c>
      <c r="G2789">
        <f>HOUR(Table1[[#This Row],[order_time]])</f>
        <v>20</v>
      </c>
      <c r="H2789" s="2">
        <v>0.85252314814814811</v>
      </c>
      <c r="I2789" t="s">
        <v>18</v>
      </c>
      <c r="J2789" t="s">
        <v>30</v>
      </c>
      <c r="K2789">
        <v>4</v>
      </c>
      <c r="L2789">
        <v>60</v>
      </c>
      <c r="M2789">
        <v>240</v>
      </c>
      <c r="N2789">
        <f>IF(COUNTIFS($B$2:B2789,B2789)=1,1,0)</f>
        <v>1</v>
      </c>
    </row>
    <row r="2790" spans="1:14" x14ac:dyDescent="0.2">
      <c r="A2790">
        <v>2789</v>
      </c>
      <c r="B2790">
        <v>2410</v>
      </c>
      <c r="C2790">
        <f>1/COUNTIF(B:B,Table1[[#This Row],[order_id]])</f>
        <v>0.33333333333333331</v>
      </c>
      <c r="D2790" t="str">
        <f>TEXT(Table1[[#This Row],[order_date]],"mmmm")</f>
        <v>August</v>
      </c>
      <c r="E2790" s="1">
        <v>45509</v>
      </c>
      <c r="F2790" s="1" t="str">
        <f>TEXT(Table1[[#This Row],[order_date]],"dddd")</f>
        <v>Monday</v>
      </c>
      <c r="G2790">
        <f>HOUR(Table1[[#This Row],[order_time]])</f>
        <v>9</v>
      </c>
      <c r="H2790" s="2">
        <v>0.41373842592592591</v>
      </c>
      <c r="I2790" t="s">
        <v>9</v>
      </c>
      <c r="J2790" t="s">
        <v>22</v>
      </c>
      <c r="K2790">
        <v>5</v>
      </c>
      <c r="L2790">
        <v>15</v>
      </c>
      <c r="M2790">
        <v>75</v>
      </c>
      <c r="N2790">
        <f>IF(COUNTIFS($B$2:B2790,B2790)=1,1,0)</f>
        <v>0</v>
      </c>
    </row>
    <row r="2791" spans="1:14" x14ac:dyDescent="0.2">
      <c r="A2791">
        <v>2790</v>
      </c>
      <c r="B2791">
        <v>2410</v>
      </c>
      <c r="C2791">
        <f>1/COUNTIF(B:B,Table1[[#This Row],[order_id]])</f>
        <v>0.33333333333333331</v>
      </c>
      <c r="D2791" t="str">
        <f>TEXT(Table1[[#This Row],[order_date]],"mmmm")</f>
        <v>August</v>
      </c>
      <c r="E2791" s="1">
        <v>45509</v>
      </c>
      <c r="F2791" s="1" t="str">
        <f>TEXT(Table1[[#This Row],[order_date]],"dddd")</f>
        <v>Monday</v>
      </c>
      <c r="G2791">
        <f>HOUR(Table1[[#This Row],[order_time]])</f>
        <v>18</v>
      </c>
      <c r="H2791" s="2">
        <v>0.78168981481481481</v>
      </c>
      <c r="I2791" t="s">
        <v>18</v>
      </c>
      <c r="J2791" t="s">
        <v>27</v>
      </c>
      <c r="K2791">
        <v>4</v>
      </c>
      <c r="L2791">
        <v>40</v>
      </c>
      <c r="M2791">
        <v>160</v>
      </c>
      <c r="N2791">
        <f>IF(COUNTIFS($B$2:B2791,B2791)=1,1,0)</f>
        <v>0</v>
      </c>
    </row>
    <row r="2792" spans="1:14" x14ac:dyDescent="0.2">
      <c r="A2792">
        <v>2791</v>
      </c>
      <c r="B2792">
        <v>2411</v>
      </c>
      <c r="C2792">
        <f>1/COUNTIF(B:B,Table1[[#This Row],[order_id]])</f>
        <v>0.33333333333333331</v>
      </c>
      <c r="D2792" t="str">
        <f>TEXT(Table1[[#This Row],[order_date]],"mmmm")</f>
        <v>August</v>
      </c>
      <c r="E2792" s="1">
        <v>45509</v>
      </c>
      <c r="F2792" s="1" t="str">
        <f>TEXT(Table1[[#This Row],[order_date]],"dddd")</f>
        <v>Monday</v>
      </c>
      <c r="G2792">
        <f>HOUR(Table1[[#This Row],[order_time]])</f>
        <v>9</v>
      </c>
      <c r="H2792" s="2">
        <v>0.4052662037037037</v>
      </c>
      <c r="I2792" t="s">
        <v>9</v>
      </c>
      <c r="J2792" t="s">
        <v>10</v>
      </c>
      <c r="K2792">
        <v>3</v>
      </c>
      <c r="L2792">
        <v>20</v>
      </c>
      <c r="M2792">
        <v>60</v>
      </c>
      <c r="N2792">
        <f>IF(COUNTIFS($B$2:B2792,B2792)=1,1,0)</f>
        <v>1</v>
      </c>
    </row>
    <row r="2793" spans="1:14" x14ac:dyDescent="0.2">
      <c r="A2793">
        <v>2792</v>
      </c>
      <c r="B2793">
        <v>2411</v>
      </c>
      <c r="C2793">
        <f>1/COUNTIF(B:B,Table1[[#This Row],[order_id]])</f>
        <v>0.33333333333333331</v>
      </c>
      <c r="D2793" t="str">
        <f>TEXT(Table1[[#This Row],[order_date]],"mmmm")</f>
        <v>August</v>
      </c>
      <c r="E2793" s="1">
        <v>45509</v>
      </c>
      <c r="F2793" s="1" t="str">
        <f>TEXT(Table1[[#This Row],[order_date]],"dddd")</f>
        <v>Monday</v>
      </c>
      <c r="G2793">
        <f>HOUR(Table1[[#This Row],[order_time]])</f>
        <v>15</v>
      </c>
      <c r="H2793" s="2">
        <v>0.65758101851851847</v>
      </c>
      <c r="I2793" t="s">
        <v>18</v>
      </c>
      <c r="J2793" t="s">
        <v>26</v>
      </c>
      <c r="K2793">
        <v>2</v>
      </c>
      <c r="L2793">
        <v>55</v>
      </c>
      <c r="M2793">
        <v>110</v>
      </c>
      <c r="N2793">
        <f>IF(COUNTIFS($B$2:B2793,B2793)=1,1,0)</f>
        <v>0</v>
      </c>
    </row>
    <row r="2794" spans="1:14" x14ac:dyDescent="0.2">
      <c r="A2794">
        <v>2793</v>
      </c>
      <c r="B2794">
        <v>2411</v>
      </c>
      <c r="C2794">
        <f>1/COUNTIF(B:B,Table1[[#This Row],[order_id]])</f>
        <v>0.33333333333333331</v>
      </c>
      <c r="D2794" t="str">
        <f>TEXT(Table1[[#This Row],[order_date]],"mmmm")</f>
        <v>August</v>
      </c>
      <c r="E2794" s="1">
        <v>45509</v>
      </c>
      <c r="F2794" s="1" t="str">
        <f>TEXT(Table1[[#This Row],[order_date]],"dddd")</f>
        <v>Monday</v>
      </c>
      <c r="G2794">
        <f>HOUR(Table1[[#This Row],[order_time]])</f>
        <v>11</v>
      </c>
      <c r="H2794" s="2">
        <v>0.49494212962962963</v>
      </c>
      <c r="I2794" t="s">
        <v>18</v>
      </c>
      <c r="J2794" t="s">
        <v>27</v>
      </c>
      <c r="K2794">
        <v>5</v>
      </c>
      <c r="L2794">
        <v>40</v>
      </c>
      <c r="M2794">
        <v>200</v>
      </c>
      <c r="N2794">
        <f>IF(COUNTIFS($B$2:B2794,B2794)=1,1,0)</f>
        <v>0</v>
      </c>
    </row>
    <row r="2795" spans="1:14" x14ac:dyDescent="0.2">
      <c r="A2795">
        <v>2794</v>
      </c>
      <c r="B2795">
        <v>2412</v>
      </c>
      <c r="C2795">
        <f>1/COUNTIF(B:B,Table1[[#This Row],[order_id]])</f>
        <v>0.33333333333333331</v>
      </c>
      <c r="D2795" t="str">
        <f>TEXT(Table1[[#This Row],[order_date]],"mmmm")</f>
        <v>August</v>
      </c>
      <c r="E2795" s="1">
        <v>45509</v>
      </c>
      <c r="F2795" s="1" t="str">
        <f>TEXT(Table1[[#This Row],[order_date]],"dddd")</f>
        <v>Monday</v>
      </c>
      <c r="G2795">
        <f>HOUR(Table1[[#This Row],[order_time]])</f>
        <v>12</v>
      </c>
      <c r="H2795" s="2">
        <v>0.52538194444444442</v>
      </c>
      <c r="I2795" t="s">
        <v>16</v>
      </c>
      <c r="J2795" t="s">
        <v>28</v>
      </c>
      <c r="K2795">
        <v>3</v>
      </c>
      <c r="L2795">
        <v>25</v>
      </c>
      <c r="M2795">
        <v>75</v>
      </c>
      <c r="N2795">
        <f>IF(COUNTIFS($B$2:B2795,B2795)=1,1,0)</f>
        <v>1</v>
      </c>
    </row>
    <row r="2796" spans="1:14" x14ac:dyDescent="0.2">
      <c r="A2796">
        <v>2795</v>
      </c>
      <c r="B2796">
        <v>2412</v>
      </c>
      <c r="C2796">
        <f>1/COUNTIF(B:B,Table1[[#This Row],[order_id]])</f>
        <v>0.33333333333333331</v>
      </c>
      <c r="D2796" t="str">
        <f>TEXT(Table1[[#This Row],[order_date]],"mmmm")</f>
        <v>August</v>
      </c>
      <c r="E2796" s="1">
        <v>45509</v>
      </c>
      <c r="F2796" s="1" t="str">
        <f>TEXT(Table1[[#This Row],[order_date]],"dddd")</f>
        <v>Monday</v>
      </c>
      <c r="G2796">
        <f>HOUR(Table1[[#This Row],[order_time]])</f>
        <v>14</v>
      </c>
      <c r="H2796" s="2">
        <v>0.59337962962962965</v>
      </c>
      <c r="I2796" t="s">
        <v>18</v>
      </c>
      <c r="J2796" t="s">
        <v>27</v>
      </c>
      <c r="K2796">
        <v>3</v>
      </c>
      <c r="L2796">
        <v>40</v>
      </c>
      <c r="M2796">
        <v>120</v>
      </c>
      <c r="N2796">
        <f>IF(COUNTIFS($B$2:B2796,B2796)=1,1,0)</f>
        <v>0</v>
      </c>
    </row>
    <row r="2797" spans="1:14" x14ac:dyDescent="0.2">
      <c r="A2797">
        <v>2796</v>
      </c>
      <c r="B2797">
        <v>2412</v>
      </c>
      <c r="C2797">
        <f>1/COUNTIF(B:B,Table1[[#This Row],[order_id]])</f>
        <v>0.33333333333333331</v>
      </c>
      <c r="D2797" t="str">
        <f>TEXT(Table1[[#This Row],[order_date]],"mmmm")</f>
        <v>August</v>
      </c>
      <c r="E2797" s="1">
        <v>45509</v>
      </c>
      <c r="F2797" s="1" t="str">
        <f>TEXT(Table1[[#This Row],[order_date]],"dddd")</f>
        <v>Monday</v>
      </c>
      <c r="G2797">
        <f>HOUR(Table1[[#This Row],[order_time]])</f>
        <v>20</v>
      </c>
      <c r="H2797" s="2">
        <v>0.84125000000000005</v>
      </c>
      <c r="I2797" t="s">
        <v>11</v>
      </c>
      <c r="J2797" t="s">
        <v>15</v>
      </c>
      <c r="K2797">
        <v>1</v>
      </c>
      <c r="L2797">
        <v>600</v>
      </c>
      <c r="M2797">
        <v>600</v>
      </c>
      <c r="N2797">
        <f>IF(COUNTIFS($B$2:B2797,B2797)=1,1,0)</f>
        <v>0</v>
      </c>
    </row>
    <row r="2798" spans="1:14" x14ac:dyDescent="0.2">
      <c r="A2798">
        <v>2797</v>
      </c>
      <c r="B2798">
        <v>2413</v>
      </c>
      <c r="C2798">
        <f>1/COUNTIF(B:B,Table1[[#This Row],[order_id]])</f>
        <v>0.33333333333333331</v>
      </c>
      <c r="D2798" t="str">
        <f>TEXT(Table1[[#This Row],[order_date]],"mmmm")</f>
        <v>August</v>
      </c>
      <c r="E2798" s="1">
        <v>45509</v>
      </c>
      <c r="F2798" s="1" t="str">
        <f>TEXT(Table1[[#This Row],[order_date]],"dddd")</f>
        <v>Monday</v>
      </c>
      <c r="G2798">
        <f>HOUR(Table1[[#This Row],[order_time]])</f>
        <v>17</v>
      </c>
      <c r="H2798" s="2">
        <v>0.72391203703703699</v>
      </c>
      <c r="I2798" t="s">
        <v>11</v>
      </c>
      <c r="J2798" t="s">
        <v>25</v>
      </c>
      <c r="K2798">
        <v>1</v>
      </c>
      <c r="L2798">
        <v>1000</v>
      </c>
      <c r="M2798">
        <v>1000</v>
      </c>
      <c r="N2798">
        <f>IF(COUNTIFS($B$2:B2798,B2798)=1,1,0)</f>
        <v>1</v>
      </c>
    </row>
    <row r="2799" spans="1:14" x14ac:dyDescent="0.2">
      <c r="A2799">
        <v>2798</v>
      </c>
      <c r="B2799">
        <v>2413</v>
      </c>
      <c r="C2799">
        <f>1/COUNTIF(B:B,Table1[[#This Row],[order_id]])</f>
        <v>0.33333333333333331</v>
      </c>
      <c r="D2799" t="str">
        <f>TEXT(Table1[[#This Row],[order_date]],"mmmm")</f>
        <v>August</v>
      </c>
      <c r="E2799" s="1">
        <v>45509</v>
      </c>
      <c r="F2799" s="1" t="str">
        <f>TEXT(Table1[[#This Row],[order_date]],"dddd")</f>
        <v>Monday</v>
      </c>
      <c r="G2799">
        <f>HOUR(Table1[[#This Row],[order_time]])</f>
        <v>19</v>
      </c>
      <c r="H2799" s="2">
        <v>0.79196759259259264</v>
      </c>
      <c r="I2799" t="s">
        <v>11</v>
      </c>
      <c r="J2799" t="s">
        <v>12</v>
      </c>
      <c r="K2799">
        <v>2</v>
      </c>
      <c r="L2799">
        <v>650</v>
      </c>
      <c r="M2799">
        <v>1300</v>
      </c>
      <c r="N2799">
        <f>IF(COUNTIFS($B$2:B2799,B2799)=1,1,0)</f>
        <v>0</v>
      </c>
    </row>
    <row r="2800" spans="1:14" x14ac:dyDescent="0.2">
      <c r="A2800">
        <v>2799</v>
      </c>
      <c r="B2800">
        <v>2413</v>
      </c>
      <c r="C2800">
        <f>1/COUNTIF(B:B,Table1[[#This Row],[order_id]])</f>
        <v>0.33333333333333331</v>
      </c>
      <c r="D2800" t="str">
        <f>TEXT(Table1[[#This Row],[order_date]],"mmmm")</f>
        <v>August</v>
      </c>
      <c r="E2800" s="1">
        <v>45509</v>
      </c>
      <c r="F2800" s="1" t="str">
        <f>TEXT(Table1[[#This Row],[order_date]],"dddd")</f>
        <v>Monday</v>
      </c>
      <c r="G2800">
        <f>HOUR(Table1[[#This Row],[order_time]])</f>
        <v>10</v>
      </c>
      <c r="H2800" s="2">
        <v>0.42310185185185184</v>
      </c>
      <c r="I2800" t="s">
        <v>11</v>
      </c>
      <c r="J2800" t="s">
        <v>25</v>
      </c>
      <c r="K2800">
        <v>2</v>
      </c>
      <c r="L2800">
        <v>1000</v>
      </c>
      <c r="M2800">
        <v>2000</v>
      </c>
      <c r="N2800">
        <f>IF(COUNTIFS($B$2:B2800,B2800)=1,1,0)</f>
        <v>0</v>
      </c>
    </row>
    <row r="2801" spans="1:14" x14ac:dyDescent="0.2">
      <c r="A2801">
        <v>2800</v>
      </c>
      <c r="B2801">
        <v>2414</v>
      </c>
      <c r="C2801">
        <f>1/COUNTIF(B:B,Table1[[#This Row],[order_id]])</f>
        <v>0.33333333333333331</v>
      </c>
      <c r="D2801" t="str">
        <f>TEXT(Table1[[#This Row],[order_date]],"mmmm")</f>
        <v>August</v>
      </c>
      <c r="E2801" s="1">
        <v>45509</v>
      </c>
      <c r="F2801" s="1" t="str">
        <f>TEXT(Table1[[#This Row],[order_date]],"dddd")</f>
        <v>Monday</v>
      </c>
      <c r="G2801">
        <f>HOUR(Table1[[#This Row],[order_time]])</f>
        <v>16</v>
      </c>
      <c r="H2801" s="2">
        <v>0.69309027777777776</v>
      </c>
      <c r="I2801" t="s">
        <v>18</v>
      </c>
      <c r="J2801" t="s">
        <v>31</v>
      </c>
      <c r="K2801">
        <v>2</v>
      </c>
      <c r="L2801">
        <v>45</v>
      </c>
      <c r="M2801">
        <v>90</v>
      </c>
      <c r="N2801">
        <f>IF(COUNTIFS($B$2:B2801,B2801)=1,1,0)</f>
        <v>1</v>
      </c>
    </row>
    <row r="2802" spans="1:14" x14ac:dyDescent="0.2">
      <c r="A2802">
        <v>2801</v>
      </c>
      <c r="B2802">
        <v>2414</v>
      </c>
      <c r="C2802">
        <f>1/COUNTIF(B:B,Table1[[#This Row],[order_id]])</f>
        <v>0.33333333333333331</v>
      </c>
      <c r="D2802" t="str">
        <f>TEXT(Table1[[#This Row],[order_date]],"mmmm")</f>
        <v>August</v>
      </c>
      <c r="E2802" s="1">
        <v>45509</v>
      </c>
      <c r="F2802" s="1" t="str">
        <f>TEXT(Table1[[#This Row],[order_date]],"dddd")</f>
        <v>Monday</v>
      </c>
      <c r="G2802">
        <f>HOUR(Table1[[#This Row],[order_time]])</f>
        <v>14</v>
      </c>
      <c r="H2802" s="2">
        <v>0.60295138888888888</v>
      </c>
      <c r="I2802" t="s">
        <v>16</v>
      </c>
      <c r="J2802" t="s">
        <v>17</v>
      </c>
      <c r="K2802">
        <v>3</v>
      </c>
      <c r="L2802">
        <v>20</v>
      </c>
      <c r="M2802">
        <v>60</v>
      </c>
      <c r="N2802">
        <f>IF(COUNTIFS($B$2:B2802,B2802)=1,1,0)</f>
        <v>0</v>
      </c>
    </row>
    <row r="2803" spans="1:14" x14ac:dyDescent="0.2">
      <c r="A2803">
        <v>2802</v>
      </c>
      <c r="B2803">
        <v>2414</v>
      </c>
      <c r="C2803">
        <f>1/COUNTIF(B:B,Table1[[#This Row],[order_id]])</f>
        <v>0.33333333333333331</v>
      </c>
      <c r="D2803" t="str">
        <f>TEXT(Table1[[#This Row],[order_date]],"mmmm")</f>
        <v>August</v>
      </c>
      <c r="E2803" s="1">
        <v>45509</v>
      </c>
      <c r="F2803" s="1" t="str">
        <f>TEXT(Table1[[#This Row],[order_date]],"dddd")</f>
        <v>Monday</v>
      </c>
      <c r="G2803">
        <f>HOUR(Table1[[#This Row],[order_time]])</f>
        <v>13</v>
      </c>
      <c r="H2803" s="2">
        <v>0.54667824074074078</v>
      </c>
      <c r="I2803" t="s">
        <v>11</v>
      </c>
      <c r="J2803" t="s">
        <v>25</v>
      </c>
      <c r="K2803">
        <v>3</v>
      </c>
      <c r="L2803">
        <v>1000</v>
      </c>
      <c r="M2803">
        <v>3000</v>
      </c>
      <c r="N2803">
        <f>IF(COUNTIFS($B$2:B2803,B2803)=1,1,0)</f>
        <v>0</v>
      </c>
    </row>
    <row r="2804" spans="1:14" x14ac:dyDescent="0.2">
      <c r="A2804">
        <v>2803</v>
      </c>
      <c r="B2804">
        <v>2415</v>
      </c>
      <c r="C2804">
        <f>1/COUNTIF(B:B,Table1[[#This Row],[order_id]])</f>
        <v>1</v>
      </c>
      <c r="D2804" t="str">
        <f>TEXT(Table1[[#This Row],[order_date]],"mmmm")</f>
        <v>August</v>
      </c>
      <c r="E2804" s="1">
        <v>45509</v>
      </c>
      <c r="F2804" s="1" t="str">
        <f>TEXT(Table1[[#This Row],[order_date]],"dddd")</f>
        <v>Monday</v>
      </c>
      <c r="G2804">
        <f>HOUR(Table1[[#This Row],[order_time]])</f>
        <v>10</v>
      </c>
      <c r="H2804" s="2">
        <v>0.43484953703703705</v>
      </c>
      <c r="I2804" t="s">
        <v>18</v>
      </c>
      <c r="J2804" t="s">
        <v>27</v>
      </c>
      <c r="K2804">
        <v>4</v>
      </c>
      <c r="L2804">
        <v>40</v>
      </c>
      <c r="M2804">
        <v>160</v>
      </c>
      <c r="N2804">
        <f>IF(COUNTIFS($B$2:B2804,B2804)=1,1,0)</f>
        <v>1</v>
      </c>
    </row>
    <row r="2805" spans="1:14" x14ac:dyDescent="0.2">
      <c r="A2805">
        <v>2804</v>
      </c>
      <c r="B2805">
        <v>2416</v>
      </c>
      <c r="C2805">
        <f>1/COUNTIF(B:B,Table1[[#This Row],[order_id]])</f>
        <v>0.5</v>
      </c>
      <c r="D2805" t="str">
        <f>TEXT(Table1[[#This Row],[order_date]],"mmmm")</f>
        <v>August</v>
      </c>
      <c r="E2805" s="1">
        <v>45509</v>
      </c>
      <c r="F2805" s="1" t="str">
        <f>TEXT(Table1[[#This Row],[order_date]],"dddd")</f>
        <v>Monday</v>
      </c>
      <c r="G2805">
        <f>HOUR(Table1[[#This Row],[order_time]])</f>
        <v>19</v>
      </c>
      <c r="H2805" s="2">
        <v>0.8263194444444445</v>
      </c>
      <c r="I2805" t="s">
        <v>18</v>
      </c>
      <c r="J2805" t="s">
        <v>19</v>
      </c>
      <c r="K2805">
        <v>1</v>
      </c>
      <c r="L2805">
        <v>50</v>
      </c>
      <c r="M2805">
        <v>50</v>
      </c>
      <c r="N2805">
        <f>IF(COUNTIFS($B$2:B2805,B2805)=1,1,0)</f>
        <v>1</v>
      </c>
    </row>
    <row r="2806" spans="1:14" x14ac:dyDescent="0.2">
      <c r="A2806">
        <v>2805</v>
      </c>
      <c r="B2806">
        <v>2416</v>
      </c>
      <c r="C2806">
        <f>1/COUNTIF(B:B,Table1[[#This Row],[order_id]])</f>
        <v>0.5</v>
      </c>
      <c r="D2806" t="str">
        <f>TEXT(Table1[[#This Row],[order_date]],"mmmm")</f>
        <v>August</v>
      </c>
      <c r="E2806" s="1">
        <v>45509</v>
      </c>
      <c r="F2806" s="1" t="str">
        <f>TEXT(Table1[[#This Row],[order_date]],"dddd")</f>
        <v>Monday</v>
      </c>
      <c r="G2806">
        <f>HOUR(Table1[[#This Row],[order_time]])</f>
        <v>12</v>
      </c>
      <c r="H2806" s="2">
        <v>0.53040509259259261</v>
      </c>
      <c r="I2806" t="s">
        <v>9</v>
      </c>
      <c r="J2806" t="s">
        <v>21</v>
      </c>
      <c r="K2806">
        <v>4</v>
      </c>
      <c r="L2806">
        <v>10</v>
      </c>
      <c r="M2806">
        <v>40</v>
      </c>
      <c r="N2806">
        <f>IF(COUNTIFS($B$2:B2806,B2806)=1,1,0)</f>
        <v>0</v>
      </c>
    </row>
    <row r="2807" spans="1:14" x14ac:dyDescent="0.2">
      <c r="A2807">
        <v>2806</v>
      </c>
      <c r="B2807">
        <v>2417</v>
      </c>
      <c r="C2807">
        <f>1/COUNTIF(B:B,Table1[[#This Row],[order_id]])</f>
        <v>1</v>
      </c>
      <c r="D2807" t="str">
        <f>TEXT(Table1[[#This Row],[order_date]],"mmmm")</f>
        <v>August</v>
      </c>
      <c r="E2807" s="1">
        <v>45509</v>
      </c>
      <c r="F2807" s="1" t="str">
        <f>TEXT(Table1[[#This Row],[order_date]],"dddd")</f>
        <v>Monday</v>
      </c>
      <c r="G2807">
        <f>HOUR(Table1[[#This Row],[order_time]])</f>
        <v>14</v>
      </c>
      <c r="H2807" s="2">
        <v>0.59015046296296292</v>
      </c>
      <c r="I2807" t="s">
        <v>11</v>
      </c>
      <c r="J2807" t="s">
        <v>25</v>
      </c>
      <c r="K2807">
        <v>3</v>
      </c>
      <c r="L2807">
        <v>1000</v>
      </c>
      <c r="M2807">
        <v>3000</v>
      </c>
      <c r="N2807">
        <f>IF(COUNTIFS($B$2:B2807,B2807)=1,1,0)</f>
        <v>1</v>
      </c>
    </row>
    <row r="2808" spans="1:14" x14ac:dyDescent="0.2">
      <c r="A2808">
        <v>2807</v>
      </c>
      <c r="B2808">
        <v>2418</v>
      </c>
      <c r="C2808">
        <f>1/COUNTIF(B:B,Table1[[#This Row],[order_id]])</f>
        <v>0.5</v>
      </c>
      <c r="D2808" t="str">
        <f>TEXT(Table1[[#This Row],[order_date]],"mmmm")</f>
        <v>August</v>
      </c>
      <c r="E2808" s="1">
        <v>45510</v>
      </c>
      <c r="F2808" s="1" t="str">
        <f>TEXT(Table1[[#This Row],[order_date]],"dddd")</f>
        <v>Tuesday</v>
      </c>
      <c r="G2808">
        <f>HOUR(Table1[[#This Row],[order_time]])</f>
        <v>11</v>
      </c>
      <c r="H2808" s="2">
        <v>0.48684027777777777</v>
      </c>
      <c r="I2808" t="s">
        <v>11</v>
      </c>
      <c r="J2808" t="s">
        <v>12</v>
      </c>
      <c r="K2808">
        <v>3</v>
      </c>
      <c r="L2808">
        <v>650</v>
      </c>
      <c r="M2808">
        <v>1950</v>
      </c>
      <c r="N2808">
        <f>IF(COUNTIFS($B$2:B2808,B2808)=1,1,0)</f>
        <v>1</v>
      </c>
    </row>
    <row r="2809" spans="1:14" x14ac:dyDescent="0.2">
      <c r="A2809">
        <v>2808</v>
      </c>
      <c r="B2809">
        <v>2418</v>
      </c>
      <c r="C2809">
        <f>1/COUNTIF(B:B,Table1[[#This Row],[order_id]])</f>
        <v>0.5</v>
      </c>
      <c r="D2809" t="str">
        <f>TEXT(Table1[[#This Row],[order_date]],"mmmm")</f>
        <v>August</v>
      </c>
      <c r="E2809" s="1">
        <v>45510</v>
      </c>
      <c r="F2809" s="1" t="str">
        <f>TEXT(Table1[[#This Row],[order_date]],"dddd")</f>
        <v>Tuesday</v>
      </c>
      <c r="G2809">
        <f>HOUR(Table1[[#This Row],[order_time]])</f>
        <v>19</v>
      </c>
      <c r="H2809" s="2">
        <v>0.81333333333333335</v>
      </c>
      <c r="I2809" t="s">
        <v>11</v>
      </c>
      <c r="J2809" t="s">
        <v>12</v>
      </c>
      <c r="K2809">
        <v>4</v>
      </c>
      <c r="L2809">
        <v>650</v>
      </c>
      <c r="M2809">
        <v>2600</v>
      </c>
      <c r="N2809">
        <f>IF(COUNTIFS($B$2:B2809,B2809)=1,1,0)</f>
        <v>0</v>
      </c>
    </row>
    <row r="2810" spans="1:14" x14ac:dyDescent="0.2">
      <c r="A2810">
        <v>2809</v>
      </c>
      <c r="B2810">
        <v>2419</v>
      </c>
      <c r="C2810">
        <f>1/COUNTIF(B:B,Table1[[#This Row],[order_id]])</f>
        <v>0.33333333333333331</v>
      </c>
      <c r="D2810" t="str">
        <f>TEXT(Table1[[#This Row],[order_date]],"mmmm")</f>
        <v>August</v>
      </c>
      <c r="E2810" s="1">
        <v>45510</v>
      </c>
      <c r="F2810" s="1" t="str">
        <f>TEXT(Table1[[#This Row],[order_date]],"dddd")</f>
        <v>Tuesday</v>
      </c>
      <c r="G2810">
        <f>HOUR(Table1[[#This Row],[order_time]])</f>
        <v>20</v>
      </c>
      <c r="H2810" s="2">
        <v>0.8383680555555556</v>
      </c>
      <c r="I2810" t="s">
        <v>9</v>
      </c>
      <c r="J2810" t="s">
        <v>20</v>
      </c>
      <c r="K2810">
        <v>4</v>
      </c>
      <c r="L2810">
        <v>25</v>
      </c>
      <c r="M2810">
        <v>100</v>
      </c>
      <c r="N2810">
        <f>IF(COUNTIFS($B$2:B2810,B2810)=1,1,0)</f>
        <v>1</v>
      </c>
    </row>
    <row r="2811" spans="1:14" x14ac:dyDescent="0.2">
      <c r="A2811">
        <v>2810</v>
      </c>
      <c r="B2811">
        <v>2419</v>
      </c>
      <c r="C2811">
        <f>1/COUNTIF(B:B,Table1[[#This Row],[order_id]])</f>
        <v>0.33333333333333331</v>
      </c>
      <c r="D2811" t="str">
        <f>TEXT(Table1[[#This Row],[order_date]],"mmmm")</f>
        <v>August</v>
      </c>
      <c r="E2811" s="1">
        <v>45510</v>
      </c>
      <c r="F2811" s="1" t="str">
        <f>TEXT(Table1[[#This Row],[order_date]],"dddd")</f>
        <v>Tuesday</v>
      </c>
      <c r="G2811">
        <f>HOUR(Table1[[#This Row],[order_time]])</f>
        <v>20</v>
      </c>
      <c r="H2811" s="2">
        <v>0.85016203703703708</v>
      </c>
      <c r="I2811" t="s">
        <v>9</v>
      </c>
      <c r="J2811" t="s">
        <v>21</v>
      </c>
      <c r="K2811">
        <v>4</v>
      </c>
      <c r="L2811">
        <v>10</v>
      </c>
      <c r="M2811">
        <v>40</v>
      </c>
      <c r="N2811">
        <f>IF(COUNTIFS($B$2:B2811,B2811)=1,1,0)</f>
        <v>0</v>
      </c>
    </row>
    <row r="2812" spans="1:14" x14ac:dyDescent="0.2">
      <c r="A2812">
        <v>2811</v>
      </c>
      <c r="B2812">
        <v>2419</v>
      </c>
      <c r="C2812">
        <f>1/COUNTIF(B:B,Table1[[#This Row],[order_id]])</f>
        <v>0.33333333333333331</v>
      </c>
      <c r="D2812" t="str">
        <f>TEXT(Table1[[#This Row],[order_date]],"mmmm")</f>
        <v>August</v>
      </c>
      <c r="E2812" s="1">
        <v>45510</v>
      </c>
      <c r="F2812" s="1" t="str">
        <f>TEXT(Table1[[#This Row],[order_date]],"dddd")</f>
        <v>Tuesday</v>
      </c>
      <c r="G2812">
        <f>HOUR(Table1[[#This Row],[order_time]])</f>
        <v>9</v>
      </c>
      <c r="H2812" s="2">
        <v>0.41107638888888887</v>
      </c>
      <c r="I2812" t="s">
        <v>11</v>
      </c>
      <c r="J2812" t="s">
        <v>14</v>
      </c>
      <c r="K2812">
        <v>1</v>
      </c>
      <c r="L2812">
        <v>700</v>
      </c>
      <c r="M2812">
        <v>700</v>
      </c>
      <c r="N2812">
        <f>IF(COUNTIFS($B$2:B2812,B2812)=1,1,0)</f>
        <v>0</v>
      </c>
    </row>
    <row r="2813" spans="1:14" x14ac:dyDescent="0.2">
      <c r="A2813">
        <v>2812</v>
      </c>
      <c r="B2813">
        <v>2420</v>
      </c>
      <c r="C2813">
        <f>1/COUNTIF(B:B,Table1[[#This Row],[order_id]])</f>
        <v>1</v>
      </c>
      <c r="D2813" t="str">
        <f>TEXT(Table1[[#This Row],[order_date]],"mmmm")</f>
        <v>August</v>
      </c>
      <c r="E2813" s="1">
        <v>45510</v>
      </c>
      <c r="F2813" s="1" t="str">
        <f>TEXT(Table1[[#This Row],[order_date]],"dddd")</f>
        <v>Tuesday</v>
      </c>
      <c r="G2813">
        <f>HOUR(Table1[[#This Row],[order_time]])</f>
        <v>20</v>
      </c>
      <c r="H2813" s="2">
        <v>0.87184027777777773</v>
      </c>
      <c r="I2813" t="s">
        <v>18</v>
      </c>
      <c r="J2813" t="s">
        <v>26</v>
      </c>
      <c r="K2813">
        <v>2</v>
      </c>
      <c r="L2813">
        <v>55</v>
      </c>
      <c r="M2813">
        <v>110</v>
      </c>
      <c r="N2813">
        <f>IF(COUNTIFS($B$2:B2813,B2813)=1,1,0)</f>
        <v>1</v>
      </c>
    </row>
    <row r="2814" spans="1:14" x14ac:dyDescent="0.2">
      <c r="A2814">
        <v>2813</v>
      </c>
      <c r="B2814">
        <v>2421</v>
      </c>
      <c r="C2814">
        <f>1/COUNTIF(B:B,Table1[[#This Row],[order_id]])</f>
        <v>0.33333333333333331</v>
      </c>
      <c r="D2814" t="str">
        <f>TEXT(Table1[[#This Row],[order_date]],"mmmm")</f>
        <v>August</v>
      </c>
      <c r="E2814" s="1">
        <v>45511</v>
      </c>
      <c r="F2814" s="1" t="str">
        <f>TEXT(Table1[[#This Row],[order_date]],"dddd")</f>
        <v>Wednesday</v>
      </c>
      <c r="G2814">
        <f>HOUR(Table1[[#This Row],[order_time]])</f>
        <v>11</v>
      </c>
      <c r="H2814" s="2">
        <v>0.47971064814814812</v>
      </c>
      <c r="I2814" t="s">
        <v>16</v>
      </c>
      <c r="J2814" t="s">
        <v>17</v>
      </c>
      <c r="K2814">
        <v>1</v>
      </c>
      <c r="L2814">
        <v>20</v>
      </c>
      <c r="M2814">
        <v>20</v>
      </c>
      <c r="N2814">
        <f>IF(COUNTIFS($B$2:B2814,B2814)=1,1,0)</f>
        <v>1</v>
      </c>
    </row>
    <row r="2815" spans="1:14" x14ac:dyDescent="0.2">
      <c r="A2815">
        <v>2814</v>
      </c>
      <c r="B2815">
        <v>2421</v>
      </c>
      <c r="C2815">
        <f>1/COUNTIF(B:B,Table1[[#This Row],[order_id]])</f>
        <v>0.33333333333333331</v>
      </c>
      <c r="D2815" t="str">
        <f>TEXT(Table1[[#This Row],[order_date]],"mmmm")</f>
        <v>August</v>
      </c>
      <c r="E2815" s="1">
        <v>45511</v>
      </c>
      <c r="F2815" s="1" t="str">
        <f>TEXT(Table1[[#This Row],[order_date]],"dddd")</f>
        <v>Wednesday</v>
      </c>
      <c r="G2815">
        <f>HOUR(Table1[[#This Row],[order_time]])</f>
        <v>9</v>
      </c>
      <c r="H2815" s="2">
        <v>0.40636574074074072</v>
      </c>
      <c r="I2815" t="s">
        <v>9</v>
      </c>
      <c r="J2815" t="s">
        <v>10</v>
      </c>
      <c r="K2815">
        <v>4</v>
      </c>
      <c r="L2815">
        <v>20</v>
      </c>
      <c r="M2815">
        <v>80</v>
      </c>
      <c r="N2815">
        <f>IF(COUNTIFS($B$2:B2815,B2815)=1,1,0)</f>
        <v>0</v>
      </c>
    </row>
    <row r="2816" spans="1:14" x14ac:dyDescent="0.2">
      <c r="A2816">
        <v>2815</v>
      </c>
      <c r="B2816">
        <v>2421</v>
      </c>
      <c r="C2816">
        <f>1/COUNTIF(B:B,Table1[[#This Row],[order_id]])</f>
        <v>0.33333333333333331</v>
      </c>
      <c r="D2816" t="str">
        <f>TEXT(Table1[[#This Row],[order_date]],"mmmm")</f>
        <v>August</v>
      </c>
      <c r="E2816" s="1">
        <v>45511</v>
      </c>
      <c r="F2816" s="1" t="str">
        <f>TEXT(Table1[[#This Row],[order_date]],"dddd")</f>
        <v>Wednesday</v>
      </c>
      <c r="G2816">
        <f>HOUR(Table1[[#This Row],[order_time]])</f>
        <v>19</v>
      </c>
      <c r="H2816" s="2">
        <v>0.80177083333333332</v>
      </c>
      <c r="I2816" t="s">
        <v>16</v>
      </c>
      <c r="J2816" t="s">
        <v>28</v>
      </c>
      <c r="K2816">
        <v>1</v>
      </c>
      <c r="L2816">
        <v>25</v>
      </c>
      <c r="M2816">
        <v>25</v>
      </c>
      <c r="N2816">
        <f>IF(COUNTIFS($B$2:B2816,B2816)=1,1,0)</f>
        <v>0</v>
      </c>
    </row>
    <row r="2817" spans="1:14" x14ac:dyDescent="0.2">
      <c r="A2817">
        <v>2816</v>
      </c>
      <c r="B2817">
        <v>2422</v>
      </c>
      <c r="C2817">
        <f>1/COUNTIF(B:B,Table1[[#This Row],[order_id]])</f>
        <v>1</v>
      </c>
      <c r="D2817" t="str">
        <f>TEXT(Table1[[#This Row],[order_date]],"mmmm")</f>
        <v>August</v>
      </c>
      <c r="E2817" s="1">
        <v>45511</v>
      </c>
      <c r="F2817" s="1" t="str">
        <f>TEXT(Table1[[#This Row],[order_date]],"dddd")</f>
        <v>Wednesday</v>
      </c>
      <c r="G2817">
        <f>HOUR(Table1[[#This Row],[order_time]])</f>
        <v>19</v>
      </c>
      <c r="H2817" s="2">
        <v>0.79320601851851846</v>
      </c>
      <c r="I2817" t="s">
        <v>9</v>
      </c>
      <c r="J2817" t="s">
        <v>29</v>
      </c>
      <c r="K2817">
        <v>1</v>
      </c>
      <c r="L2817">
        <v>5</v>
      </c>
      <c r="M2817">
        <v>5</v>
      </c>
      <c r="N2817">
        <f>IF(COUNTIFS($B$2:B2817,B2817)=1,1,0)</f>
        <v>1</v>
      </c>
    </row>
    <row r="2818" spans="1:14" x14ac:dyDescent="0.2">
      <c r="A2818">
        <v>2817</v>
      </c>
      <c r="B2818">
        <v>2423</v>
      </c>
      <c r="C2818">
        <f>1/COUNTIF(B:B,Table1[[#This Row],[order_id]])</f>
        <v>0.33333333333333331</v>
      </c>
      <c r="D2818" t="str">
        <f>TEXT(Table1[[#This Row],[order_date]],"mmmm")</f>
        <v>August</v>
      </c>
      <c r="E2818" s="1">
        <v>45511</v>
      </c>
      <c r="F2818" s="1" t="str">
        <f>TEXT(Table1[[#This Row],[order_date]],"dddd")</f>
        <v>Wednesday</v>
      </c>
      <c r="G2818">
        <f>HOUR(Table1[[#This Row],[order_time]])</f>
        <v>9</v>
      </c>
      <c r="H2818" s="2">
        <v>0.39934027777777775</v>
      </c>
      <c r="I2818" t="s">
        <v>9</v>
      </c>
      <c r="J2818" t="s">
        <v>29</v>
      </c>
      <c r="K2818">
        <v>1</v>
      </c>
      <c r="L2818">
        <v>5</v>
      </c>
      <c r="M2818">
        <v>5</v>
      </c>
      <c r="N2818">
        <f>IF(COUNTIFS($B$2:B2818,B2818)=1,1,0)</f>
        <v>1</v>
      </c>
    </row>
    <row r="2819" spans="1:14" x14ac:dyDescent="0.2">
      <c r="A2819">
        <v>2818</v>
      </c>
      <c r="B2819">
        <v>2423</v>
      </c>
      <c r="C2819">
        <f>1/COUNTIF(B:B,Table1[[#This Row],[order_id]])</f>
        <v>0.33333333333333331</v>
      </c>
      <c r="D2819" t="str">
        <f>TEXT(Table1[[#This Row],[order_date]],"mmmm")</f>
        <v>August</v>
      </c>
      <c r="E2819" s="1">
        <v>45511</v>
      </c>
      <c r="F2819" s="1" t="str">
        <f>TEXT(Table1[[#This Row],[order_date]],"dddd")</f>
        <v>Wednesday</v>
      </c>
      <c r="G2819">
        <f>HOUR(Table1[[#This Row],[order_time]])</f>
        <v>17</v>
      </c>
      <c r="H2819" s="2">
        <v>0.74733796296296295</v>
      </c>
      <c r="I2819" t="s">
        <v>9</v>
      </c>
      <c r="J2819" t="s">
        <v>21</v>
      </c>
      <c r="K2819">
        <v>2</v>
      </c>
      <c r="L2819">
        <v>10</v>
      </c>
      <c r="M2819">
        <v>20</v>
      </c>
      <c r="N2819">
        <f>IF(COUNTIFS($B$2:B2819,B2819)=1,1,0)</f>
        <v>0</v>
      </c>
    </row>
    <row r="2820" spans="1:14" x14ac:dyDescent="0.2">
      <c r="A2820">
        <v>2819</v>
      </c>
      <c r="B2820">
        <v>2423</v>
      </c>
      <c r="C2820">
        <f>1/COUNTIF(B:B,Table1[[#This Row],[order_id]])</f>
        <v>0.33333333333333331</v>
      </c>
      <c r="D2820" t="str">
        <f>TEXT(Table1[[#This Row],[order_date]],"mmmm")</f>
        <v>August</v>
      </c>
      <c r="E2820" s="1">
        <v>45511</v>
      </c>
      <c r="F2820" s="1" t="str">
        <f>TEXT(Table1[[#This Row],[order_date]],"dddd")</f>
        <v>Wednesday</v>
      </c>
      <c r="G2820">
        <f>HOUR(Table1[[#This Row],[order_time]])</f>
        <v>17</v>
      </c>
      <c r="H2820" s="2">
        <v>0.74581018518518516</v>
      </c>
      <c r="I2820" t="s">
        <v>9</v>
      </c>
      <c r="J2820" t="s">
        <v>29</v>
      </c>
      <c r="K2820">
        <v>2</v>
      </c>
      <c r="L2820">
        <v>5</v>
      </c>
      <c r="M2820">
        <v>10</v>
      </c>
      <c r="N2820">
        <f>IF(COUNTIFS($B$2:B2820,B2820)=1,1,0)</f>
        <v>0</v>
      </c>
    </row>
    <row r="2821" spans="1:14" x14ac:dyDescent="0.2">
      <c r="A2821">
        <v>2820</v>
      </c>
      <c r="B2821">
        <v>2424</v>
      </c>
      <c r="C2821">
        <f>1/COUNTIF(B:B,Table1[[#This Row],[order_id]])</f>
        <v>0.33333333333333331</v>
      </c>
      <c r="D2821" t="str">
        <f>TEXT(Table1[[#This Row],[order_date]],"mmmm")</f>
        <v>August</v>
      </c>
      <c r="E2821" s="1">
        <v>45511</v>
      </c>
      <c r="F2821" s="1" t="str">
        <f>TEXT(Table1[[#This Row],[order_date]],"dddd")</f>
        <v>Wednesday</v>
      </c>
      <c r="G2821">
        <f>HOUR(Table1[[#This Row],[order_time]])</f>
        <v>10</v>
      </c>
      <c r="H2821" s="2">
        <v>0.45645833333333335</v>
      </c>
      <c r="I2821" t="s">
        <v>16</v>
      </c>
      <c r="J2821" t="s">
        <v>23</v>
      </c>
      <c r="K2821">
        <v>3</v>
      </c>
      <c r="L2821">
        <v>30</v>
      </c>
      <c r="M2821">
        <v>90</v>
      </c>
      <c r="N2821">
        <f>IF(COUNTIFS($B$2:B2821,B2821)=1,1,0)</f>
        <v>1</v>
      </c>
    </row>
    <row r="2822" spans="1:14" x14ac:dyDescent="0.2">
      <c r="A2822">
        <v>2821</v>
      </c>
      <c r="B2822">
        <v>2424</v>
      </c>
      <c r="C2822">
        <f>1/COUNTIF(B:B,Table1[[#This Row],[order_id]])</f>
        <v>0.33333333333333331</v>
      </c>
      <c r="D2822" t="str">
        <f>TEXT(Table1[[#This Row],[order_date]],"mmmm")</f>
        <v>August</v>
      </c>
      <c r="E2822" s="1">
        <v>45511</v>
      </c>
      <c r="F2822" s="1" t="str">
        <f>TEXT(Table1[[#This Row],[order_date]],"dddd")</f>
        <v>Wednesday</v>
      </c>
      <c r="G2822">
        <f>HOUR(Table1[[#This Row],[order_time]])</f>
        <v>18</v>
      </c>
      <c r="H2822" s="2">
        <v>0.78692129629629626</v>
      </c>
      <c r="I2822" t="s">
        <v>9</v>
      </c>
      <c r="J2822" t="s">
        <v>20</v>
      </c>
      <c r="K2822">
        <v>5</v>
      </c>
      <c r="L2822">
        <v>25</v>
      </c>
      <c r="M2822">
        <v>125</v>
      </c>
      <c r="N2822">
        <f>IF(COUNTIFS($B$2:B2822,B2822)=1,1,0)</f>
        <v>0</v>
      </c>
    </row>
    <row r="2823" spans="1:14" x14ac:dyDescent="0.2">
      <c r="A2823">
        <v>2822</v>
      </c>
      <c r="B2823">
        <v>2424</v>
      </c>
      <c r="C2823">
        <f>1/COUNTIF(B:B,Table1[[#This Row],[order_id]])</f>
        <v>0.33333333333333331</v>
      </c>
      <c r="D2823" t="str">
        <f>TEXT(Table1[[#This Row],[order_date]],"mmmm")</f>
        <v>August</v>
      </c>
      <c r="E2823" s="1">
        <v>45511</v>
      </c>
      <c r="F2823" s="1" t="str">
        <f>TEXT(Table1[[#This Row],[order_date]],"dddd")</f>
        <v>Wednesday</v>
      </c>
      <c r="G2823">
        <f>HOUR(Table1[[#This Row],[order_time]])</f>
        <v>9</v>
      </c>
      <c r="H2823" s="2">
        <v>0.41047453703703701</v>
      </c>
      <c r="I2823" t="s">
        <v>16</v>
      </c>
      <c r="J2823" t="s">
        <v>17</v>
      </c>
      <c r="K2823">
        <v>3</v>
      </c>
      <c r="L2823">
        <v>20</v>
      </c>
      <c r="M2823">
        <v>60</v>
      </c>
      <c r="N2823">
        <f>IF(COUNTIFS($B$2:B2823,B2823)=1,1,0)</f>
        <v>0</v>
      </c>
    </row>
    <row r="2824" spans="1:14" x14ac:dyDescent="0.2">
      <c r="A2824">
        <v>2823</v>
      </c>
      <c r="B2824">
        <v>2425</v>
      </c>
      <c r="C2824">
        <f>1/COUNTIF(B:B,Table1[[#This Row],[order_id]])</f>
        <v>0.5</v>
      </c>
      <c r="D2824" t="str">
        <f>TEXT(Table1[[#This Row],[order_date]],"mmmm")</f>
        <v>August</v>
      </c>
      <c r="E2824" s="1">
        <v>45511</v>
      </c>
      <c r="F2824" s="1" t="str">
        <f>TEXT(Table1[[#This Row],[order_date]],"dddd")</f>
        <v>Wednesday</v>
      </c>
      <c r="G2824">
        <f>HOUR(Table1[[#This Row],[order_time]])</f>
        <v>18</v>
      </c>
      <c r="H2824" s="2">
        <v>0.76596064814814813</v>
      </c>
      <c r="I2824" t="s">
        <v>18</v>
      </c>
      <c r="J2824" t="s">
        <v>30</v>
      </c>
      <c r="K2824">
        <v>2</v>
      </c>
      <c r="L2824">
        <v>60</v>
      </c>
      <c r="M2824">
        <v>120</v>
      </c>
      <c r="N2824">
        <f>IF(COUNTIFS($B$2:B2824,B2824)=1,1,0)</f>
        <v>1</v>
      </c>
    </row>
    <row r="2825" spans="1:14" x14ac:dyDescent="0.2">
      <c r="A2825">
        <v>2824</v>
      </c>
      <c r="B2825">
        <v>2425</v>
      </c>
      <c r="C2825">
        <f>1/COUNTIF(B:B,Table1[[#This Row],[order_id]])</f>
        <v>0.5</v>
      </c>
      <c r="D2825" t="str">
        <f>TEXT(Table1[[#This Row],[order_date]],"mmmm")</f>
        <v>August</v>
      </c>
      <c r="E2825" s="1">
        <v>45511</v>
      </c>
      <c r="F2825" s="1" t="str">
        <f>TEXT(Table1[[#This Row],[order_date]],"dddd")</f>
        <v>Wednesday</v>
      </c>
      <c r="G2825">
        <f>HOUR(Table1[[#This Row],[order_time]])</f>
        <v>17</v>
      </c>
      <c r="H2825" s="2">
        <v>0.72920138888888886</v>
      </c>
      <c r="I2825" t="s">
        <v>11</v>
      </c>
      <c r="J2825" t="s">
        <v>14</v>
      </c>
      <c r="K2825">
        <v>2</v>
      </c>
      <c r="L2825">
        <v>700</v>
      </c>
      <c r="M2825">
        <v>1400</v>
      </c>
      <c r="N2825">
        <f>IF(COUNTIFS($B$2:B2825,B2825)=1,1,0)</f>
        <v>0</v>
      </c>
    </row>
    <row r="2826" spans="1:14" x14ac:dyDescent="0.2">
      <c r="A2826">
        <v>2825</v>
      </c>
      <c r="B2826">
        <v>2426</v>
      </c>
      <c r="C2826">
        <f>1/COUNTIF(B:B,Table1[[#This Row],[order_id]])</f>
        <v>0.33333333333333331</v>
      </c>
      <c r="D2826" t="str">
        <f>TEXT(Table1[[#This Row],[order_date]],"mmmm")</f>
        <v>August</v>
      </c>
      <c r="E2826" s="1">
        <v>45511</v>
      </c>
      <c r="F2826" s="1" t="str">
        <f>TEXT(Table1[[#This Row],[order_date]],"dddd")</f>
        <v>Wednesday</v>
      </c>
      <c r="G2826">
        <f>HOUR(Table1[[#This Row],[order_time]])</f>
        <v>19</v>
      </c>
      <c r="H2826" s="2">
        <v>0.80497685185185186</v>
      </c>
      <c r="I2826" t="s">
        <v>16</v>
      </c>
      <c r="J2826" t="s">
        <v>23</v>
      </c>
      <c r="K2826">
        <v>3</v>
      </c>
      <c r="L2826">
        <v>30</v>
      </c>
      <c r="M2826">
        <v>90</v>
      </c>
      <c r="N2826">
        <f>IF(COUNTIFS($B$2:B2826,B2826)=1,1,0)</f>
        <v>1</v>
      </c>
    </row>
    <row r="2827" spans="1:14" x14ac:dyDescent="0.2">
      <c r="A2827">
        <v>2826</v>
      </c>
      <c r="B2827">
        <v>2426</v>
      </c>
      <c r="C2827">
        <f>1/COUNTIF(B:B,Table1[[#This Row],[order_id]])</f>
        <v>0.33333333333333331</v>
      </c>
      <c r="D2827" t="str">
        <f>TEXT(Table1[[#This Row],[order_date]],"mmmm")</f>
        <v>August</v>
      </c>
      <c r="E2827" s="1">
        <v>45511</v>
      </c>
      <c r="F2827" s="1" t="str">
        <f>TEXT(Table1[[#This Row],[order_date]],"dddd")</f>
        <v>Wednesday</v>
      </c>
      <c r="G2827">
        <f>HOUR(Table1[[#This Row],[order_time]])</f>
        <v>17</v>
      </c>
      <c r="H2827" s="2">
        <v>0.73763888888888884</v>
      </c>
      <c r="I2827" t="s">
        <v>18</v>
      </c>
      <c r="J2827" t="s">
        <v>26</v>
      </c>
      <c r="K2827">
        <v>3</v>
      </c>
      <c r="L2827">
        <v>55</v>
      </c>
      <c r="M2827">
        <v>165</v>
      </c>
      <c r="N2827">
        <f>IF(COUNTIFS($B$2:B2827,B2827)=1,1,0)</f>
        <v>0</v>
      </c>
    </row>
    <row r="2828" spans="1:14" x14ac:dyDescent="0.2">
      <c r="A2828">
        <v>2827</v>
      </c>
      <c r="B2828">
        <v>2426</v>
      </c>
      <c r="C2828">
        <f>1/COUNTIF(B:B,Table1[[#This Row],[order_id]])</f>
        <v>0.33333333333333331</v>
      </c>
      <c r="D2828" t="str">
        <f>TEXT(Table1[[#This Row],[order_date]],"mmmm")</f>
        <v>August</v>
      </c>
      <c r="E2828" s="1">
        <v>45511</v>
      </c>
      <c r="F2828" s="1" t="str">
        <f>TEXT(Table1[[#This Row],[order_date]],"dddd")</f>
        <v>Wednesday</v>
      </c>
      <c r="G2828">
        <f>HOUR(Table1[[#This Row],[order_time]])</f>
        <v>16</v>
      </c>
      <c r="H2828" s="2">
        <v>0.66995370370370366</v>
      </c>
      <c r="I2828" t="s">
        <v>18</v>
      </c>
      <c r="J2828" t="s">
        <v>31</v>
      </c>
      <c r="K2828">
        <v>2</v>
      </c>
      <c r="L2828">
        <v>45</v>
      </c>
      <c r="M2828">
        <v>90</v>
      </c>
      <c r="N2828">
        <f>IF(COUNTIFS($B$2:B2828,B2828)=1,1,0)</f>
        <v>0</v>
      </c>
    </row>
    <row r="2829" spans="1:14" x14ac:dyDescent="0.2">
      <c r="A2829">
        <v>2828</v>
      </c>
      <c r="B2829">
        <v>2427</v>
      </c>
      <c r="C2829">
        <f>1/COUNTIF(B:B,Table1[[#This Row],[order_id]])</f>
        <v>0.5</v>
      </c>
      <c r="D2829" t="str">
        <f>TEXT(Table1[[#This Row],[order_date]],"mmmm")</f>
        <v>August</v>
      </c>
      <c r="E2829" s="1">
        <v>45511</v>
      </c>
      <c r="F2829" s="1" t="str">
        <f>TEXT(Table1[[#This Row],[order_date]],"dddd")</f>
        <v>Wednesday</v>
      </c>
      <c r="G2829">
        <f>HOUR(Table1[[#This Row],[order_time]])</f>
        <v>13</v>
      </c>
      <c r="H2829" s="2">
        <v>0.5768402777777778</v>
      </c>
      <c r="I2829" t="s">
        <v>16</v>
      </c>
      <c r="J2829" t="s">
        <v>17</v>
      </c>
      <c r="K2829">
        <v>3</v>
      </c>
      <c r="L2829">
        <v>20</v>
      </c>
      <c r="M2829">
        <v>60</v>
      </c>
      <c r="N2829">
        <f>IF(COUNTIFS($B$2:B2829,B2829)=1,1,0)</f>
        <v>1</v>
      </c>
    </row>
    <row r="2830" spans="1:14" x14ac:dyDescent="0.2">
      <c r="A2830">
        <v>2829</v>
      </c>
      <c r="B2830">
        <v>2427</v>
      </c>
      <c r="C2830">
        <f>1/COUNTIF(B:B,Table1[[#This Row],[order_id]])</f>
        <v>0.5</v>
      </c>
      <c r="D2830" t="str">
        <f>TEXT(Table1[[#This Row],[order_date]],"mmmm")</f>
        <v>August</v>
      </c>
      <c r="E2830" s="1">
        <v>45511</v>
      </c>
      <c r="F2830" s="1" t="str">
        <f>TEXT(Table1[[#This Row],[order_date]],"dddd")</f>
        <v>Wednesday</v>
      </c>
      <c r="G2830">
        <f>HOUR(Table1[[#This Row],[order_time]])</f>
        <v>13</v>
      </c>
      <c r="H2830" s="2">
        <v>0.57927083333333329</v>
      </c>
      <c r="I2830" t="s">
        <v>16</v>
      </c>
      <c r="J2830" t="s">
        <v>28</v>
      </c>
      <c r="K2830">
        <v>2</v>
      </c>
      <c r="L2830">
        <v>25</v>
      </c>
      <c r="M2830">
        <v>50</v>
      </c>
      <c r="N2830">
        <f>IF(COUNTIFS($B$2:B2830,B2830)=1,1,0)</f>
        <v>0</v>
      </c>
    </row>
    <row r="2831" spans="1:14" x14ac:dyDescent="0.2">
      <c r="A2831">
        <v>2830</v>
      </c>
      <c r="B2831">
        <v>2428</v>
      </c>
      <c r="C2831">
        <f>1/COUNTIF(B:B,Table1[[#This Row],[order_id]])</f>
        <v>0.5</v>
      </c>
      <c r="D2831" t="str">
        <f>TEXT(Table1[[#This Row],[order_date]],"mmmm")</f>
        <v>August</v>
      </c>
      <c r="E2831" s="1">
        <v>45511</v>
      </c>
      <c r="F2831" s="1" t="str">
        <f>TEXT(Table1[[#This Row],[order_date]],"dddd")</f>
        <v>Wednesday</v>
      </c>
      <c r="G2831">
        <f>HOUR(Table1[[#This Row],[order_time]])</f>
        <v>13</v>
      </c>
      <c r="H2831" s="2">
        <v>0.56332175925925931</v>
      </c>
      <c r="I2831" t="s">
        <v>16</v>
      </c>
      <c r="J2831" t="s">
        <v>24</v>
      </c>
      <c r="K2831">
        <v>1</v>
      </c>
      <c r="L2831">
        <v>35</v>
      </c>
      <c r="M2831">
        <v>35</v>
      </c>
      <c r="N2831">
        <f>IF(COUNTIFS($B$2:B2831,B2831)=1,1,0)</f>
        <v>1</v>
      </c>
    </row>
    <row r="2832" spans="1:14" x14ac:dyDescent="0.2">
      <c r="A2832">
        <v>2831</v>
      </c>
      <c r="B2832">
        <v>2428</v>
      </c>
      <c r="C2832">
        <f>1/COUNTIF(B:B,Table1[[#This Row],[order_id]])</f>
        <v>0.5</v>
      </c>
      <c r="D2832" t="str">
        <f>TEXT(Table1[[#This Row],[order_date]],"mmmm")</f>
        <v>August</v>
      </c>
      <c r="E2832" s="1">
        <v>45511</v>
      </c>
      <c r="F2832" s="1" t="str">
        <f>TEXT(Table1[[#This Row],[order_date]],"dddd")</f>
        <v>Wednesday</v>
      </c>
      <c r="G2832">
        <f>HOUR(Table1[[#This Row],[order_time]])</f>
        <v>11</v>
      </c>
      <c r="H2832" s="2">
        <v>0.46663194444444445</v>
      </c>
      <c r="I2832" t="s">
        <v>11</v>
      </c>
      <c r="J2832" t="s">
        <v>25</v>
      </c>
      <c r="K2832">
        <v>3</v>
      </c>
      <c r="L2832">
        <v>1000</v>
      </c>
      <c r="M2832">
        <v>3000</v>
      </c>
      <c r="N2832">
        <f>IF(COUNTIFS($B$2:B2832,B2832)=1,1,0)</f>
        <v>0</v>
      </c>
    </row>
    <row r="2833" spans="1:14" x14ac:dyDescent="0.2">
      <c r="A2833">
        <v>2832</v>
      </c>
      <c r="B2833">
        <v>2429</v>
      </c>
      <c r="C2833">
        <f>1/COUNTIF(B:B,Table1[[#This Row],[order_id]])</f>
        <v>1</v>
      </c>
      <c r="D2833" t="str">
        <f>TEXT(Table1[[#This Row],[order_date]],"mmmm")</f>
        <v>August</v>
      </c>
      <c r="E2833" s="1">
        <v>45511</v>
      </c>
      <c r="F2833" s="1" t="str">
        <f>TEXT(Table1[[#This Row],[order_date]],"dddd")</f>
        <v>Wednesday</v>
      </c>
      <c r="G2833">
        <f>HOUR(Table1[[#This Row],[order_time]])</f>
        <v>20</v>
      </c>
      <c r="H2833" s="2">
        <v>0.84599537037037043</v>
      </c>
      <c r="I2833" t="s">
        <v>9</v>
      </c>
      <c r="J2833" t="s">
        <v>29</v>
      </c>
      <c r="K2833">
        <v>1</v>
      </c>
      <c r="L2833">
        <v>5</v>
      </c>
      <c r="M2833">
        <v>5</v>
      </c>
      <c r="N2833">
        <f>IF(COUNTIFS($B$2:B2833,B2833)=1,1,0)</f>
        <v>1</v>
      </c>
    </row>
    <row r="2834" spans="1:14" x14ac:dyDescent="0.2">
      <c r="A2834">
        <v>2833</v>
      </c>
      <c r="B2834">
        <v>2430</v>
      </c>
      <c r="C2834">
        <f>1/COUNTIF(B:B,Table1[[#This Row],[order_id]])</f>
        <v>1</v>
      </c>
      <c r="D2834" t="str">
        <f>TEXT(Table1[[#This Row],[order_date]],"mmmm")</f>
        <v>August</v>
      </c>
      <c r="E2834" s="1">
        <v>45511</v>
      </c>
      <c r="F2834" s="1" t="str">
        <f>TEXT(Table1[[#This Row],[order_date]],"dddd")</f>
        <v>Wednesday</v>
      </c>
      <c r="G2834">
        <f>HOUR(Table1[[#This Row],[order_time]])</f>
        <v>19</v>
      </c>
      <c r="H2834" s="2">
        <v>0.79418981481481477</v>
      </c>
      <c r="I2834" t="s">
        <v>9</v>
      </c>
      <c r="J2834" t="s">
        <v>29</v>
      </c>
      <c r="K2834">
        <v>4</v>
      </c>
      <c r="L2834">
        <v>5</v>
      </c>
      <c r="M2834">
        <v>20</v>
      </c>
      <c r="N2834">
        <f>IF(COUNTIFS($B$2:B2834,B2834)=1,1,0)</f>
        <v>1</v>
      </c>
    </row>
    <row r="2835" spans="1:14" x14ac:dyDescent="0.2">
      <c r="A2835">
        <v>2834</v>
      </c>
      <c r="B2835">
        <v>2431</v>
      </c>
      <c r="C2835">
        <f>1/COUNTIF(B:B,Table1[[#This Row],[order_id]])</f>
        <v>0.33333333333333331</v>
      </c>
      <c r="D2835" t="str">
        <f>TEXT(Table1[[#This Row],[order_date]],"mmmm")</f>
        <v>August</v>
      </c>
      <c r="E2835" s="1">
        <v>45512</v>
      </c>
      <c r="F2835" s="1" t="str">
        <f>TEXT(Table1[[#This Row],[order_date]],"dddd")</f>
        <v>Thursday</v>
      </c>
      <c r="G2835">
        <f>HOUR(Table1[[#This Row],[order_time]])</f>
        <v>19</v>
      </c>
      <c r="H2835" s="2">
        <v>0.79324074074074069</v>
      </c>
      <c r="I2835" t="s">
        <v>9</v>
      </c>
      <c r="J2835" t="s">
        <v>20</v>
      </c>
      <c r="K2835">
        <v>4</v>
      </c>
      <c r="L2835">
        <v>25</v>
      </c>
      <c r="M2835">
        <v>100</v>
      </c>
      <c r="N2835">
        <f>IF(COUNTIFS($B$2:B2835,B2835)=1,1,0)</f>
        <v>1</v>
      </c>
    </row>
    <row r="2836" spans="1:14" x14ac:dyDescent="0.2">
      <c r="A2836">
        <v>2835</v>
      </c>
      <c r="B2836">
        <v>2431</v>
      </c>
      <c r="C2836">
        <f>1/COUNTIF(B:B,Table1[[#This Row],[order_id]])</f>
        <v>0.33333333333333331</v>
      </c>
      <c r="D2836" t="str">
        <f>TEXT(Table1[[#This Row],[order_date]],"mmmm")</f>
        <v>August</v>
      </c>
      <c r="E2836" s="1">
        <v>45512</v>
      </c>
      <c r="F2836" s="1" t="str">
        <f>TEXT(Table1[[#This Row],[order_date]],"dddd")</f>
        <v>Thursday</v>
      </c>
      <c r="G2836">
        <f>HOUR(Table1[[#This Row],[order_time]])</f>
        <v>13</v>
      </c>
      <c r="H2836" s="2">
        <v>0.54649305555555561</v>
      </c>
      <c r="I2836" t="s">
        <v>18</v>
      </c>
      <c r="J2836" t="s">
        <v>26</v>
      </c>
      <c r="K2836">
        <v>2</v>
      </c>
      <c r="L2836">
        <v>55</v>
      </c>
      <c r="M2836">
        <v>110</v>
      </c>
      <c r="N2836">
        <f>IF(COUNTIFS($B$2:B2836,B2836)=1,1,0)</f>
        <v>0</v>
      </c>
    </row>
    <row r="2837" spans="1:14" x14ac:dyDescent="0.2">
      <c r="A2837">
        <v>2836</v>
      </c>
      <c r="B2837">
        <v>2431</v>
      </c>
      <c r="C2837">
        <f>1/COUNTIF(B:B,Table1[[#This Row],[order_id]])</f>
        <v>0.33333333333333331</v>
      </c>
      <c r="D2837" t="str">
        <f>TEXT(Table1[[#This Row],[order_date]],"mmmm")</f>
        <v>August</v>
      </c>
      <c r="E2837" s="1">
        <v>45512</v>
      </c>
      <c r="F2837" s="1" t="str">
        <f>TEXT(Table1[[#This Row],[order_date]],"dddd")</f>
        <v>Thursday</v>
      </c>
      <c r="G2837">
        <f>HOUR(Table1[[#This Row],[order_time]])</f>
        <v>17</v>
      </c>
      <c r="H2837" s="2">
        <v>0.74017361111111113</v>
      </c>
      <c r="I2837" t="s">
        <v>18</v>
      </c>
      <c r="J2837" t="s">
        <v>30</v>
      </c>
      <c r="K2837">
        <v>1</v>
      </c>
      <c r="L2837">
        <v>60</v>
      </c>
      <c r="M2837">
        <v>60</v>
      </c>
      <c r="N2837">
        <f>IF(COUNTIFS($B$2:B2837,B2837)=1,1,0)</f>
        <v>0</v>
      </c>
    </row>
    <row r="2838" spans="1:14" x14ac:dyDescent="0.2">
      <c r="A2838">
        <v>2837</v>
      </c>
      <c r="B2838">
        <v>2432</v>
      </c>
      <c r="C2838">
        <f>1/COUNTIF(B:B,Table1[[#This Row],[order_id]])</f>
        <v>1</v>
      </c>
      <c r="D2838" t="str">
        <f>TEXT(Table1[[#This Row],[order_date]],"mmmm")</f>
        <v>August</v>
      </c>
      <c r="E2838" s="1">
        <v>45512</v>
      </c>
      <c r="F2838" s="1" t="str">
        <f>TEXT(Table1[[#This Row],[order_date]],"dddd")</f>
        <v>Thursday</v>
      </c>
      <c r="G2838">
        <f>HOUR(Table1[[#This Row],[order_time]])</f>
        <v>12</v>
      </c>
      <c r="H2838" s="2">
        <v>0.51028935185185187</v>
      </c>
      <c r="I2838" t="s">
        <v>11</v>
      </c>
      <c r="J2838" t="s">
        <v>14</v>
      </c>
      <c r="K2838">
        <v>2</v>
      </c>
      <c r="L2838">
        <v>700</v>
      </c>
      <c r="M2838">
        <v>1400</v>
      </c>
      <c r="N2838">
        <f>IF(COUNTIFS($B$2:B2838,B2838)=1,1,0)</f>
        <v>1</v>
      </c>
    </row>
    <row r="2839" spans="1:14" x14ac:dyDescent="0.2">
      <c r="A2839">
        <v>2838</v>
      </c>
      <c r="B2839">
        <v>2433</v>
      </c>
      <c r="C2839">
        <f>1/COUNTIF(B:B,Table1[[#This Row],[order_id]])</f>
        <v>0.5</v>
      </c>
      <c r="D2839" t="str">
        <f>TEXT(Table1[[#This Row],[order_date]],"mmmm")</f>
        <v>August</v>
      </c>
      <c r="E2839" s="1">
        <v>45512</v>
      </c>
      <c r="F2839" s="1" t="str">
        <f>TEXT(Table1[[#This Row],[order_date]],"dddd")</f>
        <v>Thursday</v>
      </c>
      <c r="G2839">
        <f>HOUR(Table1[[#This Row],[order_time]])</f>
        <v>14</v>
      </c>
      <c r="H2839" s="2">
        <v>0.58859953703703705</v>
      </c>
      <c r="I2839" t="s">
        <v>16</v>
      </c>
      <c r="J2839" t="s">
        <v>17</v>
      </c>
      <c r="K2839">
        <v>1</v>
      </c>
      <c r="L2839">
        <v>20</v>
      </c>
      <c r="M2839">
        <v>20</v>
      </c>
      <c r="N2839">
        <f>IF(COUNTIFS($B$2:B2839,B2839)=1,1,0)</f>
        <v>1</v>
      </c>
    </row>
    <row r="2840" spans="1:14" x14ac:dyDescent="0.2">
      <c r="A2840">
        <v>2839</v>
      </c>
      <c r="B2840">
        <v>2433</v>
      </c>
      <c r="C2840">
        <f>1/COUNTIF(B:B,Table1[[#This Row],[order_id]])</f>
        <v>0.5</v>
      </c>
      <c r="D2840" t="str">
        <f>TEXT(Table1[[#This Row],[order_date]],"mmmm")</f>
        <v>August</v>
      </c>
      <c r="E2840" s="1">
        <v>45512</v>
      </c>
      <c r="F2840" s="1" t="str">
        <f>TEXT(Table1[[#This Row],[order_date]],"dddd")</f>
        <v>Thursday</v>
      </c>
      <c r="G2840">
        <f>HOUR(Table1[[#This Row],[order_time]])</f>
        <v>11</v>
      </c>
      <c r="H2840" s="2">
        <v>0.48858796296296297</v>
      </c>
      <c r="I2840" t="s">
        <v>9</v>
      </c>
      <c r="J2840" t="s">
        <v>22</v>
      </c>
      <c r="K2840">
        <v>3</v>
      </c>
      <c r="L2840">
        <v>15</v>
      </c>
      <c r="M2840">
        <v>45</v>
      </c>
      <c r="N2840">
        <f>IF(COUNTIFS($B$2:B2840,B2840)=1,1,0)</f>
        <v>0</v>
      </c>
    </row>
    <row r="2841" spans="1:14" x14ac:dyDescent="0.2">
      <c r="A2841">
        <v>2840</v>
      </c>
      <c r="B2841">
        <v>2434</v>
      </c>
      <c r="C2841">
        <f>1/COUNTIF(B:B,Table1[[#This Row],[order_id]])</f>
        <v>0.33333333333333331</v>
      </c>
      <c r="D2841" t="str">
        <f>TEXT(Table1[[#This Row],[order_date]],"mmmm")</f>
        <v>August</v>
      </c>
      <c r="E2841" s="1">
        <v>45512</v>
      </c>
      <c r="F2841" s="1" t="str">
        <f>TEXT(Table1[[#This Row],[order_date]],"dddd")</f>
        <v>Thursday</v>
      </c>
      <c r="G2841">
        <f>HOUR(Table1[[#This Row],[order_time]])</f>
        <v>19</v>
      </c>
      <c r="H2841" s="2">
        <v>0.80379629629629634</v>
      </c>
      <c r="I2841" t="s">
        <v>9</v>
      </c>
      <c r="J2841" t="s">
        <v>10</v>
      </c>
      <c r="K2841">
        <v>1</v>
      </c>
      <c r="L2841">
        <v>20</v>
      </c>
      <c r="M2841">
        <v>20</v>
      </c>
      <c r="N2841">
        <f>IF(COUNTIFS($B$2:B2841,B2841)=1,1,0)</f>
        <v>1</v>
      </c>
    </row>
    <row r="2842" spans="1:14" x14ac:dyDescent="0.2">
      <c r="A2842">
        <v>2841</v>
      </c>
      <c r="B2842">
        <v>2434</v>
      </c>
      <c r="C2842">
        <f>1/COUNTIF(B:B,Table1[[#This Row],[order_id]])</f>
        <v>0.33333333333333331</v>
      </c>
      <c r="D2842" t="str">
        <f>TEXT(Table1[[#This Row],[order_date]],"mmmm")</f>
        <v>August</v>
      </c>
      <c r="E2842" s="1">
        <v>45512</v>
      </c>
      <c r="F2842" s="1" t="str">
        <f>TEXT(Table1[[#This Row],[order_date]],"dddd")</f>
        <v>Thursday</v>
      </c>
      <c r="G2842">
        <f>HOUR(Table1[[#This Row],[order_time]])</f>
        <v>9</v>
      </c>
      <c r="H2842" s="2">
        <v>0.38905092592592594</v>
      </c>
      <c r="I2842" t="s">
        <v>18</v>
      </c>
      <c r="J2842" t="s">
        <v>31</v>
      </c>
      <c r="K2842">
        <v>5</v>
      </c>
      <c r="L2842">
        <v>45</v>
      </c>
      <c r="M2842">
        <v>225</v>
      </c>
      <c r="N2842">
        <f>IF(COUNTIFS($B$2:B2842,B2842)=1,1,0)</f>
        <v>0</v>
      </c>
    </row>
    <row r="2843" spans="1:14" x14ac:dyDescent="0.2">
      <c r="A2843">
        <v>2842</v>
      </c>
      <c r="B2843">
        <v>2434</v>
      </c>
      <c r="C2843">
        <f>1/COUNTIF(B:B,Table1[[#This Row],[order_id]])</f>
        <v>0.33333333333333331</v>
      </c>
      <c r="D2843" t="str">
        <f>TEXT(Table1[[#This Row],[order_date]],"mmmm")</f>
        <v>August</v>
      </c>
      <c r="E2843" s="1">
        <v>45512</v>
      </c>
      <c r="F2843" s="1" t="str">
        <f>TEXT(Table1[[#This Row],[order_date]],"dddd")</f>
        <v>Thursday</v>
      </c>
      <c r="G2843">
        <f>HOUR(Table1[[#This Row],[order_time]])</f>
        <v>19</v>
      </c>
      <c r="H2843" s="2">
        <v>0.83149305555555553</v>
      </c>
      <c r="I2843" t="s">
        <v>16</v>
      </c>
      <c r="J2843" t="s">
        <v>23</v>
      </c>
      <c r="K2843">
        <v>3</v>
      </c>
      <c r="L2843">
        <v>30</v>
      </c>
      <c r="M2843">
        <v>90</v>
      </c>
      <c r="N2843">
        <f>IF(COUNTIFS($B$2:B2843,B2843)=1,1,0)</f>
        <v>0</v>
      </c>
    </row>
    <row r="2844" spans="1:14" x14ac:dyDescent="0.2">
      <c r="A2844">
        <v>2843</v>
      </c>
      <c r="B2844">
        <v>2435</v>
      </c>
      <c r="C2844">
        <f>1/COUNTIF(B:B,Table1[[#This Row],[order_id]])</f>
        <v>0.5</v>
      </c>
      <c r="D2844" t="str">
        <f>TEXT(Table1[[#This Row],[order_date]],"mmmm")</f>
        <v>August</v>
      </c>
      <c r="E2844" s="1">
        <v>45512</v>
      </c>
      <c r="F2844" s="1" t="str">
        <f>TEXT(Table1[[#This Row],[order_date]],"dddd")</f>
        <v>Thursday</v>
      </c>
      <c r="G2844">
        <f>HOUR(Table1[[#This Row],[order_time]])</f>
        <v>15</v>
      </c>
      <c r="H2844" s="2">
        <v>0.64952546296296299</v>
      </c>
      <c r="I2844" t="s">
        <v>18</v>
      </c>
      <c r="J2844" t="s">
        <v>31</v>
      </c>
      <c r="K2844">
        <v>4</v>
      </c>
      <c r="L2844">
        <v>45</v>
      </c>
      <c r="M2844">
        <v>180</v>
      </c>
      <c r="N2844">
        <f>IF(COUNTIFS($B$2:B2844,B2844)=1,1,0)</f>
        <v>1</v>
      </c>
    </row>
    <row r="2845" spans="1:14" x14ac:dyDescent="0.2">
      <c r="A2845">
        <v>2844</v>
      </c>
      <c r="B2845">
        <v>2435</v>
      </c>
      <c r="C2845">
        <f>1/COUNTIF(B:B,Table1[[#This Row],[order_id]])</f>
        <v>0.5</v>
      </c>
      <c r="D2845" t="str">
        <f>TEXT(Table1[[#This Row],[order_date]],"mmmm")</f>
        <v>August</v>
      </c>
      <c r="E2845" s="1">
        <v>45512</v>
      </c>
      <c r="F2845" s="1" t="str">
        <f>TEXT(Table1[[#This Row],[order_date]],"dddd")</f>
        <v>Thursday</v>
      </c>
      <c r="G2845">
        <f>HOUR(Table1[[#This Row],[order_time]])</f>
        <v>15</v>
      </c>
      <c r="H2845" s="2">
        <v>0.63108796296296299</v>
      </c>
      <c r="I2845" t="s">
        <v>9</v>
      </c>
      <c r="J2845" t="s">
        <v>21</v>
      </c>
      <c r="K2845">
        <v>1</v>
      </c>
      <c r="L2845">
        <v>10</v>
      </c>
      <c r="M2845">
        <v>10</v>
      </c>
      <c r="N2845">
        <f>IF(COUNTIFS($B$2:B2845,B2845)=1,1,0)</f>
        <v>0</v>
      </c>
    </row>
    <row r="2846" spans="1:14" x14ac:dyDescent="0.2">
      <c r="A2846">
        <v>2845</v>
      </c>
      <c r="B2846">
        <v>2436</v>
      </c>
      <c r="C2846">
        <f>1/COUNTIF(B:B,Table1[[#This Row],[order_id]])</f>
        <v>0.33333333333333331</v>
      </c>
      <c r="D2846" t="str">
        <f>TEXT(Table1[[#This Row],[order_date]],"mmmm")</f>
        <v>August</v>
      </c>
      <c r="E2846" s="1">
        <v>45512</v>
      </c>
      <c r="F2846" s="1" t="str">
        <f>TEXT(Table1[[#This Row],[order_date]],"dddd")</f>
        <v>Thursday</v>
      </c>
      <c r="G2846">
        <f>HOUR(Table1[[#This Row],[order_time]])</f>
        <v>20</v>
      </c>
      <c r="H2846" s="2">
        <v>0.84229166666666666</v>
      </c>
      <c r="I2846" t="s">
        <v>18</v>
      </c>
      <c r="J2846" t="s">
        <v>27</v>
      </c>
      <c r="K2846">
        <v>1</v>
      </c>
      <c r="L2846">
        <v>40</v>
      </c>
      <c r="M2846">
        <v>40</v>
      </c>
      <c r="N2846">
        <f>IF(COUNTIFS($B$2:B2846,B2846)=1,1,0)</f>
        <v>1</v>
      </c>
    </row>
    <row r="2847" spans="1:14" x14ac:dyDescent="0.2">
      <c r="A2847">
        <v>2846</v>
      </c>
      <c r="B2847">
        <v>2436</v>
      </c>
      <c r="C2847">
        <f>1/COUNTIF(B:B,Table1[[#This Row],[order_id]])</f>
        <v>0.33333333333333331</v>
      </c>
      <c r="D2847" t="str">
        <f>TEXT(Table1[[#This Row],[order_date]],"mmmm")</f>
        <v>August</v>
      </c>
      <c r="E2847" s="1">
        <v>45512</v>
      </c>
      <c r="F2847" s="1" t="str">
        <f>TEXT(Table1[[#This Row],[order_date]],"dddd")</f>
        <v>Thursday</v>
      </c>
      <c r="G2847">
        <f>HOUR(Table1[[#This Row],[order_time]])</f>
        <v>12</v>
      </c>
      <c r="H2847" s="2">
        <v>0.52798611111111116</v>
      </c>
      <c r="I2847" t="s">
        <v>16</v>
      </c>
      <c r="J2847" t="s">
        <v>28</v>
      </c>
      <c r="K2847">
        <v>3</v>
      </c>
      <c r="L2847">
        <v>25</v>
      </c>
      <c r="M2847">
        <v>75</v>
      </c>
      <c r="N2847">
        <f>IF(COUNTIFS($B$2:B2847,B2847)=1,1,0)</f>
        <v>0</v>
      </c>
    </row>
    <row r="2848" spans="1:14" x14ac:dyDescent="0.2">
      <c r="A2848">
        <v>2847</v>
      </c>
      <c r="B2848">
        <v>2436</v>
      </c>
      <c r="C2848">
        <f>1/COUNTIF(B:B,Table1[[#This Row],[order_id]])</f>
        <v>0.33333333333333331</v>
      </c>
      <c r="D2848" t="str">
        <f>TEXT(Table1[[#This Row],[order_date]],"mmmm")</f>
        <v>August</v>
      </c>
      <c r="E2848" s="1">
        <v>45512</v>
      </c>
      <c r="F2848" s="1" t="str">
        <f>TEXT(Table1[[#This Row],[order_date]],"dddd")</f>
        <v>Thursday</v>
      </c>
      <c r="G2848">
        <f>HOUR(Table1[[#This Row],[order_time]])</f>
        <v>16</v>
      </c>
      <c r="H2848" s="2">
        <v>0.6962962962962963</v>
      </c>
      <c r="I2848" t="s">
        <v>9</v>
      </c>
      <c r="J2848" t="s">
        <v>21</v>
      </c>
      <c r="K2848">
        <v>1</v>
      </c>
      <c r="L2848">
        <v>10</v>
      </c>
      <c r="M2848">
        <v>10</v>
      </c>
      <c r="N2848">
        <f>IF(COUNTIFS($B$2:B2848,B2848)=1,1,0)</f>
        <v>0</v>
      </c>
    </row>
    <row r="2849" spans="1:14" x14ac:dyDescent="0.2">
      <c r="A2849">
        <v>2848</v>
      </c>
      <c r="B2849">
        <v>2437</v>
      </c>
      <c r="C2849">
        <f>1/COUNTIF(B:B,Table1[[#This Row],[order_id]])</f>
        <v>1</v>
      </c>
      <c r="D2849" t="str">
        <f>TEXT(Table1[[#This Row],[order_date]],"mmmm")</f>
        <v>August</v>
      </c>
      <c r="E2849" s="1">
        <v>45512</v>
      </c>
      <c r="F2849" s="1" t="str">
        <f>TEXT(Table1[[#This Row],[order_date]],"dddd")</f>
        <v>Thursday</v>
      </c>
      <c r="G2849">
        <f>HOUR(Table1[[#This Row],[order_time]])</f>
        <v>11</v>
      </c>
      <c r="H2849" s="2">
        <v>0.48429398148148151</v>
      </c>
      <c r="I2849" t="s">
        <v>11</v>
      </c>
      <c r="J2849" t="s">
        <v>25</v>
      </c>
      <c r="K2849">
        <v>2</v>
      </c>
      <c r="L2849">
        <v>1000</v>
      </c>
      <c r="M2849">
        <v>2000</v>
      </c>
      <c r="N2849">
        <f>IF(COUNTIFS($B$2:B2849,B2849)=1,1,0)</f>
        <v>1</v>
      </c>
    </row>
    <row r="2850" spans="1:14" x14ac:dyDescent="0.2">
      <c r="A2850">
        <v>2849</v>
      </c>
      <c r="B2850">
        <v>2438</v>
      </c>
      <c r="C2850">
        <f>1/COUNTIF(B:B,Table1[[#This Row],[order_id]])</f>
        <v>0.5</v>
      </c>
      <c r="D2850" t="str">
        <f>TEXT(Table1[[#This Row],[order_date]],"mmmm")</f>
        <v>August</v>
      </c>
      <c r="E2850" s="1">
        <v>45512</v>
      </c>
      <c r="F2850" s="1" t="str">
        <f>TEXT(Table1[[#This Row],[order_date]],"dddd")</f>
        <v>Thursday</v>
      </c>
      <c r="G2850">
        <f>HOUR(Table1[[#This Row],[order_time]])</f>
        <v>20</v>
      </c>
      <c r="H2850" s="2">
        <v>0.84741898148148154</v>
      </c>
      <c r="I2850" t="s">
        <v>11</v>
      </c>
      <c r="J2850" t="s">
        <v>15</v>
      </c>
      <c r="K2850">
        <v>3</v>
      </c>
      <c r="L2850">
        <v>600</v>
      </c>
      <c r="M2850">
        <v>1800</v>
      </c>
      <c r="N2850">
        <f>IF(COUNTIFS($B$2:B2850,B2850)=1,1,0)</f>
        <v>1</v>
      </c>
    </row>
    <row r="2851" spans="1:14" x14ac:dyDescent="0.2">
      <c r="A2851">
        <v>2850</v>
      </c>
      <c r="B2851">
        <v>2438</v>
      </c>
      <c r="C2851">
        <f>1/COUNTIF(B:B,Table1[[#This Row],[order_id]])</f>
        <v>0.5</v>
      </c>
      <c r="D2851" t="str">
        <f>TEXT(Table1[[#This Row],[order_date]],"mmmm")</f>
        <v>August</v>
      </c>
      <c r="E2851" s="1">
        <v>45512</v>
      </c>
      <c r="F2851" s="1" t="str">
        <f>TEXT(Table1[[#This Row],[order_date]],"dddd")</f>
        <v>Thursday</v>
      </c>
      <c r="G2851">
        <f>HOUR(Table1[[#This Row],[order_time]])</f>
        <v>10</v>
      </c>
      <c r="H2851" s="2">
        <v>0.44109953703703703</v>
      </c>
      <c r="I2851" t="s">
        <v>16</v>
      </c>
      <c r="J2851" t="s">
        <v>28</v>
      </c>
      <c r="K2851">
        <v>2</v>
      </c>
      <c r="L2851">
        <v>25</v>
      </c>
      <c r="M2851">
        <v>50</v>
      </c>
      <c r="N2851">
        <f>IF(COUNTIFS($B$2:B2851,B2851)=1,1,0)</f>
        <v>0</v>
      </c>
    </row>
    <row r="2852" spans="1:14" x14ac:dyDescent="0.2">
      <c r="A2852">
        <v>2851</v>
      </c>
      <c r="B2852">
        <v>2439</v>
      </c>
      <c r="C2852">
        <f>1/COUNTIF(B:B,Table1[[#This Row],[order_id]])</f>
        <v>0.5</v>
      </c>
      <c r="D2852" t="str">
        <f>TEXT(Table1[[#This Row],[order_date]],"mmmm")</f>
        <v>August</v>
      </c>
      <c r="E2852" s="1">
        <v>45512</v>
      </c>
      <c r="F2852" s="1" t="str">
        <f>TEXT(Table1[[#This Row],[order_date]],"dddd")</f>
        <v>Thursday</v>
      </c>
      <c r="G2852">
        <f>HOUR(Table1[[#This Row],[order_time]])</f>
        <v>20</v>
      </c>
      <c r="H2852" s="2">
        <v>0.87219907407407404</v>
      </c>
      <c r="I2852" t="s">
        <v>9</v>
      </c>
      <c r="J2852" t="s">
        <v>29</v>
      </c>
      <c r="K2852">
        <v>4</v>
      </c>
      <c r="L2852">
        <v>5</v>
      </c>
      <c r="M2852">
        <v>20</v>
      </c>
      <c r="N2852">
        <f>IF(COUNTIFS($B$2:B2852,B2852)=1,1,0)</f>
        <v>1</v>
      </c>
    </row>
    <row r="2853" spans="1:14" x14ac:dyDescent="0.2">
      <c r="A2853">
        <v>2852</v>
      </c>
      <c r="B2853">
        <v>2439</v>
      </c>
      <c r="C2853">
        <f>1/COUNTIF(B:B,Table1[[#This Row],[order_id]])</f>
        <v>0.5</v>
      </c>
      <c r="D2853" t="str">
        <f>TEXT(Table1[[#This Row],[order_date]],"mmmm")</f>
        <v>August</v>
      </c>
      <c r="E2853" s="1">
        <v>45512</v>
      </c>
      <c r="F2853" s="1" t="str">
        <f>TEXT(Table1[[#This Row],[order_date]],"dddd")</f>
        <v>Thursday</v>
      </c>
      <c r="G2853">
        <f>HOUR(Table1[[#This Row],[order_time]])</f>
        <v>15</v>
      </c>
      <c r="H2853" s="2">
        <v>0.6297800925925926</v>
      </c>
      <c r="I2853" t="s">
        <v>18</v>
      </c>
      <c r="J2853" t="s">
        <v>27</v>
      </c>
      <c r="K2853">
        <v>5</v>
      </c>
      <c r="L2853">
        <v>40</v>
      </c>
      <c r="M2853">
        <v>200</v>
      </c>
      <c r="N2853">
        <f>IF(COUNTIFS($B$2:B2853,B2853)=1,1,0)</f>
        <v>0</v>
      </c>
    </row>
    <row r="2854" spans="1:14" x14ac:dyDescent="0.2">
      <c r="A2854">
        <v>2853</v>
      </c>
      <c r="B2854">
        <v>2440</v>
      </c>
      <c r="C2854">
        <f>1/COUNTIF(B:B,Table1[[#This Row],[order_id]])</f>
        <v>1</v>
      </c>
      <c r="D2854" t="str">
        <f>TEXT(Table1[[#This Row],[order_date]],"mmmm")</f>
        <v>August</v>
      </c>
      <c r="E2854" s="1">
        <v>45512</v>
      </c>
      <c r="F2854" s="1" t="str">
        <f>TEXT(Table1[[#This Row],[order_date]],"dddd")</f>
        <v>Thursday</v>
      </c>
      <c r="G2854">
        <f>HOUR(Table1[[#This Row],[order_time]])</f>
        <v>15</v>
      </c>
      <c r="H2854" s="2">
        <v>0.62685185185185188</v>
      </c>
      <c r="I2854" t="s">
        <v>11</v>
      </c>
      <c r="J2854" t="s">
        <v>14</v>
      </c>
      <c r="K2854">
        <v>4</v>
      </c>
      <c r="L2854">
        <v>700</v>
      </c>
      <c r="M2854">
        <v>2800</v>
      </c>
      <c r="N2854">
        <f>IF(COUNTIFS($B$2:B2854,B2854)=1,1,0)</f>
        <v>1</v>
      </c>
    </row>
    <row r="2855" spans="1:14" x14ac:dyDescent="0.2">
      <c r="A2855">
        <v>2854</v>
      </c>
      <c r="B2855">
        <v>2441</v>
      </c>
      <c r="C2855">
        <f>1/COUNTIF(B:B,Table1[[#This Row],[order_id]])</f>
        <v>0.5</v>
      </c>
      <c r="D2855" t="str">
        <f>TEXT(Table1[[#This Row],[order_date]],"mmmm")</f>
        <v>August</v>
      </c>
      <c r="E2855" s="1">
        <v>45513</v>
      </c>
      <c r="F2855" s="1" t="str">
        <f>TEXT(Table1[[#This Row],[order_date]],"dddd")</f>
        <v>Friday</v>
      </c>
      <c r="G2855">
        <f>HOUR(Table1[[#This Row],[order_time]])</f>
        <v>15</v>
      </c>
      <c r="H2855" s="2">
        <v>0.64673611111111107</v>
      </c>
      <c r="I2855" t="s">
        <v>16</v>
      </c>
      <c r="J2855" t="s">
        <v>28</v>
      </c>
      <c r="K2855">
        <v>5</v>
      </c>
      <c r="L2855">
        <v>25</v>
      </c>
      <c r="M2855">
        <v>125</v>
      </c>
      <c r="N2855">
        <f>IF(COUNTIFS($B$2:B2855,B2855)=1,1,0)</f>
        <v>1</v>
      </c>
    </row>
    <row r="2856" spans="1:14" x14ac:dyDescent="0.2">
      <c r="A2856">
        <v>2855</v>
      </c>
      <c r="B2856">
        <v>2441</v>
      </c>
      <c r="C2856">
        <f>1/COUNTIF(B:B,Table1[[#This Row],[order_id]])</f>
        <v>0.5</v>
      </c>
      <c r="D2856" t="str">
        <f>TEXT(Table1[[#This Row],[order_date]],"mmmm")</f>
        <v>August</v>
      </c>
      <c r="E2856" s="1">
        <v>45513</v>
      </c>
      <c r="F2856" s="1" t="str">
        <f>TEXT(Table1[[#This Row],[order_date]],"dddd")</f>
        <v>Friday</v>
      </c>
      <c r="G2856">
        <f>HOUR(Table1[[#This Row],[order_time]])</f>
        <v>20</v>
      </c>
      <c r="H2856" s="2">
        <v>0.86089120370370376</v>
      </c>
      <c r="I2856" t="s">
        <v>18</v>
      </c>
      <c r="J2856" t="s">
        <v>19</v>
      </c>
      <c r="K2856">
        <v>2</v>
      </c>
      <c r="L2856">
        <v>50</v>
      </c>
      <c r="M2856">
        <v>100</v>
      </c>
      <c r="N2856">
        <f>IF(COUNTIFS($B$2:B2856,B2856)=1,1,0)</f>
        <v>0</v>
      </c>
    </row>
    <row r="2857" spans="1:14" x14ac:dyDescent="0.2">
      <c r="A2857">
        <v>2856</v>
      </c>
      <c r="B2857">
        <v>2442</v>
      </c>
      <c r="C2857">
        <f>1/COUNTIF(B:B,Table1[[#This Row],[order_id]])</f>
        <v>0.33333333333333331</v>
      </c>
      <c r="D2857" t="str">
        <f>TEXT(Table1[[#This Row],[order_date]],"mmmm")</f>
        <v>August</v>
      </c>
      <c r="E2857" s="1">
        <v>45513</v>
      </c>
      <c r="F2857" s="1" t="str">
        <f>TEXT(Table1[[#This Row],[order_date]],"dddd")</f>
        <v>Friday</v>
      </c>
      <c r="G2857">
        <f>HOUR(Table1[[#This Row],[order_time]])</f>
        <v>17</v>
      </c>
      <c r="H2857" s="2">
        <v>0.73059027777777774</v>
      </c>
      <c r="I2857" t="s">
        <v>11</v>
      </c>
      <c r="J2857" t="s">
        <v>12</v>
      </c>
      <c r="K2857">
        <v>3</v>
      </c>
      <c r="L2857">
        <v>650</v>
      </c>
      <c r="M2857">
        <v>1950</v>
      </c>
      <c r="N2857">
        <f>IF(COUNTIFS($B$2:B2857,B2857)=1,1,0)</f>
        <v>1</v>
      </c>
    </row>
    <row r="2858" spans="1:14" x14ac:dyDescent="0.2">
      <c r="A2858">
        <v>2857</v>
      </c>
      <c r="B2858">
        <v>2442</v>
      </c>
      <c r="C2858">
        <f>1/COUNTIF(B:B,Table1[[#This Row],[order_id]])</f>
        <v>0.33333333333333331</v>
      </c>
      <c r="D2858" t="str">
        <f>TEXT(Table1[[#This Row],[order_date]],"mmmm")</f>
        <v>August</v>
      </c>
      <c r="E2858" s="1">
        <v>45513</v>
      </c>
      <c r="F2858" s="1" t="str">
        <f>TEXT(Table1[[#This Row],[order_date]],"dddd")</f>
        <v>Friday</v>
      </c>
      <c r="G2858">
        <f>HOUR(Table1[[#This Row],[order_time]])</f>
        <v>20</v>
      </c>
      <c r="H2858" s="2">
        <v>0.84053240740740742</v>
      </c>
      <c r="I2858" t="s">
        <v>11</v>
      </c>
      <c r="J2858" t="s">
        <v>25</v>
      </c>
      <c r="K2858">
        <v>4</v>
      </c>
      <c r="L2858">
        <v>1000</v>
      </c>
      <c r="M2858">
        <v>4000</v>
      </c>
      <c r="N2858">
        <f>IF(COUNTIFS($B$2:B2858,B2858)=1,1,0)</f>
        <v>0</v>
      </c>
    </row>
    <row r="2859" spans="1:14" x14ac:dyDescent="0.2">
      <c r="A2859">
        <v>2858</v>
      </c>
      <c r="B2859">
        <v>2442</v>
      </c>
      <c r="C2859">
        <f>1/COUNTIF(B:B,Table1[[#This Row],[order_id]])</f>
        <v>0.33333333333333331</v>
      </c>
      <c r="D2859" t="str">
        <f>TEXT(Table1[[#This Row],[order_date]],"mmmm")</f>
        <v>August</v>
      </c>
      <c r="E2859" s="1">
        <v>45513</v>
      </c>
      <c r="F2859" s="1" t="str">
        <f>TEXT(Table1[[#This Row],[order_date]],"dddd")</f>
        <v>Friday</v>
      </c>
      <c r="G2859">
        <f>HOUR(Table1[[#This Row],[order_time]])</f>
        <v>17</v>
      </c>
      <c r="H2859" s="2">
        <v>0.70966435185185184</v>
      </c>
      <c r="I2859" t="s">
        <v>18</v>
      </c>
      <c r="J2859" t="s">
        <v>30</v>
      </c>
      <c r="K2859">
        <v>3</v>
      </c>
      <c r="L2859">
        <v>60</v>
      </c>
      <c r="M2859">
        <v>180</v>
      </c>
      <c r="N2859">
        <f>IF(COUNTIFS($B$2:B2859,B2859)=1,1,0)</f>
        <v>0</v>
      </c>
    </row>
    <row r="2860" spans="1:14" x14ac:dyDescent="0.2">
      <c r="A2860">
        <v>2859</v>
      </c>
      <c r="B2860">
        <v>2443</v>
      </c>
      <c r="C2860">
        <f>1/COUNTIF(B:B,Table1[[#This Row],[order_id]])</f>
        <v>1</v>
      </c>
      <c r="D2860" t="str">
        <f>TEXT(Table1[[#This Row],[order_date]],"mmmm")</f>
        <v>August</v>
      </c>
      <c r="E2860" s="1">
        <v>45513</v>
      </c>
      <c r="F2860" s="1" t="str">
        <f>TEXT(Table1[[#This Row],[order_date]],"dddd")</f>
        <v>Friday</v>
      </c>
      <c r="G2860">
        <f>HOUR(Table1[[#This Row],[order_time]])</f>
        <v>18</v>
      </c>
      <c r="H2860" s="2">
        <v>0.78288194444444448</v>
      </c>
      <c r="I2860" t="s">
        <v>9</v>
      </c>
      <c r="J2860" t="s">
        <v>10</v>
      </c>
      <c r="K2860">
        <v>2</v>
      </c>
      <c r="L2860">
        <v>20</v>
      </c>
      <c r="M2860">
        <v>40</v>
      </c>
      <c r="N2860">
        <f>IF(COUNTIFS($B$2:B2860,B2860)=1,1,0)</f>
        <v>1</v>
      </c>
    </row>
    <row r="2861" spans="1:14" x14ac:dyDescent="0.2">
      <c r="A2861">
        <v>2860</v>
      </c>
      <c r="B2861">
        <v>2444</v>
      </c>
      <c r="C2861">
        <f>1/COUNTIF(B:B,Table1[[#This Row],[order_id]])</f>
        <v>1</v>
      </c>
      <c r="D2861" t="str">
        <f>TEXT(Table1[[#This Row],[order_date]],"mmmm")</f>
        <v>August</v>
      </c>
      <c r="E2861" s="1">
        <v>45513</v>
      </c>
      <c r="F2861" s="1" t="str">
        <f>TEXT(Table1[[#This Row],[order_date]],"dddd")</f>
        <v>Friday</v>
      </c>
      <c r="G2861">
        <f>HOUR(Table1[[#This Row],[order_time]])</f>
        <v>12</v>
      </c>
      <c r="H2861" s="2">
        <v>0.51590277777777782</v>
      </c>
      <c r="I2861" t="s">
        <v>9</v>
      </c>
      <c r="J2861" t="s">
        <v>22</v>
      </c>
      <c r="K2861">
        <v>1</v>
      </c>
      <c r="L2861">
        <v>15</v>
      </c>
      <c r="M2861">
        <v>15</v>
      </c>
      <c r="N2861">
        <f>IF(COUNTIFS($B$2:B2861,B2861)=1,1,0)</f>
        <v>1</v>
      </c>
    </row>
    <row r="2862" spans="1:14" x14ac:dyDescent="0.2">
      <c r="A2862">
        <v>2861</v>
      </c>
      <c r="B2862">
        <v>2445</v>
      </c>
      <c r="C2862">
        <f>1/COUNTIF(B:B,Table1[[#This Row],[order_id]])</f>
        <v>1</v>
      </c>
      <c r="D2862" t="str">
        <f>TEXT(Table1[[#This Row],[order_date]],"mmmm")</f>
        <v>August</v>
      </c>
      <c r="E2862" s="1">
        <v>45513</v>
      </c>
      <c r="F2862" s="1" t="str">
        <f>TEXT(Table1[[#This Row],[order_date]],"dddd")</f>
        <v>Friday</v>
      </c>
      <c r="G2862">
        <f>HOUR(Table1[[#This Row],[order_time]])</f>
        <v>14</v>
      </c>
      <c r="H2862" s="2">
        <v>0.61284722222222221</v>
      </c>
      <c r="I2862" t="s">
        <v>9</v>
      </c>
      <c r="J2862" t="s">
        <v>10</v>
      </c>
      <c r="K2862">
        <v>5</v>
      </c>
      <c r="L2862">
        <v>20</v>
      </c>
      <c r="M2862">
        <v>100</v>
      </c>
      <c r="N2862">
        <f>IF(COUNTIFS($B$2:B2862,B2862)=1,1,0)</f>
        <v>1</v>
      </c>
    </row>
    <row r="2863" spans="1:14" x14ac:dyDescent="0.2">
      <c r="A2863">
        <v>2862</v>
      </c>
      <c r="B2863">
        <v>2446</v>
      </c>
      <c r="C2863">
        <f>1/COUNTIF(B:B,Table1[[#This Row],[order_id]])</f>
        <v>0.5</v>
      </c>
      <c r="D2863" t="str">
        <f>TEXT(Table1[[#This Row],[order_date]],"mmmm")</f>
        <v>August</v>
      </c>
      <c r="E2863" s="1">
        <v>45513</v>
      </c>
      <c r="F2863" s="1" t="str">
        <f>TEXT(Table1[[#This Row],[order_date]],"dddd")</f>
        <v>Friday</v>
      </c>
      <c r="G2863">
        <f>HOUR(Table1[[#This Row],[order_time]])</f>
        <v>12</v>
      </c>
      <c r="H2863" s="2">
        <v>0.53461805555555553</v>
      </c>
      <c r="I2863" t="s">
        <v>9</v>
      </c>
      <c r="J2863" t="s">
        <v>20</v>
      </c>
      <c r="K2863">
        <v>3</v>
      </c>
      <c r="L2863">
        <v>25</v>
      </c>
      <c r="M2863">
        <v>75</v>
      </c>
      <c r="N2863">
        <f>IF(COUNTIFS($B$2:B2863,B2863)=1,1,0)</f>
        <v>1</v>
      </c>
    </row>
    <row r="2864" spans="1:14" x14ac:dyDescent="0.2">
      <c r="A2864">
        <v>2863</v>
      </c>
      <c r="B2864">
        <v>2446</v>
      </c>
      <c r="C2864">
        <f>1/COUNTIF(B:B,Table1[[#This Row],[order_id]])</f>
        <v>0.5</v>
      </c>
      <c r="D2864" t="str">
        <f>TEXT(Table1[[#This Row],[order_date]],"mmmm")</f>
        <v>August</v>
      </c>
      <c r="E2864" s="1">
        <v>45513</v>
      </c>
      <c r="F2864" s="1" t="str">
        <f>TEXT(Table1[[#This Row],[order_date]],"dddd")</f>
        <v>Friday</v>
      </c>
      <c r="G2864">
        <f>HOUR(Table1[[#This Row],[order_time]])</f>
        <v>19</v>
      </c>
      <c r="H2864" s="2">
        <v>0.80981481481481477</v>
      </c>
      <c r="I2864" t="s">
        <v>9</v>
      </c>
      <c r="J2864" t="s">
        <v>21</v>
      </c>
      <c r="K2864">
        <v>2</v>
      </c>
      <c r="L2864">
        <v>10</v>
      </c>
      <c r="M2864">
        <v>20</v>
      </c>
      <c r="N2864">
        <f>IF(COUNTIFS($B$2:B2864,B2864)=1,1,0)</f>
        <v>0</v>
      </c>
    </row>
    <row r="2865" spans="1:14" x14ac:dyDescent="0.2">
      <c r="A2865">
        <v>2864</v>
      </c>
      <c r="B2865">
        <v>2447</v>
      </c>
      <c r="C2865">
        <f>1/COUNTIF(B:B,Table1[[#This Row],[order_id]])</f>
        <v>1</v>
      </c>
      <c r="D2865" t="str">
        <f>TEXT(Table1[[#This Row],[order_date]],"mmmm")</f>
        <v>August</v>
      </c>
      <c r="E2865" s="1">
        <v>45513</v>
      </c>
      <c r="F2865" s="1" t="str">
        <f>TEXT(Table1[[#This Row],[order_date]],"dddd")</f>
        <v>Friday</v>
      </c>
      <c r="G2865">
        <f>HOUR(Table1[[#This Row],[order_time]])</f>
        <v>13</v>
      </c>
      <c r="H2865" s="2">
        <v>0.55796296296296299</v>
      </c>
      <c r="I2865" t="s">
        <v>16</v>
      </c>
      <c r="J2865" t="s">
        <v>28</v>
      </c>
      <c r="K2865">
        <v>1</v>
      </c>
      <c r="L2865">
        <v>25</v>
      </c>
      <c r="M2865">
        <v>25</v>
      </c>
      <c r="N2865">
        <f>IF(COUNTIFS($B$2:B2865,B2865)=1,1,0)</f>
        <v>1</v>
      </c>
    </row>
    <row r="2866" spans="1:14" x14ac:dyDescent="0.2">
      <c r="A2866">
        <v>2865</v>
      </c>
      <c r="B2866">
        <v>2448</v>
      </c>
      <c r="C2866">
        <f>1/COUNTIF(B:B,Table1[[#This Row],[order_id]])</f>
        <v>1</v>
      </c>
      <c r="D2866" t="str">
        <f>TEXT(Table1[[#This Row],[order_date]],"mmmm")</f>
        <v>August</v>
      </c>
      <c r="E2866" s="1">
        <v>45513</v>
      </c>
      <c r="F2866" s="1" t="str">
        <f>TEXT(Table1[[#This Row],[order_date]],"dddd")</f>
        <v>Friday</v>
      </c>
      <c r="G2866">
        <f>HOUR(Table1[[#This Row],[order_time]])</f>
        <v>11</v>
      </c>
      <c r="H2866" s="2">
        <v>0.47289351851851852</v>
      </c>
      <c r="I2866" t="s">
        <v>16</v>
      </c>
      <c r="J2866" t="s">
        <v>17</v>
      </c>
      <c r="K2866">
        <v>3</v>
      </c>
      <c r="L2866">
        <v>20</v>
      </c>
      <c r="M2866">
        <v>60</v>
      </c>
      <c r="N2866">
        <f>IF(COUNTIFS($B$2:B2866,B2866)=1,1,0)</f>
        <v>1</v>
      </c>
    </row>
    <row r="2867" spans="1:14" x14ac:dyDescent="0.2">
      <c r="A2867">
        <v>2866</v>
      </c>
      <c r="B2867">
        <v>2449</v>
      </c>
      <c r="C2867">
        <f>1/COUNTIF(B:B,Table1[[#This Row],[order_id]])</f>
        <v>0.33333333333333331</v>
      </c>
      <c r="D2867" t="str">
        <f>TEXT(Table1[[#This Row],[order_date]],"mmmm")</f>
        <v>August</v>
      </c>
      <c r="E2867" s="1">
        <v>45513</v>
      </c>
      <c r="F2867" s="1" t="str">
        <f>TEXT(Table1[[#This Row],[order_date]],"dddd")</f>
        <v>Friday</v>
      </c>
      <c r="G2867">
        <f>HOUR(Table1[[#This Row],[order_time]])</f>
        <v>10</v>
      </c>
      <c r="H2867" s="2">
        <v>0.44216435185185188</v>
      </c>
      <c r="I2867" t="s">
        <v>16</v>
      </c>
      <c r="J2867" t="s">
        <v>24</v>
      </c>
      <c r="K2867">
        <v>1</v>
      </c>
      <c r="L2867">
        <v>35</v>
      </c>
      <c r="M2867">
        <v>35</v>
      </c>
      <c r="N2867">
        <f>IF(COUNTIFS($B$2:B2867,B2867)=1,1,0)</f>
        <v>1</v>
      </c>
    </row>
    <row r="2868" spans="1:14" x14ac:dyDescent="0.2">
      <c r="A2868">
        <v>2867</v>
      </c>
      <c r="B2868">
        <v>2449</v>
      </c>
      <c r="C2868">
        <f>1/COUNTIF(B:B,Table1[[#This Row],[order_id]])</f>
        <v>0.33333333333333331</v>
      </c>
      <c r="D2868" t="str">
        <f>TEXT(Table1[[#This Row],[order_date]],"mmmm")</f>
        <v>August</v>
      </c>
      <c r="E2868" s="1">
        <v>45513</v>
      </c>
      <c r="F2868" s="1" t="str">
        <f>TEXT(Table1[[#This Row],[order_date]],"dddd")</f>
        <v>Friday</v>
      </c>
      <c r="G2868">
        <f>HOUR(Table1[[#This Row],[order_time]])</f>
        <v>10</v>
      </c>
      <c r="H2868" s="2">
        <v>0.43541666666666667</v>
      </c>
      <c r="I2868" t="s">
        <v>11</v>
      </c>
      <c r="J2868" t="s">
        <v>13</v>
      </c>
      <c r="K2868">
        <v>1</v>
      </c>
      <c r="L2868">
        <v>680</v>
      </c>
      <c r="M2868">
        <v>680</v>
      </c>
      <c r="N2868">
        <f>IF(COUNTIFS($B$2:B2868,B2868)=1,1,0)</f>
        <v>0</v>
      </c>
    </row>
    <row r="2869" spans="1:14" x14ac:dyDescent="0.2">
      <c r="A2869">
        <v>2868</v>
      </c>
      <c r="B2869">
        <v>2449</v>
      </c>
      <c r="C2869">
        <f>1/COUNTIF(B:B,Table1[[#This Row],[order_id]])</f>
        <v>0.33333333333333331</v>
      </c>
      <c r="D2869" t="str">
        <f>TEXT(Table1[[#This Row],[order_date]],"mmmm")</f>
        <v>August</v>
      </c>
      <c r="E2869" s="1">
        <v>45513</v>
      </c>
      <c r="F2869" s="1" t="str">
        <f>TEXT(Table1[[#This Row],[order_date]],"dddd")</f>
        <v>Friday</v>
      </c>
      <c r="G2869">
        <f>HOUR(Table1[[#This Row],[order_time]])</f>
        <v>13</v>
      </c>
      <c r="H2869" s="2">
        <v>0.5710763888888889</v>
      </c>
      <c r="I2869" t="s">
        <v>9</v>
      </c>
      <c r="J2869" t="s">
        <v>29</v>
      </c>
      <c r="K2869">
        <v>4</v>
      </c>
      <c r="L2869">
        <v>5</v>
      </c>
      <c r="M2869">
        <v>20</v>
      </c>
      <c r="N2869">
        <f>IF(COUNTIFS($B$2:B2869,B2869)=1,1,0)</f>
        <v>0</v>
      </c>
    </row>
    <row r="2870" spans="1:14" x14ac:dyDescent="0.2">
      <c r="A2870">
        <v>2869</v>
      </c>
      <c r="B2870">
        <v>2450</v>
      </c>
      <c r="C2870">
        <f>1/COUNTIF(B:B,Table1[[#This Row],[order_id]])</f>
        <v>1</v>
      </c>
      <c r="D2870" t="str">
        <f>TEXT(Table1[[#This Row],[order_date]],"mmmm")</f>
        <v>August</v>
      </c>
      <c r="E2870" s="1">
        <v>45513</v>
      </c>
      <c r="F2870" s="1" t="str">
        <f>TEXT(Table1[[#This Row],[order_date]],"dddd")</f>
        <v>Friday</v>
      </c>
      <c r="G2870">
        <f>HOUR(Table1[[#This Row],[order_time]])</f>
        <v>15</v>
      </c>
      <c r="H2870" s="2">
        <v>0.63033564814814813</v>
      </c>
      <c r="I2870" t="s">
        <v>11</v>
      </c>
      <c r="J2870" t="s">
        <v>14</v>
      </c>
      <c r="K2870">
        <v>5</v>
      </c>
      <c r="L2870">
        <v>700</v>
      </c>
      <c r="M2870">
        <v>3500</v>
      </c>
      <c r="N2870">
        <f>IF(COUNTIFS($B$2:B2870,B2870)=1,1,0)</f>
        <v>1</v>
      </c>
    </row>
    <row r="2871" spans="1:14" x14ac:dyDescent="0.2">
      <c r="A2871">
        <v>2870</v>
      </c>
      <c r="B2871">
        <v>2451</v>
      </c>
      <c r="C2871">
        <f>1/COUNTIF(B:B,Table1[[#This Row],[order_id]])</f>
        <v>1</v>
      </c>
      <c r="D2871" t="str">
        <f>TEXT(Table1[[#This Row],[order_date]],"mmmm")</f>
        <v>August</v>
      </c>
      <c r="E2871" s="1">
        <v>45514</v>
      </c>
      <c r="F2871" s="1" t="str">
        <f>TEXT(Table1[[#This Row],[order_date]],"dddd")</f>
        <v>Saturday</v>
      </c>
      <c r="G2871">
        <f>HOUR(Table1[[#This Row],[order_time]])</f>
        <v>10</v>
      </c>
      <c r="H2871" s="2">
        <v>0.41938657407407409</v>
      </c>
      <c r="I2871" t="s">
        <v>11</v>
      </c>
      <c r="J2871" t="s">
        <v>14</v>
      </c>
      <c r="K2871">
        <v>1</v>
      </c>
      <c r="L2871">
        <v>700</v>
      </c>
      <c r="M2871">
        <v>700</v>
      </c>
      <c r="N2871">
        <f>IF(COUNTIFS($B$2:B2871,B2871)=1,1,0)</f>
        <v>1</v>
      </c>
    </row>
    <row r="2872" spans="1:14" x14ac:dyDescent="0.2">
      <c r="A2872">
        <v>2871</v>
      </c>
      <c r="B2872">
        <v>2452</v>
      </c>
      <c r="C2872">
        <f>1/COUNTIF(B:B,Table1[[#This Row],[order_id]])</f>
        <v>0.33333333333333331</v>
      </c>
      <c r="D2872" t="str">
        <f>TEXT(Table1[[#This Row],[order_date]],"mmmm")</f>
        <v>August</v>
      </c>
      <c r="E2872" s="1">
        <v>45514</v>
      </c>
      <c r="F2872" s="1" t="str">
        <f>TEXT(Table1[[#This Row],[order_date]],"dddd")</f>
        <v>Saturday</v>
      </c>
      <c r="G2872">
        <f>HOUR(Table1[[#This Row],[order_time]])</f>
        <v>15</v>
      </c>
      <c r="H2872" s="2">
        <v>0.65494212962962961</v>
      </c>
      <c r="I2872" t="s">
        <v>9</v>
      </c>
      <c r="J2872" t="s">
        <v>22</v>
      </c>
      <c r="K2872">
        <v>1</v>
      </c>
      <c r="L2872">
        <v>15</v>
      </c>
      <c r="M2872">
        <v>15</v>
      </c>
      <c r="N2872">
        <f>IF(COUNTIFS($B$2:B2872,B2872)=1,1,0)</f>
        <v>1</v>
      </c>
    </row>
    <row r="2873" spans="1:14" x14ac:dyDescent="0.2">
      <c r="A2873">
        <v>2872</v>
      </c>
      <c r="B2873">
        <v>2452</v>
      </c>
      <c r="C2873">
        <f>1/COUNTIF(B:B,Table1[[#This Row],[order_id]])</f>
        <v>0.33333333333333331</v>
      </c>
      <c r="D2873" t="str">
        <f>TEXT(Table1[[#This Row],[order_date]],"mmmm")</f>
        <v>August</v>
      </c>
      <c r="E2873" s="1">
        <v>45514</v>
      </c>
      <c r="F2873" s="1" t="str">
        <f>TEXT(Table1[[#This Row],[order_date]],"dddd")</f>
        <v>Saturday</v>
      </c>
      <c r="G2873">
        <f>HOUR(Table1[[#This Row],[order_time]])</f>
        <v>10</v>
      </c>
      <c r="H2873" s="2">
        <v>0.41898148148148145</v>
      </c>
      <c r="I2873" t="s">
        <v>11</v>
      </c>
      <c r="J2873" t="s">
        <v>14</v>
      </c>
      <c r="K2873">
        <v>4</v>
      </c>
      <c r="L2873">
        <v>700</v>
      </c>
      <c r="M2873">
        <v>2800</v>
      </c>
      <c r="N2873">
        <f>IF(COUNTIFS($B$2:B2873,B2873)=1,1,0)</f>
        <v>0</v>
      </c>
    </row>
    <row r="2874" spans="1:14" x14ac:dyDescent="0.2">
      <c r="A2874">
        <v>2873</v>
      </c>
      <c r="B2874">
        <v>2452</v>
      </c>
      <c r="C2874">
        <f>1/COUNTIF(B:B,Table1[[#This Row],[order_id]])</f>
        <v>0.33333333333333331</v>
      </c>
      <c r="D2874" t="str">
        <f>TEXT(Table1[[#This Row],[order_date]],"mmmm")</f>
        <v>August</v>
      </c>
      <c r="E2874" s="1">
        <v>45514</v>
      </c>
      <c r="F2874" s="1" t="str">
        <f>TEXT(Table1[[#This Row],[order_date]],"dddd")</f>
        <v>Saturday</v>
      </c>
      <c r="G2874">
        <f>HOUR(Table1[[#This Row],[order_time]])</f>
        <v>12</v>
      </c>
      <c r="H2874" s="2">
        <v>0.52811342592592592</v>
      </c>
      <c r="I2874" t="s">
        <v>16</v>
      </c>
      <c r="J2874" t="s">
        <v>24</v>
      </c>
      <c r="K2874">
        <v>1</v>
      </c>
      <c r="L2874">
        <v>35</v>
      </c>
      <c r="M2874">
        <v>35</v>
      </c>
      <c r="N2874">
        <f>IF(COUNTIFS($B$2:B2874,B2874)=1,1,0)</f>
        <v>0</v>
      </c>
    </row>
    <row r="2875" spans="1:14" x14ac:dyDescent="0.2">
      <c r="A2875">
        <v>2874</v>
      </c>
      <c r="B2875">
        <v>2453</v>
      </c>
      <c r="C2875">
        <f>1/COUNTIF(B:B,Table1[[#This Row],[order_id]])</f>
        <v>1</v>
      </c>
      <c r="D2875" t="str">
        <f>TEXT(Table1[[#This Row],[order_date]],"mmmm")</f>
        <v>August</v>
      </c>
      <c r="E2875" s="1">
        <v>45514</v>
      </c>
      <c r="F2875" s="1" t="str">
        <f>TEXT(Table1[[#This Row],[order_date]],"dddd")</f>
        <v>Saturday</v>
      </c>
      <c r="G2875">
        <f>HOUR(Table1[[#This Row],[order_time]])</f>
        <v>18</v>
      </c>
      <c r="H2875" s="2">
        <v>0.7636574074074074</v>
      </c>
      <c r="I2875" t="s">
        <v>18</v>
      </c>
      <c r="J2875" t="s">
        <v>26</v>
      </c>
      <c r="K2875">
        <v>1</v>
      </c>
      <c r="L2875">
        <v>55</v>
      </c>
      <c r="M2875">
        <v>55</v>
      </c>
      <c r="N2875">
        <f>IF(COUNTIFS($B$2:B2875,B2875)=1,1,0)</f>
        <v>1</v>
      </c>
    </row>
    <row r="2876" spans="1:14" x14ac:dyDescent="0.2">
      <c r="A2876">
        <v>2875</v>
      </c>
      <c r="B2876">
        <v>2454</v>
      </c>
      <c r="C2876">
        <f>1/COUNTIF(B:B,Table1[[#This Row],[order_id]])</f>
        <v>1</v>
      </c>
      <c r="D2876" t="str">
        <f>TEXT(Table1[[#This Row],[order_date]],"mmmm")</f>
        <v>August</v>
      </c>
      <c r="E2876" s="1">
        <v>45514</v>
      </c>
      <c r="F2876" s="1" t="str">
        <f>TEXT(Table1[[#This Row],[order_date]],"dddd")</f>
        <v>Saturday</v>
      </c>
      <c r="G2876">
        <f>HOUR(Table1[[#This Row],[order_time]])</f>
        <v>9</v>
      </c>
      <c r="H2876" s="2">
        <v>0.38363425925925926</v>
      </c>
      <c r="I2876" t="s">
        <v>16</v>
      </c>
      <c r="J2876" t="s">
        <v>23</v>
      </c>
      <c r="K2876">
        <v>1</v>
      </c>
      <c r="L2876">
        <v>30</v>
      </c>
      <c r="M2876">
        <v>30</v>
      </c>
      <c r="N2876">
        <f>IF(COUNTIFS($B$2:B2876,B2876)=1,1,0)</f>
        <v>1</v>
      </c>
    </row>
    <row r="2877" spans="1:14" x14ac:dyDescent="0.2">
      <c r="A2877">
        <v>2876</v>
      </c>
      <c r="B2877">
        <v>2455</v>
      </c>
      <c r="C2877">
        <f>1/COUNTIF(B:B,Table1[[#This Row],[order_id]])</f>
        <v>0.5</v>
      </c>
      <c r="D2877" t="str">
        <f>TEXT(Table1[[#This Row],[order_date]],"mmmm")</f>
        <v>August</v>
      </c>
      <c r="E2877" s="1">
        <v>45514</v>
      </c>
      <c r="F2877" s="1" t="str">
        <f>TEXT(Table1[[#This Row],[order_date]],"dddd")</f>
        <v>Saturday</v>
      </c>
      <c r="G2877">
        <f>HOUR(Table1[[#This Row],[order_time]])</f>
        <v>12</v>
      </c>
      <c r="H2877" s="2">
        <v>0.50665509259259256</v>
      </c>
      <c r="I2877" t="s">
        <v>16</v>
      </c>
      <c r="J2877" t="s">
        <v>23</v>
      </c>
      <c r="K2877">
        <v>4</v>
      </c>
      <c r="L2877">
        <v>30</v>
      </c>
      <c r="M2877">
        <v>120</v>
      </c>
      <c r="N2877">
        <f>IF(COUNTIFS($B$2:B2877,B2877)=1,1,0)</f>
        <v>1</v>
      </c>
    </row>
    <row r="2878" spans="1:14" x14ac:dyDescent="0.2">
      <c r="A2878">
        <v>2877</v>
      </c>
      <c r="B2878">
        <v>2455</v>
      </c>
      <c r="C2878">
        <f>1/COUNTIF(B:B,Table1[[#This Row],[order_id]])</f>
        <v>0.5</v>
      </c>
      <c r="D2878" t="str">
        <f>TEXT(Table1[[#This Row],[order_date]],"mmmm")</f>
        <v>August</v>
      </c>
      <c r="E2878" s="1">
        <v>45514</v>
      </c>
      <c r="F2878" s="1" t="str">
        <f>TEXT(Table1[[#This Row],[order_date]],"dddd")</f>
        <v>Saturday</v>
      </c>
      <c r="G2878">
        <f>HOUR(Table1[[#This Row],[order_time]])</f>
        <v>18</v>
      </c>
      <c r="H2878" s="2">
        <v>0.76232638888888893</v>
      </c>
      <c r="I2878" t="s">
        <v>16</v>
      </c>
      <c r="J2878" t="s">
        <v>23</v>
      </c>
      <c r="K2878">
        <v>3</v>
      </c>
      <c r="L2878">
        <v>30</v>
      </c>
      <c r="M2878">
        <v>90</v>
      </c>
      <c r="N2878">
        <f>IF(COUNTIFS($B$2:B2878,B2878)=1,1,0)</f>
        <v>0</v>
      </c>
    </row>
    <row r="2879" spans="1:14" x14ac:dyDescent="0.2">
      <c r="A2879">
        <v>2878</v>
      </c>
      <c r="B2879">
        <v>2456</v>
      </c>
      <c r="C2879">
        <f>1/COUNTIF(B:B,Table1[[#This Row],[order_id]])</f>
        <v>0.33333333333333331</v>
      </c>
      <c r="D2879" t="str">
        <f>TEXT(Table1[[#This Row],[order_date]],"mmmm")</f>
        <v>August</v>
      </c>
      <c r="E2879" s="1">
        <v>45514</v>
      </c>
      <c r="F2879" s="1" t="str">
        <f>TEXT(Table1[[#This Row],[order_date]],"dddd")</f>
        <v>Saturday</v>
      </c>
      <c r="G2879">
        <f>HOUR(Table1[[#This Row],[order_time]])</f>
        <v>15</v>
      </c>
      <c r="H2879" s="2">
        <v>0.65046296296296291</v>
      </c>
      <c r="I2879" t="s">
        <v>11</v>
      </c>
      <c r="J2879" t="s">
        <v>13</v>
      </c>
      <c r="K2879">
        <v>1</v>
      </c>
      <c r="L2879">
        <v>680</v>
      </c>
      <c r="M2879">
        <v>680</v>
      </c>
      <c r="N2879">
        <f>IF(COUNTIFS($B$2:B2879,B2879)=1,1,0)</f>
        <v>1</v>
      </c>
    </row>
    <row r="2880" spans="1:14" x14ac:dyDescent="0.2">
      <c r="A2880">
        <v>2879</v>
      </c>
      <c r="B2880">
        <v>2456</v>
      </c>
      <c r="C2880">
        <f>1/COUNTIF(B:B,Table1[[#This Row],[order_id]])</f>
        <v>0.33333333333333331</v>
      </c>
      <c r="D2880" t="str">
        <f>TEXT(Table1[[#This Row],[order_date]],"mmmm")</f>
        <v>August</v>
      </c>
      <c r="E2880" s="1">
        <v>45514</v>
      </c>
      <c r="F2880" s="1" t="str">
        <f>TEXT(Table1[[#This Row],[order_date]],"dddd")</f>
        <v>Saturday</v>
      </c>
      <c r="G2880">
        <f>HOUR(Table1[[#This Row],[order_time]])</f>
        <v>18</v>
      </c>
      <c r="H2880" s="2">
        <v>0.78548611111111111</v>
      </c>
      <c r="I2880" t="s">
        <v>11</v>
      </c>
      <c r="J2880" t="s">
        <v>14</v>
      </c>
      <c r="K2880">
        <v>5</v>
      </c>
      <c r="L2880">
        <v>700</v>
      </c>
      <c r="M2880">
        <v>3500</v>
      </c>
      <c r="N2880">
        <f>IF(COUNTIFS($B$2:B2880,B2880)=1,1,0)</f>
        <v>0</v>
      </c>
    </row>
    <row r="2881" spans="1:14" x14ac:dyDescent="0.2">
      <c r="A2881">
        <v>2880</v>
      </c>
      <c r="B2881">
        <v>2456</v>
      </c>
      <c r="C2881">
        <f>1/COUNTIF(B:B,Table1[[#This Row],[order_id]])</f>
        <v>0.33333333333333331</v>
      </c>
      <c r="D2881" t="str">
        <f>TEXT(Table1[[#This Row],[order_date]],"mmmm")</f>
        <v>August</v>
      </c>
      <c r="E2881" s="1">
        <v>45514</v>
      </c>
      <c r="F2881" s="1" t="str">
        <f>TEXT(Table1[[#This Row],[order_date]],"dddd")</f>
        <v>Saturday</v>
      </c>
      <c r="G2881">
        <f>HOUR(Table1[[#This Row],[order_time]])</f>
        <v>11</v>
      </c>
      <c r="H2881" s="2">
        <v>0.47967592592592595</v>
      </c>
      <c r="I2881" t="s">
        <v>11</v>
      </c>
      <c r="J2881" t="s">
        <v>12</v>
      </c>
      <c r="K2881">
        <v>3</v>
      </c>
      <c r="L2881">
        <v>650</v>
      </c>
      <c r="M2881">
        <v>1950</v>
      </c>
      <c r="N2881">
        <f>IF(COUNTIFS($B$2:B2881,B2881)=1,1,0)</f>
        <v>0</v>
      </c>
    </row>
    <row r="2882" spans="1:14" x14ac:dyDescent="0.2">
      <c r="A2882">
        <v>2881</v>
      </c>
      <c r="B2882">
        <v>2457</v>
      </c>
      <c r="C2882">
        <f>1/COUNTIF(B:B,Table1[[#This Row],[order_id]])</f>
        <v>0.5</v>
      </c>
      <c r="D2882" t="str">
        <f>TEXT(Table1[[#This Row],[order_date]],"mmmm")</f>
        <v>August</v>
      </c>
      <c r="E2882" s="1">
        <v>45514</v>
      </c>
      <c r="F2882" s="1" t="str">
        <f>TEXT(Table1[[#This Row],[order_date]],"dddd")</f>
        <v>Saturday</v>
      </c>
      <c r="G2882">
        <f>HOUR(Table1[[#This Row],[order_time]])</f>
        <v>10</v>
      </c>
      <c r="H2882" s="2">
        <v>0.43392361111111111</v>
      </c>
      <c r="I2882" t="s">
        <v>9</v>
      </c>
      <c r="J2882" t="s">
        <v>21</v>
      </c>
      <c r="K2882">
        <v>1</v>
      </c>
      <c r="L2882">
        <v>10</v>
      </c>
      <c r="M2882">
        <v>10</v>
      </c>
      <c r="N2882">
        <f>IF(COUNTIFS($B$2:B2882,B2882)=1,1,0)</f>
        <v>1</v>
      </c>
    </row>
    <row r="2883" spans="1:14" x14ac:dyDescent="0.2">
      <c r="A2883">
        <v>2882</v>
      </c>
      <c r="B2883">
        <v>2457</v>
      </c>
      <c r="C2883">
        <f>1/COUNTIF(B:B,Table1[[#This Row],[order_id]])</f>
        <v>0.5</v>
      </c>
      <c r="D2883" t="str">
        <f>TEXT(Table1[[#This Row],[order_date]],"mmmm")</f>
        <v>August</v>
      </c>
      <c r="E2883" s="1">
        <v>45514</v>
      </c>
      <c r="F2883" s="1" t="str">
        <f>TEXT(Table1[[#This Row],[order_date]],"dddd")</f>
        <v>Saturday</v>
      </c>
      <c r="G2883">
        <f>HOUR(Table1[[#This Row],[order_time]])</f>
        <v>19</v>
      </c>
      <c r="H2883" s="2">
        <v>0.82217592592592592</v>
      </c>
      <c r="I2883" t="s">
        <v>9</v>
      </c>
      <c r="J2883" t="s">
        <v>10</v>
      </c>
      <c r="K2883">
        <v>2</v>
      </c>
      <c r="L2883">
        <v>20</v>
      </c>
      <c r="M2883">
        <v>40</v>
      </c>
      <c r="N2883">
        <f>IF(COUNTIFS($B$2:B2883,B2883)=1,1,0)</f>
        <v>0</v>
      </c>
    </row>
    <row r="2884" spans="1:14" x14ac:dyDescent="0.2">
      <c r="A2884">
        <v>2883</v>
      </c>
      <c r="B2884">
        <v>2458</v>
      </c>
      <c r="C2884">
        <f>1/COUNTIF(B:B,Table1[[#This Row],[order_id]])</f>
        <v>0.5</v>
      </c>
      <c r="D2884" t="str">
        <f>TEXT(Table1[[#This Row],[order_date]],"mmmm")</f>
        <v>August</v>
      </c>
      <c r="E2884" s="1">
        <v>45514</v>
      </c>
      <c r="F2884" s="1" t="str">
        <f>TEXT(Table1[[#This Row],[order_date]],"dddd")</f>
        <v>Saturday</v>
      </c>
      <c r="G2884">
        <f>HOUR(Table1[[#This Row],[order_time]])</f>
        <v>10</v>
      </c>
      <c r="H2884" s="2">
        <v>0.43344907407407407</v>
      </c>
      <c r="I2884" t="s">
        <v>11</v>
      </c>
      <c r="J2884" t="s">
        <v>14</v>
      </c>
      <c r="K2884">
        <v>2</v>
      </c>
      <c r="L2884">
        <v>700</v>
      </c>
      <c r="M2884">
        <v>1400</v>
      </c>
      <c r="N2884">
        <f>IF(COUNTIFS($B$2:B2884,B2884)=1,1,0)</f>
        <v>1</v>
      </c>
    </row>
    <row r="2885" spans="1:14" x14ac:dyDescent="0.2">
      <c r="A2885">
        <v>2884</v>
      </c>
      <c r="B2885">
        <v>2458</v>
      </c>
      <c r="C2885">
        <f>1/COUNTIF(B:B,Table1[[#This Row],[order_id]])</f>
        <v>0.5</v>
      </c>
      <c r="D2885" t="str">
        <f>TEXT(Table1[[#This Row],[order_date]],"mmmm")</f>
        <v>August</v>
      </c>
      <c r="E2885" s="1">
        <v>45514</v>
      </c>
      <c r="F2885" s="1" t="str">
        <f>TEXT(Table1[[#This Row],[order_date]],"dddd")</f>
        <v>Saturday</v>
      </c>
      <c r="G2885">
        <f>HOUR(Table1[[#This Row],[order_time]])</f>
        <v>12</v>
      </c>
      <c r="H2885" s="2">
        <v>0.50001157407407404</v>
      </c>
      <c r="I2885" t="s">
        <v>18</v>
      </c>
      <c r="J2885" t="s">
        <v>26</v>
      </c>
      <c r="K2885">
        <v>1</v>
      </c>
      <c r="L2885">
        <v>55</v>
      </c>
      <c r="M2885">
        <v>55</v>
      </c>
      <c r="N2885">
        <f>IF(COUNTIFS($B$2:B2885,B2885)=1,1,0)</f>
        <v>0</v>
      </c>
    </row>
    <row r="2886" spans="1:14" x14ac:dyDescent="0.2">
      <c r="A2886">
        <v>2885</v>
      </c>
      <c r="B2886">
        <v>2459</v>
      </c>
      <c r="C2886">
        <f>1/COUNTIF(B:B,Table1[[#This Row],[order_id]])</f>
        <v>0.33333333333333331</v>
      </c>
      <c r="D2886" t="str">
        <f>TEXT(Table1[[#This Row],[order_date]],"mmmm")</f>
        <v>August</v>
      </c>
      <c r="E2886" s="1">
        <v>45515</v>
      </c>
      <c r="F2886" s="1" t="str">
        <f>TEXT(Table1[[#This Row],[order_date]],"dddd")</f>
        <v>Sunday</v>
      </c>
      <c r="G2886">
        <f>HOUR(Table1[[#This Row],[order_time]])</f>
        <v>17</v>
      </c>
      <c r="H2886" s="2">
        <v>0.74178240740740742</v>
      </c>
      <c r="I2886" t="s">
        <v>11</v>
      </c>
      <c r="J2886" t="s">
        <v>12</v>
      </c>
      <c r="K2886">
        <v>1</v>
      </c>
      <c r="L2886">
        <v>650</v>
      </c>
      <c r="M2886">
        <v>650</v>
      </c>
      <c r="N2886">
        <f>IF(COUNTIFS($B$2:B2886,B2886)=1,1,0)</f>
        <v>1</v>
      </c>
    </row>
    <row r="2887" spans="1:14" x14ac:dyDescent="0.2">
      <c r="A2887">
        <v>2886</v>
      </c>
      <c r="B2887">
        <v>2459</v>
      </c>
      <c r="C2887">
        <f>1/COUNTIF(B:B,Table1[[#This Row],[order_id]])</f>
        <v>0.33333333333333331</v>
      </c>
      <c r="D2887" t="str">
        <f>TEXT(Table1[[#This Row],[order_date]],"mmmm")</f>
        <v>August</v>
      </c>
      <c r="E2887" s="1">
        <v>45515</v>
      </c>
      <c r="F2887" s="1" t="str">
        <f>TEXT(Table1[[#This Row],[order_date]],"dddd")</f>
        <v>Sunday</v>
      </c>
      <c r="G2887">
        <f>HOUR(Table1[[#This Row],[order_time]])</f>
        <v>18</v>
      </c>
      <c r="H2887" s="2">
        <v>0.76703703703703707</v>
      </c>
      <c r="I2887" t="s">
        <v>18</v>
      </c>
      <c r="J2887" t="s">
        <v>30</v>
      </c>
      <c r="K2887">
        <v>1</v>
      </c>
      <c r="L2887">
        <v>60</v>
      </c>
      <c r="M2887">
        <v>60</v>
      </c>
      <c r="N2887">
        <f>IF(COUNTIFS($B$2:B2887,B2887)=1,1,0)</f>
        <v>0</v>
      </c>
    </row>
    <row r="2888" spans="1:14" x14ac:dyDescent="0.2">
      <c r="A2888">
        <v>2887</v>
      </c>
      <c r="B2888">
        <v>2459</v>
      </c>
      <c r="C2888">
        <f>1/COUNTIF(B:B,Table1[[#This Row],[order_id]])</f>
        <v>0.33333333333333331</v>
      </c>
      <c r="D2888" t="str">
        <f>TEXT(Table1[[#This Row],[order_date]],"mmmm")</f>
        <v>August</v>
      </c>
      <c r="E2888" s="1">
        <v>45515</v>
      </c>
      <c r="F2888" s="1" t="str">
        <f>TEXT(Table1[[#This Row],[order_date]],"dddd")</f>
        <v>Sunday</v>
      </c>
      <c r="G2888">
        <f>HOUR(Table1[[#This Row],[order_time]])</f>
        <v>13</v>
      </c>
      <c r="H2888" s="2">
        <v>0.56765046296296295</v>
      </c>
      <c r="I2888" t="s">
        <v>18</v>
      </c>
      <c r="J2888" t="s">
        <v>26</v>
      </c>
      <c r="K2888">
        <v>1</v>
      </c>
      <c r="L2888">
        <v>55</v>
      </c>
      <c r="M2888">
        <v>55</v>
      </c>
      <c r="N2888">
        <f>IF(COUNTIFS($B$2:B2888,B2888)=1,1,0)</f>
        <v>0</v>
      </c>
    </row>
    <row r="2889" spans="1:14" x14ac:dyDescent="0.2">
      <c r="A2889">
        <v>2888</v>
      </c>
      <c r="B2889">
        <v>2460</v>
      </c>
      <c r="C2889">
        <f>1/COUNTIF(B:B,Table1[[#This Row],[order_id]])</f>
        <v>1</v>
      </c>
      <c r="D2889" t="str">
        <f>TEXT(Table1[[#This Row],[order_date]],"mmmm")</f>
        <v>August</v>
      </c>
      <c r="E2889" s="1">
        <v>45515</v>
      </c>
      <c r="F2889" s="1" t="str">
        <f>TEXT(Table1[[#This Row],[order_date]],"dddd")</f>
        <v>Sunday</v>
      </c>
      <c r="G2889">
        <f>HOUR(Table1[[#This Row],[order_time]])</f>
        <v>17</v>
      </c>
      <c r="H2889" s="2">
        <v>0.7201157407407407</v>
      </c>
      <c r="I2889" t="s">
        <v>16</v>
      </c>
      <c r="J2889" t="s">
        <v>24</v>
      </c>
      <c r="K2889">
        <v>4</v>
      </c>
      <c r="L2889">
        <v>35</v>
      </c>
      <c r="M2889">
        <v>140</v>
      </c>
      <c r="N2889">
        <f>IF(COUNTIFS($B$2:B2889,B2889)=1,1,0)</f>
        <v>1</v>
      </c>
    </row>
    <row r="2890" spans="1:14" x14ac:dyDescent="0.2">
      <c r="A2890">
        <v>2889</v>
      </c>
      <c r="B2890">
        <v>2461</v>
      </c>
      <c r="C2890">
        <f>1/COUNTIF(B:B,Table1[[#This Row],[order_id]])</f>
        <v>0.5</v>
      </c>
      <c r="D2890" t="str">
        <f>TEXT(Table1[[#This Row],[order_date]],"mmmm")</f>
        <v>August</v>
      </c>
      <c r="E2890" s="1">
        <v>45515</v>
      </c>
      <c r="F2890" s="1" t="str">
        <f>TEXT(Table1[[#This Row],[order_date]],"dddd")</f>
        <v>Sunday</v>
      </c>
      <c r="G2890">
        <f>HOUR(Table1[[#This Row],[order_time]])</f>
        <v>10</v>
      </c>
      <c r="H2890" s="2">
        <v>0.45530092592592591</v>
      </c>
      <c r="I2890" t="s">
        <v>11</v>
      </c>
      <c r="J2890" t="s">
        <v>15</v>
      </c>
      <c r="K2890">
        <v>2</v>
      </c>
      <c r="L2890">
        <v>600</v>
      </c>
      <c r="M2890">
        <v>1200</v>
      </c>
      <c r="N2890">
        <f>IF(COUNTIFS($B$2:B2890,B2890)=1,1,0)</f>
        <v>1</v>
      </c>
    </row>
    <row r="2891" spans="1:14" x14ac:dyDescent="0.2">
      <c r="A2891">
        <v>2890</v>
      </c>
      <c r="B2891">
        <v>2461</v>
      </c>
      <c r="C2891">
        <f>1/COUNTIF(B:B,Table1[[#This Row],[order_id]])</f>
        <v>0.5</v>
      </c>
      <c r="D2891" t="str">
        <f>TEXT(Table1[[#This Row],[order_date]],"mmmm")</f>
        <v>August</v>
      </c>
      <c r="E2891" s="1">
        <v>45515</v>
      </c>
      <c r="F2891" s="1" t="str">
        <f>TEXT(Table1[[#This Row],[order_date]],"dddd")</f>
        <v>Sunday</v>
      </c>
      <c r="G2891">
        <f>HOUR(Table1[[#This Row],[order_time]])</f>
        <v>15</v>
      </c>
      <c r="H2891" s="2">
        <v>0.63188657407407411</v>
      </c>
      <c r="I2891" t="s">
        <v>9</v>
      </c>
      <c r="J2891" t="s">
        <v>20</v>
      </c>
      <c r="K2891">
        <v>1</v>
      </c>
      <c r="L2891">
        <v>25</v>
      </c>
      <c r="M2891">
        <v>25</v>
      </c>
      <c r="N2891">
        <f>IF(COUNTIFS($B$2:B2891,B2891)=1,1,0)</f>
        <v>0</v>
      </c>
    </row>
    <row r="2892" spans="1:14" x14ac:dyDescent="0.2">
      <c r="A2892">
        <v>2891</v>
      </c>
      <c r="B2892">
        <v>2462</v>
      </c>
      <c r="C2892">
        <f>1/COUNTIF(B:B,Table1[[#This Row],[order_id]])</f>
        <v>1</v>
      </c>
      <c r="D2892" t="str">
        <f>TEXT(Table1[[#This Row],[order_date]],"mmmm")</f>
        <v>August</v>
      </c>
      <c r="E2892" s="1">
        <v>45515</v>
      </c>
      <c r="F2892" s="1" t="str">
        <f>TEXT(Table1[[#This Row],[order_date]],"dddd")</f>
        <v>Sunday</v>
      </c>
      <c r="G2892">
        <f>HOUR(Table1[[#This Row],[order_time]])</f>
        <v>18</v>
      </c>
      <c r="H2892" s="2">
        <v>0.76328703703703704</v>
      </c>
      <c r="I2892" t="s">
        <v>9</v>
      </c>
      <c r="J2892" t="s">
        <v>20</v>
      </c>
      <c r="K2892">
        <v>5</v>
      </c>
      <c r="L2892">
        <v>25</v>
      </c>
      <c r="M2892">
        <v>125</v>
      </c>
      <c r="N2892">
        <f>IF(COUNTIFS($B$2:B2892,B2892)=1,1,0)</f>
        <v>1</v>
      </c>
    </row>
    <row r="2893" spans="1:14" x14ac:dyDescent="0.2">
      <c r="A2893">
        <v>2892</v>
      </c>
      <c r="B2893">
        <v>2463</v>
      </c>
      <c r="C2893">
        <f>1/COUNTIF(B:B,Table1[[#This Row],[order_id]])</f>
        <v>0.5</v>
      </c>
      <c r="D2893" t="str">
        <f>TEXT(Table1[[#This Row],[order_date]],"mmmm")</f>
        <v>August</v>
      </c>
      <c r="E2893" s="1">
        <v>45515</v>
      </c>
      <c r="F2893" s="1" t="str">
        <f>TEXT(Table1[[#This Row],[order_date]],"dddd")</f>
        <v>Sunday</v>
      </c>
      <c r="G2893">
        <f>HOUR(Table1[[#This Row],[order_time]])</f>
        <v>9</v>
      </c>
      <c r="H2893" s="2">
        <v>0.37555555555555553</v>
      </c>
      <c r="I2893" t="s">
        <v>9</v>
      </c>
      <c r="J2893" t="s">
        <v>22</v>
      </c>
      <c r="K2893">
        <v>2</v>
      </c>
      <c r="L2893">
        <v>15</v>
      </c>
      <c r="M2893">
        <v>30</v>
      </c>
      <c r="N2893">
        <f>IF(COUNTIFS($B$2:B2893,B2893)=1,1,0)</f>
        <v>1</v>
      </c>
    </row>
    <row r="2894" spans="1:14" x14ac:dyDescent="0.2">
      <c r="A2894">
        <v>2893</v>
      </c>
      <c r="B2894">
        <v>2463</v>
      </c>
      <c r="C2894">
        <f>1/COUNTIF(B:B,Table1[[#This Row],[order_id]])</f>
        <v>0.5</v>
      </c>
      <c r="D2894" t="str">
        <f>TEXT(Table1[[#This Row],[order_date]],"mmmm")</f>
        <v>August</v>
      </c>
      <c r="E2894" s="1">
        <v>45515</v>
      </c>
      <c r="F2894" s="1" t="str">
        <f>TEXT(Table1[[#This Row],[order_date]],"dddd")</f>
        <v>Sunday</v>
      </c>
      <c r="G2894">
        <f>HOUR(Table1[[#This Row],[order_time]])</f>
        <v>11</v>
      </c>
      <c r="H2894" s="2">
        <v>0.48605324074074074</v>
      </c>
      <c r="I2894" t="s">
        <v>18</v>
      </c>
      <c r="J2894" t="s">
        <v>31</v>
      </c>
      <c r="K2894">
        <v>1</v>
      </c>
      <c r="L2894">
        <v>45</v>
      </c>
      <c r="M2894">
        <v>45</v>
      </c>
      <c r="N2894">
        <f>IF(COUNTIFS($B$2:B2894,B2894)=1,1,0)</f>
        <v>0</v>
      </c>
    </row>
    <row r="2895" spans="1:14" x14ac:dyDescent="0.2">
      <c r="A2895">
        <v>2894</v>
      </c>
      <c r="B2895">
        <v>2464</v>
      </c>
      <c r="C2895">
        <f>1/COUNTIF(B:B,Table1[[#This Row],[order_id]])</f>
        <v>1</v>
      </c>
      <c r="D2895" t="str">
        <f>TEXT(Table1[[#This Row],[order_date]],"mmmm")</f>
        <v>August</v>
      </c>
      <c r="E2895" s="1">
        <v>45515</v>
      </c>
      <c r="F2895" s="1" t="str">
        <f>TEXT(Table1[[#This Row],[order_date]],"dddd")</f>
        <v>Sunday</v>
      </c>
      <c r="G2895">
        <f>HOUR(Table1[[#This Row],[order_time]])</f>
        <v>14</v>
      </c>
      <c r="H2895" s="2">
        <v>0.60994212962962968</v>
      </c>
      <c r="I2895" t="s">
        <v>11</v>
      </c>
      <c r="J2895" t="s">
        <v>14</v>
      </c>
      <c r="K2895">
        <v>2</v>
      </c>
      <c r="L2895">
        <v>700</v>
      </c>
      <c r="M2895">
        <v>1400</v>
      </c>
      <c r="N2895">
        <f>IF(COUNTIFS($B$2:B2895,B2895)=1,1,0)</f>
        <v>1</v>
      </c>
    </row>
    <row r="2896" spans="1:14" x14ac:dyDescent="0.2">
      <c r="A2896">
        <v>2895</v>
      </c>
      <c r="B2896">
        <v>2465</v>
      </c>
      <c r="C2896">
        <f>1/COUNTIF(B:B,Table1[[#This Row],[order_id]])</f>
        <v>0.33333333333333331</v>
      </c>
      <c r="D2896" t="str">
        <f>TEXT(Table1[[#This Row],[order_date]],"mmmm")</f>
        <v>August</v>
      </c>
      <c r="E2896" s="1">
        <v>45515</v>
      </c>
      <c r="F2896" s="1" t="str">
        <f>TEXT(Table1[[#This Row],[order_date]],"dddd")</f>
        <v>Sunday</v>
      </c>
      <c r="G2896">
        <f>HOUR(Table1[[#This Row],[order_time]])</f>
        <v>18</v>
      </c>
      <c r="H2896" s="2">
        <v>0.78096064814814814</v>
      </c>
      <c r="I2896" t="s">
        <v>18</v>
      </c>
      <c r="J2896" t="s">
        <v>31</v>
      </c>
      <c r="K2896">
        <v>2</v>
      </c>
      <c r="L2896">
        <v>45</v>
      </c>
      <c r="M2896">
        <v>90</v>
      </c>
      <c r="N2896">
        <f>IF(COUNTIFS($B$2:B2896,B2896)=1,1,0)</f>
        <v>1</v>
      </c>
    </row>
    <row r="2897" spans="1:14" x14ac:dyDescent="0.2">
      <c r="A2897">
        <v>2896</v>
      </c>
      <c r="B2897">
        <v>2465</v>
      </c>
      <c r="C2897">
        <f>1/COUNTIF(B:B,Table1[[#This Row],[order_id]])</f>
        <v>0.33333333333333331</v>
      </c>
      <c r="D2897" t="str">
        <f>TEXT(Table1[[#This Row],[order_date]],"mmmm")</f>
        <v>August</v>
      </c>
      <c r="E2897" s="1">
        <v>45515</v>
      </c>
      <c r="F2897" s="1" t="str">
        <f>TEXT(Table1[[#This Row],[order_date]],"dddd")</f>
        <v>Sunday</v>
      </c>
      <c r="G2897">
        <f>HOUR(Table1[[#This Row],[order_time]])</f>
        <v>10</v>
      </c>
      <c r="H2897" s="2">
        <v>0.41829861111111111</v>
      </c>
      <c r="I2897" t="s">
        <v>9</v>
      </c>
      <c r="J2897" t="s">
        <v>29</v>
      </c>
      <c r="K2897">
        <v>2</v>
      </c>
      <c r="L2897">
        <v>5</v>
      </c>
      <c r="M2897">
        <v>10</v>
      </c>
      <c r="N2897">
        <f>IF(COUNTIFS($B$2:B2897,B2897)=1,1,0)</f>
        <v>0</v>
      </c>
    </row>
    <row r="2898" spans="1:14" x14ac:dyDescent="0.2">
      <c r="A2898">
        <v>2897</v>
      </c>
      <c r="B2898">
        <v>2465</v>
      </c>
      <c r="C2898">
        <f>1/COUNTIF(B:B,Table1[[#This Row],[order_id]])</f>
        <v>0.33333333333333331</v>
      </c>
      <c r="D2898" t="str">
        <f>TEXT(Table1[[#This Row],[order_date]],"mmmm")</f>
        <v>August</v>
      </c>
      <c r="E2898" s="1">
        <v>45515</v>
      </c>
      <c r="F2898" s="1" t="str">
        <f>TEXT(Table1[[#This Row],[order_date]],"dddd")</f>
        <v>Sunday</v>
      </c>
      <c r="G2898">
        <f>HOUR(Table1[[#This Row],[order_time]])</f>
        <v>11</v>
      </c>
      <c r="H2898" s="2">
        <v>0.48837962962962961</v>
      </c>
      <c r="I2898" t="s">
        <v>16</v>
      </c>
      <c r="J2898" t="s">
        <v>23</v>
      </c>
      <c r="K2898">
        <v>1</v>
      </c>
      <c r="L2898">
        <v>30</v>
      </c>
      <c r="M2898">
        <v>30</v>
      </c>
      <c r="N2898">
        <f>IF(COUNTIFS($B$2:B2898,B2898)=1,1,0)</f>
        <v>0</v>
      </c>
    </row>
    <row r="2899" spans="1:14" x14ac:dyDescent="0.2">
      <c r="A2899">
        <v>2898</v>
      </c>
      <c r="B2899">
        <v>2466</v>
      </c>
      <c r="C2899">
        <f>1/COUNTIF(B:B,Table1[[#This Row],[order_id]])</f>
        <v>1</v>
      </c>
      <c r="D2899" t="str">
        <f>TEXT(Table1[[#This Row],[order_date]],"mmmm")</f>
        <v>August</v>
      </c>
      <c r="E2899" s="1">
        <v>45516</v>
      </c>
      <c r="F2899" s="1" t="str">
        <f>TEXT(Table1[[#This Row],[order_date]],"dddd")</f>
        <v>Monday</v>
      </c>
      <c r="G2899">
        <f>HOUR(Table1[[#This Row],[order_time]])</f>
        <v>20</v>
      </c>
      <c r="H2899" s="2">
        <v>0.83981481481481479</v>
      </c>
      <c r="I2899" t="s">
        <v>18</v>
      </c>
      <c r="J2899" t="s">
        <v>27</v>
      </c>
      <c r="K2899">
        <v>1</v>
      </c>
      <c r="L2899">
        <v>40</v>
      </c>
      <c r="M2899">
        <v>40</v>
      </c>
      <c r="N2899">
        <f>IF(COUNTIFS($B$2:B2899,B2899)=1,1,0)</f>
        <v>1</v>
      </c>
    </row>
    <row r="2900" spans="1:14" x14ac:dyDescent="0.2">
      <c r="A2900">
        <v>2899</v>
      </c>
      <c r="B2900">
        <v>2467</v>
      </c>
      <c r="C2900">
        <f>1/COUNTIF(B:B,Table1[[#This Row],[order_id]])</f>
        <v>0.5</v>
      </c>
      <c r="D2900" t="str">
        <f>TEXT(Table1[[#This Row],[order_date]],"mmmm")</f>
        <v>August</v>
      </c>
      <c r="E2900" s="1">
        <v>45516</v>
      </c>
      <c r="F2900" s="1" t="str">
        <f>TEXT(Table1[[#This Row],[order_date]],"dddd")</f>
        <v>Monday</v>
      </c>
      <c r="G2900">
        <f>HOUR(Table1[[#This Row],[order_time]])</f>
        <v>20</v>
      </c>
      <c r="H2900" s="2">
        <v>0.8407175925925926</v>
      </c>
      <c r="I2900" t="s">
        <v>16</v>
      </c>
      <c r="J2900" t="s">
        <v>28</v>
      </c>
      <c r="K2900">
        <v>2</v>
      </c>
      <c r="L2900">
        <v>25</v>
      </c>
      <c r="M2900">
        <v>50</v>
      </c>
      <c r="N2900">
        <f>IF(COUNTIFS($B$2:B2900,B2900)=1,1,0)</f>
        <v>1</v>
      </c>
    </row>
    <row r="2901" spans="1:14" x14ac:dyDescent="0.2">
      <c r="A2901">
        <v>2900</v>
      </c>
      <c r="B2901">
        <v>2467</v>
      </c>
      <c r="C2901">
        <f>1/COUNTIF(B:B,Table1[[#This Row],[order_id]])</f>
        <v>0.5</v>
      </c>
      <c r="D2901" t="str">
        <f>TEXT(Table1[[#This Row],[order_date]],"mmmm")</f>
        <v>August</v>
      </c>
      <c r="E2901" s="1">
        <v>45516</v>
      </c>
      <c r="F2901" s="1" t="str">
        <f>TEXT(Table1[[#This Row],[order_date]],"dddd")</f>
        <v>Monday</v>
      </c>
      <c r="G2901">
        <f>HOUR(Table1[[#This Row],[order_time]])</f>
        <v>11</v>
      </c>
      <c r="H2901" s="2">
        <v>0.4692824074074074</v>
      </c>
      <c r="I2901" t="s">
        <v>9</v>
      </c>
      <c r="J2901" t="s">
        <v>20</v>
      </c>
      <c r="K2901">
        <v>1</v>
      </c>
      <c r="L2901">
        <v>25</v>
      </c>
      <c r="M2901">
        <v>25</v>
      </c>
      <c r="N2901">
        <f>IF(COUNTIFS($B$2:B2901,B2901)=1,1,0)</f>
        <v>0</v>
      </c>
    </row>
    <row r="2902" spans="1:14" x14ac:dyDescent="0.2">
      <c r="A2902">
        <v>2901</v>
      </c>
      <c r="B2902">
        <v>2468</v>
      </c>
      <c r="C2902">
        <f>1/COUNTIF(B:B,Table1[[#This Row],[order_id]])</f>
        <v>1</v>
      </c>
      <c r="D2902" t="str">
        <f>TEXT(Table1[[#This Row],[order_date]],"mmmm")</f>
        <v>August</v>
      </c>
      <c r="E2902" s="1">
        <v>45516</v>
      </c>
      <c r="F2902" s="1" t="str">
        <f>TEXT(Table1[[#This Row],[order_date]],"dddd")</f>
        <v>Monday</v>
      </c>
      <c r="G2902">
        <f>HOUR(Table1[[#This Row],[order_time]])</f>
        <v>14</v>
      </c>
      <c r="H2902" s="2">
        <v>0.62244212962962964</v>
      </c>
      <c r="I2902" t="s">
        <v>9</v>
      </c>
      <c r="J2902" t="s">
        <v>21</v>
      </c>
      <c r="K2902">
        <v>3</v>
      </c>
      <c r="L2902">
        <v>10</v>
      </c>
      <c r="M2902">
        <v>30</v>
      </c>
      <c r="N2902">
        <f>IF(COUNTIFS($B$2:B2902,B2902)=1,1,0)</f>
        <v>1</v>
      </c>
    </row>
    <row r="2903" spans="1:14" x14ac:dyDescent="0.2">
      <c r="A2903">
        <v>2902</v>
      </c>
      <c r="B2903">
        <v>2469</v>
      </c>
      <c r="C2903">
        <f>1/COUNTIF(B:B,Table1[[#This Row],[order_id]])</f>
        <v>1</v>
      </c>
      <c r="D2903" t="str">
        <f>TEXT(Table1[[#This Row],[order_date]],"mmmm")</f>
        <v>August</v>
      </c>
      <c r="E2903" s="1">
        <v>45516</v>
      </c>
      <c r="F2903" s="1" t="str">
        <f>TEXT(Table1[[#This Row],[order_date]],"dddd")</f>
        <v>Monday</v>
      </c>
      <c r="G2903">
        <f>HOUR(Table1[[#This Row],[order_time]])</f>
        <v>15</v>
      </c>
      <c r="H2903" s="2">
        <v>0.65662037037037035</v>
      </c>
      <c r="I2903" t="s">
        <v>18</v>
      </c>
      <c r="J2903" t="s">
        <v>30</v>
      </c>
      <c r="K2903">
        <v>2</v>
      </c>
      <c r="L2903">
        <v>60</v>
      </c>
      <c r="M2903">
        <v>120</v>
      </c>
      <c r="N2903">
        <f>IF(COUNTIFS($B$2:B2903,B2903)=1,1,0)</f>
        <v>1</v>
      </c>
    </row>
    <row r="2904" spans="1:14" x14ac:dyDescent="0.2">
      <c r="A2904">
        <v>2903</v>
      </c>
      <c r="B2904">
        <v>2470</v>
      </c>
      <c r="C2904">
        <f>1/COUNTIF(B:B,Table1[[#This Row],[order_id]])</f>
        <v>0.33333333333333331</v>
      </c>
      <c r="D2904" t="str">
        <f>TEXT(Table1[[#This Row],[order_date]],"mmmm")</f>
        <v>August</v>
      </c>
      <c r="E2904" s="1">
        <v>45516</v>
      </c>
      <c r="F2904" s="1" t="str">
        <f>TEXT(Table1[[#This Row],[order_date]],"dddd")</f>
        <v>Monday</v>
      </c>
      <c r="G2904">
        <f>HOUR(Table1[[#This Row],[order_time]])</f>
        <v>17</v>
      </c>
      <c r="H2904" s="2">
        <v>0.71056712962962965</v>
      </c>
      <c r="I2904" t="s">
        <v>16</v>
      </c>
      <c r="J2904" t="s">
        <v>23</v>
      </c>
      <c r="K2904">
        <v>3</v>
      </c>
      <c r="L2904">
        <v>30</v>
      </c>
      <c r="M2904">
        <v>90</v>
      </c>
      <c r="N2904">
        <f>IF(COUNTIFS($B$2:B2904,B2904)=1,1,0)</f>
        <v>1</v>
      </c>
    </row>
    <row r="2905" spans="1:14" x14ac:dyDescent="0.2">
      <c r="A2905">
        <v>2904</v>
      </c>
      <c r="B2905">
        <v>2470</v>
      </c>
      <c r="C2905">
        <f>1/COUNTIF(B:B,Table1[[#This Row],[order_id]])</f>
        <v>0.33333333333333331</v>
      </c>
      <c r="D2905" t="str">
        <f>TEXT(Table1[[#This Row],[order_date]],"mmmm")</f>
        <v>August</v>
      </c>
      <c r="E2905" s="1">
        <v>45516</v>
      </c>
      <c r="F2905" s="1" t="str">
        <f>TEXT(Table1[[#This Row],[order_date]],"dddd")</f>
        <v>Monday</v>
      </c>
      <c r="G2905">
        <f>HOUR(Table1[[#This Row],[order_time]])</f>
        <v>14</v>
      </c>
      <c r="H2905" s="2">
        <v>0.62211805555555555</v>
      </c>
      <c r="I2905" t="s">
        <v>9</v>
      </c>
      <c r="J2905" t="s">
        <v>20</v>
      </c>
      <c r="K2905">
        <v>4</v>
      </c>
      <c r="L2905">
        <v>25</v>
      </c>
      <c r="M2905">
        <v>100</v>
      </c>
      <c r="N2905">
        <f>IF(COUNTIFS($B$2:B2905,B2905)=1,1,0)</f>
        <v>0</v>
      </c>
    </row>
    <row r="2906" spans="1:14" x14ac:dyDescent="0.2">
      <c r="A2906">
        <v>2905</v>
      </c>
      <c r="B2906">
        <v>2470</v>
      </c>
      <c r="C2906">
        <f>1/COUNTIF(B:B,Table1[[#This Row],[order_id]])</f>
        <v>0.33333333333333331</v>
      </c>
      <c r="D2906" t="str">
        <f>TEXT(Table1[[#This Row],[order_date]],"mmmm")</f>
        <v>August</v>
      </c>
      <c r="E2906" s="1">
        <v>45516</v>
      </c>
      <c r="F2906" s="1" t="str">
        <f>TEXT(Table1[[#This Row],[order_date]],"dddd")</f>
        <v>Monday</v>
      </c>
      <c r="G2906">
        <f>HOUR(Table1[[#This Row],[order_time]])</f>
        <v>20</v>
      </c>
      <c r="H2906" s="2">
        <v>0.83456018518518515</v>
      </c>
      <c r="I2906" t="s">
        <v>16</v>
      </c>
      <c r="J2906" t="s">
        <v>28</v>
      </c>
      <c r="K2906">
        <v>1</v>
      </c>
      <c r="L2906">
        <v>25</v>
      </c>
      <c r="M2906">
        <v>25</v>
      </c>
      <c r="N2906">
        <f>IF(COUNTIFS($B$2:B2906,B2906)=1,1,0)</f>
        <v>0</v>
      </c>
    </row>
    <row r="2907" spans="1:14" x14ac:dyDescent="0.2">
      <c r="A2907">
        <v>2906</v>
      </c>
      <c r="B2907">
        <v>2471</v>
      </c>
      <c r="C2907">
        <f>1/COUNTIF(B:B,Table1[[#This Row],[order_id]])</f>
        <v>0.33333333333333331</v>
      </c>
      <c r="D2907" t="str">
        <f>TEXT(Table1[[#This Row],[order_date]],"mmmm")</f>
        <v>August</v>
      </c>
      <c r="E2907" s="1">
        <v>45516</v>
      </c>
      <c r="F2907" s="1" t="str">
        <f>TEXT(Table1[[#This Row],[order_date]],"dddd")</f>
        <v>Monday</v>
      </c>
      <c r="G2907">
        <f>HOUR(Table1[[#This Row],[order_time]])</f>
        <v>19</v>
      </c>
      <c r="H2907" s="2">
        <v>0.81273148148148144</v>
      </c>
      <c r="I2907" t="s">
        <v>9</v>
      </c>
      <c r="J2907" t="s">
        <v>22</v>
      </c>
      <c r="K2907">
        <v>5</v>
      </c>
      <c r="L2907">
        <v>15</v>
      </c>
      <c r="M2907">
        <v>75</v>
      </c>
      <c r="N2907">
        <f>IF(COUNTIFS($B$2:B2907,B2907)=1,1,0)</f>
        <v>1</v>
      </c>
    </row>
    <row r="2908" spans="1:14" x14ac:dyDescent="0.2">
      <c r="A2908">
        <v>2907</v>
      </c>
      <c r="B2908">
        <v>2471</v>
      </c>
      <c r="C2908">
        <f>1/COUNTIF(B:B,Table1[[#This Row],[order_id]])</f>
        <v>0.33333333333333331</v>
      </c>
      <c r="D2908" t="str">
        <f>TEXT(Table1[[#This Row],[order_date]],"mmmm")</f>
        <v>August</v>
      </c>
      <c r="E2908" s="1">
        <v>45516</v>
      </c>
      <c r="F2908" s="1" t="str">
        <f>TEXT(Table1[[#This Row],[order_date]],"dddd")</f>
        <v>Monday</v>
      </c>
      <c r="G2908">
        <f>HOUR(Table1[[#This Row],[order_time]])</f>
        <v>15</v>
      </c>
      <c r="H2908" s="2">
        <v>0.66394675925925928</v>
      </c>
      <c r="I2908" t="s">
        <v>11</v>
      </c>
      <c r="J2908" t="s">
        <v>13</v>
      </c>
      <c r="K2908">
        <v>4</v>
      </c>
      <c r="L2908">
        <v>680</v>
      </c>
      <c r="M2908">
        <v>2720</v>
      </c>
      <c r="N2908">
        <f>IF(COUNTIFS($B$2:B2908,B2908)=1,1,0)</f>
        <v>0</v>
      </c>
    </row>
    <row r="2909" spans="1:14" x14ac:dyDescent="0.2">
      <c r="A2909">
        <v>2908</v>
      </c>
      <c r="B2909">
        <v>2471</v>
      </c>
      <c r="C2909">
        <f>1/COUNTIF(B:B,Table1[[#This Row],[order_id]])</f>
        <v>0.33333333333333331</v>
      </c>
      <c r="D2909" t="str">
        <f>TEXT(Table1[[#This Row],[order_date]],"mmmm")</f>
        <v>August</v>
      </c>
      <c r="E2909" s="1">
        <v>45516</v>
      </c>
      <c r="F2909" s="1" t="str">
        <f>TEXT(Table1[[#This Row],[order_date]],"dddd")</f>
        <v>Monday</v>
      </c>
      <c r="G2909">
        <f>HOUR(Table1[[#This Row],[order_time]])</f>
        <v>17</v>
      </c>
      <c r="H2909" s="2">
        <v>0.71405092592592589</v>
      </c>
      <c r="I2909" t="s">
        <v>18</v>
      </c>
      <c r="J2909" t="s">
        <v>30</v>
      </c>
      <c r="K2909">
        <v>2</v>
      </c>
      <c r="L2909">
        <v>60</v>
      </c>
      <c r="M2909">
        <v>120</v>
      </c>
      <c r="N2909">
        <f>IF(COUNTIFS($B$2:B2909,B2909)=1,1,0)</f>
        <v>0</v>
      </c>
    </row>
    <row r="2910" spans="1:14" x14ac:dyDescent="0.2">
      <c r="A2910">
        <v>2909</v>
      </c>
      <c r="B2910">
        <v>2472</v>
      </c>
      <c r="C2910">
        <f>1/COUNTIF(B:B,Table1[[#This Row],[order_id]])</f>
        <v>1</v>
      </c>
      <c r="D2910" t="str">
        <f>TEXT(Table1[[#This Row],[order_date]],"mmmm")</f>
        <v>August</v>
      </c>
      <c r="E2910" s="1">
        <v>45516</v>
      </c>
      <c r="F2910" s="1" t="str">
        <f>TEXT(Table1[[#This Row],[order_date]],"dddd")</f>
        <v>Monday</v>
      </c>
      <c r="G2910">
        <f>HOUR(Table1[[#This Row],[order_time]])</f>
        <v>9</v>
      </c>
      <c r="H2910" s="2">
        <v>0.40574074074074074</v>
      </c>
      <c r="I2910" t="s">
        <v>11</v>
      </c>
      <c r="J2910" t="s">
        <v>14</v>
      </c>
      <c r="K2910">
        <v>2</v>
      </c>
      <c r="L2910">
        <v>700</v>
      </c>
      <c r="M2910">
        <v>1400</v>
      </c>
      <c r="N2910">
        <f>IF(COUNTIFS($B$2:B2910,B2910)=1,1,0)</f>
        <v>1</v>
      </c>
    </row>
    <row r="2911" spans="1:14" x14ac:dyDescent="0.2">
      <c r="A2911">
        <v>2910</v>
      </c>
      <c r="B2911">
        <v>2473</v>
      </c>
      <c r="C2911">
        <f>1/COUNTIF(B:B,Table1[[#This Row],[order_id]])</f>
        <v>1</v>
      </c>
      <c r="D2911" t="str">
        <f>TEXT(Table1[[#This Row],[order_date]],"mmmm")</f>
        <v>August</v>
      </c>
      <c r="E2911" s="1">
        <v>45517</v>
      </c>
      <c r="F2911" s="1" t="str">
        <f>TEXT(Table1[[#This Row],[order_date]],"dddd")</f>
        <v>Tuesday</v>
      </c>
      <c r="G2911">
        <f>HOUR(Table1[[#This Row],[order_time]])</f>
        <v>11</v>
      </c>
      <c r="H2911" s="2">
        <v>0.49086805555555557</v>
      </c>
      <c r="I2911" t="s">
        <v>11</v>
      </c>
      <c r="J2911" t="s">
        <v>12</v>
      </c>
      <c r="K2911">
        <v>4</v>
      </c>
      <c r="L2911">
        <v>650</v>
      </c>
      <c r="M2911">
        <v>2600</v>
      </c>
      <c r="N2911">
        <f>IF(COUNTIFS($B$2:B2911,B2911)=1,1,0)</f>
        <v>1</v>
      </c>
    </row>
    <row r="2912" spans="1:14" x14ac:dyDescent="0.2">
      <c r="A2912">
        <v>2911</v>
      </c>
      <c r="B2912">
        <v>2474</v>
      </c>
      <c r="C2912">
        <f>1/COUNTIF(B:B,Table1[[#This Row],[order_id]])</f>
        <v>1</v>
      </c>
      <c r="D2912" t="str">
        <f>TEXT(Table1[[#This Row],[order_date]],"mmmm")</f>
        <v>August</v>
      </c>
      <c r="E2912" s="1">
        <v>45517</v>
      </c>
      <c r="F2912" s="1" t="str">
        <f>TEXT(Table1[[#This Row],[order_date]],"dddd")</f>
        <v>Tuesday</v>
      </c>
      <c r="G2912">
        <f>HOUR(Table1[[#This Row],[order_time]])</f>
        <v>18</v>
      </c>
      <c r="H2912" s="2">
        <v>0.76548611111111109</v>
      </c>
      <c r="I2912" t="s">
        <v>11</v>
      </c>
      <c r="J2912" t="s">
        <v>15</v>
      </c>
      <c r="K2912">
        <v>2</v>
      </c>
      <c r="L2912">
        <v>600</v>
      </c>
      <c r="M2912">
        <v>1200</v>
      </c>
      <c r="N2912">
        <f>IF(COUNTIFS($B$2:B2912,B2912)=1,1,0)</f>
        <v>1</v>
      </c>
    </row>
    <row r="2913" spans="1:14" x14ac:dyDescent="0.2">
      <c r="A2913">
        <v>2912</v>
      </c>
      <c r="B2913">
        <v>2475</v>
      </c>
      <c r="C2913">
        <f>1/COUNTIF(B:B,Table1[[#This Row],[order_id]])</f>
        <v>1</v>
      </c>
      <c r="D2913" t="str">
        <f>TEXT(Table1[[#This Row],[order_date]],"mmmm")</f>
        <v>August</v>
      </c>
      <c r="E2913" s="1">
        <v>45517</v>
      </c>
      <c r="F2913" s="1" t="str">
        <f>TEXT(Table1[[#This Row],[order_date]],"dddd")</f>
        <v>Tuesday</v>
      </c>
      <c r="G2913">
        <f>HOUR(Table1[[#This Row],[order_time]])</f>
        <v>15</v>
      </c>
      <c r="H2913" s="2">
        <v>0.63033564814814813</v>
      </c>
      <c r="I2913" t="s">
        <v>11</v>
      </c>
      <c r="J2913" t="s">
        <v>25</v>
      </c>
      <c r="K2913">
        <v>1</v>
      </c>
      <c r="L2913">
        <v>1000</v>
      </c>
      <c r="M2913">
        <v>1000</v>
      </c>
      <c r="N2913">
        <f>IF(COUNTIFS($B$2:B2913,B2913)=1,1,0)</f>
        <v>1</v>
      </c>
    </row>
    <row r="2914" spans="1:14" x14ac:dyDescent="0.2">
      <c r="A2914">
        <v>2913</v>
      </c>
      <c r="B2914">
        <v>2476</v>
      </c>
      <c r="C2914">
        <f>1/COUNTIF(B:B,Table1[[#This Row],[order_id]])</f>
        <v>0.33333333333333331</v>
      </c>
      <c r="D2914" t="str">
        <f>TEXT(Table1[[#This Row],[order_date]],"mmmm")</f>
        <v>August</v>
      </c>
      <c r="E2914" s="1">
        <v>45517</v>
      </c>
      <c r="F2914" s="1" t="str">
        <f>TEXT(Table1[[#This Row],[order_date]],"dddd")</f>
        <v>Tuesday</v>
      </c>
      <c r="G2914">
        <f>HOUR(Table1[[#This Row],[order_time]])</f>
        <v>17</v>
      </c>
      <c r="H2914" s="2">
        <v>0.71954861111111112</v>
      </c>
      <c r="I2914" t="s">
        <v>9</v>
      </c>
      <c r="J2914" t="s">
        <v>29</v>
      </c>
      <c r="K2914">
        <v>2</v>
      </c>
      <c r="L2914">
        <v>5</v>
      </c>
      <c r="M2914">
        <v>10</v>
      </c>
      <c r="N2914">
        <f>IF(COUNTIFS($B$2:B2914,B2914)=1,1,0)</f>
        <v>1</v>
      </c>
    </row>
    <row r="2915" spans="1:14" x14ac:dyDescent="0.2">
      <c r="A2915">
        <v>2914</v>
      </c>
      <c r="B2915">
        <v>2476</v>
      </c>
      <c r="C2915">
        <f>1/COUNTIF(B:B,Table1[[#This Row],[order_id]])</f>
        <v>0.33333333333333331</v>
      </c>
      <c r="D2915" t="str">
        <f>TEXT(Table1[[#This Row],[order_date]],"mmmm")</f>
        <v>August</v>
      </c>
      <c r="E2915" s="1">
        <v>45517</v>
      </c>
      <c r="F2915" s="1" t="str">
        <f>TEXT(Table1[[#This Row],[order_date]],"dddd")</f>
        <v>Tuesday</v>
      </c>
      <c r="G2915">
        <f>HOUR(Table1[[#This Row],[order_time]])</f>
        <v>18</v>
      </c>
      <c r="H2915" s="2">
        <v>0.76796296296296296</v>
      </c>
      <c r="I2915" t="s">
        <v>11</v>
      </c>
      <c r="J2915" t="s">
        <v>13</v>
      </c>
      <c r="K2915">
        <v>1</v>
      </c>
      <c r="L2915">
        <v>680</v>
      </c>
      <c r="M2915">
        <v>680</v>
      </c>
      <c r="N2915">
        <f>IF(COUNTIFS($B$2:B2915,B2915)=1,1,0)</f>
        <v>0</v>
      </c>
    </row>
    <row r="2916" spans="1:14" x14ac:dyDescent="0.2">
      <c r="A2916">
        <v>2915</v>
      </c>
      <c r="B2916">
        <v>2476</v>
      </c>
      <c r="C2916">
        <f>1/COUNTIF(B:B,Table1[[#This Row],[order_id]])</f>
        <v>0.33333333333333331</v>
      </c>
      <c r="D2916" t="str">
        <f>TEXT(Table1[[#This Row],[order_date]],"mmmm")</f>
        <v>August</v>
      </c>
      <c r="E2916" s="1">
        <v>45517</v>
      </c>
      <c r="F2916" s="1" t="str">
        <f>TEXT(Table1[[#This Row],[order_date]],"dddd")</f>
        <v>Tuesday</v>
      </c>
      <c r="G2916">
        <f>HOUR(Table1[[#This Row],[order_time]])</f>
        <v>19</v>
      </c>
      <c r="H2916" s="2">
        <v>0.80957175925925928</v>
      </c>
      <c r="I2916" t="s">
        <v>18</v>
      </c>
      <c r="J2916" t="s">
        <v>19</v>
      </c>
      <c r="K2916">
        <v>2</v>
      </c>
      <c r="L2916">
        <v>50</v>
      </c>
      <c r="M2916">
        <v>100</v>
      </c>
      <c r="N2916">
        <f>IF(COUNTIFS($B$2:B2916,B2916)=1,1,0)</f>
        <v>0</v>
      </c>
    </row>
    <row r="2917" spans="1:14" x14ac:dyDescent="0.2">
      <c r="A2917">
        <v>2916</v>
      </c>
      <c r="B2917">
        <v>2477</v>
      </c>
      <c r="C2917">
        <f>1/COUNTIF(B:B,Table1[[#This Row],[order_id]])</f>
        <v>0.33333333333333331</v>
      </c>
      <c r="D2917" t="str">
        <f>TEXT(Table1[[#This Row],[order_date]],"mmmm")</f>
        <v>August</v>
      </c>
      <c r="E2917" s="1">
        <v>45517</v>
      </c>
      <c r="F2917" s="1" t="str">
        <f>TEXT(Table1[[#This Row],[order_date]],"dddd")</f>
        <v>Tuesday</v>
      </c>
      <c r="G2917">
        <f>HOUR(Table1[[#This Row],[order_time]])</f>
        <v>10</v>
      </c>
      <c r="H2917" s="2">
        <v>0.45361111111111113</v>
      </c>
      <c r="I2917" t="s">
        <v>16</v>
      </c>
      <c r="J2917" t="s">
        <v>28</v>
      </c>
      <c r="K2917">
        <v>3</v>
      </c>
      <c r="L2917">
        <v>25</v>
      </c>
      <c r="M2917">
        <v>75</v>
      </c>
      <c r="N2917">
        <f>IF(COUNTIFS($B$2:B2917,B2917)=1,1,0)</f>
        <v>1</v>
      </c>
    </row>
    <row r="2918" spans="1:14" x14ac:dyDescent="0.2">
      <c r="A2918">
        <v>2917</v>
      </c>
      <c r="B2918">
        <v>2477</v>
      </c>
      <c r="C2918">
        <f>1/COUNTIF(B:B,Table1[[#This Row],[order_id]])</f>
        <v>0.33333333333333331</v>
      </c>
      <c r="D2918" t="str">
        <f>TEXT(Table1[[#This Row],[order_date]],"mmmm")</f>
        <v>August</v>
      </c>
      <c r="E2918" s="1">
        <v>45517</v>
      </c>
      <c r="F2918" s="1" t="str">
        <f>TEXT(Table1[[#This Row],[order_date]],"dddd")</f>
        <v>Tuesday</v>
      </c>
      <c r="G2918">
        <f>HOUR(Table1[[#This Row],[order_time]])</f>
        <v>16</v>
      </c>
      <c r="H2918" s="2">
        <v>0.68451388888888887</v>
      </c>
      <c r="I2918" t="s">
        <v>16</v>
      </c>
      <c r="J2918" t="s">
        <v>24</v>
      </c>
      <c r="K2918">
        <v>2</v>
      </c>
      <c r="L2918">
        <v>35</v>
      </c>
      <c r="M2918">
        <v>70</v>
      </c>
      <c r="N2918">
        <f>IF(COUNTIFS($B$2:B2918,B2918)=1,1,0)</f>
        <v>0</v>
      </c>
    </row>
    <row r="2919" spans="1:14" x14ac:dyDescent="0.2">
      <c r="A2919">
        <v>2918</v>
      </c>
      <c r="B2919">
        <v>2477</v>
      </c>
      <c r="C2919">
        <f>1/COUNTIF(B:B,Table1[[#This Row],[order_id]])</f>
        <v>0.33333333333333331</v>
      </c>
      <c r="D2919" t="str">
        <f>TEXT(Table1[[#This Row],[order_date]],"mmmm")</f>
        <v>August</v>
      </c>
      <c r="E2919" s="1">
        <v>45517</v>
      </c>
      <c r="F2919" s="1" t="str">
        <f>TEXT(Table1[[#This Row],[order_date]],"dddd")</f>
        <v>Tuesday</v>
      </c>
      <c r="G2919">
        <f>HOUR(Table1[[#This Row],[order_time]])</f>
        <v>14</v>
      </c>
      <c r="H2919" s="2">
        <v>0.60972222222222228</v>
      </c>
      <c r="I2919" t="s">
        <v>9</v>
      </c>
      <c r="J2919" t="s">
        <v>10</v>
      </c>
      <c r="K2919">
        <v>3</v>
      </c>
      <c r="L2919">
        <v>20</v>
      </c>
      <c r="M2919">
        <v>60</v>
      </c>
      <c r="N2919">
        <f>IF(COUNTIFS($B$2:B2919,B2919)=1,1,0)</f>
        <v>0</v>
      </c>
    </row>
    <row r="2920" spans="1:14" x14ac:dyDescent="0.2">
      <c r="A2920">
        <v>2919</v>
      </c>
      <c r="B2920">
        <v>2478</v>
      </c>
      <c r="C2920">
        <f>1/COUNTIF(B:B,Table1[[#This Row],[order_id]])</f>
        <v>0.33333333333333331</v>
      </c>
      <c r="D2920" t="str">
        <f>TEXT(Table1[[#This Row],[order_date]],"mmmm")</f>
        <v>August</v>
      </c>
      <c r="E2920" s="1">
        <v>45517</v>
      </c>
      <c r="F2920" s="1" t="str">
        <f>TEXT(Table1[[#This Row],[order_date]],"dddd")</f>
        <v>Tuesday</v>
      </c>
      <c r="G2920">
        <f>HOUR(Table1[[#This Row],[order_time]])</f>
        <v>10</v>
      </c>
      <c r="H2920" s="2">
        <v>0.41681712962962963</v>
      </c>
      <c r="I2920" t="s">
        <v>11</v>
      </c>
      <c r="J2920" t="s">
        <v>25</v>
      </c>
      <c r="K2920">
        <v>2</v>
      </c>
      <c r="L2920">
        <v>1000</v>
      </c>
      <c r="M2920">
        <v>2000</v>
      </c>
      <c r="N2920">
        <f>IF(COUNTIFS($B$2:B2920,B2920)=1,1,0)</f>
        <v>1</v>
      </c>
    </row>
    <row r="2921" spans="1:14" x14ac:dyDescent="0.2">
      <c r="A2921">
        <v>2920</v>
      </c>
      <c r="B2921">
        <v>2478</v>
      </c>
      <c r="C2921">
        <f>1/COUNTIF(B:B,Table1[[#This Row],[order_id]])</f>
        <v>0.33333333333333331</v>
      </c>
      <c r="D2921" t="str">
        <f>TEXT(Table1[[#This Row],[order_date]],"mmmm")</f>
        <v>August</v>
      </c>
      <c r="E2921" s="1">
        <v>45517</v>
      </c>
      <c r="F2921" s="1" t="str">
        <f>TEXT(Table1[[#This Row],[order_date]],"dddd")</f>
        <v>Tuesday</v>
      </c>
      <c r="G2921">
        <f>HOUR(Table1[[#This Row],[order_time]])</f>
        <v>18</v>
      </c>
      <c r="H2921" s="2">
        <v>0.76195601851851846</v>
      </c>
      <c r="I2921" t="s">
        <v>11</v>
      </c>
      <c r="J2921" t="s">
        <v>14</v>
      </c>
      <c r="K2921">
        <v>4</v>
      </c>
      <c r="L2921">
        <v>700</v>
      </c>
      <c r="M2921">
        <v>2800</v>
      </c>
      <c r="N2921">
        <f>IF(COUNTIFS($B$2:B2921,B2921)=1,1,0)</f>
        <v>0</v>
      </c>
    </row>
    <row r="2922" spans="1:14" x14ac:dyDescent="0.2">
      <c r="A2922">
        <v>2921</v>
      </c>
      <c r="B2922">
        <v>2478</v>
      </c>
      <c r="C2922">
        <f>1/COUNTIF(B:B,Table1[[#This Row],[order_id]])</f>
        <v>0.33333333333333331</v>
      </c>
      <c r="D2922" t="str">
        <f>TEXT(Table1[[#This Row],[order_date]],"mmmm")</f>
        <v>August</v>
      </c>
      <c r="E2922" s="1">
        <v>45517</v>
      </c>
      <c r="F2922" s="1" t="str">
        <f>TEXT(Table1[[#This Row],[order_date]],"dddd")</f>
        <v>Tuesday</v>
      </c>
      <c r="G2922">
        <f>HOUR(Table1[[#This Row],[order_time]])</f>
        <v>18</v>
      </c>
      <c r="H2922" s="2">
        <v>0.7728356481481482</v>
      </c>
      <c r="I2922" t="s">
        <v>9</v>
      </c>
      <c r="J2922" t="s">
        <v>20</v>
      </c>
      <c r="K2922">
        <v>3</v>
      </c>
      <c r="L2922">
        <v>25</v>
      </c>
      <c r="M2922">
        <v>75</v>
      </c>
      <c r="N2922">
        <f>IF(COUNTIFS($B$2:B2922,B2922)=1,1,0)</f>
        <v>0</v>
      </c>
    </row>
    <row r="2923" spans="1:14" x14ac:dyDescent="0.2">
      <c r="A2923">
        <v>2922</v>
      </c>
      <c r="B2923">
        <v>2479</v>
      </c>
      <c r="C2923">
        <f>1/COUNTIF(B:B,Table1[[#This Row],[order_id]])</f>
        <v>0.33333333333333331</v>
      </c>
      <c r="D2923" t="str">
        <f>TEXT(Table1[[#This Row],[order_date]],"mmmm")</f>
        <v>August</v>
      </c>
      <c r="E2923" s="1">
        <v>45517</v>
      </c>
      <c r="F2923" s="1" t="str">
        <f>TEXT(Table1[[#This Row],[order_date]],"dddd")</f>
        <v>Tuesday</v>
      </c>
      <c r="G2923">
        <f>HOUR(Table1[[#This Row],[order_time]])</f>
        <v>16</v>
      </c>
      <c r="H2923" s="2">
        <v>0.70116898148148143</v>
      </c>
      <c r="I2923" t="s">
        <v>18</v>
      </c>
      <c r="J2923" t="s">
        <v>26</v>
      </c>
      <c r="K2923">
        <v>5</v>
      </c>
      <c r="L2923">
        <v>55</v>
      </c>
      <c r="M2923">
        <v>275</v>
      </c>
      <c r="N2923">
        <f>IF(COUNTIFS($B$2:B2923,B2923)=1,1,0)</f>
        <v>1</v>
      </c>
    </row>
    <row r="2924" spans="1:14" x14ac:dyDescent="0.2">
      <c r="A2924">
        <v>2923</v>
      </c>
      <c r="B2924">
        <v>2479</v>
      </c>
      <c r="C2924">
        <f>1/COUNTIF(B:B,Table1[[#This Row],[order_id]])</f>
        <v>0.33333333333333331</v>
      </c>
      <c r="D2924" t="str">
        <f>TEXT(Table1[[#This Row],[order_date]],"mmmm")</f>
        <v>August</v>
      </c>
      <c r="E2924" s="1">
        <v>45517</v>
      </c>
      <c r="F2924" s="1" t="str">
        <f>TEXT(Table1[[#This Row],[order_date]],"dddd")</f>
        <v>Tuesday</v>
      </c>
      <c r="G2924">
        <f>HOUR(Table1[[#This Row],[order_time]])</f>
        <v>16</v>
      </c>
      <c r="H2924" s="2">
        <v>0.68925925925925924</v>
      </c>
      <c r="I2924" t="s">
        <v>16</v>
      </c>
      <c r="J2924" t="s">
        <v>23</v>
      </c>
      <c r="K2924">
        <v>2</v>
      </c>
      <c r="L2924">
        <v>30</v>
      </c>
      <c r="M2924">
        <v>60</v>
      </c>
      <c r="N2924">
        <f>IF(COUNTIFS($B$2:B2924,B2924)=1,1,0)</f>
        <v>0</v>
      </c>
    </row>
    <row r="2925" spans="1:14" x14ac:dyDescent="0.2">
      <c r="A2925">
        <v>2924</v>
      </c>
      <c r="B2925">
        <v>2479</v>
      </c>
      <c r="C2925">
        <f>1/COUNTIF(B:B,Table1[[#This Row],[order_id]])</f>
        <v>0.33333333333333331</v>
      </c>
      <c r="D2925" t="str">
        <f>TEXT(Table1[[#This Row],[order_date]],"mmmm")</f>
        <v>August</v>
      </c>
      <c r="E2925" s="1">
        <v>45517</v>
      </c>
      <c r="F2925" s="1" t="str">
        <f>TEXT(Table1[[#This Row],[order_date]],"dddd")</f>
        <v>Tuesday</v>
      </c>
      <c r="G2925">
        <f>HOUR(Table1[[#This Row],[order_time]])</f>
        <v>11</v>
      </c>
      <c r="H2925" s="2">
        <v>0.4763425925925926</v>
      </c>
      <c r="I2925" t="s">
        <v>9</v>
      </c>
      <c r="J2925" t="s">
        <v>29</v>
      </c>
      <c r="K2925">
        <v>2</v>
      </c>
      <c r="L2925">
        <v>5</v>
      </c>
      <c r="M2925">
        <v>10</v>
      </c>
      <c r="N2925">
        <f>IF(COUNTIFS($B$2:B2925,B2925)=1,1,0)</f>
        <v>0</v>
      </c>
    </row>
    <row r="2926" spans="1:14" x14ac:dyDescent="0.2">
      <c r="A2926">
        <v>2925</v>
      </c>
      <c r="B2926">
        <v>2480</v>
      </c>
      <c r="C2926">
        <f>1/COUNTIF(B:B,Table1[[#This Row],[order_id]])</f>
        <v>0.33333333333333331</v>
      </c>
      <c r="D2926" t="str">
        <f>TEXT(Table1[[#This Row],[order_date]],"mmmm")</f>
        <v>August</v>
      </c>
      <c r="E2926" s="1">
        <v>45517</v>
      </c>
      <c r="F2926" s="1" t="str">
        <f>TEXT(Table1[[#This Row],[order_date]],"dddd")</f>
        <v>Tuesday</v>
      </c>
      <c r="G2926">
        <f>HOUR(Table1[[#This Row],[order_time]])</f>
        <v>9</v>
      </c>
      <c r="H2926" s="2">
        <v>0.41310185185185183</v>
      </c>
      <c r="I2926" t="s">
        <v>11</v>
      </c>
      <c r="J2926" t="s">
        <v>15</v>
      </c>
      <c r="K2926">
        <v>5</v>
      </c>
      <c r="L2926">
        <v>600</v>
      </c>
      <c r="M2926">
        <v>3000</v>
      </c>
      <c r="N2926">
        <f>IF(COUNTIFS($B$2:B2926,B2926)=1,1,0)</f>
        <v>1</v>
      </c>
    </row>
    <row r="2927" spans="1:14" x14ac:dyDescent="0.2">
      <c r="A2927">
        <v>2926</v>
      </c>
      <c r="B2927">
        <v>2480</v>
      </c>
      <c r="C2927">
        <f>1/COUNTIF(B:B,Table1[[#This Row],[order_id]])</f>
        <v>0.33333333333333331</v>
      </c>
      <c r="D2927" t="str">
        <f>TEXT(Table1[[#This Row],[order_date]],"mmmm")</f>
        <v>August</v>
      </c>
      <c r="E2927" s="1">
        <v>45517</v>
      </c>
      <c r="F2927" s="1" t="str">
        <f>TEXT(Table1[[#This Row],[order_date]],"dddd")</f>
        <v>Tuesday</v>
      </c>
      <c r="G2927">
        <f>HOUR(Table1[[#This Row],[order_time]])</f>
        <v>13</v>
      </c>
      <c r="H2927" s="2">
        <v>0.55496527777777782</v>
      </c>
      <c r="I2927" t="s">
        <v>16</v>
      </c>
      <c r="J2927" t="s">
        <v>28</v>
      </c>
      <c r="K2927">
        <v>5</v>
      </c>
      <c r="L2927">
        <v>25</v>
      </c>
      <c r="M2927">
        <v>125</v>
      </c>
      <c r="N2927">
        <f>IF(COUNTIFS($B$2:B2927,B2927)=1,1,0)</f>
        <v>0</v>
      </c>
    </row>
    <row r="2928" spans="1:14" x14ac:dyDescent="0.2">
      <c r="A2928">
        <v>2927</v>
      </c>
      <c r="B2928">
        <v>2480</v>
      </c>
      <c r="C2928">
        <f>1/COUNTIF(B:B,Table1[[#This Row],[order_id]])</f>
        <v>0.33333333333333331</v>
      </c>
      <c r="D2928" t="str">
        <f>TEXT(Table1[[#This Row],[order_date]],"mmmm")</f>
        <v>August</v>
      </c>
      <c r="E2928" s="1">
        <v>45517</v>
      </c>
      <c r="F2928" s="1" t="str">
        <f>TEXT(Table1[[#This Row],[order_date]],"dddd")</f>
        <v>Tuesday</v>
      </c>
      <c r="G2928">
        <f>HOUR(Table1[[#This Row],[order_time]])</f>
        <v>9</v>
      </c>
      <c r="H2928" s="2">
        <v>0.41125</v>
      </c>
      <c r="I2928" t="s">
        <v>9</v>
      </c>
      <c r="J2928" t="s">
        <v>10</v>
      </c>
      <c r="K2928">
        <v>2</v>
      </c>
      <c r="L2928">
        <v>20</v>
      </c>
      <c r="M2928">
        <v>40</v>
      </c>
      <c r="N2928">
        <f>IF(COUNTIFS($B$2:B2928,B2928)=1,1,0)</f>
        <v>0</v>
      </c>
    </row>
    <row r="2929" spans="1:14" x14ac:dyDescent="0.2">
      <c r="A2929">
        <v>2928</v>
      </c>
      <c r="B2929">
        <v>2481</v>
      </c>
      <c r="C2929">
        <f>1/COUNTIF(B:B,Table1[[#This Row],[order_id]])</f>
        <v>1</v>
      </c>
      <c r="D2929" t="str">
        <f>TEXT(Table1[[#This Row],[order_date]],"mmmm")</f>
        <v>August</v>
      </c>
      <c r="E2929" s="1">
        <v>45517</v>
      </c>
      <c r="F2929" s="1" t="str">
        <f>TEXT(Table1[[#This Row],[order_date]],"dddd")</f>
        <v>Tuesday</v>
      </c>
      <c r="G2929">
        <f>HOUR(Table1[[#This Row],[order_time]])</f>
        <v>10</v>
      </c>
      <c r="H2929" s="2">
        <v>0.45149305555555558</v>
      </c>
      <c r="I2929" t="s">
        <v>16</v>
      </c>
      <c r="J2929" t="s">
        <v>17</v>
      </c>
      <c r="K2929">
        <v>4</v>
      </c>
      <c r="L2929">
        <v>20</v>
      </c>
      <c r="M2929">
        <v>80</v>
      </c>
      <c r="N2929">
        <f>IF(COUNTIFS($B$2:B2929,B2929)=1,1,0)</f>
        <v>1</v>
      </c>
    </row>
    <row r="2930" spans="1:14" x14ac:dyDescent="0.2">
      <c r="A2930">
        <v>2929</v>
      </c>
      <c r="B2930">
        <v>2482</v>
      </c>
      <c r="C2930">
        <f>1/COUNTIF(B:B,Table1[[#This Row],[order_id]])</f>
        <v>0.33333333333333331</v>
      </c>
      <c r="D2930" t="str">
        <f>TEXT(Table1[[#This Row],[order_date]],"mmmm")</f>
        <v>August</v>
      </c>
      <c r="E2930" s="1">
        <v>45517</v>
      </c>
      <c r="F2930" s="1" t="str">
        <f>TEXT(Table1[[#This Row],[order_date]],"dddd")</f>
        <v>Tuesday</v>
      </c>
      <c r="G2930">
        <f>HOUR(Table1[[#This Row],[order_time]])</f>
        <v>12</v>
      </c>
      <c r="H2930" s="2">
        <v>0.52981481481481485</v>
      </c>
      <c r="I2930" t="s">
        <v>16</v>
      </c>
      <c r="J2930" t="s">
        <v>17</v>
      </c>
      <c r="K2930">
        <v>2</v>
      </c>
      <c r="L2930">
        <v>20</v>
      </c>
      <c r="M2930">
        <v>40</v>
      </c>
      <c r="N2930">
        <f>IF(COUNTIFS($B$2:B2930,B2930)=1,1,0)</f>
        <v>1</v>
      </c>
    </row>
    <row r="2931" spans="1:14" x14ac:dyDescent="0.2">
      <c r="A2931">
        <v>2930</v>
      </c>
      <c r="B2931">
        <v>2482</v>
      </c>
      <c r="C2931">
        <f>1/COUNTIF(B:B,Table1[[#This Row],[order_id]])</f>
        <v>0.33333333333333331</v>
      </c>
      <c r="D2931" t="str">
        <f>TEXT(Table1[[#This Row],[order_date]],"mmmm")</f>
        <v>August</v>
      </c>
      <c r="E2931" s="1">
        <v>45517</v>
      </c>
      <c r="F2931" s="1" t="str">
        <f>TEXT(Table1[[#This Row],[order_date]],"dddd")</f>
        <v>Tuesday</v>
      </c>
      <c r="G2931">
        <f>HOUR(Table1[[#This Row],[order_time]])</f>
        <v>19</v>
      </c>
      <c r="H2931" s="2">
        <v>0.8332060185185185</v>
      </c>
      <c r="I2931" t="s">
        <v>11</v>
      </c>
      <c r="J2931" t="s">
        <v>25</v>
      </c>
      <c r="K2931">
        <v>1</v>
      </c>
      <c r="L2931">
        <v>1000</v>
      </c>
      <c r="M2931">
        <v>1000</v>
      </c>
      <c r="N2931">
        <f>IF(COUNTIFS($B$2:B2931,B2931)=1,1,0)</f>
        <v>0</v>
      </c>
    </row>
    <row r="2932" spans="1:14" x14ac:dyDescent="0.2">
      <c r="A2932">
        <v>2931</v>
      </c>
      <c r="B2932">
        <v>2482</v>
      </c>
      <c r="C2932">
        <f>1/COUNTIF(B:B,Table1[[#This Row],[order_id]])</f>
        <v>0.33333333333333331</v>
      </c>
      <c r="D2932" t="str">
        <f>TEXT(Table1[[#This Row],[order_date]],"mmmm")</f>
        <v>August</v>
      </c>
      <c r="E2932" s="1">
        <v>45517</v>
      </c>
      <c r="F2932" s="1" t="str">
        <f>TEXT(Table1[[#This Row],[order_date]],"dddd")</f>
        <v>Tuesday</v>
      </c>
      <c r="G2932">
        <f>HOUR(Table1[[#This Row],[order_time]])</f>
        <v>15</v>
      </c>
      <c r="H2932" s="2">
        <v>0.66045138888888888</v>
      </c>
      <c r="I2932" t="s">
        <v>9</v>
      </c>
      <c r="J2932" t="s">
        <v>29</v>
      </c>
      <c r="K2932">
        <v>2</v>
      </c>
      <c r="L2932">
        <v>5</v>
      </c>
      <c r="M2932">
        <v>10</v>
      </c>
      <c r="N2932">
        <f>IF(COUNTIFS($B$2:B2932,B2932)=1,1,0)</f>
        <v>0</v>
      </c>
    </row>
    <row r="2933" spans="1:14" x14ac:dyDescent="0.2">
      <c r="A2933">
        <v>2932</v>
      </c>
      <c r="B2933">
        <v>2483</v>
      </c>
      <c r="C2933">
        <f>1/COUNTIF(B:B,Table1[[#This Row],[order_id]])</f>
        <v>0.33333333333333331</v>
      </c>
      <c r="D2933" t="str">
        <f>TEXT(Table1[[#This Row],[order_date]],"mmmm")</f>
        <v>August</v>
      </c>
      <c r="E2933" s="1">
        <v>45518</v>
      </c>
      <c r="F2933" s="1" t="str">
        <f>TEXT(Table1[[#This Row],[order_date]],"dddd")</f>
        <v>Wednesday</v>
      </c>
      <c r="G2933">
        <f>HOUR(Table1[[#This Row],[order_time]])</f>
        <v>20</v>
      </c>
      <c r="H2933" s="2">
        <v>0.86869212962962961</v>
      </c>
      <c r="I2933" t="s">
        <v>11</v>
      </c>
      <c r="J2933" t="s">
        <v>13</v>
      </c>
      <c r="K2933">
        <v>3</v>
      </c>
      <c r="L2933">
        <v>680</v>
      </c>
      <c r="M2933">
        <v>2040</v>
      </c>
      <c r="N2933">
        <f>IF(COUNTIFS($B$2:B2933,B2933)=1,1,0)</f>
        <v>1</v>
      </c>
    </row>
    <row r="2934" spans="1:14" x14ac:dyDescent="0.2">
      <c r="A2934">
        <v>2933</v>
      </c>
      <c r="B2934">
        <v>2483</v>
      </c>
      <c r="C2934">
        <f>1/COUNTIF(B:B,Table1[[#This Row],[order_id]])</f>
        <v>0.33333333333333331</v>
      </c>
      <c r="D2934" t="str">
        <f>TEXT(Table1[[#This Row],[order_date]],"mmmm")</f>
        <v>August</v>
      </c>
      <c r="E2934" s="1">
        <v>45518</v>
      </c>
      <c r="F2934" s="1" t="str">
        <f>TEXT(Table1[[#This Row],[order_date]],"dddd")</f>
        <v>Wednesday</v>
      </c>
      <c r="G2934">
        <f>HOUR(Table1[[#This Row],[order_time]])</f>
        <v>11</v>
      </c>
      <c r="H2934" s="2">
        <v>0.47310185185185183</v>
      </c>
      <c r="I2934" t="s">
        <v>18</v>
      </c>
      <c r="J2934" t="s">
        <v>26</v>
      </c>
      <c r="K2934">
        <v>3</v>
      </c>
      <c r="L2934">
        <v>55</v>
      </c>
      <c r="M2934">
        <v>165</v>
      </c>
      <c r="N2934">
        <f>IF(COUNTIFS($B$2:B2934,B2934)=1,1,0)</f>
        <v>0</v>
      </c>
    </row>
    <row r="2935" spans="1:14" x14ac:dyDescent="0.2">
      <c r="A2935">
        <v>2934</v>
      </c>
      <c r="B2935">
        <v>2483</v>
      </c>
      <c r="C2935">
        <f>1/COUNTIF(B:B,Table1[[#This Row],[order_id]])</f>
        <v>0.33333333333333331</v>
      </c>
      <c r="D2935" t="str">
        <f>TEXT(Table1[[#This Row],[order_date]],"mmmm")</f>
        <v>August</v>
      </c>
      <c r="E2935" s="1">
        <v>45518</v>
      </c>
      <c r="F2935" s="1" t="str">
        <f>TEXT(Table1[[#This Row],[order_date]],"dddd")</f>
        <v>Wednesday</v>
      </c>
      <c r="G2935">
        <f>HOUR(Table1[[#This Row],[order_time]])</f>
        <v>17</v>
      </c>
      <c r="H2935" s="2">
        <v>0.74348379629629635</v>
      </c>
      <c r="I2935" t="s">
        <v>18</v>
      </c>
      <c r="J2935" t="s">
        <v>27</v>
      </c>
      <c r="K2935">
        <v>1</v>
      </c>
      <c r="L2935">
        <v>40</v>
      </c>
      <c r="M2935">
        <v>40</v>
      </c>
      <c r="N2935">
        <f>IF(COUNTIFS($B$2:B2935,B2935)=1,1,0)</f>
        <v>0</v>
      </c>
    </row>
    <row r="2936" spans="1:14" x14ac:dyDescent="0.2">
      <c r="A2936">
        <v>2935</v>
      </c>
      <c r="B2936">
        <v>2484</v>
      </c>
      <c r="C2936">
        <f>1/COUNTIF(B:B,Table1[[#This Row],[order_id]])</f>
        <v>0.33333333333333331</v>
      </c>
      <c r="D2936" t="str">
        <f>TEXT(Table1[[#This Row],[order_date]],"mmmm")</f>
        <v>August</v>
      </c>
      <c r="E2936" s="1">
        <v>45518</v>
      </c>
      <c r="F2936" s="1" t="str">
        <f>TEXT(Table1[[#This Row],[order_date]],"dddd")</f>
        <v>Wednesday</v>
      </c>
      <c r="G2936">
        <f>HOUR(Table1[[#This Row],[order_time]])</f>
        <v>16</v>
      </c>
      <c r="H2936" s="2">
        <v>0.7016782407407407</v>
      </c>
      <c r="I2936" t="s">
        <v>9</v>
      </c>
      <c r="J2936" t="s">
        <v>10</v>
      </c>
      <c r="K2936">
        <v>3</v>
      </c>
      <c r="L2936">
        <v>20</v>
      </c>
      <c r="M2936">
        <v>60</v>
      </c>
      <c r="N2936">
        <f>IF(COUNTIFS($B$2:B2936,B2936)=1,1,0)</f>
        <v>1</v>
      </c>
    </row>
    <row r="2937" spans="1:14" x14ac:dyDescent="0.2">
      <c r="A2937">
        <v>2936</v>
      </c>
      <c r="B2937">
        <v>2484</v>
      </c>
      <c r="C2937">
        <f>1/COUNTIF(B:B,Table1[[#This Row],[order_id]])</f>
        <v>0.33333333333333331</v>
      </c>
      <c r="D2937" t="str">
        <f>TEXT(Table1[[#This Row],[order_date]],"mmmm")</f>
        <v>August</v>
      </c>
      <c r="E2937" s="1">
        <v>45518</v>
      </c>
      <c r="F2937" s="1" t="str">
        <f>TEXT(Table1[[#This Row],[order_date]],"dddd")</f>
        <v>Wednesday</v>
      </c>
      <c r="G2937">
        <f>HOUR(Table1[[#This Row],[order_time]])</f>
        <v>15</v>
      </c>
      <c r="H2937" s="2">
        <v>0.63219907407407405</v>
      </c>
      <c r="I2937" t="s">
        <v>18</v>
      </c>
      <c r="J2937" t="s">
        <v>19</v>
      </c>
      <c r="K2937">
        <v>5</v>
      </c>
      <c r="L2937">
        <v>50</v>
      </c>
      <c r="M2937">
        <v>250</v>
      </c>
      <c r="N2937">
        <f>IF(COUNTIFS($B$2:B2937,B2937)=1,1,0)</f>
        <v>0</v>
      </c>
    </row>
    <row r="2938" spans="1:14" x14ac:dyDescent="0.2">
      <c r="A2938">
        <v>2937</v>
      </c>
      <c r="B2938">
        <v>2484</v>
      </c>
      <c r="C2938">
        <f>1/COUNTIF(B:B,Table1[[#This Row],[order_id]])</f>
        <v>0.33333333333333331</v>
      </c>
      <c r="D2938" t="str">
        <f>TEXT(Table1[[#This Row],[order_date]],"mmmm")</f>
        <v>August</v>
      </c>
      <c r="E2938" s="1">
        <v>45518</v>
      </c>
      <c r="F2938" s="1" t="str">
        <f>TEXT(Table1[[#This Row],[order_date]],"dddd")</f>
        <v>Wednesday</v>
      </c>
      <c r="G2938">
        <f>HOUR(Table1[[#This Row],[order_time]])</f>
        <v>16</v>
      </c>
      <c r="H2938" s="2">
        <v>0.69663194444444443</v>
      </c>
      <c r="I2938" t="s">
        <v>11</v>
      </c>
      <c r="J2938" t="s">
        <v>13</v>
      </c>
      <c r="K2938">
        <v>1</v>
      </c>
      <c r="L2938">
        <v>680</v>
      </c>
      <c r="M2938">
        <v>680</v>
      </c>
      <c r="N2938">
        <f>IF(COUNTIFS($B$2:B2938,B2938)=1,1,0)</f>
        <v>0</v>
      </c>
    </row>
    <row r="2939" spans="1:14" x14ac:dyDescent="0.2">
      <c r="A2939">
        <v>2938</v>
      </c>
      <c r="B2939">
        <v>2485</v>
      </c>
      <c r="C2939">
        <f>1/COUNTIF(B:B,Table1[[#This Row],[order_id]])</f>
        <v>1</v>
      </c>
      <c r="D2939" t="str">
        <f>TEXT(Table1[[#This Row],[order_date]],"mmmm")</f>
        <v>August</v>
      </c>
      <c r="E2939" s="1">
        <v>45518</v>
      </c>
      <c r="F2939" s="1" t="str">
        <f>TEXT(Table1[[#This Row],[order_date]],"dddd")</f>
        <v>Wednesday</v>
      </c>
      <c r="G2939">
        <f>HOUR(Table1[[#This Row],[order_time]])</f>
        <v>19</v>
      </c>
      <c r="H2939" s="2">
        <v>0.82195601851851852</v>
      </c>
      <c r="I2939" t="s">
        <v>16</v>
      </c>
      <c r="J2939" t="s">
        <v>24</v>
      </c>
      <c r="K2939">
        <v>5</v>
      </c>
      <c r="L2939">
        <v>35</v>
      </c>
      <c r="M2939">
        <v>175</v>
      </c>
      <c r="N2939">
        <f>IF(COUNTIFS($B$2:B2939,B2939)=1,1,0)</f>
        <v>1</v>
      </c>
    </row>
    <row r="2940" spans="1:14" x14ac:dyDescent="0.2">
      <c r="A2940">
        <v>2939</v>
      </c>
      <c r="B2940">
        <v>2486</v>
      </c>
      <c r="C2940">
        <f>1/COUNTIF(B:B,Table1[[#This Row],[order_id]])</f>
        <v>0.33333333333333331</v>
      </c>
      <c r="D2940" t="str">
        <f>TEXT(Table1[[#This Row],[order_date]],"mmmm")</f>
        <v>August</v>
      </c>
      <c r="E2940" s="1">
        <v>45518</v>
      </c>
      <c r="F2940" s="1" t="str">
        <f>TEXT(Table1[[#This Row],[order_date]],"dddd")</f>
        <v>Wednesday</v>
      </c>
      <c r="G2940">
        <f>HOUR(Table1[[#This Row],[order_time]])</f>
        <v>14</v>
      </c>
      <c r="H2940" s="2">
        <v>0.59307870370370375</v>
      </c>
      <c r="I2940" t="s">
        <v>11</v>
      </c>
      <c r="J2940" t="s">
        <v>25</v>
      </c>
      <c r="K2940">
        <v>1</v>
      </c>
      <c r="L2940">
        <v>1000</v>
      </c>
      <c r="M2940">
        <v>1000</v>
      </c>
      <c r="N2940">
        <f>IF(COUNTIFS($B$2:B2940,B2940)=1,1,0)</f>
        <v>1</v>
      </c>
    </row>
    <row r="2941" spans="1:14" x14ac:dyDescent="0.2">
      <c r="A2941">
        <v>2940</v>
      </c>
      <c r="B2941">
        <v>2486</v>
      </c>
      <c r="C2941">
        <f>1/COUNTIF(B:B,Table1[[#This Row],[order_id]])</f>
        <v>0.33333333333333331</v>
      </c>
      <c r="D2941" t="str">
        <f>TEXT(Table1[[#This Row],[order_date]],"mmmm")</f>
        <v>August</v>
      </c>
      <c r="E2941" s="1">
        <v>45518</v>
      </c>
      <c r="F2941" s="1" t="str">
        <f>TEXT(Table1[[#This Row],[order_date]],"dddd")</f>
        <v>Wednesday</v>
      </c>
      <c r="G2941">
        <f>HOUR(Table1[[#This Row],[order_time]])</f>
        <v>10</v>
      </c>
      <c r="H2941" s="2">
        <v>0.44578703703703704</v>
      </c>
      <c r="I2941" t="s">
        <v>11</v>
      </c>
      <c r="J2941" t="s">
        <v>14</v>
      </c>
      <c r="K2941">
        <v>2</v>
      </c>
      <c r="L2941">
        <v>700</v>
      </c>
      <c r="M2941">
        <v>1400</v>
      </c>
      <c r="N2941">
        <f>IF(COUNTIFS($B$2:B2941,B2941)=1,1,0)</f>
        <v>0</v>
      </c>
    </row>
    <row r="2942" spans="1:14" x14ac:dyDescent="0.2">
      <c r="A2942">
        <v>2941</v>
      </c>
      <c r="B2942">
        <v>2486</v>
      </c>
      <c r="C2942">
        <f>1/COUNTIF(B:B,Table1[[#This Row],[order_id]])</f>
        <v>0.33333333333333331</v>
      </c>
      <c r="D2942" t="str">
        <f>TEXT(Table1[[#This Row],[order_date]],"mmmm")</f>
        <v>August</v>
      </c>
      <c r="E2942" s="1">
        <v>45518</v>
      </c>
      <c r="F2942" s="1" t="str">
        <f>TEXT(Table1[[#This Row],[order_date]],"dddd")</f>
        <v>Wednesday</v>
      </c>
      <c r="G2942">
        <f>HOUR(Table1[[#This Row],[order_time]])</f>
        <v>15</v>
      </c>
      <c r="H2942" s="2">
        <v>0.63606481481481481</v>
      </c>
      <c r="I2942" t="s">
        <v>16</v>
      </c>
      <c r="J2942" t="s">
        <v>17</v>
      </c>
      <c r="K2942">
        <v>1</v>
      </c>
      <c r="L2942">
        <v>20</v>
      </c>
      <c r="M2942">
        <v>20</v>
      </c>
      <c r="N2942">
        <f>IF(COUNTIFS($B$2:B2942,B2942)=1,1,0)</f>
        <v>0</v>
      </c>
    </row>
    <row r="2943" spans="1:14" x14ac:dyDescent="0.2">
      <c r="A2943">
        <v>2942</v>
      </c>
      <c r="B2943">
        <v>2487</v>
      </c>
      <c r="C2943">
        <f>1/COUNTIF(B:B,Table1[[#This Row],[order_id]])</f>
        <v>0.33333333333333331</v>
      </c>
      <c r="D2943" t="str">
        <f>TEXT(Table1[[#This Row],[order_date]],"mmmm")</f>
        <v>August</v>
      </c>
      <c r="E2943" s="1">
        <v>45518</v>
      </c>
      <c r="F2943" s="1" t="str">
        <f>TEXT(Table1[[#This Row],[order_date]],"dddd")</f>
        <v>Wednesday</v>
      </c>
      <c r="G2943">
        <f>HOUR(Table1[[#This Row],[order_time]])</f>
        <v>16</v>
      </c>
      <c r="H2943" s="2">
        <v>0.66731481481481481</v>
      </c>
      <c r="I2943" t="s">
        <v>11</v>
      </c>
      <c r="J2943" t="s">
        <v>25</v>
      </c>
      <c r="K2943">
        <v>1</v>
      </c>
      <c r="L2943">
        <v>1000</v>
      </c>
      <c r="M2943">
        <v>1000</v>
      </c>
      <c r="N2943">
        <f>IF(COUNTIFS($B$2:B2943,B2943)=1,1,0)</f>
        <v>1</v>
      </c>
    </row>
    <row r="2944" spans="1:14" x14ac:dyDescent="0.2">
      <c r="A2944">
        <v>2943</v>
      </c>
      <c r="B2944">
        <v>2487</v>
      </c>
      <c r="C2944">
        <f>1/COUNTIF(B:B,Table1[[#This Row],[order_id]])</f>
        <v>0.33333333333333331</v>
      </c>
      <c r="D2944" t="str">
        <f>TEXT(Table1[[#This Row],[order_date]],"mmmm")</f>
        <v>August</v>
      </c>
      <c r="E2944" s="1">
        <v>45518</v>
      </c>
      <c r="F2944" s="1" t="str">
        <f>TEXT(Table1[[#This Row],[order_date]],"dddd")</f>
        <v>Wednesday</v>
      </c>
      <c r="G2944">
        <f>HOUR(Table1[[#This Row],[order_time]])</f>
        <v>13</v>
      </c>
      <c r="H2944" s="2">
        <v>0.54408564814814819</v>
      </c>
      <c r="I2944" t="s">
        <v>9</v>
      </c>
      <c r="J2944" t="s">
        <v>21</v>
      </c>
      <c r="K2944">
        <v>4</v>
      </c>
      <c r="L2944">
        <v>10</v>
      </c>
      <c r="M2944">
        <v>40</v>
      </c>
      <c r="N2944">
        <f>IF(COUNTIFS($B$2:B2944,B2944)=1,1,0)</f>
        <v>0</v>
      </c>
    </row>
    <row r="2945" spans="1:14" x14ac:dyDescent="0.2">
      <c r="A2945">
        <v>2944</v>
      </c>
      <c r="B2945">
        <v>2487</v>
      </c>
      <c r="C2945">
        <f>1/COUNTIF(B:B,Table1[[#This Row],[order_id]])</f>
        <v>0.33333333333333331</v>
      </c>
      <c r="D2945" t="str">
        <f>TEXT(Table1[[#This Row],[order_date]],"mmmm")</f>
        <v>August</v>
      </c>
      <c r="E2945" s="1">
        <v>45518</v>
      </c>
      <c r="F2945" s="1" t="str">
        <f>TEXT(Table1[[#This Row],[order_date]],"dddd")</f>
        <v>Wednesday</v>
      </c>
      <c r="G2945">
        <f>HOUR(Table1[[#This Row],[order_time]])</f>
        <v>16</v>
      </c>
      <c r="H2945" s="2">
        <v>0.67592592592592593</v>
      </c>
      <c r="I2945" t="s">
        <v>18</v>
      </c>
      <c r="J2945" t="s">
        <v>19</v>
      </c>
      <c r="K2945">
        <v>5</v>
      </c>
      <c r="L2945">
        <v>50</v>
      </c>
      <c r="M2945">
        <v>250</v>
      </c>
      <c r="N2945">
        <f>IF(COUNTIFS($B$2:B2945,B2945)=1,1,0)</f>
        <v>0</v>
      </c>
    </row>
    <row r="2946" spans="1:14" x14ac:dyDescent="0.2">
      <c r="A2946">
        <v>2945</v>
      </c>
      <c r="B2946">
        <v>2488</v>
      </c>
      <c r="C2946">
        <f>1/COUNTIF(B:B,Table1[[#This Row],[order_id]])</f>
        <v>1</v>
      </c>
      <c r="D2946" t="str">
        <f>TEXT(Table1[[#This Row],[order_date]],"mmmm")</f>
        <v>August</v>
      </c>
      <c r="E2946" s="1">
        <v>45518</v>
      </c>
      <c r="F2946" s="1" t="str">
        <f>TEXT(Table1[[#This Row],[order_date]],"dddd")</f>
        <v>Wednesday</v>
      </c>
      <c r="G2946">
        <f>HOUR(Table1[[#This Row],[order_time]])</f>
        <v>18</v>
      </c>
      <c r="H2946" s="2">
        <v>0.75881944444444449</v>
      </c>
      <c r="I2946" t="s">
        <v>9</v>
      </c>
      <c r="J2946" t="s">
        <v>21</v>
      </c>
      <c r="K2946">
        <v>1</v>
      </c>
      <c r="L2946">
        <v>10</v>
      </c>
      <c r="M2946">
        <v>10</v>
      </c>
      <c r="N2946">
        <f>IF(COUNTIFS($B$2:B2946,B2946)=1,1,0)</f>
        <v>1</v>
      </c>
    </row>
    <row r="2947" spans="1:14" x14ac:dyDescent="0.2">
      <c r="A2947">
        <v>2946</v>
      </c>
      <c r="B2947">
        <v>2489</v>
      </c>
      <c r="C2947">
        <f>1/COUNTIF(B:B,Table1[[#This Row],[order_id]])</f>
        <v>1</v>
      </c>
      <c r="D2947" t="str">
        <f>TEXT(Table1[[#This Row],[order_date]],"mmmm")</f>
        <v>August</v>
      </c>
      <c r="E2947" s="1">
        <v>45518</v>
      </c>
      <c r="F2947" s="1" t="str">
        <f>TEXT(Table1[[#This Row],[order_date]],"dddd")</f>
        <v>Wednesday</v>
      </c>
      <c r="G2947">
        <f>HOUR(Table1[[#This Row],[order_time]])</f>
        <v>20</v>
      </c>
      <c r="H2947" s="2">
        <v>0.85616898148148146</v>
      </c>
      <c r="I2947" t="s">
        <v>9</v>
      </c>
      <c r="J2947" t="s">
        <v>21</v>
      </c>
      <c r="K2947">
        <v>4</v>
      </c>
      <c r="L2947">
        <v>10</v>
      </c>
      <c r="M2947">
        <v>40</v>
      </c>
      <c r="N2947">
        <f>IF(COUNTIFS($B$2:B2947,B2947)=1,1,0)</f>
        <v>1</v>
      </c>
    </row>
    <row r="2948" spans="1:14" x14ac:dyDescent="0.2">
      <c r="A2948">
        <v>2947</v>
      </c>
      <c r="B2948">
        <v>2490</v>
      </c>
      <c r="C2948">
        <f>1/COUNTIF(B:B,Table1[[#This Row],[order_id]])</f>
        <v>0.33333333333333331</v>
      </c>
      <c r="D2948" t="str">
        <f>TEXT(Table1[[#This Row],[order_date]],"mmmm")</f>
        <v>August</v>
      </c>
      <c r="E2948" s="1">
        <v>45519</v>
      </c>
      <c r="F2948" s="1" t="str">
        <f>TEXT(Table1[[#This Row],[order_date]],"dddd")</f>
        <v>Thursday</v>
      </c>
      <c r="G2948">
        <f>HOUR(Table1[[#This Row],[order_time]])</f>
        <v>13</v>
      </c>
      <c r="H2948" s="2">
        <v>0.57250000000000001</v>
      </c>
      <c r="I2948" t="s">
        <v>11</v>
      </c>
      <c r="J2948" t="s">
        <v>25</v>
      </c>
      <c r="K2948">
        <v>1</v>
      </c>
      <c r="L2948">
        <v>1000</v>
      </c>
      <c r="M2948">
        <v>1000</v>
      </c>
      <c r="N2948">
        <f>IF(COUNTIFS($B$2:B2948,B2948)=1,1,0)</f>
        <v>1</v>
      </c>
    </row>
    <row r="2949" spans="1:14" x14ac:dyDescent="0.2">
      <c r="A2949">
        <v>2948</v>
      </c>
      <c r="B2949">
        <v>2490</v>
      </c>
      <c r="C2949">
        <f>1/COUNTIF(B:B,Table1[[#This Row],[order_id]])</f>
        <v>0.33333333333333331</v>
      </c>
      <c r="D2949" t="str">
        <f>TEXT(Table1[[#This Row],[order_date]],"mmmm")</f>
        <v>August</v>
      </c>
      <c r="E2949" s="1">
        <v>45519</v>
      </c>
      <c r="F2949" s="1" t="str">
        <f>TEXT(Table1[[#This Row],[order_date]],"dddd")</f>
        <v>Thursday</v>
      </c>
      <c r="G2949">
        <f>HOUR(Table1[[#This Row],[order_time]])</f>
        <v>20</v>
      </c>
      <c r="H2949" s="2">
        <v>0.86486111111111108</v>
      </c>
      <c r="I2949" t="s">
        <v>18</v>
      </c>
      <c r="J2949" t="s">
        <v>27</v>
      </c>
      <c r="K2949">
        <v>4</v>
      </c>
      <c r="L2949">
        <v>40</v>
      </c>
      <c r="M2949">
        <v>160</v>
      </c>
      <c r="N2949">
        <f>IF(COUNTIFS($B$2:B2949,B2949)=1,1,0)</f>
        <v>0</v>
      </c>
    </row>
    <row r="2950" spans="1:14" x14ac:dyDescent="0.2">
      <c r="A2950">
        <v>2949</v>
      </c>
      <c r="B2950">
        <v>2490</v>
      </c>
      <c r="C2950">
        <f>1/COUNTIF(B:B,Table1[[#This Row],[order_id]])</f>
        <v>0.33333333333333331</v>
      </c>
      <c r="D2950" t="str">
        <f>TEXT(Table1[[#This Row],[order_date]],"mmmm")</f>
        <v>August</v>
      </c>
      <c r="E2950" s="1">
        <v>45519</v>
      </c>
      <c r="F2950" s="1" t="str">
        <f>TEXT(Table1[[#This Row],[order_date]],"dddd")</f>
        <v>Thursday</v>
      </c>
      <c r="G2950">
        <f>HOUR(Table1[[#This Row],[order_time]])</f>
        <v>19</v>
      </c>
      <c r="H2950" s="2">
        <v>0.81638888888888894</v>
      </c>
      <c r="I2950" t="s">
        <v>18</v>
      </c>
      <c r="J2950" t="s">
        <v>31</v>
      </c>
      <c r="K2950">
        <v>1</v>
      </c>
      <c r="L2950">
        <v>45</v>
      </c>
      <c r="M2950">
        <v>45</v>
      </c>
      <c r="N2950">
        <f>IF(COUNTIFS($B$2:B2950,B2950)=1,1,0)</f>
        <v>0</v>
      </c>
    </row>
    <row r="2951" spans="1:14" x14ac:dyDescent="0.2">
      <c r="A2951">
        <v>2950</v>
      </c>
      <c r="B2951">
        <v>2491</v>
      </c>
      <c r="C2951">
        <f>1/COUNTIF(B:B,Table1[[#This Row],[order_id]])</f>
        <v>1</v>
      </c>
      <c r="D2951" t="str">
        <f>TEXT(Table1[[#This Row],[order_date]],"mmmm")</f>
        <v>August</v>
      </c>
      <c r="E2951" s="1">
        <v>45519</v>
      </c>
      <c r="F2951" s="1" t="str">
        <f>TEXT(Table1[[#This Row],[order_date]],"dddd")</f>
        <v>Thursday</v>
      </c>
      <c r="G2951">
        <f>HOUR(Table1[[#This Row],[order_time]])</f>
        <v>17</v>
      </c>
      <c r="H2951" s="2">
        <v>0.73888888888888893</v>
      </c>
      <c r="I2951" t="s">
        <v>9</v>
      </c>
      <c r="J2951" t="s">
        <v>21</v>
      </c>
      <c r="K2951">
        <v>1</v>
      </c>
      <c r="L2951">
        <v>10</v>
      </c>
      <c r="M2951">
        <v>10</v>
      </c>
      <c r="N2951">
        <f>IF(COUNTIFS($B$2:B2951,B2951)=1,1,0)</f>
        <v>1</v>
      </c>
    </row>
    <row r="2952" spans="1:14" x14ac:dyDescent="0.2">
      <c r="A2952">
        <v>2951</v>
      </c>
      <c r="B2952">
        <v>2492</v>
      </c>
      <c r="C2952">
        <f>1/COUNTIF(B:B,Table1[[#This Row],[order_id]])</f>
        <v>0.5</v>
      </c>
      <c r="D2952" t="str">
        <f>TEXT(Table1[[#This Row],[order_date]],"mmmm")</f>
        <v>August</v>
      </c>
      <c r="E2952" s="1">
        <v>45519</v>
      </c>
      <c r="F2952" s="1" t="str">
        <f>TEXT(Table1[[#This Row],[order_date]],"dddd")</f>
        <v>Thursday</v>
      </c>
      <c r="G2952">
        <f>HOUR(Table1[[#This Row],[order_time]])</f>
        <v>17</v>
      </c>
      <c r="H2952" s="2">
        <v>0.7345949074074074</v>
      </c>
      <c r="I2952" t="s">
        <v>18</v>
      </c>
      <c r="J2952" t="s">
        <v>19</v>
      </c>
      <c r="K2952">
        <v>1</v>
      </c>
      <c r="L2952">
        <v>50</v>
      </c>
      <c r="M2952">
        <v>50</v>
      </c>
      <c r="N2952">
        <f>IF(COUNTIFS($B$2:B2952,B2952)=1,1,0)</f>
        <v>1</v>
      </c>
    </row>
    <row r="2953" spans="1:14" x14ac:dyDescent="0.2">
      <c r="A2953">
        <v>2952</v>
      </c>
      <c r="B2953">
        <v>2492</v>
      </c>
      <c r="C2953">
        <f>1/COUNTIF(B:B,Table1[[#This Row],[order_id]])</f>
        <v>0.5</v>
      </c>
      <c r="D2953" t="str">
        <f>TEXT(Table1[[#This Row],[order_date]],"mmmm")</f>
        <v>August</v>
      </c>
      <c r="E2953" s="1">
        <v>45519</v>
      </c>
      <c r="F2953" s="1" t="str">
        <f>TEXT(Table1[[#This Row],[order_date]],"dddd")</f>
        <v>Thursday</v>
      </c>
      <c r="G2953">
        <f>HOUR(Table1[[#This Row],[order_time]])</f>
        <v>19</v>
      </c>
      <c r="H2953" s="2">
        <v>0.83199074074074075</v>
      </c>
      <c r="I2953" t="s">
        <v>11</v>
      </c>
      <c r="J2953" t="s">
        <v>15</v>
      </c>
      <c r="K2953">
        <v>3</v>
      </c>
      <c r="L2953">
        <v>600</v>
      </c>
      <c r="M2953">
        <v>1800</v>
      </c>
      <c r="N2953">
        <f>IF(COUNTIFS($B$2:B2953,B2953)=1,1,0)</f>
        <v>0</v>
      </c>
    </row>
    <row r="2954" spans="1:14" x14ac:dyDescent="0.2">
      <c r="A2954">
        <v>2953</v>
      </c>
      <c r="B2954">
        <v>2493</v>
      </c>
      <c r="C2954">
        <f>1/COUNTIF(B:B,Table1[[#This Row],[order_id]])</f>
        <v>0.33333333333333331</v>
      </c>
      <c r="D2954" t="str">
        <f>TEXT(Table1[[#This Row],[order_date]],"mmmm")</f>
        <v>August</v>
      </c>
      <c r="E2954" s="1">
        <v>45519</v>
      </c>
      <c r="F2954" s="1" t="str">
        <f>TEXT(Table1[[#This Row],[order_date]],"dddd")</f>
        <v>Thursday</v>
      </c>
      <c r="G2954">
        <f>HOUR(Table1[[#This Row],[order_time]])</f>
        <v>17</v>
      </c>
      <c r="H2954" s="2">
        <v>0.72571759259259261</v>
      </c>
      <c r="I2954" t="s">
        <v>16</v>
      </c>
      <c r="J2954" t="s">
        <v>28</v>
      </c>
      <c r="K2954">
        <v>3</v>
      </c>
      <c r="L2954">
        <v>25</v>
      </c>
      <c r="M2954">
        <v>75</v>
      </c>
      <c r="N2954">
        <f>IF(COUNTIFS($B$2:B2954,B2954)=1,1,0)</f>
        <v>1</v>
      </c>
    </row>
    <row r="2955" spans="1:14" x14ac:dyDescent="0.2">
      <c r="A2955">
        <v>2954</v>
      </c>
      <c r="B2955">
        <v>2493</v>
      </c>
      <c r="C2955">
        <f>1/COUNTIF(B:B,Table1[[#This Row],[order_id]])</f>
        <v>0.33333333333333331</v>
      </c>
      <c r="D2955" t="str">
        <f>TEXT(Table1[[#This Row],[order_date]],"mmmm")</f>
        <v>August</v>
      </c>
      <c r="E2955" s="1">
        <v>45519</v>
      </c>
      <c r="F2955" s="1" t="str">
        <f>TEXT(Table1[[#This Row],[order_date]],"dddd")</f>
        <v>Thursday</v>
      </c>
      <c r="G2955">
        <f>HOUR(Table1[[#This Row],[order_time]])</f>
        <v>20</v>
      </c>
      <c r="H2955" s="2">
        <v>0.85509259259259263</v>
      </c>
      <c r="I2955" t="s">
        <v>16</v>
      </c>
      <c r="J2955" t="s">
        <v>23</v>
      </c>
      <c r="K2955">
        <v>4</v>
      </c>
      <c r="L2955">
        <v>30</v>
      </c>
      <c r="M2955">
        <v>120</v>
      </c>
      <c r="N2955">
        <f>IF(COUNTIFS($B$2:B2955,B2955)=1,1,0)</f>
        <v>0</v>
      </c>
    </row>
    <row r="2956" spans="1:14" x14ac:dyDescent="0.2">
      <c r="A2956">
        <v>2955</v>
      </c>
      <c r="B2956">
        <v>2493</v>
      </c>
      <c r="C2956">
        <f>1/COUNTIF(B:B,Table1[[#This Row],[order_id]])</f>
        <v>0.33333333333333331</v>
      </c>
      <c r="D2956" t="str">
        <f>TEXT(Table1[[#This Row],[order_date]],"mmmm")</f>
        <v>August</v>
      </c>
      <c r="E2956" s="1">
        <v>45519</v>
      </c>
      <c r="F2956" s="1" t="str">
        <f>TEXT(Table1[[#This Row],[order_date]],"dddd")</f>
        <v>Thursday</v>
      </c>
      <c r="G2956">
        <f>HOUR(Table1[[#This Row],[order_time]])</f>
        <v>16</v>
      </c>
      <c r="H2956" s="2">
        <v>0.69497685185185187</v>
      </c>
      <c r="I2956" t="s">
        <v>11</v>
      </c>
      <c r="J2956" t="s">
        <v>14</v>
      </c>
      <c r="K2956">
        <v>1</v>
      </c>
      <c r="L2956">
        <v>700</v>
      </c>
      <c r="M2956">
        <v>700</v>
      </c>
      <c r="N2956">
        <f>IF(COUNTIFS($B$2:B2956,B2956)=1,1,0)</f>
        <v>0</v>
      </c>
    </row>
    <row r="2957" spans="1:14" x14ac:dyDescent="0.2">
      <c r="A2957">
        <v>2956</v>
      </c>
      <c r="B2957">
        <v>2494</v>
      </c>
      <c r="C2957">
        <f>1/COUNTIF(B:B,Table1[[#This Row],[order_id]])</f>
        <v>0.5</v>
      </c>
      <c r="D2957" t="str">
        <f>TEXT(Table1[[#This Row],[order_date]],"mmmm")</f>
        <v>August</v>
      </c>
      <c r="E2957" s="1">
        <v>45519</v>
      </c>
      <c r="F2957" s="1" t="str">
        <f>TEXT(Table1[[#This Row],[order_date]],"dddd")</f>
        <v>Thursday</v>
      </c>
      <c r="G2957">
        <f>HOUR(Table1[[#This Row],[order_time]])</f>
        <v>9</v>
      </c>
      <c r="H2957" s="2">
        <v>0.38806712962962964</v>
      </c>
      <c r="I2957" t="s">
        <v>16</v>
      </c>
      <c r="J2957" t="s">
        <v>24</v>
      </c>
      <c r="K2957">
        <v>5</v>
      </c>
      <c r="L2957">
        <v>35</v>
      </c>
      <c r="M2957">
        <v>175</v>
      </c>
      <c r="N2957">
        <f>IF(COUNTIFS($B$2:B2957,B2957)=1,1,0)</f>
        <v>1</v>
      </c>
    </row>
    <row r="2958" spans="1:14" x14ac:dyDescent="0.2">
      <c r="A2958">
        <v>2957</v>
      </c>
      <c r="B2958">
        <v>2494</v>
      </c>
      <c r="C2958">
        <f>1/COUNTIF(B:B,Table1[[#This Row],[order_id]])</f>
        <v>0.5</v>
      </c>
      <c r="D2958" t="str">
        <f>TEXT(Table1[[#This Row],[order_date]],"mmmm")</f>
        <v>August</v>
      </c>
      <c r="E2958" s="1">
        <v>45519</v>
      </c>
      <c r="F2958" s="1" t="str">
        <f>TEXT(Table1[[#This Row],[order_date]],"dddd")</f>
        <v>Thursday</v>
      </c>
      <c r="G2958">
        <f>HOUR(Table1[[#This Row],[order_time]])</f>
        <v>9</v>
      </c>
      <c r="H2958" s="2">
        <v>0.40954861111111113</v>
      </c>
      <c r="I2958" t="s">
        <v>16</v>
      </c>
      <c r="J2958" t="s">
        <v>24</v>
      </c>
      <c r="K2958">
        <v>5</v>
      </c>
      <c r="L2958">
        <v>35</v>
      </c>
      <c r="M2958">
        <v>175</v>
      </c>
      <c r="N2958">
        <f>IF(COUNTIFS($B$2:B2958,B2958)=1,1,0)</f>
        <v>0</v>
      </c>
    </row>
    <row r="2959" spans="1:14" x14ac:dyDescent="0.2">
      <c r="A2959">
        <v>2958</v>
      </c>
      <c r="B2959">
        <v>2495</v>
      </c>
      <c r="C2959">
        <f>1/COUNTIF(B:B,Table1[[#This Row],[order_id]])</f>
        <v>1</v>
      </c>
      <c r="D2959" t="str">
        <f>TEXT(Table1[[#This Row],[order_date]],"mmmm")</f>
        <v>August</v>
      </c>
      <c r="E2959" s="1">
        <v>45519</v>
      </c>
      <c r="F2959" s="1" t="str">
        <f>TEXT(Table1[[#This Row],[order_date]],"dddd")</f>
        <v>Thursday</v>
      </c>
      <c r="G2959">
        <f>HOUR(Table1[[#This Row],[order_time]])</f>
        <v>20</v>
      </c>
      <c r="H2959" s="2">
        <v>0.85721064814814818</v>
      </c>
      <c r="I2959" t="s">
        <v>9</v>
      </c>
      <c r="J2959" t="s">
        <v>22</v>
      </c>
      <c r="K2959">
        <v>5</v>
      </c>
      <c r="L2959">
        <v>15</v>
      </c>
      <c r="M2959">
        <v>75</v>
      </c>
      <c r="N2959">
        <f>IF(COUNTIFS($B$2:B2959,B2959)=1,1,0)</f>
        <v>1</v>
      </c>
    </row>
    <row r="2960" spans="1:14" x14ac:dyDescent="0.2">
      <c r="A2960">
        <v>2959</v>
      </c>
      <c r="B2960">
        <v>2496</v>
      </c>
      <c r="C2960">
        <f>1/COUNTIF(B:B,Table1[[#This Row],[order_id]])</f>
        <v>0.33333333333333331</v>
      </c>
      <c r="D2960" t="str">
        <f>TEXT(Table1[[#This Row],[order_date]],"mmmm")</f>
        <v>August</v>
      </c>
      <c r="E2960" s="1">
        <v>45520</v>
      </c>
      <c r="F2960" s="1" t="str">
        <f>TEXT(Table1[[#This Row],[order_date]],"dddd")</f>
        <v>Friday</v>
      </c>
      <c r="G2960">
        <f>HOUR(Table1[[#This Row],[order_time]])</f>
        <v>10</v>
      </c>
      <c r="H2960" s="2">
        <v>0.42753472222222222</v>
      </c>
      <c r="I2960" t="s">
        <v>16</v>
      </c>
      <c r="J2960" t="s">
        <v>23</v>
      </c>
      <c r="K2960">
        <v>5</v>
      </c>
      <c r="L2960">
        <v>30</v>
      </c>
      <c r="M2960">
        <v>150</v>
      </c>
      <c r="N2960">
        <f>IF(COUNTIFS($B$2:B2960,B2960)=1,1,0)</f>
        <v>1</v>
      </c>
    </row>
    <row r="2961" spans="1:14" x14ac:dyDescent="0.2">
      <c r="A2961">
        <v>2960</v>
      </c>
      <c r="B2961">
        <v>2496</v>
      </c>
      <c r="C2961">
        <f>1/COUNTIF(B:B,Table1[[#This Row],[order_id]])</f>
        <v>0.33333333333333331</v>
      </c>
      <c r="D2961" t="str">
        <f>TEXT(Table1[[#This Row],[order_date]],"mmmm")</f>
        <v>August</v>
      </c>
      <c r="E2961" s="1">
        <v>45520</v>
      </c>
      <c r="F2961" s="1" t="str">
        <f>TEXT(Table1[[#This Row],[order_date]],"dddd")</f>
        <v>Friday</v>
      </c>
      <c r="G2961">
        <f>HOUR(Table1[[#This Row],[order_time]])</f>
        <v>16</v>
      </c>
      <c r="H2961" s="2">
        <v>0.66929398148148145</v>
      </c>
      <c r="I2961" t="s">
        <v>18</v>
      </c>
      <c r="J2961" t="s">
        <v>26</v>
      </c>
      <c r="K2961">
        <v>1</v>
      </c>
      <c r="L2961">
        <v>55</v>
      </c>
      <c r="M2961">
        <v>55</v>
      </c>
      <c r="N2961">
        <f>IF(COUNTIFS($B$2:B2961,B2961)=1,1,0)</f>
        <v>0</v>
      </c>
    </row>
    <row r="2962" spans="1:14" x14ac:dyDescent="0.2">
      <c r="A2962">
        <v>2961</v>
      </c>
      <c r="B2962">
        <v>2496</v>
      </c>
      <c r="C2962">
        <f>1/COUNTIF(B:B,Table1[[#This Row],[order_id]])</f>
        <v>0.33333333333333331</v>
      </c>
      <c r="D2962" t="str">
        <f>TEXT(Table1[[#This Row],[order_date]],"mmmm")</f>
        <v>August</v>
      </c>
      <c r="E2962" s="1">
        <v>45520</v>
      </c>
      <c r="F2962" s="1" t="str">
        <f>TEXT(Table1[[#This Row],[order_date]],"dddd")</f>
        <v>Friday</v>
      </c>
      <c r="G2962">
        <f>HOUR(Table1[[#This Row],[order_time]])</f>
        <v>15</v>
      </c>
      <c r="H2962" s="2">
        <v>0.64209490740740738</v>
      </c>
      <c r="I2962" t="s">
        <v>11</v>
      </c>
      <c r="J2962" t="s">
        <v>25</v>
      </c>
      <c r="K2962">
        <v>3</v>
      </c>
      <c r="L2962">
        <v>1000</v>
      </c>
      <c r="M2962">
        <v>3000</v>
      </c>
      <c r="N2962">
        <f>IF(COUNTIFS($B$2:B2962,B2962)=1,1,0)</f>
        <v>0</v>
      </c>
    </row>
    <row r="2963" spans="1:14" x14ac:dyDescent="0.2">
      <c r="A2963">
        <v>2962</v>
      </c>
      <c r="B2963">
        <v>2497</v>
      </c>
      <c r="C2963">
        <f>1/COUNTIF(B:B,Table1[[#This Row],[order_id]])</f>
        <v>0.5</v>
      </c>
      <c r="D2963" t="str">
        <f>TEXT(Table1[[#This Row],[order_date]],"mmmm")</f>
        <v>August</v>
      </c>
      <c r="E2963" s="1">
        <v>45520</v>
      </c>
      <c r="F2963" s="1" t="str">
        <f>TEXT(Table1[[#This Row],[order_date]],"dddd")</f>
        <v>Friday</v>
      </c>
      <c r="G2963">
        <f>HOUR(Table1[[#This Row],[order_time]])</f>
        <v>18</v>
      </c>
      <c r="H2963" s="2">
        <v>0.78644675925925922</v>
      </c>
      <c r="I2963" t="s">
        <v>9</v>
      </c>
      <c r="J2963" t="s">
        <v>10</v>
      </c>
      <c r="K2963">
        <v>4</v>
      </c>
      <c r="L2963">
        <v>20</v>
      </c>
      <c r="M2963">
        <v>80</v>
      </c>
      <c r="N2963">
        <f>IF(COUNTIFS($B$2:B2963,B2963)=1,1,0)</f>
        <v>1</v>
      </c>
    </row>
    <row r="2964" spans="1:14" x14ac:dyDescent="0.2">
      <c r="A2964">
        <v>2963</v>
      </c>
      <c r="B2964">
        <v>2497</v>
      </c>
      <c r="C2964">
        <f>1/COUNTIF(B:B,Table1[[#This Row],[order_id]])</f>
        <v>0.5</v>
      </c>
      <c r="D2964" t="str">
        <f>TEXT(Table1[[#This Row],[order_date]],"mmmm")</f>
        <v>August</v>
      </c>
      <c r="E2964" s="1">
        <v>45520</v>
      </c>
      <c r="F2964" s="1" t="str">
        <f>TEXT(Table1[[#This Row],[order_date]],"dddd")</f>
        <v>Friday</v>
      </c>
      <c r="G2964">
        <f>HOUR(Table1[[#This Row],[order_time]])</f>
        <v>11</v>
      </c>
      <c r="H2964" s="2">
        <v>0.47613425925925928</v>
      </c>
      <c r="I2964" t="s">
        <v>18</v>
      </c>
      <c r="J2964" t="s">
        <v>31</v>
      </c>
      <c r="K2964">
        <v>5</v>
      </c>
      <c r="L2964">
        <v>45</v>
      </c>
      <c r="M2964">
        <v>225</v>
      </c>
      <c r="N2964">
        <f>IF(COUNTIFS($B$2:B2964,B2964)=1,1,0)</f>
        <v>0</v>
      </c>
    </row>
    <row r="2965" spans="1:14" x14ac:dyDescent="0.2">
      <c r="A2965">
        <v>2964</v>
      </c>
      <c r="B2965">
        <v>2498</v>
      </c>
      <c r="C2965">
        <f>1/COUNTIF(B:B,Table1[[#This Row],[order_id]])</f>
        <v>0.5</v>
      </c>
      <c r="D2965" t="str">
        <f>TEXT(Table1[[#This Row],[order_date]],"mmmm")</f>
        <v>August</v>
      </c>
      <c r="E2965" s="1">
        <v>45520</v>
      </c>
      <c r="F2965" s="1" t="str">
        <f>TEXT(Table1[[#This Row],[order_date]],"dddd")</f>
        <v>Friday</v>
      </c>
      <c r="G2965">
        <f>HOUR(Table1[[#This Row],[order_time]])</f>
        <v>20</v>
      </c>
      <c r="H2965" s="2">
        <v>0.84939814814814818</v>
      </c>
      <c r="I2965" t="s">
        <v>9</v>
      </c>
      <c r="J2965" t="s">
        <v>22</v>
      </c>
      <c r="K2965">
        <v>2</v>
      </c>
      <c r="L2965">
        <v>15</v>
      </c>
      <c r="M2965">
        <v>30</v>
      </c>
      <c r="N2965">
        <f>IF(COUNTIFS($B$2:B2965,B2965)=1,1,0)</f>
        <v>1</v>
      </c>
    </row>
    <row r="2966" spans="1:14" x14ac:dyDescent="0.2">
      <c r="A2966">
        <v>2965</v>
      </c>
      <c r="B2966">
        <v>2498</v>
      </c>
      <c r="C2966">
        <f>1/COUNTIF(B:B,Table1[[#This Row],[order_id]])</f>
        <v>0.5</v>
      </c>
      <c r="D2966" t="str">
        <f>TEXT(Table1[[#This Row],[order_date]],"mmmm")</f>
        <v>August</v>
      </c>
      <c r="E2966" s="1">
        <v>45520</v>
      </c>
      <c r="F2966" s="1" t="str">
        <f>TEXT(Table1[[#This Row],[order_date]],"dddd")</f>
        <v>Friday</v>
      </c>
      <c r="G2966">
        <f>HOUR(Table1[[#This Row],[order_time]])</f>
        <v>19</v>
      </c>
      <c r="H2966" s="2">
        <v>0.82084490740740745</v>
      </c>
      <c r="I2966" t="s">
        <v>11</v>
      </c>
      <c r="J2966" t="s">
        <v>14</v>
      </c>
      <c r="K2966">
        <v>1</v>
      </c>
      <c r="L2966">
        <v>700</v>
      </c>
      <c r="M2966">
        <v>700</v>
      </c>
      <c r="N2966">
        <f>IF(COUNTIFS($B$2:B2966,B2966)=1,1,0)</f>
        <v>0</v>
      </c>
    </row>
    <row r="2967" spans="1:14" x14ac:dyDescent="0.2">
      <c r="A2967">
        <v>2966</v>
      </c>
      <c r="B2967">
        <v>2499</v>
      </c>
      <c r="C2967">
        <f>1/COUNTIF(B:B,Table1[[#This Row],[order_id]])</f>
        <v>0.5</v>
      </c>
      <c r="D2967" t="str">
        <f>TEXT(Table1[[#This Row],[order_date]],"mmmm")</f>
        <v>August</v>
      </c>
      <c r="E2967" s="1">
        <v>45520</v>
      </c>
      <c r="F2967" s="1" t="str">
        <f>TEXT(Table1[[#This Row],[order_date]],"dddd")</f>
        <v>Friday</v>
      </c>
      <c r="G2967">
        <f>HOUR(Table1[[#This Row],[order_time]])</f>
        <v>9</v>
      </c>
      <c r="H2967" s="2">
        <v>0.38828703703703704</v>
      </c>
      <c r="I2967" t="s">
        <v>11</v>
      </c>
      <c r="J2967" t="s">
        <v>14</v>
      </c>
      <c r="K2967">
        <v>2</v>
      </c>
      <c r="L2967">
        <v>700</v>
      </c>
      <c r="M2967">
        <v>1400</v>
      </c>
      <c r="N2967">
        <f>IF(COUNTIFS($B$2:B2967,B2967)=1,1,0)</f>
        <v>1</v>
      </c>
    </row>
    <row r="2968" spans="1:14" x14ac:dyDescent="0.2">
      <c r="A2968">
        <v>2967</v>
      </c>
      <c r="B2968">
        <v>2499</v>
      </c>
      <c r="C2968">
        <f>1/COUNTIF(B:B,Table1[[#This Row],[order_id]])</f>
        <v>0.5</v>
      </c>
      <c r="D2968" t="str">
        <f>TEXT(Table1[[#This Row],[order_date]],"mmmm")</f>
        <v>August</v>
      </c>
      <c r="E2968" s="1">
        <v>45520</v>
      </c>
      <c r="F2968" s="1" t="str">
        <f>TEXT(Table1[[#This Row],[order_date]],"dddd")</f>
        <v>Friday</v>
      </c>
      <c r="G2968">
        <f>HOUR(Table1[[#This Row],[order_time]])</f>
        <v>10</v>
      </c>
      <c r="H2968" s="2">
        <v>0.4478935185185185</v>
      </c>
      <c r="I2968" t="s">
        <v>9</v>
      </c>
      <c r="J2968" t="s">
        <v>10</v>
      </c>
      <c r="K2968">
        <v>2</v>
      </c>
      <c r="L2968">
        <v>20</v>
      </c>
      <c r="M2968">
        <v>40</v>
      </c>
      <c r="N2968">
        <f>IF(COUNTIFS($B$2:B2968,B2968)=1,1,0)</f>
        <v>0</v>
      </c>
    </row>
    <row r="2969" spans="1:14" x14ac:dyDescent="0.2">
      <c r="A2969">
        <v>2968</v>
      </c>
      <c r="B2969">
        <v>2500</v>
      </c>
      <c r="C2969">
        <f>1/COUNTIF(B:B,Table1[[#This Row],[order_id]])</f>
        <v>0.5</v>
      </c>
      <c r="D2969" t="str">
        <f>TEXT(Table1[[#This Row],[order_date]],"mmmm")</f>
        <v>August</v>
      </c>
      <c r="E2969" s="1">
        <v>45520</v>
      </c>
      <c r="F2969" s="1" t="str">
        <f>TEXT(Table1[[#This Row],[order_date]],"dddd")</f>
        <v>Friday</v>
      </c>
      <c r="G2969">
        <f>HOUR(Table1[[#This Row],[order_time]])</f>
        <v>17</v>
      </c>
      <c r="H2969" s="2">
        <v>0.747650462962963</v>
      </c>
      <c r="I2969" t="s">
        <v>16</v>
      </c>
      <c r="J2969" t="s">
        <v>17</v>
      </c>
      <c r="K2969">
        <v>1</v>
      </c>
      <c r="L2969">
        <v>20</v>
      </c>
      <c r="M2969">
        <v>20</v>
      </c>
      <c r="N2969">
        <f>IF(COUNTIFS($B$2:B2969,B2969)=1,1,0)</f>
        <v>1</v>
      </c>
    </row>
    <row r="2970" spans="1:14" x14ac:dyDescent="0.2">
      <c r="A2970">
        <v>2969</v>
      </c>
      <c r="B2970">
        <v>2500</v>
      </c>
      <c r="C2970">
        <f>1/COUNTIF(B:B,Table1[[#This Row],[order_id]])</f>
        <v>0.5</v>
      </c>
      <c r="D2970" t="str">
        <f>TEXT(Table1[[#This Row],[order_date]],"mmmm")</f>
        <v>August</v>
      </c>
      <c r="E2970" s="1">
        <v>45520</v>
      </c>
      <c r="F2970" s="1" t="str">
        <f>TEXT(Table1[[#This Row],[order_date]],"dddd")</f>
        <v>Friday</v>
      </c>
      <c r="G2970">
        <f>HOUR(Table1[[#This Row],[order_time]])</f>
        <v>15</v>
      </c>
      <c r="H2970" s="2">
        <v>0.65481481481481485</v>
      </c>
      <c r="I2970" t="s">
        <v>11</v>
      </c>
      <c r="J2970" t="s">
        <v>15</v>
      </c>
      <c r="K2970">
        <v>2</v>
      </c>
      <c r="L2970">
        <v>600</v>
      </c>
      <c r="M2970">
        <v>1200</v>
      </c>
      <c r="N2970">
        <f>IF(COUNTIFS($B$2:B2970,B2970)=1,1,0)</f>
        <v>0</v>
      </c>
    </row>
    <row r="2971" spans="1:14" x14ac:dyDescent="0.2">
      <c r="A2971">
        <v>2970</v>
      </c>
      <c r="B2971">
        <v>2501</v>
      </c>
      <c r="C2971">
        <f>1/COUNTIF(B:B,Table1[[#This Row],[order_id]])</f>
        <v>0.33333333333333331</v>
      </c>
      <c r="D2971" t="str">
        <f>TEXT(Table1[[#This Row],[order_date]],"mmmm")</f>
        <v>August</v>
      </c>
      <c r="E2971" s="1">
        <v>45520</v>
      </c>
      <c r="F2971" s="1" t="str">
        <f>TEXT(Table1[[#This Row],[order_date]],"dddd")</f>
        <v>Friday</v>
      </c>
      <c r="G2971">
        <f>HOUR(Table1[[#This Row],[order_time]])</f>
        <v>18</v>
      </c>
      <c r="H2971" s="2">
        <v>0.77421296296296294</v>
      </c>
      <c r="I2971" t="s">
        <v>11</v>
      </c>
      <c r="J2971" t="s">
        <v>15</v>
      </c>
      <c r="K2971">
        <v>2</v>
      </c>
      <c r="L2971">
        <v>600</v>
      </c>
      <c r="M2971">
        <v>1200</v>
      </c>
      <c r="N2971">
        <f>IF(COUNTIFS($B$2:B2971,B2971)=1,1,0)</f>
        <v>1</v>
      </c>
    </row>
    <row r="2972" spans="1:14" x14ac:dyDescent="0.2">
      <c r="A2972">
        <v>2971</v>
      </c>
      <c r="B2972">
        <v>2501</v>
      </c>
      <c r="C2972">
        <f>1/COUNTIF(B:B,Table1[[#This Row],[order_id]])</f>
        <v>0.33333333333333331</v>
      </c>
      <c r="D2972" t="str">
        <f>TEXT(Table1[[#This Row],[order_date]],"mmmm")</f>
        <v>August</v>
      </c>
      <c r="E2972" s="1">
        <v>45520</v>
      </c>
      <c r="F2972" s="1" t="str">
        <f>TEXT(Table1[[#This Row],[order_date]],"dddd")</f>
        <v>Friday</v>
      </c>
      <c r="G2972">
        <f>HOUR(Table1[[#This Row],[order_time]])</f>
        <v>16</v>
      </c>
      <c r="H2972" s="2">
        <v>0.70755787037037032</v>
      </c>
      <c r="I2972" t="s">
        <v>9</v>
      </c>
      <c r="J2972" t="s">
        <v>20</v>
      </c>
      <c r="K2972">
        <v>5</v>
      </c>
      <c r="L2972">
        <v>25</v>
      </c>
      <c r="M2972">
        <v>125</v>
      </c>
      <c r="N2972">
        <f>IF(COUNTIFS($B$2:B2972,B2972)=1,1,0)</f>
        <v>0</v>
      </c>
    </row>
    <row r="2973" spans="1:14" x14ac:dyDescent="0.2">
      <c r="A2973">
        <v>2972</v>
      </c>
      <c r="B2973">
        <v>2501</v>
      </c>
      <c r="C2973">
        <f>1/COUNTIF(B:B,Table1[[#This Row],[order_id]])</f>
        <v>0.33333333333333331</v>
      </c>
      <c r="D2973" t="str">
        <f>TEXT(Table1[[#This Row],[order_date]],"mmmm")</f>
        <v>August</v>
      </c>
      <c r="E2973" s="1">
        <v>45520</v>
      </c>
      <c r="F2973" s="1" t="str">
        <f>TEXT(Table1[[#This Row],[order_date]],"dddd")</f>
        <v>Friday</v>
      </c>
      <c r="G2973">
        <f>HOUR(Table1[[#This Row],[order_time]])</f>
        <v>15</v>
      </c>
      <c r="H2973" s="2">
        <v>0.63202546296296291</v>
      </c>
      <c r="I2973" t="s">
        <v>18</v>
      </c>
      <c r="J2973" t="s">
        <v>19</v>
      </c>
      <c r="K2973">
        <v>2</v>
      </c>
      <c r="L2973">
        <v>50</v>
      </c>
      <c r="M2973">
        <v>100</v>
      </c>
      <c r="N2973">
        <f>IF(COUNTIFS($B$2:B2973,B2973)=1,1,0)</f>
        <v>0</v>
      </c>
    </row>
    <row r="2974" spans="1:14" x14ac:dyDescent="0.2">
      <c r="A2974">
        <v>2973</v>
      </c>
      <c r="B2974">
        <v>2502</v>
      </c>
      <c r="C2974">
        <f>1/COUNTIF(B:B,Table1[[#This Row],[order_id]])</f>
        <v>1</v>
      </c>
      <c r="D2974" t="str">
        <f>TEXT(Table1[[#This Row],[order_date]],"mmmm")</f>
        <v>August</v>
      </c>
      <c r="E2974" s="1">
        <v>45520</v>
      </c>
      <c r="F2974" s="1" t="str">
        <f>TEXT(Table1[[#This Row],[order_date]],"dddd")</f>
        <v>Friday</v>
      </c>
      <c r="G2974">
        <f>HOUR(Table1[[#This Row],[order_time]])</f>
        <v>14</v>
      </c>
      <c r="H2974" s="2">
        <v>0.60600694444444447</v>
      </c>
      <c r="I2974" t="s">
        <v>9</v>
      </c>
      <c r="J2974" t="s">
        <v>22</v>
      </c>
      <c r="K2974">
        <v>5</v>
      </c>
      <c r="L2974">
        <v>15</v>
      </c>
      <c r="M2974">
        <v>75</v>
      </c>
      <c r="N2974">
        <f>IF(COUNTIFS($B$2:B2974,B2974)=1,1,0)</f>
        <v>1</v>
      </c>
    </row>
    <row r="2975" spans="1:14" x14ac:dyDescent="0.2">
      <c r="A2975">
        <v>2974</v>
      </c>
      <c r="B2975">
        <v>2503</v>
      </c>
      <c r="C2975">
        <f>1/COUNTIF(B:B,Table1[[#This Row],[order_id]])</f>
        <v>0.5</v>
      </c>
      <c r="D2975" t="str">
        <f>TEXT(Table1[[#This Row],[order_date]],"mmmm")</f>
        <v>August</v>
      </c>
      <c r="E2975" s="1">
        <v>45520</v>
      </c>
      <c r="F2975" s="1" t="str">
        <f>TEXT(Table1[[#This Row],[order_date]],"dddd")</f>
        <v>Friday</v>
      </c>
      <c r="G2975">
        <f>HOUR(Table1[[#This Row],[order_time]])</f>
        <v>10</v>
      </c>
      <c r="H2975" s="2">
        <v>0.45371527777777776</v>
      </c>
      <c r="I2975" t="s">
        <v>16</v>
      </c>
      <c r="J2975" t="s">
        <v>28</v>
      </c>
      <c r="K2975">
        <v>5</v>
      </c>
      <c r="L2975">
        <v>25</v>
      </c>
      <c r="M2975">
        <v>125</v>
      </c>
      <c r="N2975">
        <f>IF(COUNTIFS($B$2:B2975,B2975)=1,1,0)</f>
        <v>1</v>
      </c>
    </row>
    <row r="2976" spans="1:14" x14ac:dyDescent="0.2">
      <c r="A2976">
        <v>2975</v>
      </c>
      <c r="B2976">
        <v>2503</v>
      </c>
      <c r="C2976">
        <f>1/COUNTIF(B:B,Table1[[#This Row],[order_id]])</f>
        <v>0.5</v>
      </c>
      <c r="D2976" t="str">
        <f>TEXT(Table1[[#This Row],[order_date]],"mmmm")</f>
        <v>August</v>
      </c>
      <c r="E2976" s="1">
        <v>45520</v>
      </c>
      <c r="F2976" s="1" t="str">
        <f>TEXT(Table1[[#This Row],[order_date]],"dddd")</f>
        <v>Friday</v>
      </c>
      <c r="G2976">
        <f>HOUR(Table1[[#This Row],[order_time]])</f>
        <v>19</v>
      </c>
      <c r="H2976" s="2">
        <v>0.79937499999999995</v>
      </c>
      <c r="I2976" t="s">
        <v>11</v>
      </c>
      <c r="J2976" t="s">
        <v>15</v>
      </c>
      <c r="K2976">
        <v>3</v>
      </c>
      <c r="L2976">
        <v>600</v>
      </c>
      <c r="M2976">
        <v>1800</v>
      </c>
      <c r="N2976">
        <f>IF(COUNTIFS($B$2:B2976,B2976)=1,1,0)</f>
        <v>0</v>
      </c>
    </row>
    <row r="2977" spans="1:14" x14ac:dyDescent="0.2">
      <c r="A2977">
        <v>2976</v>
      </c>
      <c r="B2977">
        <v>2504</v>
      </c>
      <c r="C2977">
        <f>1/COUNTIF(B:B,Table1[[#This Row],[order_id]])</f>
        <v>0.33333333333333331</v>
      </c>
      <c r="D2977" t="str">
        <f>TEXT(Table1[[#This Row],[order_date]],"mmmm")</f>
        <v>August</v>
      </c>
      <c r="E2977" s="1">
        <v>45520</v>
      </c>
      <c r="F2977" s="1" t="str">
        <f>TEXT(Table1[[#This Row],[order_date]],"dddd")</f>
        <v>Friday</v>
      </c>
      <c r="G2977">
        <f>HOUR(Table1[[#This Row],[order_time]])</f>
        <v>12</v>
      </c>
      <c r="H2977" s="2">
        <v>0.54079861111111116</v>
      </c>
      <c r="I2977" t="s">
        <v>18</v>
      </c>
      <c r="J2977" t="s">
        <v>27</v>
      </c>
      <c r="K2977">
        <v>2</v>
      </c>
      <c r="L2977">
        <v>40</v>
      </c>
      <c r="M2977">
        <v>80</v>
      </c>
      <c r="N2977">
        <f>IF(COUNTIFS($B$2:B2977,B2977)=1,1,0)</f>
        <v>1</v>
      </c>
    </row>
    <row r="2978" spans="1:14" x14ac:dyDescent="0.2">
      <c r="A2978">
        <v>2977</v>
      </c>
      <c r="B2978">
        <v>2504</v>
      </c>
      <c r="C2978">
        <f>1/COUNTIF(B:B,Table1[[#This Row],[order_id]])</f>
        <v>0.33333333333333331</v>
      </c>
      <c r="D2978" t="str">
        <f>TEXT(Table1[[#This Row],[order_date]],"mmmm")</f>
        <v>August</v>
      </c>
      <c r="E2978" s="1">
        <v>45520</v>
      </c>
      <c r="F2978" s="1" t="str">
        <f>TEXT(Table1[[#This Row],[order_date]],"dddd")</f>
        <v>Friday</v>
      </c>
      <c r="G2978">
        <f>HOUR(Table1[[#This Row],[order_time]])</f>
        <v>19</v>
      </c>
      <c r="H2978" s="2">
        <v>0.81190972222222224</v>
      </c>
      <c r="I2978" t="s">
        <v>9</v>
      </c>
      <c r="J2978" t="s">
        <v>21</v>
      </c>
      <c r="K2978">
        <v>1</v>
      </c>
      <c r="L2978">
        <v>10</v>
      </c>
      <c r="M2978">
        <v>10</v>
      </c>
      <c r="N2978">
        <f>IF(COUNTIFS($B$2:B2978,B2978)=1,1,0)</f>
        <v>0</v>
      </c>
    </row>
    <row r="2979" spans="1:14" x14ac:dyDescent="0.2">
      <c r="A2979">
        <v>2978</v>
      </c>
      <c r="B2979">
        <v>2504</v>
      </c>
      <c r="C2979">
        <f>1/COUNTIF(B:B,Table1[[#This Row],[order_id]])</f>
        <v>0.33333333333333331</v>
      </c>
      <c r="D2979" t="str">
        <f>TEXT(Table1[[#This Row],[order_date]],"mmmm")</f>
        <v>August</v>
      </c>
      <c r="E2979" s="1">
        <v>45520</v>
      </c>
      <c r="F2979" s="1" t="str">
        <f>TEXT(Table1[[#This Row],[order_date]],"dddd")</f>
        <v>Friday</v>
      </c>
      <c r="G2979">
        <f>HOUR(Table1[[#This Row],[order_time]])</f>
        <v>15</v>
      </c>
      <c r="H2979" s="2">
        <v>0.62856481481481485</v>
      </c>
      <c r="I2979" t="s">
        <v>16</v>
      </c>
      <c r="J2979" t="s">
        <v>23</v>
      </c>
      <c r="K2979">
        <v>4</v>
      </c>
      <c r="L2979">
        <v>30</v>
      </c>
      <c r="M2979">
        <v>120</v>
      </c>
      <c r="N2979">
        <f>IF(COUNTIFS($B$2:B2979,B2979)=1,1,0)</f>
        <v>0</v>
      </c>
    </row>
    <row r="2980" spans="1:14" x14ac:dyDescent="0.2">
      <c r="A2980">
        <v>2979</v>
      </c>
      <c r="B2980">
        <v>2505</v>
      </c>
      <c r="C2980">
        <f>1/COUNTIF(B:B,Table1[[#This Row],[order_id]])</f>
        <v>0.5</v>
      </c>
      <c r="D2980" t="str">
        <f>TEXT(Table1[[#This Row],[order_date]],"mmmm")</f>
        <v>August</v>
      </c>
      <c r="E2980" s="1">
        <v>45520</v>
      </c>
      <c r="F2980" s="1" t="str">
        <f>TEXT(Table1[[#This Row],[order_date]],"dddd")</f>
        <v>Friday</v>
      </c>
      <c r="G2980">
        <f>HOUR(Table1[[#This Row],[order_time]])</f>
        <v>13</v>
      </c>
      <c r="H2980" s="2">
        <v>0.54468749999999999</v>
      </c>
      <c r="I2980" t="s">
        <v>18</v>
      </c>
      <c r="J2980" t="s">
        <v>26</v>
      </c>
      <c r="K2980">
        <v>3</v>
      </c>
      <c r="L2980">
        <v>55</v>
      </c>
      <c r="M2980">
        <v>165</v>
      </c>
      <c r="N2980">
        <f>IF(COUNTIFS($B$2:B2980,B2980)=1,1,0)</f>
        <v>1</v>
      </c>
    </row>
    <row r="2981" spans="1:14" x14ac:dyDescent="0.2">
      <c r="A2981">
        <v>2980</v>
      </c>
      <c r="B2981">
        <v>2505</v>
      </c>
      <c r="C2981">
        <f>1/COUNTIF(B:B,Table1[[#This Row],[order_id]])</f>
        <v>0.5</v>
      </c>
      <c r="D2981" t="str">
        <f>TEXT(Table1[[#This Row],[order_date]],"mmmm")</f>
        <v>August</v>
      </c>
      <c r="E2981" s="1">
        <v>45520</v>
      </c>
      <c r="F2981" s="1" t="str">
        <f>TEXT(Table1[[#This Row],[order_date]],"dddd")</f>
        <v>Friday</v>
      </c>
      <c r="G2981">
        <f>HOUR(Table1[[#This Row],[order_time]])</f>
        <v>16</v>
      </c>
      <c r="H2981" s="2">
        <v>0.67326388888888888</v>
      </c>
      <c r="I2981" t="s">
        <v>16</v>
      </c>
      <c r="J2981" t="s">
        <v>28</v>
      </c>
      <c r="K2981">
        <v>1</v>
      </c>
      <c r="L2981">
        <v>25</v>
      </c>
      <c r="M2981">
        <v>25</v>
      </c>
      <c r="N2981">
        <f>IF(COUNTIFS($B$2:B2981,B2981)=1,1,0)</f>
        <v>0</v>
      </c>
    </row>
    <row r="2982" spans="1:14" x14ac:dyDescent="0.2">
      <c r="A2982">
        <v>2981</v>
      </c>
      <c r="B2982">
        <v>2506</v>
      </c>
      <c r="C2982">
        <f>1/COUNTIF(B:B,Table1[[#This Row],[order_id]])</f>
        <v>0.33333333333333331</v>
      </c>
      <c r="D2982" t="str">
        <f>TEXT(Table1[[#This Row],[order_date]],"mmmm")</f>
        <v>August</v>
      </c>
      <c r="E2982" s="1">
        <v>45521</v>
      </c>
      <c r="F2982" s="1" t="str">
        <f>TEXT(Table1[[#This Row],[order_date]],"dddd")</f>
        <v>Saturday</v>
      </c>
      <c r="G2982">
        <f>HOUR(Table1[[#This Row],[order_time]])</f>
        <v>20</v>
      </c>
      <c r="H2982" s="2">
        <v>0.85670138888888892</v>
      </c>
      <c r="I2982" t="s">
        <v>11</v>
      </c>
      <c r="J2982" t="s">
        <v>15</v>
      </c>
      <c r="K2982">
        <v>1</v>
      </c>
      <c r="L2982">
        <v>600</v>
      </c>
      <c r="M2982">
        <v>600</v>
      </c>
      <c r="N2982">
        <f>IF(COUNTIFS($B$2:B2982,B2982)=1,1,0)</f>
        <v>1</v>
      </c>
    </row>
    <row r="2983" spans="1:14" x14ac:dyDescent="0.2">
      <c r="A2983">
        <v>2982</v>
      </c>
      <c r="B2983">
        <v>2506</v>
      </c>
      <c r="C2983">
        <f>1/COUNTIF(B:B,Table1[[#This Row],[order_id]])</f>
        <v>0.33333333333333331</v>
      </c>
      <c r="D2983" t="str">
        <f>TEXT(Table1[[#This Row],[order_date]],"mmmm")</f>
        <v>August</v>
      </c>
      <c r="E2983" s="1">
        <v>45521</v>
      </c>
      <c r="F2983" s="1" t="str">
        <f>TEXT(Table1[[#This Row],[order_date]],"dddd")</f>
        <v>Saturday</v>
      </c>
      <c r="G2983">
        <f>HOUR(Table1[[#This Row],[order_time]])</f>
        <v>11</v>
      </c>
      <c r="H2983" s="2">
        <v>0.49858796296296298</v>
      </c>
      <c r="I2983" t="s">
        <v>18</v>
      </c>
      <c r="J2983" t="s">
        <v>27</v>
      </c>
      <c r="K2983">
        <v>4</v>
      </c>
      <c r="L2983">
        <v>40</v>
      </c>
      <c r="M2983">
        <v>160</v>
      </c>
      <c r="N2983">
        <f>IF(COUNTIFS($B$2:B2983,B2983)=1,1,0)</f>
        <v>0</v>
      </c>
    </row>
    <row r="2984" spans="1:14" x14ac:dyDescent="0.2">
      <c r="A2984">
        <v>2983</v>
      </c>
      <c r="B2984">
        <v>2506</v>
      </c>
      <c r="C2984">
        <f>1/COUNTIF(B:B,Table1[[#This Row],[order_id]])</f>
        <v>0.33333333333333331</v>
      </c>
      <c r="D2984" t="str">
        <f>TEXT(Table1[[#This Row],[order_date]],"mmmm")</f>
        <v>August</v>
      </c>
      <c r="E2984" s="1">
        <v>45521</v>
      </c>
      <c r="F2984" s="1" t="str">
        <f>TEXT(Table1[[#This Row],[order_date]],"dddd")</f>
        <v>Saturday</v>
      </c>
      <c r="G2984">
        <f>HOUR(Table1[[#This Row],[order_time]])</f>
        <v>13</v>
      </c>
      <c r="H2984" s="2">
        <v>0.54412037037037042</v>
      </c>
      <c r="I2984" t="s">
        <v>18</v>
      </c>
      <c r="J2984" t="s">
        <v>27</v>
      </c>
      <c r="K2984">
        <v>4</v>
      </c>
      <c r="L2984">
        <v>40</v>
      </c>
      <c r="M2984">
        <v>160</v>
      </c>
      <c r="N2984">
        <f>IF(COUNTIFS($B$2:B2984,B2984)=1,1,0)</f>
        <v>0</v>
      </c>
    </row>
    <row r="2985" spans="1:14" x14ac:dyDescent="0.2">
      <c r="A2985">
        <v>2984</v>
      </c>
      <c r="B2985">
        <v>2507</v>
      </c>
      <c r="C2985">
        <f>1/COUNTIF(B:B,Table1[[#This Row],[order_id]])</f>
        <v>0.33333333333333331</v>
      </c>
      <c r="D2985" t="str">
        <f>TEXT(Table1[[#This Row],[order_date]],"mmmm")</f>
        <v>August</v>
      </c>
      <c r="E2985" s="1">
        <v>45521</v>
      </c>
      <c r="F2985" s="1" t="str">
        <f>TEXT(Table1[[#This Row],[order_date]],"dddd")</f>
        <v>Saturday</v>
      </c>
      <c r="G2985">
        <f>HOUR(Table1[[#This Row],[order_time]])</f>
        <v>20</v>
      </c>
      <c r="H2985" s="2">
        <v>0.83473379629629629</v>
      </c>
      <c r="I2985" t="s">
        <v>16</v>
      </c>
      <c r="J2985" t="s">
        <v>17</v>
      </c>
      <c r="K2985">
        <v>4</v>
      </c>
      <c r="L2985">
        <v>20</v>
      </c>
      <c r="M2985">
        <v>80</v>
      </c>
      <c r="N2985">
        <f>IF(COUNTIFS($B$2:B2985,B2985)=1,1,0)</f>
        <v>1</v>
      </c>
    </row>
    <row r="2986" spans="1:14" x14ac:dyDescent="0.2">
      <c r="A2986">
        <v>2985</v>
      </c>
      <c r="B2986">
        <v>2507</v>
      </c>
      <c r="C2986">
        <f>1/COUNTIF(B:B,Table1[[#This Row],[order_id]])</f>
        <v>0.33333333333333331</v>
      </c>
      <c r="D2986" t="str">
        <f>TEXT(Table1[[#This Row],[order_date]],"mmmm")</f>
        <v>August</v>
      </c>
      <c r="E2986" s="1">
        <v>45521</v>
      </c>
      <c r="F2986" s="1" t="str">
        <f>TEXT(Table1[[#This Row],[order_date]],"dddd")</f>
        <v>Saturday</v>
      </c>
      <c r="G2986">
        <f>HOUR(Table1[[#This Row],[order_time]])</f>
        <v>14</v>
      </c>
      <c r="H2986" s="2">
        <v>0.6171875</v>
      </c>
      <c r="I2986" t="s">
        <v>18</v>
      </c>
      <c r="J2986" t="s">
        <v>19</v>
      </c>
      <c r="K2986">
        <v>5</v>
      </c>
      <c r="L2986">
        <v>50</v>
      </c>
      <c r="M2986">
        <v>250</v>
      </c>
      <c r="N2986">
        <f>IF(COUNTIFS($B$2:B2986,B2986)=1,1,0)</f>
        <v>0</v>
      </c>
    </row>
    <row r="2987" spans="1:14" x14ac:dyDescent="0.2">
      <c r="A2987">
        <v>2986</v>
      </c>
      <c r="B2987">
        <v>2507</v>
      </c>
      <c r="C2987">
        <f>1/COUNTIF(B:B,Table1[[#This Row],[order_id]])</f>
        <v>0.33333333333333331</v>
      </c>
      <c r="D2987" t="str">
        <f>TEXT(Table1[[#This Row],[order_date]],"mmmm")</f>
        <v>August</v>
      </c>
      <c r="E2987" s="1">
        <v>45521</v>
      </c>
      <c r="F2987" s="1" t="str">
        <f>TEXT(Table1[[#This Row],[order_date]],"dddd")</f>
        <v>Saturday</v>
      </c>
      <c r="G2987">
        <f>HOUR(Table1[[#This Row],[order_time]])</f>
        <v>13</v>
      </c>
      <c r="H2987" s="2">
        <v>0.56802083333333331</v>
      </c>
      <c r="I2987" t="s">
        <v>16</v>
      </c>
      <c r="J2987" t="s">
        <v>23</v>
      </c>
      <c r="K2987">
        <v>2</v>
      </c>
      <c r="L2987">
        <v>30</v>
      </c>
      <c r="M2987">
        <v>60</v>
      </c>
      <c r="N2987">
        <f>IF(COUNTIFS($B$2:B2987,B2987)=1,1,0)</f>
        <v>0</v>
      </c>
    </row>
    <row r="2988" spans="1:14" x14ac:dyDescent="0.2">
      <c r="A2988">
        <v>2987</v>
      </c>
      <c r="B2988">
        <v>2508</v>
      </c>
      <c r="C2988">
        <f>1/COUNTIF(B:B,Table1[[#This Row],[order_id]])</f>
        <v>1</v>
      </c>
      <c r="D2988" t="str">
        <f>TEXT(Table1[[#This Row],[order_date]],"mmmm")</f>
        <v>August</v>
      </c>
      <c r="E2988" s="1">
        <v>45521</v>
      </c>
      <c r="F2988" s="1" t="str">
        <f>TEXT(Table1[[#This Row],[order_date]],"dddd")</f>
        <v>Saturday</v>
      </c>
      <c r="G2988">
        <f>HOUR(Table1[[#This Row],[order_time]])</f>
        <v>13</v>
      </c>
      <c r="H2988" s="2">
        <v>0.546875</v>
      </c>
      <c r="I2988" t="s">
        <v>11</v>
      </c>
      <c r="J2988" t="s">
        <v>14</v>
      </c>
      <c r="K2988">
        <v>2</v>
      </c>
      <c r="L2988">
        <v>700</v>
      </c>
      <c r="M2988">
        <v>1400</v>
      </c>
      <c r="N2988">
        <f>IF(COUNTIFS($B$2:B2988,B2988)=1,1,0)</f>
        <v>1</v>
      </c>
    </row>
    <row r="2989" spans="1:14" x14ac:dyDescent="0.2">
      <c r="A2989">
        <v>2988</v>
      </c>
      <c r="B2989">
        <v>2509</v>
      </c>
      <c r="C2989">
        <f>1/COUNTIF(B:B,Table1[[#This Row],[order_id]])</f>
        <v>0.5</v>
      </c>
      <c r="D2989" t="str">
        <f>TEXT(Table1[[#This Row],[order_date]],"mmmm")</f>
        <v>August</v>
      </c>
      <c r="E2989" s="1">
        <v>45521</v>
      </c>
      <c r="F2989" s="1" t="str">
        <f>TEXT(Table1[[#This Row],[order_date]],"dddd")</f>
        <v>Saturday</v>
      </c>
      <c r="G2989">
        <f>HOUR(Table1[[#This Row],[order_time]])</f>
        <v>20</v>
      </c>
      <c r="H2989" s="2">
        <v>0.85660879629629627</v>
      </c>
      <c r="I2989" t="s">
        <v>9</v>
      </c>
      <c r="J2989" t="s">
        <v>20</v>
      </c>
      <c r="K2989">
        <v>5</v>
      </c>
      <c r="L2989">
        <v>25</v>
      </c>
      <c r="M2989">
        <v>125</v>
      </c>
      <c r="N2989">
        <f>IF(COUNTIFS($B$2:B2989,B2989)=1,1,0)</f>
        <v>1</v>
      </c>
    </row>
    <row r="2990" spans="1:14" x14ac:dyDescent="0.2">
      <c r="A2990">
        <v>2989</v>
      </c>
      <c r="B2990">
        <v>2509</v>
      </c>
      <c r="C2990">
        <f>1/COUNTIF(B:B,Table1[[#This Row],[order_id]])</f>
        <v>0.5</v>
      </c>
      <c r="D2990" t="str">
        <f>TEXT(Table1[[#This Row],[order_date]],"mmmm")</f>
        <v>August</v>
      </c>
      <c r="E2990" s="1">
        <v>45521</v>
      </c>
      <c r="F2990" s="1" t="str">
        <f>TEXT(Table1[[#This Row],[order_date]],"dddd")</f>
        <v>Saturday</v>
      </c>
      <c r="G2990">
        <f>HOUR(Table1[[#This Row],[order_time]])</f>
        <v>18</v>
      </c>
      <c r="H2990" s="2">
        <v>0.76106481481481481</v>
      </c>
      <c r="I2990" t="s">
        <v>16</v>
      </c>
      <c r="J2990" t="s">
        <v>24</v>
      </c>
      <c r="K2990">
        <v>5</v>
      </c>
      <c r="L2990">
        <v>35</v>
      </c>
      <c r="M2990">
        <v>175</v>
      </c>
      <c r="N2990">
        <f>IF(COUNTIFS($B$2:B2990,B2990)=1,1,0)</f>
        <v>0</v>
      </c>
    </row>
    <row r="2991" spans="1:14" x14ac:dyDescent="0.2">
      <c r="A2991">
        <v>2990</v>
      </c>
      <c r="B2991">
        <v>2510</v>
      </c>
      <c r="C2991">
        <f>1/COUNTIF(B:B,Table1[[#This Row],[order_id]])</f>
        <v>0.5</v>
      </c>
      <c r="D2991" t="str">
        <f>TEXT(Table1[[#This Row],[order_date]],"mmmm")</f>
        <v>August</v>
      </c>
      <c r="E2991" s="1">
        <v>45521</v>
      </c>
      <c r="F2991" s="1" t="str">
        <f>TEXT(Table1[[#This Row],[order_date]],"dddd")</f>
        <v>Saturday</v>
      </c>
      <c r="G2991">
        <f>HOUR(Table1[[#This Row],[order_time]])</f>
        <v>11</v>
      </c>
      <c r="H2991" s="2">
        <v>0.46015046296296297</v>
      </c>
      <c r="I2991" t="s">
        <v>9</v>
      </c>
      <c r="J2991" t="s">
        <v>21</v>
      </c>
      <c r="K2991">
        <v>3</v>
      </c>
      <c r="L2991">
        <v>10</v>
      </c>
      <c r="M2991">
        <v>30</v>
      </c>
      <c r="N2991">
        <f>IF(COUNTIFS($B$2:B2991,B2991)=1,1,0)</f>
        <v>1</v>
      </c>
    </row>
    <row r="2992" spans="1:14" x14ac:dyDescent="0.2">
      <c r="A2992">
        <v>2991</v>
      </c>
      <c r="B2992">
        <v>2510</v>
      </c>
      <c r="C2992">
        <f>1/COUNTIF(B:B,Table1[[#This Row],[order_id]])</f>
        <v>0.5</v>
      </c>
      <c r="D2992" t="str">
        <f>TEXT(Table1[[#This Row],[order_date]],"mmmm")</f>
        <v>August</v>
      </c>
      <c r="E2992" s="1">
        <v>45521</v>
      </c>
      <c r="F2992" s="1" t="str">
        <f>TEXT(Table1[[#This Row],[order_date]],"dddd")</f>
        <v>Saturday</v>
      </c>
      <c r="G2992">
        <f>HOUR(Table1[[#This Row],[order_time]])</f>
        <v>13</v>
      </c>
      <c r="H2992" s="2">
        <v>0.56351851851851853</v>
      </c>
      <c r="I2992" t="s">
        <v>11</v>
      </c>
      <c r="J2992" t="s">
        <v>13</v>
      </c>
      <c r="K2992">
        <v>2</v>
      </c>
      <c r="L2992">
        <v>680</v>
      </c>
      <c r="M2992">
        <v>1360</v>
      </c>
      <c r="N2992">
        <f>IF(COUNTIFS($B$2:B2992,B2992)=1,1,0)</f>
        <v>0</v>
      </c>
    </row>
    <row r="2993" spans="1:14" x14ac:dyDescent="0.2">
      <c r="A2993">
        <v>2992</v>
      </c>
      <c r="B2993">
        <v>2511</v>
      </c>
      <c r="C2993">
        <f>1/COUNTIF(B:B,Table1[[#This Row],[order_id]])</f>
        <v>0.5</v>
      </c>
      <c r="D2993" t="str">
        <f>TEXT(Table1[[#This Row],[order_date]],"mmmm")</f>
        <v>August</v>
      </c>
      <c r="E2993" s="1">
        <v>45521</v>
      </c>
      <c r="F2993" s="1" t="str">
        <f>TEXT(Table1[[#This Row],[order_date]],"dddd")</f>
        <v>Saturday</v>
      </c>
      <c r="G2993">
        <f>HOUR(Table1[[#This Row],[order_time]])</f>
        <v>13</v>
      </c>
      <c r="H2993" s="2">
        <v>0.57557870370370368</v>
      </c>
      <c r="I2993" t="s">
        <v>11</v>
      </c>
      <c r="J2993" t="s">
        <v>15</v>
      </c>
      <c r="K2993">
        <v>3</v>
      </c>
      <c r="L2993">
        <v>600</v>
      </c>
      <c r="M2993">
        <v>1800</v>
      </c>
      <c r="N2993">
        <f>IF(COUNTIFS($B$2:B2993,B2993)=1,1,0)</f>
        <v>1</v>
      </c>
    </row>
    <row r="2994" spans="1:14" x14ac:dyDescent="0.2">
      <c r="A2994">
        <v>2993</v>
      </c>
      <c r="B2994">
        <v>2511</v>
      </c>
      <c r="C2994">
        <f>1/COUNTIF(B:B,Table1[[#This Row],[order_id]])</f>
        <v>0.5</v>
      </c>
      <c r="D2994" t="str">
        <f>TEXT(Table1[[#This Row],[order_date]],"mmmm")</f>
        <v>August</v>
      </c>
      <c r="E2994" s="1">
        <v>45521</v>
      </c>
      <c r="F2994" s="1" t="str">
        <f>TEXT(Table1[[#This Row],[order_date]],"dddd")</f>
        <v>Saturday</v>
      </c>
      <c r="G2994">
        <f>HOUR(Table1[[#This Row],[order_time]])</f>
        <v>13</v>
      </c>
      <c r="H2994" s="2">
        <v>0.57174768518518515</v>
      </c>
      <c r="I2994" t="s">
        <v>16</v>
      </c>
      <c r="J2994" t="s">
        <v>28</v>
      </c>
      <c r="K2994">
        <v>2</v>
      </c>
      <c r="L2994">
        <v>25</v>
      </c>
      <c r="M2994">
        <v>50</v>
      </c>
      <c r="N2994">
        <f>IF(COUNTIFS($B$2:B2994,B2994)=1,1,0)</f>
        <v>0</v>
      </c>
    </row>
    <row r="2995" spans="1:14" x14ac:dyDescent="0.2">
      <c r="A2995">
        <v>2994</v>
      </c>
      <c r="B2995">
        <v>2512</v>
      </c>
      <c r="C2995">
        <f>1/COUNTIF(B:B,Table1[[#This Row],[order_id]])</f>
        <v>0.33333333333333331</v>
      </c>
      <c r="D2995" t="str">
        <f>TEXT(Table1[[#This Row],[order_date]],"mmmm")</f>
        <v>August</v>
      </c>
      <c r="E2995" s="1">
        <v>45521</v>
      </c>
      <c r="F2995" s="1" t="str">
        <f>TEXT(Table1[[#This Row],[order_date]],"dddd")</f>
        <v>Saturday</v>
      </c>
      <c r="G2995">
        <f>HOUR(Table1[[#This Row],[order_time]])</f>
        <v>10</v>
      </c>
      <c r="H2995" s="2">
        <v>0.42471064814814813</v>
      </c>
      <c r="I2995" t="s">
        <v>9</v>
      </c>
      <c r="J2995" t="s">
        <v>21</v>
      </c>
      <c r="K2995">
        <v>1</v>
      </c>
      <c r="L2995">
        <v>10</v>
      </c>
      <c r="M2995">
        <v>10</v>
      </c>
      <c r="N2995">
        <f>IF(COUNTIFS($B$2:B2995,B2995)=1,1,0)</f>
        <v>1</v>
      </c>
    </row>
    <row r="2996" spans="1:14" x14ac:dyDescent="0.2">
      <c r="A2996">
        <v>2995</v>
      </c>
      <c r="B2996">
        <v>2512</v>
      </c>
      <c r="C2996">
        <f>1/COUNTIF(B:B,Table1[[#This Row],[order_id]])</f>
        <v>0.33333333333333331</v>
      </c>
      <c r="D2996" t="str">
        <f>TEXT(Table1[[#This Row],[order_date]],"mmmm")</f>
        <v>August</v>
      </c>
      <c r="E2996" s="1">
        <v>45521</v>
      </c>
      <c r="F2996" s="1" t="str">
        <f>TEXT(Table1[[#This Row],[order_date]],"dddd")</f>
        <v>Saturday</v>
      </c>
      <c r="G2996">
        <f>HOUR(Table1[[#This Row],[order_time]])</f>
        <v>10</v>
      </c>
      <c r="H2996" s="2">
        <v>0.43</v>
      </c>
      <c r="I2996" t="s">
        <v>9</v>
      </c>
      <c r="J2996" t="s">
        <v>22</v>
      </c>
      <c r="K2996">
        <v>5</v>
      </c>
      <c r="L2996">
        <v>15</v>
      </c>
      <c r="M2996">
        <v>75</v>
      </c>
      <c r="N2996">
        <f>IF(COUNTIFS($B$2:B2996,B2996)=1,1,0)</f>
        <v>0</v>
      </c>
    </row>
    <row r="2997" spans="1:14" x14ac:dyDescent="0.2">
      <c r="A2997">
        <v>2996</v>
      </c>
      <c r="B2997">
        <v>2512</v>
      </c>
      <c r="C2997">
        <f>1/COUNTIF(B:B,Table1[[#This Row],[order_id]])</f>
        <v>0.33333333333333331</v>
      </c>
      <c r="D2997" t="str">
        <f>TEXT(Table1[[#This Row],[order_date]],"mmmm")</f>
        <v>August</v>
      </c>
      <c r="E2997" s="1">
        <v>45521</v>
      </c>
      <c r="F2997" s="1" t="str">
        <f>TEXT(Table1[[#This Row],[order_date]],"dddd")</f>
        <v>Saturday</v>
      </c>
      <c r="G2997">
        <f>HOUR(Table1[[#This Row],[order_time]])</f>
        <v>16</v>
      </c>
      <c r="H2997" s="2">
        <v>0.67814814814814817</v>
      </c>
      <c r="I2997" t="s">
        <v>11</v>
      </c>
      <c r="J2997" t="s">
        <v>12</v>
      </c>
      <c r="K2997">
        <v>1</v>
      </c>
      <c r="L2997">
        <v>650</v>
      </c>
      <c r="M2997">
        <v>650</v>
      </c>
      <c r="N2997">
        <f>IF(COUNTIFS($B$2:B2997,B2997)=1,1,0)</f>
        <v>0</v>
      </c>
    </row>
    <row r="2998" spans="1:14" x14ac:dyDescent="0.2">
      <c r="A2998">
        <v>2997</v>
      </c>
      <c r="B2998">
        <v>2513</v>
      </c>
      <c r="C2998">
        <f>1/COUNTIF(B:B,Table1[[#This Row],[order_id]])</f>
        <v>1</v>
      </c>
      <c r="D2998" t="str">
        <f>TEXT(Table1[[#This Row],[order_date]],"mmmm")</f>
        <v>August</v>
      </c>
      <c r="E2998" s="1">
        <v>45522</v>
      </c>
      <c r="F2998" s="1" t="str">
        <f>TEXT(Table1[[#This Row],[order_date]],"dddd")</f>
        <v>Sunday</v>
      </c>
      <c r="G2998">
        <f>HOUR(Table1[[#This Row],[order_time]])</f>
        <v>16</v>
      </c>
      <c r="H2998" s="2">
        <v>0.67364583333333339</v>
      </c>
      <c r="I2998" t="s">
        <v>11</v>
      </c>
      <c r="J2998" t="s">
        <v>14</v>
      </c>
      <c r="K2998">
        <v>5</v>
      </c>
      <c r="L2998">
        <v>700</v>
      </c>
      <c r="M2998">
        <v>3500</v>
      </c>
      <c r="N2998">
        <f>IF(COUNTIFS($B$2:B2998,B2998)=1,1,0)</f>
        <v>1</v>
      </c>
    </row>
    <row r="2999" spans="1:14" x14ac:dyDescent="0.2">
      <c r="A2999">
        <v>2998</v>
      </c>
      <c r="B2999">
        <v>2514</v>
      </c>
      <c r="C2999">
        <f>1/COUNTIF(B:B,Table1[[#This Row],[order_id]])</f>
        <v>0.5</v>
      </c>
      <c r="D2999" t="str">
        <f>TEXT(Table1[[#This Row],[order_date]],"mmmm")</f>
        <v>August</v>
      </c>
      <c r="E2999" s="1">
        <v>45522</v>
      </c>
      <c r="F2999" s="1" t="str">
        <f>TEXT(Table1[[#This Row],[order_date]],"dddd")</f>
        <v>Sunday</v>
      </c>
      <c r="G2999">
        <f>HOUR(Table1[[#This Row],[order_time]])</f>
        <v>11</v>
      </c>
      <c r="H2999" s="2">
        <v>0.47912037037037036</v>
      </c>
      <c r="I2999" t="s">
        <v>16</v>
      </c>
      <c r="J2999" t="s">
        <v>17</v>
      </c>
      <c r="K2999">
        <v>2</v>
      </c>
      <c r="L2999">
        <v>20</v>
      </c>
      <c r="M2999">
        <v>40</v>
      </c>
      <c r="N2999">
        <f>IF(COUNTIFS($B$2:B2999,B2999)=1,1,0)</f>
        <v>1</v>
      </c>
    </row>
    <row r="3000" spans="1:14" x14ac:dyDescent="0.2">
      <c r="A3000">
        <v>2999</v>
      </c>
      <c r="B3000">
        <v>2514</v>
      </c>
      <c r="C3000">
        <f>1/COUNTIF(B:B,Table1[[#This Row],[order_id]])</f>
        <v>0.5</v>
      </c>
      <c r="D3000" t="str">
        <f>TEXT(Table1[[#This Row],[order_date]],"mmmm")</f>
        <v>August</v>
      </c>
      <c r="E3000" s="1">
        <v>45522</v>
      </c>
      <c r="F3000" s="1" t="str">
        <f>TEXT(Table1[[#This Row],[order_date]],"dddd")</f>
        <v>Sunday</v>
      </c>
      <c r="G3000">
        <f>HOUR(Table1[[#This Row],[order_time]])</f>
        <v>20</v>
      </c>
      <c r="H3000" s="2">
        <v>0.85185185185185186</v>
      </c>
      <c r="I3000" t="s">
        <v>9</v>
      </c>
      <c r="J3000" t="s">
        <v>21</v>
      </c>
      <c r="K3000">
        <v>2</v>
      </c>
      <c r="L3000">
        <v>10</v>
      </c>
      <c r="M3000">
        <v>20</v>
      </c>
      <c r="N3000">
        <f>IF(COUNTIFS($B$2:B3000,B3000)=1,1,0)</f>
        <v>0</v>
      </c>
    </row>
    <row r="3001" spans="1:14" x14ac:dyDescent="0.2">
      <c r="A3001">
        <v>3000</v>
      </c>
      <c r="B3001">
        <v>2515</v>
      </c>
      <c r="C3001">
        <f>1/COUNTIF(B:B,Table1[[#This Row],[order_id]])</f>
        <v>0.33333333333333331</v>
      </c>
      <c r="D3001" t="str">
        <f>TEXT(Table1[[#This Row],[order_date]],"mmmm")</f>
        <v>August</v>
      </c>
      <c r="E3001" s="1">
        <v>45522</v>
      </c>
      <c r="F3001" s="1" t="str">
        <f>TEXT(Table1[[#This Row],[order_date]],"dddd")</f>
        <v>Sunday</v>
      </c>
      <c r="G3001">
        <f>HOUR(Table1[[#This Row],[order_time]])</f>
        <v>9</v>
      </c>
      <c r="H3001" s="2">
        <v>0.40350694444444446</v>
      </c>
      <c r="I3001" t="s">
        <v>9</v>
      </c>
      <c r="J3001" t="s">
        <v>20</v>
      </c>
      <c r="K3001">
        <v>3</v>
      </c>
      <c r="L3001">
        <v>25</v>
      </c>
      <c r="M3001">
        <v>75</v>
      </c>
      <c r="N3001">
        <f>IF(COUNTIFS($B$2:B3001,B3001)=1,1,0)</f>
        <v>1</v>
      </c>
    </row>
    <row r="3002" spans="1:14" x14ac:dyDescent="0.2">
      <c r="A3002">
        <v>3001</v>
      </c>
      <c r="B3002">
        <v>2515</v>
      </c>
      <c r="C3002">
        <f>1/COUNTIF(B:B,Table1[[#This Row],[order_id]])</f>
        <v>0.33333333333333331</v>
      </c>
      <c r="D3002" t="str">
        <f>TEXT(Table1[[#This Row],[order_date]],"mmmm")</f>
        <v>August</v>
      </c>
      <c r="E3002" s="1">
        <v>45522</v>
      </c>
      <c r="F3002" s="1" t="str">
        <f>TEXT(Table1[[#This Row],[order_date]],"dddd")</f>
        <v>Sunday</v>
      </c>
      <c r="G3002">
        <f>HOUR(Table1[[#This Row],[order_time]])</f>
        <v>17</v>
      </c>
      <c r="H3002" s="2">
        <v>0.71940972222222221</v>
      </c>
      <c r="I3002" t="s">
        <v>16</v>
      </c>
      <c r="J3002" t="s">
        <v>24</v>
      </c>
      <c r="K3002">
        <v>1</v>
      </c>
      <c r="L3002">
        <v>35</v>
      </c>
      <c r="M3002">
        <v>35</v>
      </c>
      <c r="N3002">
        <f>IF(COUNTIFS($B$2:B3002,B3002)=1,1,0)</f>
        <v>0</v>
      </c>
    </row>
    <row r="3003" spans="1:14" x14ac:dyDescent="0.2">
      <c r="A3003">
        <v>3002</v>
      </c>
      <c r="B3003">
        <v>2515</v>
      </c>
      <c r="C3003">
        <f>1/COUNTIF(B:B,Table1[[#This Row],[order_id]])</f>
        <v>0.33333333333333331</v>
      </c>
      <c r="D3003" t="str">
        <f>TEXT(Table1[[#This Row],[order_date]],"mmmm")</f>
        <v>August</v>
      </c>
      <c r="E3003" s="1">
        <v>45522</v>
      </c>
      <c r="F3003" s="1" t="str">
        <f>TEXT(Table1[[#This Row],[order_date]],"dddd")</f>
        <v>Sunday</v>
      </c>
      <c r="G3003">
        <f>HOUR(Table1[[#This Row],[order_time]])</f>
        <v>20</v>
      </c>
      <c r="H3003" s="2">
        <v>0.85624999999999996</v>
      </c>
      <c r="I3003" t="s">
        <v>18</v>
      </c>
      <c r="J3003" t="s">
        <v>31</v>
      </c>
      <c r="K3003">
        <v>5</v>
      </c>
      <c r="L3003">
        <v>45</v>
      </c>
      <c r="M3003">
        <v>225</v>
      </c>
      <c r="N3003">
        <f>IF(COUNTIFS($B$2:B3003,B3003)=1,1,0)</f>
        <v>0</v>
      </c>
    </row>
    <row r="3004" spans="1:14" x14ac:dyDescent="0.2">
      <c r="A3004">
        <v>3003</v>
      </c>
      <c r="B3004">
        <v>2516</v>
      </c>
      <c r="C3004">
        <f>1/COUNTIF(B:B,Table1[[#This Row],[order_id]])</f>
        <v>0.33333333333333331</v>
      </c>
      <c r="D3004" t="str">
        <f>TEXT(Table1[[#This Row],[order_date]],"mmmm")</f>
        <v>August</v>
      </c>
      <c r="E3004" s="1">
        <v>45523</v>
      </c>
      <c r="F3004" s="1" t="str">
        <f>TEXT(Table1[[#This Row],[order_date]],"dddd")</f>
        <v>Monday</v>
      </c>
      <c r="G3004">
        <f>HOUR(Table1[[#This Row],[order_time]])</f>
        <v>17</v>
      </c>
      <c r="H3004" s="2">
        <v>0.71425925925925926</v>
      </c>
      <c r="I3004" t="s">
        <v>16</v>
      </c>
      <c r="J3004" t="s">
        <v>28</v>
      </c>
      <c r="K3004">
        <v>2</v>
      </c>
      <c r="L3004">
        <v>25</v>
      </c>
      <c r="M3004">
        <v>50</v>
      </c>
      <c r="N3004">
        <f>IF(COUNTIFS($B$2:B3004,B3004)=1,1,0)</f>
        <v>1</v>
      </c>
    </row>
    <row r="3005" spans="1:14" x14ac:dyDescent="0.2">
      <c r="A3005">
        <v>3004</v>
      </c>
      <c r="B3005">
        <v>2516</v>
      </c>
      <c r="C3005">
        <f>1/COUNTIF(B:B,Table1[[#This Row],[order_id]])</f>
        <v>0.33333333333333331</v>
      </c>
      <c r="D3005" t="str">
        <f>TEXT(Table1[[#This Row],[order_date]],"mmmm")</f>
        <v>August</v>
      </c>
      <c r="E3005" s="1">
        <v>45523</v>
      </c>
      <c r="F3005" s="1" t="str">
        <f>TEXT(Table1[[#This Row],[order_date]],"dddd")</f>
        <v>Monday</v>
      </c>
      <c r="G3005">
        <f>HOUR(Table1[[#This Row],[order_time]])</f>
        <v>11</v>
      </c>
      <c r="H3005" s="2">
        <v>0.46690972222222221</v>
      </c>
      <c r="I3005" t="s">
        <v>16</v>
      </c>
      <c r="J3005" t="s">
        <v>23</v>
      </c>
      <c r="K3005">
        <v>4</v>
      </c>
      <c r="L3005">
        <v>30</v>
      </c>
      <c r="M3005">
        <v>120</v>
      </c>
      <c r="N3005">
        <f>IF(COUNTIFS($B$2:B3005,B3005)=1,1,0)</f>
        <v>0</v>
      </c>
    </row>
    <row r="3006" spans="1:14" x14ac:dyDescent="0.2">
      <c r="A3006">
        <v>3005</v>
      </c>
      <c r="B3006">
        <v>2516</v>
      </c>
      <c r="C3006">
        <f>1/COUNTIF(B:B,Table1[[#This Row],[order_id]])</f>
        <v>0.33333333333333331</v>
      </c>
      <c r="D3006" t="str">
        <f>TEXT(Table1[[#This Row],[order_date]],"mmmm")</f>
        <v>August</v>
      </c>
      <c r="E3006" s="1">
        <v>45523</v>
      </c>
      <c r="F3006" s="1" t="str">
        <f>TEXT(Table1[[#This Row],[order_date]],"dddd")</f>
        <v>Monday</v>
      </c>
      <c r="G3006">
        <f>HOUR(Table1[[#This Row],[order_time]])</f>
        <v>10</v>
      </c>
      <c r="H3006" s="2">
        <v>0.43260416666666668</v>
      </c>
      <c r="I3006" t="s">
        <v>18</v>
      </c>
      <c r="J3006" t="s">
        <v>31</v>
      </c>
      <c r="K3006">
        <v>5</v>
      </c>
      <c r="L3006">
        <v>45</v>
      </c>
      <c r="M3006">
        <v>225</v>
      </c>
      <c r="N3006">
        <f>IF(COUNTIFS($B$2:B3006,B3006)=1,1,0)</f>
        <v>0</v>
      </c>
    </row>
    <row r="3007" spans="1:14" x14ac:dyDescent="0.2">
      <c r="A3007">
        <v>3006</v>
      </c>
      <c r="B3007">
        <v>2517</v>
      </c>
      <c r="C3007">
        <f>1/COUNTIF(B:B,Table1[[#This Row],[order_id]])</f>
        <v>1</v>
      </c>
      <c r="D3007" t="str">
        <f>TEXT(Table1[[#This Row],[order_date]],"mmmm")</f>
        <v>August</v>
      </c>
      <c r="E3007" s="1">
        <v>45523</v>
      </c>
      <c r="F3007" s="1" t="str">
        <f>TEXT(Table1[[#This Row],[order_date]],"dddd")</f>
        <v>Monday</v>
      </c>
      <c r="G3007">
        <f>HOUR(Table1[[#This Row],[order_time]])</f>
        <v>18</v>
      </c>
      <c r="H3007" s="2">
        <v>0.75731481481481477</v>
      </c>
      <c r="I3007" t="s">
        <v>18</v>
      </c>
      <c r="J3007" t="s">
        <v>27</v>
      </c>
      <c r="K3007">
        <v>5</v>
      </c>
      <c r="L3007">
        <v>40</v>
      </c>
      <c r="M3007">
        <v>200</v>
      </c>
      <c r="N3007">
        <f>IF(COUNTIFS($B$2:B3007,B3007)=1,1,0)</f>
        <v>1</v>
      </c>
    </row>
    <row r="3008" spans="1:14" x14ac:dyDescent="0.2">
      <c r="A3008">
        <v>3007</v>
      </c>
      <c r="B3008">
        <v>2518</v>
      </c>
      <c r="C3008">
        <f>1/COUNTIF(B:B,Table1[[#This Row],[order_id]])</f>
        <v>0.5</v>
      </c>
      <c r="D3008" t="str">
        <f>TEXT(Table1[[#This Row],[order_date]],"mmmm")</f>
        <v>August</v>
      </c>
      <c r="E3008" s="1">
        <v>45523</v>
      </c>
      <c r="F3008" s="1" t="str">
        <f>TEXT(Table1[[#This Row],[order_date]],"dddd")</f>
        <v>Monday</v>
      </c>
      <c r="G3008">
        <f>HOUR(Table1[[#This Row],[order_time]])</f>
        <v>11</v>
      </c>
      <c r="H3008" s="2">
        <v>0.4679861111111111</v>
      </c>
      <c r="I3008" t="s">
        <v>9</v>
      </c>
      <c r="J3008" t="s">
        <v>29</v>
      </c>
      <c r="K3008">
        <v>1</v>
      </c>
      <c r="L3008">
        <v>5</v>
      </c>
      <c r="M3008">
        <v>5</v>
      </c>
      <c r="N3008">
        <f>IF(COUNTIFS($B$2:B3008,B3008)=1,1,0)</f>
        <v>1</v>
      </c>
    </row>
    <row r="3009" spans="1:14" x14ac:dyDescent="0.2">
      <c r="A3009">
        <v>3008</v>
      </c>
      <c r="B3009">
        <v>2518</v>
      </c>
      <c r="C3009">
        <f>1/COUNTIF(B:B,Table1[[#This Row],[order_id]])</f>
        <v>0.5</v>
      </c>
      <c r="D3009" t="str">
        <f>TEXT(Table1[[#This Row],[order_date]],"mmmm")</f>
        <v>August</v>
      </c>
      <c r="E3009" s="1">
        <v>45523</v>
      </c>
      <c r="F3009" s="1" t="str">
        <f>TEXT(Table1[[#This Row],[order_date]],"dddd")</f>
        <v>Monday</v>
      </c>
      <c r="G3009">
        <f>HOUR(Table1[[#This Row],[order_time]])</f>
        <v>13</v>
      </c>
      <c r="H3009" s="2">
        <v>0.55143518518518519</v>
      </c>
      <c r="I3009" t="s">
        <v>16</v>
      </c>
      <c r="J3009" t="s">
        <v>24</v>
      </c>
      <c r="K3009">
        <v>1</v>
      </c>
      <c r="L3009">
        <v>35</v>
      </c>
      <c r="M3009">
        <v>35</v>
      </c>
      <c r="N3009">
        <f>IF(COUNTIFS($B$2:B3009,B3009)=1,1,0)</f>
        <v>0</v>
      </c>
    </row>
    <row r="3010" spans="1:14" x14ac:dyDescent="0.2">
      <c r="A3010">
        <v>3009</v>
      </c>
      <c r="B3010">
        <v>2519</v>
      </c>
      <c r="C3010">
        <f>1/COUNTIF(B:B,Table1[[#This Row],[order_id]])</f>
        <v>1</v>
      </c>
      <c r="D3010" t="str">
        <f>TEXT(Table1[[#This Row],[order_date]],"mmmm")</f>
        <v>August</v>
      </c>
      <c r="E3010" s="1">
        <v>45523</v>
      </c>
      <c r="F3010" s="1" t="str">
        <f>TEXT(Table1[[#This Row],[order_date]],"dddd")</f>
        <v>Monday</v>
      </c>
      <c r="G3010">
        <f>HOUR(Table1[[#This Row],[order_time]])</f>
        <v>10</v>
      </c>
      <c r="H3010" s="2">
        <v>0.43487268518518518</v>
      </c>
      <c r="I3010" t="s">
        <v>11</v>
      </c>
      <c r="J3010" t="s">
        <v>14</v>
      </c>
      <c r="K3010">
        <v>3</v>
      </c>
      <c r="L3010">
        <v>700</v>
      </c>
      <c r="M3010">
        <v>2100</v>
      </c>
      <c r="N3010">
        <f>IF(COUNTIFS($B$2:B3010,B3010)=1,1,0)</f>
        <v>1</v>
      </c>
    </row>
    <row r="3011" spans="1:14" x14ac:dyDescent="0.2">
      <c r="A3011">
        <v>3010</v>
      </c>
      <c r="B3011">
        <v>2520</v>
      </c>
      <c r="C3011">
        <f>1/COUNTIF(B:B,Table1[[#This Row],[order_id]])</f>
        <v>0.33333333333333331</v>
      </c>
      <c r="D3011" t="str">
        <f>TEXT(Table1[[#This Row],[order_date]],"mmmm")</f>
        <v>August</v>
      </c>
      <c r="E3011" s="1">
        <v>45523</v>
      </c>
      <c r="F3011" s="1" t="str">
        <f>TEXT(Table1[[#This Row],[order_date]],"dddd")</f>
        <v>Monday</v>
      </c>
      <c r="G3011">
        <f>HOUR(Table1[[#This Row],[order_time]])</f>
        <v>18</v>
      </c>
      <c r="H3011" s="2">
        <v>0.77740740740740744</v>
      </c>
      <c r="I3011" t="s">
        <v>18</v>
      </c>
      <c r="J3011" t="s">
        <v>19</v>
      </c>
      <c r="K3011">
        <v>5</v>
      </c>
      <c r="L3011">
        <v>50</v>
      </c>
      <c r="M3011">
        <v>250</v>
      </c>
      <c r="N3011">
        <f>IF(COUNTIFS($B$2:B3011,B3011)=1,1,0)</f>
        <v>1</v>
      </c>
    </row>
    <row r="3012" spans="1:14" x14ac:dyDescent="0.2">
      <c r="A3012">
        <v>3011</v>
      </c>
      <c r="B3012">
        <v>2520</v>
      </c>
      <c r="C3012">
        <f>1/COUNTIF(B:B,Table1[[#This Row],[order_id]])</f>
        <v>0.33333333333333331</v>
      </c>
      <c r="D3012" t="str">
        <f>TEXT(Table1[[#This Row],[order_date]],"mmmm")</f>
        <v>August</v>
      </c>
      <c r="E3012" s="1">
        <v>45523</v>
      </c>
      <c r="F3012" s="1" t="str">
        <f>TEXT(Table1[[#This Row],[order_date]],"dddd")</f>
        <v>Monday</v>
      </c>
      <c r="G3012">
        <f>HOUR(Table1[[#This Row],[order_time]])</f>
        <v>16</v>
      </c>
      <c r="H3012" s="2">
        <v>0.68074074074074076</v>
      </c>
      <c r="I3012" t="s">
        <v>9</v>
      </c>
      <c r="J3012" t="s">
        <v>29</v>
      </c>
      <c r="K3012">
        <v>3</v>
      </c>
      <c r="L3012">
        <v>5</v>
      </c>
      <c r="M3012">
        <v>15</v>
      </c>
      <c r="N3012">
        <f>IF(COUNTIFS($B$2:B3012,B3012)=1,1,0)</f>
        <v>0</v>
      </c>
    </row>
    <row r="3013" spans="1:14" x14ac:dyDescent="0.2">
      <c r="A3013">
        <v>3012</v>
      </c>
      <c r="B3013">
        <v>2520</v>
      </c>
      <c r="C3013">
        <f>1/COUNTIF(B:B,Table1[[#This Row],[order_id]])</f>
        <v>0.33333333333333331</v>
      </c>
      <c r="D3013" t="str">
        <f>TEXT(Table1[[#This Row],[order_date]],"mmmm")</f>
        <v>August</v>
      </c>
      <c r="E3013" s="1">
        <v>45523</v>
      </c>
      <c r="F3013" s="1" t="str">
        <f>TEXT(Table1[[#This Row],[order_date]],"dddd")</f>
        <v>Monday</v>
      </c>
      <c r="G3013">
        <f>HOUR(Table1[[#This Row],[order_time]])</f>
        <v>17</v>
      </c>
      <c r="H3013" s="2">
        <v>0.70878472222222222</v>
      </c>
      <c r="I3013" t="s">
        <v>9</v>
      </c>
      <c r="J3013" t="s">
        <v>29</v>
      </c>
      <c r="K3013">
        <v>1</v>
      </c>
      <c r="L3013">
        <v>5</v>
      </c>
      <c r="M3013">
        <v>5</v>
      </c>
      <c r="N3013">
        <f>IF(COUNTIFS($B$2:B3013,B3013)=1,1,0)</f>
        <v>0</v>
      </c>
    </row>
    <row r="3014" spans="1:14" x14ac:dyDescent="0.2">
      <c r="A3014">
        <v>3013</v>
      </c>
      <c r="B3014">
        <v>2521</v>
      </c>
      <c r="C3014">
        <f>1/COUNTIF(B:B,Table1[[#This Row],[order_id]])</f>
        <v>0.33333333333333331</v>
      </c>
      <c r="D3014" t="str">
        <f>TEXT(Table1[[#This Row],[order_date]],"mmmm")</f>
        <v>August</v>
      </c>
      <c r="E3014" s="1">
        <v>45523</v>
      </c>
      <c r="F3014" s="1" t="str">
        <f>TEXT(Table1[[#This Row],[order_date]],"dddd")</f>
        <v>Monday</v>
      </c>
      <c r="G3014">
        <f>HOUR(Table1[[#This Row],[order_time]])</f>
        <v>19</v>
      </c>
      <c r="H3014" s="2">
        <v>0.8305555555555556</v>
      </c>
      <c r="I3014" t="s">
        <v>9</v>
      </c>
      <c r="J3014" t="s">
        <v>20</v>
      </c>
      <c r="K3014">
        <v>4</v>
      </c>
      <c r="L3014">
        <v>25</v>
      </c>
      <c r="M3014">
        <v>100</v>
      </c>
      <c r="N3014">
        <f>IF(COUNTIFS($B$2:B3014,B3014)=1,1,0)</f>
        <v>1</v>
      </c>
    </row>
    <row r="3015" spans="1:14" x14ac:dyDescent="0.2">
      <c r="A3015">
        <v>3014</v>
      </c>
      <c r="B3015">
        <v>2521</v>
      </c>
      <c r="C3015">
        <f>1/COUNTIF(B:B,Table1[[#This Row],[order_id]])</f>
        <v>0.33333333333333331</v>
      </c>
      <c r="D3015" t="str">
        <f>TEXT(Table1[[#This Row],[order_date]],"mmmm")</f>
        <v>August</v>
      </c>
      <c r="E3015" s="1">
        <v>45523</v>
      </c>
      <c r="F3015" s="1" t="str">
        <f>TEXT(Table1[[#This Row],[order_date]],"dddd")</f>
        <v>Monday</v>
      </c>
      <c r="G3015">
        <f>HOUR(Table1[[#This Row],[order_time]])</f>
        <v>17</v>
      </c>
      <c r="H3015" s="2">
        <v>0.71341435185185187</v>
      </c>
      <c r="I3015" t="s">
        <v>9</v>
      </c>
      <c r="J3015" t="s">
        <v>29</v>
      </c>
      <c r="K3015">
        <v>2</v>
      </c>
      <c r="L3015">
        <v>5</v>
      </c>
      <c r="M3015">
        <v>10</v>
      </c>
      <c r="N3015">
        <f>IF(COUNTIFS($B$2:B3015,B3015)=1,1,0)</f>
        <v>0</v>
      </c>
    </row>
    <row r="3016" spans="1:14" x14ac:dyDescent="0.2">
      <c r="A3016">
        <v>3015</v>
      </c>
      <c r="B3016">
        <v>2521</v>
      </c>
      <c r="C3016">
        <f>1/COUNTIF(B:B,Table1[[#This Row],[order_id]])</f>
        <v>0.33333333333333331</v>
      </c>
      <c r="D3016" t="str">
        <f>TEXT(Table1[[#This Row],[order_date]],"mmmm")</f>
        <v>August</v>
      </c>
      <c r="E3016" s="1">
        <v>45523</v>
      </c>
      <c r="F3016" s="1" t="str">
        <f>TEXT(Table1[[#This Row],[order_date]],"dddd")</f>
        <v>Monday</v>
      </c>
      <c r="G3016">
        <f>HOUR(Table1[[#This Row],[order_time]])</f>
        <v>12</v>
      </c>
      <c r="H3016" s="2">
        <v>0.5248032407407407</v>
      </c>
      <c r="I3016" t="s">
        <v>16</v>
      </c>
      <c r="J3016" t="s">
        <v>23</v>
      </c>
      <c r="K3016">
        <v>3</v>
      </c>
      <c r="L3016">
        <v>30</v>
      </c>
      <c r="M3016">
        <v>90</v>
      </c>
      <c r="N3016">
        <f>IF(COUNTIFS($B$2:B3016,B3016)=1,1,0)</f>
        <v>0</v>
      </c>
    </row>
    <row r="3017" spans="1:14" x14ac:dyDescent="0.2">
      <c r="A3017">
        <v>3016</v>
      </c>
      <c r="B3017">
        <v>2522</v>
      </c>
      <c r="C3017">
        <f>1/COUNTIF(B:B,Table1[[#This Row],[order_id]])</f>
        <v>0.5</v>
      </c>
      <c r="D3017" t="str">
        <f>TEXT(Table1[[#This Row],[order_date]],"mmmm")</f>
        <v>August</v>
      </c>
      <c r="E3017" s="1">
        <v>45523</v>
      </c>
      <c r="F3017" s="1" t="str">
        <f>TEXT(Table1[[#This Row],[order_date]],"dddd")</f>
        <v>Monday</v>
      </c>
      <c r="G3017">
        <f>HOUR(Table1[[#This Row],[order_time]])</f>
        <v>14</v>
      </c>
      <c r="H3017" s="2">
        <v>0.61990740740740746</v>
      </c>
      <c r="I3017" t="s">
        <v>9</v>
      </c>
      <c r="J3017" t="s">
        <v>29</v>
      </c>
      <c r="K3017">
        <v>1</v>
      </c>
      <c r="L3017">
        <v>5</v>
      </c>
      <c r="M3017">
        <v>5</v>
      </c>
      <c r="N3017">
        <f>IF(COUNTIFS($B$2:B3017,B3017)=1,1,0)</f>
        <v>1</v>
      </c>
    </row>
    <row r="3018" spans="1:14" x14ac:dyDescent="0.2">
      <c r="A3018">
        <v>3017</v>
      </c>
      <c r="B3018">
        <v>2522</v>
      </c>
      <c r="C3018">
        <f>1/COUNTIF(B:B,Table1[[#This Row],[order_id]])</f>
        <v>0.5</v>
      </c>
      <c r="D3018" t="str">
        <f>TEXT(Table1[[#This Row],[order_date]],"mmmm")</f>
        <v>August</v>
      </c>
      <c r="E3018" s="1">
        <v>45523</v>
      </c>
      <c r="F3018" s="1" t="str">
        <f>TEXT(Table1[[#This Row],[order_date]],"dddd")</f>
        <v>Monday</v>
      </c>
      <c r="G3018">
        <f>HOUR(Table1[[#This Row],[order_time]])</f>
        <v>12</v>
      </c>
      <c r="H3018" s="2">
        <v>0.54121527777777778</v>
      </c>
      <c r="I3018" t="s">
        <v>11</v>
      </c>
      <c r="J3018" t="s">
        <v>15</v>
      </c>
      <c r="K3018">
        <v>2</v>
      </c>
      <c r="L3018">
        <v>600</v>
      </c>
      <c r="M3018">
        <v>1200</v>
      </c>
      <c r="N3018">
        <f>IF(COUNTIFS($B$2:B3018,B3018)=1,1,0)</f>
        <v>0</v>
      </c>
    </row>
    <row r="3019" spans="1:14" x14ac:dyDescent="0.2">
      <c r="A3019">
        <v>3018</v>
      </c>
      <c r="B3019">
        <v>2523</v>
      </c>
      <c r="C3019">
        <f>1/COUNTIF(B:B,Table1[[#This Row],[order_id]])</f>
        <v>0.33333333333333331</v>
      </c>
      <c r="D3019" t="str">
        <f>TEXT(Table1[[#This Row],[order_date]],"mmmm")</f>
        <v>August</v>
      </c>
      <c r="E3019" s="1">
        <v>45523</v>
      </c>
      <c r="F3019" s="1" t="str">
        <f>TEXT(Table1[[#This Row],[order_date]],"dddd")</f>
        <v>Monday</v>
      </c>
      <c r="G3019">
        <f>HOUR(Table1[[#This Row],[order_time]])</f>
        <v>16</v>
      </c>
      <c r="H3019" s="2">
        <v>0.66829861111111111</v>
      </c>
      <c r="I3019" t="s">
        <v>16</v>
      </c>
      <c r="J3019" t="s">
        <v>23</v>
      </c>
      <c r="K3019">
        <v>1</v>
      </c>
      <c r="L3019">
        <v>30</v>
      </c>
      <c r="M3019">
        <v>30</v>
      </c>
      <c r="N3019">
        <f>IF(COUNTIFS($B$2:B3019,B3019)=1,1,0)</f>
        <v>1</v>
      </c>
    </row>
    <row r="3020" spans="1:14" x14ac:dyDescent="0.2">
      <c r="A3020">
        <v>3019</v>
      </c>
      <c r="B3020">
        <v>2523</v>
      </c>
      <c r="C3020">
        <f>1/COUNTIF(B:B,Table1[[#This Row],[order_id]])</f>
        <v>0.33333333333333331</v>
      </c>
      <c r="D3020" t="str">
        <f>TEXT(Table1[[#This Row],[order_date]],"mmmm")</f>
        <v>August</v>
      </c>
      <c r="E3020" s="1">
        <v>45523</v>
      </c>
      <c r="F3020" s="1" t="str">
        <f>TEXT(Table1[[#This Row],[order_date]],"dddd")</f>
        <v>Monday</v>
      </c>
      <c r="G3020">
        <f>HOUR(Table1[[#This Row],[order_time]])</f>
        <v>18</v>
      </c>
      <c r="H3020" s="2">
        <v>0.76939814814814811</v>
      </c>
      <c r="I3020" t="s">
        <v>11</v>
      </c>
      <c r="J3020" t="s">
        <v>12</v>
      </c>
      <c r="K3020">
        <v>1</v>
      </c>
      <c r="L3020">
        <v>650</v>
      </c>
      <c r="M3020">
        <v>650</v>
      </c>
      <c r="N3020">
        <f>IF(COUNTIFS($B$2:B3020,B3020)=1,1,0)</f>
        <v>0</v>
      </c>
    </row>
    <row r="3021" spans="1:14" x14ac:dyDescent="0.2">
      <c r="A3021">
        <v>3020</v>
      </c>
      <c r="B3021">
        <v>2523</v>
      </c>
      <c r="C3021">
        <f>1/COUNTIF(B:B,Table1[[#This Row],[order_id]])</f>
        <v>0.33333333333333331</v>
      </c>
      <c r="D3021" t="str">
        <f>TEXT(Table1[[#This Row],[order_date]],"mmmm")</f>
        <v>August</v>
      </c>
      <c r="E3021" s="1">
        <v>45523</v>
      </c>
      <c r="F3021" s="1" t="str">
        <f>TEXT(Table1[[#This Row],[order_date]],"dddd")</f>
        <v>Monday</v>
      </c>
      <c r="G3021">
        <f>HOUR(Table1[[#This Row],[order_time]])</f>
        <v>10</v>
      </c>
      <c r="H3021" s="2">
        <v>0.44127314814814816</v>
      </c>
      <c r="I3021" t="s">
        <v>18</v>
      </c>
      <c r="J3021" t="s">
        <v>27</v>
      </c>
      <c r="K3021">
        <v>4</v>
      </c>
      <c r="L3021">
        <v>40</v>
      </c>
      <c r="M3021">
        <v>160</v>
      </c>
      <c r="N3021">
        <f>IF(COUNTIFS($B$2:B3021,B3021)=1,1,0)</f>
        <v>0</v>
      </c>
    </row>
    <row r="3022" spans="1:14" x14ac:dyDescent="0.2">
      <c r="A3022">
        <v>3021</v>
      </c>
      <c r="B3022">
        <v>2524</v>
      </c>
      <c r="C3022">
        <f>1/COUNTIF(B:B,Table1[[#This Row],[order_id]])</f>
        <v>0.33333333333333331</v>
      </c>
      <c r="D3022" t="str">
        <f>TEXT(Table1[[#This Row],[order_date]],"mmmm")</f>
        <v>August</v>
      </c>
      <c r="E3022" s="1">
        <v>45523</v>
      </c>
      <c r="F3022" s="1" t="str">
        <f>TEXT(Table1[[#This Row],[order_date]],"dddd")</f>
        <v>Monday</v>
      </c>
      <c r="G3022">
        <f>HOUR(Table1[[#This Row],[order_time]])</f>
        <v>10</v>
      </c>
      <c r="H3022" s="2">
        <v>0.43646990740740743</v>
      </c>
      <c r="I3022" t="s">
        <v>16</v>
      </c>
      <c r="J3022" t="s">
        <v>28</v>
      </c>
      <c r="K3022">
        <v>1</v>
      </c>
      <c r="L3022">
        <v>25</v>
      </c>
      <c r="M3022">
        <v>25</v>
      </c>
      <c r="N3022">
        <f>IF(COUNTIFS($B$2:B3022,B3022)=1,1,0)</f>
        <v>1</v>
      </c>
    </row>
    <row r="3023" spans="1:14" x14ac:dyDescent="0.2">
      <c r="A3023">
        <v>3022</v>
      </c>
      <c r="B3023">
        <v>2524</v>
      </c>
      <c r="C3023">
        <f>1/COUNTIF(B:B,Table1[[#This Row],[order_id]])</f>
        <v>0.33333333333333331</v>
      </c>
      <c r="D3023" t="str">
        <f>TEXT(Table1[[#This Row],[order_date]],"mmmm")</f>
        <v>August</v>
      </c>
      <c r="E3023" s="1">
        <v>45523</v>
      </c>
      <c r="F3023" s="1" t="str">
        <f>TEXT(Table1[[#This Row],[order_date]],"dddd")</f>
        <v>Monday</v>
      </c>
      <c r="G3023">
        <f>HOUR(Table1[[#This Row],[order_time]])</f>
        <v>9</v>
      </c>
      <c r="H3023" s="2">
        <v>0.40258101851851852</v>
      </c>
      <c r="I3023" t="s">
        <v>16</v>
      </c>
      <c r="J3023" t="s">
        <v>28</v>
      </c>
      <c r="K3023">
        <v>4</v>
      </c>
      <c r="L3023">
        <v>25</v>
      </c>
      <c r="M3023">
        <v>100</v>
      </c>
      <c r="N3023">
        <f>IF(COUNTIFS($B$2:B3023,B3023)=1,1,0)</f>
        <v>0</v>
      </c>
    </row>
    <row r="3024" spans="1:14" x14ac:dyDescent="0.2">
      <c r="A3024">
        <v>3023</v>
      </c>
      <c r="B3024">
        <v>2524</v>
      </c>
      <c r="C3024">
        <f>1/COUNTIF(B:B,Table1[[#This Row],[order_id]])</f>
        <v>0.33333333333333331</v>
      </c>
      <c r="D3024" t="str">
        <f>TEXT(Table1[[#This Row],[order_date]],"mmmm")</f>
        <v>August</v>
      </c>
      <c r="E3024" s="1">
        <v>45523</v>
      </c>
      <c r="F3024" s="1" t="str">
        <f>TEXT(Table1[[#This Row],[order_date]],"dddd")</f>
        <v>Monday</v>
      </c>
      <c r="G3024">
        <f>HOUR(Table1[[#This Row],[order_time]])</f>
        <v>20</v>
      </c>
      <c r="H3024" s="2">
        <v>0.87395833333333328</v>
      </c>
      <c r="I3024" t="s">
        <v>11</v>
      </c>
      <c r="J3024" t="s">
        <v>25</v>
      </c>
      <c r="K3024">
        <v>2</v>
      </c>
      <c r="L3024">
        <v>1000</v>
      </c>
      <c r="M3024">
        <v>2000</v>
      </c>
      <c r="N3024">
        <f>IF(COUNTIFS($B$2:B3024,B3024)=1,1,0)</f>
        <v>0</v>
      </c>
    </row>
    <row r="3025" spans="1:14" x14ac:dyDescent="0.2">
      <c r="A3025">
        <v>3024</v>
      </c>
      <c r="B3025">
        <v>2525</v>
      </c>
      <c r="C3025">
        <f>1/COUNTIF(B:B,Table1[[#This Row],[order_id]])</f>
        <v>0.5</v>
      </c>
      <c r="D3025" t="str">
        <f>TEXT(Table1[[#This Row],[order_date]],"mmmm")</f>
        <v>August</v>
      </c>
      <c r="E3025" s="1">
        <v>45524</v>
      </c>
      <c r="F3025" s="1" t="str">
        <f>TEXT(Table1[[#This Row],[order_date]],"dddd")</f>
        <v>Tuesday</v>
      </c>
      <c r="G3025">
        <f>HOUR(Table1[[#This Row],[order_time]])</f>
        <v>14</v>
      </c>
      <c r="H3025" s="2">
        <v>0.61714120370370373</v>
      </c>
      <c r="I3025" t="s">
        <v>18</v>
      </c>
      <c r="J3025" t="s">
        <v>27</v>
      </c>
      <c r="K3025">
        <v>5</v>
      </c>
      <c r="L3025">
        <v>40</v>
      </c>
      <c r="M3025">
        <v>200</v>
      </c>
      <c r="N3025">
        <f>IF(COUNTIFS($B$2:B3025,B3025)=1,1,0)</f>
        <v>1</v>
      </c>
    </row>
    <row r="3026" spans="1:14" x14ac:dyDescent="0.2">
      <c r="A3026">
        <v>3025</v>
      </c>
      <c r="B3026">
        <v>2525</v>
      </c>
      <c r="C3026">
        <f>1/COUNTIF(B:B,Table1[[#This Row],[order_id]])</f>
        <v>0.5</v>
      </c>
      <c r="D3026" t="str">
        <f>TEXT(Table1[[#This Row],[order_date]],"mmmm")</f>
        <v>August</v>
      </c>
      <c r="E3026" s="1">
        <v>45524</v>
      </c>
      <c r="F3026" s="1" t="str">
        <f>TEXT(Table1[[#This Row],[order_date]],"dddd")</f>
        <v>Tuesday</v>
      </c>
      <c r="G3026">
        <f>HOUR(Table1[[#This Row],[order_time]])</f>
        <v>11</v>
      </c>
      <c r="H3026" s="2">
        <v>0.47628472222222223</v>
      </c>
      <c r="I3026" t="s">
        <v>16</v>
      </c>
      <c r="J3026" t="s">
        <v>24</v>
      </c>
      <c r="K3026">
        <v>5</v>
      </c>
      <c r="L3026">
        <v>35</v>
      </c>
      <c r="M3026">
        <v>175</v>
      </c>
      <c r="N3026">
        <f>IF(COUNTIFS($B$2:B3026,B3026)=1,1,0)</f>
        <v>0</v>
      </c>
    </row>
    <row r="3027" spans="1:14" x14ac:dyDescent="0.2">
      <c r="A3027">
        <v>3026</v>
      </c>
      <c r="B3027">
        <v>2526</v>
      </c>
      <c r="C3027">
        <f>1/COUNTIF(B:B,Table1[[#This Row],[order_id]])</f>
        <v>0.33333333333333331</v>
      </c>
      <c r="D3027" t="str">
        <f>TEXT(Table1[[#This Row],[order_date]],"mmmm")</f>
        <v>August</v>
      </c>
      <c r="E3027" s="1">
        <v>45524</v>
      </c>
      <c r="F3027" s="1" t="str">
        <f>TEXT(Table1[[#This Row],[order_date]],"dddd")</f>
        <v>Tuesday</v>
      </c>
      <c r="G3027">
        <f>HOUR(Table1[[#This Row],[order_time]])</f>
        <v>11</v>
      </c>
      <c r="H3027" s="2">
        <v>0.48324074074074075</v>
      </c>
      <c r="I3027" t="s">
        <v>9</v>
      </c>
      <c r="J3027" t="s">
        <v>20</v>
      </c>
      <c r="K3027">
        <v>5</v>
      </c>
      <c r="L3027">
        <v>25</v>
      </c>
      <c r="M3027">
        <v>125</v>
      </c>
      <c r="N3027">
        <f>IF(COUNTIFS($B$2:B3027,B3027)=1,1,0)</f>
        <v>1</v>
      </c>
    </row>
    <row r="3028" spans="1:14" x14ac:dyDescent="0.2">
      <c r="A3028">
        <v>3027</v>
      </c>
      <c r="B3028">
        <v>2526</v>
      </c>
      <c r="C3028">
        <f>1/COUNTIF(B:B,Table1[[#This Row],[order_id]])</f>
        <v>0.33333333333333331</v>
      </c>
      <c r="D3028" t="str">
        <f>TEXT(Table1[[#This Row],[order_date]],"mmmm")</f>
        <v>August</v>
      </c>
      <c r="E3028" s="1">
        <v>45524</v>
      </c>
      <c r="F3028" s="1" t="str">
        <f>TEXT(Table1[[#This Row],[order_date]],"dddd")</f>
        <v>Tuesday</v>
      </c>
      <c r="G3028">
        <f>HOUR(Table1[[#This Row],[order_time]])</f>
        <v>16</v>
      </c>
      <c r="H3028" s="2">
        <v>0.69421296296296298</v>
      </c>
      <c r="I3028" t="s">
        <v>9</v>
      </c>
      <c r="J3028" t="s">
        <v>10</v>
      </c>
      <c r="K3028">
        <v>1</v>
      </c>
      <c r="L3028">
        <v>20</v>
      </c>
      <c r="M3028">
        <v>20</v>
      </c>
      <c r="N3028">
        <f>IF(COUNTIFS($B$2:B3028,B3028)=1,1,0)</f>
        <v>0</v>
      </c>
    </row>
    <row r="3029" spans="1:14" x14ac:dyDescent="0.2">
      <c r="A3029">
        <v>3028</v>
      </c>
      <c r="B3029">
        <v>2526</v>
      </c>
      <c r="C3029">
        <f>1/COUNTIF(B:B,Table1[[#This Row],[order_id]])</f>
        <v>0.33333333333333331</v>
      </c>
      <c r="D3029" t="str">
        <f>TEXT(Table1[[#This Row],[order_date]],"mmmm")</f>
        <v>August</v>
      </c>
      <c r="E3029" s="1">
        <v>45524</v>
      </c>
      <c r="F3029" s="1" t="str">
        <f>TEXT(Table1[[#This Row],[order_date]],"dddd")</f>
        <v>Tuesday</v>
      </c>
      <c r="G3029">
        <f>HOUR(Table1[[#This Row],[order_time]])</f>
        <v>19</v>
      </c>
      <c r="H3029" s="2">
        <v>0.82428240740740744</v>
      </c>
      <c r="I3029" t="s">
        <v>11</v>
      </c>
      <c r="J3029" t="s">
        <v>25</v>
      </c>
      <c r="K3029">
        <v>5</v>
      </c>
      <c r="L3029">
        <v>1000</v>
      </c>
      <c r="M3029">
        <v>5000</v>
      </c>
      <c r="N3029">
        <f>IF(COUNTIFS($B$2:B3029,B3029)=1,1,0)</f>
        <v>0</v>
      </c>
    </row>
    <row r="3030" spans="1:14" x14ac:dyDescent="0.2">
      <c r="A3030">
        <v>3029</v>
      </c>
      <c r="B3030">
        <v>2527</v>
      </c>
      <c r="C3030">
        <f>1/COUNTIF(B:B,Table1[[#This Row],[order_id]])</f>
        <v>1</v>
      </c>
      <c r="D3030" t="str">
        <f>TEXT(Table1[[#This Row],[order_date]],"mmmm")</f>
        <v>August</v>
      </c>
      <c r="E3030" s="1">
        <v>45524</v>
      </c>
      <c r="F3030" s="1" t="str">
        <f>TEXT(Table1[[#This Row],[order_date]],"dddd")</f>
        <v>Tuesday</v>
      </c>
      <c r="G3030">
        <f>HOUR(Table1[[#This Row],[order_time]])</f>
        <v>14</v>
      </c>
      <c r="H3030" s="2">
        <v>0.58542824074074074</v>
      </c>
      <c r="I3030" t="s">
        <v>9</v>
      </c>
      <c r="J3030" t="s">
        <v>22</v>
      </c>
      <c r="K3030">
        <v>2</v>
      </c>
      <c r="L3030">
        <v>15</v>
      </c>
      <c r="M3030">
        <v>30</v>
      </c>
      <c r="N3030">
        <f>IF(COUNTIFS($B$2:B3030,B3030)=1,1,0)</f>
        <v>1</v>
      </c>
    </row>
    <row r="3031" spans="1:14" x14ac:dyDescent="0.2">
      <c r="A3031">
        <v>3030</v>
      </c>
      <c r="B3031">
        <v>2528</v>
      </c>
      <c r="C3031">
        <f>1/COUNTIF(B:B,Table1[[#This Row],[order_id]])</f>
        <v>1</v>
      </c>
      <c r="D3031" t="str">
        <f>TEXT(Table1[[#This Row],[order_date]],"mmmm")</f>
        <v>August</v>
      </c>
      <c r="E3031" s="1">
        <v>45524</v>
      </c>
      <c r="F3031" s="1" t="str">
        <f>TEXT(Table1[[#This Row],[order_date]],"dddd")</f>
        <v>Tuesday</v>
      </c>
      <c r="G3031">
        <f>HOUR(Table1[[#This Row],[order_time]])</f>
        <v>9</v>
      </c>
      <c r="H3031" s="2">
        <v>0.3765162037037037</v>
      </c>
      <c r="I3031" t="s">
        <v>16</v>
      </c>
      <c r="J3031" t="s">
        <v>24</v>
      </c>
      <c r="K3031">
        <v>4</v>
      </c>
      <c r="L3031">
        <v>35</v>
      </c>
      <c r="M3031">
        <v>140</v>
      </c>
      <c r="N3031">
        <f>IF(COUNTIFS($B$2:B3031,B3031)=1,1,0)</f>
        <v>1</v>
      </c>
    </row>
    <row r="3032" spans="1:14" x14ac:dyDescent="0.2">
      <c r="A3032">
        <v>3031</v>
      </c>
      <c r="B3032">
        <v>2529</v>
      </c>
      <c r="C3032">
        <f>1/COUNTIF(B:B,Table1[[#This Row],[order_id]])</f>
        <v>0.33333333333333331</v>
      </c>
      <c r="D3032" t="str">
        <f>TEXT(Table1[[#This Row],[order_date]],"mmmm")</f>
        <v>August</v>
      </c>
      <c r="E3032" s="1">
        <v>45524</v>
      </c>
      <c r="F3032" s="1" t="str">
        <f>TEXT(Table1[[#This Row],[order_date]],"dddd")</f>
        <v>Tuesday</v>
      </c>
      <c r="G3032">
        <f>HOUR(Table1[[#This Row],[order_time]])</f>
        <v>12</v>
      </c>
      <c r="H3032" s="2">
        <v>0.52494212962962961</v>
      </c>
      <c r="I3032" t="s">
        <v>11</v>
      </c>
      <c r="J3032" t="s">
        <v>14</v>
      </c>
      <c r="K3032">
        <v>1</v>
      </c>
      <c r="L3032">
        <v>700</v>
      </c>
      <c r="M3032">
        <v>700</v>
      </c>
      <c r="N3032">
        <f>IF(COUNTIFS($B$2:B3032,B3032)=1,1,0)</f>
        <v>1</v>
      </c>
    </row>
    <row r="3033" spans="1:14" x14ac:dyDescent="0.2">
      <c r="A3033">
        <v>3032</v>
      </c>
      <c r="B3033">
        <v>2529</v>
      </c>
      <c r="C3033">
        <f>1/COUNTIF(B:B,Table1[[#This Row],[order_id]])</f>
        <v>0.33333333333333331</v>
      </c>
      <c r="D3033" t="str">
        <f>TEXT(Table1[[#This Row],[order_date]],"mmmm")</f>
        <v>August</v>
      </c>
      <c r="E3033" s="1">
        <v>45524</v>
      </c>
      <c r="F3033" s="1" t="str">
        <f>TEXT(Table1[[#This Row],[order_date]],"dddd")</f>
        <v>Tuesday</v>
      </c>
      <c r="G3033">
        <f>HOUR(Table1[[#This Row],[order_time]])</f>
        <v>9</v>
      </c>
      <c r="H3033" s="2">
        <v>0.3934375</v>
      </c>
      <c r="I3033" t="s">
        <v>11</v>
      </c>
      <c r="J3033" t="s">
        <v>13</v>
      </c>
      <c r="K3033">
        <v>1</v>
      </c>
      <c r="L3033">
        <v>680</v>
      </c>
      <c r="M3033">
        <v>680</v>
      </c>
      <c r="N3033">
        <f>IF(COUNTIFS($B$2:B3033,B3033)=1,1,0)</f>
        <v>0</v>
      </c>
    </row>
    <row r="3034" spans="1:14" x14ac:dyDescent="0.2">
      <c r="A3034">
        <v>3033</v>
      </c>
      <c r="B3034">
        <v>2529</v>
      </c>
      <c r="C3034">
        <f>1/COUNTIF(B:B,Table1[[#This Row],[order_id]])</f>
        <v>0.33333333333333331</v>
      </c>
      <c r="D3034" t="str">
        <f>TEXT(Table1[[#This Row],[order_date]],"mmmm")</f>
        <v>August</v>
      </c>
      <c r="E3034" s="1">
        <v>45524</v>
      </c>
      <c r="F3034" s="1" t="str">
        <f>TEXT(Table1[[#This Row],[order_date]],"dddd")</f>
        <v>Tuesday</v>
      </c>
      <c r="G3034">
        <f>HOUR(Table1[[#This Row],[order_time]])</f>
        <v>16</v>
      </c>
      <c r="H3034" s="2">
        <v>0.67739583333333331</v>
      </c>
      <c r="I3034" t="s">
        <v>16</v>
      </c>
      <c r="J3034" t="s">
        <v>28</v>
      </c>
      <c r="K3034">
        <v>1</v>
      </c>
      <c r="L3034">
        <v>25</v>
      </c>
      <c r="M3034">
        <v>25</v>
      </c>
      <c r="N3034">
        <f>IF(COUNTIFS($B$2:B3034,B3034)=1,1,0)</f>
        <v>0</v>
      </c>
    </row>
    <row r="3035" spans="1:14" x14ac:dyDescent="0.2">
      <c r="A3035">
        <v>3034</v>
      </c>
      <c r="B3035">
        <v>2530</v>
      </c>
      <c r="C3035">
        <f>1/COUNTIF(B:B,Table1[[#This Row],[order_id]])</f>
        <v>0.5</v>
      </c>
      <c r="D3035" t="str">
        <f>TEXT(Table1[[#This Row],[order_date]],"mmmm")</f>
        <v>August</v>
      </c>
      <c r="E3035" s="1">
        <v>45524</v>
      </c>
      <c r="F3035" s="1" t="str">
        <f>TEXT(Table1[[#This Row],[order_date]],"dddd")</f>
        <v>Tuesday</v>
      </c>
      <c r="G3035">
        <f>HOUR(Table1[[#This Row],[order_time]])</f>
        <v>9</v>
      </c>
      <c r="H3035" s="2">
        <v>0.41646990740740741</v>
      </c>
      <c r="I3035" t="s">
        <v>18</v>
      </c>
      <c r="J3035" t="s">
        <v>19</v>
      </c>
      <c r="K3035">
        <v>1</v>
      </c>
      <c r="L3035">
        <v>50</v>
      </c>
      <c r="M3035">
        <v>50</v>
      </c>
      <c r="N3035">
        <f>IF(COUNTIFS($B$2:B3035,B3035)=1,1,0)</f>
        <v>1</v>
      </c>
    </row>
    <row r="3036" spans="1:14" x14ac:dyDescent="0.2">
      <c r="A3036">
        <v>3035</v>
      </c>
      <c r="B3036">
        <v>2530</v>
      </c>
      <c r="C3036">
        <f>1/COUNTIF(B:B,Table1[[#This Row],[order_id]])</f>
        <v>0.5</v>
      </c>
      <c r="D3036" t="str">
        <f>TEXT(Table1[[#This Row],[order_date]],"mmmm")</f>
        <v>August</v>
      </c>
      <c r="E3036" s="1">
        <v>45524</v>
      </c>
      <c r="F3036" s="1" t="str">
        <f>TEXT(Table1[[#This Row],[order_date]],"dddd")</f>
        <v>Tuesday</v>
      </c>
      <c r="G3036">
        <f>HOUR(Table1[[#This Row],[order_time]])</f>
        <v>13</v>
      </c>
      <c r="H3036" s="2">
        <v>0.58289351851851856</v>
      </c>
      <c r="I3036" t="s">
        <v>9</v>
      </c>
      <c r="J3036" t="s">
        <v>29</v>
      </c>
      <c r="K3036">
        <v>5</v>
      </c>
      <c r="L3036">
        <v>5</v>
      </c>
      <c r="M3036">
        <v>25</v>
      </c>
      <c r="N3036">
        <f>IF(COUNTIFS($B$2:B3036,B3036)=1,1,0)</f>
        <v>0</v>
      </c>
    </row>
    <row r="3037" spans="1:14" x14ac:dyDescent="0.2">
      <c r="A3037">
        <v>3036</v>
      </c>
      <c r="B3037">
        <v>2531</v>
      </c>
      <c r="C3037">
        <f>1/COUNTIF(B:B,Table1[[#This Row],[order_id]])</f>
        <v>0.33333333333333331</v>
      </c>
      <c r="D3037" t="str">
        <f>TEXT(Table1[[#This Row],[order_date]],"mmmm")</f>
        <v>August</v>
      </c>
      <c r="E3037" s="1">
        <v>45524</v>
      </c>
      <c r="F3037" s="1" t="str">
        <f>TEXT(Table1[[#This Row],[order_date]],"dddd")</f>
        <v>Tuesday</v>
      </c>
      <c r="G3037">
        <f>HOUR(Table1[[#This Row],[order_time]])</f>
        <v>12</v>
      </c>
      <c r="H3037" s="2">
        <v>0.5007638888888889</v>
      </c>
      <c r="I3037" t="s">
        <v>16</v>
      </c>
      <c r="J3037" t="s">
        <v>17</v>
      </c>
      <c r="K3037">
        <v>1</v>
      </c>
      <c r="L3037">
        <v>20</v>
      </c>
      <c r="M3037">
        <v>20</v>
      </c>
      <c r="N3037">
        <f>IF(COUNTIFS($B$2:B3037,B3037)=1,1,0)</f>
        <v>1</v>
      </c>
    </row>
    <row r="3038" spans="1:14" x14ac:dyDescent="0.2">
      <c r="A3038">
        <v>3037</v>
      </c>
      <c r="B3038">
        <v>2531</v>
      </c>
      <c r="C3038">
        <f>1/COUNTIF(B:B,Table1[[#This Row],[order_id]])</f>
        <v>0.33333333333333331</v>
      </c>
      <c r="D3038" t="str">
        <f>TEXT(Table1[[#This Row],[order_date]],"mmmm")</f>
        <v>August</v>
      </c>
      <c r="E3038" s="1">
        <v>45524</v>
      </c>
      <c r="F3038" s="1" t="str">
        <f>TEXT(Table1[[#This Row],[order_date]],"dddd")</f>
        <v>Tuesday</v>
      </c>
      <c r="G3038">
        <f>HOUR(Table1[[#This Row],[order_time]])</f>
        <v>12</v>
      </c>
      <c r="H3038" s="2">
        <v>0.50130787037037039</v>
      </c>
      <c r="I3038" t="s">
        <v>18</v>
      </c>
      <c r="J3038" t="s">
        <v>26</v>
      </c>
      <c r="K3038">
        <v>4</v>
      </c>
      <c r="L3038">
        <v>55</v>
      </c>
      <c r="M3038">
        <v>220</v>
      </c>
      <c r="N3038">
        <f>IF(COUNTIFS($B$2:B3038,B3038)=1,1,0)</f>
        <v>0</v>
      </c>
    </row>
    <row r="3039" spans="1:14" x14ac:dyDescent="0.2">
      <c r="A3039">
        <v>3038</v>
      </c>
      <c r="B3039">
        <v>2531</v>
      </c>
      <c r="C3039">
        <f>1/COUNTIF(B:B,Table1[[#This Row],[order_id]])</f>
        <v>0.33333333333333331</v>
      </c>
      <c r="D3039" t="str">
        <f>TEXT(Table1[[#This Row],[order_date]],"mmmm")</f>
        <v>August</v>
      </c>
      <c r="E3039" s="1">
        <v>45524</v>
      </c>
      <c r="F3039" s="1" t="str">
        <f>TEXT(Table1[[#This Row],[order_date]],"dddd")</f>
        <v>Tuesday</v>
      </c>
      <c r="G3039">
        <f>HOUR(Table1[[#This Row],[order_time]])</f>
        <v>13</v>
      </c>
      <c r="H3039" s="2">
        <v>0.56396990740740738</v>
      </c>
      <c r="I3039" t="s">
        <v>9</v>
      </c>
      <c r="J3039" t="s">
        <v>20</v>
      </c>
      <c r="K3039">
        <v>2</v>
      </c>
      <c r="L3039">
        <v>25</v>
      </c>
      <c r="M3039">
        <v>50</v>
      </c>
      <c r="N3039">
        <f>IF(COUNTIFS($B$2:B3039,B3039)=1,1,0)</f>
        <v>0</v>
      </c>
    </row>
    <row r="3040" spans="1:14" x14ac:dyDescent="0.2">
      <c r="A3040">
        <v>3039</v>
      </c>
      <c r="B3040">
        <v>2532</v>
      </c>
      <c r="C3040">
        <f>1/COUNTIF(B:B,Table1[[#This Row],[order_id]])</f>
        <v>1</v>
      </c>
      <c r="D3040" t="str">
        <f>TEXT(Table1[[#This Row],[order_date]],"mmmm")</f>
        <v>August</v>
      </c>
      <c r="E3040" s="1">
        <v>45525</v>
      </c>
      <c r="F3040" s="1" t="str">
        <f>TEXT(Table1[[#This Row],[order_date]],"dddd")</f>
        <v>Wednesday</v>
      </c>
      <c r="G3040">
        <f>HOUR(Table1[[#This Row],[order_time]])</f>
        <v>16</v>
      </c>
      <c r="H3040" s="2">
        <v>0.70011574074074079</v>
      </c>
      <c r="I3040" t="s">
        <v>11</v>
      </c>
      <c r="J3040" t="s">
        <v>15</v>
      </c>
      <c r="K3040">
        <v>2</v>
      </c>
      <c r="L3040">
        <v>600</v>
      </c>
      <c r="M3040">
        <v>1200</v>
      </c>
      <c r="N3040">
        <f>IF(COUNTIFS($B$2:B3040,B3040)=1,1,0)</f>
        <v>1</v>
      </c>
    </row>
    <row r="3041" spans="1:14" x14ac:dyDescent="0.2">
      <c r="A3041">
        <v>3040</v>
      </c>
      <c r="B3041">
        <v>2533</v>
      </c>
      <c r="C3041">
        <f>1/COUNTIF(B:B,Table1[[#This Row],[order_id]])</f>
        <v>0.5</v>
      </c>
      <c r="D3041" t="str">
        <f>TEXT(Table1[[#This Row],[order_date]],"mmmm")</f>
        <v>August</v>
      </c>
      <c r="E3041" s="1">
        <v>45525</v>
      </c>
      <c r="F3041" s="1" t="str">
        <f>TEXT(Table1[[#This Row],[order_date]],"dddd")</f>
        <v>Wednesday</v>
      </c>
      <c r="G3041">
        <f>HOUR(Table1[[#This Row],[order_time]])</f>
        <v>15</v>
      </c>
      <c r="H3041" s="2">
        <v>0.6290972222222222</v>
      </c>
      <c r="I3041" t="s">
        <v>16</v>
      </c>
      <c r="J3041" t="s">
        <v>24</v>
      </c>
      <c r="K3041">
        <v>2</v>
      </c>
      <c r="L3041">
        <v>35</v>
      </c>
      <c r="M3041">
        <v>70</v>
      </c>
      <c r="N3041">
        <f>IF(COUNTIFS($B$2:B3041,B3041)=1,1,0)</f>
        <v>1</v>
      </c>
    </row>
    <row r="3042" spans="1:14" x14ac:dyDescent="0.2">
      <c r="A3042">
        <v>3041</v>
      </c>
      <c r="B3042">
        <v>2533</v>
      </c>
      <c r="C3042">
        <f>1/COUNTIF(B:B,Table1[[#This Row],[order_id]])</f>
        <v>0.5</v>
      </c>
      <c r="D3042" t="str">
        <f>TEXT(Table1[[#This Row],[order_date]],"mmmm")</f>
        <v>August</v>
      </c>
      <c r="E3042" s="1">
        <v>45525</v>
      </c>
      <c r="F3042" s="1" t="str">
        <f>TEXT(Table1[[#This Row],[order_date]],"dddd")</f>
        <v>Wednesday</v>
      </c>
      <c r="G3042">
        <f>HOUR(Table1[[#This Row],[order_time]])</f>
        <v>12</v>
      </c>
      <c r="H3042" s="2">
        <v>0.53986111111111112</v>
      </c>
      <c r="I3042" t="s">
        <v>11</v>
      </c>
      <c r="J3042" t="s">
        <v>25</v>
      </c>
      <c r="K3042">
        <v>3</v>
      </c>
      <c r="L3042">
        <v>1000</v>
      </c>
      <c r="M3042">
        <v>3000</v>
      </c>
      <c r="N3042">
        <f>IF(COUNTIFS($B$2:B3042,B3042)=1,1,0)</f>
        <v>0</v>
      </c>
    </row>
    <row r="3043" spans="1:14" x14ac:dyDescent="0.2">
      <c r="A3043">
        <v>3042</v>
      </c>
      <c r="B3043">
        <v>2534</v>
      </c>
      <c r="C3043">
        <f>1/COUNTIF(B:B,Table1[[#This Row],[order_id]])</f>
        <v>1</v>
      </c>
      <c r="D3043" t="str">
        <f>TEXT(Table1[[#This Row],[order_date]],"mmmm")</f>
        <v>August</v>
      </c>
      <c r="E3043" s="1">
        <v>45525</v>
      </c>
      <c r="F3043" s="1" t="str">
        <f>TEXT(Table1[[#This Row],[order_date]],"dddd")</f>
        <v>Wednesday</v>
      </c>
      <c r="G3043">
        <f>HOUR(Table1[[#This Row],[order_time]])</f>
        <v>14</v>
      </c>
      <c r="H3043" s="2">
        <v>0.60789351851851847</v>
      </c>
      <c r="I3043" t="s">
        <v>18</v>
      </c>
      <c r="J3043" t="s">
        <v>27</v>
      </c>
      <c r="K3043">
        <v>2</v>
      </c>
      <c r="L3043">
        <v>40</v>
      </c>
      <c r="M3043">
        <v>80</v>
      </c>
      <c r="N3043">
        <f>IF(COUNTIFS($B$2:B3043,B3043)=1,1,0)</f>
        <v>1</v>
      </c>
    </row>
    <row r="3044" spans="1:14" x14ac:dyDescent="0.2">
      <c r="A3044">
        <v>3043</v>
      </c>
      <c r="B3044">
        <v>2535</v>
      </c>
      <c r="C3044">
        <f>1/COUNTIF(B:B,Table1[[#This Row],[order_id]])</f>
        <v>0.33333333333333331</v>
      </c>
      <c r="D3044" t="str">
        <f>TEXT(Table1[[#This Row],[order_date]],"mmmm")</f>
        <v>August</v>
      </c>
      <c r="E3044" s="1">
        <v>45525</v>
      </c>
      <c r="F3044" s="1" t="str">
        <f>TEXT(Table1[[#This Row],[order_date]],"dddd")</f>
        <v>Wednesday</v>
      </c>
      <c r="G3044">
        <f>HOUR(Table1[[#This Row],[order_time]])</f>
        <v>13</v>
      </c>
      <c r="H3044" s="2">
        <v>0.56521990740740746</v>
      </c>
      <c r="I3044" t="s">
        <v>18</v>
      </c>
      <c r="J3044" t="s">
        <v>30</v>
      </c>
      <c r="K3044">
        <v>2</v>
      </c>
      <c r="L3044">
        <v>60</v>
      </c>
      <c r="M3044">
        <v>120</v>
      </c>
      <c r="N3044">
        <f>IF(COUNTIFS($B$2:B3044,B3044)=1,1,0)</f>
        <v>1</v>
      </c>
    </row>
    <row r="3045" spans="1:14" x14ac:dyDescent="0.2">
      <c r="A3045">
        <v>3044</v>
      </c>
      <c r="B3045">
        <v>2535</v>
      </c>
      <c r="C3045">
        <f>1/COUNTIF(B:B,Table1[[#This Row],[order_id]])</f>
        <v>0.33333333333333331</v>
      </c>
      <c r="D3045" t="str">
        <f>TEXT(Table1[[#This Row],[order_date]],"mmmm")</f>
        <v>August</v>
      </c>
      <c r="E3045" s="1">
        <v>45525</v>
      </c>
      <c r="F3045" s="1" t="str">
        <f>TEXT(Table1[[#This Row],[order_date]],"dddd")</f>
        <v>Wednesday</v>
      </c>
      <c r="G3045">
        <f>HOUR(Table1[[#This Row],[order_time]])</f>
        <v>9</v>
      </c>
      <c r="H3045" s="2">
        <v>0.4130787037037037</v>
      </c>
      <c r="I3045" t="s">
        <v>18</v>
      </c>
      <c r="J3045" t="s">
        <v>19</v>
      </c>
      <c r="K3045">
        <v>5</v>
      </c>
      <c r="L3045">
        <v>50</v>
      </c>
      <c r="M3045">
        <v>250</v>
      </c>
      <c r="N3045">
        <f>IF(COUNTIFS($B$2:B3045,B3045)=1,1,0)</f>
        <v>0</v>
      </c>
    </row>
    <row r="3046" spans="1:14" x14ac:dyDescent="0.2">
      <c r="A3046">
        <v>3045</v>
      </c>
      <c r="B3046">
        <v>2535</v>
      </c>
      <c r="C3046">
        <f>1/COUNTIF(B:B,Table1[[#This Row],[order_id]])</f>
        <v>0.33333333333333331</v>
      </c>
      <c r="D3046" t="str">
        <f>TEXT(Table1[[#This Row],[order_date]],"mmmm")</f>
        <v>August</v>
      </c>
      <c r="E3046" s="1">
        <v>45525</v>
      </c>
      <c r="F3046" s="1" t="str">
        <f>TEXT(Table1[[#This Row],[order_date]],"dddd")</f>
        <v>Wednesday</v>
      </c>
      <c r="G3046">
        <f>HOUR(Table1[[#This Row],[order_time]])</f>
        <v>11</v>
      </c>
      <c r="H3046" s="2">
        <v>0.48813657407407407</v>
      </c>
      <c r="I3046" t="s">
        <v>11</v>
      </c>
      <c r="J3046" t="s">
        <v>13</v>
      </c>
      <c r="K3046">
        <v>4</v>
      </c>
      <c r="L3046">
        <v>680</v>
      </c>
      <c r="M3046">
        <v>2720</v>
      </c>
      <c r="N3046">
        <f>IF(COUNTIFS($B$2:B3046,B3046)=1,1,0)</f>
        <v>0</v>
      </c>
    </row>
    <row r="3047" spans="1:14" x14ac:dyDescent="0.2">
      <c r="A3047">
        <v>3046</v>
      </c>
      <c r="B3047">
        <v>2536</v>
      </c>
      <c r="C3047">
        <f>1/COUNTIF(B:B,Table1[[#This Row],[order_id]])</f>
        <v>0.5</v>
      </c>
      <c r="D3047" t="str">
        <f>TEXT(Table1[[#This Row],[order_date]],"mmmm")</f>
        <v>August</v>
      </c>
      <c r="E3047" s="1">
        <v>45526</v>
      </c>
      <c r="F3047" s="1" t="str">
        <f>TEXT(Table1[[#This Row],[order_date]],"dddd")</f>
        <v>Thursday</v>
      </c>
      <c r="G3047">
        <f>HOUR(Table1[[#This Row],[order_time]])</f>
        <v>10</v>
      </c>
      <c r="H3047" s="2">
        <v>0.43524305555555554</v>
      </c>
      <c r="I3047" t="s">
        <v>18</v>
      </c>
      <c r="J3047" t="s">
        <v>19</v>
      </c>
      <c r="K3047">
        <v>5</v>
      </c>
      <c r="L3047">
        <v>50</v>
      </c>
      <c r="M3047">
        <v>250</v>
      </c>
      <c r="N3047">
        <f>IF(COUNTIFS($B$2:B3047,B3047)=1,1,0)</f>
        <v>1</v>
      </c>
    </row>
    <row r="3048" spans="1:14" x14ac:dyDescent="0.2">
      <c r="A3048">
        <v>3047</v>
      </c>
      <c r="B3048">
        <v>2536</v>
      </c>
      <c r="C3048">
        <f>1/COUNTIF(B:B,Table1[[#This Row],[order_id]])</f>
        <v>0.5</v>
      </c>
      <c r="D3048" t="str">
        <f>TEXT(Table1[[#This Row],[order_date]],"mmmm")</f>
        <v>August</v>
      </c>
      <c r="E3048" s="1">
        <v>45526</v>
      </c>
      <c r="F3048" s="1" t="str">
        <f>TEXT(Table1[[#This Row],[order_date]],"dddd")</f>
        <v>Thursday</v>
      </c>
      <c r="G3048">
        <f>HOUR(Table1[[#This Row],[order_time]])</f>
        <v>9</v>
      </c>
      <c r="H3048" s="2">
        <v>0.38146990740740738</v>
      </c>
      <c r="I3048" t="s">
        <v>9</v>
      </c>
      <c r="J3048" t="s">
        <v>22</v>
      </c>
      <c r="K3048">
        <v>3</v>
      </c>
      <c r="L3048">
        <v>15</v>
      </c>
      <c r="M3048">
        <v>45</v>
      </c>
      <c r="N3048">
        <f>IF(COUNTIFS($B$2:B3048,B3048)=1,1,0)</f>
        <v>0</v>
      </c>
    </row>
    <row r="3049" spans="1:14" x14ac:dyDescent="0.2">
      <c r="A3049">
        <v>3048</v>
      </c>
      <c r="B3049">
        <v>2537</v>
      </c>
      <c r="C3049">
        <f>1/COUNTIF(B:B,Table1[[#This Row],[order_id]])</f>
        <v>0.33333333333333331</v>
      </c>
      <c r="D3049" t="str">
        <f>TEXT(Table1[[#This Row],[order_date]],"mmmm")</f>
        <v>August</v>
      </c>
      <c r="E3049" s="1">
        <v>45526</v>
      </c>
      <c r="F3049" s="1" t="str">
        <f>TEXT(Table1[[#This Row],[order_date]],"dddd")</f>
        <v>Thursday</v>
      </c>
      <c r="G3049">
        <f>HOUR(Table1[[#This Row],[order_time]])</f>
        <v>14</v>
      </c>
      <c r="H3049" s="2">
        <v>0.60106481481481477</v>
      </c>
      <c r="I3049" t="s">
        <v>11</v>
      </c>
      <c r="J3049" t="s">
        <v>14</v>
      </c>
      <c r="K3049">
        <v>2</v>
      </c>
      <c r="L3049">
        <v>700</v>
      </c>
      <c r="M3049">
        <v>1400</v>
      </c>
      <c r="N3049">
        <f>IF(COUNTIFS($B$2:B3049,B3049)=1,1,0)</f>
        <v>1</v>
      </c>
    </row>
    <row r="3050" spans="1:14" x14ac:dyDescent="0.2">
      <c r="A3050">
        <v>3049</v>
      </c>
      <c r="B3050">
        <v>2537</v>
      </c>
      <c r="C3050">
        <f>1/COUNTIF(B:B,Table1[[#This Row],[order_id]])</f>
        <v>0.33333333333333331</v>
      </c>
      <c r="D3050" t="str">
        <f>TEXT(Table1[[#This Row],[order_date]],"mmmm")</f>
        <v>August</v>
      </c>
      <c r="E3050" s="1">
        <v>45526</v>
      </c>
      <c r="F3050" s="1" t="str">
        <f>TEXT(Table1[[#This Row],[order_date]],"dddd")</f>
        <v>Thursday</v>
      </c>
      <c r="G3050">
        <f>HOUR(Table1[[#This Row],[order_time]])</f>
        <v>17</v>
      </c>
      <c r="H3050" s="2">
        <v>0.71001157407407411</v>
      </c>
      <c r="I3050" t="s">
        <v>16</v>
      </c>
      <c r="J3050" t="s">
        <v>23</v>
      </c>
      <c r="K3050">
        <v>5</v>
      </c>
      <c r="L3050">
        <v>30</v>
      </c>
      <c r="M3050">
        <v>150</v>
      </c>
      <c r="N3050">
        <f>IF(COUNTIFS($B$2:B3050,B3050)=1,1,0)</f>
        <v>0</v>
      </c>
    </row>
    <row r="3051" spans="1:14" x14ac:dyDescent="0.2">
      <c r="A3051">
        <v>3050</v>
      </c>
      <c r="B3051">
        <v>2537</v>
      </c>
      <c r="C3051">
        <f>1/COUNTIF(B:B,Table1[[#This Row],[order_id]])</f>
        <v>0.33333333333333331</v>
      </c>
      <c r="D3051" t="str">
        <f>TEXT(Table1[[#This Row],[order_date]],"mmmm")</f>
        <v>August</v>
      </c>
      <c r="E3051" s="1">
        <v>45526</v>
      </c>
      <c r="F3051" s="1" t="str">
        <f>TEXT(Table1[[#This Row],[order_date]],"dddd")</f>
        <v>Thursday</v>
      </c>
      <c r="G3051">
        <f>HOUR(Table1[[#This Row],[order_time]])</f>
        <v>11</v>
      </c>
      <c r="H3051" s="2">
        <v>0.4934837962962963</v>
      </c>
      <c r="I3051" t="s">
        <v>18</v>
      </c>
      <c r="J3051" t="s">
        <v>30</v>
      </c>
      <c r="K3051">
        <v>4</v>
      </c>
      <c r="L3051">
        <v>60</v>
      </c>
      <c r="M3051">
        <v>240</v>
      </c>
      <c r="N3051">
        <f>IF(COUNTIFS($B$2:B3051,B3051)=1,1,0)</f>
        <v>0</v>
      </c>
    </row>
    <row r="3052" spans="1:14" x14ac:dyDescent="0.2">
      <c r="A3052">
        <v>3051</v>
      </c>
      <c r="B3052">
        <v>2538</v>
      </c>
      <c r="C3052">
        <f>1/COUNTIF(B:B,Table1[[#This Row],[order_id]])</f>
        <v>0.33333333333333331</v>
      </c>
      <c r="D3052" t="str">
        <f>TEXT(Table1[[#This Row],[order_date]],"mmmm")</f>
        <v>August</v>
      </c>
      <c r="E3052" s="1">
        <v>45526</v>
      </c>
      <c r="F3052" s="1" t="str">
        <f>TEXT(Table1[[#This Row],[order_date]],"dddd")</f>
        <v>Thursday</v>
      </c>
      <c r="G3052">
        <f>HOUR(Table1[[#This Row],[order_time]])</f>
        <v>13</v>
      </c>
      <c r="H3052" s="2">
        <v>0.54531249999999998</v>
      </c>
      <c r="I3052" t="s">
        <v>18</v>
      </c>
      <c r="J3052" t="s">
        <v>26</v>
      </c>
      <c r="K3052">
        <v>3</v>
      </c>
      <c r="L3052">
        <v>55</v>
      </c>
      <c r="M3052">
        <v>165</v>
      </c>
      <c r="N3052">
        <f>IF(COUNTIFS($B$2:B3052,B3052)=1,1,0)</f>
        <v>1</v>
      </c>
    </row>
    <row r="3053" spans="1:14" x14ac:dyDescent="0.2">
      <c r="A3053">
        <v>3052</v>
      </c>
      <c r="B3053">
        <v>2538</v>
      </c>
      <c r="C3053">
        <f>1/COUNTIF(B:B,Table1[[#This Row],[order_id]])</f>
        <v>0.33333333333333331</v>
      </c>
      <c r="D3053" t="str">
        <f>TEXT(Table1[[#This Row],[order_date]],"mmmm")</f>
        <v>August</v>
      </c>
      <c r="E3053" s="1">
        <v>45526</v>
      </c>
      <c r="F3053" s="1" t="str">
        <f>TEXT(Table1[[#This Row],[order_date]],"dddd")</f>
        <v>Thursday</v>
      </c>
      <c r="G3053">
        <f>HOUR(Table1[[#This Row],[order_time]])</f>
        <v>11</v>
      </c>
      <c r="H3053" s="2">
        <v>0.48548611111111112</v>
      </c>
      <c r="I3053" t="s">
        <v>16</v>
      </c>
      <c r="J3053" t="s">
        <v>28</v>
      </c>
      <c r="K3053">
        <v>5</v>
      </c>
      <c r="L3053">
        <v>25</v>
      </c>
      <c r="M3053">
        <v>125</v>
      </c>
      <c r="N3053">
        <f>IF(COUNTIFS($B$2:B3053,B3053)=1,1,0)</f>
        <v>0</v>
      </c>
    </row>
    <row r="3054" spans="1:14" x14ac:dyDescent="0.2">
      <c r="A3054">
        <v>3053</v>
      </c>
      <c r="B3054">
        <v>2538</v>
      </c>
      <c r="C3054">
        <f>1/COUNTIF(B:B,Table1[[#This Row],[order_id]])</f>
        <v>0.33333333333333331</v>
      </c>
      <c r="D3054" t="str">
        <f>TEXT(Table1[[#This Row],[order_date]],"mmmm")</f>
        <v>August</v>
      </c>
      <c r="E3054" s="1">
        <v>45526</v>
      </c>
      <c r="F3054" s="1" t="str">
        <f>TEXT(Table1[[#This Row],[order_date]],"dddd")</f>
        <v>Thursday</v>
      </c>
      <c r="G3054">
        <f>HOUR(Table1[[#This Row],[order_time]])</f>
        <v>15</v>
      </c>
      <c r="H3054" s="2">
        <v>0.66618055555555555</v>
      </c>
      <c r="I3054" t="s">
        <v>18</v>
      </c>
      <c r="J3054" t="s">
        <v>27</v>
      </c>
      <c r="K3054">
        <v>1</v>
      </c>
      <c r="L3054">
        <v>40</v>
      </c>
      <c r="M3054">
        <v>40</v>
      </c>
      <c r="N3054">
        <f>IF(COUNTIFS($B$2:B3054,B3054)=1,1,0)</f>
        <v>0</v>
      </c>
    </row>
    <row r="3055" spans="1:14" x14ac:dyDescent="0.2">
      <c r="A3055">
        <v>3054</v>
      </c>
      <c r="B3055">
        <v>2539</v>
      </c>
      <c r="C3055">
        <f>1/COUNTIF(B:B,Table1[[#This Row],[order_id]])</f>
        <v>1</v>
      </c>
      <c r="D3055" t="str">
        <f>TEXT(Table1[[#This Row],[order_date]],"mmmm")</f>
        <v>August</v>
      </c>
      <c r="E3055" s="1">
        <v>45526</v>
      </c>
      <c r="F3055" s="1" t="str">
        <f>TEXT(Table1[[#This Row],[order_date]],"dddd")</f>
        <v>Thursday</v>
      </c>
      <c r="G3055">
        <f>HOUR(Table1[[#This Row],[order_time]])</f>
        <v>14</v>
      </c>
      <c r="H3055" s="2">
        <v>0.62489583333333332</v>
      </c>
      <c r="I3055" t="s">
        <v>9</v>
      </c>
      <c r="J3055" t="s">
        <v>20</v>
      </c>
      <c r="K3055">
        <v>5</v>
      </c>
      <c r="L3055">
        <v>25</v>
      </c>
      <c r="M3055">
        <v>125</v>
      </c>
      <c r="N3055">
        <f>IF(COUNTIFS($B$2:B3055,B3055)=1,1,0)</f>
        <v>1</v>
      </c>
    </row>
    <row r="3056" spans="1:14" x14ac:dyDescent="0.2">
      <c r="A3056">
        <v>3055</v>
      </c>
      <c r="B3056">
        <v>2540</v>
      </c>
      <c r="C3056">
        <f>1/COUNTIF(B:B,Table1[[#This Row],[order_id]])</f>
        <v>0.33333333333333331</v>
      </c>
      <c r="D3056" t="str">
        <f>TEXT(Table1[[#This Row],[order_date]],"mmmm")</f>
        <v>August</v>
      </c>
      <c r="E3056" s="1">
        <v>45526</v>
      </c>
      <c r="F3056" s="1" t="str">
        <f>TEXT(Table1[[#This Row],[order_date]],"dddd")</f>
        <v>Thursday</v>
      </c>
      <c r="G3056">
        <f>HOUR(Table1[[#This Row],[order_time]])</f>
        <v>17</v>
      </c>
      <c r="H3056" s="2">
        <v>0.71949074074074071</v>
      </c>
      <c r="I3056" t="s">
        <v>9</v>
      </c>
      <c r="J3056" t="s">
        <v>29</v>
      </c>
      <c r="K3056">
        <v>4</v>
      </c>
      <c r="L3056">
        <v>5</v>
      </c>
      <c r="M3056">
        <v>20</v>
      </c>
      <c r="N3056">
        <f>IF(COUNTIFS($B$2:B3056,B3056)=1,1,0)</f>
        <v>1</v>
      </c>
    </row>
    <row r="3057" spans="1:14" x14ac:dyDescent="0.2">
      <c r="A3057">
        <v>3056</v>
      </c>
      <c r="B3057">
        <v>2540</v>
      </c>
      <c r="C3057">
        <f>1/COUNTIF(B:B,Table1[[#This Row],[order_id]])</f>
        <v>0.33333333333333331</v>
      </c>
      <c r="D3057" t="str">
        <f>TEXT(Table1[[#This Row],[order_date]],"mmmm")</f>
        <v>August</v>
      </c>
      <c r="E3057" s="1">
        <v>45526</v>
      </c>
      <c r="F3057" s="1" t="str">
        <f>TEXT(Table1[[#This Row],[order_date]],"dddd")</f>
        <v>Thursday</v>
      </c>
      <c r="G3057">
        <f>HOUR(Table1[[#This Row],[order_time]])</f>
        <v>11</v>
      </c>
      <c r="H3057" s="2">
        <v>0.48614583333333333</v>
      </c>
      <c r="I3057" t="s">
        <v>9</v>
      </c>
      <c r="J3057" t="s">
        <v>20</v>
      </c>
      <c r="K3057">
        <v>1</v>
      </c>
      <c r="L3057">
        <v>25</v>
      </c>
      <c r="M3057">
        <v>25</v>
      </c>
      <c r="N3057">
        <f>IF(COUNTIFS($B$2:B3057,B3057)=1,1,0)</f>
        <v>0</v>
      </c>
    </row>
    <row r="3058" spans="1:14" x14ac:dyDescent="0.2">
      <c r="A3058">
        <v>3057</v>
      </c>
      <c r="B3058">
        <v>2540</v>
      </c>
      <c r="C3058">
        <f>1/COUNTIF(B:B,Table1[[#This Row],[order_id]])</f>
        <v>0.33333333333333331</v>
      </c>
      <c r="D3058" t="str">
        <f>TEXT(Table1[[#This Row],[order_date]],"mmmm")</f>
        <v>August</v>
      </c>
      <c r="E3058" s="1">
        <v>45526</v>
      </c>
      <c r="F3058" s="1" t="str">
        <f>TEXT(Table1[[#This Row],[order_date]],"dddd")</f>
        <v>Thursday</v>
      </c>
      <c r="G3058">
        <f>HOUR(Table1[[#This Row],[order_time]])</f>
        <v>10</v>
      </c>
      <c r="H3058" s="2">
        <v>0.4500925925925926</v>
      </c>
      <c r="I3058" t="s">
        <v>9</v>
      </c>
      <c r="J3058" t="s">
        <v>22</v>
      </c>
      <c r="K3058">
        <v>2</v>
      </c>
      <c r="L3058">
        <v>15</v>
      </c>
      <c r="M3058">
        <v>30</v>
      </c>
      <c r="N3058">
        <f>IF(COUNTIFS($B$2:B3058,B3058)=1,1,0)</f>
        <v>0</v>
      </c>
    </row>
    <row r="3059" spans="1:14" x14ac:dyDescent="0.2">
      <c r="A3059">
        <v>3058</v>
      </c>
      <c r="B3059">
        <v>2541</v>
      </c>
      <c r="C3059">
        <f>1/COUNTIF(B:B,Table1[[#This Row],[order_id]])</f>
        <v>0.5</v>
      </c>
      <c r="D3059" t="str">
        <f>TEXT(Table1[[#This Row],[order_date]],"mmmm")</f>
        <v>August</v>
      </c>
      <c r="E3059" s="1">
        <v>45526</v>
      </c>
      <c r="F3059" s="1" t="str">
        <f>TEXT(Table1[[#This Row],[order_date]],"dddd")</f>
        <v>Thursday</v>
      </c>
      <c r="G3059">
        <f>HOUR(Table1[[#This Row],[order_time]])</f>
        <v>12</v>
      </c>
      <c r="H3059" s="2">
        <v>0.52325231481481482</v>
      </c>
      <c r="I3059" t="s">
        <v>11</v>
      </c>
      <c r="J3059" t="s">
        <v>13</v>
      </c>
      <c r="K3059">
        <v>2</v>
      </c>
      <c r="L3059">
        <v>680</v>
      </c>
      <c r="M3059">
        <v>1360</v>
      </c>
      <c r="N3059">
        <f>IF(COUNTIFS($B$2:B3059,B3059)=1,1,0)</f>
        <v>1</v>
      </c>
    </row>
    <row r="3060" spans="1:14" x14ac:dyDescent="0.2">
      <c r="A3060">
        <v>3059</v>
      </c>
      <c r="B3060">
        <v>2541</v>
      </c>
      <c r="C3060">
        <f>1/COUNTIF(B:B,Table1[[#This Row],[order_id]])</f>
        <v>0.5</v>
      </c>
      <c r="D3060" t="str">
        <f>TEXT(Table1[[#This Row],[order_date]],"mmmm")</f>
        <v>August</v>
      </c>
      <c r="E3060" s="1">
        <v>45526</v>
      </c>
      <c r="F3060" s="1" t="str">
        <f>TEXT(Table1[[#This Row],[order_date]],"dddd")</f>
        <v>Thursday</v>
      </c>
      <c r="G3060">
        <f>HOUR(Table1[[#This Row],[order_time]])</f>
        <v>17</v>
      </c>
      <c r="H3060" s="2">
        <v>0.73399305555555561</v>
      </c>
      <c r="I3060" t="s">
        <v>11</v>
      </c>
      <c r="J3060" t="s">
        <v>25</v>
      </c>
      <c r="K3060">
        <v>3</v>
      </c>
      <c r="L3060">
        <v>1000</v>
      </c>
      <c r="M3060">
        <v>3000</v>
      </c>
      <c r="N3060">
        <f>IF(COUNTIFS($B$2:B3060,B3060)=1,1,0)</f>
        <v>0</v>
      </c>
    </row>
    <row r="3061" spans="1:14" x14ac:dyDescent="0.2">
      <c r="A3061">
        <v>3060</v>
      </c>
      <c r="B3061">
        <v>2542</v>
      </c>
      <c r="C3061">
        <f>1/COUNTIF(B:B,Table1[[#This Row],[order_id]])</f>
        <v>0.33333333333333331</v>
      </c>
      <c r="D3061" t="str">
        <f>TEXT(Table1[[#This Row],[order_date]],"mmmm")</f>
        <v>August</v>
      </c>
      <c r="E3061" s="1">
        <v>45527</v>
      </c>
      <c r="F3061" s="1" t="str">
        <f>TEXT(Table1[[#This Row],[order_date]],"dddd")</f>
        <v>Friday</v>
      </c>
      <c r="G3061">
        <f>HOUR(Table1[[#This Row],[order_time]])</f>
        <v>11</v>
      </c>
      <c r="H3061" s="2">
        <v>0.47293981481481484</v>
      </c>
      <c r="I3061" t="s">
        <v>16</v>
      </c>
      <c r="J3061" t="s">
        <v>23</v>
      </c>
      <c r="K3061">
        <v>2</v>
      </c>
      <c r="L3061">
        <v>30</v>
      </c>
      <c r="M3061">
        <v>60</v>
      </c>
      <c r="N3061">
        <f>IF(COUNTIFS($B$2:B3061,B3061)=1,1,0)</f>
        <v>1</v>
      </c>
    </row>
    <row r="3062" spans="1:14" x14ac:dyDescent="0.2">
      <c r="A3062">
        <v>3061</v>
      </c>
      <c r="B3062">
        <v>2542</v>
      </c>
      <c r="C3062">
        <f>1/COUNTIF(B:B,Table1[[#This Row],[order_id]])</f>
        <v>0.33333333333333331</v>
      </c>
      <c r="D3062" t="str">
        <f>TEXT(Table1[[#This Row],[order_date]],"mmmm")</f>
        <v>August</v>
      </c>
      <c r="E3062" s="1">
        <v>45527</v>
      </c>
      <c r="F3062" s="1" t="str">
        <f>TEXT(Table1[[#This Row],[order_date]],"dddd")</f>
        <v>Friday</v>
      </c>
      <c r="G3062">
        <f>HOUR(Table1[[#This Row],[order_time]])</f>
        <v>19</v>
      </c>
      <c r="H3062" s="2">
        <v>0.83247685185185183</v>
      </c>
      <c r="I3062" t="s">
        <v>9</v>
      </c>
      <c r="J3062" t="s">
        <v>22</v>
      </c>
      <c r="K3062">
        <v>3</v>
      </c>
      <c r="L3062">
        <v>15</v>
      </c>
      <c r="M3062">
        <v>45</v>
      </c>
      <c r="N3062">
        <f>IF(COUNTIFS($B$2:B3062,B3062)=1,1,0)</f>
        <v>0</v>
      </c>
    </row>
    <row r="3063" spans="1:14" x14ac:dyDescent="0.2">
      <c r="A3063">
        <v>3062</v>
      </c>
      <c r="B3063">
        <v>2542</v>
      </c>
      <c r="C3063">
        <f>1/COUNTIF(B:B,Table1[[#This Row],[order_id]])</f>
        <v>0.33333333333333331</v>
      </c>
      <c r="D3063" t="str">
        <f>TEXT(Table1[[#This Row],[order_date]],"mmmm")</f>
        <v>August</v>
      </c>
      <c r="E3063" s="1">
        <v>45527</v>
      </c>
      <c r="F3063" s="1" t="str">
        <f>TEXT(Table1[[#This Row],[order_date]],"dddd")</f>
        <v>Friday</v>
      </c>
      <c r="G3063">
        <f>HOUR(Table1[[#This Row],[order_time]])</f>
        <v>16</v>
      </c>
      <c r="H3063" s="2">
        <v>0.69741898148148151</v>
      </c>
      <c r="I3063" t="s">
        <v>16</v>
      </c>
      <c r="J3063" t="s">
        <v>23</v>
      </c>
      <c r="K3063">
        <v>2</v>
      </c>
      <c r="L3063">
        <v>30</v>
      </c>
      <c r="M3063">
        <v>60</v>
      </c>
      <c r="N3063">
        <f>IF(COUNTIFS($B$2:B3063,B3063)=1,1,0)</f>
        <v>0</v>
      </c>
    </row>
    <row r="3064" spans="1:14" x14ac:dyDescent="0.2">
      <c r="A3064">
        <v>3063</v>
      </c>
      <c r="B3064">
        <v>2543</v>
      </c>
      <c r="C3064">
        <f>1/COUNTIF(B:B,Table1[[#This Row],[order_id]])</f>
        <v>1</v>
      </c>
      <c r="D3064" t="str">
        <f>TEXT(Table1[[#This Row],[order_date]],"mmmm")</f>
        <v>August</v>
      </c>
      <c r="E3064" s="1">
        <v>45527</v>
      </c>
      <c r="F3064" s="1" t="str">
        <f>TEXT(Table1[[#This Row],[order_date]],"dddd")</f>
        <v>Friday</v>
      </c>
      <c r="G3064">
        <f>HOUR(Table1[[#This Row],[order_time]])</f>
        <v>14</v>
      </c>
      <c r="H3064" s="2">
        <v>0.61701388888888886</v>
      </c>
      <c r="I3064" t="s">
        <v>9</v>
      </c>
      <c r="J3064" t="s">
        <v>10</v>
      </c>
      <c r="K3064">
        <v>1</v>
      </c>
      <c r="L3064">
        <v>20</v>
      </c>
      <c r="M3064">
        <v>20</v>
      </c>
      <c r="N3064">
        <f>IF(COUNTIFS($B$2:B3064,B3064)=1,1,0)</f>
        <v>1</v>
      </c>
    </row>
    <row r="3065" spans="1:14" x14ac:dyDescent="0.2">
      <c r="A3065">
        <v>3064</v>
      </c>
      <c r="B3065">
        <v>2544</v>
      </c>
      <c r="C3065">
        <f>1/COUNTIF(B:B,Table1[[#This Row],[order_id]])</f>
        <v>1</v>
      </c>
      <c r="D3065" t="str">
        <f>TEXT(Table1[[#This Row],[order_date]],"mmmm")</f>
        <v>August</v>
      </c>
      <c r="E3065" s="1">
        <v>45527</v>
      </c>
      <c r="F3065" s="1" t="str">
        <f>TEXT(Table1[[#This Row],[order_date]],"dddd")</f>
        <v>Friday</v>
      </c>
      <c r="G3065">
        <f>HOUR(Table1[[#This Row],[order_time]])</f>
        <v>9</v>
      </c>
      <c r="H3065" s="2">
        <v>0.4085300925925926</v>
      </c>
      <c r="I3065" t="s">
        <v>11</v>
      </c>
      <c r="J3065" t="s">
        <v>12</v>
      </c>
      <c r="K3065">
        <v>1</v>
      </c>
      <c r="L3065">
        <v>650</v>
      </c>
      <c r="M3065">
        <v>650</v>
      </c>
      <c r="N3065">
        <f>IF(COUNTIFS($B$2:B3065,B3065)=1,1,0)</f>
        <v>1</v>
      </c>
    </row>
    <row r="3066" spans="1:14" x14ac:dyDescent="0.2">
      <c r="A3066">
        <v>3065</v>
      </c>
      <c r="B3066">
        <v>2545</v>
      </c>
      <c r="C3066">
        <f>1/COUNTIF(B:B,Table1[[#This Row],[order_id]])</f>
        <v>0.5</v>
      </c>
      <c r="D3066" t="str">
        <f>TEXT(Table1[[#This Row],[order_date]],"mmmm")</f>
        <v>August</v>
      </c>
      <c r="E3066" s="1">
        <v>45527</v>
      </c>
      <c r="F3066" s="1" t="str">
        <f>TEXT(Table1[[#This Row],[order_date]],"dddd")</f>
        <v>Friday</v>
      </c>
      <c r="G3066">
        <f>HOUR(Table1[[#This Row],[order_time]])</f>
        <v>17</v>
      </c>
      <c r="H3066" s="2">
        <v>0.73444444444444446</v>
      </c>
      <c r="I3066" t="s">
        <v>9</v>
      </c>
      <c r="J3066" t="s">
        <v>10</v>
      </c>
      <c r="K3066">
        <v>5</v>
      </c>
      <c r="L3066">
        <v>20</v>
      </c>
      <c r="M3066">
        <v>100</v>
      </c>
      <c r="N3066">
        <f>IF(COUNTIFS($B$2:B3066,B3066)=1,1,0)</f>
        <v>1</v>
      </c>
    </row>
    <row r="3067" spans="1:14" x14ac:dyDescent="0.2">
      <c r="A3067">
        <v>3066</v>
      </c>
      <c r="B3067">
        <v>2545</v>
      </c>
      <c r="C3067">
        <f>1/COUNTIF(B:B,Table1[[#This Row],[order_id]])</f>
        <v>0.5</v>
      </c>
      <c r="D3067" t="str">
        <f>TEXT(Table1[[#This Row],[order_date]],"mmmm")</f>
        <v>August</v>
      </c>
      <c r="E3067" s="1">
        <v>45527</v>
      </c>
      <c r="F3067" s="1" t="str">
        <f>TEXT(Table1[[#This Row],[order_date]],"dddd")</f>
        <v>Friday</v>
      </c>
      <c r="G3067">
        <f>HOUR(Table1[[#This Row],[order_time]])</f>
        <v>10</v>
      </c>
      <c r="H3067" s="2">
        <v>0.4178587962962963</v>
      </c>
      <c r="I3067" t="s">
        <v>18</v>
      </c>
      <c r="J3067" t="s">
        <v>27</v>
      </c>
      <c r="K3067">
        <v>1</v>
      </c>
      <c r="L3067">
        <v>40</v>
      </c>
      <c r="M3067">
        <v>40</v>
      </c>
      <c r="N3067">
        <f>IF(COUNTIFS($B$2:B3067,B3067)=1,1,0)</f>
        <v>0</v>
      </c>
    </row>
    <row r="3068" spans="1:14" x14ac:dyDescent="0.2">
      <c r="A3068">
        <v>3067</v>
      </c>
      <c r="B3068">
        <v>2546</v>
      </c>
      <c r="C3068">
        <f>1/COUNTIF(B:B,Table1[[#This Row],[order_id]])</f>
        <v>0.5</v>
      </c>
      <c r="D3068" t="str">
        <f>TEXT(Table1[[#This Row],[order_date]],"mmmm")</f>
        <v>August</v>
      </c>
      <c r="E3068" s="1">
        <v>45527</v>
      </c>
      <c r="F3068" s="1" t="str">
        <f>TEXT(Table1[[#This Row],[order_date]],"dddd")</f>
        <v>Friday</v>
      </c>
      <c r="G3068">
        <f>HOUR(Table1[[#This Row],[order_time]])</f>
        <v>19</v>
      </c>
      <c r="H3068" s="2">
        <v>0.82281249999999995</v>
      </c>
      <c r="I3068" t="s">
        <v>11</v>
      </c>
      <c r="J3068" t="s">
        <v>13</v>
      </c>
      <c r="K3068">
        <v>4</v>
      </c>
      <c r="L3068">
        <v>680</v>
      </c>
      <c r="M3068">
        <v>2720</v>
      </c>
      <c r="N3068">
        <f>IF(COUNTIFS($B$2:B3068,B3068)=1,1,0)</f>
        <v>1</v>
      </c>
    </row>
    <row r="3069" spans="1:14" x14ac:dyDescent="0.2">
      <c r="A3069">
        <v>3068</v>
      </c>
      <c r="B3069">
        <v>2546</v>
      </c>
      <c r="C3069">
        <f>1/COUNTIF(B:B,Table1[[#This Row],[order_id]])</f>
        <v>0.5</v>
      </c>
      <c r="D3069" t="str">
        <f>TEXT(Table1[[#This Row],[order_date]],"mmmm")</f>
        <v>August</v>
      </c>
      <c r="E3069" s="1">
        <v>45527</v>
      </c>
      <c r="F3069" s="1" t="str">
        <f>TEXT(Table1[[#This Row],[order_date]],"dddd")</f>
        <v>Friday</v>
      </c>
      <c r="G3069">
        <f>HOUR(Table1[[#This Row],[order_time]])</f>
        <v>13</v>
      </c>
      <c r="H3069" s="2">
        <v>0.5502083333333333</v>
      </c>
      <c r="I3069" t="s">
        <v>9</v>
      </c>
      <c r="J3069" t="s">
        <v>10</v>
      </c>
      <c r="K3069">
        <v>5</v>
      </c>
      <c r="L3069">
        <v>20</v>
      </c>
      <c r="M3069">
        <v>100</v>
      </c>
      <c r="N3069">
        <f>IF(COUNTIFS($B$2:B3069,B3069)=1,1,0)</f>
        <v>0</v>
      </c>
    </row>
    <row r="3070" spans="1:14" x14ac:dyDescent="0.2">
      <c r="A3070">
        <v>3069</v>
      </c>
      <c r="B3070">
        <v>2547</v>
      </c>
      <c r="C3070">
        <f>1/COUNTIF(B:B,Table1[[#This Row],[order_id]])</f>
        <v>1</v>
      </c>
      <c r="D3070" t="str">
        <f>TEXT(Table1[[#This Row],[order_date]],"mmmm")</f>
        <v>August</v>
      </c>
      <c r="E3070" s="1">
        <v>45527</v>
      </c>
      <c r="F3070" s="1" t="str">
        <f>TEXT(Table1[[#This Row],[order_date]],"dddd")</f>
        <v>Friday</v>
      </c>
      <c r="G3070">
        <f>HOUR(Table1[[#This Row],[order_time]])</f>
        <v>12</v>
      </c>
      <c r="H3070" s="2">
        <v>0.53667824074074078</v>
      </c>
      <c r="I3070" t="s">
        <v>11</v>
      </c>
      <c r="J3070" t="s">
        <v>15</v>
      </c>
      <c r="K3070">
        <v>1</v>
      </c>
      <c r="L3070">
        <v>600</v>
      </c>
      <c r="M3070">
        <v>600</v>
      </c>
      <c r="N3070">
        <f>IF(COUNTIFS($B$2:B3070,B3070)=1,1,0)</f>
        <v>1</v>
      </c>
    </row>
    <row r="3071" spans="1:14" x14ac:dyDescent="0.2">
      <c r="A3071">
        <v>3070</v>
      </c>
      <c r="B3071">
        <v>2548</v>
      </c>
      <c r="C3071">
        <f>1/COUNTIF(B:B,Table1[[#This Row],[order_id]])</f>
        <v>0.33333333333333331</v>
      </c>
      <c r="D3071" t="str">
        <f>TEXT(Table1[[#This Row],[order_date]],"mmmm")</f>
        <v>August</v>
      </c>
      <c r="E3071" s="1">
        <v>45528</v>
      </c>
      <c r="F3071" s="1" t="str">
        <f>TEXT(Table1[[#This Row],[order_date]],"dddd")</f>
        <v>Saturday</v>
      </c>
      <c r="G3071">
        <f>HOUR(Table1[[#This Row],[order_time]])</f>
        <v>19</v>
      </c>
      <c r="H3071" s="2">
        <v>0.82636574074074076</v>
      </c>
      <c r="I3071" t="s">
        <v>9</v>
      </c>
      <c r="J3071" t="s">
        <v>21</v>
      </c>
      <c r="K3071">
        <v>3</v>
      </c>
      <c r="L3071">
        <v>10</v>
      </c>
      <c r="M3071">
        <v>30</v>
      </c>
      <c r="N3071">
        <f>IF(COUNTIFS($B$2:B3071,B3071)=1,1,0)</f>
        <v>1</v>
      </c>
    </row>
    <row r="3072" spans="1:14" x14ac:dyDescent="0.2">
      <c r="A3072">
        <v>3071</v>
      </c>
      <c r="B3072">
        <v>2548</v>
      </c>
      <c r="C3072">
        <f>1/COUNTIF(B:B,Table1[[#This Row],[order_id]])</f>
        <v>0.33333333333333331</v>
      </c>
      <c r="D3072" t="str">
        <f>TEXT(Table1[[#This Row],[order_date]],"mmmm")</f>
        <v>August</v>
      </c>
      <c r="E3072" s="1">
        <v>45528</v>
      </c>
      <c r="F3072" s="1" t="str">
        <f>TEXT(Table1[[#This Row],[order_date]],"dddd")</f>
        <v>Saturday</v>
      </c>
      <c r="G3072">
        <f>HOUR(Table1[[#This Row],[order_time]])</f>
        <v>13</v>
      </c>
      <c r="H3072" s="2">
        <v>0.57273148148148145</v>
      </c>
      <c r="I3072" t="s">
        <v>11</v>
      </c>
      <c r="J3072" t="s">
        <v>13</v>
      </c>
      <c r="K3072">
        <v>3</v>
      </c>
      <c r="L3072">
        <v>680</v>
      </c>
      <c r="M3072">
        <v>2040</v>
      </c>
      <c r="N3072">
        <f>IF(COUNTIFS($B$2:B3072,B3072)=1,1,0)</f>
        <v>0</v>
      </c>
    </row>
    <row r="3073" spans="1:14" x14ac:dyDescent="0.2">
      <c r="A3073">
        <v>3072</v>
      </c>
      <c r="B3073">
        <v>2548</v>
      </c>
      <c r="C3073">
        <f>1/COUNTIF(B:B,Table1[[#This Row],[order_id]])</f>
        <v>0.33333333333333331</v>
      </c>
      <c r="D3073" t="str">
        <f>TEXT(Table1[[#This Row],[order_date]],"mmmm")</f>
        <v>August</v>
      </c>
      <c r="E3073" s="1">
        <v>45528</v>
      </c>
      <c r="F3073" s="1" t="str">
        <f>TEXT(Table1[[#This Row],[order_date]],"dddd")</f>
        <v>Saturday</v>
      </c>
      <c r="G3073">
        <f>HOUR(Table1[[#This Row],[order_time]])</f>
        <v>14</v>
      </c>
      <c r="H3073" s="2">
        <v>0.59986111111111107</v>
      </c>
      <c r="I3073" t="s">
        <v>11</v>
      </c>
      <c r="J3073" t="s">
        <v>12</v>
      </c>
      <c r="K3073">
        <v>2</v>
      </c>
      <c r="L3073">
        <v>650</v>
      </c>
      <c r="M3073">
        <v>1300</v>
      </c>
      <c r="N3073">
        <f>IF(COUNTIFS($B$2:B3073,B3073)=1,1,0)</f>
        <v>0</v>
      </c>
    </row>
    <row r="3074" spans="1:14" x14ac:dyDescent="0.2">
      <c r="A3074">
        <v>3073</v>
      </c>
      <c r="B3074">
        <v>2549</v>
      </c>
      <c r="C3074">
        <f>1/COUNTIF(B:B,Table1[[#This Row],[order_id]])</f>
        <v>0.33333333333333331</v>
      </c>
      <c r="D3074" t="str">
        <f>TEXT(Table1[[#This Row],[order_date]],"mmmm")</f>
        <v>August</v>
      </c>
      <c r="E3074" s="1">
        <v>45528</v>
      </c>
      <c r="F3074" s="1" t="str">
        <f>TEXT(Table1[[#This Row],[order_date]],"dddd")</f>
        <v>Saturday</v>
      </c>
      <c r="G3074">
        <f>HOUR(Table1[[#This Row],[order_time]])</f>
        <v>14</v>
      </c>
      <c r="H3074" s="2">
        <v>0.59930555555555554</v>
      </c>
      <c r="I3074" t="s">
        <v>16</v>
      </c>
      <c r="J3074" t="s">
        <v>28</v>
      </c>
      <c r="K3074">
        <v>5</v>
      </c>
      <c r="L3074">
        <v>25</v>
      </c>
      <c r="M3074">
        <v>125</v>
      </c>
      <c r="N3074">
        <f>IF(COUNTIFS($B$2:B3074,B3074)=1,1,0)</f>
        <v>1</v>
      </c>
    </row>
    <row r="3075" spans="1:14" x14ac:dyDescent="0.2">
      <c r="A3075">
        <v>3074</v>
      </c>
      <c r="B3075">
        <v>2549</v>
      </c>
      <c r="C3075">
        <f>1/COUNTIF(B:B,Table1[[#This Row],[order_id]])</f>
        <v>0.33333333333333331</v>
      </c>
      <c r="D3075" t="str">
        <f>TEXT(Table1[[#This Row],[order_date]],"mmmm")</f>
        <v>August</v>
      </c>
      <c r="E3075" s="1">
        <v>45528</v>
      </c>
      <c r="F3075" s="1" t="str">
        <f>TEXT(Table1[[#This Row],[order_date]],"dddd")</f>
        <v>Saturday</v>
      </c>
      <c r="G3075">
        <f>HOUR(Table1[[#This Row],[order_time]])</f>
        <v>13</v>
      </c>
      <c r="H3075" s="2">
        <v>0.54451388888888885</v>
      </c>
      <c r="I3075" t="s">
        <v>11</v>
      </c>
      <c r="J3075" t="s">
        <v>14</v>
      </c>
      <c r="K3075">
        <v>2</v>
      </c>
      <c r="L3075">
        <v>700</v>
      </c>
      <c r="M3075">
        <v>1400</v>
      </c>
      <c r="N3075">
        <f>IF(COUNTIFS($B$2:B3075,B3075)=1,1,0)</f>
        <v>0</v>
      </c>
    </row>
    <row r="3076" spans="1:14" x14ac:dyDescent="0.2">
      <c r="A3076">
        <v>3075</v>
      </c>
      <c r="B3076">
        <v>2549</v>
      </c>
      <c r="C3076">
        <f>1/COUNTIF(B:B,Table1[[#This Row],[order_id]])</f>
        <v>0.33333333333333331</v>
      </c>
      <c r="D3076" t="str">
        <f>TEXT(Table1[[#This Row],[order_date]],"mmmm")</f>
        <v>August</v>
      </c>
      <c r="E3076" s="1">
        <v>45528</v>
      </c>
      <c r="F3076" s="1" t="str">
        <f>TEXT(Table1[[#This Row],[order_date]],"dddd")</f>
        <v>Saturday</v>
      </c>
      <c r="G3076">
        <f>HOUR(Table1[[#This Row],[order_time]])</f>
        <v>19</v>
      </c>
      <c r="H3076" s="2">
        <v>0.82991898148148147</v>
      </c>
      <c r="I3076" t="s">
        <v>9</v>
      </c>
      <c r="J3076" t="s">
        <v>21</v>
      </c>
      <c r="K3076">
        <v>4</v>
      </c>
      <c r="L3076">
        <v>10</v>
      </c>
      <c r="M3076">
        <v>40</v>
      </c>
      <c r="N3076">
        <f>IF(COUNTIFS($B$2:B3076,B3076)=1,1,0)</f>
        <v>0</v>
      </c>
    </row>
    <row r="3077" spans="1:14" x14ac:dyDescent="0.2">
      <c r="A3077">
        <v>3076</v>
      </c>
      <c r="B3077">
        <v>2550</v>
      </c>
      <c r="C3077">
        <f>1/COUNTIF(B:B,Table1[[#This Row],[order_id]])</f>
        <v>0.5</v>
      </c>
      <c r="D3077" t="str">
        <f>TEXT(Table1[[#This Row],[order_date]],"mmmm")</f>
        <v>August</v>
      </c>
      <c r="E3077" s="1">
        <v>45528</v>
      </c>
      <c r="F3077" s="1" t="str">
        <f>TEXT(Table1[[#This Row],[order_date]],"dddd")</f>
        <v>Saturday</v>
      </c>
      <c r="G3077">
        <f>HOUR(Table1[[#This Row],[order_time]])</f>
        <v>18</v>
      </c>
      <c r="H3077" s="2">
        <v>0.75707175925925929</v>
      </c>
      <c r="I3077" t="s">
        <v>11</v>
      </c>
      <c r="J3077" t="s">
        <v>15</v>
      </c>
      <c r="K3077">
        <v>5</v>
      </c>
      <c r="L3077">
        <v>600</v>
      </c>
      <c r="M3077">
        <v>3000</v>
      </c>
      <c r="N3077">
        <f>IF(COUNTIFS($B$2:B3077,B3077)=1,1,0)</f>
        <v>1</v>
      </c>
    </row>
    <row r="3078" spans="1:14" x14ac:dyDescent="0.2">
      <c r="A3078">
        <v>3077</v>
      </c>
      <c r="B3078">
        <v>2550</v>
      </c>
      <c r="C3078">
        <f>1/COUNTIF(B:B,Table1[[#This Row],[order_id]])</f>
        <v>0.5</v>
      </c>
      <c r="D3078" t="str">
        <f>TEXT(Table1[[#This Row],[order_date]],"mmmm")</f>
        <v>August</v>
      </c>
      <c r="E3078" s="1">
        <v>45528</v>
      </c>
      <c r="F3078" s="1" t="str">
        <f>TEXT(Table1[[#This Row],[order_date]],"dddd")</f>
        <v>Saturday</v>
      </c>
      <c r="G3078">
        <f>HOUR(Table1[[#This Row],[order_time]])</f>
        <v>15</v>
      </c>
      <c r="H3078" s="2">
        <v>0.63238425925925923</v>
      </c>
      <c r="I3078" t="s">
        <v>18</v>
      </c>
      <c r="J3078" t="s">
        <v>30</v>
      </c>
      <c r="K3078">
        <v>4</v>
      </c>
      <c r="L3078">
        <v>60</v>
      </c>
      <c r="M3078">
        <v>240</v>
      </c>
      <c r="N3078">
        <f>IF(COUNTIFS($B$2:B3078,B3078)=1,1,0)</f>
        <v>0</v>
      </c>
    </row>
    <row r="3079" spans="1:14" x14ac:dyDescent="0.2">
      <c r="A3079">
        <v>3078</v>
      </c>
      <c r="B3079">
        <v>2551</v>
      </c>
      <c r="C3079">
        <f>1/COUNTIF(B:B,Table1[[#This Row],[order_id]])</f>
        <v>0.5</v>
      </c>
      <c r="D3079" t="str">
        <f>TEXT(Table1[[#This Row],[order_date]],"mmmm")</f>
        <v>August</v>
      </c>
      <c r="E3079" s="1">
        <v>45528</v>
      </c>
      <c r="F3079" s="1" t="str">
        <f>TEXT(Table1[[#This Row],[order_date]],"dddd")</f>
        <v>Saturday</v>
      </c>
      <c r="G3079">
        <f>HOUR(Table1[[#This Row],[order_time]])</f>
        <v>17</v>
      </c>
      <c r="H3079" s="2">
        <v>0.71831018518518519</v>
      </c>
      <c r="I3079" t="s">
        <v>18</v>
      </c>
      <c r="J3079" t="s">
        <v>30</v>
      </c>
      <c r="K3079">
        <v>3</v>
      </c>
      <c r="L3079">
        <v>60</v>
      </c>
      <c r="M3079">
        <v>180</v>
      </c>
      <c r="N3079">
        <f>IF(COUNTIFS($B$2:B3079,B3079)=1,1,0)</f>
        <v>1</v>
      </c>
    </row>
    <row r="3080" spans="1:14" x14ac:dyDescent="0.2">
      <c r="A3080">
        <v>3079</v>
      </c>
      <c r="B3080">
        <v>2551</v>
      </c>
      <c r="C3080">
        <f>1/COUNTIF(B:B,Table1[[#This Row],[order_id]])</f>
        <v>0.5</v>
      </c>
      <c r="D3080" t="str">
        <f>TEXT(Table1[[#This Row],[order_date]],"mmmm")</f>
        <v>August</v>
      </c>
      <c r="E3080" s="1">
        <v>45528</v>
      </c>
      <c r="F3080" s="1" t="str">
        <f>TEXT(Table1[[#This Row],[order_date]],"dddd")</f>
        <v>Saturday</v>
      </c>
      <c r="G3080">
        <f>HOUR(Table1[[#This Row],[order_time]])</f>
        <v>18</v>
      </c>
      <c r="H3080" s="2">
        <v>0.76422453703703708</v>
      </c>
      <c r="I3080" t="s">
        <v>11</v>
      </c>
      <c r="J3080" t="s">
        <v>14</v>
      </c>
      <c r="K3080">
        <v>5</v>
      </c>
      <c r="L3080">
        <v>700</v>
      </c>
      <c r="M3080">
        <v>3500</v>
      </c>
      <c r="N3080">
        <f>IF(COUNTIFS($B$2:B3080,B3080)=1,1,0)</f>
        <v>0</v>
      </c>
    </row>
    <row r="3081" spans="1:14" x14ac:dyDescent="0.2">
      <c r="A3081">
        <v>3080</v>
      </c>
      <c r="B3081">
        <v>2552</v>
      </c>
      <c r="C3081">
        <f>1/COUNTIF(B:B,Table1[[#This Row],[order_id]])</f>
        <v>1</v>
      </c>
      <c r="D3081" t="str">
        <f>TEXT(Table1[[#This Row],[order_date]],"mmmm")</f>
        <v>August</v>
      </c>
      <c r="E3081" s="1">
        <v>45528</v>
      </c>
      <c r="F3081" s="1" t="str">
        <f>TEXT(Table1[[#This Row],[order_date]],"dddd")</f>
        <v>Saturday</v>
      </c>
      <c r="G3081">
        <f>HOUR(Table1[[#This Row],[order_time]])</f>
        <v>17</v>
      </c>
      <c r="H3081" s="2">
        <v>0.74123842592592593</v>
      </c>
      <c r="I3081" t="s">
        <v>16</v>
      </c>
      <c r="J3081" t="s">
        <v>28</v>
      </c>
      <c r="K3081">
        <v>3</v>
      </c>
      <c r="L3081">
        <v>25</v>
      </c>
      <c r="M3081">
        <v>75</v>
      </c>
      <c r="N3081">
        <f>IF(COUNTIFS($B$2:B3081,B3081)=1,1,0)</f>
        <v>1</v>
      </c>
    </row>
    <row r="3082" spans="1:14" x14ac:dyDescent="0.2">
      <c r="A3082">
        <v>3081</v>
      </c>
      <c r="B3082">
        <v>2553</v>
      </c>
      <c r="C3082">
        <f>1/COUNTIF(B:B,Table1[[#This Row],[order_id]])</f>
        <v>0.5</v>
      </c>
      <c r="D3082" t="str">
        <f>TEXT(Table1[[#This Row],[order_date]],"mmmm")</f>
        <v>August</v>
      </c>
      <c r="E3082" s="1">
        <v>45528</v>
      </c>
      <c r="F3082" s="1" t="str">
        <f>TEXT(Table1[[#This Row],[order_date]],"dddd")</f>
        <v>Saturday</v>
      </c>
      <c r="G3082">
        <f>HOUR(Table1[[#This Row],[order_time]])</f>
        <v>12</v>
      </c>
      <c r="H3082" s="2">
        <v>0.53043981481481484</v>
      </c>
      <c r="I3082" t="s">
        <v>9</v>
      </c>
      <c r="J3082" t="s">
        <v>29</v>
      </c>
      <c r="K3082">
        <v>2</v>
      </c>
      <c r="L3082">
        <v>5</v>
      </c>
      <c r="M3082">
        <v>10</v>
      </c>
      <c r="N3082">
        <f>IF(COUNTIFS($B$2:B3082,B3082)=1,1,0)</f>
        <v>1</v>
      </c>
    </row>
    <row r="3083" spans="1:14" x14ac:dyDescent="0.2">
      <c r="A3083">
        <v>3082</v>
      </c>
      <c r="B3083">
        <v>2553</v>
      </c>
      <c r="C3083">
        <f>1/COUNTIF(B:B,Table1[[#This Row],[order_id]])</f>
        <v>0.5</v>
      </c>
      <c r="D3083" t="str">
        <f>TEXT(Table1[[#This Row],[order_date]],"mmmm")</f>
        <v>August</v>
      </c>
      <c r="E3083" s="1">
        <v>45528</v>
      </c>
      <c r="F3083" s="1" t="str">
        <f>TEXT(Table1[[#This Row],[order_date]],"dddd")</f>
        <v>Saturday</v>
      </c>
      <c r="G3083">
        <f>HOUR(Table1[[#This Row],[order_time]])</f>
        <v>11</v>
      </c>
      <c r="H3083" s="2">
        <v>0.48539351851851853</v>
      </c>
      <c r="I3083" t="s">
        <v>9</v>
      </c>
      <c r="J3083" t="s">
        <v>21</v>
      </c>
      <c r="K3083">
        <v>4</v>
      </c>
      <c r="L3083">
        <v>10</v>
      </c>
      <c r="M3083">
        <v>40</v>
      </c>
      <c r="N3083">
        <f>IF(COUNTIFS($B$2:B3083,B3083)=1,1,0)</f>
        <v>0</v>
      </c>
    </row>
    <row r="3084" spans="1:14" x14ac:dyDescent="0.2">
      <c r="A3084">
        <v>3083</v>
      </c>
      <c r="B3084">
        <v>2554</v>
      </c>
      <c r="C3084">
        <f>1/COUNTIF(B:B,Table1[[#This Row],[order_id]])</f>
        <v>0.5</v>
      </c>
      <c r="D3084" t="str">
        <f>TEXT(Table1[[#This Row],[order_date]],"mmmm")</f>
        <v>August</v>
      </c>
      <c r="E3084" s="1">
        <v>45528</v>
      </c>
      <c r="F3084" s="1" t="str">
        <f>TEXT(Table1[[#This Row],[order_date]],"dddd")</f>
        <v>Saturday</v>
      </c>
      <c r="G3084">
        <f>HOUR(Table1[[#This Row],[order_time]])</f>
        <v>15</v>
      </c>
      <c r="H3084" s="2">
        <v>0.64172453703703702</v>
      </c>
      <c r="I3084" t="s">
        <v>16</v>
      </c>
      <c r="J3084" t="s">
        <v>28</v>
      </c>
      <c r="K3084">
        <v>5</v>
      </c>
      <c r="L3084">
        <v>25</v>
      </c>
      <c r="M3084">
        <v>125</v>
      </c>
      <c r="N3084">
        <f>IF(COUNTIFS($B$2:B3084,B3084)=1,1,0)</f>
        <v>1</v>
      </c>
    </row>
    <row r="3085" spans="1:14" x14ac:dyDescent="0.2">
      <c r="A3085">
        <v>3084</v>
      </c>
      <c r="B3085">
        <v>2554</v>
      </c>
      <c r="C3085">
        <f>1/COUNTIF(B:B,Table1[[#This Row],[order_id]])</f>
        <v>0.5</v>
      </c>
      <c r="D3085" t="str">
        <f>TEXT(Table1[[#This Row],[order_date]],"mmmm")</f>
        <v>August</v>
      </c>
      <c r="E3085" s="1">
        <v>45528</v>
      </c>
      <c r="F3085" s="1" t="str">
        <f>TEXT(Table1[[#This Row],[order_date]],"dddd")</f>
        <v>Saturday</v>
      </c>
      <c r="G3085">
        <f>HOUR(Table1[[#This Row],[order_time]])</f>
        <v>18</v>
      </c>
      <c r="H3085" s="2">
        <v>0.75089120370370366</v>
      </c>
      <c r="I3085" t="s">
        <v>18</v>
      </c>
      <c r="J3085" t="s">
        <v>31</v>
      </c>
      <c r="K3085">
        <v>3</v>
      </c>
      <c r="L3085">
        <v>45</v>
      </c>
      <c r="M3085">
        <v>135</v>
      </c>
      <c r="N3085">
        <f>IF(COUNTIFS($B$2:B3085,B3085)=1,1,0)</f>
        <v>0</v>
      </c>
    </row>
    <row r="3086" spans="1:14" x14ac:dyDescent="0.2">
      <c r="A3086">
        <v>3085</v>
      </c>
      <c r="B3086">
        <v>2555</v>
      </c>
      <c r="C3086">
        <f>1/COUNTIF(B:B,Table1[[#This Row],[order_id]])</f>
        <v>1</v>
      </c>
      <c r="D3086" t="str">
        <f>TEXT(Table1[[#This Row],[order_date]],"mmmm")</f>
        <v>August</v>
      </c>
      <c r="E3086" s="1">
        <v>45528</v>
      </c>
      <c r="F3086" s="1" t="str">
        <f>TEXT(Table1[[#This Row],[order_date]],"dddd")</f>
        <v>Saturday</v>
      </c>
      <c r="G3086">
        <f>HOUR(Table1[[#This Row],[order_time]])</f>
        <v>18</v>
      </c>
      <c r="H3086" s="2">
        <v>0.77799768518518519</v>
      </c>
      <c r="I3086" t="s">
        <v>16</v>
      </c>
      <c r="J3086" t="s">
        <v>28</v>
      </c>
      <c r="K3086">
        <v>1</v>
      </c>
      <c r="L3086">
        <v>25</v>
      </c>
      <c r="M3086">
        <v>25</v>
      </c>
      <c r="N3086">
        <f>IF(COUNTIFS($B$2:B3086,B3086)=1,1,0)</f>
        <v>1</v>
      </c>
    </row>
    <row r="3087" spans="1:14" x14ac:dyDescent="0.2">
      <c r="A3087">
        <v>3086</v>
      </c>
      <c r="B3087">
        <v>2556</v>
      </c>
      <c r="C3087">
        <f>1/COUNTIF(B:B,Table1[[#This Row],[order_id]])</f>
        <v>1</v>
      </c>
      <c r="D3087" t="str">
        <f>TEXT(Table1[[#This Row],[order_date]],"mmmm")</f>
        <v>August</v>
      </c>
      <c r="E3087" s="1">
        <v>45528</v>
      </c>
      <c r="F3087" s="1" t="str">
        <f>TEXT(Table1[[#This Row],[order_date]],"dddd")</f>
        <v>Saturday</v>
      </c>
      <c r="G3087">
        <f>HOUR(Table1[[#This Row],[order_time]])</f>
        <v>11</v>
      </c>
      <c r="H3087" s="2">
        <v>0.49460648148148151</v>
      </c>
      <c r="I3087" t="s">
        <v>11</v>
      </c>
      <c r="J3087" t="s">
        <v>15</v>
      </c>
      <c r="K3087">
        <v>1</v>
      </c>
      <c r="L3087">
        <v>600</v>
      </c>
      <c r="M3087">
        <v>600</v>
      </c>
      <c r="N3087">
        <f>IF(COUNTIFS($B$2:B3087,B3087)=1,1,0)</f>
        <v>1</v>
      </c>
    </row>
    <row r="3088" spans="1:14" x14ac:dyDescent="0.2">
      <c r="A3088">
        <v>3087</v>
      </c>
      <c r="B3088">
        <v>2557</v>
      </c>
      <c r="C3088">
        <f>1/COUNTIF(B:B,Table1[[#This Row],[order_id]])</f>
        <v>1</v>
      </c>
      <c r="D3088" t="str">
        <f>TEXT(Table1[[#This Row],[order_date]],"mmmm")</f>
        <v>August</v>
      </c>
      <c r="E3088" s="1">
        <v>45529</v>
      </c>
      <c r="F3088" s="1" t="str">
        <f>TEXT(Table1[[#This Row],[order_date]],"dddd")</f>
        <v>Sunday</v>
      </c>
      <c r="G3088">
        <f>HOUR(Table1[[#This Row],[order_time]])</f>
        <v>10</v>
      </c>
      <c r="H3088" s="2">
        <v>0.4271759259259259</v>
      </c>
      <c r="I3088" t="s">
        <v>18</v>
      </c>
      <c r="J3088" t="s">
        <v>26</v>
      </c>
      <c r="K3088">
        <v>1</v>
      </c>
      <c r="L3088">
        <v>55</v>
      </c>
      <c r="M3088">
        <v>55</v>
      </c>
      <c r="N3088">
        <f>IF(COUNTIFS($B$2:B3088,B3088)=1,1,0)</f>
        <v>1</v>
      </c>
    </row>
    <row r="3089" spans="1:14" x14ac:dyDescent="0.2">
      <c r="A3089">
        <v>3088</v>
      </c>
      <c r="B3089">
        <v>2558</v>
      </c>
      <c r="C3089">
        <f>1/COUNTIF(B:B,Table1[[#This Row],[order_id]])</f>
        <v>0.5</v>
      </c>
      <c r="D3089" t="str">
        <f>TEXT(Table1[[#This Row],[order_date]],"mmmm")</f>
        <v>August</v>
      </c>
      <c r="E3089" s="1">
        <v>45529</v>
      </c>
      <c r="F3089" s="1" t="str">
        <f>TEXT(Table1[[#This Row],[order_date]],"dddd")</f>
        <v>Sunday</v>
      </c>
      <c r="G3089">
        <f>HOUR(Table1[[#This Row],[order_time]])</f>
        <v>17</v>
      </c>
      <c r="H3089" s="2">
        <v>0.73293981481481485</v>
      </c>
      <c r="I3089" t="s">
        <v>18</v>
      </c>
      <c r="J3089" t="s">
        <v>19</v>
      </c>
      <c r="K3089">
        <v>5</v>
      </c>
      <c r="L3089">
        <v>50</v>
      </c>
      <c r="M3089">
        <v>250</v>
      </c>
      <c r="N3089">
        <f>IF(COUNTIFS($B$2:B3089,B3089)=1,1,0)</f>
        <v>1</v>
      </c>
    </row>
    <row r="3090" spans="1:14" x14ac:dyDescent="0.2">
      <c r="A3090">
        <v>3089</v>
      </c>
      <c r="B3090">
        <v>2558</v>
      </c>
      <c r="C3090">
        <f>1/COUNTIF(B:B,Table1[[#This Row],[order_id]])</f>
        <v>0.5</v>
      </c>
      <c r="D3090" t="str">
        <f>TEXT(Table1[[#This Row],[order_date]],"mmmm")</f>
        <v>August</v>
      </c>
      <c r="E3090" s="1">
        <v>45529</v>
      </c>
      <c r="F3090" s="1" t="str">
        <f>TEXT(Table1[[#This Row],[order_date]],"dddd")</f>
        <v>Sunday</v>
      </c>
      <c r="G3090">
        <f>HOUR(Table1[[#This Row],[order_time]])</f>
        <v>15</v>
      </c>
      <c r="H3090" s="2">
        <v>0.6434375</v>
      </c>
      <c r="I3090" t="s">
        <v>11</v>
      </c>
      <c r="J3090" t="s">
        <v>25</v>
      </c>
      <c r="K3090">
        <v>4</v>
      </c>
      <c r="L3090">
        <v>1000</v>
      </c>
      <c r="M3090">
        <v>4000</v>
      </c>
      <c r="N3090">
        <f>IF(COUNTIFS($B$2:B3090,B3090)=1,1,0)</f>
        <v>0</v>
      </c>
    </row>
    <row r="3091" spans="1:14" x14ac:dyDescent="0.2">
      <c r="A3091">
        <v>3090</v>
      </c>
      <c r="B3091">
        <v>2559</v>
      </c>
      <c r="C3091">
        <f>1/COUNTIF(B:B,Table1[[#This Row],[order_id]])</f>
        <v>0.5</v>
      </c>
      <c r="D3091" t="str">
        <f>TEXT(Table1[[#This Row],[order_date]],"mmmm")</f>
        <v>August</v>
      </c>
      <c r="E3091" s="1">
        <v>45529</v>
      </c>
      <c r="F3091" s="1" t="str">
        <f>TEXT(Table1[[#This Row],[order_date]],"dddd")</f>
        <v>Sunday</v>
      </c>
      <c r="G3091">
        <f>HOUR(Table1[[#This Row],[order_time]])</f>
        <v>20</v>
      </c>
      <c r="H3091" s="2">
        <v>0.85563657407407412</v>
      </c>
      <c r="I3091" t="s">
        <v>16</v>
      </c>
      <c r="J3091" t="s">
        <v>28</v>
      </c>
      <c r="K3091">
        <v>3</v>
      </c>
      <c r="L3091">
        <v>25</v>
      </c>
      <c r="M3091">
        <v>75</v>
      </c>
      <c r="N3091">
        <f>IF(COUNTIFS($B$2:B3091,B3091)=1,1,0)</f>
        <v>1</v>
      </c>
    </row>
    <row r="3092" spans="1:14" x14ac:dyDescent="0.2">
      <c r="A3092">
        <v>3091</v>
      </c>
      <c r="B3092">
        <v>2559</v>
      </c>
      <c r="C3092">
        <f>1/COUNTIF(B:B,Table1[[#This Row],[order_id]])</f>
        <v>0.5</v>
      </c>
      <c r="D3092" t="str">
        <f>TEXT(Table1[[#This Row],[order_date]],"mmmm")</f>
        <v>August</v>
      </c>
      <c r="E3092" s="1">
        <v>45529</v>
      </c>
      <c r="F3092" s="1" t="str">
        <f>TEXT(Table1[[#This Row],[order_date]],"dddd")</f>
        <v>Sunday</v>
      </c>
      <c r="G3092">
        <f>HOUR(Table1[[#This Row],[order_time]])</f>
        <v>10</v>
      </c>
      <c r="H3092" s="2">
        <v>0.42442129629629627</v>
      </c>
      <c r="I3092" t="s">
        <v>11</v>
      </c>
      <c r="J3092" t="s">
        <v>12</v>
      </c>
      <c r="K3092">
        <v>5</v>
      </c>
      <c r="L3092">
        <v>650</v>
      </c>
      <c r="M3092">
        <v>3250</v>
      </c>
      <c r="N3092">
        <f>IF(COUNTIFS($B$2:B3092,B3092)=1,1,0)</f>
        <v>0</v>
      </c>
    </row>
    <row r="3093" spans="1:14" x14ac:dyDescent="0.2">
      <c r="A3093">
        <v>3092</v>
      </c>
      <c r="B3093">
        <v>2560</v>
      </c>
      <c r="C3093">
        <f>1/COUNTIF(B:B,Table1[[#This Row],[order_id]])</f>
        <v>0.33333333333333331</v>
      </c>
      <c r="D3093" t="str">
        <f>TEXT(Table1[[#This Row],[order_date]],"mmmm")</f>
        <v>August</v>
      </c>
      <c r="E3093" s="1">
        <v>45530</v>
      </c>
      <c r="F3093" s="1" t="str">
        <f>TEXT(Table1[[#This Row],[order_date]],"dddd")</f>
        <v>Monday</v>
      </c>
      <c r="G3093">
        <f>HOUR(Table1[[#This Row],[order_time]])</f>
        <v>20</v>
      </c>
      <c r="H3093" s="2">
        <v>0.87417824074074069</v>
      </c>
      <c r="I3093" t="s">
        <v>9</v>
      </c>
      <c r="J3093" t="s">
        <v>10</v>
      </c>
      <c r="K3093">
        <v>2</v>
      </c>
      <c r="L3093">
        <v>20</v>
      </c>
      <c r="M3093">
        <v>40</v>
      </c>
      <c r="N3093">
        <f>IF(COUNTIFS($B$2:B3093,B3093)=1,1,0)</f>
        <v>1</v>
      </c>
    </row>
    <row r="3094" spans="1:14" x14ac:dyDescent="0.2">
      <c r="A3094">
        <v>3093</v>
      </c>
      <c r="B3094">
        <v>2560</v>
      </c>
      <c r="C3094">
        <f>1/COUNTIF(B:B,Table1[[#This Row],[order_id]])</f>
        <v>0.33333333333333331</v>
      </c>
      <c r="D3094" t="str">
        <f>TEXT(Table1[[#This Row],[order_date]],"mmmm")</f>
        <v>August</v>
      </c>
      <c r="E3094" s="1">
        <v>45530</v>
      </c>
      <c r="F3094" s="1" t="str">
        <f>TEXT(Table1[[#This Row],[order_date]],"dddd")</f>
        <v>Monday</v>
      </c>
      <c r="G3094">
        <f>HOUR(Table1[[#This Row],[order_time]])</f>
        <v>15</v>
      </c>
      <c r="H3094" s="2">
        <v>0.65003472222222225</v>
      </c>
      <c r="I3094" t="s">
        <v>16</v>
      </c>
      <c r="J3094" t="s">
        <v>23</v>
      </c>
      <c r="K3094">
        <v>3</v>
      </c>
      <c r="L3094">
        <v>30</v>
      </c>
      <c r="M3094">
        <v>90</v>
      </c>
      <c r="N3094">
        <f>IF(COUNTIFS($B$2:B3094,B3094)=1,1,0)</f>
        <v>0</v>
      </c>
    </row>
    <row r="3095" spans="1:14" x14ac:dyDescent="0.2">
      <c r="A3095">
        <v>3094</v>
      </c>
      <c r="B3095">
        <v>2560</v>
      </c>
      <c r="C3095">
        <f>1/COUNTIF(B:B,Table1[[#This Row],[order_id]])</f>
        <v>0.33333333333333331</v>
      </c>
      <c r="D3095" t="str">
        <f>TEXT(Table1[[#This Row],[order_date]],"mmmm")</f>
        <v>August</v>
      </c>
      <c r="E3095" s="1">
        <v>45530</v>
      </c>
      <c r="F3095" s="1" t="str">
        <f>TEXT(Table1[[#This Row],[order_date]],"dddd")</f>
        <v>Monday</v>
      </c>
      <c r="G3095">
        <f>HOUR(Table1[[#This Row],[order_time]])</f>
        <v>20</v>
      </c>
      <c r="H3095" s="2">
        <v>0.84703703703703703</v>
      </c>
      <c r="I3095" t="s">
        <v>11</v>
      </c>
      <c r="J3095" t="s">
        <v>12</v>
      </c>
      <c r="K3095">
        <v>4</v>
      </c>
      <c r="L3095">
        <v>650</v>
      </c>
      <c r="M3095">
        <v>2600</v>
      </c>
      <c r="N3095">
        <f>IF(COUNTIFS($B$2:B3095,B3095)=1,1,0)</f>
        <v>0</v>
      </c>
    </row>
    <row r="3096" spans="1:14" x14ac:dyDescent="0.2">
      <c r="A3096">
        <v>3095</v>
      </c>
      <c r="B3096">
        <v>2561</v>
      </c>
      <c r="C3096">
        <f>1/COUNTIF(B:B,Table1[[#This Row],[order_id]])</f>
        <v>0.33333333333333331</v>
      </c>
      <c r="D3096" t="str">
        <f>TEXT(Table1[[#This Row],[order_date]],"mmmm")</f>
        <v>August</v>
      </c>
      <c r="E3096" s="1">
        <v>45530</v>
      </c>
      <c r="F3096" s="1" t="str">
        <f>TEXT(Table1[[#This Row],[order_date]],"dddd")</f>
        <v>Monday</v>
      </c>
      <c r="G3096">
        <f>HOUR(Table1[[#This Row],[order_time]])</f>
        <v>18</v>
      </c>
      <c r="H3096" s="2">
        <v>0.76133101851851848</v>
      </c>
      <c r="I3096" t="s">
        <v>11</v>
      </c>
      <c r="J3096" t="s">
        <v>14</v>
      </c>
      <c r="K3096">
        <v>4</v>
      </c>
      <c r="L3096">
        <v>700</v>
      </c>
      <c r="M3096">
        <v>2800</v>
      </c>
      <c r="N3096">
        <f>IF(COUNTIFS($B$2:B3096,B3096)=1,1,0)</f>
        <v>1</v>
      </c>
    </row>
    <row r="3097" spans="1:14" x14ac:dyDescent="0.2">
      <c r="A3097">
        <v>3096</v>
      </c>
      <c r="B3097">
        <v>2561</v>
      </c>
      <c r="C3097">
        <f>1/COUNTIF(B:B,Table1[[#This Row],[order_id]])</f>
        <v>0.33333333333333331</v>
      </c>
      <c r="D3097" t="str">
        <f>TEXT(Table1[[#This Row],[order_date]],"mmmm")</f>
        <v>August</v>
      </c>
      <c r="E3097" s="1">
        <v>45530</v>
      </c>
      <c r="F3097" s="1" t="str">
        <f>TEXT(Table1[[#This Row],[order_date]],"dddd")</f>
        <v>Monday</v>
      </c>
      <c r="G3097">
        <f>HOUR(Table1[[#This Row],[order_time]])</f>
        <v>9</v>
      </c>
      <c r="H3097" s="2">
        <v>0.39337962962962963</v>
      </c>
      <c r="I3097" t="s">
        <v>18</v>
      </c>
      <c r="J3097" t="s">
        <v>26</v>
      </c>
      <c r="K3097">
        <v>1</v>
      </c>
      <c r="L3097">
        <v>55</v>
      </c>
      <c r="M3097">
        <v>55</v>
      </c>
      <c r="N3097">
        <f>IF(COUNTIFS($B$2:B3097,B3097)=1,1,0)</f>
        <v>0</v>
      </c>
    </row>
    <row r="3098" spans="1:14" x14ac:dyDescent="0.2">
      <c r="A3098">
        <v>3097</v>
      </c>
      <c r="B3098">
        <v>2561</v>
      </c>
      <c r="C3098">
        <f>1/COUNTIF(B:B,Table1[[#This Row],[order_id]])</f>
        <v>0.33333333333333331</v>
      </c>
      <c r="D3098" t="str">
        <f>TEXT(Table1[[#This Row],[order_date]],"mmmm")</f>
        <v>August</v>
      </c>
      <c r="E3098" s="1">
        <v>45530</v>
      </c>
      <c r="F3098" s="1" t="str">
        <f>TEXT(Table1[[#This Row],[order_date]],"dddd")</f>
        <v>Monday</v>
      </c>
      <c r="G3098">
        <f>HOUR(Table1[[#This Row],[order_time]])</f>
        <v>19</v>
      </c>
      <c r="H3098" s="2">
        <v>0.7933217592592593</v>
      </c>
      <c r="I3098" t="s">
        <v>9</v>
      </c>
      <c r="J3098" t="s">
        <v>21</v>
      </c>
      <c r="K3098">
        <v>5</v>
      </c>
      <c r="L3098">
        <v>10</v>
      </c>
      <c r="M3098">
        <v>50</v>
      </c>
      <c r="N3098">
        <f>IF(COUNTIFS($B$2:B3098,B3098)=1,1,0)</f>
        <v>0</v>
      </c>
    </row>
    <row r="3099" spans="1:14" x14ac:dyDescent="0.2">
      <c r="A3099">
        <v>3098</v>
      </c>
      <c r="B3099">
        <v>2562</v>
      </c>
      <c r="C3099">
        <f>1/COUNTIF(B:B,Table1[[#This Row],[order_id]])</f>
        <v>1</v>
      </c>
      <c r="D3099" t="str">
        <f>TEXT(Table1[[#This Row],[order_date]],"mmmm")</f>
        <v>August</v>
      </c>
      <c r="E3099" s="1">
        <v>45530</v>
      </c>
      <c r="F3099" s="1" t="str">
        <f>TEXT(Table1[[#This Row],[order_date]],"dddd")</f>
        <v>Monday</v>
      </c>
      <c r="G3099">
        <f>HOUR(Table1[[#This Row],[order_time]])</f>
        <v>15</v>
      </c>
      <c r="H3099" s="2">
        <v>0.65967592592592594</v>
      </c>
      <c r="I3099" t="s">
        <v>9</v>
      </c>
      <c r="J3099" t="s">
        <v>22</v>
      </c>
      <c r="K3099">
        <v>2</v>
      </c>
      <c r="L3099">
        <v>15</v>
      </c>
      <c r="M3099">
        <v>30</v>
      </c>
      <c r="N3099">
        <f>IF(COUNTIFS($B$2:B3099,B3099)=1,1,0)</f>
        <v>1</v>
      </c>
    </row>
    <row r="3100" spans="1:14" x14ac:dyDescent="0.2">
      <c r="A3100">
        <v>3099</v>
      </c>
      <c r="B3100">
        <v>2563</v>
      </c>
      <c r="C3100">
        <f>1/COUNTIF(B:B,Table1[[#This Row],[order_id]])</f>
        <v>0.33333333333333331</v>
      </c>
      <c r="D3100" t="str">
        <f>TEXT(Table1[[#This Row],[order_date]],"mmmm")</f>
        <v>August</v>
      </c>
      <c r="E3100" s="1">
        <v>45530</v>
      </c>
      <c r="F3100" s="1" t="str">
        <f>TEXT(Table1[[#This Row],[order_date]],"dddd")</f>
        <v>Monday</v>
      </c>
      <c r="G3100">
        <f>HOUR(Table1[[#This Row],[order_time]])</f>
        <v>19</v>
      </c>
      <c r="H3100" s="2">
        <v>0.81630787037037034</v>
      </c>
      <c r="I3100" t="s">
        <v>9</v>
      </c>
      <c r="J3100" t="s">
        <v>10</v>
      </c>
      <c r="K3100">
        <v>1</v>
      </c>
      <c r="L3100">
        <v>20</v>
      </c>
      <c r="M3100">
        <v>20</v>
      </c>
      <c r="N3100">
        <f>IF(COUNTIFS($B$2:B3100,B3100)=1,1,0)</f>
        <v>1</v>
      </c>
    </row>
    <row r="3101" spans="1:14" x14ac:dyDescent="0.2">
      <c r="A3101">
        <v>3100</v>
      </c>
      <c r="B3101">
        <v>2563</v>
      </c>
      <c r="C3101">
        <f>1/COUNTIF(B:B,Table1[[#This Row],[order_id]])</f>
        <v>0.33333333333333331</v>
      </c>
      <c r="D3101" t="str">
        <f>TEXT(Table1[[#This Row],[order_date]],"mmmm")</f>
        <v>August</v>
      </c>
      <c r="E3101" s="1">
        <v>45530</v>
      </c>
      <c r="F3101" s="1" t="str">
        <f>TEXT(Table1[[#This Row],[order_date]],"dddd")</f>
        <v>Monday</v>
      </c>
      <c r="G3101">
        <f>HOUR(Table1[[#This Row],[order_time]])</f>
        <v>9</v>
      </c>
      <c r="H3101" s="2">
        <v>0.40547453703703706</v>
      </c>
      <c r="I3101" t="s">
        <v>9</v>
      </c>
      <c r="J3101" t="s">
        <v>29</v>
      </c>
      <c r="K3101">
        <v>3</v>
      </c>
      <c r="L3101">
        <v>5</v>
      </c>
      <c r="M3101">
        <v>15</v>
      </c>
      <c r="N3101">
        <f>IF(COUNTIFS($B$2:B3101,B3101)=1,1,0)</f>
        <v>0</v>
      </c>
    </row>
    <row r="3102" spans="1:14" x14ac:dyDescent="0.2">
      <c r="A3102">
        <v>3101</v>
      </c>
      <c r="B3102">
        <v>2563</v>
      </c>
      <c r="C3102">
        <f>1/COUNTIF(B:B,Table1[[#This Row],[order_id]])</f>
        <v>0.33333333333333331</v>
      </c>
      <c r="D3102" t="str">
        <f>TEXT(Table1[[#This Row],[order_date]],"mmmm")</f>
        <v>August</v>
      </c>
      <c r="E3102" s="1">
        <v>45530</v>
      </c>
      <c r="F3102" s="1" t="str">
        <f>TEXT(Table1[[#This Row],[order_date]],"dddd")</f>
        <v>Monday</v>
      </c>
      <c r="G3102">
        <f>HOUR(Table1[[#This Row],[order_time]])</f>
        <v>13</v>
      </c>
      <c r="H3102" s="2">
        <v>0.5755555555555556</v>
      </c>
      <c r="I3102" t="s">
        <v>11</v>
      </c>
      <c r="J3102" t="s">
        <v>14</v>
      </c>
      <c r="K3102">
        <v>4</v>
      </c>
      <c r="L3102">
        <v>700</v>
      </c>
      <c r="M3102">
        <v>2800</v>
      </c>
      <c r="N3102">
        <f>IF(COUNTIFS($B$2:B3102,B3102)=1,1,0)</f>
        <v>0</v>
      </c>
    </row>
    <row r="3103" spans="1:14" x14ac:dyDescent="0.2">
      <c r="A3103">
        <v>3102</v>
      </c>
      <c r="B3103">
        <v>2564</v>
      </c>
      <c r="C3103">
        <f>1/COUNTIF(B:B,Table1[[#This Row],[order_id]])</f>
        <v>1</v>
      </c>
      <c r="D3103" t="str">
        <f>TEXT(Table1[[#This Row],[order_date]],"mmmm")</f>
        <v>August</v>
      </c>
      <c r="E3103" s="1">
        <v>45531</v>
      </c>
      <c r="F3103" s="1" t="str">
        <f>TEXT(Table1[[#This Row],[order_date]],"dddd")</f>
        <v>Tuesday</v>
      </c>
      <c r="G3103">
        <f>HOUR(Table1[[#This Row],[order_time]])</f>
        <v>13</v>
      </c>
      <c r="H3103" s="2">
        <v>0.54310185185185189</v>
      </c>
      <c r="I3103" t="s">
        <v>18</v>
      </c>
      <c r="J3103" t="s">
        <v>19</v>
      </c>
      <c r="K3103">
        <v>5</v>
      </c>
      <c r="L3103">
        <v>50</v>
      </c>
      <c r="M3103">
        <v>250</v>
      </c>
      <c r="N3103">
        <f>IF(COUNTIFS($B$2:B3103,B3103)=1,1,0)</f>
        <v>1</v>
      </c>
    </row>
    <row r="3104" spans="1:14" x14ac:dyDescent="0.2">
      <c r="A3104">
        <v>3103</v>
      </c>
      <c r="B3104">
        <v>2565</v>
      </c>
      <c r="C3104">
        <f>1/COUNTIF(B:B,Table1[[#This Row],[order_id]])</f>
        <v>0.5</v>
      </c>
      <c r="D3104" t="str">
        <f>TEXT(Table1[[#This Row],[order_date]],"mmmm")</f>
        <v>August</v>
      </c>
      <c r="E3104" s="1">
        <v>45531</v>
      </c>
      <c r="F3104" s="1" t="str">
        <f>TEXT(Table1[[#This Row],[order_date]],"dddd")</f>
        <v>Tuesday</v>
      </c>
      <c r="G3104">
        <f>HOUR(Table1[[#This Row],[order_time]])</f>
        <v>18</v>
      </c>
      <c r="H3104" s="2">
        <v>0.75189814814814815</v>
      </c>
      <c r="I3104" t="s">
        <v>11</v>
      </c>
      <c r="J3104" t="s">
        <v>25</v>
      </c>
      <c r="K3104">
        <v>4</v>
      </c>
      <c r="L3104">
        <v>1000</v>
      </c>
      <c r="M3104">
        <v>4000</v>
      </c>
      <c r="N3104">
        <f>IF(COUNTIFS($B$2:B3104,B3104)=1,1,0)</f>
        <v>1</v>
      </c>
    </row>
    <row r="3105" spans="1:14" x14ac:dyDescent="0.2">
      <c r="A3105">
        <v>3104</v>
      </c>
      <c r="B3105">
        <v>2565</v>
      </c>
      <c r="C3105">
        <f>1/COUNTIF(B:B,Table1[[#This Row],[order_id]])</f>
        <v>0.5</v>
      </c>
      <c r="D3105" t="str">
        <f>TEXT(Table1[[#This Row],[order_date]],"mmmm")</f>
        <v>August</v>
      </c>
      <c r="E3105" s="1">
        <v>45531</v>
      </c>
      <c r="F3105" s="1" t="str">
        <f>TEXT(Table1[[#This Row],[order_date]],"dddd")</f>
        <v>Tuesday</v>
      </c>
      <c r="G3105">
        <f>HOUR(Table1[[#This Row],[order_time]])</f>
        <v>14</v>
      </c>
      <c r="H3105" s="2">
        <v>0.60559027777777774</v>
      </c>
      <c r="I3105" t="s">
        <v>11</v>
      </c>
      <c r="J3105" t="s">
        <v>13</v>
      </c>
      <c r="K3105">
        <v>2</v>
      </c>
      <c r="L3105">
        <v>680</v>
      </c>
      <c r="M3105">
        <v>1360</v>
      </c>
      <c r="N3105">
        <f>IF(COUNTIFS($B$2:B3105,B3105)=1,1,0)</f>
        <v>0</v>
      </c>
    </row>
    <row r="3106" spans="1:14" x14ac:dyDescent="0.2">
      <c r="A3106">
        <v>3105</v>
      </c>
      <c r="B3106">
        <v>2566</v>
      </c>
      <c r="C3106">
        <f>1/COUNTIF(B:B,Table1[[#This Row],[order_id]])</f>
        <v>0.5</v>
      </c>
      <c r="D3106" t="str">
        <f>TEXT(Table1[[#This Row],[order_date]],"mmmm")</f>
        <v>August</v>
      </c>
      <c r="E3106" s="1">
        <v>45531</v>
      </c>
      <c r="F3106" s="1" t="str">
        <f>TEXT(Table1[[#This Row],[order_date]],"dddd")</f>
        <v>Tuesday</v>
      </c>
      <c r="G3106">
        <f>HOUR(Table1[[#This Row],[order_time]])</f>
        <v>12</v>
      </c>
      <c r="H3106" s="2">
        <v>0.50453703703703701</v>
      </c>
      <c r="I3106" t="s">
        <v>11</v>
      </c>
      <c r="J3106" t="s">
        <v>15</v>
      </c>
      <c r="K3106">
        <v>4</v>
      </c>
      <c r="L3106">
        <v>600</v>
      </c>
      <c r="M3106">
        <v>2400</v>
      </c>
      <c r="N3106">
        <f>IF(COUNTIFS($B$2:B3106,B3106)=1,1,0)</f>
        <v>1</v>
      </c>
    </row>
    <row r="3107" spans="1:14" x14ac:dyDescent="0.2">
      <c r="A3107">
        <v>3106</v>
      </c>
      <c r="B3107">
        <v>2566</v>
      </c>
      <c r="C3107">
        <f>1/COUNTIF(B:B,Table1[[#This Row],[order_id]])</f>
        <v>0.5</v>
      </c>
      <c r="D3107" t="str">
        <f>TEXT(Table1[[#This Row],[order_date]],"mmmm")</f>
        <v>August</v>
      </c>
      <c r="E3107" s="1">
        <v>45531</v>
      </c>
      <c r="F3107" s="1" t="str">
        <f>TEXT(Table1[[#This Row],[order_date]],"dddd")</f>
        <v>Tuesday</v>
      </c>
      <c r="G3107">
        <f>HOUR(Table1[[#This Row],[order_time]])</f>
        <v>9</v>
      </c>
      <c r="H3107" s="2">
        <v>0.40833333333333333</v>
      </c>
      <c r="I3107" t="s">
        <v>18</v>
      </c>
      <c r="J3107" t="s">
        <v>27</v>
      </c>
      <c r="K3107">
        <v>3</v>
      </c>
      <c r="L3107">
        <v>40</v>
      </c>
      <c r="M3107">
        <v>120</v>
      </c>
      <c r="N3107">
        <f>IF(COUNTIFS($B$2:B3107,B3107)=1,1,0)</f>
        <v>0</v>
      </c>
    </row>
    <row r="3108" spans="1:14" x14ac:dyDescent="0.2">
      <c r="A3108">
        <v>3107</v>
      </c>
      <c r="B3108">
        <v>2567</v>
      </c>
      <c r="C3108">
        <f>1/COUNTIF(B:B,Table1[[#This Row],[order_id]])</f>
        <v>0.5</v>
      </c>
      <c r="D3108" t="str">
        <f>TEXT(Table1[[#This Row],[order_date]],"mmmm")</f>
        <v>August</v>
      </c>
      <c r="E3108" s="1">
        <v>45531</v>
      </c>
      <c r="F3108" s="1" t="str">
        <f>TEXT(Table1[[#This Row],[order_date]],"dddd")</f>
        <v>Tuesday</v>
      </c>
      <c r="G3108">
        <f>HOUR(Table1[[#This Row],[order_time]])</f>
        <v>12</v>
      </c>
      <c r="H3108" s="2">
        <v>0.52755787037037039</v>
      </c>
      <c r="I3108" t="s">
        <v>18</v>
      </c>
      <c r="J3108" t="s">
        <v>26</v>
      </c>
      <c r="K3108">
        <v>3</v>
      </c>
      <c r="L3108">
        <v>55</v>
      </c>
      <c r="M3108">
        <v>165</v>
      </c>
      <c r="N3108">
        <f>IF(COUNTIFS($B$2:B3108,B3108)=1,1,0)</f>
        <v>1</v>
      </c>
    </row>
    <row r="3109" spans="1:14" x14ac:dyDescent="0.2">
      <c r="A3109">
        <v>3108</v>
      </c>
      <c r="B3109">
        <v>2567</v>
      </c>
      <c r="C3109">
        <f>1/COUNTIF(B:B,Table1[[#This Row],[order_id]])</f>
        <v>0.5</v>
      </c>
      <c r="D3109" t="str">
        <f>TEXT(Table1[[#This Row],[order_date]],"mmmm")</f>
        <v>August</v>
      </c>
      <c r="E3109" s="1">
        <v>45531</v>
      </c>
      <c r="F3109" s="1" t="str">
        <f>TEXT(Table1[[#This Row],[order_date]],"dddd")</f>
        <v>Tuesday</v>
      </c>
      <c r="G3109">
        <f>HOUR(Table1[[#This Row],[order_time]])</f>
        <v>9</v>
      </c>
      <c r="H3109" s="2">
        <v>0.4065509259259259</v>
      </c>
      <c r="I3109" t="s">
        <v>9</v>
      </c>
      <c r="J3109" t="s">
        <v>29</v>
      </c>
      <c r="K3109">
        <v>3</v>
      </c>
      <c r="L3109">
        <v>5</v>
      </c>
      <c r="M3109">
        <v>15</v>
      </c>
      <c r="N3109">
        <f>IF(COUNTIFS($B$2:B3109,B3109)=1,1,0)</f>
        <v>0</v>
      </c>
    </row>
    <row r="3110" spans="1:14" x14ac:dyDescent="0.2">
      <c r="A3110">
        <v>3109</v>
      </c>
      <c r="B3110">
        <v>2568</v>
      </c>
      <c r="C3110">
        <f>1/COUNTIF(B:B,Table1[[#This Row],[order_id]])</f>
        <v>0.33333333333333331</v>
      </c>
      <c r="D3110" t="str">
        <f>TEXT(Table1[[#This Row],[order_date]],"mmmm")</f>
        <v>August</v>
      </c>
      <c r="E3110" s="1">
        <v>45531</v>
      </c>
      <c r="F3110" s="1" t="str">
        <f>TEXT(Table1[[#This Row],[order_date]],"dddd")</f>
        <v>Tuesday</v>
      </c>
      <c r="G3110">
        <f>HOUR(Table1[[#This Row],[order_time]])</f>
        <v>19</v>
      </c>
      <c r="H3110" s="2">
        <v>0.82508101851851856</v>
      </c>
      <c r="I3110" t="s">
        <v>16</v>
      </c>
      <c r="J3110" t="s">
        <v>17</v>
      </c>
      <c r="K3110">
        <v>5</v>
      </c>
      <c r="L3110">
        <v>20</v>
      </c>
      <c r="M3110">
        <v>100</v>
      </c>
      <c r="N3110">
        <f>IF(COUNTIFS($B$2:B3110,B3110)=1,1,0)</f>
        <v>1</v>
      </c>
    </row>
    <row r="3111" spans="1:14" x14ac:dyDescent="0.2">
      <c r="A3111">
        <v>3110</v>
      </c>
      <c r="B3111">
        <v>2568</v>
      </c>
      <c r="C3111">
        <f>1/COUNTIF(B:B,Table1[[#This Row],[order_id]])</f>
        <v>0.33333333333333331</v>
      </c>
      <c r="D3111" t="str">
        <f>TEXT(Table1[[#This Row],[order_date]],"mmmm")</f>
        <v>August</v>
      </c>
      <c r="E3111" s="1">
        <v>45531</v>
      </c>
      <c r="F3111" s="1" t="str">
        <f>TEXT(Table1[[#This Row],[order_date]],"dddd")</f>
        <v>Tuesday</v>
      </c>
      <c r="G3111">
        <f>HOUR(Table1[[#This Row],[order_time]])</f>
        <v>19</v>
      </c>
      <c r="H3111" s="2">
        <v>0.81960648148148152</v>
      </c>
      <c r="I3111" t="s">
        <v>16</v>
      </c>
      <c r="J3111" t="s">
        <v>23</v>
      </c>
      <c r="K3111">
        <v>2</v>
      </c>
      <c r="L3111">
        <v>30</v>
      </c>
      <c r="M3111">
        <v>60</v>
      </c>
      <c r="N3111">
        <f>IF(COUNTIFS($B$2:B3111,B3111)=1,1,0)</f>
        <v>0</v>
      </c>
    </row>
    <row r="3112" spans="1:14" x14ac:dyDescent="0.2">
      <c r="A3112">
        <v>3111</v>
      </c>
      <c r="B3112">
        <v>2568</v>
      </c>
      <c r="C3112">
        <f>1/COUNTIF(B:B,Table1[[#This Row],[order_id]])</f>
        <v>0.33333333333333331</v>
      </c>
      <c r="D3112" t="str">
        <f>TEXT(Table1[[#This Row],[order_date]],"mmmm")</f>
        <v>August</v>
      </c>
      <c r="E3112" s="1">
        <v>45531</v>
      </c>
      <c r="F3112" s="1" t="str">
        <f>TEXT(Table1[[#This Row],[order_date]],"dddd")</f>
        <v>Tuesday</v>
      </c>
      <c r="G3112">
        <f>HOUR(Table1[[#This Row],[order_time]])</f>
        <v>12</v>
      </c>
      <c r="H3112" s="2">
        <v>0.521087962962963</v>
      </c>
      <c r="I3112" t="s">
        <v>9</v>
      </c>
      <c r="J3112" t="s">
        <v>22</v>
      </c>
      <c r="K3112">
        <v>5</v>
      </c>
      <c r="L3112">
        <v>15</v>
      </c>
      <c r="M3112">
        <v>75</v>
      </c>
      <c r="N3112">
        <f>IF(COUNTIFS($B$2:B3112,B3112)=1,1,0)</f>
        <v>0</v>
      </c>
    </row>
    <row r="3113" spans="1:14" x14ac:dyDescent="0.2">
      <c r="A3113">
        <v>3112</v>
      </c>
      <c r="B3113">
        <v>2569</v>
      </c>
      <c r="C3113">
        <f>1/COUNTIF(B:B,Table1[[#This Row],[order_id]])</f>
        <v>0.33333333333333331</v>
      </c>
      <c r="D3113" t="str">
        <f>TEXT(Table1[[#This Row],[order_date]],"mmmm")</f>
        <v>August</v>
      </c>
      <c r="E3113" s="1">
        <v>45531</v>
      </c>
      <c r="F3113" s="1" t="str">
        <f>TEXT(Table1[[#This Row],[order_date]],"dddd")</f>
        <v>Tuesday</v>
      </c>
      <c r="G3113">
        <f>HOUR(Table1[[#This Row],[order_time]])</f>
        <v>20</v>
      </c>
      <c r="H3113" s="2">
        <v>0.83811342592592597</v>
      </c>
      <c r="I3113" t="s">
        <v>9</v>
      </c>
      <c r="J3113" t="s">
        <v>22</v>
      </c>
      <c r="K3113">
        <v>1</v>
      </c>
      <c r="L3113">
        <v>15</v>
      </c>
      <c r="M3113">
        <v>15</v>
      </c>
      <c r="N3113">
        <f>IF(COUNTIFS($B$2:B3113,B3113)=1,1,0)</f>
        <v>1</v>
      </c>
    </row>
    <row r="3114" spans="1:14" x14ac:dyDescent="0.2">
      <c r="A3114">
        <v>3113</v>
      </c>
      <c r="B3114">
        <v>2569</v>
      </c>
      <c r="C3114">
        <f>1/COUNTIF(B:B,Table1[[#This Row],[order_id]])</f>
        <v>0.33333333333333331</v>
      </c>
      <c r="D3114" t="str">
        <f>TEXT(Table1[[#This Row],[order_date]],"mmmm")</f>
        <v>August</v>
      </c>
      <c r="E3114" s="1">
        <v>45531</v>
      </c>
      <c r="F3114" s="1" t="str">
        <f>TEXT(Table1[[#This Row],[order_date]],"dddd")</f>
        <v>Tuesday</v>
      </c>
      <c r="G3114">
        <f>HOUR(Table1[[#This Row],[order_time]])</f>
        <v>9</v>
      </c>
      <c r="H3114" s="2">
        <v>0.40251157407407406</v>
      </c>
      <c r="I3114" t="s">
        <v>18</v>
      </c>
      <c r="J3114" t="s">
        <v>26</v>
      </c>
      <c r="K3114">
        <v>4</v>
      </c>
      <c r="L3114">
        <v>55</v>
      </c>
      <c r="M3114">
        <v>220</v>
      </c>
      <c r="N3114">
        <f>IF(COUNTIFS($B$2:B3114,B3114)=1,1,0)</f>
        <v>0</v>
      </c>
    </row>
    <row r="3115" spans="1:14" x14ac:dyDescent="0.2">
      <c r="A3115">
        <v>3114</v>
      </c>
      <c r="B3115">
        <v>2569</v>
      </c>
      <c r="C3115">
        <f>1/COUNTIF(B:B,Table1[[#This Row],[order_id]])</f>
        <v>0.33333333333333331</v>
      </c>
      <c r="D3115" t="str">
        <f>TEXT(Table1[[#This Row],[order_date]],"mmmm")</f>
        <v>August</v>
      </c>
      <c r="E3115" s="1">
        <v>45531</v>
      </c>
      <c r="F3115" s="1" t="str">
        <f>TEXT(Table1[[#This Row],[order_date]],"dddd")</f>
        <v>Tuesday</v>
      </c>
      <c r="G3115">
        <f>HOUR(Table1[[#This Row],[order_time]])</f>
        <v>14</v>
      </c>
      <c r="H3115" s="2">
        <v>0.62255787037037036</v>
      </c>
      <c r="I3115" t="s">
        <v>11</v>
      </c>
      <c r="J3115" t="s">
        <v>14</v>
      </c>
      <c r="K3115">
        <v>5</v>
      </c>
      <c r="L3115">
        <v>700</v>
      </c>
      <c r="M3115">
        <v>3500</v>
      </c>
      <c r="N3115">
        <f>IF(COUNTIFS($B$2:B3115,B3115)=1,1,0)</f>
        <v>0</v>
      </c>
    </row>
    <row r="3116" spans="1:14" x14ac:dyDescent="0.2">
      <c r="A3116">
        <v>3115</v>
      </c>
      <c r="B3116">
        <v>2570</v>
      </c>
      <c r="C3116">
        <f>1/COUNTIF(B:B,Table1[[#This Row],[order_id]])</f>
        <v>1</v>
      </c>
      <c r="D3116" t="str">
        <f>TEXT(Table1[[#This Row],[order_date]],"mmmm")</f>
        <v>August</v>
      </c>
      <c r="E3116" s="1">
        <v>45531</v>
      </c>
      <c r="F3116" s="1" t="str">
        <f>TEXT(Table1[[#This Row],[order_date]],"dddd")</f>
        <v>Tuesday</v>
      </c>
      <c r="G3116">
        <f>HOUR(Table1[[#This Row],[order_time]])</f>
        <v>10</v>
      </c>
      <c r="H3116" s="2">
        <v>0.41887731481481483</v>
      </c>
      <c r="I3116" t="s">
        <v>9</v>
      </c>
      <c r="J3116" t="s">
        <v>22</v>
      </c>
      <c r="K3116">
        <v>3</v>
      </c>
      <c r="L3116">
        <v>15</v>
      </c>
      <c r="M3116">
        <v>45</v>
      </c>
      <c r="N3116">
        <f>IF(COUNTIFS($B$2:B3116,B3116)=1,1,0)</f>
        <v>1</v>
      </c>
    </row>
    <row r="3117" spans="1:14" x14ac:dyDescent="0.2">
      <c r="A3117">
        <v>3116</v>
      </c>
      <c r="B3117">
        <v>2571</v>
      </c>
      <c r="C3117">
        <f>1/COUNTIF(B:B,Table1[[#This Row],[order_id]])</f>
        <v>0.33333333333333331</v>
      </c>
      <c r="D3117" t="str">
        <f>TEXT(Table1[[#This Row],[order_date]],"mmmm")</f>
        <v>August</v>
      </c>
      <c r="E3117" s="1">
        <v>45531</v>
      </c>
      <c r="F3117" s="1" t="str">
        <f>TEXT(Table1[[#This Row],[order_date]],"dddd")</f>
        <v>Tuesday</v>
      </c>
      <c r="G3117">
        <f>HOUR(Table1[[#This Row],[order_time]])</f>
        <v>15</v>
      </c>
      <c r="H3117" s="2">
        <v>0.65006944444444448</v>
      </c>
      <c r="I3117" t="s">
        <v>9</v>
      </c>
      <c r="J3117" t="s">
        <v>20</v>
      </c>
      <c r="K3117">
        <v>1</v>
      </c>
      <c r="L3117">
        <v>25</v>
      </c>
      <c r="M3117">
        <v>25</v>
      </c>
      <c r="N3117">
        <f>IF(COUNTIFS($B$2:B3117,B3117)=1,1,0)</f>
        <v>1</v>
      </c>
    </row>
    <row r="3118" spans="1:14" x14ac:dyDescent="0.2">
      <c r="A3118">
        <v>3117</v>
      </c>
      <c r="B3118">
        <v>2571</v>
      </c>
      <c r="C3118">
        <f>1/COUNTIF(B:B,Table1[[#This Row],[order_id]])</f>
        <v>0.33333333333333331</v>
      </c>
      <c r="D3118" t="str">
        <f>TEXT(Table1[[#This Row],[order_date]],"mmmm")</f>
        <v>August</v>
      </c>
      <c r="E3118" s="1">
        <v>45531</v>
      </c>
      <c r="F3118" s="1" t="str">
        <f>TEXT(Table1[[#This Row],[order_date]],"dddd")</f>
        <v>Tuesday</v>
      </c>
      <c r="G3118">
        <f>HOUR(Table1[[#This Row],[order_time]])</f>
        <v>10</v>
      </c>
      <c r="H3118" s="2">
        <v>0.41905092592592591</v>
      </c>
      <c r="I3118" t="s">
        <v>11</v>
      </c>
      <c r="J3118" t="s">
        <v>12</v>
      </c>
      <c r="K3118">
        <v>4</v>
      </c>
      <c r="L3118">
        <v>650</v>
      </c>
      <c r="M3118">
        <v>2600</v>
      </c>
      <c r="N3118">
        <f>IF(COUNTIFS($B$2:B3118,B3118)=1,1,0)</f>
        <v>0</v>
      </c>
    </row>
    <row r="3119" spans="1:14" x14ac:dyDescent="0.2">
      <c r="A3119">
        <v>3118</v>
      </c>
      <c r="B3119">
        <v>2571</v>
      </c>
      <c r="C3119">
        <f>1/COUNTIF(B:B,Table1[[#This Row],[order_id]])</f>
        <v>0.33333333333333331</v>
      </c>
      <c r="D3119" t="str">
        <f>TEXT(Table1[[#This Row],[order_date]],"mmmm")</f>
        <v>August</v>
      </c>
      <c r="E3119" s="1">
        <v>45531</v>
      </c>
      <c r="F3119" s="1" t="str">
        <f>TEXT(Table1[[#This Row],[order_date]],"dddd")</f>
        <v>Tuesday</v>
      </c>
      <c r="G3119">
        <f>HOUR(Table1[[#This Row],[order_time]])</f>
        <v>15</v>
      </c>
      <c r="H3119" s="2">
        <v>0.66362268518518519</v>
      </c>
      <c r="I3119" t="s">
        <v>16</v>
      </c>
      <c r="J3119" t="s">
        <v>23</v>
      </c>
      <c r="K3119">
        <v>4</v>
      </c>
      <c r="L3119">
        <v>30</v>
      </c>
      <c r="M3119">
        <v>120</v>
      </c>
      <c r="N3119">
        <f>IF(COUNTIFS($B$2:B3119,B3119)=1,1,0)</f>
        <v>0</v>
      </c>
    </row>
    <row r="3120" spans="1:14" x14ac:dyDescent="0.2">
      <c r="A3120">
        <v>3119</v>
      </c>
      <c r="B3120">
        <v>2572</v>
      </c>
      <c r="C3120">
        <f>1/COUNTIF(B:B,Table1[[#This Row],[order_id]])</f>
        <v>0.5</v>
      </c>
      <c r="D3120" t="str">
        <f>TEXT(Table1[[#This Row],[order_date]],"mmmm")</f>
        <v>August</v>
      </c>
      <c r="E3120" s="1">
        <v>45531</v>
      </c>
      <c r="F3120" s="1" t="str">
        <f>TEXT(Table1[[#This Row],[order_date]],"dddd")</f>
        <v>Tuesday</v>
      </c>
      <c r="G3120">
        <f>HOUR(Table1[[#This Row],[order_time]])</f>
        <v>14</v>
      </c>
      <c r="H3120" s="2">
        <v>0.61496527777777776</v>
      </c>
      <c r="I3120" t="s">
        <v>16</v>
      </c>
      <c r="J3120" t="s">
        <v>23</v>
      </c>
      <c r="K3120">
        <v>2</v>
      </c>
      <c r="L3120">
        <v>30</v>
      </c>
      <c r="M3120">
        <v>60</v>
      </c>
      <c r="N3120">
        <f>IF(COUNTIFS($B$2:B3120,B3120)=1,1,0)</f>
        <v>1</v>
      </c>
    </row>
    <row r="3121" spans="1:14" x14ac:dyDescent="0.2">
      <c r="A3121">
        <v>3120</v>
      </c>
      <c r="B3121">
        <v>2572</v>
      </c>
      <c r="C3121">
        <f>1/COUNTIF(B:B,Table1[[#This Row],[order_id]])</f>
        <v>0.5</v>
      </c>
      <c r="D3121" t="str">
        <f>TEXT(Table1[[#This Row],[order_date]],"mmmm")</f>
        <v>August</v>
      </c>
      <c r="E3121" s="1">
        <v>45531</v>
      </c>
      <c r="F3121" s="1" t="str">
        <f>TEXT(Table1[[#This Row],[order_date]],"dddd")</f>
        <v>Tuesday</v>
      </c>
      <c r="G3121">
        <f>HOUR(Table1[[#This Row],[order_time]])</f>
        <v>10</v>
      </c>
      <c r="H3121" s="2">
        <v>0.43784722222222222</v>
      </c>
      <c r="I3121" t="s">
        <v>9</v>
      </c>
      <c r="J3121" t="s">
        <v>22</v>
      </c>
      <c r="K3121">
        <v>4</v>
      </c>
      <c r="L3121">
        <v>15</v>
      </c>
      <c r="M3121">
        <v>60</v>
      </c>
      <c r="N3121">
        <f>IF(COUNTIFS($B$2:B3121,B3121)=1,1,0)</f>
        <v>0</v>
      </c>
    </row>
    <row r="3122" spans="1:14" x14ac:dyDescent="0.2">
      <c r="A3122">
        <v>3121</v>
      </c>
      <c r="B3122">
        <v>2573</v>
      </c>
      <c r="C3122">
        <f>1/COUNTIF(B:B,Table1[[#This Row],[order_id]])</f>
        <v>1</v>
      </c>
      <c r="D3122" t="str">
        <f>TEXT(Table1[[#This Row],[order_date]],"mmmm")</f>
        <v>August</v>
      </c>
      <c r="E3122" s="1">
        <v>45532</v>
      </c>
      <c r="F3122" s="1" t="str">
        <f>TEXT(Table1[[#This Row],[order_date]],"dddd")</f>
        <v>Wednesday</v>
      </c>
      <c r="G3122">
        <f>HOUR(Table1[[#This Row],[order_time]])</f>
        <v>17</v>
      </c>
      <c r="H3122" s="2">
        <v>0.74230324074074072</v>
      </c>
      <c r="I3122" t="s">
        <v>16</v>
      </c>
      <c r="J3122" t="s">
        <v>17</v>
      </c>
      <c r="K3122">
        <v>4</v>
      </c>
      <c r="L3122">
        <v>20</v>
      </c>
      <c r="M3122">
        <v>80</v>
      </c>
      <c r="N3122">
        <f>IF(COUNTIFS($B$2:B3122,B3122)=1,1,0)</f>
        <v>1</v>
      </c>
    </row>
    <row r="3123" spans="1:14" x14ac:dyDescent="0.2">
      <c r="A3123">
        <v>3122</v>
      </c>
      <c r="B3123">
        <v>2574</v>
      </c>
      <c r="C3123">
        <f>1/COUNTIF(B:B,Table1[[#This Row],[order_id]])</f>
        <v>1</v>
      </c>
      <c r="D3123" t="str">
        <f>TEXT(Table1[[#This Row],[order_date]],"mmmm")</f>
        <v>August</v>
      </c>
      <c r="E3123" s="1">
        <v>45532</v>
      </c>
      <c r="F3123" s="1" t="str">
        <f>TEXT(Table1[[#This Row],[order_date]],"dddd")</f>
        <v>Wednesday</v>
      </c>
      <c r="G3123">
        <f>HOUR(Table1[[#This Row],[order_time]])</f>
        <v>17</v>
      </c>
      <c r="H3123" s="2">
        <v>0.73423611111111109</v>
      </c>
      <c r="I3123" t="s">
        <v>9</v>
      </c>
      <c r="J3123" t="s">
        <v>10</v>
      </c>
      <c r="K3123">
        <v>2</v>
      </c>
      <c r="L3123">
        <v>20</v>
      </c>
      <c r="M3123">
        <v>40</v>
      </c>
      <c r="N3123">
        <f>IF(COUNTIFS($B$2:B3123,B3123)=1,1,0)</f>
        <v>1</v>
      </c>
    </row>
    <row r="3124" spans="1:14" x14ac:dyDescent="0.2">
      <c r="A3124">
        <v>3123</v>
      </c>
      <c r="B3124">
        <v>2575</v>
      </c>
      <c r="C3124">
        <f>1/COUNTIF(B:B,Table1[[#This Row],[order_id]])</f>
        <v>1</v>
      </c>
      <c r="D3124" t="str">
        <f>TEXT(Table1[[#This Row],[order_date]],"mmmm")</f>
        <v>August</v>
      </c>
      <c r="E3124" s="1">
        <v>45532</v>
      </c>
      <c r="F3124" s="1" t="str">
        <f>TEXT(Table1[[#This Row],[order_date]],"dddd")</f>
        <v>Wednesday</v>
      </c>
      <c r="G3124">
        <f>HOUR(Table1[[#This Row],[order_time]])</f>
        <v>10</v>
      </c>
      <c r="H3124" s="2">
        <v>0.43914351851851852</v>
      </c>
      <c r="I3124" t="s">
        <v>16</v>
      </c>
      <c r="J3124" t="s">
        <v>24</v>
      </c>
      <c r="K3124">
        <v>2</v>
      </c>
      <c r="L3124">
        <v>35</v>
      </c>
      <c r="M3124">
        <v>70</v>
      </c>
      <c r="N3124">
        <f>IF(COUNTIFS($B$2:B3124,B3124)=1,1,0)</f>
        <v>1</v>
      </c>
    </row>
    <row r="3125" spans="1:14" x14ac:dyDescent="0.2">
      <c r="A3125">
        <v>3124</v>
      </c>
      <c r="B3125">
        <v>2576</v>
      </c>
      <c r="C3125">
        <f>1/COUNTIF(B:B,Table1[[#This Row],[order_id]])</f>
        <v>0.5</v>
      </c>
      <c r="D3125" t="str">
        <f>TEXT(Table1[[#This Row],[order_date]],"mmmm")</f>
        <v>August</v>
      </c>
      <c r="E3125" s="1">
        <v>45532</v>
      </c>
      <c r="F3125" s="1" t="str">
        <f>TEXT(Table1[[#This Row],[order_date]],"dddd")</f>
        <v>Wednesday</v>
      </c>
      <c r="G3125">
        <f>HOUR(Table1[[#This Row],[order_time]])</f>
        <v>16</v>
      </c>
      <c r="H3125" s="2">
        <v>0.68385416666666665</v>
      </c>
      <c r="I3125" t="s">
        <v>18</v>
      </c>
      <c r="J3125" t="s">
        <v>30</v>
      </c>
      <c r="K3125">
        <v>4</v>
      </c>
      <c r="L3125">
        <v>60</v>
      </c>
      <c r="M3125">
        <v>240</v>
      </c>
      <c r="N3125">
        <f>IF(COUNTIFS($B$2:B3125,B3125)=1,1,0)</f>
        <v>1</v>
      </c>
    </row>
    <row r="3126" spans="1:14" x14ac:dyDescent="0.2">
      <c r="A3126">
        <v>3125</v>
      </c>
      <c r="B3126">
        <v>2576</v>
      </c>
      <c r="C3126">
        <f>1/COUNTIF(B:B,Table1[[#This Row],[order_id]])</f>
        <v>0.5</v>
      </c>
      <c r="D3126" t="str">
        <f>TEXT(Table1[[#This Row],[order_date]],"mmmm")</f>
        <v>August</v>
      </c>
      <c r="E3126" s="1">
        <v>45532</v>
      </c>
      <c r="F3126" s="1" t="str">
        <f>TEXT(Table1[[#This Row],[order_date]],"dddd")</f>
        <v>Wednesday</v>
      </c>
      <c r="G3126">
        <f>HOUR(Table1[[#This Row],[order_time]])</f>
        <v>19</v>
      </c>
      <c r="H3126" s="2">
        <v>0.79189814814814818</v>
      </c>
      <c r="I3126" t="s">
        <v>16</v>
      </c>
      <c r="J3126" t="s">
        <v>24</v>
      </c>
      <c r="K3126">
        <v>5</v>
      </c>
      <c r="L3126">
        <v>35</v>
      </c>
      <c r="M3126">
        <v>175</v>
      </c>
      <c r="N3126">
        <f>IF(COUNTIFS($B$2:B3126,B3126)=1,1,0)</f>
        <v>0</v>
      </c>
    </row>
    <row r="3127" spans="1:14" x14ac:dyDescent="0.2">
      <c r="A3127">
        <v>3126</v>
      </c>
      <c r="B3127">
        <v>2577</v>
      </c>
      <c r="C3127">
        <f>1/COUNTIF(B:B,Table1[[#This Row],[order_id]])</f>
        <v>0.33333333333333331</v>
      </c>
      <c r="D3127" t="str">
        <f>TEXT(Table1[[#This Row],[order_date]],"mmmm")</f>
        <v>August</v>
      </c>
      <c r="E3127" s="1">
        <v>45532</v>
      </c>
      <c r="F3127" s="1" t="str">
        <f>TEXT(Table1[[#This Row],[order_date]],"dddd")</f>
        <v>Wednesday</v>
      </c>
      <c r="G3127">
        <f>HOUR(Table1[[#This Row],[order_time]])</f>
        <v>15</v>
      </c>
      <c r="H3127" s="2">
        <v>0.65471064814814817</v>
      </c>
      <c r="I3127" t="s">
        <v>11</v>
      </c>
      <c r="J3127" t="s">
        <v>15</v>
      </c>
      <c r="K3127">
        <v>1</v>
      </c>
      <c r="L3127">
        <v>600</v>
      </c>
      <c r="M3127">
        <v>600</v>
      </c>
      <c r="N3127">
        <f>IF(COUNTIFS($B$2:B3127,B3127)=1,1,0)</f>
        <v>1</v>
      </c>
    </row>
    <row r="3128" spans="1:14" x14ac:dyDescent="0.2">
      <c r="A3128">
        <v>3127</v>
      </c>
      <c r="B3128">
        <v>2577</v>
      </c>
      <c r="C3128">
        <f>1/COUNTIF(B:B,Table1[[#This Row],[order_id]])</f>
        <v>0.33333333333333331</v>
      </c>
      <c r="D3128" t="str">
        <f>TEXT(Table1[[#This Row],[order_date]],"mmmm")</f>
        <v>August</v>
      </c>
      <c r="E3128" s="1">
        <v>45532</v>
      </c>
      <c r="F3128" s="1" t="str">
        <f>TEXT(Table1[[#This Row],[order_date]],"dddd")</f>
        <v>Wednesday</v>
      </c>
      <c r="G3128">
        <f>HOUR(Table1[[#This Row],[order_time]])</f>
        <v>14</v>
      </c>
      <c r="H3128" s="2">
        <v>0.59256944444444448</v>
      </c>
      <c r="I3128" t="s">
        <v>16</v>
      </c>
      <c r="J3128" t="s">
        <v>23</v>
      </c>
      <c r="K3128">
        <v>1</v>
      </c>
      <c r="L3128">
        <v>30</v>
      </c>
      <c r="M3128">
        <v>30</v>
      </c>
      <c r="N3128">
        <f>IF(COUNTIFS($B$2:B3128,B3128)=1,1,0)</f>
        <v>0</v>
      </c>
    </row>
    <row r="3129" spans="1:14" x14ac:dyDescent="0.2">
      <c r="A3129">
        <v>3128</v>
      </c>
      <c r="B3129">
        <v>2577</v>
      </c>
      <c r="C3129">
        <f>1/COUNTIF(B:B,Table1[[#This Row],[order_id]])</f>
        <v>0.33333333333333331</v>
      </c>
      <c r="D3129" t="str">
        <f>TEXT(Table1[[#This Row],[order_date]],"mmmm")</f>
        <v>August</v>
      </c>
      <c r="E3129" s="1">
        <v>45532</v>
      </c>
      <c r="F3129" s="1" t="str">
        <f>TEXT(Table1[[#This Row],[order_date]],"dddd")</f>
        <v>Wednesday</v>
      </c>
      <c r="G3129">
        <f>HOUR(Table1[[#This Row],[order_time]])</f>
        <v>13</v>
      </c>
      <c r="H3129" s="2">
        <v>0.54753472222222221</v>
      </c>
      <c r="I3129" t="s">
        <v>9</v>
      </c>
      <c r="J3129" t="s">
        <v>10</v>
      </c>
      <c r="K3129">
        <v>2</v>
      </c>
      <c r="L3129">
        <v>20</v>
      </c>
      <c r="M3129">
        <v>40</v>
      </c>
      <c r="N3129">
        <f>IF(COUNTIFS($B$2:B3129,B3129)=1,1,0)</f>
        <v>0</v>
      </c>
    </row>
    <row r="3130" spans="1:14" x14ac:dyDescent="0.2">
      <c r="A3130">
        <v>3129</v>
      </c>
      <c r="B3130">
        <v>2578</v>
      </c>
      <c r="C3130">
        <f>1/COUNTIF(B:B,Table1[[#This Row],[order_id]])</f>
        <v>0.33333333333333331</v>
      </c>
      <c r="D3130" t="str">
        <f>TEXT(Table1[[#This Row],[order_date]],"mmmm")</f>
        <v>August</v>
      </c>
      <c r="E3130" s="1">
        <v>45532</v>
      </c>
      <c r="F3130" s="1" t="str">
        <f>TEXT(Table1[[#This Row],[order_date]],"dddd")</f>
        <v>Wednesday</v>
      </c>
      <c r="G3130">
        <f>HOUR(Table1[[#This Row],[order_time]])</f>
        <v>16</v>
      </c>
      <c r="H3130" s="2">
        <v>0.68510416666666663</v>
      </c>
      <c r="I3130" t="s">
        <v>16</v>
      </c>
      <c r="J3130" t="s">
        <v>24</v>
      </c>
      <c r="K3130">
        <v>5</v>
      </c>
      <c r="L3130">
        <v>35</v>
      </c>
      <c r="M3130">
        <v>175</v>
      </c>
      <c r="N3130">
        <f>IF(COUNTIFS($B$2:B3130,B3130)=1,1,0)</f>
        <v>1</v>
      </c>
    </row>
    <row r="3131" spans="1:14" x14ac:dyDescent="0.2">
      <c r="A3131">
        <v>3130</v>
      </c>
      <c r="B3131">
        <v>2578</v>
      </c>
      <c r="C3131">
        <f>1/COUNTIF(B:B,Table1[[#This Row],[order_id]])</f>
        <v>0.33333333333333331</v>
      </c>
      <c r="D3131" t="str">
        <f>TEXT(Table1[[#This Row],[order_date]],"mmmm")</f>
        <v>August</v>
      </c>
      <c r="E3131" s="1">
        <v>45532</v>
      </c>
      <c r="F3131" s="1" t="str">
        <f>TEXT(Table1[[#This Row],[order_date]],"dddd")</f>
        <v>Wednesday</v>
      </c>
      <c r="G3131">
        <f>HOUR(Table1[[#This Row],[order_time]])</f>
        <v>16</v>
      </c>
      <c r="H3131" s="2">
        <v>0.69109953703703708</v>
      </c>
      <c r="I3131" t="s">
        <v>16</v>
      </c>
      <c r="J3131" t="s">
        <v>23</v>
      </c>
      <c r="K3131">
        <v>1</v>
      </c>
      <c r="L3131">
        <v>30</v>
      </c>
      <c r="M3131">
        <v>30</v>
      </c>
      <c r="N3131">
        <f>IF(COUNTIFS($B$2:B3131,B3131)=1,1,0)</f>
        <v>0</v>
      </c>
    </row>
    <row r="3132" spans="1:14" x14ac:dyDescent="0.2">
      <c r="A3132">
        <v>3131</v>
      </c>
      <c r="B3132">
        <v>2578</v>
      </c>
      <c r="C3132">
        <f>1/COUNTIF(B:B,Table1[[#This Row],[order_id]])</f>
        <v>0.33333333333333331</v>
      </c>
      <c r="D3132" t="str">
        <f>TEXT(Table1[[#This Row],[order_date]],"mmmm")</f>
        <v>August</v>
      </c>
      <c r="E3132" s="1">
        <v>45532</v>
      </c>
      <c r="F3132" s="1" t="str">
        <f>TEXT(Table1[[#This Row],[order_date]],"dddd")</f>
        <v>Wednesday</v>
      </c>
      <c r="G3132">
        <f>HOUR(Table1[[#This Row],[order_time]])</f>
        <v>13</v>
      </c>
      <c r="H3132" s="2">
        <v>0.54708333333333337</v>
      </c>
      <c r="I3132" t="s">
        <v>9</v>
      </c>
      <c r="J3132" t="s">
        <v>20</v>
      </c>
      <c r="K3132">
        <v>1</v>
      </c>
      <c r="L3132">
        <v>25</v>
      </c>
      <c r="M3132">
        <v>25</v>
      </c>
      <c r="N3132">
        <f>IF(COUNTIFS($B$2:B3132,B3132)=1,1,0)</f>
        <v>0</v>
      </c>
    </row>
    <row r="3133" spans="1:14" x14ac:dyDescent="0.2">
      <c r="A3133">
        <v>3132</v>
      </c>
      <c r="B3133">
        <v>2579</v>
      </c>
      <c r="C3133">
        <f>1/COUNTIF(B:B,Table1[[#This Row],[order_id]])</f>
        <v>0.5</v>
      </c>
      <c r="D3133" t="str">
        <f>TEXT(Table1[[#This Row],[order_date]],"mmmm")</f>
        <v>August</v>
      </c>
      <c r="E3133" s="1">
        <v>45533</v>
      </c>
      <c r="F3133" s="1" t="str">
        <f>TEXT(Table1[[#This Row],[order_date]],"dddd")</f>
        <v>Thursday</v>
      </c>
      <c r="G3133">
        <f>HOUR(Table1[[#This Row],[order_time]])</f>
        <v>13</v>
      </c>
      <c r="H3133" s="2">
        <v>0.58236111111111111</v>
      </c>
      <c r="I3133" t="s">
        <v>16</v>
      </c>
      <c r="J3133" t="s">
        <v>17</v>
      </c>
      <c r="K3133">
        <v>1</v>
      </c>
      <c r="L3133">
        <v>20</v>
      </c>
      <c r="M3133">
        <v>20</v>
      </c>
      <c r="N3133">
        <f>IF(COUNTIFS($B$2:B3133,B3133)=1,1,0)</f>
        <v>1</v>
      </c>
    </row>
    <row r="3134" spans="1:14" x14ac:dyDescent="0.2">
      <c r="A3134">
        <v>3133</v>
      </c>
      <c r="B3134">
        <v>2579</v>
      </c>
      <c r="C3134">
        <f>1/COUNTIF(B:B,Table1[[#This Row],[order_id]])</f>
        <v>0.5</v>
      </c>
      <c r="D3134" t="str">
        <f>TEXT(Table1[[#This Row],[order_date]],"mmmm")</f>
        <v>August</v>
      </c>
      <c r="E3134" s="1">
        <v>45533</v>
      </c>
      <c r="F3134" s="1" t="str">
        <f>TEXT(Table1[[#This Row],[order_date]],"dddd")</f>
        <v>Thursday</v>
      </c>
      <c r="G3134">
        <f>HOUR(Table1[[#This Row],[order_time]])</f>
        <v>17</v>
      </c>
      <c r="H3134" s="2">
        <v>0.7189699074074074</v>
      </c>
      <c r="I3134" t="s">
        <v>16</v>
      </c>
      <c r="J3134" t="s">
        <v>23</v>
      </c>
      <c r="K3134">
        <v>2</v>
      </c>
      <c r="L3134">
        <v>30</v>
      </c>
      <c r="M3134">
        <v>60</v>
      </c>
      <c r="N3134">
        <f>IF(COUNTIFS($B$2:B3134,B3134)=1,1,0)</f>
        <v>0</v>
      </c>
    </row>
    <row r="3135" spans="1:14" x14ac:dyDescent="0.2">
      <c r="A3135">
        <v>3134</v>
      </c>
      <c r="B3135">
        <v>2580</v>
      </c>
      <c r="C3135">
        <f>1/COUNTIF(B:B,Table1[[#This Row],[order_id]])</f>
        <v>1</v>
      </c>
      <c r="D3135" t="str">
        <f>TEXT(Table1[[#This Row],[order_date]],"mmmm")</f>
        <v>August</v>
      </c>
      <c r="E3135" s="1">
        <v>45533</v>
      </c>
      <c r="F3135" s="1" t="str">
        <f>TEXT(Table1[[#This Row],[order_date]],"dddd")</f>
        <v>Thursday</v>
      </c>
      <c r="G3135">
        <f>HOUR(Table1[[#This Row],[order_time]])</f>
        <v>10</v>
      </c>
      <c r="H3135" s="2">
        <v>0.41971064814814812</v>
      </c>
      <c r="I3135" t="s">
        <v>9</v>
      </c>
      <c r="J3135" t="s">
        <v>22</v>
      </c>
      <c r="K3135">
        <v>1</v>
      </c>
      <c r="L3135">
        <v>15</v>
      </c>
      <c r="M3135">
        <v>15</v>
      </c>
      <c r="N3135">
        <f>IF(COUNTIFS($B$2:B3135,B3135)=1,1,0)</f>
        <v>1</v>
      </c>
    </row>
    <row r="3136" spans="1:14" x14ac:dyDescent="0.2">
      <c r="A3136">
        <v>3135</v>
      </c>
      <c r="B3136">
        <v>2581</v>
      </c>
      <c r="C3136">
        <f>1/COUNTIF(B:B,Table1[[#This Row],[order_id]])</f>
        <v>0.5</v>
      </c>
      <c r="D3136" t="str">
        <f>TEXT(Table1[[#This Row],[order_date]],"mmmm")</f>
        <v>August</v>
      </c>
      <c r="E3136" s="1">
        <v>45533</v>
      </c>
      <c r="F3136" s="1" t="str">
        <f>TEXT(Table1[[#This Row],[order_date]],"dddd")</f>
        <v>Thursday</v>
      </c>
      <c r="G3136">
        <f>HOUR(Table1[[#This Row],[order_time]])</f>
        <v>10</v>
      </c>
      <c r="H3136" s="2">
        <v>0.44043981481481481</v>
      </c>
      <c r="I3136" t="s">
        <v>16</v>
      </c>
      <c r="J3136" t="s">
        <v>24</v>
      </c>
      <c r="K3136">
        <v>1</v>
      </c>
      <c r="L3136">
        <v>35</v>
      </c>
      <c r="M3136">
        <v>35</v>
      </c>
      <c r="N3136">
        <f>IF(COUNTIFS($B$2:B3136,B3136)=1,1,0)</f>
        <v>1</v>
      </c>
    </row>
    <row r="3137" spans="1:14" x14ac:dyDescent="0.2">
      <c r="A3137">
        <v>3136</v>
      </c>
      <c r="B3137">
        <v>2581</v>
      </c>
      <c r="C3137">
        <f>1/COUNTIF(B:B,Table1[[#This Row],[order_id]])</f>
        <v>0.5</v>
      </c>
      <c r="D3137" t="str">
        <f>TEXT(Table1[[#This Row],[order_date]],"mmmm")</f>
        <v>August</v>
      </c>
      <c r="E3137" s="1">
        <v>45533</v>
      </c>
      <c r="F3137" s="1" t="str">
        <f>TEXT(Table1[[#This Row],[order_date]],"dddd")</f>
        <v>Thursday</v>
      </c>
      <c r="G3137">
        <f>HOUR(Table1[[#This Row],[order_time]])</f>
        <v>13</v>
      </c>
      <c r="H3137" s="2">
        <v>0.56942129629629634</v>
      </c>
      <c r="I3137" t="s">
        <v>9</v>
      </c>
      <c r="J3137" t="s">
        <v>20</v>
      </c>
      <c r="K3137">
        <v>5</v>
      </c>
      <c r="L3137">
        <v>25</v>
      </c>
      <c r="M3137">
        <v>125</v>
      </c>
      <c r="N3137">
        <f>IF(COUNTIFS($B$2:B3137,B3137)=1,1,0)</f>
        <v>0</v>
      </c>
    </row>
    <row r="3138" spans="1:14" x14ac:dyDescent="0.2">
      <c r="A3138">
        <v>3137</v>
      </c>
      <c r="B3138">
        <v>2582</v>
      </c>
      <c r="C3138">
        <f>1/COUNTIF(B:B,Table1[[#This Row],[order_id]])</f>
        <v>1</v>
      </c>
      <c r="D3138" t="str">
        <f>TEXT(Table1[[#This Row],[order_date]],"mmmm")</f>
        <v>August</v>
      </c>
      <c r="E3138" s="1">
        <v>45533</v>
      </c>
      <c r="F3138" s="1" t="str">
        <f>TEXT(Table1[[#This Row],[order_date]],"dddd")</f>
        <v>Thursday</v>
      </c>
      <c r="G3138">
        <f>HOUR(Table1[[#This Row],[order_time]])</f>
        <v>15</v>
      </c>
      <c r="H3138" s="2">
        <v>0.62549768518518523</v>
      </c>
      <c r="I3138" t="s">
        <v>18</v>
      </c>
      <c r="J3138" t="s">
        <v>30</v>
      </c>
      <c r="K3138">
        <v>3</v>
      </c>
      <c r="L3138">
        <v>60</v>
      </c>
      <c r="M3138">
        <v>180</v>
      </c>
      <c r="N3138">
        <f>IF(COUNTIFS($B$2:B3138,B3138)=1,1,0)</f>
        <v>1</v>
      </c>
    </row>
    <row r="3139" spans="1:14" x14ac:dyDescent="0.2">
      <c r="A3139">
        <v>3138</v>
      </c>
      <c r="B3139">
        <v>2583</v>
      </c>
      <c r="C3139">
        <f>1/COUNTIF(B:B,Table1[[#This Row],[order_id]])</f>
        <v>0.33333333333333331</v>
      </c>
      <c r="D3139" t="str">
        <f>TEXT(Table1[[#This Row],[order_date]],"mmmm")</f>
        <v>August</v>
      </c>
      <c r="E3139" s="1">
        <v>45533</v>
      </c>
      <c r="F3139" s="1" t="str">
        <f>TEXT(Table1[[#This Row],[order_date]],"dddd")</f>
        <v>Thursday</v>
      </c>
      <c r="G3139">
        <f>HOUR(Table1[[#This Row],[order_time]])</f>
        <v>9</v>
      </c>
      <c r="H3139" s="2">
        <v>0.38</v>
      </c>
      <c r="I3139" t="s">
        <v>11</v>
      </c>
      <c r="J3139" t="s">
        <v>12</v>
      </c>
      <c r="K3139">
        <v>2</v>
      </c>
      <c r="L3139">
        <v>650</v>
      </c>
      <c r="M3139">
        <v>1300</v>
      </c>
      <c r="N3139">
        <f>IF(COUNTIFS($B$2:B3139,B3139)=1,1,0)</f>
        <v>1</v>
      </c>
    </row>
    <row r="3140" spans="1:14" x14ac:dyDescent="0.2">
      <c r="A3140">
        <v>3139</v>
      </c>
      <c r="B3140">
        <v>2583</v>
      </c>
      <c r="C3140">
        <f>1/COUNTIF(B:B,Table1[[#This Row],[order_id]])</f>
        <v>0.33333333333333331</v>
      </c>
      <c r="D3140" t="str">
        <f>TEXT(Table1[[#This Row],[order_date]],"mmmm")</f>
        <v>August</v>
      </c>
      <c r="E3140" s="1">
        <v>45533</v>
      </c>
      <c r="F3140" s="1" t="str">
        <f>TEXT(Table1[[#This Row],[order_date]],"dddd")</f>
        <v>Thursday</v>
      </c>
      <c r="G3140">
        <f>HOUR(Table1[[#This Row],[order_time]])</f>
        <v>12</v>
      </c>
      <c r="H3140" s="2">
        <v>0.52556712962962959</v>
      </c>
      <c r="I3140" t="s">
        <v>9</v>
      </c>
      <c r="J3140" t="s">
        <v>22</v>
      </c>
      <c r="K3140">
        <v>2</v>
      </c>
      <c r="L3140">
        <v>15</v>
      </c>
      <c r="M3140">
        <v>30</v>
      </c>
      <c r="N3140">
        <f>IF(COUNTIFS($B$2:B3140,B3140)=1,1,0)</f>
        <v>0</v>
      </c>
    </row>
    <row r="3141" spans="1:14" x14ac:dyDescent="0.2">
      <c r="A3141">
        <v>3140</v>
      </c>
      <c r="B3141">
        <v>2583</v>
      </c>
      <c r="C3141">
        <f>1/COUNTIF(B:B,Table1[[#This Row],[order_id]])</f>
        <v>0.33333333333333331</v>
      </c>
      <c r="D3141" t="str">
        <f>TEXT(Table1[[#This Row],[order_date]],"mmmm")</f>
        <v>August</v>
      </c>
      <c r="E3141" s="1">
        <v>45533</v>
      </c>
      <c r="F3141" s="1" t="str">
        <f>TEXT(Table1[[#This Row],[order_date]],"dddd")</f>
        <v>Thursday</v>
      </c>
      <c r="G3141">
        <f>HOUR(Table1[[#This Row],[order_time]])</f>
        <v>9</v>
      </c>
      <c r="H3141" s="2">
        <v>0.38568287037037036</v>
      </c>
      <c r="I3141" t="s">
        <v>18</v>
      </c>
      <c r="J3141" t="s">
        <v>30</v>
      </c>
      <c r="K3141">
        <v>3</v>
      </c>
      <c r="L3141">
        <v>60</v>
      </c>
      <c r="M3141">
        <v>180</v>
      </c>
      <c r="N3141">
        <f>IF(COUNTIFS($B$2:B3141,B3141)=1,1,0)</f>
        <v>0</v>
      </c>
    </row>
    <row r="3142" spans="1:14" x14ac:dyDescent="0.2">
      <c r="A3142">
        <v>3141</v>
      </c>
      <c r="B3142">
        <v>2584</v>
      </c>
      <c r="C3142">
        <f>1/COUNTIF(B:B,Table1[[#This Row],[order_id]])</f>
        <v>0.5</v>
      </c>
      <c r="D3142" t="str">
        <f>TEXT(Table1[[#This Row],[order_date]],"mmmm")</f>
        <v>August</v>
      </c>
      <c r="E3142" s="1">
        <v>45533</v>
      </c>
      <c r="F3142" s="1" t="str">
        <f>TEXT(Table1[[#This Row],[order_date]],"dddd")</f>
        <v>Thursday</v>
      </c>
      <c r="G3142">
        <f>HOUR(Table1[[#This Row],[order_time]])</f>
        <v>17</v>
      </c>
      <c r="H3142" s="2">
        <v>0.7201157407407407</v>
      </c>
      <c r="I3142" t="s">
        <v>9</v>
      </c>
      <c r="J3142" t="s">
        <v>22</v>
      </c>
      <c r="K3142">
        <v>2</v>
      </c>
      <c r="L3142">
        <v>15</v>
      </c>
      <c r="M3142">
        <v>30</v>
      </c>
      <c r="N3142">
        <f>IF(COUNTIFS($B$2:B3142,B3142)=1,1,0)</f>
        <v>1</v>
      </c>
    </row>
    <row r="3143" spans="1:14" x14ac:dyDescent="0.2">
      <c r="A3143">
        <v>3142</v>
      </c>
      <c r="B3143">
        <v>2584</v>
      </c>
      <c r="C3143">
        <f>1/COUNTIF(B:B,Table1[[#This Row],[order_id]])</f>
        <v>0.5</v>
      </c>
      <c r="D3143" t="str">
        <f>TEXT(Table1[[#This Row],[order_date]],"mmmm")</f>
        <v>August</v>
      </c>
      <c r="E3143" s="1">
        <v>45533</v>
      </c>
      <c r="F3143" s="1" t="str">
        <f>TEXT(Table1[[#This Row],[order_date]],"dddd")</f>
        <v>Thursday</v>
      </c>
      <c r="G3143">
        <f>HOUR(Table1[[#This Row],[order_time]])</f>
        <v>19</v>
      </c>
      <c r="H3143" s="2">
        <v>0.81221064814814814</v>
      </c>
      <c r="I3143" t="s">
        <v>11</v>
      </c>
      <c r="J3143" t="s">
        <v>13</v>
      </c>
      <c r="K3143">
        <v>2</v>
      </c>
      <c r="L3143">
        <v>680</v>
      </c>
      <c r="M3143">
        <v>1360</v>
      </c>
      <c r="N3143">
        <f>IF(COUNTIFS($B$2:B3143,B3143)=1,1,0)</f>
        <v>0</v>
      </c>
    </row>
    <row r="3144" spans="1:14" x14ac:dyDescent="0.2">
      <c r="A3144">
        <v>3143</v>
      </c>
      <c r="B3144">
        <v>2585</v>
      </c>
      <c r="C3144">
        <f>1/COUNTIF(B:B,Table1[[#This Row],[order_id]])</f>
        <v>1</v>
      </c>
      <c r="D3144" t="str">
        <f>TEXT(Table1[[#This Row],[order_date]],"mmmm")</f>
        <v>August</v>
      </c>
      <c r="E3144" s="1">
        <v>45534</v>
      </c>
      <c r="F3144" s="1" t="str">
        <f>TEXT(Table1[[#This Row],[order_date]],"dddd")</f>
        <v>Friday</v>
      </c>
      <c r="G3144">
        <f>HOUR(Table1[[#This Row],[order_time]])</f>
        <v>19</v>
      </c>
      <c r="H3144" s="2">
        <v>0.82351851851851854</v>
      </c>
      <c r="I3144" t="s">
        <v>9</v>
      </c>
      <c r="J3144" t="s">
        <v>21</v>
      </c>
      <c r="K3144">
        <v>4</v>
      </c>
      <c r="L3144">
        <v>10</v>
      </c>
      <c r="M3144">
        <v>40</v>
      </c>
      <c r="N3144">
        <f>IF(COUNTIFS($B$2:B3144,B3144)=1,1,0)</f>
        <v>1</v>
      </c>
    </row>
    <row r="3145" spans="1:14" x14ac:dyDescent="0.2">
      <c r="A3145">
        <v>3144</v>
      </c>
      <c r="B3145">
        <v>2586</v>
      </c>
      <c r="C3145">
        <f>1/COUNTIF(B:B,Table1[[#This Row],[order_id]])</f>
        <v>0.5</v>
      </c>
      <c r="D3145" t="str">
        <f>TEXT(Table1[[#This Row],[order_date]],"mmmm")</f>
        <v>August</v>
      </c>
      <c r="E3145" s="1">
        <v>45534</v>
      </c>
      <c r="F3145" s="1" t="str">
        <f>TEXT(Table1[[#This Row],[order_date]],"dddd")</f>
        <v>Friday</v>
      </c>
      <c r="G3145">
        <f>HOUR(Table1[[#This Row],[order_time]])</f>
        <v>10</v>
      </c>
      <c r="H3145" s="2">
        <v>0.43104166666666666</v>
      </c>
      <c r="I3145" t="s">
        <v>16</v>
      </c>
      <c r="J3145" t="s">
        <v>28</v>
      </c>
      <c r="K3145">
        <v>3</v>
      </c>
      <c r="L3145">
        <v>25</v>
      </c>
      <c r="M3145">
        <v>75</v>
      </c>
      <c r="N3145">
        <f>IF(COUNTIFS($B$2:B3145,B3145)=1,1,0)</f>
        <v>1</v>
      </c>
    </row>
    <row r="3146" spans="1:14" x14ac:dyDescent="0.2">
      <c r="A3146">
        <v>3145</v>
      </c>
      <c r="B3146">
        <v>2586</v>
      </c>
      <c r="C3146">
        <f>1/COUNTIF(B:B,Table1[[#This Row],[order_id]])</f>
        <v>0.5</v>
      </c>
      <c r="D3146" t="str">
        <f>TEXT(Table1[[#This Row],[order_date]],"mmmm")</f>
        <v>August</v>
      </c>
      <c r="E3146" s="1">
        <v>45534</v>
      </c>
      <c r="F3146" s="1" t="str">
        <f>TEXT(Table1[[#This Row],[order_date]],"dddd")</f>
        <v>Friday</v>
      </c>
      <c r="G3146">
        <f>HOUR(Table1[[#This Row],[order_time]])</f>
        <v>9</v>
      </c>
      <c r="H3146" s="2">
        <v>0.40513888888888888</v>
      </c>
      <c r="I3146" t="s">
        <v>11</v>
      </c>
      <c r="J3146" t="s">
        <v>25</v>
      </c>
      <c r="K3146">
        <v>4</v>
      </c>
      <c r="L3146">
        <v>1000</v>
      </c>
      <c r="M3146">
        <v>4000</v>
      </c>
      <c r="N3146">
        <f>IF(COUNTIFS($B$2:B3146,B3146)=1,1,0)</f>
        <v>0</v>
      </c>
    </row>
    <row r="3147" spans="1:14" x14ac:dyDescent="0.2">
      <c r="A3147">
        <v>3146</v>
      </c>
      <c r="B3147">
        <v>2587</v>
      </c>
      <c r="C3147">
        <f>1/COUNTIF(B:B,Table1[[#This Row],[order_id]])</f>
        <v>0.5</v>
      </c>
      <c r="D3147" t="str">
        <f>TEXT(Table1[[#This Row],[order_date]],"mmmm")</f>
        <v>August</v>
      </c>
      <c r="E3147" s="1">
        <v>45534</v>
      </c>
      <c r="F3147" s="1" t="str">
        <f>TEXT(Table1[[#This Row],[order_date]],"dddd")</f>
        <v>Friday</v>
      </c>
      <c r="G3147">
        <f>HOUR(Table1[[#This Row],[order_time]])</f>
        <v>15</v>
      </c>
      <c r="H3147" s="2">
        <v>0.63716435185185183</v>
      </c>
      <c r="I3147" t="s">
        <v>9</v>
      </c>
      <c r="J3147" t="s">
        <v>20</v>
      </c>
      <c r="K3147">
        <v>4</v>
      </c>
      <c r="L3147">
        <v>25</v>
      </c>
      <c r="M3147">
        <v>100</v>
      </c>
      <c r="N3147">
        <f>IF(COUNTIFS($B$2:B3147,B3147)=1,1,0)</f>
        <v>1</v>
      </c>
    </row>
    <row r="3148" spans="1:14" x14ac:dyDescent="0.2">
      <c r="A3148">
        <v>3147</v>
      </c>
      <c r="B3148">
        <v>2587</v>
      </c>
      <c r="C3148">
        <f>1/COUNTIF(B:B,Table1[[#This Row],[order_id]])</f>
        <v>0.5</v>
      </c>
      <c r="D3148" t="str">
        <f>TEXT(Table1[[#This Row],[order_date]],"mmmm")</f>
        <v>August</v>
      </c>
      <c r="E3148" s="1">
        <v>45534</v>
      </c>
      <c r="F3148" s="1" t="str">
        <f>TEXT(Table1[[#This Row],[order_date]],"dddd")</f>
        <v>Friday</v>
      </c>
      <c r="G3148">
        <f>HOUR(Table1[[#This Row],[order_time]])</f>
        <v>12</v>
      </c>
      <c r="H3148" s="2">
        <v>0.51303240740740741</v>
      </c>
      <c r="I3148" t="s">
        <v>9</v>
      </c>
      <c r="J3148" t="s">
        <v>22</v>
      </c>
      <c r="K3148">
        <v>3</v>
      </c>
      <c r="L3148">
        <v>15</v>
      </c>
      <c r="M3148">
        <v>45</v>
      </c>
      <c r="N3148">
        <f>IF(COUNTIFS($B$2:B3148,B3148)=1,1,0)</f>
        <v>0</v>
      </c>
    </row>
    <row r="3149" spans="1:14" x14ac:dyDescent="0.2">
      <c r="A3149">
        <v>3148</v>
      </c>
      <c r="B3149">
        <v>2588</v>
      </c>
      <c r="C3149">
        <f>1/COUNTIF(B:B,Table1[[#This Row],[order_id]])</f>
        <v>0.33333333333333331</v>
      </c>
      <c r="D3149" t="str">
        <f>TEXT(Table1[[#This Row],[order_date]],"mmmm")</f>
        <v>August</v>
      </c>
      <c r="E3149" s="1">
        <v>45534</v>
      </c>
      <c r="F3149" s="1" t="str">
        <f>TEXT(Table1[[#This Row],[order_date]],"dddd")</f>
        <v>Friday</v>
      </c>
      <c r="G3149">
        <f>HOUR(Table1[[#This Row],[order_time]])</f>
        <v>17</v>
      </c>
      <c r="H3149" s="2">
        <v>0.72243055555555558</v>
      </c>
      <c r="I3149" t="s">
        <v>16</v>
      </c>
      <c r="J3149" t="s">
        <v>28</v>
      </c>
      <c r="K3149">
        <v>3</v>
      </c>
      <c r="L3149">
        <v>25</v>
      </c>
      <c r="M3149">
        <v>75</v>
      </c>
      <c r="N3149">
        <f>IF(COUNTIFS($B$2:B3149,B3149)=1,1,0)</f>
        <v>1</v>
      </c>
    </row>
    <row r="3150" spans="1:14" x14ac:dyDescent="0.2">
      <c r="A3150">
        <v>3149</v>
      </c>
      <c r="B3150">
        <v>2588</v>
      </c>
      <c r="C3150">
        <f>1/COUNTIF(B:B,Table1[[#This Row],[order_id]])</f>
        <v>0.33333333333333331</v>
      </c>
      <c r="D3150" t="str">
        <f>TEXT(Table1[[#This Row],[order_date]],"mmmm")</f>
        <v>August</v>
      </c>
      <c r="E3150" s="1">
        <v>45534</v>
      </c>
      <c r="F3150" s="1" t="str">
        <f>TEXT(Table1[[#This Row],[order_date]],"dddd")</f>
        <v>Friday</v>
      </c>
      <c r="G3150">
        <f>HOUR(Table1[[#This Row],[order_time]])</f>
        <v>19</v>
      </c>
      <c r="H3150" s="2">
        <v>0.80686342592592597</v>
      </c>
      <c r="I3150" t="s">
        <v>16</v>
      </c>
      <c r="J3150" t="s">
        <v>17</v>
      </c>
      <c r="K3150">
        <v>1</v>
      </c>
      <c r="L3150">
        <v>20</v>
      </c>
      <c r="M3150">
        <v>20</v>
      </c>
      <c r="N3150">
        <f>IF(COUNTIFS($B$2:B3150,B3150)=1,1,0)</f>
        <v>0</v>
      </c>
    </row>
    <row r="3151" spans="1:14" x14ac:dyDescent="0.2">
      <c r="A3151">
        <v>3150</v>
      </c>
      <c r="B3151">
        <v>2588</v>
      </c>
      <c r="C3151">
        <f>1/COUNTIF(B:B,Table1[[#This Row],[order_id]])</f>
        <v>0.33333333333333331</v>
      </c>
      <c r="D3151" t="str">
        <f>TEXT(Table1[[#This Row],[order_date]],"mmmm")</f>
        <v>August</v>
      </c>
      <c r="E3151" s="1">
        <v>45534</v>
      </c>
      <c r="F3151" s="1" t="str">
        <f>TEXT(Table1[[#This Row],[order_date]],"dddd")</f>
        <v>Friday</v>
      </c>
      <c r="G3151">
        <f>HOUR(Table1[[#This Row],[order_time]])</f>
        <v>14</v>
      </c>
      <c r="H3151" s="2">
        <v>0.62050925925925926</v>
      </c>
      <c r="I3151" t="s">
        <v>16</v>
      </c>
      <c r="J3151" t="s">
        <v>23</v>
      </c>
      <c r="K3151">
        <v>1</v>
      </c>
      <c r="L3151">
        <v>30</v>
      </c>
      <c r="M3151">
        <v>30</v>
      </c>
      <c r="N3151">
        <f>IF(COUNTIFS($B$2:B3151,B3151)=1,1,0)</f>
        <v>0</v>
      </c>
    </row>
    <row r="3152" spans="1:14" x14ac:dyDescent="0.2">
      <c r="A3152">
        <v>3151</v>
      </c>
      <c r="B3152">
        <v>2589</v>
      </c>
      <c r="C3152">
        <f>1/COUNTIF(B:B,Table1[[#This Row],[order_id]])</f>
        <v>1</v>
      </c>
      <c r="D3152" t="str">
        <f>TEXT(Table1[[#This Row],[order_date]],"mmmm")</f>
        <v>August</v>
      </c>
      <c r="E3152" s="1">
        <v>45535</v>
      </c>
      <c r="F3152" s="1" t="str">
        <f>TEXT(Table1[[#This Row],[order_date]],"dddd")</f>
        <v>Saturday</v>
      </c>
      <c r="G3152">
        <f>HOUR(Table1[[#This Row],[order_time]])</f>
        <v>15</v>
      </c>
      <c r="H3152" s="2">
        <v>0.62739583333333337</v>
      </c>
      <c r="I3152" t="s">
        <v>16</v>
      </c>
      <c r="J3152" t="s">
        <v>24</v>
      </c>
      <c r="K3152">
        <v>2</v>
      </c>
      <c r="L3152">
        <v>35</v>
      </c>
      <c r="M3152">
        <v>70</v>
      </c>
      <c r="N3152">
        <f>IF(COUNTIFS($B$2:B3152,B3152)=1,1,0)</f>
        <v>1</v>
      </c>
    </row>
    <row r="3153" spans="1:14" x14ac:dyDescent="0.2">
      <c r="A3153">
        <v>3152</v>
      </c>
      <c r="B3153">
        <v>2590</v>
      </c>
      <c r="C3153">
        <f>1/COUNTIF(B:B,Table1[[#This Row],[order_id]])</f>
        <v>1</v>
      </c>
      <c r="D3153" t="str">
        <f>TEXT(Table1[[#This Row],[order_date]],"mmmm")</f>
        <v>August</v>
      </c>
      <c r="E3153" s="1">
        <v>45535</v>
      </c>
      <c r="F3153" s="1" t="str">
        <f>TEXT(Table1[[#This Row],[order_date]],"dddd")</f>
        <v>Saturday</v>
      </c>
      <c r="G3153">
        <f>HOUR(Table1[[#This Row],[order_time]])</f>
        <v>18</v>
      </c>
      <c r="H3153" s="2">
        <v>0.77337962962962958</v>
      </c>
      <c r="I3153" t="s">
        <v>9</v>
      </c>
      <c r="J3153" t="s">
        <v>29</v>
      </c>
      <c r="K3153">
        <v>4</v>
      </c>
      <c r="L3153">
        <v>5</v>
      </c>
      <c r="M3153">
        <v>20</v>
      </c>
      <c r="N3153">
        <f>IF(COUNTIFS($B$2:B3153,B3153)=1,1,0)</f>
        <v>1</v>
      </c>
    </row>
    <row r="3154" spans="1:14" x14ac:dyDescent="0.2">
      <c r="A3154">
        <v>3153</v>
      </c>
      <c r="B3154">
        <v>2591</v>
      </c>
      <c r="C3154">
        <f>1/COUNTIF(B:B,Table1[[#This Row],[order_id]])</f>
        <v>1</v>
      </c>
      <c r="D3154" t="str">
        <f>TEXT(Table1[[#This Row],[order_date]],"mmmm")</f>
        <v>August</v>
      </c>
      <c r="E3154" s="1">
        <v>45535</v>
      </c>
      <c r="F3154" s="1" t="str">
        <f>TEXT(Table1[[#This Row],[order_date]],"dddd")</f>
        <v>Saturday</v>
      </c>
      <c r="G3154">
        <f>HOUR(Table1[[#This Row],[order_time]])</f>
        <v>14</v>
      </c>
      <c r="H3154" s="2">
        <v>0.61054398148148148</v>
      </c>
      <c r="I3154" t="s">
        <v>9</v>
      </c>
      <c r="J3154" t="s">
        <v>29</v>
      </c>
      <c r="K3154">
        <v>5</v>
      </c>
      <c r="L3154">
        <v>5</v>
      </c>
      <c r="M3154">
        <v>25</v>
      </c>
      <c r="N3154">
        <f>IF(COUNTIFS($B$2:B3154,B3154)=1,1,0)</f>
        <v>1</v>
      </c>
    </row>
    <row r="3155" spans="1:14" x14ac:dyDescent="0.2">
      <c r="A3155">
        <v>3154</v>
      </c>
      <c r="B3155">
        <v>2592</v>
      </c>
      <c r="C3155">
        <f>1/COUNTIF(B:B,Table1[[#This Row],[order_id]])</f>
        <v>0.5</v>
      </c>
      <c r="D3155" t="str">
        <f>TEXT(Table1[[#This Row],[order_date]],"mmmm")</f>
        <v>August</v>
      </c>
      <c r="E3155" s="1">
        <v>45535</v>
      </c>
      <c r="F3155" s="1" t="str">
        <f>TEXT(Table1[[#This Row],[order_date]],"dddd")</f>
        <v>Saturday</v>
      </c>
      <c r="G3155">
        <f>HOUR(Table1[[#This Row],[order_time]])</f>
        <v>17</v>
      </c>
      <c r="H3155" s="2">
        <v>0.7233680555555555</v>
      </c>
      <c r="I3155" t="s">
        <v>18</v>
      </c>
      <c r="J3155" t="s">
        <v>19</v>
      </c>
      <c r="K3155">
        <v>2</v>
      </c>
      <c r="L3155">
        <v>50</v>
      </c>
      <c r="M3155">
        <v>100</v>
      </c>
      <c r="N3155">
        <f>IF(COUNTIFS($B$2:B3155,B3155)=1,1,0)</f>
        <v>1</v>
      </c>
    </row>
    <row r="3156" spans="1:14" x14ac:dyDescent="0.2">
      <c r="A3156">
        <v>3155</v>
      </c>
      <c r="B3156">
        <v>2592</v>
      </c>
      <c r="C3156">
        <f>1/COUNTIF(B:B,Table1[[#This Row],[order_id]])</f>
        <v>0.5</v>
      </c>
      <c r="D3156" t="str">
        <f>TEXT(Table1[[#This Row],[order_date]],"mmmm")</f>
        <v>August</v>
      </c>
      <c r="E3156" s="1">
        <v>45535</v>
      </c>
      <c r="F3156" s="1" t="str">
        <f>TEXT(Table1[[#This Row],[order_date]],"dddd")</f>
        <v>Saturday</v>
      </c>
      <c r="G3156">
        <f>HOUR(Table1[[#This Row],[order_time]])</f>
        <v>14</v>
      </c>
      <c r="H3156" s="2">
        <v>0.58824074074074073</v>
      </c>
      <c r="I3156" t="s">
        <v>16</v>
      </c>
      <c r="J3156" t="s">
        <v>28</v>
      </c>
      <c r="K3156">
        <v>3</v>
      </c>
      <c r="L3156">
        <v>25</v>
      </c>
      <c r="M3156">
        <v>75</v>
      </c>
      <c r="N3156">
        <f>IF(COUNTIFS($B$2:B3156,B3156)=1,1,0)</f>
        <v>0</v>
      </c>
    </row>
    <row r="3157" spans="1:14" x14ac:dyDescent="0.2">
      <c r="A3157">
        <v>3156</v>
      </c>
      <c r="B3157">
        <v>2593</v>
      </c>
      <c r="C3157">
        <f>1/COUNTIF(B:B,Table1[[#This Row],[order_id]])</f>
        <v>0.5</v>
      </c>
      <c r="D3157" t="str">
        <f>TEXT(Table1[[#This Row],[order_date]],"mmmm")</f>
        <v>August</v>
      </c>
      <c r="E3157" s="1">
        <v>45535</v>
      </c>
      <c r="F3157" s="1" t="str">
        <f>TEXT(Table1[[#This Row],[order_date]],"dddd")</f>
        <v>Saturday</v>
      </c>
      <c r="G3157">
        <f>HOUR(Table1[[#This Row],[order_time]])</f>
        <v>14</v>
      </c>
      <c r="H3157" s="2">
        <v>0.58703703703703702</v>
      </c>
      <c r="I3157" t="s">
        <v>9</v>
      </c>
      <c r="J3157" t="s">
        <v>29</v>
      </c>
      <c r="K3157">
        <v>4</v>
      </c>
      <c r="L3157">
        <v>5</v>
      </c>
      <c r="M3157">
        <v>20</v>
      </c>
      <c r="N3157">
        <f>IF(COUNTIFS($B$2:B3157,B3157)=1,1,0)</f>
        <v>1</v>
      </c>
    </row>
    <row r="3158" spans="1:14" x14ac:dyDescent="0.2">
      <c r="A3158">
        <v>3157</v>
      </c>
      <c r="B3158">
        <v>2593</v>
      </c>
      <c r="C3158">
        <f>1/COUNTIF(B:B,Table1[[#This Row],[order_id]])</f>
        <v>0.5</v>
      </c>
      <c r="D3158" t="str">
        <f>TEXT(Table1[[#This Row],[order_date]],"mmmm")</f>
        <v>August</v>
      </c>
      <c r="E3158" s="1">
        <v>45535</v>
      </c>
      <c r="F3158" s="1" t="str">
        <f>TEXT(Table1[[#This Row],[order_date]],"dddd")</f>
        <v>Saturday</v>
      </c>
      <c r="G3158">
        <f>HOUR(Table1[[#This Row],[order_time]])</f>
        <v>11</v>
      </c>
      <c r="H3158" s="2">
        <v>0.49986111111111109</v>
      </c>
      <c r="I3158" t="s">
        <v>9</v>
      </c>
      <c r="J3158" t="s">
        <v>22</v>
      </c>
      <c r="K3158">
        <v>5</v>
      </c>
      <c r="L3158">
        <v>15</v>
      </c>
      <c r="M3158">
        <v>75</v>
      </c>
      <c r="N3158">
        <f>IF(COUNTIFS($B$2:B3158,B3158)=1,1,0)</f>
        <v>0</v>
      </c>
    </row>
    <row r="3159" spans="1:14" x14ac:dyDescent="0.2">
      <c r="A3159">
        <v>3158</v>
      </c>
      <c r="B3159">
        <v>2594</v>
      </c>
      <c r="C3159">
        <f>1/COUNTIF(B:B,Table1[[#This Row],[order_id]])</f>
        <v>1</v>
      </c>
      <c r="D3159" t="str">
        <f>TEXT(Table1[[#This Row],[order_date]],"mmmm")</f>
        <v>August</v>
      </c>
      <c r="E3159" s="1">
        <v>45535</v>
      </c>
      <c r="F3159" s="1" t="str">
        <f>TEXT(Table1[[#This Row],[order_date]],"dddd")</f>
        <v>Saturday</v>
      </c>
      <c r="G3159">
        <f>HOUR(Table1[[#This Row],[order_time]])</f>
        <v>18</v>
      </c>
      <c r="H3159" s="2">
        <v>0.78416666666666668</v>
      </c>
      <c r="I3159" t="s">
        <v>18</v>
      </c>
      <c r="J3159" t="s">
        <v>27</v>
      </c>
      <c r="K3159">
        <v>2</v>
      </c>
      <c r="L3159">
        <v>40</v>
      </c>
      <c r="M3159">
        <v>80</v>
      </c>
      <c r="N3159">
        <f>IF(COUNTIFS($B$2:B3159,B3159)=1,1,0)</f>
        <v>1</v>
      </c>
    </row>
    <row r="3160" spans="1:14" x14ac:dyDescent="0.2">
      <c r="A3160">
        <v>3159</v>
      </c>
      <c r="B3160">
        <v>2595</v>
      </c>
      <c r="C3160">
        <f>1/COUNTIF(B:B,Table1[[#This Row],[order_id]])</f>
        <v>0.5</v>
      </c>
      <c r="D3160" t="str">
        <f>TEXT(Table1[[#This Row],[order_date]],"mmmm")</f>
        <v>September</v>
      </c>
      <c r="E3160" s="1">
        <v>45536</v>
      </c>
      <c r="F3160" s="1" t="str">
        <f>TEXT(Table1[[#This Row],[order_date]],"dddd")</f>
        <v>Sunday</v>
      </c>
      <c r="G3160">
        <f>HOUR(Table1[[#This Row],[order_time]])</f>
        <v>18</v>
      </c>
      <c r="H3160" s="2">
        <v>0.76729166666666671</v>
      </c>
      <c r="I3160" t="s">
        <v>18</v>
      </c>
      <c r="J3160" t="s">
        <v>30</v>
      </c>
      <c r="K3160">
        <v>5</v>
      </c>
      <c r="L3160">
        <v>60</v>
      </c>
      <c r="M3160">
        <v>300</v>
      </c>
      <c r="N3160">
        <f>IF(COUNTIFS($B$2:B3160,B3160)=1,1,0)</f>
        <v>1</v>
      </c>
    </row>
    <row r="3161" spans="1:14" x14ac:dyDescent="0.2">
      <c r="A3161">
        <v>3160</v>
      </c>
      <c r="B3161">
        <v>2595</v>
      </c>
      <c r="C3161">
        <f>1/COUNTIF(B:B,Table1[[#This Row],[order_id]])</f>
        <v>0.5</v>
      </c>
      <c r="D3161" t="str">
        <f>TEXT(Table1[[#This Row],[order_date]],"mmmm")</f>
        <v>September</v>
      </c>
      <c r="E3161" s="1">
        <v>45536</v>
      </c>
      <c r="F3161" s="1" t="str">
        <f>TEXT(Table1[[#This Row],[order_date]],"dddd")</f>
        <v>Sunday</v>
      </c>
      <c r="G3161">
        <f>HOUR(Table1[[#This Row],[order_time]])</f>
        <v>9</v>
      </c>
      <c r="H3161" s="2">
        <v>0.40761574074074075</v>
      </c>
      <c r="I3161" t="s">
        <v>9</v>
      </c>
      <c r="J3161" t="s">
        <v>10</v>
      </c>
      <c r="K3161">
        <v>2</v>
      </c>
      <c r="L3161">
        <v>20</v>
      </c>
      <c r="M3161">
        <v>40</v>
      </c>
      <c r="N3161">
        <f>IF(COUNTIFS($B$2:B3161,B3161)=1,1,0)</f>
        <v>0</v>
      </c>
    </row>
    <row r="3162" spans="1:14" x14ac:dyDescent="0.2">
      <c r="A3162">
        <v>3161</v>
      </c>
      <c r="B3162">
        <v>2596</v>
      </c>
      <c r="C3162">
        <f>1/COUNTIF(B:B,Table1[[#This Row],[order_id]])</f>
        <v>0.5</v>
      </c>
      <c r="D3162" t="str">
        <f>TEXT(Table1[[#This Row],[order_date]],"mmmm")</f>
        <v>September</v>
      </c>
      <c r="E3162" s="1">
        <v>45536</v>
      </c>
      <c r="F3162" s="1" t="str">
        <f>TEXT(Table1[[#This Row],[order_date]],"dddd")</f>
        <v>Sunday</v>
      </c>
      <c r="G3162">
        <f>HOUR(Table1[[#This Row],[order_time]])</f>
        <v>15</v>
      </c>
      <c r="H3162" s="2">
        <v>0.66160879629629632</v>
      </c>
      <c r="I3162" t="s">
        <v>18</v>
      </c>
      <c r="J3162" t="s">
        <v>30</v>
      </c>
      <c r="K3162">
        <v>2</v>
      </c>
      <c r="L3162">
        <v>60</v>
      </c>
      <c r="M3162">
        <v>120</v>
      </c>
      <c r="N3162">
        <f>IF(COUNTIFS($B$2:B3162,B3162)=1,1,0)</f>
        <v>1</v>
      </c>
    </row>
    <row r="3163" spans="1:14" x14ac:dyDescent="0.2">
      <c r="A3163">
        <v>3162</v>
      </c>
      <c r="B3163">
        <v>2596</v>
      </c>
      <c r="C3163">
        <f>1/COUNTIF(B:B,Table1[[#This Row],[order_id]])</f>
        <v>0.5</v>
      </c>
      <c r="D3163" t="str">
        <f>TEXT(Table1[[#This Row],[order_date]],"mmmm")</f>
        <v>September</v>
      </c>
      <c r="E3163" s="1">
        <v>45536</v>
      </c>
      <c r="F3163" s="1" t="str">
        <f>TEXT(Table1[[#This Row],[order_date]],"dddd")</f>
        <v>Sunday</v>
      </c>
      <c r="G3163">
        <f>HOUR(Table1[[#This Row],[order_time]])</f>
        <v>17</v>
      </c>
      <c r="H3163" s="2">
        <v>0.7308217592592593</v>
      </c>
      <c r="I3163" t="s">
        <v>16</v>
      </c>
      <c r="J3163" t="s">
        <v>23</v>
      </c>
      <c r="K3163">
        <v>2</v>
      </c>
      <c r="L3163">
        <v>30</v>
      </c>
      <c r="M3163">
        <v>60</v>
      </c>
      <c r="N3163">
        <f>IF(COUNTIFS($B$2:B3163,B3163)=1,1,0)</f>
        <v>0</v>
      </c>
    </row>
    <row r="3164" spans="1:14" x14ac:dyDescent="0.2">
      <c r="A3164">
        <v>3163</v>
      </c>
      <c r="B3164">
        <v>2597</v>
      </c>
      <c r="C3164">
        <f>1/COUNTIF(B:B,Table1[[#This Row],[order_id]])</f>
        <v>1</v>
      </c>
      <c r="D3164" t="str">
        <f>TEXT(Table1[[#This Row],[order_date]],"mmmm")</f>
        <v>September</v>
      </c>
      <c r="E3164" s="1">
        <v>45536</v>
      </c>
      <c r="F3164" s="1" t="str">
        <f>TEXT(Table1[[#This Row],[order_date]],"dddd")</f>
        <v>Sunday</v>
      </c>
      <c r="G3164">
        <f>HOUR(Table1[[#This Row],[order_time]])</f>
        <v>18</v>
      </c>
      <c r="H3164" s="2">
        <v>0.76314814814814813</v>
      </c>
      <c r="I3164" t="s">
        <v>11</v>
      </c>
      <c r="J3164" t="s">
        <v>25</v>
      </c>
      <c r="K3164">
        <v>4</v>
      </c>
      <c r="L3164">
        <v>1000</v>
      </c>
      <c r="M3164">
        <v>4000</v>
      </c>
      <c r="N3164">
        <f>IF(COUNTIFS($B$2:B3164,B3164)=1,1,0)</f>
        <v>1</v>
      </c>
    </row>
    <row r="3165" spans="1:14" x14ac:dyDescent="0.2">
      <c r="A3165">
        <v>3164</v>
      </c>
      <c r="B3165">
        <v>2598</v>
      </c>
      <c r="C3165">
        <f>1/COUNTIF(B:B,Table1[[#This Row],[order_id]])</f>
        <v>1</v>
      </c>
      <c r="D3165" t="str">
        <f>TEXT(Table1[[#This Row],[order_date]],"mmmm")</f>
        <v>September</v>
      </c>
      <c r="E3165" s="1">
        <v>45536</v>
      </c>
      <c r="F3165" s="1" t="str">
        <f>TEXT(Table1[[#This Row],[order_date]],"dddd")</f>
        <v>Sunday</v>
      </c>
      <c r="G3165">
        <f>HOUR(Table1[[#This Row],[order_time]])</f>
        <v>10</v>
      </c>
      <c r="H3165" s="2">
        <v>0.43996527777777777</v>
      </c>
      <c r="I3165" t="s">
        <v>11</v>
      </c>
      <c r="J3165" t="s">
        <v>25</v>
      </c>
      <c r="K3165">
        <v>4</v>
      </c>
      <c r="L3165">
        <v>1000</v>
      </c>
      <c r="M3165">
        <v>4000</v>
      </c>
      <c r="N3165">
        <f>IF(COUNTIFS($B$2:B3165,B3165)=1,1,0)</f>
        <v>1</v>
      </c>
    </row>
    <row r="3166" spans="1:14" x14ac:dyDescent="0.2">
      <c r="A3166">
        <v>3165</v>
      </c>
      <c r="B3166">
        <v>2599</v>
      </c>
      <c r="C3166">
        <f>1/COUNTIF(B:B,Table1[[#This Row],[order_id]])</f>
        <v>1</v>
      </c>
      <c r="D3166" t="str">
        <f>TEXT(Table1[[#This Row],[order_date]],"mmmm")</f>
        <v>September</v>
      </c>
      <c r="E3166" s="1">
        <v>45536</v>
      </c>
      <c r="F3166" s="1" t="str">
        <f>TEXT(Table1[[#This Row],[order_date]],"dddd")</f>
        <v>Sunday</v>
      </c>
      <c r="G3166">
        <f>HOUR(Table1[[#This Row],[order_time]])</f>
        <v>9</v>
      </c>
      <c r="H3166" s="2">
        <v>0.41515046296296299</v>
      </c>
      <c r="I3166" t="s">
        <v>9</v>
      </c>
      <c r="J3166" t="s">
        <v>20</v>
      </c>
      <c r="K3166">
        <v>5</v>
      </c>
      <c r="L3166">
        <v>25</v>
      </c>
      <c r="M3166">
        <v>125</v>
      </c>
      <c r="N3166">
        <f>IF(COUNTIFS($B$2:B3166,B3166)=1,1,0)</f>
        <v>1</v>
      </c>
    </row>
    <row r="3167" spans="1:14" x14ac:dyDescent="0.2">
      <c r="A3167">
        <v>3166</v>
      </c>
      <c r="B3167">
        <v>2600</v>
      </c>
      <c r="C3167">
        <f>1/COUNTIF(B:B,Table1[[#This Row],[order_id]])</f>
        <v>0.5</v>
      </c>
      <c r="D3167" t="str">
        <f>TEXT(Table1[[#This Row],[order_date]],"mmmm")</f>
        <v>September</v>
      </c>
      <c r="E3167" s="1">
        <v>45536</v>
      </c>
      <c r="F3167" s="1" t="str">
        <f>TEXT(Table1[[#This Row],[order_date]],"dddd")</f>
        <v>Sunday</v>
      </c>
      <c r="G3167">
        <f>HOUR(Table1[[#This Row],[order_time]])</f>
        <v>14</v>
      </c>
      <c r="H3167" s="2">
        <v>0.59469907407407407</v>
      </c>
      <c r="I3167" t="s">
        <v>16</v>
      </c>
      <c r="J3167" t="s">
        <v>24</v>
      </c>
      <c r="K3167">
        <v>1</v>
      </c>
      <c r="L3167">
        <v>35</v>
      </c>
      <c r="M3167">
        <v>35</v>
      </c>
      <c r="N3167">
        <f>IF(COUNTIFS($B$2:B3167,B3167)=1,1,0)</f>
        <v>1</v>
      </c>
    </row>
    <row r="3168" spans="1:14" x14ac:dyDescent="0.2">
      <c r="A3168">
        <v>3167</v>
      </c>
      <c r="B3168">
        <v>2600</v>
      </c>
      <c r="C3168">
        <f>1/COUNTIF(B:B,Table1[[#This Row],[order_id]])</f>
        <v>0.5</v>
      </c>
      <c r="D3168" t="str">
        <f>TEXT(Table1[[#This Row],[order_date]],"mmmm")</f>
        <v>September</v>
      </c>
      <c r="E3168" s="1">
        <v>45536</v>
      </c>
      <c r="F3168" s="1" t="str">
        <f>TEXT(Table1[[#This Row],[order_date]],"dddd")</f>
        <v>Sunday</v>
      </c>
      <c r="G3168">
        <f>HOUR(Table1[[#This Row],[order_time]])</f>
        <v>17</v>
      </c>
      <c r="H3168" s="2">
        <v>0.72781249999999997</v>
      </c>
      <c r="I3168" t="s">
        <v>9</v>
      </c>
      <c r="J3168" t="s">
        <v>20</v>
      </c>
      <c r="K3168">
        <v>1</v>
      </c>
      <c r="L3168">
        <v>25</v>
      </c>
      <c r="M3168">
        <v>25</v>
      </c>
      <c r="N3168">
        <f>IF(COUNTIFS($B$2:B3168,B3168)=1,1,0)</f>
        <v>0</v>
      </c>
    </row>
    <row r="3169" spans="1:14" x14ac:dyDescent="0.2">
      <c r="A3169">
        <v>3168</v>
      </c>
      <c r="B3169">
        <v>2601</v>
      </c>
      <c r="C3169">
        <f>1/COUNTIF(B:B,Table1[[#This Row],[order_id]])</f>
        <v>1</v>
      </c>
      <c r="D3169" t="str">
        <f>TEXT(Table1[[#This Row],[order_date]],"mmmm")</f>
        <v>September</v>
      </c>
      <c r="E3169" s="1">
        <v>45536</v>
      </c>
      <c r="F3169" s="1" t="str">
        <f>TEXT(Table1[[#This Row],[order_date]],"dddd")</f>
        <v>Sunday</v>
      </c>
      <c r="G3169">
        <f>HOUR(Table1[[#This Row],[order_time]])</f>
        <v>14</v>
      </c>
      <c r="H3169" s="2">
        <v>0.58621527777777782</v>
      </c>
      <c r="I3169" t="s">
        <v>9</v>
      </c>
      <c r="J3169" t="s">
        <v>22</v>
      </c>
      <c r="K3169">
        <v>4</v>
      </c>
      <c r="L3169">
        <v>15</v>
      </c>
      <c r="M3169">
        <v>60</v>
      </c>
      <c r="N3169">
        <f>IF(COUNTIFS($B$2:B3169,B3169)=1,1,0)</f>
        <v>1</v>
      </c>
    </row>
    <row r="3170" spans="1:14" x14ac:dyDescent="0.2">
      <c r="A3170">
        <v>3169</v>
      </c>
      <c r="B3170">
        <v>2602</v>
      </c>
      <c r="C3170">
        <f>1/COUNTIF(B:B,Table1[[#This Row],[order_id]])</f>
        <v>1</v>
      </c>
      <c r="D3170" t="str">
        <f>TEXT(Table1[[#This Row],[order_date]],"mmmm")</f>
        <v>September</v>
      </c>
      <c r="E3170" s="1">
        <v>45536</v>
      </c>
      <c r="F3170" s="1" t="str">
        <f>TEXT(Table1[[#This Row],[order_date]],"dddd")</f>
        <v>Sunday</v>
      </c>
      <c r="G3170">
        <f>HOUR(Table1[[#This Row],[order_time]])</f>
        <v>12</v>
      </c>
      <c r="H3170" s="2">
        <v>0.51629629629629625</v>
      </c>
      <c r="I3170" t="s">
        <v>9</v>
      </c>
      <c r="J3170" t="s">
        <v>29</v>
      </c>
      <c r="K3170">
        <v>4</v>
      </c>
      <c r="L3170">
        <v>5</v>
      </c>
      <c r="M3170">
        <v>20</v>
      </c>
      <c r="N3170">
        <f>IF(COUNTIFS($B$2:B3170,B3170)=1,1,0)</f>
        <v>1</v>
      </c>
    </row>
    <row r="3171" spans="1:14" x14ac:dyDescent="0.2">
      <c r="A3171">
        <v>3170</v>
      </c>
      <c r="B3171">
        <v>2603</v>
      </c>
      <c r="C3171">
        <f>1/COUNTIF(B:B,Table1[[#This Row],[order_id]])</f>
        <v>0.5</v>
      </c>
      <c r="D3171" t="str">
        <f>TEXT(Table1[[#This Row],[order_date]],"mmmm")</f>
        <v>September</v>
      </c>
      <c r="E3171" s="1">
        <v>45536</v>
      </c>
      <c r="F3171" s="1" t="str">
        <f>TEXT(Table1[[#This Row],[order_date]],"dddd")</f>
        <v>Sunday</v>
      </c>
      <c r="G3171">
        <f>HOUR(Table1[[#This Row],[order_time]])</f>
        <v>13</v>
      </c>
      <c r="H3171" s="2">
        <v>0.57046296296296295</v>
      </c>
      <c r="I3171" t="s">
        <v>9</v>
      </c>
      <c r="J3171" t="s">
        <v>22</v>
      </c>
      <c r="K3171">
        <v>4</v>
      </c>
      <c r="L3171">
        <v>15</v>
      </c>
      <c r="M3171">
        <v>60</v>
      </c>
      <c r="N3171">
        <f>IF(COUNTIFS($B$2:B3171,B3171)=1,1,0)</f>
        <v>1</v>
      </c>
    </row>
    <row r="3172" spans="1:14" x14ac:dyDescent="0.2">
      <c r="A3172">
        <v>3171</v>
      </c>
      <c r="B3172">
        <v>2603</v>
      </c>
      <c r="C3172">
        <f>1/COUNTIF(B:B,Table1[[#This Row],[order_id]])</f>
        <v>0.5</v>
      </c>
      <c r="D3172" t="str">
        <f>TEXT(Table1[[#This Row],[order_date]],"mmmm")</f>
        <v>September</v>
      </c>
      <c r="E3172" s="1">
        <v>45536</v>
      </c>
      <c r="F3172" s="1" t="str">
        <f>TEXT(Table1[[#This Row],[order_date]],"dddd")</f>
        <v>Sunday</v>
      </c>
      <c r="G3172">
        <f>HOUR(Table1[[#This Row],[order_time]])</f>
        <v>17</v>
      </c>
      <c r="H3172" s="2">
        <v>0.7446990740740741</v>
      </c>
      <c r="I3172" t="s">
        <v>18</v>
      </c>
      <c r="J3172" t="s">
        <v>30</v>
      </c>
      <c r="K3172">
        <v>5</v>
      </c>
      <c r="L3172">
        <v>60</v>
      </c>
      <c r="M3172">
        <v>300</v>
      </c>
      <c r="N3172">
        <f>IF(COUNTIFS($B$2:B3172,B3172)=1,1,0)</f>
        <v>0</v>
      </c>
    </row>
    <row r="3173" spans="1:14" x14ac:dyDescent="0.2">
      <c r="A3173">
        <v>3172</v>
      </c>
      <c r="B3173">
        <v>2604</v>
      </c>
      <c r="C3173">
        <f>1/COUNTIF(B:B,Table1[[#This Row],[order_id]])</f>
        <v>0.33333333333333331</v>
      </c>
      <c r="D3173" t="str">
        <f>TEXT(Table1[[#This Row],[order_date]],"mmmm")</f>
        <v>September</v>
      </c>
      <c r="E3173" s="1">
        <v>45537</v>
      </c>
      <c r="F3173" s="1" t="str">
        <f>TEXT(Table1[[#This Row],[order_date]],"dddd")</f>
        <v>Monday</v>
      </c>
      <c r="G3173">
        <f>HOUR(Table1[[#This Row],[order_time]])</f>
        <v>20</v>
      </c>
      <c r="H3173" s="2">
        <v>0.84037037037037032</v>
      </c>
      <c r="I3173" t="s">
        <v>11</v>
      </c>
      <c r="J3173" t="s">
        <v>12</v>
      </c>
      <c r="K3173">
        <v>1</v>
      </c>
      <c r="L3173">
        <v>650</v>
      </c>
      <c r="M3173">
        <v>650</v>
      </c>
      <c r="N3173">
        <f>IF(COUNTIFS($B$2:B3173,B3173)=1,1,0)</f>
        <v>1</v>
      </c>
    </row>
    <row r="3174" spans="1:14" x14ac:dyDescent="0.2">
      <c r="A3174">
        <v>3173</v>
      </c>
      <c r="B3174">
        <v>2604</v>
      </c>
      <c r="C3174">
        <f>1/COUNTIF(B:B,Table1[[#This Row],[order_id]])</f>
        <v>0.33333333333333331</v>
      </c>
      <c r="D3174" t="str">
        <f>TEXT(Table1[[#This Row],[order_date]],"mmmm")</f>
        <v>September</v>
      </c>
      <c r="E3174" s="1">
        <v>45537</v>
      </c>
      <c r="F3174" s="1" t="str">
        <f>TEXT(Table1[[#This Row],[order_date]],"dddd")</f>
        <v>Monday</v>
      </c>
      <c r="G3174">
        <f>HOUR(Table1[[#This Row],[order_time]])</f>
        <v>13</v>
      </c>
      <c r="H3174" s="2">
        <v>0.57784722222222218</v>
      </c>
      <c r="I3174" t="s">
        <v>11</v>
      </c>
      <c r="J3174" t="s">
        <v>12</v>
      </c>
      <c r="K3174">
        <v>3</v>
      </c>
      <c r="L3174">
        <v>650</v>
      </c>
      <c r="M3174">
        <v>1950</v>
      </c>
      <c r="N3174">
        <f>IF(COUNTIFS($B$2:B3174,B3174)=1,1,0)</f>
        <v>0</v>
      </c>
    </row>
    <row r="3175" spans="1:14" x14ac:dyDescent="0.2">
      <c r="A3175">
        <v>3174</v>
      </c>
      <c r="B3175">
        <v>2604</v>
      </c>
      <c r="C3175">
        <f>1/COUNTIF(B:B,Table1[[#This Row],[order_id]])</f>
        <v>0.33333333333333331</v>
      </c>
      <c r="D3175" t="str">
        <f>TEXT(Table1[[#This Row],[order_date]],"mmmm")</f>
        <v>September</v>
      </c>
      <c r="E3175" s="1">
        <v>45537</v>
      </c>
      <c r="F3175" s="1" t="str">
        <f>TEXT(Table1[[#This Row],[order_date]],"dddd")</f>
        <v>Monday</v>
      </c>
      <c r="G3175">
        <f>HOUR(Table1[[#This Row],[order_time]])</f>
        <v>10</v>
      </c>
      <c r="H3175" s="2">
        <v>0.44511574074074073</v>
      </c>
      <c r="I3175" t="s">
        <v>11</v>
      </c>
      <c r="J3175" t="s">
        <v>12</v>
      </c>
      <c r="K3175">
        <v>1</v>
      </c>
      <c r="L3175">
        <v>650</v>
      </c>
      <c r="M3175">
        <v>650</v>
      </c>
      <c r="N3175">
        <f>IF(COUNTIFS($B$2:B3175,B3175)=1,1,0)</f>
        <v>0</v>
      </c>
    </row>
    <row r="3176" spans="1:14" x14ac:dyDescent="0.2">
      <c r="A3176">
        <v>3175</v>
      </c>
      <c r="B3176">
        <v>2605</v>
      </c>
      <c r="C3176">
        <f>1/COUNTIF(B:B,Table1[[#This Row],[order_id]])</f>
        <v>0.33333333333333331</v>
      </c>
      <c r="D3176" t="str">
        <f>TEXT(Table1[[#This Row],[order_date]],"mmmm")</f>
        <v>September</v>
      </c>
      <c r="E3176" s="1">
        <v>45537</v>
      </c>
      <c r="F3176" s="1" t="str">
        <f>TEXT(Table1[[#This Row],[order_date]],"dddd")</f>
        <v>Monday</v>
      </c>
      <c r="G3176">
        <f>HOUR(Table1[[#This Row],[order_time]])</f>
        <v>16</v>
      </c>
      <c r="H3176" s="2">
        <v>0.70710648148148147</v>
      </c>
      <c r="I3176" t="s">
        <v>11</v>
      </c>
      <c r="J3176" t="s">
        <v>12</v>
      </c>
      <c r="K3176">
        <v>4</v>
      </c>
      <c r="L3176">
        <v>650</v>
      </c>
      <c r="M3176">
        <v>2600</v>
      </c>
      <c r="N3176">
        <f>IF(COUNTIFS($B$2:B3176,B3176)=1,1,0)</f>
        <v>1</v>
      </c>
    </row>
    <row r="3177" spans="1:14" x14ac:dyDescent="0.2">
      <c r="A3177">
        <v>3176</v>
      </c>
      <c r="B3177">
        <v>2605</v>
      </c>
      <c r="C3177">
        <f>1/COUNTIF(B:B,Table1[[#This Row],[order_id]])</f>
        <v>0.33333333333333331</v>
      </c>
      <c r="D3177" t="str">
        <f>TEXT(Table1[[#This Row],[order_date]],"mmmm")</f>
        <v>September</v>
      </c>
      <c r="E3177" s="1">
        <v>45537</v>
      </c>
      <c r="F3177" s="1" t="str">
        <f>TEXT(Table1[[#This Row],[order_date]],"dddd")</f>
        <v>Monday</v>
      </c>
      <c r="G3177">
        <f>HOUR(Table1[[#This Row],[order_time]])</f>
        <v>14</v>
      </c>
      <c r="H3177" s="2">
        <v>0.62350694444444443</v>
      </c>
      <c r="I3177" t="s">
        <v>16</v>
      </c>
      <c r="J3177" t="s">
        <v>28</v>
      </c>
      <c r="K3177">
        <v>2</v>
      </c>
      <c r="L3177">
        <v>25</v>
      </c>
      <c r="M3177">
        <v>50</v>
      </c>
      <c r="N3177">
        <f>IF(COUNTIFS($B$2:B3177,B3177)=1,1,0)</f>
        <v>0</v>
      </c>
    </row>
    <row r="3178" spans="1:14" x14ac:dyDescent="0.2">
      <c r="A3178">
        <v>3177</v>
      </c>
      <c r="B3178">
        <v>2605</v>
      </c>
      <c r="C3178">
        <f>1/COUNTIF(B:B,Table1[[#This Row],[order_id]])</f>
        <v>0.33333333333333331</v>
      </c>
      <c r="D3178" t="str">
        <f>TEXT(Table1[[#This Row],[order_date]],"mmmm")</f>
        <v>September</v>
      </c>
      <c r="E3178" s="1">
        <v>45537</v>
      </c>
      <c r="F3178" s="1" t="str">
        <f>TEXT(Table1[[#This Row],[order_date]],"dddd")</f>
        <v>Monday</v>
      </c>
      <c r="G3178">
        <f>HOUR(Table1[[#This Row],[order_time]])</f>
        <v>10</v>
      </c>
      <c r="H3178" s="2">
        <v>0.41857638888888887</v>
      </c>
      <c r="I3178" t="s">
        <v>9</v>
      </c>
      <c r="J3178" t="s">
        <v>10</v>
      </c>
      <c r="K3178">
        <v>2</v>
      </c>
      <c r="L3178">
        <v>20</v>
      </c>
      <c r="M3178">
        <v>40</v>
      </c>
      <c r="N3178">
        <f>IF(COUNTIFS($B$2:B3178,B3178)=1,1,0)</f>
        <v>0</v>
      </c>
    </row>
    <row r="3179" spans="1:14" x14ac:dyDescent="0.2">
      <c r="A3179">
        <v>3178</v>
      </c>
      <c r="B3179">
        <v>2606</v>
      </c>
      <c r="C3179">
        <f>1/COUNTIF(B:B,Table1[[#This Row],[order_id]])</f>
        <v>0.5</v>
      </c>
      <c r="D3179" t="str">
        <f>TEXT(Table1[[#This Row],[order_date]],"mmmm")</f>
        <v>September</v>
      </c>
      <c r="E3179" s="1">
        <v>45537</v>
      </c>
      <c r="F3179" s="1" t="str">
        <f>TEXT(Table1[[#This Row],[order_date]],"dddd")</f>
        <v>Monday</v>
      </c>
      <c r="G3179">
        <f>HOUR(Table1[[#This Row],[order_time]])</f>
        <v>9</v>
      </c>
      <c r="H3179" s="2">
        <v>0.38773148148148145</v>
      </c>
      <c r="I3179" t="s">
        <v>18</v>
      </c>
      <c r="J3179" t="s">
        <v>26</v>
      </c>
      <c r="K3179">
        <v>5</v>
      </c>
      <c r="L3179">
        <v>55</v>
      </c>
      <c r="M3179">
        <v>275</v>
      </c>
      <c r="N3179">
        <f>IF(COUNTIFS($B$2:B3179,B3179)=1,1,0)</f>
        <v>1</v>
      </c>
    </row>
    <row r="3180" spans="1:14" x14ac:dyDescent="0.2">
      <c r="A3180">
        <v>3179</v>
      </c>
      <c r="B3180">
        <v>2606</v>
      </c>
      <c r="C3180">
        <f>1/COUNTIF(B:B,Table1[[#This Row],[order_id]])</f>
        <v>0.5</v>
      </c>
      <c r="D3180" t="str">
        <f>TEXT(Table1[[#This Row],[order_date]],"mmmm")</f>
        <v>September</v>
      </c>
      <c r="E3180" s="1">
        <v>45537</v>
      </c>
      <c r="F3180" s="1" t="str">
        <f>TEXT(Table1[[#This Row],[order_date]],"dddd")</f>
        <v>Monday</v>
      </c>
      <c r="G3180">
        <f>HOUR(Table1[[#This Row],[order_time]])</f>
        <v>9</v>
      </c>
      <c r="H3180" s="2">
        <v>0.38217592592592592</v>
      </c>
      <c r="I3180" t="s">
        <v>18</v>
      </c>
      <c r="J3180" t="s">
        <v>26</v>
      </c>
      <c r="K3180">
        <v>1</v>
      </c>
      <c r="L3180">
        <v>55</v>
      </c>
      <c r="M3180">
        <v>55</v>
      </c>
      <c r="N3180">
        <f>IF(COUNTIFS($B$2:B3180,B3180)=1,1,0)</f>
        <v>0</v>
      </c>
    </row>
    <row r="3181" spans="1:14" x14ac:dyDescent="0.2">
      <c r="A3181">
        <v>3180</v>
      </c>
      <c r="B3181">
        <v>2607</v>
      </c>
      <c r="C3181">
        <f>1/COUNTIF(B:B,Table1[[#This Row],[order_id]])</f>
        <v>0.33333333333333331</v>
      </c>
      <c r="D3181" t="str">
        <f>TEXT(Table1[[#This Row],[order_date]],"mmmm")</f>
        <v>September</v>
      </c>
      <c r="E3181" s="1">
        <v>45537</v>
      </c>
      <c r="F3181" s="1" t="str">
        <f>TEXT(Table1[[#This Row],[order_date]],"dddd")</f>
        <v>Monday</v>
      </c>
      <c r="G3181">
        <f>HOUR(Table1[[#This Row],[order_time]])</f>
        <v>14</v>
      </c>
      <c r="H3181" s="2">
        <v>0.59634259259259259</v>
      </c>
      <c r="I3181" t="s">
        <v>9</v>
      </c>
      <c r="J3181" t="s">
        <v>10</v>
      </c>
      <c r="K3181">
        <v>4</v>
      </c>
      <c r="L3181">
        <v>20</v>
      </c>
      <c r="M3181">
        <v>80</v>
      </c>
      <c r="N3181">
        <f>IF(COUNTIFS($B$2:B3181,B3181)=1,1,0)</f>
        <v>1</v>
      </c>
    </row>
    <row r="3182" spans="1:14" x14ac:dyDescent="0.2">
      <c r="A3182">
        <v>3181</v>
      </c>
      <c r="B3182">
        <v>2607</v>
      </c>
      <c r="C3182">
        <f>1/COUNTIF(B:B,Table1[[#This Row],[order_id]])</f>
        <v>0.33333333333333331</v>
      </c>
      <c r="D3182" t="str">
        <f>TEXT(Table1[[#This Row],[order_date]],"mmmm")</f>
        <v>September</v>
      </c>
      <c r="E3182" s="1">
        <v>45537</v>
      </c>
      <c r="F3182" s="1" t="str">
        <f>TEXT(Table1[[#This Row],[order_date]],"dddd")</f>
        <v>Monday</v>
      </c>
      <c r="G3182">
        <f>HOUR(Table1[[#This Row],[order_time]])</f>
        <v>10</v>
      </c>
      <c r="H3182" s="2">
        <v>0.43687500000000001</v>
      </c>
      <c r="I3182" t="s">
        <v>16</v>
      </c>
      <c r="J3182" t="s">
        <v>24</v>
      </c>
      <c r="K3182">
        <v>5</v>
      </c>
      <c r="L3182">
        <v>35</v>
      </c>
      <c r="M3182">
        <v>175</v>
      </c>
      <c r="N3182">
        <f>IF(COUNTIFS($B$2:B3182,B3182)=1,1,0)</f>
        <v>0</v>
      </c>
    </row>
    <row r="3183" spans="1:14" x14ac:dyDescent="0.2">
      <c r="A3183">
        <v>3182</v>
      </c>
      <c r="B3183">
        <v>2607</v>
      </c>
      <c r="C3183">
        <f>1/COUNTIF(B:B,Table1[[#This Row],[order_id]])</f>
        <v>0.33333333333333331</v>
      </c>
      <c r="D3183" t="str">
        <f>TEXT(Table1[[#This Row],[order_date]],"mmmm")</f>
        <v>September</v>
      </c>
      <c r="E3183" s="1">
        <v>45537</v>
      </c>
      <c r="F3183" s="1" t="str">
        <f>TEXT(Table1[[#This Row],[order_date]],"dddd")</f>
        <v>Monday</v>
      </c>
      <c r="G3183">
        <f>HOUR(Table1[[#This Row],[order_time]])</f>
        <v>14</v>
      </c>
      <c r="H3183" s="2">
        <v>0.58658564814814818</v>
      </c>
      <c r="I3183" t="s">
        <v>18</v>
      </c>
      <c r="J3183" t="s">
        <v>30</v>
      </c>
      <c r="K3183">
        <v>5</v>
      </c>
      <c r="L3183">
        <v>60</v>
      </c>
      <c r="M3183">
        <v>300</v>
      </c>
      <c r="N3183">
        <f>IF(COUNTIFS($B$2:B3183,B3183)=1,1,0)</f>
        <v>0</v>
      </c>
    </row>
    <row r="3184" spans="1:14" x14ac:dyDescent="0.2">
      <c r="A3184">
        <v>3183</v>
      </c>
      <c r="B3184">
        <v>2608</v>
      </c>
      <c r="C3184">
        <f>1/COUNTIF(B:B,Table1[[#This Row],[order_id]])</f>
        <v>0.33333333333333331</v>
      </c>
      <c r="D3184" t="str">
        <f>TEXT(Table1[[#This Row],[order_date]],"mmmm")</f>
        <v>September</v>
      </c>
      <c r="E3184" s="1">
        <v>45537</v>
      </c>
      <c r="F3184" s="1" t="str">
        <f>TEXT(Table1[[#This Row],[order_date]],"dddd")</f>
        <v>Monday</v>
      </c>
      <c r="G3184">
        <f>HOUR(Table1[[#This Row],[order_time]])</f>
        <v>20</v>
      </c>
      <c r="H3184" s="2">
        <v>0.83784722222222219</v>
      </c>
      <c r="I3184" t="s">
        <v>11</v>
      </c>
      <c r="J3184" t="s">
        <v>13</v>
      </c>
      <c r="K3184">
        <v>5</v>
      </c>
      <c r="L3184">
        <v>680</v>
      </c>
      <c r="M3184">
        <v>3400</v>
      </c>
      <c r="N3184">
        <f>IF(COUNTIFS($B$2:B3184,B3184)=1,1,0)</f>
        <v>1</v>
      </c>
    </row>
    <row r="3185" spans="1:14" x14ac:dyDescent="0.2">
      <c r="A3185">
        <v>3184</v>
      </c>
      <c r="B3185">
        <v>2608</v>
      </c>
      <c r="C3185">
        <f>1/COUNTIF(B:B,Table1[[#This Row],[order_id]])</f>
        <v>0.33333333333333331</v>
      </c>
      <c r="D3185" t="str">
        <f>TEXT(Table1[[#This Row],[order_date]],"mmmm")</f>
        <v>September</v>
      </c>
      <c r="E3185" s="1">
        <v>45537</v>
      </c>
      <c r="F3185" s="1" t="str">
        <f>TEXT(Table1[[#This Row],[order_date]],"dddd")</f>
        <v>Monday</v>
      </c>
      <c r="G3185">
        <f>HOUR(Table1[[#This Row],[order_time]])</f>
        <v>16</v>
      </c>
      <c r="H3185" s="2">
        <v>0.70283564814814814</v>
      </c>
      <c r="I3185" t="s">
        <v>18</v>
      </c>
      <c r="J3185" t="s">
        <v>31</v>
      </c>
      <c r="K3185">
        <v>3</v>
      </c>
      <c r="L3185">
        <v>45</v>
      </c>
      <c r="M3185">
        <v>135</v>
      </c>
      <c r="N3185">
        <f>IF(COUNTIFS($B$2:B3185,B3185)=1,1,0)</f>
        <v>0</v>
      </c>
    </row>
    <row r="3186" spans="1:14" x14ac:dyDescent="0.2">
      <c r="A3186">
        <v>3185</v>
      </c>
      <c r="B3186">
        <v>2608</v>
      </c>
      <c r="C3186">
        <f>1/COUNTIF(B:B,Table1[[#This Row],[order_id]])</f>
        <v>0.33333333333333331</v>
      </c>
      <c r="D3186" t="str">
        <f>TEXT(Table1[[#This Row],[order_date]],"mmmm")</f>
        <v>September</v>
      </c>
      <c r="E3186" s="1">
        <v>45537</v>
      </c>
      <c r="F3186" s="1" t="str">
        <f>TEXT(Table1[[#This Row],[order_date]],"dddd")</f>
        <v>Monday</v>
      </c>
      <c r="G3186">
        <f>HOUR(Table1[[#This Row],[order_time]])</f>
        <v>18</v>
      </c>
      <c r="H3186" s="2">
        <v>0.77649305555555559</v>
      </c>
      <c r="I3186" t="s">
        <v>18</v>
      </c>
      <c r="J3186" t="s">
        <v>27</v>
      </c>
      <c r="K3186">
        <v>1</v>
      </c>
      <c r="L3186">
        <v>40</v>
      </c>
      <c r="M3186">
        <v>40</v>
      </c>
      <c r="N3186">
        <f>IF(COUNTIFS($B$2:B3186,B3186)=1,1,0)</f>
        <v>0</v>
      </c>
    </row>
    <row r="3187" spans="1:14" x14ac:dyDescent="0.2">
      <c r="A3187">
        <v>3186</v>
      </c>
      <c r="B3187">
        <v>2609</v>
      </c>
      <c r="C3187">
        <f>1/COUNTIF(B:B,Table1[[#This Row],[order_id]])</f>
        <v>0.5</v>
      </c>
      <c r="D3187" t="str">
        <f>TEXT(Table1[[#This Row],[order_date]],"mmmm")</f>
        <v>September</v>
      </c>
      <c r="E3187" s="1">
        <v>45537</v>
      </c>
      <c r="F3187" s="1" t="str">
        <f>TEXT(Table1[[#This Row],[order_date]],"dddd")</f>
        <v>Monday</v>
      </c>
      <c r="G3187">
        <f>HOUR(Table1[[#This Row],[order_time]])</f>
        <v>18</v>
      </c>
      <c r="H3187" s="2">
        <v>0.78650462962962964</v>
      </c>
      <c r="I3187" t="s">
        <v>18</v>
      </c>
      <c r="J3187" t="s">
        <v>30</v>
      </c>
      <c r="K3187">
        <v>1</v>
      </c>
      <c r="L3187">
        <v>60</v>
      </c>
      <c r="M3187">
        <v>60</v>
      </c>
      <c r="N3187">
        <f>IF(COUNTIFS($B$2:B3187,B3187)=1,1,0)</f>
        <v>1</v>
      </c>
    </row>
    <row r="3188" spans="1:14" x14ac:dyDescent="0.2">
      <c r="A3188">
        <v>3187</v>
      </c>
      <c r="B3188">
        <v>2609</v>
      </c>
      <c r="C3188">
        <f>1/COUNTIF(B:B,Table1[[#This Row],[order_id]])</f>
        <v>0.5</v>
      </c>
      <c r="D3188" t="str">
        <f>TEXT(Table1[[#This Row],[order_date]],"mmmm")</f>
        <v>September</v>
      </c>
      <c r="E3188" s="1">
        <v>45537</v>
      </c>
      <c r="F3188" s="1" t="str">
        <f>TEXT(Table1[[#This Row],[order_date]],"dddd")</f>
        <v>Monday</v>
      </c>
      <c r="G3188">
        <f>HOUR(Table1[[#This Row],[order_time]])</f>
        <v>12</v>
      </c>
      <c r="H3188" s="2">
        <v>0.50906249999999997</v>
      </c>
      <c r="I3188" t="s">
        <v>16</v>
      </c>
      <c r="J3188" t="s">
        <v>28</v>
      </c>
      <c r="K3188">
        <v>2</v>
      </c>
      <c r="L3188">
        <v>25</v>
      </c>
      <c r="M3188">
        <v>50</v>
      </c>
      <c r="N3188">
        <f>IF(COUNTIFS($B$2:B3188,B3188)=1,1,0)</f>
        <v>0</v>
      </c>
    </row>
    <row r="3189" spans="1:14" x14ac:dyDescent="0.2">
      <c r="A3189">
        <v>3188</v>
      </c>
      <c r="B3189">
        <v>2610</v>
      </c>
      <c r="C3189">
        <f>1/COUNTIF(B:B,Table1[[#This Row],[order_id]])</f>
        <v>0.5</v>
      </c>
      <c r="D3189" t="str">
        <f>TEXT(Table1[[#This Row],[order_date]],"mmmm")</f>
        <v>September</v>
      </c>
      <c r="E3189" s="1">
        <v>45537</v>
      </c>
      <c r="F3189" s="1" t="str">
        <f>TEXT(Table1[[#This Row],[order_date]],"dddd")</f>
        <v>Monday</v>
      </c>
      <c r="G3189">
        <f>HOUR(Table1[[#This Row],[order_time]])</f>
        <v>16</v>
      </c>
      <c r="H3189" s="2">
        <v>0.70098379629629626</v>
      </c>
      <c r="I3189" t="s">
        <v>11</v>
      </c>
      <c r="J3189" t="s">
        <v>14</v>
      </c>
      <c r="K3189">
        <v>5</v>
      </c>
      <c r="L3189">
        <v>700</v>
      </c>
      <c r="M3189">
        <v>3500</v>
      </c>
      <c r="N3189">
        <f>IF(COUNTIFS($B$2:B3189,B3189)=1,1,0)</f>
        <v>1</v>
      </c>
    </row>
    <row r="3190" spans="1:14" x14ac:dyDescent="0.2">
      <c r="A3190">
        <v>3189</v>
      </c>
      <c r="B3190">
        <v>2610</v>
      </c>
      <c r="C3190">
        <f>1/COUNTIF(B:B,Table1[[#This Row],[order_id]])</f>
        <v>0.5</v>
      </c>
      <c r="D3190" t="str">
        <f>TEXT(Table1[[#This Row],[order_date]],"mmmm")</f>
        <v>September</v>
      </c>
      <c r="E3190" s="1">
        <v>45537</v>
      </c>
      <c r="F3190" s="1" t="str">
        <f>TEXT(Table1[[#This Row],[order_date]],"dddd")</f>
        <v>Monday</v>
      </c>
      <c r="G3190">
        <f>HOUR(Table1[[#This Row],[order_time]])</f>
        <v>14</v>
      </c>
      <c r="H3190" s="2">
        <v>0.58940972222222221</v>
      </c>
      <c r="I3190" t="s">
        <v>9</v>
      </c>
      <c r="J3190" t="s">
        <v>22</v>
      </c>
      <c r="K3190">
        <v>3</v>
      </c>
      <c r="L3190">
        <v>15</v>
      </c>
      <c r="M3190">
        <v>45</v>
      </c>
      <c r="N3190">
        <f>IF(COUNTIFS($B$2:B3190,B3190)=1,1,0)</f>
        <v>0</v>
      </c>
    </row>
    <row r="3191" spans="1:14" x14ac:dyDescent="0.2">
      <c r="A3191">
        <v>3190</v>
      </c>
      <c r="B3191">
        <v>2611</v>
      </c>
      <c r="C3191">
        <f>1/COUNTIF(B:B,Table1[[#This Row],[order_id]])</f>
        <v>1</v>
      </c>
      <c r="D3191" t="str">
        <f>TEXT(Table1[[#This Row],[order_date]],"mmmm")</f>
        <v>September</v>
      </c>
      <c r="E3191" s="1">
        <v>45537</v>
      </c>
      <c r="F3191" s="1" t="str">
        <f>TEXT(Table1[[#This Row],[order_date]],"dddd")</f>
        <v>Monday</v>
      </c>
      <c r="G3191">
        <f>HOUR(Table1[[#This Row],[order_time]])</f>
        <v>16</v>
      </c>
      <c r="H3191" s="2">
        <v>0.69406250000000003</v>
      </c>
      <c r="I3191" t="s">
        <v>9</v>
      </c>
      <c r="J3191" t="s">
        <v>22</v>
      </c>
      <c r="K3191">
        <v>2</v>
      </c>
      <c r="L3191">
        <v>15</v>
      </c>
      <c r="M3191">
        <v>30</v>
      </c>
      <c r="N3191">
        <f>IF(COUNTIFS($B$2:B3191,B3191)=1,1,0)</f>
        <v>1</v>
      </c>
    </row>
    <row r="3192" spans="1:14" x14ac:dyDescent="0.2">
      <c r="A3192">
        <v>3191</v>
      </c>
      <c r="B3192">
        <v>2612</v>
      </c>
      <c r="C3192">
        <f>1/COUNTIF(B:B,Table1[[#This Row],[order_id]])</f>
        <v>1</v>
      </c>
      <c r="D3192" t="str">
        <f>TEXT(Table1[[#This Row],[order_date]],"mmmm")</f>
        <v>September</v>
      </c>
      <c r="E3192" s="1">
        <v>45537</v>
      </c>
      <c r="F3192" s="1" t="str">
        <f>TEXT(Table1[[#This Row],[order_date]],"dddd")</f>
        <v>Monday</v>
      </c>
      <c r="G3192">
        <f>HOUR(Table1[[#This Row],[order_time]])</f>
        <v>9</v>
      </c>
      <c r="H3192" s="2">
        <v>0.37907407407407406</v>
      </c>
      <c r="I3192" t="s">
        <v>16</v>
      </c>
      <c r="J3192" t="s">
        <v>24</v>
      </c>
      <c r="K3192">
        <v>1</v>
      </c>
      <c r="L3192">
        <v>35</v>
      </c>
      <c r="M3192">
        <v>35</v>
      </c>
      <c r="N3192">
        <f>IF(COUNTIFS($B$2:B3192,B3192)=1,1,0)</f>
        <v>1</v>
      </c>
    </row>
    <row r="3193" spans="1:14" x14ac:dyDescent="0.2">
      <c r="A3193">
        <v>3192</v>
      </c>
      <c r="B3193">
        <v>2613</v>
      </c>
      <c r="C3193">
        <f>1/COUNTIF(B:B,Table1[[#This Row],[order_id]])</f>
        <v>0.33333333333333331</v>
      </c>
      <c r="D3193" t="str">
        <f>TEXT(Table1[[#This Row],[order_date]],"mmmm")</f>
        <v>September</v>
      </c>
      <c r="E3193" s="1">
        <v>45538</v>
      </c>
      <c r="F3193" s="1" t="str">
        <f>TEXT(Table1[[#This Row],[order_date]],"dddd")</f>
        <v>Tuesday</v>
      </c>
      <c r="G3193">
        <f>HOUR(Table1[[#This Row],[order_time]])</f>
        <v>20</v>
      </c>
      <c r="H3193" s="2">
        <v>0.87006944444444445</v>
      </c>
      <c r="I3193" t="s">
        <v>9</v>
      </c>
      <c r="J3193" t="s">
        <v>21</v>
      </c>
      <c r="K3193">
        <v>3</v>
      </c>
      <c r="L3193">
        <v>10</v>
      </c>
      <c r="M3193">
        <v>30</v>
      </c>
      <c r="N3193">
        <f>IF(COUNTIFS($B$2:B3193,B3193)=1,1,0)</f>
        <v>1</v>
      </c>
    </row>
    <row r="3194" spans="1:14" x14ac:dyDescent="0.2">
      <c r="A3194">
        <v>3193</v>
      </c>
      <c r="B3194">
        <v>2613</v>
      </c>
      <c r="C3194">
        <f>1/COUNTIF(B:B,Table1[[#This Row],[order_id]])</f>
        <v>0.33333333333333331</v>
      </c>
      <c r="D3194" t="str">
        <f>TEXT(Table1[[#This Row],[order_date]],"mmmm")</f>
        <v>September</v>
      </c>
      <c r="E3194" s="1">
        <v>45538</v>
      </c>
      <c r="F3194" s="1" t="str">
        <f>TEXT(Table1[[#This Row],[order_date]],"dddd")</f>
        <v>Tuesday</v>
      </c>
      <c r="G3194">
        <f>HOUR(Table1[[#This Row],[order_time]])</f>
        <v>11</v>
      </c>
      <c r="H3194" s="2">
        <v>0.48723379629629632</v>
      </c>
      <c r="I3194" t="s">
        <v>11</v>
      </c>
      <c r="J3194" t="s">
        <v>15</v>
      </c>
      <c r="K3194">
        <v>4</v>
      </c>
      <c r="L3194">
        <v>600</v>
      </c>
      <c r="M3194">
        <v>2400</v>
      </c>
      <c r="N3194">
        <f>IF(COUNTIFS($B$2:B3194,B3194)=1,1,0)</f>
        <v>0</v>
      </c>
    </row>
    <row r="3195" spans="1:14" x14ac:dyDescent="0.2">
      <c r="A3195">
        <v>3194</v>
      </c>
      <c r="B3195">
        <v>2613</v>
      </c>
      <c r="C3195">
        <f>1/COUNTIF(B:B,Table1[[#This Row],[order_id]])</f>
        <v>0.33333333333333331</v>
      </c>
      <c r="D3195" t="str">
        <f>TEXT(Table1[[#This Row],[order_date]],"mmmm")</f>
        <v>September</v>
      </c>
      <c r="E3195" s="1">
        <v>45538</v>
      </c>
      <c r="F3195" s="1" t="str">
        <f>TEXT(Table1[[#This Row],[order_date]],"dddd")</f>
        <v>Tuesday</v>
      </c>
      <c r="G3195">
        <f>HOUR(Table1[[#This Row],[order_time]])</f>
        <v>20</v>
      </c>
      <c r="H3195" s="2">
        <v>0.86012731481481486</v>
      </c>
      <c r="I3195" t="s">
        <v>11</v>
      </c>
      <c r="J3195" t="s">
        <v>25</v>
      </c>
      <c r="K3195">
        <v>5</v>
      </c>
      <c r="L3195">
        <v>1000</v>
      </c>
      <c r="M3195">
        <v>5000</v>
      </c>
      <c r="N3195">
        <f>IF(COUNTIFS($B$2:B3195,B3195)=1,1,0)</f>
        <v>0</v>
      </c>
    </row>
    <row r="3196" spans="1:14" x14ac:dyDescent="0.2">
      <c r="A3196">
        <v>3195</v>
      </c>
      <c r="B3196">
        <v>2614</v>
      </c>
      <c r="C3196">
        <f>1/COUNTIF(B:B,Table1[[#This Row],[order_id]])</f>
        <v>1</v>
      </c>
      <c r="D3196" t="str">
        <f>TEXT(Table1[[#This Row],[order_date]],"mmmm")</f>
        <v>September</v>
      </c>
      <c r="E3196" s="1">
        <v>45538</v>
      </c>
      <c r="F3196" s="1" t="str">
        <f>TEXT(Table1[[#This Row],[order_date]],"dddd")</f>
        <v>Tuesday</v>
      </c>
      <c r="G3196">
        <f>HOUR(Table1[[#This Row],[order_time]])</f>
        <v>18</v>
      </c>
      <c r="H3196" s="2">
        <v>0.77263888888888888</v>
      </c>
      <c r="I3196" t="s">
        <v>18</v>
      </c>
      <c r="J3196" t="s">
        <v>26</v>
      </c>
      <c r="K3196">
        <v>1</v>
      </c>
      <c r="L3196">
        <v>55</v>
      </c>
      <c r="M3196">
        <v>55</v>
      </c>
      <c r="N3196">
        <f>IF(COUNTIFS($B$2:B3196,B3196)=1,1,0)</f>
        <v>1</v>
      </c>
    </row>
    <row r="3197" spans="1:14" x14ac:dyDescent="0.2">
      <c r="A3197">
        <v>3196</v>
      </c>
      <c r="B3197">
        <v>2615</v>
      </c>
      <c r="C3197">
        <f>1/COUNTIF(B:B,Table1[[#This Row],[order_id]])</f>
        <v>0.5</v>
      </c>
      <c r="D3197" t="str">
        <f>TEXT(Table1[[#This Row],[order_date]],"mmmm")</f>
        <v>September</v>
      </c>
      <c r="E3197" s="1">
        <v>45538</v>
      </c>
      <c r="F3197" s="1" t="str">
        <f>TEXT(Table1[[#This Row],[order_date]],"dddd")</f>
        <v>Tuesday</v>
      </c>
      <c r="G3197">
        <f>HOUR(Table1[[#This Row],[order_time]])</f>
        <v>9</v>
      </c>
      <c r="H3197" s="2">
        <v>0.39106481481481481</v>
      </c>
      <c r="I3197" t="s">
        <v>18</v>
      </c>
      <c r="J3197" t="s">
        <v>30</v>
      </c>
      <c r="K3197">
        <v>3</v>
      </c>
      <c r="L3197">
        <v>60</v>
      </c>
      <c r="M3197">
        <v>180</v>
      </c>
      <c r="N3197">
        <f>IF(COUNTIFS($B$2:B3197,B3197)=1,1,0)</f>
        <v>1</v>
      </c>
    </row>
    <row r="3198" spans="1:14" x14ac:dyDescent="0.2">
      <c r="A3198">
        <v>3197</v>
      </c>
      <c r="B3198">
        <v>2615</v>
      </c>
      <c r="C3198">
        <f>1/COUNTIF(B:B,Table1[[#This Row],[order_id]])</f>
        <v>0.5</v>
      </c>
      <c r="D3198" t="str">
        <f>TEXT(Table1[[#This Row],[order_date]],"mmmm")</f>
        <v>September</v>
      </c>
      <c r="E3198" s="1">
        <v>45538</v>
      </c>
      <c r="F3198" s="1" t="str">
        <f>TEXT(Table1[[#This Row],[order_date]],"dddd")</f>
        <v>Tuesday</v>
      </c>
      <c r="G3198">
        <f>HOUR(Table1[[#This Row],[order_time]])</f>
        <v>9</v>
      </c>
      <c r="H3198" s="2">
        <v>0.40828703703703706</v>
      </c>
      <c r="I3198" t="s">
        <v>11</v>
      </c>
      <c r="J3198" t="s">
        <v>13</v>
      </c>
      <c r="K3198">
        <v>3</v>
      </c>
      <c r="L3198">
        <v>680</v>
      </c>
      <c r="M3198">
        <v>2040</v>
      </c>
      <c r="N3198">
        <f>IF(COUNTIFS($B$2:B3198,B3198)=1,1,0)</f>
        <v>0</v>
      </c>
    </row>
    <row r="3199" spans="1:14" x14ac:dyDescent="0.2">
      <c r="A3199">
        <v>3198</v>
      </c>
      <c r="B3199">
        <v>2616</v>
      </c>
      <c r="C3199">
        <f>1/COUNTIF(B:B,Table1[[#This Row],[order_id]])</f>
        <v>0.5</v>
      </c>
      <c r="D3199" t="str">
        <f>TEXT(Table1[[#This Row],[order_date]],"mmmm")</f>
        <v>September</v>
      </c>
      <c r="E3199" s="1">
        <v>45538</v>
      </c>
      <c r="F3199" s="1" t="str">
        <f>TEXT(Table1[[#This Row],[order_date]],"dddd")</f>
        <v>Tuesday</v>
      </c>
      <c r="G3199">
        <f>HOUR(Table1[[#This Row],[order_time]])</f>
        <v>13</v>
      </c>
      <c r="H3199" s="2">
        <v>0.58140046296296299</v>
      </c>
      <c r="I3199" t="s">
        <v>9</v>
      </c>
      <c r="J3199" t="s">
        <v>10</v>
      </c>
      <c r="K3199">
        <v>4</v>
      </c>
      <c r="L3199">
        <v>20</v>
      </c>
      <c r="M3199">
        <v>80</v>
      </c>
      <c r="N3199">
        <f>IF(COUNTIFS($B$2:B3199,B3199)=1,1,0)</f>
        <v>1</v>
      </c>
    </row>
    <row r="3200" spans="1:14" x14ac:dyDescent="0.2">
      <c r="A3200">
        <v>3199</v>
      </c>
      <c r="B3200">
        <v>2616</v>
      </c>
      <c r="C3200">
        <f>1/COUNTIF(B:B,Table1[[#This Row],[order_id]])</f>
        <v>0.5</v>
      </c>
      <c r="D3200" t="str">
        <f>TEXT(Table1[[#This Row],[order_date]],"mmmm")</f>
        <v>September</v>
      </c>
      <c r="E3200" s="1">
        <v>45538</v>
      </c>
      <c r="F3200" s="1" t="str">
        <f>TEXT(Table1[[#This Row],[order_date]],"dddd")</f>
        <v>Tuesday</v>
      </c>
      <c r="G3200">
        <f>HOUR(Table1[[#This Row],[order_time]])</f>
        <v>9</v>
      </c>
      <c r="H3200" s="2">
        <v>0.39762731481481484</v>
      </c>
      <c r="I3200" t="s">
        <v>18</v>
      </c>
      <c r="J3200" t="s">
        <v>31</v>
      </c>
      <c r="K3200">
        <v>1</v>
      </c>
      <c r="L3200">
        <v>45</v>
      </c>
      <c r="M3200">
        <v>45</v>
      </c>
      <c r="N3200">
        <f>IF(COUNTIFS($B$2:B3200,B3200)=1,1,0)</f>
        <v>0</v>
      </c>
    </row>
    <row r="3201" spans="1:14" x14ac:dyDescent="0.2">
      <c r="A3201">
        <v>3200</v>
      </c>
      <c r="B3201">
        <v>2617</v>
      </c>
      <c r="C3201">
        <f>1/COUNTIF(B:B,Table1[[#This Row],[order_id]])</f>
        <v>0.33333333333333331</v>
      </c>
      <c r="D3201" t="str">
        <f>TEXT(Table1[[#This Row],[order_date]],"mmmm")</f>
        <v>September</v>
      </c>
      <c r="E3201" s="1">
        <v>45538</v>
      </c>
      <c r="F3201" s="1" t="str">
        <f>TEXT(Table1[[#This Row],[order_date]],"dddd")</f>
        <v>Tuesday</v>
      </c>
      <c r="G3201">
        <f>HOUR(Table1[[#This Row],[order_time]])</f>
        <v>10</v>
      </c>
      <c r="H3201" s="2">
        <v>0.43160879629629628</v>
      </c>
      <c r="I3201" t="s">
        <v>11</v>
      </c>
      <c r="J3201" t="s">
        <v>15</v>
      </c>
      <c r="K3201">
        <v>5</v>
      </c>
      <c r="L3201">
        <v>600</v>
      </c>
      <c r="M3201">
        <v>3000</v>
      </c>
      <c r="N3201">
        <f>IF(COUNTIFS($B$2:B3201,B3201)=1,1,0)</f>
        <v>1</v>
      </c>
    </row>
    <row r="3202" spans="1:14" x14ac:dyDescent="0.2">
      <c r="A3202">
        <v>3201</v>
      </c>
      <c r="B3202">
        <v>2617</v>
      </c>
      <c r="C3202">
        <f>1/COUNTIF(B:B,Table1[[#This Row],[order_id]])</f>
        <v>0.33333333333333331</v>
      </c>
      <c r="D3202" t="str">
        <f>TEXT(Table1[[#This Row],[order_date]],"mmmm")</f>
        <v>September</v>
      </c>
      <c r="E3202" s="1">
        <v>45538</v>
      </c>
      <c r="F3202" s="1" t="str">
        <f>TEXT(Table1[[#This Row],[order_date]],"dddd")</f>
        <v>Tuesday</v>
      </c>
      <c r="G3202">
        <f>HOUR(Table1[[#This Row],[order_time]])</f>
        <v>9</v>
      </c>
      <c r="H3202" s="2">
        <v>0.40890046296296295</v>
      </c>
      <c r="I3202" t="s">
        <v>18</v>
      </c>
      <c r="J3202" t="s">
        <v>27</v>
      </c>
      <c r="K3202">
        <v>3</v>
      </c>
      <c r="L3202">
        <v>40</v>
      </c>
      <c r="M3202">
        <v>120</v>
      </c>
      <c r="N3202">
        <f>IF(COUNTIFS($B$2:B3202,B3202)=1,1,0)</f>
        <v>0</v>
      </c>
    </row>
    <row r="3203" spans="1:14" x14ac:dyDescent="0.2">
      <c r="A3203">
        <v>3202</v>
      </c>
      <c r="B3203">
        <v>2617</v>
      </c>
      <c r="C3203">
        <f>1/COUNTIF(B:B,Table1[[#This Row],[order_id]])</f>
        <v>0.33333333333333331</v>
      </c>
      <c r="D3203" t="str">
        <f>TEXT(Table1[[#This Row],[order_date]],"mmmm")</f>
        <v>September</v>
      </c>
      <c r="E3203" s="1">
        <v>45538</v>
      </c>
      <c r="F3203" s="1" t="str">
        <f>TEXT(Table1[[#This Row],[order_date]],"dddd")</f>
        <v>Tuesday</v>
      </c>
      <c r="G3203">
        <f>HOUR(Table1[[#This Row],[order_time]])</f>
        <v>11</v>
      </c>
      <c r="H3203" s="2">
        <v>0.46502314814814816</v>
      </c>
      <c r="I3203" t="s">
        <v>16</v>
      </c>
      <c r="J3203" t="s">
        <v>28</v>
      </c>
      <c r="K3203">
        <v>4</v>
      </c>
      <c r="L3203">
        <v>25</v>
      </c>
      <c r="M3203">
        <v>100</v>
      </c>
      <c r="N3203">
        <f>IF(COUNTIFS($B$2:B3203,B3203)=1,1,0)</f>
        <v>0</v>
      </c>
    </row>
    <row r="3204" spans="1:14" x14ac:dyDescent="0.2">
      <c r="A3204">
        <v>3203</v>
      </c>
      <c r="B3204">
        <v>2618</v>
      </c>
      <c r="C3204">
        <f>1/COUNTIF(B:B,Table1[[#This Row],[order_id]])</f>
        <v>1</v>
      </c>
      <c r="D3204" t="str">
        <f>TEXT(Table1[[#This Row],[order_date]],"mmmm")</f>
        <v>September</v>
      </c>
      <c r="E3204" s="1">
        <v>45539</v>
      </c>
      <c r="F3204" s="1" t="str">
        <f>TEXT(Table1[[#This Row],[order_date]],"dddd")</f>
        <v>Wednesday</v>
      </c>
      <c r="G3204">
        <f>HOUR(Table1[[#This Row],[order_time]])</f>
        <v>12</v>
      </c>
      <c r="H3204" s="2">
        <v>0.52251157407407411</v>
      </c>
      <c r="I3204" t="s">
        <v>11</v>
      </c>
      <c r="J3204" t="s">
        <v>15</v>
      </c>
      <c r="K3204">
        <v>3</v>
      </c>
      <c r="L3204">
        <v>600</v>
      </c>
      <c r="M3204">
        <v>1800</v>
      </c>
      <c r="N3204">
        <f>IF(COUNTIFS($B$2:B3204,B3204)=1,1,0)</f>
        <v>1</v>
      </c>
    </row>
    <row r="3205" spans="1:14" x14ac:dyDescent="0.2">
      <c r="A3205">
        <v>3204</v>
      </c>
      <c r="B3205">
        <v>2619</v>
      </c>
      <c r="C3205">
        <f>1/COUNTIF(B:B,Table1[[#This Row],[order_id]])</f>
        <v>0.5</v>
      </c>
      <c r="D3205" t="str">
        <f>TEXT(Table1[[#This Row],[order_date]],"mmmm")</f>
        <v>September</v>
      </c>
      <c r="E3205" s="1">
        <v>45539</v>
      </c>
      <c r="F3205" s="1" t="str">
        <f>TEXT(Table1[[#This Row],[order_date]],"dddd")</f>
        <v>Wednesday</v>
      </c>
      <c r="G3205">
        <f>HOUR(Table1[[#This Row],[order_time]])</f>
        <v>12</v>
      </c>
      <c r="H3205" s="2">
        <v>0.51429398148148153</v>
      </c>
      <c r="I3205" t="s">
        <v>18</v>
      </c>
      <c r="J3205" t="s">
        <v>26</v>
      </c>
      <c r="K3205">
        <v>2</v>
      </c>
      <c r="L3205">
        <v>55</v>
      </c>
      <c r="M3205">
        <v>110</v>
      </c>
      <c r="N3205">
        <f>IF(COUNTIFS($B$2:B3205,B3205)=1,1,0)</f>
        <v>1</v>
      </c>
    </row>
    <row r="3206" spans="1:14" x14ac:dyDescent="0.2">
      <c r="A3206">
        <v>3205</v>
      </c>
      <c r="B3206">
        <v>2619</v>
      </c>
      <c r="C3206">
        <f>1/COUNTIF(B:B,Table1[[#This Row],[order_id]])</f>
        <v>0.5</v>
      </c>
      <c r="D3206" t="str">
        <f>TEXT(Table1[[#This Row],[order_date]],"mmmm")</f>
        <v>September</v>
      </c>
      <c r="E3206" s="1">
        <v>45539</v>
      </c>
      <c r="F3206" s="1" t="str">
        <f>TEXT(Table1[[#This Row],[order_date]],"dddd")</f>
        <v>Wednesday</v>
      </c>
      <c r="G3206">
        <f>HOUR(Table1[[#This Row],[order_time]])</f>
        <v>11</v>
      </c>
      <c r="H3206" s="2">
        <v>0.46083333333333332</v>
      </c>
      <c r="I3206" t="s">
        <v>11</v>
      </c>
      <c r="J3206" t="s">
        <v>25</v>
      </c>
      <c r="K3206">
        <v>3</v>
      </c>
      <c r="L3206">
        <v>1000</v>
      </c>
      <c r="M3206">
        <v>3000</v>
      </c>
      <c r="N3206">
        <f>IF(COUNTIFS($B$2:B3206,B3206)=1,1,0)</f>
        <v>0</v>
      </c>
    </row>
    <row r="3207" spans="1:14" x14ac:dyDescent="0.2">
      <c r="A3207">
        <v>3206</v>
      </c>
      <c r="B3207">
        <v>2620</v>
      </c>
      <c r="C3207">
        <f>1/COUNTIF(B:B,Table1[[#This Row],[order_id]])</f>
        <v>0.5</v>
      </c>
      <c r="D3207" t="str">
        <f>TEXT(Table1[[#This Row],[order_date]],"mmmm")</f>
        <v>September</v>
      </c>
      <c r="E3207" s="1">
        <v>45539</v>
      </c>
      <c r="F3207" s="1" t="str">
        <f>TEXT(Table1[[#This Row],[order_date]],"dddd")</f>
        <v>Wednesday</v>
      </c>
      <c r="G3207">
        <f>HOUR(Table1[[#This Row],[order_time]])</f>
        <v>13</v>
      </c>
      <c r="H3207" s="2">
        <v>0.55378472222222219</v>
      </c>
      <c r="I3207" t="s">
        <v>9</v>
      </c>
      <c r="J3207" t="s">
        <v>21</v>
      </c>
      <c r="K3207">
        <v>3</v>
      </c>
      <c r="L3207">
        <v>10</v>
      </c>
      <c r="M3207">
        <v>30</v>
      </c>
      <c r="N3207">
        <f>IF(COUNTIFS($B$2:B3207,B3207)=1,1,0)</f>
        <v>1</v>
      </c>
    </row>
    <row r="3208" spans="1:14" x14ac:dyDescent="0.2">
      <c r="A3208">
        <v>3207</v>
      </c>
      <c r="B3208">
        <v>2620</v>
      </c>
      <c r="C3208">
        <f>1/COUNTIF(B:B,Table1[[#This Row],[order_id]])</f>
        <v>0.5</v>
      </c>
      <c r="D3208" t="str">
        <f>TEXT(Table1[[#This Row],[order_date]],"mmmm")</f>
        <v>September</v>
      </c>
      <c r="E3208" s="1">
        <v>45539</v>
      </c>
      <c r="F3208" s="1" t="str">
        <f>TEXT(Table1[[#This Row],[order_date]],"dddd")</f>
        <v>Wednesday</v>
      </c>
      <c r="G3208">
        <f>HOUR(Table1[[#This Row],[order_time]])</f>
        <v>11</v>
      </c>
      <c r="H3208" s="2">
        <v>0.47177083333333331</v>
      </c>
      <c r="I3208" t="s">
        <v>18</v>
      </c>
      <c r="J3208" t="s">
        <v>26</v>
      </c>
      <c r="K3208">
        <v>3</v>
      </c>
      <c r="L3208">
        <v>55</v>
      </c>
      <c r="M3208">
        <v>165</v>
      </c>
      <c r="N3208">
        <f>IF(COUNTIFS($B$2:B3208,B3208)=1,1,0)</f>
        <v>0</v>
      </c>
    </row>
    <row r="3209" spans="1:14" x14ac:dyDescent="0.2">
      <c r="A3209">
        <v>3208</v>
      </c>
      <c r="B3209">
        <v>2621</v>
      </c>
      <c r="C3209">
        <f>1/COUNTIF(B:B,Table1[[#This Row],[order_id]])</f>
        <v>0.33333333333333331</v>
      </c>
      <c r="D3209" t="str">
        <f>TEXT(Table1[[#This Row],[order_date]],"mmmm")</f>
        <v>September</v>
      </c>
      <c r="E3209" s="1">
        <v>45539</v>
      </c>
      <c r="F3209" s="1" t="str">
        <f>TEXT(Table1[[#This Row],[order_date]],"dddd")</f>
        <v>Wednesday</v>
      </c>
      <c r="G3209">
        <f>HOUR(Table1[[#This Row],[order_time]])</f>
        <v>16</v>
      </c>
      <c r="H3209" s="2">
        <v>0.67556712962962961</v>
      </c>
      <c r="I3209" t="s">
        <v>16</v>
      </c>
      <c r="J3209" t="s">
        <v>24</v>
      </c>
      <c r="K3209">
        <v>2</v>
      </c>
      <c r="L3209">
        <v>35</v>
      </c>
      <c r="M3209">
        <v>70</v>
      </c>
      <c r="N3209">
        <f>IF(COUNTIFS($B$2:B3209,B3209)=1,1,0)</f>
        <v>1</v>
      </c>
    </row>
    <row r="3210" spans="1:14" x14ac:dyDescent="0.2">
      <c r="A3210">
        <v>3209</v>
      </c>
      <c r="B3210">
        <v>2621</v>
      </c>
      <c r="C3210">
        <f>1/COUNTIF(B:B,Table1[[#This Row],[order_id]])</f>
        <v>0.33333333333333331</v>
      </c>
      <c r="D3210" t="str">
        <f>TEXT(Table1[[#This Row],[order_date]],"mmmm")</f>
        <v>September</v>
      </c>
      <c r="E3210" s="1">
        <v>45539</v>
      </c>
      <c r="F3210" s="1" t="str">
        <f>TEXT(Table1[[#This Row],[order_date]],"dddd")</f>
        <v>Wednesday</v>
      </c>
      <c r="G3210">
        <f>HOUR(Table1[[#This Row],[order_time]])</f>
        <v>11</v>
      </c>
      <c r="H3210" s="2">
        <v>0.49496527777777777</v>
      </c>
      <c r="I3210" t="s">
        <v>9</v>
      </c>
      <c r="J3210" t="s">
        <v>22</v>
      </c>
      <c r="K3210">
        <v>5</v>
      </c>
      <c r="L3210">
        <v>15</v>
      </c>
      <c r="M3210">
        <v>75</v>
      </c>
      <c r="N3210">
        <f>IF(COUNTIFS($B$2:B3210,B3210)=1,1,0)</f>
        <v>0</v>
      </c>
    </row>
    <row r="3211" spans="1:14" x14ac:dyDescent="0.2">
      <c r="A3211">
        <v>3210</v>
      </c>
      <c r="B3211">
        <v>2621</v>
      </c>
      <c r="C3211">
        <f>1/COUNTIF(B:B,Table1[[#This Row],[order_id]])</f>
        <v>0.33333333333333331</v>
      </c>
      <c r="D3211" t="str">
        <f>TEXT(Table1[[#This Row],[order_date]],"mmmm")</f>
        <v>September</v>
      </c>
      <c r="E3211" s="1">
        <v>45539</v>
      </c>
      <c r="F3211" s="1" t="str">
        <f>TEXT(Table1[[#This Row],[order_date]],"dddd")</f>
        <v>Wednesday</v>
      </c>
      <c r="G3211">
        <f>HOUR(Table1[[#This Row],[order_time]])</f>
        <v>9</v>
      </c>
      <c r="H3211" s="2">
        <v>0.39785879629629628</v>
      </c>
      <c r="I3211" t="s">
        <v>9</v>
      </c>
      <c r="J3211" t="s">
        <v>29</v>
      </c>
      <c r="K3211">
        <v>5</v>
      </c>
      <c r="L3211">
        <v>5</v>
      </c>
      <c r="M3211">
        <v>25</v>
      </c>
      <c r="N3211">
        <f>IF(COUNTIFS($B$2:B3211,B3211)=1,1,0)</f>
        <v>0</v>
      </c>
    </row>
    <row r="3212" spans="1:14" x14ac:dyDescent="0.2">
      <c r="A3212">
        <v>3211</v>
      </c>
      <c r="B3212">
        <v>2622</v>
      </c>
      <c r="C3212">
        <f>1/COUNTIF(B:B,Table1[[#This Row],[order_id]])</f>
        <v>0.33333333333333331</v>
      </c>
      <c r="D3212" t="str">
        <f>TEXT(Table1[[#This Row],[order_date]],"mmmm")</f>
        <v>September</v>
      </c>
      <c r="E3212" s="1">
        <v>45539</v>
      </c>
      <c r="F3212" s="1" t="str">
        <f>TEXT(Table1[[#This Row],[order_date]],"dddd")</f>
        <v>Wednesday</v>
      </c>
      <c r="G3212">
        <f>HOUR(Table1[[#This Row],[order_time]])</f>
        <v>17</v>
      </c>
      <c r="H3212" s="2">
        <v>0.71005787037037038</v>
      </c>
      <c r="I3212" t="s">
        <v>18</v>
      </c>
      <c r="J3212" t="s">
        <v>31</v>
      </c>
      <c r="K3212">
        <v>2</v>
      </c>
      <c r="L3212">
        <v>45</v>
      </c>
      <c r="M3212">
        <v>90</v>
      </c>
      <c r="N3212">
        <f>IF(COUNTIFS($B$2:B3212,B3212)=1,1,0)</f>
        <v>1</v>
      </c>
    </row>
    <row r="3213" spans="1:14" x14ac:dyDescent="0.2">
      <c r="A3213">
        <v>3212</v>
      </c>
      <c r="B3213">
        <v>2622</v>
      </c>
      <c r="C3213">
        <f>1/COUNTIF(B:B,Table1[[#This Row],[order_id]])</f>
        <v>0.33333333333333331</v>
      </c>
      <c r="D3213" t="str">
        <f>TEXT(Table1[[#This Row],[order_date]],"mmmm")</f>
        <v>September</v>
      </c>
      <c r="E3213" s="1">
        <v>45539</v>
      </c>
      <c r="F3213" s="1" t="str">
        <f>TEXT(Table1[[#This Row],[order_date]],"dddd")</f>
        <v>Wednesday</v>
      </c>
      <c r="G3213">
        <f>HOUR(Table1[[#This Row],[order_time]])</f>
        <v>14</v>
      </c>
      <c r="H3213" s="2">
        <v>0.61783564814814818</v>
      </c>
      <c r="I3213" t="s">
        <v>11</v>
      </c>
      <c r="J3213" t="s">
        <v>12</v>
      </c>
      <c r="K3213">
        <v>5</v>
      </c>
      <c r="L3213">
        <v>650</v>
      </c>
      <c r="M3213">
        <v>3250</v>
      </c>
      <c r="N3213">
        <f>IF(COUNTIFS($B$2:B3213,B3213)=1,1,0)</f>
        <v>0</v>
      </c>
    </row>
    <row r="3214" spans="1:14" x14ac:dyDescent="0.2">
      <c r="A3214">
        <v>3213</v>
      </c>
      <c r="B3214">
        <v>2622</v>
      </c>
      <c r="C3214">
        <f>1/COUNTIF(B:B,Table1[[#This Row],[order_id]])</f>
        <v>0.33333333333333331</v>
      </c>
      <c r="D3214" t="str">
        <f>TEXT(Table1[[#This Row],[order_date]],"mmmm")</f>
        <v>September</v>
      </c>
      <c r="E3214" s="1">
        <v>45539</v>
      </c>
      <c r="F3214" s="1" t="str">
        <f>TEXT(Table1[[#This Row],[order_date]],"dddd")</f>
        <v>Wednesday</v>
      </c>
      <c r="G3214">
        <f>HOUR(Table1[[#This Row],[order_time]])</f>
        <v>9</v>
      </c>
      <c r="H3214" s="2">
        <v>0.38540509259259259</v>
      </c>
      <c r="I3214" t="s">
        <v>16</v>
      </c>
      <c r="J3214" t="s">
        <v>28</v>
      </c>
      <c r="K3214">
        <v>5</v>
      </c>
      <c r="L3214">
        <v>25</v>
      </c>
      <c r="M3214">
        <v>125</v>
      </c>
      <c r="N3214">
        <f>IF(COUNTIFS($B$2:B3214,B3214)=1,1,0)</f>
        <v>0</v>
      </c>
    </row>
    <row r="3215" spans="1:14" x14ac:dyDescent="0.2">
      <c r="A3215">
        <v>3214</v>
      </c>
      <c r="B3215">
        <v>2623</v>
      </c>
      <c r="C3215">
        <f>1/COUNTIF(B:B,Table1[[#This Row],[order_id]])</f>
        <v>1</v>
      </c>
      <c r="D3215" t="str">
        <f>TEXT(Table1[[#This Row],[order_date]],"mmmm")</f>
        <v>September</v>
      </c>
      <c r="E3215" s="1">
        <v>45540</v>
      </c>
      <c r="F3215" s="1" t="str">
        <f>TEXT(Table1[[#This Row],[order_date]],"dddd")</f>
        <v>Thursday</v>
      </c>
      <c r="G3215">
        <f>HOUR(Table1[[#This Row],[order_time]])</f>
        <v>14</v>
      </c>
      <c r="H3215" s="2">
        <v>0.6224884259259259</v>
      </c>
      <c r="I3215" t="s">
        <v>16</v>
      </c>
      <c r="J3215" t="s">
        <v>17</v>
      </c>
      <c r="K3215">
        <v>1</v>
      </c>
      <c r="L3215">
        <v>20</v>
      </c>
      <c r="M3215">
        <v>20</v>
      </c>
      <c r="N3215">
        <f>IF(COUNTIFS($B$2:B3215,B3215)=1,1,0)</f>
        <v>1</v>
      </c>
    </row>
    <row r="3216" spans="1:14" x14ac:dyDescent="0.2">
      <c r="A3216">
        <v>3215</v>
      </c>
      <c r="B3216">
        <v>2624</v>
      </c>
      <c r="C3216">
        <f>1/COUNTIF(B:B,Table1[[#This Row],[order_id]])</f>
        <v>0.5</v>
      </c>
      <c r="D3216" t="str">
        <f>TEXT(Table1[[#This Row],[order_date]],"mmmm")</f>
        <v>September</v>
      </c>
      <c r="E3216" s="1">
        <v>45540</v>
      </c>
      <c r="F3216" s="1" t="str">
        <f>TEXT(Table1[[#This Row],[order_date]],"dddd")</f>
        <v>Thursday</v>
      </c>
      <c r="G3216">
        <f>HOUR(Table1[[#This Row],[order_time]])</f>
        <v>16</v>
      </c>
      <c r="H3216" s="2">
        <v>0.68337962962962961</v>
      </c>
      <c r="I3216" t="s">
        <v>16</v>
      </c>
      <c r="J3216" t="s">
        <v>28</v>
      </c>
      <c r="K3216">
        <v>2</v>
      </c>
      <c r="L3216">
        <v>25</v>
      </c>
      <c r="M3216">
        <v>50</v>
      </c>
      <c r="N3216">
        <f>IF(COUNTIFS($B$2:B3216,B3216)=1,1,0)</f>
        <v>1</v>
      </c>
    </row>
    <row r="3217" spans="1:14" x14ac:dyDescent="0.2">
      <c r="A3217">
        <v>3216</v>
      </c>
      <c r="B3217">
        <v>2624</v>
      </c>
      <c r="C3217">
        <f>1/COUNTIF(B:B,Table1[[#This Row],[order_id]])</f>
        <v>0.5</v>
      </c>
      <c r="D3217" t="str">
        <f>TEXT(Table1[[#This Row],[order_date]],"mmmm")</f>
        <v>September</v>
      </c>
      <c r="E3217" s="1">
        <v>45540</v>
      </c>
      <c r="F3217" s="1" t="str">
        <f>TEXT(Table1[[#This Row],[order_date]],"dddd")</f>
        <v>Thursday</v>
      </c>
      <c r="G3217">
        <f>HOUR(Table1[[#This Row],[order_time]])</f>
        <v>16</v>
      </c>
      <c r="H3217" s="2">
        <v>0.68729166666666663</v>
      </c>
      <c r="I3217" t="s">
        <v>9</v>
      </c>
      <c r="J3217" t="s">
        <v>20</v>
      </c>
      <c r="K3217">
        <v>2</v>
      </c>
      <c r="L3217">
        <v>25</v>
      </c>
      <c r="M3217">
        <v>50</v>
      </c>
      <c r="N3217">
        <f>IF(COUNTIFS($B$2:B3217,B3217)=1,1,0)</f>
        <v>0</v>
      </c>
    </row>
    <row r="3218" spans="1:14" x14ac:dyDescent="0.2">
      <c r="A3218">
        <v>3217</v>
      </c>
      <c r="B3218">
        <v>2625</v>
      </c>
      <c r="C3218">
        <f>1/COUNTIF(B:B,Table1[[#This Row],[order_id]])</f>
        <v>0.33333333333333331</v>
      </c>
      <c r="D3218" t="str">
        <f>TEXT(Table1[[#This Row],[order_date]],"mmmm")</f>
        <v>September</v>
      </c>
      <c r="E3218" s="1">
        <v>45540</v>
      </c>
      <c r="F3218" s="1" t="str">
        <f>TEXT(Table1[[#This Row],[order_date]],"dddd")</f>
        <v>Thursday</v>
      </c>
      <c r="G3218">
        <f>HOUR(Table1[[#This Row],[order_time]])</f>
        <v>19</v>
      </c>
      <c r="H3218" s="2">
        <v>0.82474537037037032</v>
      </c>
      <c r="I3218" t="s">
        <v>16</v>
      </c>
      <c r="J3218" t="s">
        <v>24</v>
      </c>
      <c r="K3218">
        <v>3</v>
      </c>
      <c r="L3218">
        <v>35</v>
      </c>
      <c r="M3218">
        <v>105</v>
      </c>
      <c r="N3218">
        <f>IF(COUNTIFS($B$2:B3218,B3218)=1,1,0)</f>
        <v>1</v>
      </c>
    </row>
    <row r="3219" spans="1:14" x14ac:dyDescent="0.2">
      <c r="A3219">
        <v>3218</v>
      </c>
      <c r="B3219">
        <v>2625</v>
      </c>
      <c r="C3219">
        <f>1/COUNTIF(B:B,Table1[[#This Row],[order_id]])</f>
        <v>0.33333333333333331</v>
      </c>
      <c r="D3219" t="str">
        <f>TEXT(Table1[[#This Row],[order_date]],"mmmm")</f>
        <v>September</v>
      </c>
      <c r="E3219" s="1">
        <v>45540</v>
      </c>
      <c r="F3219" s="1" t="str">
        <f>TEXT(Table1[[#This Row],[order_date]],"dddd")</f>
        <v>Thursday</v>
      </c>
      <c r="G3219">
        <f>HOUR(Table1[[#This Row],[order_time]])</f>
        <v>13</v>
      </c>
      <c r="H3219" s="2">
        <v>0.55973379629629627</v>
      </c>
      <c r="I3219" t="s">
        <v>16</v>
      </c>
      <c r="J3219" t="s">
        <v>28</v>
      </c>
      <c r="K3219">
        <v>2</v>
      </c>
      <c r="L3219">
        <v>25</v>
      </c>
      <c r="M3219">
        <v>50</v>
      </c>
      <c r="N3219">
        <f>IF(COUNTIFS($B$2:B3219,B3219)=1,1,0)</f>
        <v>0</v>
      </c>
    </row>
    <row r="3220" spans="1:14" x14ac:dyDescent="0.2">
      <c r="A3220">
        <v>3219</v>
      </c>
      <c r="B3220">
        <v>2625</v>
      </c>
      <c r="C3220">
        <f>1/COUNTIF(B:B,Table1[[#This Row],[order_id]])</f>
        <v>0.33333333333333331</v>
      </c>
      <c r="D3220" t="str">
        <f>TEXT(Table1[[#This Row],[order_date]],"mmmm")</f>
        <v>September</v>
      </c>
      <c r="E3220" s="1">
        <v>45540</v>
      </c>
      <c r="F3220" s="1" t="str">
        <f>TEXT(Table1[[#This Row],[order_date]],"dddd")</f>
        <v>Thursday</v>
      </c>
      <c r="G3220">
        <f>HOUR(Table1[[#This Row],[order_time]])</f>
        <v>14</v>
      </c>
      <c r="H3220" s="2">
        <v>0.58467592592592588</v>
      </c>
      <c r="I3220" t="s">
        <v>11</v>
      </c>
      <c r="J3220" t="s">
        <v>13</v>
      </c>
      <c r="K3220">
        <v>1</v>
      </c>
      <c r="L3220">
        <v>680</v>
      </c>
      <c r="M3220">
        <v>680</v>
      </c>
      <c r="N3220">
        <f>IF(COUNTIFS($B$2:B3220,B3220)=1,1,0)</f>
        <v>0</v>
      </c>
    </row>
    <row r="3221" spans="1:14" x14ac:dyDescent="0.2">
      <c r="A3221">
        <v>3220</v>
      </c>
      <c r="B3221">
        <v>2626</v>
      </c>
      <c r="C3221">
        <f>1/COUNTIF(B:B,Table1[[#This Row],[order_id]])</f>
        <v>1</v>
      </c>
      <c r="D3221" t="str">
        <f>TEXT(Table1[[#This Row],[order_date]],"mmmm")</f>
        <v>September</v>
      </c>
      <c r="E3221" s="1">
        <v>45540</v>
      </c>
      <c r="F3221" s="1" t="str">
        <f>TEXT(Table1[[#This Row],[order_date]],"dddd")</f>
        <v>Thursday</v>
      </c>
      <c r="G3221">
        <f>HOUR(Table1[[#This Row],[order_time]])</f>
        <v>11</v>
      </c>
      <c r="H3221" s="2">
        <v>0.47291666666666665</v>
      </c>
      <c r="I3221" t="s">
        <v>9</v>
      </c>
      <c r="J3221" t="s">
        <v>29</v>
      </c>
      <c r="K3221">
        <v>5</v>
      </c>
      <c r="L3221">
        <v>5</v>
      </c>
      <c r="M3221">
        <v>25</v>
      </c>
      <c r="N3221">
        <f>IF(COUNTIFS($B$2:B3221,B3221)=1,1,0)</f>
        <v>1</v>
      </c>
    </row>
    <row r="3222" spans="1:14" x14ac:dyDescent="0.2">
      <c r="A3222">
        <v>3221</v>
      </c>
      <c r="B3222">
        <v>2627</v>
      </c>
      <c r="C3222">
        <f>1/COUNTIF(B:B,Table1[[#This Row],[order_id]])</f>
        <v>0.33333333333333331</v>
      </c>
      <c r="D3222" t="str">
        <f>TEXT(Table1[[#This Row],[order_date]],"mmmm")</f>
        <v>September</v>
      </c>
      <c r="E3222" s="1">
        <v>45540</v>
      </c>
      <c r="F3222" s="1" t="str">
        <f>TEXT(Table1[[#This Row],[order_date]],"dddd")</f>
        <v>Thursday</v>
      </c>
      <c r="G3222">
        <f>HOUR(Table1[[#This Row],[order_time]])</f>
        <v>15</v>
      </c>
      <c r="H3222" s="2">
        <v>0.65663194444444439</v>
      </c>
      <c r="I3222" t="s">
        <v>11</v>
      </c>
      <c r="J3222" t="s">
        <v>25</v>
      </c>
      <c r="K3222">
        <v>2</v>
      </c>
      <c r="L3222">
        <v>1000</v>
      </c>
      <c r="M3222">
        <v>2000</v>
      </c>
      <c r="N3222">
        <f>IF(COUNTIFS($B$2:B3222,B3222)=1,1,0)</f>
        <v>1</v>
      </c>
    </row>
    <row r="3223" spans="1:14" x14ac:dyDescent="0.2">
      <c r="A3223">
        <v>3222</v>
      </c>
      <c r="B3223">
        <v>2627</v>
      </c>
      <c r="C3223">
        <f>1/COUNTIF(B:B,Table1[[#This Row],[order_id]])</f>
        <v>0.33333333333333331</v>
      </c>
      <c r="D3223" t="str">
        <f>TEXT(Table1[[#This Row],[order_date]],"mmmm")</f>
        <v>September</v>
      </c>
      <c r="E3223" s="1">
        <v>45540</v>
      </c>
      <c r="F3223" s="1" t="str">
        <f>TEXT(Table1[[#This Row],[order_date]],"dddd")</f>
        <v>Thursday</v>
      </c>
      <c r="G3223">
        <f>HOUR(Table1[[#This Row],[order_time]])</f>
        <v>16</v>
      </c>
      <c r="H3223" s="2">
        <v>0.70072916666666663</v>
      </c>
      <c r="I3223" t="s">
        <v>18</v>
      </c>
      <c r="J3223" t="s">
        <v>30</v>
      </c>
      <c r="K3223">
        <v>1</v>
      </c>
      <c r="L3223">
        <v>60</v>
      </c>
      <c r="M3223">
        <v>60</v>
      </c>
      <c r="N3223">
        <f>IF(COUNTIFS($B$2:B3223,B3223)=1,1,0)</f>
        <v>0</v>
      </c>
    </row>
    <row r="3224" spans="1:14" x14ac:dyDescent="0.2">
      <c r="A3224">
        <v>3223</v>
      </c>
      <c r="B3224">
        <v>2627</v>
      </c>
      <c r="C3224">
        <f>1/COUNTIF(B:B,Table1[[#This Row],[order_id]])</f>
        <v>0.33333333333333331</v>
      </c>
      <c r="D3224" t="str">
        <f>TEXT(Table1[[#This Row],[order_date]],"mmmm")</f>
        <v>September</v>
      </c>
      <c r="E3224" s="1">
        <v>45540</v>
      </c>
      <c r="F3224" s="1" t="str">
        <f>TEXT(Table1[[#This Row],[order_date]],"dddd")</f>
        <v>Thursday</v>
      </c>
      <c r="G3224">
        <f>HOUR(Table1[[#This Row],[order_time]])</f>
        <v>19</v>
      </c>
      <c r="H3224" s="2">
        <v>0.82387731481481485</v>
      </c>
      <c r="I3224" t="s">
        <v>18</v>
      </c>
      <c r="J3224" t="s">
        <v>30</v>
      </c>
      <c r="K3224">
        <v>3</v>
      </c>
      <c r="L3224">
        <v>60</v>
      </c>
      <c r="M3224">
        <v>180</v>
      </c>
      <c r="N3224">
        <f>IF(COUNTIFS($B$2:B3224,B3224)=1,1,0)</f>
        <v>0</v>
      </c>
    </row>
    <row r="3225" spans="1:14" x14ac:dyDescent="0.2">
      <c r="A3225">
        <v>3224</v>
      </c>
      <c r="B3225">
        <v>2628</v>
      </c>
      <c r="C3225">
        <f>1/COUNTIF(B:B,Table1[[#This Row],[order_id]])</f>
        <v>0.5</v>
      </c>
      <c r="D3225" t="str">
        <f>TEXT(Table1[[#This Row],[order_date]],"mmmm")</f>
        <v>September</v>
      </c>
      <c r="E3225" s="1">
        <v>45541</v>
      </c>
      <c r="F3225" s="1" t="str">
        <f>TEXT(Table1[[#This Row],[order_date]],"dddd")</f>
        <v>Friday</v>
      </c>
      <c r="G3225">
        <f>HOUR(Table1[[#This Row],[order_time]])</f>
        <v>18</v>
      </c>
      <c r="H3225" s="2">
        <v>0.78053240740740737</v>
      </c>
      <c r="I3225" t="s">
        <v>16</v>
      </c>
      <c r="J3225" t="s">
        <v>17</v>
      </c>
      <c r="K3225">
        <v>4</v>
      </c>
      <c r="L3225">
        <v>20</v>
      </c>
      <c r="M3225">
        <v>80</v>
      </c>
      <c r="N3225">
        <f>IF(COUNTIFS($B$2:B3225,B3225)=1,1,0)</f>
        <v>1</v>
      </c>
    </row>
    <row r="3226" spans="1:14" x14ac:dyDescent="0.2">
      <c r="A3226">
        <v>3225</v>
      </c>
      <c r="B3226">
        <v>2628</v>
      </c>
      <c r="C3226">
        <f>1/COUNTIF(B:B,Table1[[#This Row],[order_id]])</f>
        <v>0.5</v>
      </c>
      <c r="D3226" t="str">
        <f>TEXT(Table1[[#This Row],[order_date]],"mmmm")</f>
        <v>September</v>
      </c>
      <c r="E3226" s="1">
        <v>45541</v>
      </c>
      <c r="F3226" s="1" t="str">
        <f>TEXT(Table1[[#This Row],[order_date]],"dddd")</f>
        <v>Friday</v>
      </c>
      <c r="G3226">
        <f>HOUR(Table1[[#This Row],[order_time]])</f>
        <v>12</v>
      </c>
      <c r="H3226" s="2">
        <v>0.50819444444444439</v>
      </c>
      <c r="I3226" t="s">
        <v>18</v>
      </c>
      <c r="J3226" t="s">
        <v>30</v>
      </c>
      <c r="K3226">
        <v>3</v>
      </c>
      <c r="L3226">
        <v>60</v>
      </c>
      <c r="M3226">
        <v>180</v>
      </c>
      <c r="N3226">
        <f>IF(COUNTIFS($B$2:B3226,B3226)=1,1,0)</f>
        <v>0</v>
      </c>
    </row>
    <row r="3227" spans="1:14" x14ac:dyDescent="0.2">
      <c r="A3227">
        <v>3226</v>
      </c>
      <c r="B3227">
        <v>2629</v>
      </c>
      <c r="C3227">
        <f>1/COUNTIF(B:B,Table1[[#This Row],[order_id]])</f>
        <v>1</v>
      </c>
      <c r="D3227" t="str">
        <f>TEXT(Table1[[#This Row],[order_date]],"mmmm")</f>
        <v>September</v>
      </c>
      <c r="E3227" s="1">
        <v>45541</v>
      </c>
      <c r="F3227" s="1" t="str">
        <f>TEXT(Table1[[#This Row],[order_date]],"dddd")</f>
        <v>Friday</v>
      </c>
      <c r="G3227">
        <f>HOUR(Table1[[#This Row],[order_time]])</f>
        <v>16</v>
      </c>
      <c r="H3227" s="2">
        <v>0.703587962962963</v>
      </c>
      <c r="I3227" t="s">
        <v>18</v>
      </c>
      <c r="J3227" t="s">
        <v>31</v>
      </c>
      <c r="K3227">
        <v>2</v>
      </c>
      <c r="L3227">
        <v>45</v>
      </c>
      <c r="M3227">
        <v>90</v>
      </c>
      <c r="N3227">
        <f>IF(COUNTIFS($B$2:B3227,B3227)=1,1,0)</f>
        <v>1</v>
      </c>
    </row>
    <row r="3228" spans="1:14" x14ac:dyDescent="0.2">
      <c r="A3228">
        <v>3227</v>
      </c>
      <c r="B3228">
        <v>2630</v>
      </c>
      <c r="C3228">
        <f>1/COUNTIF(B:B,Table1[[#This Row],[order_id]])</f>
        <v>1</v>
      </c>
      <c r="D3228" t="str">
        <f>TEXT(Table1[[#This Row],[order_date]],"mmmm")</f>
        <v>September</v>
      </c>
      <c r="E3228" s="1">
        <v>45541</v>
      </c>
      <c r="F3228" s="1" t="str">
        <f>TEXT(Table1[[#This Row],[order_date]],"dddd")</f>
        <v>Friday</v>
      </c>
      <c r="G3228">
        <f>HOUR(Table1[[#This Row],[order_time]])</f>
        <v>19</v>
      </c>
      <c r="H3228" s="2">
        <v>0.81334490740740739</v>
      </c>
      <c r="I3228" t="s">
        <v>18</v>
      </c>
      <c r="J3228" t="s">
        <v>26</v>
      </c>
      <c r="K3228">
        <v>2</v>
      </c>
      <c r="L3228">
        <v>55</v>
      </c>
      <c r="M3228">
        <v>110</v>
      </c>
      <c r="N3228">
        <f>IF(COUNTIFS($B$2:B3228,B3228)=1,1,0)</f>
        <v>1</v>
      </c>
    </row>
    <row r="3229" spans="1:14" x14ac:dyDescent="0.2">
      <c r="A3229">
        <v>3228</v>
      </c>
      <c r="B3229">
        <v>2631</v>
      </c>
      <c r="C3229">
        <f>1/COUNTIF(B:B,Table1[[#This Row],[order_id]])</f>
        <v>1</v>
      </c>
      <c r="D3229" t="str">
        <f>TEXT(Table1[[#This Row],[order_date]],"mmmm")</f>
        <v>September</v>
      </c>
      <c r="E3229" s="1">
        <v>45541</v>
      </c>
      <c r="F3229" s="1" t="str">
        <f>TEXT(Table1[[#This Row],[order_date]],"dddd")</f>
        <v>Friday</v>
      </c>
      <c r="G3229">
        <f>HOUR(Table1[[#This Row],[order_time]])</f>
        <v>13</v>
      </c>
      <c r="H3229" s="2">
        <v>0.56618055555555558</v>
      </c>
      <c r="I3229" t="s">
        <v>18</v>
      </c>
      <c r="J3229" t="s">
        <v>26</v>
      </c>
      <c r="K3229">
        <v>3</v>
      </c>
      <c r="L3229">
        <v>55</v>
      </c>
      <c r="M3229">
        <v>165</v>
      </c>
      <c r="N3229">
        <f>IF(COUNTIFS($B$2:B3229,B3229)=1,1,0)</f>
        <v>1</v>
      </c>
    </row>
    <row r="3230" spans="1:14" x14ac:dyDescent="0.2">
      <c r="A3230">
        <v>3229</v>
      </c>
      <c r="B3230">
        <v>2632</v>
      </c>
      <c r="C3230">
        <f>1/COUNTIF(B:B,Table1[[#This Row],[order_id]])</f>
        <v>1</v>
      </c>
      <c r="D3230" t="str">
        <f>TEXT(Table1[[#This Row],[order_date]],"mmmm")</f>
        <v>September</v>
      </c>
      <c r="E3230" s="1">
        <v>45541</v>
      </c>
      <c r="F3230" s="1" t="str">
        <f>TEXT(Table1[[#This Row],[order_date]],"dddd")</f>
        <v>Friday</v>
      </c>
      <c r="G3230">
        <f>HOUR(Table1[[#This Row],[order_time]])</f>
        <v>14</v>
      </c>
      <c r="H3230" s="2">
        <v>0.59258101851851852</v>
      </c>
      <c r="I3230" t="s">
        <v>9</v>
      </c>
      <c r="J3230" t="s">
        <v>29</v>
      </c>
      <c r="K3230">
        <v>3</v>
      </c>
      <c r="L3230">
        <v>5</v>
      </c>
      <c r="M3230">
        <v>15</v>
      </c>
      <c r="N3230">
        <f>IF(COUNTIFS($B$2:B3230,B3230)=1,1,0)</f>
        <v>1</v>
      </c>
    </row>
    <row r="3231" spans="1:14" x14ac:dyDescent="0.2">
      <c r="A3231">
        <v>3230</v>
      </c>
      <c r="B3231">
        <v>2633</v>
      </c>
      <c r="C3231">
        <f>1/COUNTIF(B:B,Table1[[#This Row],[order_id]])</f>
        <v>0.5</v>
      </c>
      <c r="D3231" t="str">
        <f>TEXT(Table1[[#This Row],[order_date]],"mmmm")</f>
        <v>September</v>
      </c>
      <c r="E3231" s="1">
        <v>45542</v>
      </c>
      <c r="F3231" s="1" t="str">
        <f>TEXT(Table1[[#This Row],[order_date]],"dddd")</f>
        <v>Saturday</v>
      </c>
      <c r="G3231">
        <f>HOUR(Table1[[#This Row],[order_time]])</f>
        <v>16</v>
      </c>
      <c r="H3231" s="2">
        <v>0.69927083333333329</v>
      </c>
      <c r="I3231" t="s">
        <v>16</v>
      </c>
      <c r="J3231" t="s">
        <v>28</v>
      </c>
      <c r="K3231">
        <v>2</v>
      </c>
      <c r="L3231">
        <v>25</v>
      </c>
      <c r="M3231">
        <v>50</v>
      </c>
      <c r="N3231">
        <f>IF(COUNTIFS($B$2:B3231,B3231)=1,1,0)</f>
        <v>1</v>
      </c>
    </row>
    <row r="3232" spans="1:14" x14ac:dyDescent="0.2">
      <c r="A3232">
        <v>3231</v>
      </c>
      <c r="B3232">
        <v>2633</v>
      </c>
      <c r="C3232">
        <f>1/COUNTIF(B:B,Table1[[#This Row],[order_id]])</f>
        <v>0.5</v>
      </c>
      <c r="D3232" t="str">
        <f>TEXT(Table1[[#This Row],[order_date]],"mmmm")</f>
        <v>September</v>
      </c>
      <c r="E3232" s="1">
        <v>45542</v>
      </c>
      <c r="F3232" s="1" t="str">
        <f>TEXT(Table1[[#This Row],[order_date]],"dddd")</f>
        <v>Saturday</v>
      </c>
      <c r="G3232">
        <f>HOUR(Table1[[#This Row],[order_time]])</f>
        <v>16</v>
      </c>
      <c r="H3232" s="2">
        <v>0.67326388888888888</v>
      </c>
      <c r="I3232" t="s">
        <v>18</v>
      </c>
      <c r="J3232" t="s">
        <v>31</v>
      </c>
      <c r="K3232">
        <v>1</v>
      </c>
      <c r="L3232">
        <v>45</v>
      </c>
      <c r="M3232">
        <v>45</v>
      </c>
      <c r="N3232">
        <f>IF(COUNTIFS($B$2:B3232,B3232)=1,1,0)</f>
        <v>0</v>
      </c>
    </row>
    <row r="3233" spans="1:14" x14ac:dyDescent="0.2">
      <c r="A3233">
        <v>3232</v>
      </c>
      <c r="B3233">
        <v>2634</v>
      </c>
      <c r="C3233">
        <f>1/COUNTIF(B:B,Table1[[#This Row],[order_id]])</f>
        <v>1</v>
      </c>
      <c r="D3233" t="str">
        <f>TEXT(Table1[[#This Row],[order_date]],"mmmm")</f>
        <v>September</v>
      </c>
      <c r="E3233" s="1">
        <v>45542</v>
      </c>
      <c r="F3233" s="1" t="str">
        <f>TEXT(Table1[[#This Row],[order_date]],"dddd")</f>
        <v>Saturday</v>
      </c>
      <c r="G3233">
        <f>HOUR(Table1[[#This Row],[order_time]])</f>
        <v>13</v>
      </c>
      <c r="H3233" s="2">
        <v>0.56212962962962965</v>
      </c>
      <c r="I3233" t="s">
        <v>11</v>
      </c>
      <c r="J3233" t="s">
        <v>12</v>
      </c>
      <c r="K3233">
        <v>2</v>
      </c>
      <c r="L3233">
        <v>650</v>
      </c>
      <c r="M3233">
        <v>1300</v>
      </c>
      <c r="N3233">
        <f>IF(COUNTIFS($B$2:B3233,B3233)=1,1,0)</f>
        <v>1</v>
      </c>
    </row>
    <row r="3234" spans="1:14" x14ac:dyDescent="0.2">
      <c r="A3234">
        <v>3233</v>
      </c>
      <c r="B3234">
        <v>2635</v>
      </c>
      <c r="C3234">
        <f>1/COUNTIF(B:B,Table1[[#This Row],[order_id]])</f>
        <v>1</v>
      </c>
      <c r="D3234" t="str">
        <f>TEXT(Table1[[#This Row],[order_date]],"mmmm")</f>
        <v>September</v>
      </c>
      <c r="E3234" s="1">
        <v>45542</v>
      </c>
      <c r="F3234" s="1" t="str">
        <f>TEXT(Table1[[#This Row],[order_date]],"dddd")</f>
        <v>Saturday</v>
      </c>
      <c r="G3234">
        <f>HOUR(Table1[[#This Row],[order_time]])</f>
        <v>20</v>
      </c>
      <c r="H3234" s="2">
        <v>0.84465277777777781</v>
      </c>
      <c r="I3234" t="s">
        <v>9</v>
      </c>
      <c r="J3234" t="s">
        <v>10</v>
      </c>
      <c r="K3234">
        <v>5</v>
      </c>
      <c r="L3234">
        <v>20</v>
      </c>
      <c r="M3234">
        <v>100</v>
      </c>
      <c r="N3234">
        <f>IF(COUNTIFS($B$2:B3234,B3234)=1,1,0)</f>
        <v>1</v>
      </c>
    </row>
    <row r="3235" spans="1:14" x14ac:dyDescent="0.2">
      <c r="A3235">
        <v>3234</v>
      </c>
      <c r="B3235">
        <v>2636</v>
      </c>
      <c r="C3235">
        <f>1/COUNTIF(B:B,Table1[[#This Row],[order_id]])</f>
        <v>1</v>
      </c>
      <c r="D3235" t="str">
        <f>TEXT(Table1[[#This Row],[order_date]],"mmmm")</f>
        <v>September</v>
      </c>
      <c r="E3235" s="1">
        <v>45542</v>
      </c>
      <c r="F3235" s="1" t="str">
        <f>TEXT(Table1[[#This Row],[order_date]],"dddd")</f>
        <v>Saturday</v>
      </c>
      <c r="G3235">
        <f>HOUR(Table1[[#This Row],[order_time]])</f>
        <v>19</v>
      </c>
      <c r="H3235" s="2">
        <v>0.81657407407407412</v>
      </c>
      <c r="I3235" t="s">
        <v>16</v>
      </c>
      <c r="J3235" t="s">
        <v>24</v>
      </c>
      <c r="K3235">
        <v>2</v>
      </c>
      <c r="L3235">
        <v>35</v>
      </c>
      <c r="M3235">
        <v>70</v>
      </c>
      <c r="N3235">
        <f>IF(COUNTIFS($B$2:B3235,B3235)=1,1,0)</f>
        <v>1</v>
      </c>
    </row>
    <row r="3236" spans="1:14" x14ac:dyDescent="0.2">
      <c r="A3236">
        <v>3235</v>
      </c>
      <c r="B3236">
        <v>2637</v>
      </c>
      <c r="C3236">
        <f>1/COUNTIF(B:B,Table1[[#This Row],[order_id]])</f>
        <v>1</v>
      </c>
      <c r="D3236" t="str">
        <f>TEXT(Table1[[#This Row],[order_date]],"mmmm")</f>
        <v>September</v>
      </c>
      <c r="E3236" s="1">
        <v>45542</v>
      </c>
      <c r="F3236" s="1" t="str">
        <f>TEXT(Table1[[#This Row],[order_date]],"dddd")</f>
        <v>Saturday</v>
      </c>
      <c r="G3236">
        <f>HOUR(Table1[[#This Row],[order_time]])</f>
        <v>18</v>
      </c>
      <c r="H3236" s="2">
        <v>0.76378472222222227</v>
      </c>
      <c r="I3236" t="s">
        <v>11</v>
      </c>
      <c r="J3236" t="s">
        <v>14</v>
      </c>
      <c r="K3236">
        <v>5</v>
      </c>
      <c r="L3236">
        <v>700</v>
      </c>
      <c r="M3236">
        <v>3500</v>
      </c>
      <c r="N3236">
        <f>IF(COUNTIFS($B$2:B3236,B3236)=1,1,0)</f>
        <v>1</v>
      </c>
    </row>
    <row r="3237" spans="1:14" x14ac:dyDescent="0.2">
      <c r="A3237">
        <v>3236</v>
      </c>
      <c r="B3237">
        <v>2638</v>
      </c>
      <c r="C3237">
        <f>1/COUNTIF(B:B,Table1[[#This Row],[order_id]])</f>
        <v>0.33333333333333331</v>
      </c>
      <c r="D3237" t="str">
        <f>TEXT(Table1[[#This Row],[order_date]],"mmmm")</f>
        <v>September</v>
      </c>
      <c r="E3237" s="1">
        <v>45542</v>
      </c>
      <c r="F3237" s="1" t="str">
        <f>TEXT(Table1[[#This Row],[order_date]],"dddd")</f>
        <v>Saturday</v>
      </c>
      <c r="G3237">
        <f>HOUR(Table1[[#This Row],[order_time]])</f>
        <v>20</v>
      </c>
      <c r="H3237" s="2">
        <v>0.8684143518518519</v>
      </c>
      <c r="I3237" t="s">
        <v>11</v>
      </c>
      <c r="J3237" t="s">
        <v>25</v>
      </c>
      <c r="K3237">
        <v>2</v>
      </c>
      <c r="L3237">
        <v>1000</v>
      </c>
      <c r="M3237">
        <v>2000</v>
      </c>
      <c r="N3237">
        <f>IF(COUNTIFS($B$2:B3237,B3237)=1,1,0)</f>
        <v>1</v>
      </c>
    </row>
    <row r="3238" spans="1:14" x14ac:dyDescent="0.2">
      <c r="A3238">
        <v>3237</v>
      </c>
      <c r="B3238">
        <v>2638</v>
      </c>
      <c r="C3238">
        <f>1/COUNTIF(B:B,Table1[[#This Row],[order_id]])</f>
        <v>0.33333333333333331</v>
      </c>
      <c r="D3238" t="str">
        <f>TEXT(Table1[[#This Row],[order_date]],"mmmm")</f>
        <v>September</v>
      </c>
      <c r="E3238" s="1">
        <v>45542</v>
      </c>
      <c r="F3238" s="1" t="str">
        <f>TEXT(Table1[[#This Row],[order_date]],"dddd")</f>
        <v>Saturday</v>
      </c>
      <c r="G3238">
        <f>HOUR(Table1[[#This Row],[order_time]])</f>
        <v>14</v>
      </c>
      <c r="H3238" s="2">
        <v>0.59974537037037035</v>
      </c>
      <c r="I3238" t="s">
        <v>11</v>
      </c>
      <c r="J3238" t="s">
        <v>25</v>
      </c>
      <c r="K3238">
        <v>4</v>
      </c>
      <c r="L3238">
        <v>1000</v>
      </c>
      <c r="M3238">
        <v>4000</v>
      </c>
      <c r="N3238">
        <f>IF(COUNTIFS($B$2:B3238,B3238)=1,1,0)</f>
        <v>0</v>
      </c>
    </row>
    <row r="3239" spans="1:14" x14ac:dyDescent="0.2">
      <c r="A3239">
        <v>3238</v>
      </c>
      <c r="B3239">
        <v>2638</v>
      </c>
      <c r="C3239">
        <f>1/COUNTIF(B:B,Table1[[#This Row],[order_id]])</f>
        <v>0.33333333333333331</v>
      </c>
      <c r="D3239" t="str">
        <f>TEXT(Table1[[#This Row],[order_date]],"mmmm")</f>
        <v>September</v>
      </c>
      <c r="E3239" s="1">
        <v>45542</v>
      </c>
      <c r="F3239" s="1" t="str">
        <f>TEXT(Table1[[#This Row],[order_date]],"dddd")</f>
        <v>Saturday</v>
      </c>
      <c r="G3239">
        <f>HOUR(Table1[[#This Row],[order_time]])</f>
        <v>13</v>
      </c>
      <c r="H3239" s="2">
        <v>0.54600694444444442</v>
      </c>
      <c r="I3239" t="s">
        <v>16</v>
      </c>
      <c r="J3239" t="s">
        <v>24</v>
      </c>
      <c r="K3239">
        <v>5</v>
      </c>
      <c r="L3239">
        <v>35</v>
      </c>
      <c r="M3239">
        <v>175</v>
      </c>
      <c r="N3239">
        <f>IF(COUNTIFS($B$2:B3239,B3239)=1,1,0)</f>
        <v>0</v>
      </c>
    </row>
    <row r="3240" spans="1:14" x14ac:dyDescent="0.2">
      <c r="A3240">
        <v>3239</v>
      </c>
      <c r="B3240">
        <v>2639</v>
      </c>
      <c r="C3240">
        <f>1/COUNTIF(B:B,Table1[[#This Row],[order_id]])</f>
        <v>1</v>
      </c>
      <c r="D3240" t="str">
        <f>TEXT(Table1[[#This Row],[order_date]],"mmmm")</f>
        <v>September</v>
      </c>
      <c r="E3240" s="1">
        <v>45542</v>
      </c>
      <c r="F3240" s="1" t="str">
        <f>TEXT(Table1[[#This Row],[order_date]],"dddd")</f>
        <v>Saturday</v>
      </c>
      <c r="G3240">
        <f>HOUR(Table1[[#This Row],[order_time]])</f>
        <v>10</v>
      </c>
      <c r="H3240" s="2">
        <v>0.4190625</v>
      </c>
      <c r="I3240" t="s">
        <v>9</v>
      </c>
      <c r="J3240" t="s">
        <v>21</v>
      </c>
      <c r="K3240">
        <v>4</v>
      </c>
      <c r="L3240">
        <v>10</v>
      </c>
      <c r="M3240">
        <v>40</v>
      </c>
      <c r="N3240">
        <f>IF(COUNTIFS($B$2:B3240,B3240)=1,1,0)</f>
        <v>1</v>
      </c>
    </row>
    <row r="3241" spans="1:14" x14ac:dyDescent="0.2">
      <c r="A3241">
        <v>3240</v>
      </c>
      <c r="B3241">
        <v>2640</v>
      </c>
      <c r="C3241">
        <f>1/COUNTIF(B:B,Table1[[#This Row],[order_id]])</f>
        <v>1</v>
      </c>
      <c r="D3241" t="str">
        <f>TEXT(Table1[[#This Row],[order_date]],"mmmm")</f>
        <v>September</v>
      </c>
      <c r="E3241" s="1">
        <v>45543</v>
      </c>
      <c r="F3241" s="1" t="str">
        <f>TEXT(Table1[[#This Row],[order_date]],"dddd")</f>
        <v>Sunday</v>
      </c>
      <c r="G3241">
        <f>HOUR(Table1[[#This Row],[order_time]])</f>
        <v>15</v>
      </c>
      <c r="H3241" s="2">
        <v>0.65015046296296297</v>
      </c>
      <c r="I3241" t="s">
        <v>11</v>
      </c>
      <c r="J3241" t="s">
        <v>25</v>
      </c>
      <c r="K3241">
        <v>1</v>
      </c>
      <c r="L3241">
        <v>1000</v>
      </c>
      <c r="M3241">
        <v>1000</v>
      </c>
      <c r="N3241">
        <f>IF(COUNTIFS($B$2:B3241,B3241)=1,1,0)</f>
        <v>1</v>
      </c>
    </row>
    <row r="3242" spans="1:14" x14ac:dyDescent="0.2">
      <c r="A3242">
        <v>3241</v>
      </c>
      <c r="B3242">
        <v>2641</v>
      </c>
      <c r="C3242">
        <f>1/COUNTIF(B:B,Table1[[#This Row],[order_id]])</f>
        <v>1</v>
      </c>
      <c r="D3242" t="str">
        <f>TEXT(Table1[[#This Row],[order_date]],"mmmm")</f>
        <v>September</v>
      </c>
      <c r="E3242" s="1">
        <v>45543</v>
      </c>
      <c r="F3242" s="1" t="str">
        <f>TEXT(Table1[[#This Row],[order_date]],"dddd")</f>
        <v>Sunday</v>
      </c>
      <c r="G3242">
        <f>HOUR(Table1[[#This Row],[order_time]])</f>
        <v>15</v>
      </c>
      <c r="H3242" s="2">
        <v>0.65506944444444448</v>
      </c>
      <c r="I3242" t="s">
        <v>18</v>
      </c>
      <c r="J3242" t="s">
        <v>30</v>
      </c>
      <c r="K3242">
        <v>3</v>
      </c>
      <c r="L3242">
        <v>60</v>
      </c>
      <c r="M3242">
        <v>180</v>
      </c>
      <c r="N3242">
        <f>IF(COUNTIFS($B$2:B3242,B3242)=1,1,0)</f>
        <v>1</v>
      </c>
    </row>
    <row r="3243" spans="1:14" x14ac:dyDescent="0.2">
      <c r="A3243">
        <v>3242</v>
      </c>
      <c r="B3243">
        <v>2642</v>
      </c>
      <c r="C3243">
        <f>1/COUNTIF(B:B,Table1[[#This Row],[order_id]])</f>
        <v>0.33333333333333331</v>
      </c>
      <c r="D3243" t="str">
        <f>TEXT(Table1[[#This Row],[order_date]],"mmmm")</f>
        <v>September</v>
      </c>
      <c r="E3243" s="1">
        <v>45543</v>
      </c>
      <c r="F3243" s="1" t="str">
        <f>TEXT(Table1[[#This Row],[order_date]],"dddd")</f>
        <v>Sunday</v>
      </c>
      <c r="G3243">
        <f>HOUR(Table1[[#This Row],[order_time]])</f>
        <v>19</v>
      </c>
      <c r="H3243" s="2">
        <v>0.8210763888888889</v>
      </c>
      <c r="I3243" t="s">
        <v>11</v>
      </c>
      <c r="J3243" t="s">
        <v>13</v>
      </c>
      <c r="K3243">
        <v>4</v>
      </c>
      <c r="L3243">
        <v>680</v>
      </c>
      <c r="M3243">
        <v>2720</v>
      </c>
      <c r="N3243">
        <f>IF(COUNTIFS($B$2:B3243,B3243)=1,1,0)</f>
        <v>1</v>
      </c>
    </row>
    <row r="3244" spans="1:14" x14ac:dyDescent="0.2">
      <c r="A3244">
        <v>3243</v>
      </c>
      <c r="B3244">
        <v>2642</v>
      </c>
      <c r="C3244">
        <f>1/COUNTIF(B:B,Table1[[#This Row],[order_id]])</f>
        <v>0.33333333333333331</v>
      </c>
      <c r="D3244" t="str">
        <f>TEXT(Table1[[#This Row],[order_date]],"mmmm")</f>
        <v>September</v>
      </c>
      <c r="E3244" s="1">
        <v>45543</v>
      </c>
      <c r="F3244" s="1" t="str">
        <f>TEXT(Table1[[#This Row],[order_date]],"dddd")</f>
        <v>Sunday</v>
      </c>
      <c r="G3244">
        <f>HOUR(Table1[[#This Row],[order_time]])</f>
        <v>11</v>
      </c>
      <c r="H3244" s="2">
        <v>0.48751157407407408</v>
      </c>
      <c r="I3244" t="s">
        <v>16</v>
      </c>
      <c r="J3244" t="s">
        <v>24</v>
      </c>
      <c r="K3244">
        <v>1</v>
      </c>
      <c r="L3244">
        <v>35</v>
      </c>
      <c r="M3244">
        <v>35</v>
      </c>
      <c r="N3244">
        <f>IF(COUNTIFS($B$2:B3244,B3244)=1,1,0)</f>
        <v>0</v>
      </c>
    </row>
    <row r="3245" spans="1:14" x14ac:dyDescent="0.2">
      <c r="A3245">
        <v>3244</v>
      </c>
      <c r="B3245">
        <v>2642</v>
      </c>
      <c r="C3245">
        <f>1/COUNTIF(B:B,Table1[[#This Row],[order_id]])</f>
        <v>0.33333333333333331</v>
      </c>
      <c r="D3245" t="str">
        <f>TEXT(Table1[[#This Row],[order_date]],"mmmm")</f>
        <v>September</v>
      </c>
      <c r="E3245" s="1">
        <v>45543</v>
      </c>
      <c r="F3245" s="1" t="str">
        <f>TEXT(Table1[[#This Row],[order_date]],"dddd")</f>
        <v>Sunday</v>
      </c>
      <c r="G3245">
        <f>HOUR(Table1[[#This Row],[order_time]])</f>
        <v>13</v>
      </c>
      <c r="H3245" s="2">
        <v>0.57761574074074074</v>
      </c>
      <c r="I3245" t="s">
        <v>16</v>
      </c>
      <c r="J3245" t="s">
        <v>24</v>
      </c>
      <c r="K3245">
        <v>2</v>
      </c>
      <c r="L3245">
        <v>35</v>
      </c>
      <c r="M3245">
        <v>70</v>
      </c>
      <c r="N3245">
        <f>IF(COUNTIFS($B$2:B3245,B3245)=1,1,0)</f>
        <v>0</v>
      </c>
    </row>
    <row r="3246" spans="1:14" x14ac:dyDescent="0.2">
      <c r="A3246">
        <v>3245</v>
      </c>
      <c r="B3246">
        <v>2643</v>
      </c>
      <c r="C3246">
        <f>1/COUNTIF(B:B,Table1[[#This Row],[order_id]])</f>
        <v>0.5</v>
      </c>
      <c r="D3246" t="str">
        <f>TEXT(Table1[[#This Row],[order_date]],"mmmm")</f>
        <v>September</v>
      </c>
      <c r="E3246" s="1">
        <v>45543</v>
      </c>
      <c r="F3246" s="1" t="str">
        <f>TEXT(Table1[[#This Row],[order_date]],"dddd")</f>
        <v>Sunday</v>
      </c>
      <c r="G3246">
        <f>HOUR(Table1[[#This Row],[order_time]])</f>
        <v>18</v>
      </c>
      <c r="H3246" s="2">
        <v>0.7681365740740741</v>
      </c>
      <c r="I3246" t="s">
        <v>9</v>
      </c>
      <c r="J3246" t="s">
        <v>22</v>
      </c>
      <c r="K3246">
        <v>1</v>
      </c>
      <c r="L3246">
        <v>15</v>
      </c>
      <c r="M3246">
        <v>15</v>
      </c>
      <c r="N3246">
        <f>IF(COUNTIFS($B$2:B3246,B3246)=1,1,0)</f>
        <v>1</v>
      </c>
    </row>
    <row r="3247" spans="1:14" x14ac:dyDescent="0.2">
      <c r="A3247">
        <v>3246</v>
      </c>
      <c r="B3247">
        <v>2643</v>
      </c>
      <c r="C3247">
        <f>1/COUNTIF(B:B,Table1[[#This Row],[order_id]])</f>
        <v>0.5</v>
      </c>
      <c r="D3247" t="str">
        <f>TEXT(Table1[[#This Row],[order_date]],"mmmm")</f>
        <v>September</v>
      </c>
      <c r="E3247" s="1">
        <v>45543</v>
      </c>
      <c r="F3247" s="1" t="str">
        <f>TEXT(Table1[[#This Row],[order_date]],"dddd")</f>
        <v>Sunday</v>
      </c>
      <c r="G3247">
        <f>HOUR(Table1[[#This Row],[order_time]])</f>
        <v>13</v>
      </c>
      <c r="H3247" s="2">
        <v>0.57329861111111113</v>
      </c>
      <c r="I3247" t="s">
        <v>18</v>
      </c>
      <c r="J3247" t="s">
        <v>27</v>
      </c>
      <c r="K3247">
        <v>2</v>
      </c>
      <c r="L3247">
        <v>40</v>
      </c>
      <c r="M3247">
        <v>80</v>
      </c>
      <c r="N3247">
        <f>IF(COUNTIFS($B$2:B3247,B3247)=1,1,0)</f>
        <v>0</v>
      </c>
    </row>
    <row r="3248" spans="1:14" x14ac:dyDescent="0.2">
      <c r="A3248">
        <v>3247</v>
      </c>
      <c r="B3248">
        <v>2644</v>
      </c>
      <c r="C3248">
        <f>1/COUNTIF(B:B,Table1[[#This Row],[order_id]])</f>
        <v>0.5</v>
      </c>
      <c r="D3248" t="str">
        <f>TEXT(Table1[[#This Row],[order_date]],"mmmm")</f>
        <v>September</v>
      </c>
      <c r="E3248" s="1">
        <v>45543</v>
      </c>
      <c r="F3248" s="1" t="str">
        <f>TEXT(Table1[[#This Row],[order_date]],"dddd")</f>
        <v>Sunday</v>
      </c>
      <c r="G3248">
        <f>HOUR(Table1[[#This Row],[order_time]])</f>
        <v>13</v>
      </c>
      <c r="H3248" s="2">
        <v>0.54501157407407408</v>
      </c>
      <c r="I3248" t="s">
        <v>16</v>
      </c>
      <c r="J3248" t="s">
        <v>17</v>
      </c>
      <c r="K3248">
        <v>5</v>
      </c>
      <c r="L3248">
        <v>20</v>
      </c>
      <c r="M3248">
        <v>100</v>
      </c>
      <c r="N3248">
        <f>IF(COUNTIFS($B$2:B3248,B3248)=1,1,0)</f>
        <v>1</v>
      </c>
    </row>
    <row r="3249" spans="1:14" x14ac:dyDescent="0.2">
      <c r="A3249">
        <v>3248</v>
      </c>
      <c r="B3249">
        <v>2644</v>
      </c>
      <c r="C3249">
        <f>1/COUNTIF(B:B,Table1[[#This Row],[order_id]])</f>
        <v>0.5</v>
      </c>
      <c r="D3249" t="str">
        <f>TEXT(Table1[[#This Row],[order_date]],"mmmm")</f>
        <v>September</v>
      </c>
      <c r="E3249" s="1">
        <v>45543</v>
      </c>
      <c r="F3249" s="1" t="str">
        <f>TEXT(Table1[[#This Row],[order_date]],"dddd")</f>
        <v>Sunday</v>
      </c>
      <c r="G3249">
        <f>HOUR(Table1[[#This Row],[order_time]])</f>
        <v>15</v>
      </c>
      <c r="H3249" s="2">
        <v>0.63938657407407407</v>
      </c>
      <c r="I3249" t="s">
        <v>11</v>
      </c>
      <c r="J3249" t="s">
        <v>14</v>
      </c>
      <c r="K3249">
        <v>2</v>
      </c>
      <c r="L3249">
        <v>700</v>
      </c>
      <c r="M3249">
        <v>1400</v>
      </c>
      <c r="N3249">
        <f>IF(COUNTIFS($B$2:B3249,B3249)=1,1,0)</f>
        <v>0</v>
      </c>
    </row>
    <row r="3250" spans="1:14" x14ac:dyDescent="0.2">
      <c r="A3250">
        <v>3249</v>
      </c>
      <c r="B3250">
        <v>2645</v>
      </c>
      <c r="C3250">
        <f>1/COUNTIF(B:B,Table1[[#This Row],[order_id]])</f>
        <v>0.33333333333333331</v>
      </c>
      <c r="D3250" t="str">
        <f>TEXT(Table1[[#This Row],[order_date]],"mmmm")</f>
        <v>September</v>
      </c>
      <c r="E3250" s="1">
        <v>45544</v>
      </c>
      <c r="F3250" s="1" t="str">
        <f>TEXT(Table1[[#This Row],[order_date]],"dddd")</f>
        <v>Monday</v>
      </c>
      <c r="G3250">
        <f>HOUR(Table1[[#This Row],[order_time]])</f>
        <v>9</v>
      </c>
      <c r="H3250" s="2">
        <v>0.39131944444444444</v>
      </c>
      <c r="I3250" t="s">
        <v>11</v>
      </c>
      <c r="J3250" t="s">
        <v>12</v>
      </c>
      <c r="K3250">
        <v>4</v>
      </c>
      <c r="L3250">
        <v>650</v>
      </c>
      <c r="M3250">
        <v>2600</v>
      </c>
      <c r="N3250">
        <f>IF(COUNTIFS($B$2:B3250,B3250)=1,1,0)</f>
        <v>1</v>
      </c>
    </row>
    <row r="3251" spans="1:14" x14ac:dyDescent="0.2">
      <c r="A3251">
        <v>3250</v>
      </c>
      <c r="B3251">
        <v>2645</v>
      </c>
      <c r="C3251">
        <f>1/COUNTIF(B:B,Table1[[#This Row],[order_id]])</f>
        <v>0.33333333333333331</v>
      </c>
      <c r="D3251" t="str">
        <f>TEXT(Table1[[#This Row],[order_date]],"mmmm")</f>
        <v>September</v>
      </c>
      <c r="E3251" s="1">
        <v>45544</v>
      </c>
      <c r="F3251" s="1" t="str">
        <f>TEXT(Table1[[#This Row],[order_date]],"dddd")</f>
        <v>Monday</v>
      </c>
      <c r="G3251">
        <f>HOUR(Table1[[#This Row],[order_time]])</f>
        <v>13</v>
      </c>
      <c r="H3251" s="2">
        <v>0.54538194444444443</v>
      </c>
      <c r="I3251" t="s">
        <v>11</v>
      </c>
      <c r="J3251" t="s">
        <v>14</v>
      </c>
      <c r="K3251">
        <v>5</v>
      </c>
      <c r="L3251">
        <v>700</v>
      </c>
      <c r="M3251">
        <v>3500</v>
      </c>
      <c r="N3251">
        <f>IF(COUNTIFS($B$2:B3251,B3251)=1,1,0)</f>
        <v>0</v>
      </c>
    </row>
    <row r="3252" spans="1:14" x14ac:dyDescent="0.2">
      <c r="A3252">
        <v>3251</v>
      </c>
      <c r="B3252">
        <v>2645</v>
      </c>
      <c r="C3252">
        <f>1/COUNTIF(B:B,Table1[[#This Row],[order_id]])</f>
        <v>0.33333333333333331</v>
      </c>
      <c r="D3252" t="str">
        <f>TEXT(Table1[[#This Row],[order_date]],"mmmm")</f>
        <v>September</v>
      </c>
      <c r="E3252" s="1">
        <v>45544</v>
      </c>
      <c r="F3252" s="1" t="str">
        <f>TEXT(Table1[[#This Row],[order_date]],"dddd")</f>
        <v>Monday</v>
      </c>
      <c r="G3252">
        <f>HOUR(Table1[[#This Row],[order_time]])</f>
        <v>18</v>
      </c>
      <c r="H3252" s="2">
        <v>0.75510416666666669</v>
      </c>
      <c r="I3252" t="s">
        <v>16</v>
      </c>
      <c r="J3252" t="s">
        <v>17</v>
      </c>
      <c r="K3252">
        <v>3</v>
      </c>
      <c r="L3252">
        <v>20</v>
      </c>
      <c r="M3252">
        <v>60</v>
      </c>
      <c r="N3252">
        <f>IF(COUNTIFS($B$2:B3252,B3252)=1,1,0)</f>
        <v>0</v>
      </c>
    </row>
    <row r="3253" spans="1:14" x14ac:dyDescent="0.2">
      <c r="A3253">
        <v>3252</v>
      </c>
      <c r="B3253">
        <v>2646</v>
      </c>
      <c r="C3253">
        <f>1/COUNTIF(B:B,Table1[[#This Row],[order_id]])</f>
        <v>0.33333333333333331</v>
      </c>
      <c r="D3253" t="str">
        <f>TEXT(Table1[[#This Row],[order_date]],"mmmm")</f>
        <v>September</v>
      </c>
      <c r="E3253" s="1">
        <v>45544</v>
      </c>
      <c r="F3253" s="1" t="str">
        <f>TEXT(Table1[[#This Row],[order_date]],"dddd")</f>
        <v>Monday</v>
      </c>
      <c r="G3253">
        <f>HOUR(Table1[[#This Row],[order_time]])</f>
        <v>11</v>
      </c>
      <c r="H3253" s="2">
        <v>0.49071759259259257</v>
      </c>
      <c r="I3253" t="s">
        <v>9</v>
      </c>
      <c r="J3253" t="s">
        <v>22</v>
      </c>
      <c r="K3253">
        <v>2</v>
      </c>
      <c r="L3253">
        <v>15</v>
      </c>
      <c r="M3253">
        <v>30</v>
      </c>
      <c r="N3253">
        <f>IF(COUNTIFS($B$2:B3253,B3253)=1,1,0)</f>
        <v>1</v>
      </c>
    </row>
    <row r="3254" spans="1:14" x14ac:dyDescent="0.2">
      <c r="A3254">
        <v>3253</v>
      </c>
      <c r="B3254">
        <v>2646</v>
      </c>
      <c r="C3254">
        <f>1/COUNTIF(B:B,Table1[[#This Row],[order_id]])</f>
        <v>0.33333333333333331</v>
      </c>
      <c r="D3254" t="str">
        <f>TEXT(Table1[[#This Row],[order_date]],"mmmm")</f>
        <v>September</v>
      </c>
      <c r="E3254" s="1">
        <v>45544</v>
      </c>
      <c r="F3254" s="1" t="str">
        <f>TEXT(Table1[[#This Row],[order_date]],"dddd")</f>
        <v>Monday</v>
      </c>
      <c r="G3254">
        <f>HOUR(Table1[[#This Row],[order_time]])</f>
        <v>20</v>
      </c>
      <c r="H3254" s="2">
        <v>0.84979166666666661</v>
      </c>
      <c r="I3254" t="s">
        <v>11</v>
      </c>
      <c r="J3254" t="s">
        <v>15</v>
      </c>
      <c r="K3254">
        <v>5</v>
      </c>
      <c r="L3254">
        <v>600</v>
      </c>
      <c r="M3254">
        <v>3000</v>
      </c>
      <c r="N3254">
        <f>IF(COUNTIFS($B$2:B3254,B3254)=1,1,0)</f>
        <v>0</v>
      </c>
    </row>
    <row r="3255" spans="1:14" x14ac:dyDescent="0.2">
      <c r="A3255">
        <v>3254</v>
      </c>
      <c r="B3255">
        <v>2646</v>
      </c>
      <c r="C3255">
        <f>1/COUNTIF(B:B,Table1[[#This Row],[order_id]])</f>
        <v>0.33333333333333331</v>
      </c>
      <c r="D3255" t="str">
        <f>TEXT(Table1[[#This Row],[order_date]],"mmmm")</f>
        <v>September</v>
      </c>
      <c r="E3255" s="1">
        <v>45544</v>
      </c>
      <c r="F3255" s="1" t="str">
        <f>TEXT(Table1[[#This Row],[order_date]],"dddd")</f>
        <v>Monday</v>
      </c>
      <c r="G3255">
        <f>HOUR(Table1[[#This Row],[order_time]])</f>
        <v>10</v>
      </c>
      <c r="H3255" s="2">
        <v>0.41972222222222222</v>
      </c>
      <c r="I3255" t="s">
        <v>16</v>
      </c>
      <c r="J3255" t="s">
        <v>24</v>
      </c>
      <c r="K3255">
        <v>5</v>
      </c>
      <c r="L3255">
        <v>35</v>
      </c>
      <c r="M3255">
        <v>175</v>
      </c>
      <c r="N3255">
        <f>IF(COUNTIFS($B$2:B3255,B3255)=1,1,0)</f>
        <v>0</v>
      </c>
    </row>
    <row r="3256" spans="1:14" x14ac:dyDescent="0.2">
      <c r="A3256">
        <v>3255</v>
      </c>
      <c r="B3256">
        <v>2647</v>
      </c>
      <c r="C3256">
        <f>1/COUNTIF(B:B,Table1[[#This Row],[order_id]])</f>
        <v>0.33333333333333331</v>
      </c>
      <c r="D3256" t="str">
        <f>TEXT(Table1[[#This Row],[order_date]],"mmmm")</f>
        <v>September</v>
      </c>
      <c r="E3256" s="1">
        <v>45544</v>
      </c>
      <c r="F3256" s="1" t="str">
        <f>TEXT(Table1[[#This Row],[order_date]],"dddd")</f>
        <v>Monday</v>
      </c>
      <c r="G3256">
        <f>HOUR(Table1[[#This Row],[order_time]])</f>
        <v>20</v>
      </c>
      <c r="H3256" s="2">
        <v>0.85668981481481477</v>
      </c>
      <c r="I3256" t="s">
        <v>11</v>
      </c>
      <c r="J3256" t="s">
        <v>14</v>
      </c>
      <c r="K3256">
        <v>1</v>
      </c>
      <c r="L3256">
        <v>700</v>
      </c>
      <c r="M3256">
        <v>700</v>
      </c>
      <c r="N3256">
        <f>IF(COUNTIFS($B$2:B3256,B3256)=1,1,0)</f>
        <v>1</v>
      </c>
    </row>
    <row r="3257" spans="1:14" x14ac:dyDescent="0.2">
      <c r="A3257">
        <v>3256</v>
      </c>
      <c r="B3257">
        <v>2647</v>
      </c>
      <c r="C3257">
        <f>1/COUNTIF(B:B,Table1[[#This Row],[order_id]])</f>
        <v>0.33333333333333331</v>
      </c>
      <c r="D3257" t="str">
        <f>TEXT(Table1[[#This Row],[order_date]],"mmmm")</f>
        <v>September</v>
      </c>
      <c r="E3257" s="1">
        <v>45544</v>
      </c>
      <c r="F3257" s="1" t="str">
        <f>TEXT(Table1[[#This Row],[order_date]],"dddd")</f>
        <v>Monday</v>
      </c>
      <c r="G3257">
        <f>HOUR(Table1[[#This Row],[order_time]])</f>
        <v>9</v>
      </c>
      <c r="H3257" s="2">
        <v>0.41288194444444443</v>
      </c>
      <c r="I3257" t="s">
        <v>9</v>
      </c>
      <c r="J3257" t="s">
        <v>10</v>
      </c>
      <c r="K3257">
        <v>5</v>
      </c>
      <c r="L3257">
        <v>20</v>
      </c>
      <c r="M3257">
        <v>100</v>
      </c>
      <c r="N3257">
        <f>IF(COUNTIFS($B$2:B3257,B3257)=1,1,0)</f>
        <v>0</v>
      </c>
    </row>
    <row r="3258" spans="1:14" x14ac:dyDescent="0.2">
      <c r="A3258">
        <v>3257</v>
      </c>
      <c r="B3258">
        <v>2647</v>
      </c>
      <c r="C3258">
        <f>1/COUNTIF(B:B,Table1[[#This Row],[order_id]])</f>
        <v>0.33333333333333331</v>
      </c>
      <c r="D3258" t="str">
        <f>TEXT(Table1[[#This Row],[order_date]],"mmmm")</f>
        <v>September</v>
      </c>
      <c r="E3258" s="1">
        <v>45544</v>
      </c>
      <c r="F3258" s="1" t="str">
        <f>TEXT(Table1[[#This Row],[order_date]],"dddd")</f>
        <v>Monday</v>
      </c>
      <c r="G3258">
        <f>HOUR(Table1[[#This Row],[order_time]])</f>
        <v>18</v>
      </c>
      <c r="H3258" s="2">
        <v>0.75545138888888885</v>
      </c>
      <c r="I3258" t="s">
        <v>16</v>
      </c>
      <c r="J3258" t="s">
        <v>24</v>
      </c>
      <c r="K3258">
        <v>5</v>
      </c>
      <c r="L3258">
        <v>35</v>
      </c>
      <c r="M3258">
        <v>175</v>
      </c>
      <c r="N3258">
        <f>IF(COUNTIFS($B$2:B3258,B3258)=1,1,0)</f>
        <v>0</v>
      </c>
    </row>
    <row r="3259" spans="1:14" x14ac:dyDescent="0.2">
      <c r="A3259">
        <v>3258</v>
      </c>
      <c r="B3259">
        <v>2648</v>
      </c>
      <c r="C3259">
        <f>1/COUNTIF(B:B,Table1[[#This Row],[order_id]])</f>
        <v>0.5</v>
      </c>
      <c r="D3259" t="str">
        <f>TEXT(Table1[[#This Row],[order_date]],"mmmm")</f>
        <v>September</v>
      </c>
      <c r="E3259" s="1">
        <v>45544</v>
      </c>
      <c r="F3259" s="1" t="str">
        <f>TEXT(Table1[[#This Row],[order_date]],"dddd")</f>
        <v>Monday</v>
      </c>
      <c r="G3259">
        <f>HOUR(Table1[[#This Row],[order_time]])</f>
        <v>9</v>
      </c>
      <c r="H3259" s="2">
        <v>0.37730324074074073</v>
      </c>
      <c r="I3259" t="s">
        <v>16</v>
      </c>
      <c r="J3259" t="s">
        <v>17</v>
      </c>
      <c r="K3259">
        <v>5</v>
      </c>
      <c r="L3259">
        <v>20</v>
      </c>
      <c r="M3259">
        <v>100</v>
      </c>
      <c r="N3259">
        <f>IF(COUNTIFS($B$2:B3259,B3259)=1,1,0)</f>
        <v>1</v>
      </c>
    </row>
    <row r="3260" spans="1:14" x14ac:dyDescent="0.2">
      <c r="A3260">
        <v>3259</v>
      </c>
      <c r="B3260">
        <v>2648</v>
      </c>
      <c r="C3260">
        <f>1/COUNTIF(B:B,Table1[[#This Row],[order_id]])</f>
        <v>0.5</v>
      </c>
      <c r="D3260" t="str">
        <f>TEXT(Table1[[#This Row],[order_date]],"mmmm")</f>
        <v>September</v>
      </c>
      <c r="E3260" s="1">
        <v>45544</v>
      </c>
      <c r="F3260" s="1" t="str">
        <f>TEXT(Table1[[#This Row],[order_date]],"dddd")</f>
        <v>Monday</v>
      </c>
      <c r="G3260">
        <f>HOUR(Table1[[#This Row],[order_time]])</f>
        <v>19</v>
      </c>
      <c r="H3260" s="2">
        <v>0.79230324074074077</v>
      </c>
      <c r="I3260" t="s">
        <v>16</v>
      </c>
      <c r="J3260" t="s">
        <v>23</v>
      </c>
      <c r="K3260">
        <v>5</v>
      </c>
      <c r="L3260">
        <v>30</v>
      </c>
      <c r="M3260">
        <v>150</v>
      </c>
      <c r="N3260">
        <f>IF(COUNTIFS($B$2:B3260,B3260)=1,1,0)</f>
        <v>0</v>
      </c>
    </row>
    <row r="3261" spans="1:14" x14ac:dyDescent="0.2">
      <c r="A3261">
        <v>3260</v>
      </c>
      <c r="B3261">
        <v>2649</v>
      </c>
      <c r="C3261">
        <f>1/COUNTIF(B:B,Table1[[#This Row],[order_id]])</f>
        <v>0.33333333333333331</v>
      </c>
      <c r="D3261" t="str">
        <f>TEXT(Table1[[#This Row],[order_date]],"mmmm")</f>
        <v>September</v>
      </c>
      <c r="E3261" s="1">
        <v>45544</v>
      </c>
      <c r="F3261" s="1" t="str">
        <f>TEXT(Table1[[#This Row],[order_date]],"dddd")</f>
        <v>Monday</v>
      </c>
      <c r="G3261">
        <f>HOUR(Table1[[#This Row],[order_time]])</f>
        <v>20</v>
      </c>
      <c r="H3261" s="2">
        <v>0.8556597222222222</v>
      </c>
      <c r="I3261" t="s">
        <v>18</v>
      </c>
      <c r="J3261" t="s">
        <v>27</v>
      </c>
      <c r="K3261">
        <v>4</v>
      </c>
      <c r="L3261">
        <v>40</v>
      </c>
      <c r="M3261">
        <v>160</v>
      </c>
      <c r="N3261">
        <f>IF(COUNTIFS($B$2:B3261,B3261)=1,1,0)</f>
        <v>1</v>
      </c>
    </row>
    <row r="3262" spans="1:14" x14ac:dyDescent="0.2">
      <c r="A3262">
        <v>3261</v>
      </c>
      <c r="B3262">
        <v>2649</v>
      </c>
      <c r="C3262">
        <f>1/COUNTIF(B:B,Table1[[#This Row],[order_id]])</f>
        <v>0.33333333333333331</v>
      </c>
      <c r="D3262" t="str">
        <f>TEXT(Table1[[#This Row],[order_date]],"mmmm")</f>
        <v>September</v>
      </c>
      <c r="E3262" s="1">
        <v>45544</v>
      </c>
      <c r="F3262" s="1" t="str">
        <f>TEXT(Table1[[#This Row],[order_date]],"dddd")</f>
        <v>Monday</v>
      </c>
      <c r="G3262">
        <f>HOUR(Table1[[#This Row],[order_time]])</f>
        <v>9</v>
      </c>
      <c r="H3262" s="2">
        <v>0.40752314814814816</v>
      </c>
      <c r="I3262" t="s">
        <v>18</v>
      </c>
      <c r="J3262" t="s">
        <v>30</v>
      </c>
      <c r="K3262">
        <v>5</v>
      </c>
      <c r="L3262">
        <v>60</v>
      </c>
      <c r="M3262">
        <v>300</v>
      </c>
      <c r="N3262">
        <f>IF(COUNTIFS($B$2:B3262,B3262)=1,1,0)</f>
        <v>0</v>
      </c>
    </row>
    <row r="3263" spans="1:14" x14ac:dyDescent="0.2">
      <c r="A3263">
        <v>3262</v>
      </c>
      <c r="B3263">
        <v>2649</v>
      </c>
      <c r="C3263">
        <f>1/COUNTIF(B:B,Table1[[#This Row],[order_id]])</f>
        <v>0.33333333333333331</v>
      </c>
      <c r="D3263" t="str">
        <f>TEXT(Table1[[#This Row],[order_date]],"mmmm")</f>
        <v>September</v>
      </c>
      <c r="E3263" s="1">
        <v>45544</v>
      </c>
      <c r="F3263" s="1" t="str">
        <f>TEXT(Table1[[#This Row],[order_date]],"dddd")</f>
        <v>Monday</v>
      </c>
      <c r="G3263">
        <f>HOUR(Table1[[#This Row],[order_time]])</f>
        <v>16</v>
      </c>
      <c r="H3263" s="2">
        <v>0.67913194444444447</v>
      </c>
      <c r="I3263" t="s">
        <v>18</v>
      </c>
      <c r="J3263" t="s">
        <v>30</v>
      </c>
      <c r="K3263">
        <v>2</v>
      </c>
      <c r="L3263">
        <v>60</v>
      </c>
      <c r="M3263">
        <v>120</v>
      </c>
      <c r="N3263">
        <f>IF(COUNTIFS($B$2:B3263,B3263)=1,1,0)</f>
        <v>0</v>
      </c>
    </row>
    <row r="3264" spans="1:14" x14ac:dyDescent="0.2">
      <c r="A3264">
        <v>3263</v>
      </c>
      <c r="B3264">
        <v>2650</v>
      </c>
      <c r="C3264">
        <f>1/COUNTIF(B:B,Table1[[#This Row],[order_id]])</f>
        <v>0.33333333333333331</v>
      </c>
      <c r="D3264" t="str">
        <f>TEXT(Table1[[#This Row],[order_date]],"mmmm")</f>
        <v>September</v>
      </c>
      <c r="E3264" s="1">
        <v>45544</v>
      </c>
      <c r="F3264" s="1" t="str">
        <f>TEXT(Table1[[#This Row],[order_date]],"dddd")</f>
        <v>Monday</v>
      </c>
      <c r="G3264">
        <f>HOUR(Table1[[#This Row],[order_time]])</f>
        <v>14</v>
      </c>
      <c r="H3264" s="2">
        <v>0.59039351851851851</v>
      </c>
      <c r="I3264" t="s">
        <v>16</v>
      </c>
      <c r="J3264" t="s">
        <v>17</v>
      </c>
      <c r="K3264">
        <v>4</v>
      </c>
      <c r="L3264">
        <v>20</v>
      </c>
      <c r="M3264">
        <v>80</v>
      </c>
      <c r="N3264">
        <f>IF(COUNTIFS($B$2:B3264,B3264)=1,1,0)</f>
        <v>1</v>
      </c>
    </row>
    <row r="3265" spans="1:14" x14ac:dyDescent="0.2">
      <c r="A3265">
        <v>3264</v>
      </c>
      <c r="B3265">
        <v>2650</v>
      </c>
      <c r="C3265">
        <f>1/COUNTIF(B:B,Table1[[#This Row],[order_id]])</f>
        <v>0.33333333333333331</v>
      </c>
      <c r="D3265" t="str">
        <f>TEXT(Table1[[#This Row],[order_date]],"mmmm")</f>
        <v>September</v>
      </c>
      <c r="E3265" s="1">
        <v>45544</v>
      </c>
      <c r="F3265" s="1" t="str">
        <f>TEXT(Table1[[#This Row],[order_date]],"dddd")</f>
        <v>Monday</v>
      </c>
      <c r="G3265">
        <f>HOUR(Table1[[#This Row],[order_time]])</f>
        <v>10</v>
      </c>
      <c r="H3265" s="2">
        <v>0.43084490740740738</v>
      </c>
      <c r="I3265" t="s">
        <v>9</v>
      </c>
      <c r="J3265" t="s">
        <v>10</v>
      </c>
      <c r="K3265">
        <v>3</v>
      </c>
      <c r="L3265">
        <v>20</v>
      </c>
      <c r="M3265">
        <v>60</v>
      </c>
      <c r="N3265">
        <f>IF(COUNTIFS($B$2:B3265,B3265)=1,1,0)</f>
        <v>0</v>
      </c>
    </row>
    <row r="3266" spans="1:14" x14ac:dyDescent="0.2">
      <c r="A3266">
        <v>3265</v>
      </c>
      <c r="B3266">
        <v>2650</v>
      </c>
      <c r="C3266">
        <f>1/COUNTIF(B:B,Table1[[#This Row],[order_id]])</f>
        <v>0.33333333333333331</v>
      </c>
      <c r="D3266" t="str">
        <f>TEXT(Table1[[#This Row],[order_date]],"mmmm")</f>
        <v>September</v>
      </c>
      <c r="E3266" s="1">
        <v>45544</v>
      </c>
      <c r="F3266" s="1" t="str">
        <f>TEXT(Table1[[#This Row],[order_date]],"dddd")</f>
        <v>Monday</v>
      </c>
      <c r="G3266">
        <f>HOUR(Table1[[#This Row],[order_time]])</f>
        <v>18</v>
      </c>
      <c r="H3266" s="2">
        <v>0.76026620370370368</v>
      </c>
      <c r="I3266" t="s">
        <v>18</v>
      </c>
      <c r="J3266" t="s">
        <v>30</v>
      </c>
      <c r="K3266">
        <v>5</v>
      </c>
      <c r="L3266">
        <v>60</v>
      </c>
      <c r="M3266">
        <v>300</v>
      </c>
      <c r="N3266">
        <f>IF(COUNTIFS($B$2:B3266,B3266)=1,1,0)</f>
        <v>0</v>
      </c>
    </row>
    <row r="3267" spans="1:14" x14ac:dyDescent="0.2">
      <c r="A3267">
        <v>3266</v>
      </c>
      <c r="B3267">
        <v>2651</v>
      </c>
      <c r="C3267">
        <f>1/COUNTIF(B:B,Table1[[#This Row],[order_id]])</f>
        <v>0.5</v>
      </c>
      <c r="D3267" t="str">
        <f>TEXT(Table1[[#This Row],[order_date]],"mmmm")</f>
        <v>September</v>
      </c>
      <c r="E3267" s="1">
        <v>45544</v>
      </c>
      <c r="F3267" s="1" t="str">
        <f>TEXT(Table1[[#This Row],[order_date]],"dddd")</f>
        <v>Monday</v>
      </c>
      <c r="G3267">
        <f>HOUR(Table1[[#This Row],[order_time]])</f>
        <v>14</v>
      </c>
      <c r="H3267" s="2">
        <v>0.61942129629629628</v>
      </c>
      <c r="I3267" t="s">
        <v>18</v>
      </c>
      <c r="J3267" t="s">
        <v>31</v>
      </c>
      <c r="K3267">
        <v>5</v>
      </c>
      <c r="L3267">
        <v>45</v>
      </c>
      <c r="M3267">
        <v>225</v>
      </c>
      <c r="N3267">
        <f>IF(COUNTIFS($B$2:B3267,B3267)=1,1,0)</f>
        <v>1</v>
      </c>
    </row>
    <row r="3268" spans="1:14" x14ac:dyDescent="0.2">
      <c r="A3268">
        <v>3267</v>
      </c>
      <c r="B3268">
        <v>2651</v>
      </c>
      <c r="C3268">
        <f>1/COUNTIF(B:B,Table1[[#This Row],[order_id]])</f>
        <v>0.5</v>
      </c>
      <c r="D3268" t="str">
        <f>TEXT(Table1[[#This Row],[order_date]],"mmmm")</f>
        <v>September</v>
      </c>
      <c r="E3268" s="1">
        <v>45544</v>
      </c>
      <c r="F3268" s="1" t="str">
        <f>TEXT(Table1[[#This Row],[order_date]],"dddd")</f>
        <v>Monday</v>
      </c>
      <c r="G3268">
        <f>HOUR(Table1[[#This Row],[order_time]])</f>
        <v>12</v>
      </c>
      <c r="H3268" s="2">
        <v>0.50145833333333334</v>
      </c>
      <c r="I3268" t="s">
        <v>18</v>
      </c>
      <c r="J3268" t="s">
        <v>26</v>
      </c>
      <c r="K3268">
        <v>3</v>
      </c>
      <c r="L3268">
        <v>55</v>
      </c>
      <c r="M3268">
        <v>165</v>
      </c>
      <c r="N3268">
        <f>IF(COUNTIFS($B$2:B3268,B3268)=1,1,0)</f>
        <v>0</v>
      </c>
    </row>
    <row r="3269" spans="1:14" x14ac:dyDescent="0.2">
      <c r="A3269">
        <v>3268</v>
      </c>
      <c r="B3269">
        <v>2652</v>
      </c>
      <c r="C3269">
        <f>1/COUNTIF(B:B,Table1[[#This Row],[order_id]])</f>
        <v>1</v>
      </c>
      <c r="D3269" t="str">
        <f>TEXT(Table1[[#This Row],[order_date]],"mmmm")</f>
        <v>September</v>
      </c>
      <c r="E3269" s="1">
        <v>45545</v>
      </c>
      <c r="F3269" s="1" t="str">
        <f>TEXT(Table1[[#This Row],[order_date]],"dddd")</f>
        <v>Tuesday</v>
      </c>
      <c r="G3269">
        <f>HOUR(Table1[[#This Row],[order_time]])</f>
        <v>12</v>
      </c>
      <c r="H3269" s="2">
        <v>0.53327546296296291</v>
      </c>
      <c r="I3269" t="s">
        <v>11</v>
      </c>
      <c r="J3269" t="s">
        <v>12</v>
      </c>
      <c r="K3269">
        <v>4</v>
      </c>
      <c r="L3269">
        <v>650</v>
      </c>
      <c r="M3269">
        <v>2600</v>
      </c>
      <c r="N3269">
        <f>IF(COUNTIFS($B$2:B3269,B3269)=1,1,0)</f>
        <v>1</v>
      </c>
    </row>
    <row r="3270" spans="1:14" x14ac:dyDescent="0.2">
      <c r="A3270">
        <v>3269</v>
      </c>
      <c r="B3270">
        <v>2653</v>
      </c>
      <c r="C3270">
        <f>1/COUNTIF(B:B,Table1[[#This Row],[order_id]])</f>
        <v>0.5</v>
      </c>
      <c r="D3270" t="str">
        <f>TEXT(Table1[[#This Row],[order_date]],"mmmm")</f>
        <v>September</v>
      </c>
      <c r="E3270" s="1">
        <v>45545</v>
      </c>
      <c r="F3270" s="1" t="str">
        <f>TEXT(Table1[[#This Row],[order_date]],"dddd")</f>
        <v>Tuesday</v>
      </c>
      <c r="G3270">
        <f>HOUR(Table1[[#This Row],[order_time]])</f>
        <v>19</v>
      </c>
      <c r="H3270" s="2">
        <v>0.82554398148148145</v>
      </c>
      <c r="I3270" t="s">
        <v>11</v>
      </c>
      <c r="J3270" t="s">
        <v>25</v>
      </c>
      <c r="K3270">
        <v>5</v>
      </c>
      <c r="L3270">
        <v>1000</v>
      </c>
      <c r="M3270">
        <v>5000</v>
      </c>
      <c r="N3270">
        <f>IF(COUNTIFS($B$2:B3270,B3270)=1,1,0)</f>
        <v>1</v>
      </c>
    </row>
    <row r="3271" spans="1:14" x14ac:dyDescent="0.2">
      <c r="A3271">
        <v>3270</v>
      </c>
      <c r="B3271">
        <v>2653</v>
      </c>
      <c r="C3271">
        <f>1/COUNTIF(B:B,Table1[[#This Row],[order_id]])</f>
        <v>0.5</v>
      </c>
      <c r="D3271" t="str">
        <f>TEXT(Table1[[#This Row],[order_date]],"mmmm")</f>
        <v>September</v>
      </c>
      <c r="E3271" s="1">
        <v>45545</v>
      </c>
      <c r="F3271" s="1" t="str">
        <f>TEXT(Table1[[#This Row],[order_date]],"dddd")</f>
        <v>Tuesday</v>
      </c>
      <c r="G3271">
        <f>HOUR(Table1[[#This Row],[order_time]])</f>
        <v>17</v>
      </c>
      <c r="H3271" s="2">
        <v>0.72180555555555559</v>
      </c>
      <c r="I3271" t="s">
        <v>16</v>
      </c>
      <c r="J3271" t="s">
        <v>28</v>
      </c>
      <c r="K3271">
        <v>5</v>
      </c>
      <c r="L3271">
        <v>25</v>
      </c>
      <c r="M3271">
        <v>125</v>
      </c>
      <c r="N3271">
        <f>IF(COUNTIFS($B$2:B3271,B3271)=1,1,0)</f>
        <v>0</v>
      </c>
    </row>
    <row r="3272" spans="1:14" x14ac:dyDescent="0.2">
      <c r="A3272">
        <v>3271</v>
      </c>
      <c r="B3272">
        <v>2654</v>
      </c>
      <c r="C3272">
        <f>1/COUNTIF(B:B,Table1[[#This Row],[order_id]])</f>
        <v>0.33333333333333331</v>
      </c>
      <c r="D3272" t="str">
        <f>TEXT(Table1[[#This Row],[order_date]],"mmmm")</f>
        <v>September</v>
      </c>
      <c r="E3272" s="1">
        <v>45545</v>
      </c>
      <c r="F3272" s="1" t="str">
        <f>TEXT(Table1[[#This Row],[order_date]],"dddd")</f>
        <v>Tuesday</v>
      </c>
      <c r="G3272">
        <f>HOUR(Table1[[#This Row],[order_time]])</f>
        <v>16</v>
      </c>
      <c r="H3272" s="2">
        <v>0.68473379629629627</v>
      </c>
      <c r="I3272" t="s">
        <v>11</v>
      </c>
      <c r="J3272" t="s">
        <v>25</v>
      </c>
      <c r="K3272">
        <v>3</v>
      </c>
      <c r="L3272">
        <v>1000</v>
      </c>
      <c r="M3272">
        <v>3000</v>
      </c>
      <c r="N3272">
        <f>IF(COUNTIFS($B$2:B3272,B3272)=1,1,0)</f>
        <v>1</v>
      </c>
    </row>
    <row r="3273" spans="1:14" x14ac:dyDescent="0.2">
      <c r="A3273">
        <v>3272</v>
      </c>
      <c r="B3273">
        <v>2654</v>
      </c>
      <c r="C3273">
        <f>1/COUNTIF(B:B,Table1[[#This Row],[order_id]])</f>
        <v>0.33333333333333331</v>
      </c>
      <c r="D3273" t="str">
        <f>TEXT(Table1[[#This Row],[order_date]],"mmmm")</f>
        <v>September</v>
      </c>
      <c r="E3273" s="1">
        <v>45545</v>
      </c>
      <c r="F3273" s="1" t="str">
        <f>TEXT(Table1[[#This Row],[order_date]],"dddd")</f>
        <v>Tuesday</v>
      </c>
      <c r="G3273">
        <f>HOUR(Table1[[#This Row],[order_time]])</f>
        <v>16</v>
      </c>
      <c r="H3273" s="2">
        <v>0.68307870370370372</v>
      </c>
      <c r="I3273" t="s">
        <v>11</v>
      </c>
      <c r="J3273" t="s">
        <v>15</v>
      </c>
      <c r="K3273">
        <v>3</v>
      </c>
      <c r="L3273">
        <v>600</v>
      </c>
      <c r="M3273">
        <v>1800</v>
      </c>
      <c r="N3273">
        <f>IF(COUNTIFS($B$2:B3273,B3273)=1,1,0)</f>
        <v>0</v>
      </c>
    </row>
    <row r="3274" spans="1:14" x14ac:dyDescent="0.2">
      <c r="A3274">
        <v>3273</v>
      </c>
      <c r="B3274">
        <v>2654</v>
      </c>
      <c r="C3274">
        <f>1/COUNTIF(B:B,Table1[[#This Row],[order_id]])</f>
        <v>0.33333333333333331</v>
      </c>
      <c r="D3274" t="str">
        <f>TEXT(Table1[[#This Row],[order_date]],"mmmm")</f>
        <v>September</v>
      </c>
      <c r="E3274" s="1">
        <v>45545</v>
      </c>
      <c r="F3274" s="1" t="str">
        <f>TEXT(Table1[[#This Row],[order_date]],"dddd")</f>
        <v>Tuesday</v>
      </c>
      <c r="G3274">
        <f>HOUR(Table1[[#This Row],[order_time]])</f>
        <v>20</v>
      </c>
      <c r="H3274" s="2">
        <v>0.86053240740740744</v>
      </c>
      <c r="I3274" t="s">
        <v>16</v>
      </c>
      <c r="J3274" t="s">
        <v>17</v>
      </c>
      <c r="K3274">
        <v>2</v>
      </c>
      <c r="L3274">
        <v>20</v>
      </c>
      <c r="M3274">
        <v>40</v>
      </c>
      <c r="N3274">
        <f>IF(COUNTIFS($B$2:B3274,B3274)=1,1,0)</f>
        <v>0</v>
      </c>
    </row>
    <row r="3275" spans="1:14" x14ac:dyDescent="0.2">
      <c r="A3275">
        <v>3274</v>
      </c>
      <c r="B3275">
        <v>2655</v>
      </c>
      <c r="C3275">
        <f>1/COUNTIF(B:B,Table1[[#This Row],[order_id]])</f>
        <v>0.33333333333333331</v>
      </c>
      <c r="D3275" t="str">
        <f>TEXT(Table1[[#This Row],[order_date]],"mmmm")</f>
        <v>September</v>
      </c>
      <c r="E3275" s="1">
        <v>45545</v>
      </c>
      <c r="F3275" s="1" t="str">
        <f>TEXT(Table1[[#This Row],[order_date]],"dddd")</f>
        <v>Tuesday</v>
      </c>
      <c r="G3275">
        <f>HOUR(Table1[[#This Row],[order_time]])</f>
        <v>19</v>
      </c>
      <c r="H3275" s="2">
        <v>0.82062500000000005</v>
      </c>
      <c r="I3275" t="s">
        <v>9</v>
      </c>
      <c r="J3275" t="s">
        <v>21</v>
      </c>
      <c r="K3275">
        <v>5</v>
      </c>
      <c r="L3275">
        <v>10</v>
      </c>
      <c r="M3275">
        <v>50</v>
      </c>
      <c r="N3275">
        <f>IF(COUNTIFS($B$2:B3275,B3275)=1,1,0)</f>
        <v>1</v>
      </c>
    </row>
    <row r="3276" spans="1:14" x14ac:dyDescent="0.2">
      <c r="A3276">
        <v>3275</v>
      </c>
      <c r="B3276">
        <v>2655</v>
      </c>
      <c r="C3276">
        <f>1/COUNTIF(B:B,Table1[[#This Row],[order_id]])</f>
        <v>0.33333333333333331</v>
      </c>
      <c r="D3276" t="str">
        <f>TEXT(Table1[[#This Row],[order_date]],"mmmm")</f>
        <v>September</v>
      </c>
      <c r="E3276" s="1">
        <v>45545</v>
      </c>
      <c r="F3276" s="1" t="str">
        <f>TEXT(Table1[[#This Row],[order_date]],"dddd")</f>
        <v>Tuesday</v>
      </c>
      <c r="G3276">
        <f>HOUR(Table1[[#This Row],[order_time]])</f>
        <v>9</v>
      </c>
      <c r="H3276" s="2">
        <v>0.39047453703703705</v>
      </c>
      <c r="I3276" t="s">
        <v>9</v>
      </c>
      <c r="J3276" t="s">
        <v>21</v>
      </c>
      <c r="K3276">
        <v>3</v>
      </c>
      <c r="L3276">
        <v>10</v>
      </c>
      <c r="M3276">
        <v>30</v>
      </c>
      <c r="N3276">
        <f>IF(COUNTIFS($B$2:B3276,B3276)=1,1,0)</f>
        <v>0</v>
      </c>
    </row>
    <row r="3277" spans="1:14" x14ac:dyDescent="0.2">
      <c r="A3277">
        <v>3276</v>
      </c>
      <c r="B3277">
        <v>2655</v>
      </c>
      <c r="C3277">
        <f>1/COUNTIF(B:B,Table1[[#This Row],[order_id]])</f>
        <v>0.33333333333333331</v>
      </c>
      <c r="D3277" t="str">
        <f>TEXT(Table1[[#This Row],[order_date]],"mmmm")</f>
        <v>September</v>
      </c>
      <c r="E3277" s="1">
        <v>45545</v>
      </c>
      <c r="F3277" s="1" t="str">
        <f>TEXT(Table1[[#This Row],[order_date]],"dddd")</f>
        <v>Tuesday</v>
      </c>
      <c r="G3277">
        <f>HOUR(Table1[[#This Row],[order_time]])</f>
        <v>11</v>
      </c>
      <c r="H3277" s="2">
        <v>0.48471064814814813</v>
      </c>
      <c r="I3277" t="s">
        <v>11</v>
      </c>
      <c r="J3277" t="s">
        <v>13</v>
      </c>
      <c r="K3277">
        <v>3</v>
      </c>
      <c r="L3277">
        <v>680</v>
      </c>
      <c r="M3277">
        <v>2040</v>
      </c>
      <c r="N3277">
        <f>IF(COUNTIFS($B$2:B3277,B3277)=1,1,0)</f>
        <v>0</v>
      </c>
    </row>
    <row r="3278" spans="1:14" x14ac:dyDescent="0.2">
      <c r="A3278">
        <v>3277</v>
      </c>
      <c r="B3278">
        <v>2656</v>
      </c>
      <c r="C3278">
        <f>1/COUNTIF(B:B,Table1[[#This Row],[order_id]])</f>
        <v>1</v>
      </c>
      <c r="D3278" t="str">
        <f>TEXT(Table1[[#This Row],[order_date]],"mmmm")</f>
        <v>September</v>
      </c>
      <c r="E3278" s="1">
        <v>45545</v>
      </c>
      <c r="F3278" s="1" t="str">
        <f>TEXT(Table1[[#This Row],[order_date]],"dddd")</f>
        <v>Tuesday</v>
      </c>
      <c r="G3278">
        <f>HOUR(Table1[[#This Row],[order_time]])</f>
        <v>9</v>
      </c>
      <c r="H3278" s="2">
        <v>0.39136574074074076</v>
      </c>
      <c r="I3278" t="s">
        <v>18</v>
      </c>
      <c r="J3278" t="s">
        <v>30</v>
      </c>
      <c r="K3278">
        <v>5</v>
      </c>
      <c r="L3278">
        <v>60</v>
      </c>
      <c r="M3278">
        <v>300</v>
      </c>
      <c r="N3278">
        <f>IF(COUNTIFS($B$2:B3278,B3278)=1,1,0)</f>
        <v>1</v>
      </c>
    </row>
    <row r="3279" spans="1:14" x14ac:dyDescent="0.2">
      <c r="A3279">
        <v>3278</v>
      </c>
      <c r="B3279">
        <v>2657</v>
      </c>
      <c r="C3279">
        <f>1/COUNTIF(B:B,Table1[[#This Row],[order_id]])</f>
        <v>1</v>
      </c>
      <c r="D3279" t="str">
        <f>TEXT(Table1[[#This Row],[order_date]],"mmmm")</f>
        <v>September</v>
      </c>
      <c r="E3279" s="1">
        <v>45545</v>
      </c>
      <c r="F3279" s="1" t="str">
        <f>TEXT(Table1[[#This Row],[order_date]],"dddd")</f>
        <v>Tuesday</v>
      </c>
      <c r="G3279">
        <f>HOUR(Table1[[#This Row],[order_time]])</f>
        <v>17</v>
      </c>
      <c r="H3279" s="2">
        <v>0.71438657407407402</v>
      </c>
      <c r="I3279" t="s">
        <v>9</v>
      </c>
      <c r="J3279" t="s">
        <v>20</v>
      </c>
      <c r="K3279">
        <v>4</v>
      </c>
      <c r="L3279">
        <v>25</v>
      </c>
      <c r="M3279">
        <v>100</v>
      </c>
      <c r="N3279">
        <f>IF(COUNTIFS($B$2:B3279,B3279)=1,1,0)</f>
        <v>1</v>
      </c>
    </row>
    <row r="3280" spans="1:14" x14ac:dyDescent="0.2">
      <c r="A3280">
        <v>3279</v>
      </c>
      <c r="B3280">
        <v>2658</v>
      </c>
      <c r="C3280">
        <f>1/COUNTIF(B:B,Table1[[#This Row],[order_id]])</f>
        <v>1</v>
      </c>
      <c r="D3280" t="str">
        <f>TEXT(Table1[[#This Row],[order_date]],"mmmm")</f>
        <v>September</v>
      </c>
      <c r="E3280" s="1">
        <v>45545</v>
      </c>
      <c r="F3280" s="1" t="str">
        <f>TEXT(Table1[[#This Row],[order_date]],"dddd")</f>
        <v>Tuesday</v>
      </c>
      <c r="G3280">
        <f>HOUR(Table1[[#This Row],[order_time]])</f>
        <v>15</v>
      </c>
      <c r="H3280" s="2">
        <v>0.62579861111111112</v>
      </c>
      <c r="I3280" t="s">
        <v>11</v>
      </c>
      <c r="J3280" t="s">
        <v>14</v>
      </c>
      <c r="K3280">
        <v>2</v>
      </c>
      <c r="L3280">
        <v>700</v>
      </c>
      <c r="M3280">
        <v>1400</v>
      </c>
      <c r="N3280">
        <f>IF(COUNTIFS($B$2:B3280,B3280)=1,1,0)</f>
        <v>1</v>
      </c>
    </row>
    <row r="3281" spans="1:14" x14ac:dyDescent="0.2">
      <c r="A3281">
        <v>3280</v>
      </c>
      <c r="B3281">
        <v>2659</v>
      </c>
      <c r="C3281">
        <f>1/COUNTIF(B:B,Table1[[#This Row],[order_id]])</f>
        <v>0.5</v>
      </c>
      <c r="D3281" t="str">
        <f>TEXT(Table1[[#This Row],[order_date]],"mmmm")</f>
        <v>September</v>
      </c>
      <c r="E3281" s="1">
        <v>45545</v>
      </c>
      <c r="F3281" s="1" t="str">
        <f>TEXT(Table1[[#This Row],[order_date]],"dddd")</f>
        <v>Tuesday</v>
      </c>
      <c r="G3281">
        <f>HOUR(Table1[[#This Row],[order_time]])</f>
        <v>10</v>
      </c>
      <c r="H3281" s="2">
        <v>0.43802083333333336</v>
      </c>
      <c r="I3281" t="s">
        <v>11</v>
      </c>
      <c r="J3281" t="s">
        <v>12</v>
      </c>
      <c r="K3281">
        <v>1</v>
      </c>
      <c r="L3281">
        <v>650</v>
      </c>
      <c r="M3281">
        <v>650</v>
      </c>
      <c r="N3281">
        <f>IF(COUNTIFS($B$2:B3281,B3281)=1,1,0)</f>
        <v>1</v>
      </c>
    </row>
    <row r="3282" spans="1:14" x14ac:dyDescent="0.2">
      <c r="A3282">
        <v>3281</v>
      </c>
      <c r="B3282">
        <v>2659</v>
      </c>
      <c r="C3282">
        <f>1/COUNTIF(B:B,Table1[[#This Row],[order_id]])</f>
        <v>0.5</v>
      </c>
      <c r="D3282" t="str">
        <f>TEXT(Table1[[#This Row],[order_date]],"mmmm")</f>
        <v>September</v>
      </c>
      <c r="E3282" s="1">
        <v>45545</v>
      </c>
      <c r="F3282" s="1" t="str">
        <f>TEXT(Table1[[#This Row],[order_date]],"dddd")</f>
        <v>Tuesday</v>
      </c>
      <c r="G3282">
        <f>HOUR(Table1[[#This Row],[order_time]])</f>
        <v>18</v>
      </c>
      <c r="H3282" s="2">
        <v>0.76677083333333329</v>
      </c>
      <c r="I3282" t="s">
        <v>18</v>
      </c>
      <c r="J3282" t="s">
        <v>31</v>
      </c>
      <c r="K3282">
        <v>3</v>
      </c>
      <c r="L3282">
        <v>45</v>
      </c>
      <c r="M3282">
        <v>135</v>
      </c>
      <c r="N3282">
        <f>IF(COUNTIFS($B$2:B3282,B3282)=1,1,0)</f>
        <v>0</v>
      </c>
    </row>
    <row r="3283" spans="1:14" x14ac:dyDescent="0.2">
      <c r="A3283">
        <v>3282</v>
      </c>
      <c r="B3283">
        <v>2660</v>
      </c>
      <c r="C3283">
        <f>1/COUNTIF(B:B,Table1[[#This Row],[order_id]])</f>
        <v>0.33333333333333331</v>
      </c>
      <c r="D3283" t="str">
        <f>TEXT(Table1[[#This Row],[order_date]],"mmmm")</f>
        <v>September</v>
      </c>
      <c r="E3283" s="1">
        <v>45545</v>
      </c>
      <c r="F3283" s="1" t="str">
        <f>TEXT(Table1[[#This Row],[order_date]],"dddd")</f>
        <v>Tuesday</v>
      </c>
      <c r="G3283">
        <f>HOUR(Table1[[#This Row],[order_time]])</f>
        <v>20</v>
      </c>
      <c r="H3283" s="2">
        <v>0.86925925925925929</v>
      </c>
      <c r="I3283" t="s">
        <v>16</v>
      </c>
      <c r="J3283" t="s">
        <v>17</v>
      </c>
      <c r="K3283">
        <v>2</v>
      </c>
      <c r="L3283">
        <v>20</v>
      </c>
      <c r="M3283">
        <v>40</v>
      </c>
      <c r="N3283">
        <f>IF(COUNTIFS($B$2:B3283,B3283)=1,1,0)</f>
        <v>1</v>
      </c>
    </row>
    <row r="3284" spans="1:14" x14ac:dyDescent="0.2">
      <c r="A3284">
        <v>3283</v>
      </c>
      <c r="B3284">
        <v>2660</v>
      </c>
      <c r="C3284">
        <f>1/COUNTIF(B:B,Table1[[#This Row],[order_id]])</f>
        <v>0.33333333333333331</v>
      </c>
      <c r="D3284" t="str">
        <f>TEXT(Table1[[#This Row],[order_date]],"mmmm")</f>
        <v>September</v>
      </c>
      <c r="E3284" s="1">
        <v>45545</v>
      </c>
      <c r="F3284" s="1" t="str">
        <f>TEXT(Table1[[#This Row],[order_date]],"dddd")</f>
        <v>Tuesday</v>
      </c>
      <c r="G3284">
        <f>HOUR(Table1[[#This Row],[order_time]])</f>
        <v>14</v>
      </c>
      <c r="H3284" s="2">
        <v>0.58504629629629634</v>
      </c>
      <c r="I3284" t="s">
        <v>16</v>
      </c>
      <c r="J3284" t="s">
        <v>17</v>
      </c>
      <c r="K3284">
        <v>5</v>
      </c>
      <c r="L3284">
        <v>20</v>
      </c>
      <c r="M3284">
        <v>100</v>
      </c>
      <c r="N3284">
        <f>IF(COUNTIFS($B$2:B3284,B3284)=1,1,0)</f>
        <v>0</v>
      </c>
    </row>
    <row r="3285" spans="1:14" x14ac:dyDescent="0.2">
      <c r="A3285">
        <v>3284</v>
      </c>
      <c r="B3285">
        <v>2660</v>
      </c>
      <c r="C3285">
        <f>1/COUNTIF(B:B,Table1[[#This Row],[order_id]])</f>
        <v>0.33333333333333331</v>
      </c>
      <c r="D3285" t="str">
        <f>TEXT(Table1[[#This Row],[order_date]],"mmmm")</f>
        <v>September</v>
      </c>
      <c r="E3285" s="1">
        <v>45545</v>
      </c>
      <c r="F3285" s="1" t="str">
        <f>TEXT(Table1[[#This Row],[order_date]],"dddd")</f>
        <v>Tuesday</v>
      </c>
      <c r="G3285">
        <f>HOUR(Table1[[#This Row],[order_time]])</f>
        <v>20</v>
      </c>
      <c r="H3285" s="2">
        <v>0.84662037037037041</v>
      </c>
      <c r="I3285" t="s">
        <v>9</v>
      </c>
      <c r="J3285" t="s">
        <v>29</v>
      </c>
      <c r="K3285">
        <v>2</v>
      </c>
      <c r="L3285">
        <v>5</v>
      </c>
      <c r="M3285">
        <v>10</v>
      </c>
      <c r="N3285">
        <f>IF(COUNTIFS($B$2:B3285,B3285)=1,1,0)</f>
        <v>0</v>
      </c>
    </row>
    <row r="3286" spans="1:14" x14ac:dyDescent="0.2">
      <c r="A3286">
        <v>3285</v>
      </c>
      <c r="B3286">
        <v>2661</v>
      </c>
      <c r="C3286">
        <f>1/COUNTIF(B:B,Table1[[#This Row],[order_id]])</f>
        <v>1</v>
      </c>
      <c r="D3286" t="str">
        <f>TEXT(Table1[[#This Row],[order_date]],"mmmm")</f>
        <v>September</v>
      </c>
      <c r="E3286" s="1">
        <v>45546</v>
      </c>
      <c r="F3286" s="1" t="str">
        <f>TEXT(Table1[[#This Row],[order_date]],"dddd")</f>
        <v>Wednesday</v>
      </c>
      <c r="G3286">
        <f>HOUR(Table1[[#This Row],[order_time]])</f>
        <v>13</v>
      </c>
      <c r="H3286" s="2">
        <v>0.5553703703703704</v>
      </c>
      <c r="I3286" t="s">
        <v>11</v>
      </c>
      <c r="J3286" t="s">
        <v>14</v>
      </c>
      <c r="K3286">
        <v>1</v>
      </c>
      <c r="L3286">
        <v>700</v>
      </c>
      <c r="M3286">
        <v>700</v>
      </c>
      <c r="N3286">
        <f>IF(COUNTIFS($B$2:B3286,B3286)=1,1,0)</f>
        <v>1</v>
      </c>
    </row>
    <row r="3287" spans="1:14" x14ac:dyDescent="0.2">
      <c r="A3287">
        <v>3286</v>
      </c>
      <c r="B3287">
        <v>2662</v>
      </c>
      <c r="C3287">
        <f>1/COUNTIF(B:B,Table1[[#This Row],[order_id]])</f>
        <v>0.33333333333333331</v>
      </c>
      <c r="D3287" t="str">
        <f>TEXT(Table1[[#This Row],[order_date]],"mmmm")</f>
        <v>September</v>
      </c>
      <c r="E3287" s="1">
        <v>45546</v>
      </c>
      <c r="F3287" s="1" t="str">
        <f>TEXT(Table1[[#This Row],[order_date]],"dddd")</f>
        <v>Wednesday</v>
      </c>
      <c r="G3287">
        <f>HOUR(Table1[[#This Row],[order_time]])</f>
        <v>20</v>
      </c>
      <c r="H3287" s="2">
        <v>0.86466435185185186</v>
      </c>
      <c r="I3287" t="s">
        <v>9</v>
      </c>
      <c r="J3287" t="s">
        <v>10</v>
      </c>
      <c r="K3287">
        <v>4</v>
      </c>
      <c r="L3287">
        <v>20</v>
      </c>
      <c r="M3287">
        <v>80</v>
      </c>
      <c r="N3287">
        <f>IF(COUNTIFS($B$2:B3287,B3287)=1,1,0)</f>
        <v>1</v>
      </c>
    </row>
    <row r="3288" spans="1:14" x14ac:dyDescent="0.2">
      <c r="A3288">
        <v>3287</v>
      </c>
      <c r="B3288">
        <v>2662</v>
      </c>
      <c r="C3288">
        <f>1/COUNTIF(B:B,Table1[[#This Row],[order_id]])</f>
        <v>0.33333333333333331</v>
      </c>
      <c r="D3288" t="str">
        <f>TEXT(Table1[[#This Row],[order_date]],"mmmm")</f>
        <v>September</v>
      </c>
      <c r="E3288" s="1">
        <v>45546</v>
      </c>
      <c r="F3288" s="1" t="str">
        <f>TEXT(Table1[[#This Row],[order_date]],"dddd")</f>
        <v>Wednesday</v>
      </c>
      <c r="G3288">
        <f>HOUR(Table1[[#This Row],[order_time]])</f>
        <v>9</v>
      </c>
      <c r="H3288" s="2">
        <v>0.39787037037037037</v>
      </c>
      <c r="I3288" t="s">
        <v>9</v>
      </c>
      <c r="J3288" t="s">
        <v>20</v>
      </c>
      <c r="K3288">
        <v>2</v>
      </c>
      <c r="L3288">
        <v>25</v>
      </c>
      <c r="M3288">
        <v>50</v>
      </c>
      <c r="N3288">
        <f>IF(COUNTIFS($B$2:B3288,B3288)=1,1,0)</f>
        <v>0</v>
      </c>
    </row>
    <row r="3289" spans="1:14" x14ac:dyDescent="0.2">
      <c r="A3289">
        <v>3288</v>
      </c>
      <c r="B3289">
        <v>2662</v>
      </c>
      <c r="C3289">
        <f>1/COUNTIF(B:B,Table1[[#This Row],[order_id]])</f>
        <v>0.33333333333333331</v>
      </c>
      <c r="D3289" t="str">
        <f>TEXT(Table1[[#This Row],[order_date]],"mmmm")</f>
        <v>September</v>
      </c>
      <c r="E3289" s="1">
        <v>45546</v>
      </c>
      <c r="F3289" s="1" t="str">
        <f>TEXT(Table1[[#This Row],[order_date]],"dddd")</f>
        <v>Wednesday</v>
      </c>
      <c r="G3289">
        <f>HOUR(Table1[[#This Row],[order_time]])</f>
        <v>10</v>
      </c>
      <c r="H3289" s="2">
        <v>0.44520833333333332</v>
      </c>
      <c r="I3289" t="s">
        <v>9</v>
      </c>
      <c r="J3289" t="s">
        <v>22</v>
      </c>
      <c r="K3289">
        <v>1</v>
      </c>
      <c r="L3289">
        <v>15</v>
      </c>
      <c r="M3289">
        <v>15</v>
      </c>
      <c r="N3289">
        <f>IF(COUNTIFS($B$2:B3289,B3289)=1,1,0)</f>
        <v>0</v>
      </c>
    </row>
    <row r="3290" spans="1:14" x14ac:dyDescent="0.2">
      <c r="A3290">
        <v>3289</v>
      </c>
      <c r="B3290">
        <v>2663</v>
      </c>
      <c r="C3290">
        <f>1/COUNTIF(B:B,Table1[[#This Row],[order_id]])</f>
        <v>1</v>
      </c>
      <c r="D3290" t="str">
        <f>TEXT(Table1[[#This Row],[order_date]],"mmmm")</f>
        <v>September</v>
      </c>
      <c r="E3290" s="1">
        <v>45546</v>
      </c>
      <c r="F3290" s="1" t="str">
        <f>TEXT(Table1[[#This Row],[order_date]],"dddd")</f>
        <v>Wednesday</v>
      </c>
      <c r="G3290">
        <f>HOUR(Table1[[#This Row],[order_time]])</f>
        <v>14</v>
      </c>
      <c r="H3290" s="2">
        <v>0.60623842592592592</v>
      </c>
      <c r="I3290" t="s">
        <v>11</v>
      </c>
      <c r="J3290" t="s">
        <v>15</v>
      </c>
      <c r="K3290">
        <v>2</v>
      </c>
      <c r="L3290">
        <v>600</v>
      </c>
      <c r="M3290">
        <v>1200</v>
      </c>
      <c r="N3290">
        <f>IF(COUNTIFS($B$2:B3290,B3290)=1,1,0)</f>
        <v>1</v>
      </c>
    </row>
    <row r="3291" spans="1:14" x14ac:dyDescent="0.2">
      <c r="A3291">
        <v>3290</v>
      </c>
      <c r="B3291">
        <v>2664</v>
      </c>
      <c r="C3291">
        <f>1/COUNTIF(B:B,Table1[[#This Row],[order_id]])</f>
        <v>0.33333333333333331</v>
      </c>
      <c r="D3291" t="str">
        <f>TEXT(Table1[[#This Row],[order_date]],"mmmm")</f>
        <v>September</v>
      </c>
      <c r="E3291" s="1">
        <v>45546</v>
      </c>
      <c r="F3291" s="1" t="str">
        <f>TEXT(Table1[[#This Row],[order_date]],"dddd")</f>
        <v>Wednesday</v>
      </c>
      <c r="G3291">
        <f>HOUR(Table1[[#This Row],[order_time]])</f>
        <v>18</v>
      </c>
      <c r="H3291" s="2">
        <v>0.77876157407407409</v>
      </c>
      <c r="I3291" t="s">
        <v>16</v>
      </c>
      <c r="J3291" t="s">
        <v>23</v>
      </c>
      <c r="K3291">
        <v>3</v>
      </c>
      <c r="L3291">
        <v>30</v>
      </c>
      <c r="M3291">
        <v>90</v>
      </c>
      <c r="N3291">
        <f>IF(COUNTIFS($B$2:B3291,B3291)=1,1,0)</f>
        <v>1</v>
      </c>
    </row>
    <row r="3292" spans="1:14" x14ac:dyDescent="0.2">
      <c r="A3292">
        <v>3291</v>
      </c>
      <c r="B3292">
        <v>2664</v>
      </c>
      <c r="C3292">
        <f>1/COUNTIF(B:B,Table1[[#This Row],[order_id]])</f>
        <v>0.33333333333333331</v>
      </c>
      <c r="D3292" t="str">
        <f>TEXT(Table1[[#This Row],[order_date]],"mmmm")</f>
        <v>September</v>
      </c>
      <c r="E3292" s="1">
        <v>45546</v>
      </c>
      <c r="F3292" s="1" t="str">
        <f>TEXT(Table1[[#This Row],[order_date]],"dddd")</f>
        <v>Wednesday</v>
      </c>
      <c r="G3292">
        <f>HOUR(Table1[[#This Row],[order_time]])</f>
        <v>14</v>
      </c>
      <c r="H3292" s="2">
        <v>0.5851736111111111</v>
      </c>
      <c r="I3292" t="s">
        <v>9</v>
      </c>
      <c r="J3292" t="s">
        <v>22</v>
      </c>
      <c r="K3292">
        <v>2</v>
      </c>
      <c r="L3292">
        <v>15</v>
      </c>
      <c r="M3292">
        <v>30</v>
      </c>
      <c r="N3292">
        <f>IF(COUNTIFS($B$2:B3292,B3292)=1,1,0)</f>
        <v>0</v>
      </c>
    </row>
    <row r="3293" spans="1:14" x14ac:dyDescent="0.2">
      <c r="A3293">
        <v>3292</v>
      </c>
      <c r="B3293">
        <v>2664</v>
      </c>
      <c r="C3293">
        <f>1/COUNTIF(B:B,Table1[[#This Row],[order_id]])</f>
        <v>0.33333333333333331</v>
      </c>
      <c r="D3293" t="str">
        <f>TEXT(Table1[[#This Row],[order_date]],"mmmm")</f>
        <v>September</v>
      </c>
      <c r="E3293" s="1">
        <v>45546</v>
      </c>
      <c r="F3293" s="1" t="str">
        <f>TEXT(Table1[[#This Row],[order_date]],"dddd")</f>
        <v>Wednesday</v>
      </c>
      <c r="G3293">
        <f>HOUR(Table1[[#This Row],[order_time]])</f>
        <v>10</v>
      </c>
      <c r="H3293" s="2">
        <v>0.44414351851851852</v>
      </c>
      <c r="I3293" t="s">
        <v>18</v>
      </c>
      <c r="J3293" t="s">
        <v>26</v>
      </c>
      <c r="K3293">
        <v>1</v>
      </c>
      <c r="L3293">
        <v>55</v>
      </c>
      <c r="M3293">
        <v>55</v>
      </c>
      <c r="N3293">
        <f>IF(COUNTIFS($B$2:B3293,B3293)=1,1,0)</f>
        <v>0</v>
      </c>
    </row>
    <row r="3294" spans="1:14" x14ac:dyDescent="0.2">
      <c r="A3294">
        <v>3293</v>
      </c>
      <c r="B3294">
        <v>2665</v>
      </c>
      <c r="C3294">
        <f>1/COUNTIF(B:B,Table1[[#This Row],[order_id]])</f>
        <v>0.33333333333333331</v>
      </c>
      <c r="D3294" t="str">
        <f>TEXT(Table1[[#This Row],[order_date]],"mmmm")</f>
        <v>September</v>
      </c>
      <c r="E3294" s="1">
        <v>45546</v>
      </c>
      <c r="F3294" s="1" t="str">
        <f>TEXT(Table1[[#This Row],[order_date]],"dddd")</f>
        <v>Wednesday</v>
      </c>
      <c r="G3294">
        <f>HOUR(Table1[[#This Row],[order_time]])</f>
        <v>15</v>
      </c>
      <c r="H3294" s="2">
        <v>0.62883101851851853</v>
      </c>
      <c r="I3294" t="s">
        <v>11</v>
      </c>
      <c r="J3294" t="s">
        <v>14</v>
      </c>
      <c r="K3294">
        <v>2</v>
      </c>
      <c r="L3294">
        <v>700</v>
      </c>
      <c r="M3294">
        <v>1400</v>
      </c>
      <c r="N3294">
        <f>IF(COUNTIFS($B$2:B3294,B3294)=1,1,0)</f>
        <v>1</v>
      </c>
    </row>
    <row r="3295" spans="1:14" x14ac:dyDescent="0.2">
      <c r="A3295">
        <v>3294</v>
      </c>
      <c r="B3295">
        <v>2665</v>
      </c>
      <c r="C3295">
        <f>1/COUNTIF(B:B,Table1[[#This Row],[order_id]])</f>
        <v>0.33333333333333331</v>
      </c>
      <c r="D3295" t="str">
        <f>TEXT(Table1[[#This Row],[order_date]],"mmmm")</f>
        <v>September</v>
      </c>
      <c r="E3295" s="1">
        <v>45546</v>
      </c>
      <c r="F3295" s="1" t="str">
        <f>TEXT(Table1[[#This Row],[order_date]],"dddd")</f>
        <v>Wednesday</v>
      </c>
      <c r="G3295">
        <f>HOUR(Table1[[#This Row],[order_time]])</f>
        <v>16</v>
      </c>
      <c r="H3295" s="2">
        <v>0.66814814814814816</v>
      </c>
      <c r="I3295" t="s">
        <v>18</v>
      </c>
      <c r="J3295" t="s">
        <v>31</v>
      </c>
      <c r="K3295">
        <v>2</v>
      </c>
      <c r="L3295">
        <v>45</v>
      </c>
      <c r="M3295">
        <v>90</v>
      </c>
      <c r="N3295">
        <f>IF(COUNTIFS($B$2:B3295,B3295)=1,1,0)</f>
        <v>0</v>
      </c>
    </row>
    <row r="3296" spans="1:14" x14ac:dyDescent="0.2">
      <c r="A3296">
        <v>3295</v>
      </c>
      <c r="B3296">
        <v>2665</v>
      </c>
      <c r="C3296">
        <f>1/COUNTIF(B:B,Table1[[#This Row],[order_id]])</f>
        <v>0.33333333333333331</v>
      </c>
      <c r="D3296" t="str">
        <f>TEXT(Table1[[#This Row],[order_date]],"mmmm")</f>
        <v>September</v>
      </c>
      <c r="E3296" s="1">
        <v>45546</v>
      </c>
      <c r="F3296" s="1" t="str">
        <f>TEXT(Table1[[#This Row],[order_date]],"dddd")</f>
        <v>Wednesday</v>
      </c>
      <c r="G3296">
        <f>HOUR(Table1[[#This Row],[order_time]])</f>
        <v>14</v>
      </c>
      <c r="H3296" s="2">
        <v>0.60842592592592593</v>
      </c>
      <c r="I3296" t="s">
        <v>16</v>
      </c>
      <c r="J3296" t="s">
        <v>23</v>
      </c>
      <c r="K3296">
        <v>2</v>
      </c>
      <c r="L3296">
        <v>30</v>
      </c>
      <c r="M3296">
        <v>60</v>
      </c>
      <c r="N3296">
        <f>IF(COUNTIFS($B$2:B3296,B3296)=1,1,0)</f>
        <v>0</v>
      </c>
    </row>
    <row r="3297" spans="1:14" x14ac:dyDescent="0.2">
      <c r="A3297">
        <v>3296</v>
      </c>
      <c r="B3297">
        <v>2666</v>
      </c>
      <c r="C3297">
        <f>1/COUNTIF(B:B,Table1[[#This Row],[order_id]])</f>
        <v>0.33333333333333331</v>
      </c>
      <c r="D3297" t="str">
        <f>TEXT(Table1[[#This Row],[order_date]],"mmmm")</f>
        <v>September</v>
      </c>
      <c r="E3297" s="1">
        <v>45547</v>
      </c>
      <c r="F3297" s="1" t="str">
        <f>TEXT(Table1[[#This Row],[order_date]],"dddd")</f>
        <v>Thursday</v>
      </c>
      <c r="G3297">
        <f>HOUR(Table1[[#This Row],[order_time]])</f>
        <v>13</v>
      </c>
      <c r="H3297" s="2">
        <v>0.54318287037037039</v>
      </c>
      <c r="I3297" t="s">
        <v>16</v>
      </c>
      <c r="J3297" t="s">
        <v>24</v>
      </c>
      <c r="K3297">
        <v>1</v>
      </c>
      <c r="L3297">
        <v>35</v>
      </c>
      <c r="M3297">
        <v>35</v>
      </c>
      <c r="N3297">
        <f>IF(COUNTIFS($B$2:B3297,B3297)=1,1,0)</f>
        <v>1</v>
      </c>
    </row>
    <row r="3298" spans="1:14" x14ac:dyDescent="0.2">
      <c r="A3298">
        <v>3297</v>
      </c>
      <c r="B3298">
        <v>2666</v>
      </c>
      <c r="C3298">
        <f>1/COUNTIF(B:B,Table1[[#This Row],[order_id]])</f>
        <v>0.33333333333333331</v>
      </c>
      <c r="D3298" t="str">
        <f>TEXT(Table1[[#This Row],[order_date]],"mmmm")</f>
        <v>September</v>
      </c>
      <c r="E3298" s="1">
        <v>45547</v>
      </c>
      <c r="F3298" s="1" t="str">
        <f>TEXT(Table1[[#This Row],[order_date]],"dddd")</f>
        <v>Thursday</v>
      </c>
      <c r="G3298">
        <f>HOUR(Table1[[#This Row],[order_time]])</f>
        <v>20</v>
      </c>
      <c r="H3298" s="2">
        <v>0.87306712962962962</v>
      </c>
      <c r="I3298" t="s">
        <v>16</v>
      </c>
      <c r="J3298" t="s">
        <v>23</v>
      </c>
      <c r="K3298">
        <v>5</v>
      </c>
      <c r="L3298">
        <v>30</v>
      </c>
      <c r="M3298">
        <v>150</v>
      </c>
      <c r="N3298">
        <f>IF(COUNTIFS($B$2:B3298,B3298)=1,1,0)</f>
        <v>0</v>
      </c>
    </row>
    <row r="3299" spans="1:14" x14ac:dyDescent="0.2">
      <c r="A3299">
        <v>3298</v>
      </c>
      <c r="B3299">
        <v>2666</v>
      </c>
      <c r="C3299">
        <f>1/COUNTIF(B:B,Table1[[#This Row],[order_id]])</f>
        <v>0.33333333333333331</v>
      </c>
      <c r="D3299" t="str">
        <f>TEXT(Table1[[#This Row],[order_date]],"mmmm")</f>
        <v>September</v>
      </c>
      <c r="E3299" s="1">
        <v>45547</v>
      </c>
      <c r="F3299" s="1" t="str">
        <f>TEXT(Table1[[#This Row],[order_date]],"dddd")</f>
        <v>Thursday</v>
      </c>
      <c r="G3299">
        <f>HOUR(Table1[[#This Row],[order_time]])</f>
        <v>9</v>
      </c>
      <c r="H3299" s="2">
        <v>0.39770833333333333</v>
      </c>
      <c r="I3299" t="s">
        <v>9</v>
      </c>
      <c r="J3299" t="s">
        <v>29</v>
      </c>
      <c r="K3299">
        <v>1</v>
      </c>
      <c r="L3299">
        <v>5</v>
      </c>
      <c r="M3299">
        <v>5</v>
      </c>
      <c r="N3299">
        <f>IF(COUNTIFS($B$2:B3299,B3299)=1,1,0)</f>
        <v>0</v>
      </c>
    </row>
    <row r="3300" spans="1:14" x14ac:dyDescent="0.2">
      <c r="A3300">
        <v>3299</v>
      </c>
      <c r="B3300">
        <v>2667</v>
      </c>
      <c r="C3300">
        <f>1/COUNTIF(B:B,Table1[[#This Row],[order_id]])</f>
        <v>0.5</v>
      </c>
      <c r="D3300" t="str">
        <f>TEXT(Table1[[#This Row],[order_date]],"mmmm")</f>
        <v>September</v>
      </c>
      <c r="E3300" s="1">
        <v>45547</v>
      </c>
      <c r="F3300" s="1" t="str">
        <f>TEXT(Table1[[#This Row],[order_date]],"dddd")</f>
        <v>Thursday</v>
      </c>
      <c r="G3300">
        <f>HOUR(Table1[[#This Row],[order_time]])</f>
        <v>13</v>
      </c>
      <c r="H3300" s="2">
        <v>0.54369212962962965</v>
      </c>
      <c r="I3300" t="s">
        <v>11</v>
      </c>
      <c r="J3300" t="s">
        <v>12</v>
      </c>
      <c r="K3300">
        <v>3</v>
      </c>
      <c r="L3300">
        <v>650</v>
      </c>
      <c r="M3300">
        <v>1950</v>
      </c>
      <c r="N3300">
        <f>IF(COUNTIFS($B$2:B3300,B3300)=1,1,0)</f>
        <v>1</v>
      </c>
    </row>
    <row r="3301" spans="1:14" x14ac:dyDescent="0.2">
      <c r="A3301">
        <v>3300</v>
      </c>
      <c r="B3301">
        <v>2667</v>
      </c>
      <c r="C3301">
        <f>1/COUNTIF(B:B,Table1[[#This Row],[order_id]])</f>
        <v>0.5</v>
      </c>
      <c r="D3301" t="str">
        <f>TEXT(Table1[[#This Row],[order_date]],"mmmm")</f>
        <v>September</v>
      </c>
      <c r="E3301" s="1">
        <v>45547</v>
      </c>
      <c r="F3301" s="1" t="str">
        <f>TEXT(Table1[[#This Row],[order_date]],"dddd")</f>
        <v>Thursday</v>
      </c>
      <c r="G3301">
        <f>HOUR(Table1[[#This Row],[order_time]])</f>
        <v>19</v>
      </c>
      <c r="H3301" s="2">
        <v>0.83193287037037034</v>
      </c>
      <c r="I3301" t="s">
        <v>9</v>
      </c>
      <c r="J3301" t="s">
        <v>22</v>
      </c>
      <c r="K3301">
        <v>3</v>
      </c>
      <c r="L3301">
        <v>15</v>
      </c>
      <c r="M3301">
        <v>45</v>
      </c>
      <c r="N3301">
        <f>IF(COUNTIFS($B$2:B3301,B3301)=1,1,0)</f>
        <v>0</v>
      </c>
    </row>
    <row r="3302" spans="1:14" x14ac:dyDescent="0.2">
      <c r="A3302">
        <v>3301</v>
      </c>
      <c r="B3302">
        <v>2668</v>
      </c>
      <c r="C3302">
        <f>1/COUNTIF(B:B,Table1[[#This Row],[order_id]])</f>
        <v>1</v>
      </c>
      <c r="D3302" t="str">
        <f>TEXT(Table1[[#This Row],[order_date]],"mmmm")</f>
        <v>September</v>
      </c>
      <c r="E3302" s="1">
        <v>45547</v>
      </c>
      <c r="F3302" s="1" t="str">
        <f>TEXT(Table1[[#This Row],[order_date]],"dddd")</f>
        <v>Thursday</v>
      </c>
      <c r="G3302">
        <f>HOUR(Table1[[#This Row],[order_time]])</f>
        <v>16</v>
      </c>
      <c r="H3302" s="2">
        <v>0.6839467592592593</v>
      </c>
      <c r="I3302" t="s">
        <v>18</v>
      </c>
      <c r="J3302" t="s">
        <v>30</v>
      </c>
      <c r="K3302">
        <v>3</v>
      </c>
      <c r="L3302">
        <v>60</v>
      </c>
      <c r="M3302">
        <v>180</v>
      </c>
      <c r="N3302">
        <f>IF(COUNTIFS($B$2:B3302,B3302)=1,1,0)</f>
        <v>1</v>
      </c>
    </row>
    <row r="3303" spans="1:14" x14ac:dyDescent="0.2">
      <c r="A3303">
        <v>3302</v>
      </c>
      <c r="B3303">
        <v>2669</v>
      </c>
      <c r="C3303">
        <f>1/COUNTIF(B:B,Table1[[#This Row],[order_id]])</f>
        <v>0.5</v>
      </c>
      <c r="D3303" t="str">
        <f>TEXT(Table1[[#This Row],[order_date]],"mmmm")</f>
        <v>September</v>
      </c>
      <c r="E3303" s="1">
        <v>45547</v>
      </c>
      <c r="F3303" s="1" t="str">
        <f>TEXT(Table1[[#This Row],[order_date]],"dddd")</f>
        <v>Thursday</v>
      </c>
      <c r="G3303">
        <f>HOUR(Table1[[#This Row],[order_time]])</f>
        <v>19</v>
      </c>
      <c r="H3303" s="2">
        <v>0.81803240740740746</v>
      </c>
      <c r="I3303" t="s">
        <v>11</v>
      </c>
      <c r="J3303" t="s">
        <v>13</v>
      </c>
      <c r="K3303">
        <v>5</v>
      </c>
      <c r="L3303">
        <v>680</v>
      </c>
      <c r="M3303">
        <v>3400</v>
      </c>
      <c r="N3303">
        <f>IF(COUNTIFS($B$2:B3303,B3303)=1,1,0)</f>
        <v>1</v>
      </c>
    </row>
    <row r="3304" spans="1:14" x14ac:dyDescent="0.2">
      <c r="A3304">
        <v>3303</v>
      </c>
      <c r="B3304">
        <v>2669</v>
      </c>
      <c r="C3304">
        <f>1/COUNTIF(B:B,Table1[[#This Row],[order_id]])</f>
        <v>0.5</v>
      </c>
      <c r="D3304" t="str">
        <f>TEXT(Table1[[#This Row],[order_date]],"mmmm")</f>
        <v>September</v>
      </c>
      <c r="E3304" s="1">
        <v>45547</v>
      </c>
      <c r="F3304" s="1" t="str">
        <f>TEXT(Table1[[#This Row],[order_date]],"dddd")</f>
        <v>Thursday</v>
      </c>
      <c r="G3304">
        <f>HOUR(Table1[[#This Row],[order_time]])</f>
        <v>20</v>
      </c>
      <c r="H3304" s="2">
        <v>0.86715277777777777</v>
      </c>
      <c r="I3304" t="s">
        <v>16</v>
      </c>
      <c r="J3304" t="s">
        <v>28</v>
      </c>
      <c r="K3304">
        <v>4</v>
      </c>
      <c r="L3304">
        <v>25</v>
      </c>
      <c r="M3304">
        <v>100</v>
      </c>
      <c r="N3304">
        <f>IF(COUNTIFS($B$2:B3304,B3304)=1,1,0)</f>
        <v>0</v>
      </c>
    </row>
    <row r="3305" spans="1:14" x14ac:dyDescent="0.2">
      <c r="A3305">
        <v>3304</v>
      </c>
      <c r="B3305">
        <v>2670</v>
      </c>
      <c r="C3305">
        <f>1/COUNTIF(B:B,Table1[[#This Row],[order_id]])</f>
        <v>0.33333333333333331</v>
      </c>
      <c r="D3305" t="str">
        <f>TEXT(Table1[[#This Row],[order_date]],"mmmm")</f>
        <v>September</v>
      </c>
      <c r="E3305" s="1">
        <v>45547</v>
      </c>
      <c r="F3305" s="1" t="str">
        <f>TEXT(Table1[[#This Row],[order_date]],"dddd")</f>
        <v>Thursday</v>
      </c>
      <c r="G3305">
        <f>HOUR(Table1[[#This Row],[order_time]])</f>
        <v>19</v>
      </c>
      <c r="H3305" s="2">
        <v>0.82620370370370366</v>
      </c>
      <c r="I3305" t="s">
        <v>9</v>
      </c>
      <c r="J3305" t="s">
        <v>29</v>
      </c>
      <c r="K3305">
        <v>4</v>
      </c>
      <c r="L3305">
        <v>5</v>
      </c>
      <c r="M3305">
        <v>20</v>
      </c>
      <c r="N3305">
        <f>IF(COUNTIFS($B$2:B3305,B3305)=1,1,0)</f>
        <v>1</v>
      </c>
    </row>
    <row r="3306" spans="1:14" x14ac:dyDescent="0.2">
      <c r="A3306">
        <v>3305</v>
      </c>
      <c r="B3306">
        <v>2670</v>
      </c>
      <c r="C3306">
        <f>1/COUNTIF(B:B,Table1[[#This Row],[order_id]])</f>
        <v>0.33333333333333331</v>
      </c>
      <c r="D3306" t="str">
        <f>TEXT(Table1[[#This Row],[order_date]],"mmmm")</f>
        <v>September</v>
      </c>
      <c r="E3306" s="1">
        <v>45547</v>
      </c>
      <c r="F3306" s="1" t="str">
        <f>TEXT(Table1[[#This Row],[order_date]],"dddd")</f>
        <v>Thursday</v>
      </c>
      <c r="G3306">
        <f>HOUR(Table1[[#This Row],[order_time]])</f>
        <v>15</v>
      </c>
      <c r="H3306" s="2">
        <v>0.64195601851851847</v>
      </c>
      <c r="I3306" t="s">
        <v>9</v>
      </c>
      <c r="J3306" t="s">
        <v>20</v>
      </c>
      <c r="K3306">
        <v>3</v>
      </c>
      <c r="L3306">
        <v>25</v>
      </c>
      <c r="M3306">
        <v>75</v>
      </c>
      <c r="N3306">
        <f>IF(COUNTIFS($B$2:B3306,B3306)=1,1,0)</f>
        <v>0</v>
      </c>
    </row>
    <row r="3307" spans="1:14" x14ac:dyDescent="0.2">
      <c r="A3307">
        <v>3306</v>
      </c>
      <c r="B3307">
        <v>2670</v>
      </c>
      <c r="C3307">
        <f>1/COUNTIF(B:B,Table1[[#This Row],[order_id]])</f>
        <v>0.33333333333333331</v>
      </c>
      <c r="D3307" t="str">
        <f>TEXT(Table1[[#This Row],[order_date]],"mmmm")</f>
        <v>September</v>
      </c>
      <c r="E3307" s="1">
        <v>45547</v>
      </c>
      <c r="F3307" s="1" t="str">
        <f>TEXT(Table1[[#This Row],[order_date]],"dddd")</f>
        <v>Thursday</v>
      </c>
      <c r="G3307">
        <f>HOUR(Table1[[#This Row],[order_time]])</f>
        <v>15</v>
      </c>
      <c r="H3307" s="2">
        <v>0.63520833333333337</v>
      </c>
      <c r="I3307" t="s">
        <v>18</v>
      </c>
      <c r="J3307" t="s">
        <v>19</v>
      </c>
      <c r="K3307">
        <v>4</v>
      </c>
      <c r="L3307">
        <v>50</v>
      </c>
      <c r="M3307">
        <v>200</v>
      </c>
      <c r="N3307">
        <f>IF(COUNTIFS($B$2:B3307,B3307)=1,1,0)</f>
        <v>0</v>
      </c>
    </row>
    <row r="3308" spans="1:14" x14ac:dyDescent="0.2">
      <c r="A3308">
        <v>3307</v>
      </c>
      <c r="B3308">
        <v>2671</v>
      </c>
      <c r="C3308">
        <f>1/COUNTIF(B:B,Table1[[#This Row],[order_id]])</f>
        <v>0.33333333333333331</v>
      </c>
      <c r="D3308" t="str">
        <f>TEXT(Table1[[#This Row],[order_date]],"mmmm")</f>
        <v>September</v>
      </c>
      <c r="E3308" s="1">
        <v>45547</v>
      </c>
      <c r="F3308" s="1" t="str">
        <f>TEXT(Table1[[#This Row],[order_date]],"dddd")</f>
        <v>Thursday</v>
      </c>
      <c r="G3308">
        <f>HOUR(Table1[[#This Row],[order_time]])</f>
        <v>11</v>
      </c>
      <c r="H3308" s="2">
        <v>0.48504629629629631</v>
      </c>
      <c r="I3308" t="s">
        <v>9</v>
      </c>
      <c r="J3308" t="s">
        <v>21</v>
      </c>
      <c r="K3308">
        <v>5</v>
      </c>
      <c r="L3308">
        <v>10</v>
      </c>
      <c r="M3308">
        <v>50</v>
      </c>
      <c r="N3308">
        <f>IF(COUNTIFS($B$2:B3308,B3308)=1,1,0)</f>
        <v>1</v>
      </c>
    </row>
    <row r="3309" spans="1:14" x14ac:dyDescent="0.2">
      <c r="A3309">
        <v>3308</v>
      </c>
      <c r="B3309">
        <v>2671</v>
      </c>
      <c r="C3309">
        <f>1/COUNTIF(B:B,Table1[[#This Row],[order_id]])</f>
        <v>0.33333333333333331</v>
      </c>
      <c r="D3309" t="str">
        <f>TEXT(Table1[[#This Row],[order_date]],"mmmm")</f>
        <v>September</v>
      </c>
      <c r="E3309" s="1">
        <v>45547</v>
      </c>
      <c r="F3309" s="1" t="str">
        <f>TEXT(Table1[[#This Row],[order_date]],"dddd")</f>
        <v>Thursday</v>
      </c>
      <c r="G3309">
        <f>HOUR(Table1[[#This Row],[order_time]])</f>
        <v>20</v>
      </c>
      <c r="H3309" s="2">
        <v>0.86954861111111115</v>
      </c>
      <c r="I3309" t="s">
        <v>16</v>
      </c>
      <c r="J3309" t="s">
        <v>24</v>
      </c>
      <c r="K3309">
        <v>5</v>
      </c>
      <c r="L3309">
        <v>35</v>
      </c>
      <c r="M3309">
        <v>175</v>
      </c>
      <c r="N3309">
        <f>IF(COUNTIFS($B$2:B3309,B3309)=1,1,0)</f>
        <v>0</v>
      </c>
    </row>
    <row r="3310" spans="1:14" x14ac:dyDescent="0.2">
      <c r="A3310">
        <v>3309</v>
      </c>
      <c r="B3310">
        <v>2671</v>
      </c>
      <c r="C3310">
        <f>1/COUNTIF(B:B,Table1[[#This Row],[order_id]])</f>
        <v>0.33333333333333331</v>
      </c>
      <c r="D3310" t="str">
        <f>TEXT(Table1[[#This Row],[order_date]],"mmmm")</f>
        <v>September</v>
      </c>
      <c r="E3310" s="1">
        <v>45547</v>
      </c>
      <c r="F3310" s="1" t="str">
        <f>TEXT(Table1[[#This Row],[order_date]],"dddd")</f>
        <v>Thursday</v>
      </c>
      <c r="G3310">
        <f>HOUR(Table1[[#This Row],[order_time]])</f>
        <v>19</v>
      </c>
      <c r="H3310" s="2">
        <v>0.80523148148148149</v>
      </c>
      <c r="I3310" t="s">
        <v>11</v>
      </c>
      <c r="J3310" t="s">
        <v>14</v>
      </c>
      <c r="K3310">
        <v>5</v>
      </c>
      <c r="L3310">
        <v>700</v>
      </c>
      <c r="M3310">
        <v>3500</v>
      </c>
      <c r="N3310">
        <f>IF(COUNTIFS($B$2:B3310,B3310)=1,1,0)</f>
        <v>0</v>
      </c>
    </row>
    <row r="3311" spans="1:14" x14ac:dyDescent="0.2">
      <c r="A3311">
        <v>3310</v>
      </c>
      <c r="B3311">
        <v>2672</v>
      </c>
      <c r="C3311">
        <f>1/COUNTIF(B:B,Table1[[#This Row],[order_id]])</f>
        <v>0.5</v>
      </c>
      <c r="D3311" t="str">
        <f>TEXT(Table1[[#This Row],[order_date]],"mmmm")</f>
        <v>September</v>
      </c>
      <c r="E3311" s="1">
        <v>45547</v>
      </c>
      <c r="F3311" s="1" t="str">
        <f>TEXT(Table1[[#This Row],[order_date]],"dddd")</f>
        <v>Thursday</v>
      </c>
      <c r="G3311">
        <f>HOUR(Table1[[#This Row],[order_time]])</f>
        <v>11</v>
      </c>
      <c r="H3311" s="2">
        <v>0.49961805555555555</v>
      </c>
      <c r="I3311" t="s">
        <v>9</v>
      </c>
      <c r="J3311" t="s">
        <v>20</v>
      </c>
      <c r="K3311">
        <v>4</v>
      </c>
      <c r="L3311">
        <v>25</v>
      </c>
      <c r="M3311">
        <v>100</v>
      </c>
      <c r="N3311">
        <f>IF(COUNTIFS($B$2:B3311,B3311)=1,1,0)</f>
        <v>1</v>
      </c>
    </row>
    <row r="3312" spans="1:14" x14ac:dyDescent="0.2">
      <c r="A3312">
        <v>3311</v>
      </c>
      <c r="B3312">
        <v>2672</v>
      </c>
      <c r="C3312">
        <f>1/COUNTIF(B:B,Table1[[#This Row],[order_id]])</f>
        <v>0.5</v>
      </c>
      <c r="D3312" t="str">
        <f>TEXT(Table1[[#This Row],[order_date]],"mmmm")</f>
        <v>September</v>
      </c>
      <c r="E3312" s="1">
        <v>45547</v>
      </c>
      <c r="F3312" s="1" t="str">
        <f>TEXT(Table1[[#This Row],[order_date]],"dddd")</f>
        <v>Thursday</v>
      </c>
      <c r="G3312">
        <f>HOUR(Table1[[#This Row],[order_time]])</f>
        <v>14</v>
      </c>
      <c r="H3312" s="2">
        <v>0.59634259259259259</v>
      </c>
      <c r="I3312" t="s">
        <v>18</v>
      </c>
      <c r="J3312" t="s">
        <v>30</v>
      </c>
      <c r="K3312">
        <v>4</v>
      </c>
      <c r="L3312">
        <v>60</v>
      </c>
      <c r="M3312">
        <v>240</v>
      </c>
      <c r="N3312">
        <f>IF(COUNTIFS($B$2:B3312,B3312)=1,1,0)</f>
        <v>0</v>
      </c>
    </row>
    <row r="3313" spans="1:14" x14ac:dyDescent="0.2">
      <c r="A3313">
        <v>3312</v>
      </c>
      <c r="B3313">
        <v>2673</v>
      </c>
      <c r="C3313">
        <f>1/COUNTIF(B:B,Table1[[#This Row],[order_id]])</f>
        <v>0.33333333333333331</v>
      </c>
      <c r="D3313" t="str">
        <f>TEXT(Table1[[#This Row],[order_date]],"mmmm")</f>
        <v>September</v>
      </c>
      <c r="E3313" s="1">
        <v>45547</v>
      </c>
      <c r="F3313" s="1" t="str">
        <f>TEXT(Table1[[#This Row],[order_date]],"dddd")</f>
        <v>Thursday</v>
      </c>
      <c r="G3313">
        <f>HOUR(Table1[[#This Row],[order_time]])</f>
        <v>13</v>
      </c>
      <c r="H3313" s="2">
        <v>0.54296296296296298</v>
      </c>
      <c r="I3313" t="s">
        <v>11</v>
      </c>
      <c r="J3313" t="s">
        <v>14</v>
      </c>
      <c r="K3313">
        <v>2</v>
      </c>
      <c r="L3313">
        <v>700</v>
      </c>
      <c r="M3313">
        <v>1400</v>
      </c>
      <c r="N3313">
        <f>IF(COUNTIFS($B$2:B3313,B3313)=1,1,0)</f>
        <v>1</v>
      </c>
    </row>
    <row r="3314" spans="1:14" x14ac:dyDescent="0.2">
      <c r="A3314">
        <v>3313</v>
      </c>
      <c r="B3314">
        <v>2673</v>
      </c>
      <c r="C3314">
        <f>1/COUNTIF(B:B,Table1[[#This Row],[order_id]])</f>
        <v>0.33333333333333331</v>
      </c>
      <c r="D3314" t="str">
        <f>TEXT(Table1[[#This Row],[order_date]],"mmmm")</f>
        <v>September</v>
      </c>
      <c r="E3314" s="1">
        <v>45547</v>
      </c>
      <c r="F3314" s="1" t="str">
        <f>TEXT(Table1[[#This Row],[order_date]],"dddd")</f>
        <v>Thursday</v>
      </c>
      <c r="G3314">
        <f>HOUR(Table1[[#This Row],[order_time]])</f>
        <v>15</v>
      </c>
      <c r="H3314" s="2">
        <v>0.64875000000000005</v>
      </c>
      <c r="I3314" t="s">
        <v>11</v>
      </c>
      <c r="J3314" t="s">
        <v>14</v>
      </c>
      <c r="K3314">
        <v>1</v>
      </c>
      <c r="L3314">
        <v>700</v>
      </c>
      <c r="M3314">
        <v>700</v>
      </c>
      <c r="N3314">
        <f>IF(COUNTIFS($B$2:B3314,B3314)=1,1,0)</f>
        <v>0</v>
      </c>
    </row>
    <row r="3315" spans="1:14" x14ac:dyDescent="0.2">
      <c r="A3315">
        <v>3314</v>
      </c>
      <c r="B3315">
        <v>2673</v>
      </c>
      <c r="C3315">
        <f>1/COUNTIF(B:B,Table1[[#This Row],[order_id]])</f>
        <v>0.33333333333333331</v>
      </c>
      <c r="D3315" t="str">
        <f>TEXT(Table1[[#This Row],[order_date]],"mmmm")</f>
        <v>September</v>
      </c>
      <c r="E3315" s="1">
        <v>45547</v>
      </c>
      <c r="F3315" s="1" t="str">
        <f>TEXT(Table1[[#This Row],[order_date]],"dddd")</f>
        <v>Thursday</v>
      </c>
      <c r="G3315">
        <f>HOUR(Table1[[#This Row],[order_time]])</f>
        <v>11</v>
      </c>
      <c r="H3315" s="2">
        <v>0.46368055555555554</v>
      </c>
      <c r="I3315" t="s">
        <v>18</v>
      </c>
      <c r="J3315" t="s">
        <v>26</v>
      </c>
      <c r="K3315">
        <v>3</v>
      </c>
      <c r="L3315">
        <v>55</v>
      </c>
      <c r="M3315">
        <v>165</v>
      </c>
      <c r="N3315">
        <f>IF(COUNTIFS($B$2:B3315,B3315)=1,1,0)</f>
        <v>0</v>
      </c>
    </row>
    <row r="3316" spans="1:14" x14ac:dyDescent="0.2">
      <c r="A3316">
        <v>3315</v>
      </c>
      <c r="B3316">
        <v>2674</v>
      </c>
      <c r="C3316">
        <f>1/COUNTIF(B:B,Table1[[#This Row],[order_id]])</f>
        <v>0.33333333333333331</v>
      </c>
      <c r="D3316" t="str">
        <f>TEXT(Table1[[#This Row],[order_date]],"mmmm")</f>
        <v>September</v>
      </c>
      <c r="E3316" s="1">
        <v>45547</v>
      </c>
      <c r="F3316" s="1" t="str">
        <f>TEXT(Table1[[#This Row],[order_date]],"dddd")</f>
        <v>Thursday</v>
      </c>
      <c r="G3316">
        <f>HOUR(Table1[[#This Row],[order_time]])</f>
        <v>19</v>
      </c>
      <c r="H3316" s="2">
        <v>0.80267361111111113</v>
      </c>
      <c r="I3316" t="s">
        <v>11</v>
      </c>
      <c r="J3316" t="s">
        <v>13</v>
      </c>
      <c r="K3316">
        <v>2</v>
      </c>
      <c r="L3316">
        <v>680</v>
      </c>
      <c r="M3316">
        <v>1360</v>
      </c>
      <c r="N3316">
        <f>IF(COUNTIFS($B$2:B3316,B3316)=1,1,0)</f>
        <v>1</v>
      </c>
    </row>
    <row r="3317" spans="1:14" x14ac:dyDescent="0.2">
      <c r="A3317">
        <v>3316</v>
      </c>
      <c r="B3317">
        <v>2674</v>
      </c>
      <c r="C3317">
        <f>1/COUNTIF(B:B,Table1[[#This Row],[order_id]])</f>
        <v>0.33333333333333331</v>
      </c>
      <c r="D3317" t="str">
        <f>TEXT(Table1[[#This Row],[order_date]],"mmmm")</f>
        <v>September</v>
      </c>
      <c r="E3317" s="1">
        <v>45547</v>
      </c>
      <c r="F3317" s="1" t="str">
        <f>TEXT(Table1[[#This Row],[order_date]],"dddd")</f>
        <v>Thursday</v>
      </c>
      <c r="G3317">
        <f>HOUR(Table1[[#This Row],[order_time]])</f>
        <v>16</v>
      </c>
      <c r="H3317" s="2">
        <v>0.66943287037037036</v>
      </c>
      <c r="I3317" t="s">
        <v>9</v>
      </c>
      <c r="J3317" t="s">
        <v>22</v>
      </c>
      <c r="K3317">
        <v>2</v>
      </c>
      <c r="L3317">
        <v>15</v>
      </c>
      <c r="M3317">
        <v>30</v>
      </c>
      <c r="N3317">
        <f>IF(COUNTIFS($B$2:B3317,B3317)=1,1,0)</f>
        <v>0</v>
      </c>
    </row>
    <row r="3318" spans="1:14" x14ac:dyDescent="0.2">
      <c r="A3318">
        <v>3317</v>
      </c>
      <c r="B3318">
        <v>2674</v>
      </c>
      <c r="C3318">
        <f>1/COUNTIF(B:B,Table1[[#This Row],[order_id]])</f>
        <v>0.33333333333333331</v>
      </c>
      <c r="D3318" t="str">
        <f>TEXT(Table1[[#This Row],[order_date]],"mmmm")</f>
        <v>September</v>
      </c>
      <c r="E3318" s="1">
        <v>45547</v>
      </c>
      <c r="F3318" s="1" t="str">
        <f>TEXT(Table1[[#This Row],[order_date]],"dddd")</f>
        <v>Thursday</v>
      </c>
      <c r="G3318">
        <f>HOUR(Table1[[#This Row],[order_time]])</f>
        <v>13</v>
      </c>
      <c r="H3318" s="2">
        <v>0.54178240740740746</v>
      </c>
      <c r="I3318" t="s">
        <v>11</v>
      </c>
      <c r="J3318" t="s">
        <v>14</v>
      </c>
      <c r="K3318">
        <v>3</v>
      </c>
      <c r="L3318">
        <v>700</v>
      </c>
      <c r="M3318">
        <v>2100</v>
      </c>
      <c r="N3318">
        <f>IF(COUNTIFS($B$2:B3318,B3318)=1,1,0)</f>
        <v>0</v>
      </c>
    </row>
    <row r="3319" spans="1:14" x14ac:dyDescent="0.2">
      <c r="A3319">
        <v>3318</v>
      </c>
      <c r="B3319">
        <v>2675</v>
      </c>
      <c r="C3319">
        <f>1/COUNTIF(B:B,Table1[[#This Row],[order_id]])</f>
        <v>0.5</v>
      </c>
      <c r="D3319" t="str">
        <f>TEXT(Table1[[#This Row],[order_date]],"mmmm")</f>
        <v>September</v>
      </c>
      <c r="E3319" s="1">
        <v>45547</v>
      </c>
      <c r="F3319" s="1" t="str">
        <f>TEXT(Table1[[#This Row],[order_date]],"dddd")</f>
        <v>Thursday</v>
      </c>
      <c r="G3319">
        <f>HOUR(Table1[[#This Row],[order_time]])</f>
        <v>13</v>
      </c>
      <c r="H3319" s="2">
        <v>0.5514930555555555</v>
      </c>
      <c r="I3319" t="s">
        <v>11</v>
      </c>
      <c r="J3319" t="s">
        <v>15</v>
      </c>
      <c r="K3319">
        <v>2</v>
      </c>
      <c r="L3319">
        <v>600</v>
      </c>
      <c r="M3319">
        <v>1200</v>
      </c>
      <c r="N3319">
        <f>IF(COUNTIFS($B$2:B3319,B3319)=1,1,0)</f>
        <v>1</v>
      </c>
    </row>
    <row r="3320" spans="1:14" x14ac:dyDescent="0.2">
      <c r="A3320">
        <v>3319</v>
      </c>
      <c r="B3320">
        <v>2675</v>
      </c>
      <c r="C3320">
        <f>1/COUNTIF(B:B,Table1[[#This Row],[order_id]])</f>
        <v>0.5</v>
      </c>
      <c r="D3320" t="str">
        <f>TEXT(Table1[[#This Row],[order_date]],"mmmm")</f>
        <v>September</v>
      </c>
      <c r="E3320" s="1">
        <v>45547</v>
      </c>
      <c r="F3320" s="1" t="str">
        <f>TEXT(Table1[[#This Row],[order_date]],"dddd")</f>
        <v>Thursday</v>
      </c>
      <c r="G3320">
        <f>HOUR(Table1[[#This Row],[order_time]])</f>
        <v>18</v>
      </c>
      <c r="H3320" s="2">
        <v>0.77789351851851851</v>
      </c>
      <c r="I3320" t="s">
        <v>9</v>
      </c>
      <c r="J3320" t="s">
        <v>10</v>
      </c>
      <c r="K3320">
        <v>5</v>
      </c>
      <c r="L3320">
        <v>20</v>
      </c>
      <c r="M3320">
        <v>100</v>
      </c>
      <c r="N3320">
        <f>IF(COUNTIFS($B$2:B3320,B3320)=1,1,0)</f>
        <v>0</v>
      </c>
    </row>
    <row r="3321" spans="1:14" x14ac:dyDescent="0.2">
      <c r="A3321">
        <v>3320</v>
      </c>
      <c r="B3321">
        <v>2676</v>
      </c>
      <c r="C3321">
        <f>1/COUNTIF(B:B,Table1[[#This Row],[order_id]])</f>
        <v>0.33333333333333331</v>
      </c>
      <c r="D3321" t="str">
        <f>TEXT(Table1[[#This Row],[order_date]],"mmmm")</f>
        <v>September</v>
      </c>
      <c r="E3321" s="1">
        <v>45548</v>
      </c>
      <c r="F3321" s="1" t="str">
        <f>TEXT(Table1[[#This Row],[order_date]],"dddd")</f>
        <v>Friday</v>
      </c>
      <c r="G3321">
        <f>HOUR(Table1[[#This Row],[order_time]])</f>
        <v>19</v>
      </c>
      <c r="H3321" s="2">
        <v>0.79819444444444443</v>
      </c>
      <c r="I3321" t="s">
        <v>16</v>
      </c>
      <c r="J3321" t="s">
        <v>23</v>
      </c>
      <c r="K3321">
        <v>3</v>
      </c>
      <c r="L3321">
        <v>30</v>
      </c>
      <c r="M3321">
        <v>90</v>
      </c>
      <c r="N3321">
        <f>IF(COUNTIFS($B$2:B3321,B3321)=1,1,0)</f>
        <v>1</v>
      </c>
    </row>
    <row r="3322" spans="1:14" x14ac:dyDescent="0.2">
      <c r="A3322">
        <v>3321</v>
      </c>
      <c r="B3322">
        <v>2676</v>
      </c>
      <c r="C3322">
        <f>1/COUNTIF(B:B,Table1[[#This Row],[order_id]])</f>
        <v>0.33333333333333331</v>
      </c>
      <c r="D3322" t="str">
        <f>TEXT(Table1[[#This Row],[order_date]],"mmmm")</f>
        <v>September</v>
      </c>
      <c r="E3322" s="1">
        <v>45548</v>
      </c>
      <c r="F3322" s="1" t="str">
        <f>TEXT(Table1[[#This Row],[order_date]],"dddd")</f>
        <v>Friday</v>
      </c>
      <c r="G3322">
        <f>HOUR(Table1[[#This Row],[order_time]])</f>
        <v>15</v>
      </c>
      <c r="H3322" s="2">
        <v>0.65380787037037036</v>
      </c>
      <c r="I3322" t="s">
        <v>16</v>
      </c>
      <c r="J3322" t="s">
        <v>23</v>
      </c>
      <c r="K3322">
        <v>2</v>
      </c>
      <c r="L3322">
        <v>30</v>
      </c>
      <c r="M3322">
        <v>60</v>
      </c>
      <c r="N3322">
        <f>IF(COUNTIFS($B$2:B3322,B3322)=1,1,0)</f>
        <v>0</v>
      </c>
    </row>
    <row r="3323" spans="1:14" x14ac:dyDescent="0.2">
      <c r="A3323">
        <v>3322</v>
      </c>
      <c r="B3323">
        <v>2676</v>
      </c>
      <c r="C3323">
        <f>1/COUNTIF(B:B,Table1[[#This Row],[order_id]])</f>
        <v>0.33333333333333331</v>
      </c>
      <c r="D3323" t="str">
        <f>TEXT(Table1[[#This Row],[order_date]],"mmmm")</f>
        <v>September</v>
      </c>
      <c r="E3323" s="1">
        <v>45548</v>
      </c>
      <c r="F3323" s="1" t="str">
        <f>TEXT(Table1[[#This Row],[order_date]],"dddd")</f>
        <v>Friday</v>
      </c>
      <c r="G3323">
        <f>HOUR(Table1[[#This Row],[order_time]])</f>
        <v>19</v>
      </c>
      <c r="H3323" s="2">
        <v>0.83163194444444444</v>
      </c>
      <c r="I3323" t="s">
        <v>16</v>
      </c>
      <c r="J3323" t="s">
        <v>28</v>
      </c>
      <c r="K3323">
        <v>3</v>
      </c>
      <c r="L3323">
        <v>25</v>
      </c>
      <c r="M3323">
        <v>75</v>
      </c>
      <c r="N3323">
        <f>IF(COUNTIFS($B$2:B3323,B3323)=1,1,0)</f>
        <v>0</v>
      </c>
    </row>
    <row r="3324" spans="1:14" x14ac:dyDescent="0.2">
      <c r="A3324">
        <v>3323</v>
      </c>
      <c r="B3324">
        <v>2677</v>
      </c>
      <c r="C3324">
        <f>1/COUNTIF(B:B,Table1[[#This Row],[order_id]])</f>
        <v>0.5</v>
      </c>
      <c r="D3324" t="str">
        <f>TEXT(Table1[[#This Row],[order_date]],"mmmm")</f>
        <v>September</v>
      </c>
      <c r="E3324" s="1">
        <v>45548</v>
      </c>
      <c r="F3324" s="1" t="str">
        <f>TEXT(Table1[[#This Row],[order_date]],"dddd")</f>
        <v>Friday</v>
      </c>
      <c r="G3324">
        <f>HOUR(Table1[[#This Row],[order_time]])</f>
        <v>19</v>
      </c>
      <c r="H3324" s="2">
        <v>0.79835648148148153</v>
      </c>
      <c r="I3324" t="s">
        <v>18</v>
      </c>
      <c r="J3324" t="s">
        <v>31</v>
      </c>
      <c r="K3324">
        <v>3</v>
      </c>
      <c r="L3324">
        <v>45</v>
      </c>
      <c r="M3324">
        <v>135</v>
      </c>
      <c r="N3324">
        <f>IF(COUNTIFS($B$2:B3324,B3324)=1,1,0)</f>
        <v>1</v>
      </c>
    </row>
    <row r="3325" spans="1:14" x14ac:dyDescent="0.2">
      <c r="A3325">
        <v>3324</v>
      </c>
      <c r="B3325">
        <v>2677</v>
      </c>
      <c r="C3325">
        <f>1/COUNTIF(B:B,Table1[[#This Row],[order_id]])</f>
        <v>0.5</v>
      </c>
      <c r="D3325" t="str">
        <f>TEXT(Table1[[#This Row],[order_date]],"mmmm")</f>
        <v>September</v>
      </c>
      <c r="E3325" s="1">
        <v>45548</v>
      </c>
      <c r="F3325" s="1" t="str">
        <f>TEXT(Table1[[#This Row],[order_date]],"dddd")</f>
        <v>Friday</v>
      </c>
      <c r="G3325">
        <f>HOUR(Table1[[#This Row],[order_time]])</f>
        <v>12</v>
      </c>
      <c r="H3325" s="2">
        <v>0.53105324074074078</v>
      </c>
      <c r="I3325" t="s">
        <v>11</v>
      </c>
      <c r="J3325" t="s">
        <v>25</v>
      </c>
      <c r="K3325">
        <v>1</v>
      </c>
      <c r="L3325">
        <v>1000</v>
      </c>
      <c r="M3325">
        <v>1000</v>
      </c>
      <c r="N3325">
        <f>IF(COUNTIFS($B$2:B3325,B3325)=1,1,0)</f>
        <v>0</v>
      </c>
    </row>
    <row r="3326" spans="1:14" x14ac:dyDescent="0.2">
      <c r="A3326">
        <v>3325</v>
      </c>
      <c r="B3326">
        <v>2678</v>
      </c>
      <c r="C3326">
        <f>1/COUNTIF(B:B,Table1[[#This Row],[order_id]])</f>
        <v>1</v>
      </c>
      <c r="D3326" t="str">
        <f>TEXT(Table1[[#This Row],[order_date]],"mmmm")</f>
        <v>September</v>
      </c>
      <c r="E3326" s="1">
        <v>45548</v>
      </c>
      <c r="F3326" s="1" t="str">
        <f>TEXT(Table1[[#This Row],[order_date]],"dddd")</f>
        <v>Friday</v>
      </c>
      <c r="G3326">
        <f>HOUR(Table1[[#This Row],[order_time]])</f>
        <v>12</v>
      </c>
      <c r="H3326" s="2">
        <v>0.53331018518518514</v>
      </c>
      <c r="I3326" t="s">
        <v>18</v>
      </c>
      <c r="J3326" t="s">
        <v>26</v>
      </c>
      <c r="K3326">
        <v>1</v>
      </c>
      <c r="L3326">
        <v>55</v>
      </c>
      <c r="M3326">
        <v>55</v>
      </c>
      <c r="N3326">
        <f>IF(COUNTIFS($B$2:B3326,B3326)=1,1,0)</f>
        <v>1</v>
      </c>
    </row>
    <row r="3327" spans="1:14" x14ac:dyDescent="0.2">
      <c r="A3327">
        <v>3326</v>
      </c>
      <c r="B3327">
        <v>2679</v>
      </c>
      <c r="C3327">
        <f>1/COUNTIF(B:B,Table1[[#This Row],[order_id]])</f>
        <v>0.33333333333333331</v>
      </c>
      <c r="D3327" t="str">
        <f>TEXT(Table1[[#This Row],[order_date]],"mmmm")</f>
        <v>September</v>
      </c>
      <c r="E3327" s="1">
        <v>45549</v>
      </c>
      <c r="F3327" s="1" t="str">
        <f>TEXT(Table1[[#This Row],[order_date]],"dddd")</f>
        <v>Saturday</v>
      </c>
      <c r="G3327">
        <f>HOUR(Table1[[#This Row],[order_time]])</f>
        <v>14</v>
      </c>
      <c r="H3327" s="2">
        <v>0.59987268518518522</v>
      </c>
      <c r="I3327" t="s">
        <v>16</v>
      </c>
      <c r="J3327" t="s">
        <v>24</v>
      </c>
      <c r="K3327">
        <v>5</v>
      </c>
      <c r="L3327">
        <v>35</v>
      </c>
      <c r="M3327">
        <v>175</v>
      </c>
      <c r="N3327">
        <f>IF(COUNTIFS($B$2:B3327,B3327)=1,1,0)</f>
        <v>1</v>
      </c>
    </row>
    <row r="3328" spans="1:14" x14ac:dyDescent="0.2">
      <c r="A3328">
        <v>3327</v>
      </c>
      <c r="B3328">
        <v>2679</v>
      </c>
      <c r="C3328">
        <f>1/COUNTIF(B:B,Table1[[#This Row],[order_id]])</f>
        <v>0.33333333333333331</v>
      </c>
      <c r="D3328" t="str">
        <f>TEXT(Table1[[#This Row],[order_date]],"mmmm")</f>
        <v>September</v>
      </c>
      <c r="E3328" s="1">
        <v>45549</v>
      </c>
      <c r="F3328" s="1" t="str">
        <f>TEXT(Table1[[#This Row],[order_date]],"dddd")</f>
        <v>Saturday</v>
      </c>
      <c r="G3328">
        <f>HOUR(Table1[[#This Row],[order_time]])</f>
        <v>10</v>
      </c>
      <c r="H3328" s="2">
        <v>0.44936342592592593</v>
      </c>
      <c r="I3328" t="s">
        <v>16</v>
      </c>
      <c r="J3328" t="s">
        <v>17</v>
      </c>
      <c r="K3328">
        <v>2</v>
      </c>
      <c r="L3328">
        <v>20</v>
      </c>
      <c r="M3328">
        <v>40</v>
      </c>
      <c r="N3328">
        <f>IF(COUNTIFS($B$2:B3328,B3328)=1,1,0)</f>
        <v>0</v>
      </c>
    </row>
    <row r="3329" spans="1:14" x14ac:dyDescent="0.2">
      <c r="A3329">
        <v>3328</v>
      </c>
      <c r="B3329">
        <v>2679</v>
      </c>
      <c r="C3329">
        <f>1/COUNTIF(B:B,Table1[[#This Row],[order_id]])</f>
        <v>0.33333333333333331</v>
      </c>
      <c r="D3329" t="str">
        <f>TEXT(Table1[[#This Row],[order_date]],"mmmm")</f>
        <v>September</v>
      </c>
      <c r="E3329" s="1">
        <v>45549</v>
      </c>
      <c r="F3329" s="1" t="str">
        <f>TEXT(Table1[[#This Row],[order_date]],"dddd")</f>
        <v>Saturday</v>
      </c>
      <c r="G3329">
        <f>HOUR(Table1[[#This Row],[order_time]])</f>
        <v>9</v>
      </c>
      <c r="H3329" s="2">
        <v>0.37511574074074072</v>
      </c>
      <c r="I3329" t="s">
        <v>16</v>
      </c>
      <c r="J3329" t="s">
        <v>24</v>
      </c>
      <c r="K3329">
        <v>5</v>
      </c>
      <c r="L3329">
        <v>35</v>
      </c>
      <c r="M3329">
        <v>175</v>
      </c>
      <c r="N3329">
        <f>IF(COUNTIFS($B$2:B3329,B3329)=1,1,0)</f>
        <v>0</v>
      </c>
    </row>
    <row r="3330" spans="1:14" x14ac:dyDescent="0.2">
      <c r="A3330">
        <v>3329</v>
      </c>
      <c r="B3330">
        <v>2680</v>
      </c>
      <c r="C3330">
        <f>1/COUNTIF(B:B,Table1[[#This Row],[order_id]])</f>
        <v>0.33333333333333331</v>
      </c>
      <c r="D3330" t="str">
        <f>TEXT(Table1[[#This Row],[order_date]],"mmmm")</f>
        <v>September</v>
      </c>
      <c r="E3330" s="1">
        <v>45549</v>
      </c>
      <c r="F3330" s="1" t="str">
        <f>TEXT(Table1[[#This Row],[order_date]],"dddd")</f>
        <v>Saturday</v>
      </c>
      <c r="G3330">
        <f>HOUR(Table1[[#This Row],[order_time]])</f>
        <v>18</v>
      </c>
      <c r="H3330" s="2">
        <v>0.75946759259259256</v>
      </c>
      <c r="I3330" t="s">
        <v>9</v>
      </c>
      <c r="J3330" t="s">
        <v>29</v>
      </c>
      <c r="K3330">
        <v>3</v>
      </c>
      <c r="L3330">
        <v>5</v>
      </c>
      <c r="M3330">
        <v>15</v>
      </c>
      <c r="N3330">
        <f>IF(COUNTIFS($B$2:B3330,B3330)=1,1,0)</f>
        <v>1</v>
      </c>
    </row>
    <row r="3331" spans="1:14" x14ac:dyDescent="0.2">
      <c r="A3331">
        <v>3330</v>
      </c>
      <c r="B3331">
        <v>2680</v>
      </c>
      <c r="C3331">
        <f>1/COUNTIF(B:B,Table1[[#This Row],[order_id]])</f>
        <v>0.33333333333333331</v>
      </c>
      <c r="D3331" t="str">
        <f>TEXT(Table1[[#This Row],[order_date]],"mmmm")</f>
        <v>September</v>
      </c>
      <c r="E3331" s="1">
        <v>45549</v>
      </c>
      <c r="F3331" s="1" t="str">
        <f>TEXT(Table1[[#This Row],[order_date]],"dddd")</f>
        <v>Saturday</v>
      </c>
      <c r="G3331">
        <f>HOUR(Table1[[#This Row],[order_time]])</f>
        <v>15</v>
      </c>
      <c r="H3331" s="2">
        <v>0.63878472222222227</v>
      </c>
      <c r="I3331" t="s">
        <v>9</v>
      </c>
      <c r="J3331" t="s">
        <v>22</v>
      </c>
      <c r="K3331">
        <v>1</v>
      </c>
      <c r="L3331">
        <v>15</v>
      </c>
      <c r="M3331">
        <v>15</v>
      </c>
      <c r="N3331">
        <f>IF(COUNTIFS($B$2:B3331,B3331)=1,1,0)</f>
        <v>0</v>
      </c>
    </row>
    <row r="3332" spans="1:14" x14ac:dyDescent="0.2">
      <c r="A3332">
        <v>3331</v>
      </c>
      <c r="B3332">
        <v>2680</v>
      </c>
      <c r="C3332">
        <f>1/COUNTIF(B:B,Table1[[#This Row],[order_id]])</f>
        <v>0.33333333333333331</v>
      </c>
      <c r="D3332" t="str">
        <f>TEXT(Table1[[#This Row],[order_date]],"mmmm")</f>
        <v>September</v>
      </c>
      <c r="E3332" s="1">
        <v>45549</v>
      </c>
      <c r="F3332" s="1" t="str">
        <f>TEXT(Table1[[#This Row],[order_date]],"dddd")</f>
        <v>Saturday</v>
      </c>
      <c r="G3332">
        <f>HOUR(Table1[[#This Row],[order_time]])</f>
        <v>19</v>
      </c>
      <c r="H3332" s="2">
        <v>0.82709490740740743</v>
      </c>
      <c r="I3332" t="s">
        <v>9</v>
      </c>
      <c r="J3332" t="s">
        <v>20</v>
      </c>
      <c r="K3332">
        <v>4</v>
      </c>
      <c r="L3332">
        <v>25</v>
      </c>
      <c r="M3332">
        <v>100</v>
      </c>
      <c r="N3332">
        <f>IF(COUNTIFS($B$2:B3332,B3332)=1,1,0)</f>
        <v>0</v>
      </c>
    </row>
    <row r="3333" spans="1:14" x14ac:dyDescent="0.2">
      <c r="A3333">
        <v>3332</v>
      </c>
      <c r="B3333">
        <v>2681</v>
      </c>
      <c r="C3333">
        <f>1/COUNTIF(B:B,Table1[[#This Row],[order_id]])</f>
        <v>1</v>
      </c>
      <c r="D3333" t="str">
        <f>TEXT(Table1[[#This Row],[order_date]],"mmmm")</f>
        <v>September</v>
      </c>
      <c r="E3333" s="1">
        <v>45549</v>
      </c>
      <c r="F3333" s="1" t="str">
        <f>TEXT(Table1[[#This Row],[order_date]],"dddd")</f>
        <v>Saturday</v>
      </c>
      <c r="G3333">
        <f>HOUR(Table1[[#This Row],[order_time]])</f>
        <v>11</v>
      </c>
      <c r="H3333" s="2">
        <v>0.49421296296296297</v>
      </c>
      <c r="I3333" t="s">
        <v>9</v>
      </c>
      <c r="J3333" t="s">
        <v>10</v>
      </c>
      <c r="K3333">
        <v>5</v>
      </c>
      <c r="L3333">
        <v>20</v>
      </c>
      <c r="M3333">
        <v>100</v>
      </c>
      <c r="N3333">
        <f>IF(COUNTIFS($B$2:B3333,B3333)=1,1,0)</f>
        <v>1</v>
      </c>
    </row>
    <row r="3334" spans="1:14" x14ac:dyDescent="0.2">
      <c r="A3334">
        <v>3333</v>
      </c>
      <c r="B3334">
        <v>2682</v>
      </c>
      <c r="C3334">
        <f>1/COUNTIF(B:B,Table1[[#This Row],[order_id]])</f>
        <v>0.33333333333333331</v>
      </c>
      <c r="D3334" t="str">
        <f>TEXT(Table1[[#This Row],[order_date]],"mmmm")</f>
        <v>September</v>
      </c>
      <c r="E3334" s="1">
        <v>45549</v>
      </c>
      <c r="F3334" s="1" t="str">
        <f>TEXT(Table1[[#This Row],[order_date]],"dddd")</f>
        <v>Saturday</v>
      </c>
      <c r="G3334">
        <f>HOUR(Table1[[#This Row],[order_time]])</f>
        <v>12</v>
      </c>
      <c r="H3334" s="2">
        <v>0.51180555555555551</v>
      </c>
      <c r="I3334" t="s">
        <v>9</v>
      </c>
      <c r="J3334" t="s">
        <v>20</v>
      </c>
      <c r="K3334">
        <v>5</v>
      </c>
      <c r="L3334">
        <v>25</v>
      </c>
      <c r="M3334">
        <v>125</v>
      </c>
      <c r="N3334">
        <f>IF(COUNTIFS($B$2:B3334,B3334)=1,1,0)</f>
        <v>1</v>
      </c>
    </row>
    <row r="3335" spans="1:14" x14ac:dyDescent="0.2">
      <c r="A3335">
        <v>3334</v>
      </c>
      <c r="B3335">
        <v>2682</v>
      </c>
      <c r="C3335">
        <f>1/COUNTIF(B:B,Table1[[#This Row],[order_id]])</f>
        <v>0.33333333333333331</v>
      </c>
      <c r="D3335" t="str">
        <f>TEXT(Table1[[#This Row],[order_date]],"mmmm")</f>
        <v>September</v>
      </c>
      <c r="E3335" s="1">
        <v>45549</v>
      </c>
      <c r="F3335" s="1" t="str">
        <f>TEXT(Table1[[#This Row],[order_date]],"dddd")</f>
        <v>Saturday</v>
      </c>
      <c r="G3335">
        <f>HOUR(Table1[[#This Row],[order_time]])</f>
        <v>16</v>
      </c>
      <c r="H3335" s="2">
        <v>0.69592592592592595</v>
      </c>
      <c r="I3335" t="s">
        <v>9</v>
      </c>
      <c r="J3335" t="s">
        <v>29</v>
      </c>
      <c r="K3335">
        <v>4</v>
      </c>
      <c r="L3335">
        <v>5</v>
      </c>
      <c r="M3335">
        <v>20</v>
      </c>
      <c r="N3335">
        <f>IF(COUNTIFS($B$2:B3335,B3335)=1,1,0)</f>
        <v>0</v>
      </c>
    </row>
    <row r="3336" spans="1:14" x14ac:dyDescent="0.2">
      <c r="A3336">
        <v>3335</v>
      </c>
      <c r="B3336">
        <v>2682</v>
      </c>
      <c r="C3336">
        <f>1/COUNTIF(B:B,Table1[[#This Row],[order_id]])</f>
        <v>0.33333333333333331</v>
      </c>
      <c r="D3336" t="str">
        <f>TEXT(Table1[[#This Row],[order_date]],"mmmm")</f>
        <v>September</v>
      </c>
      <c r="E3336" s="1">
        <v>45549</v>
      </c>
      <c r="F3336" s="1" t="str">
        <f>TEXT(Table1[[#This Row],[order_date]],"dddd")</f>
        <v>Saturday</v>
      </c>
      <c r="G3336">
        <f>HOUR(Table1[[#This Row],[order_time]])</f>
        <v>10</v>
      </c>
      <c r="H3336" s="2">
        <v>0.45210648148148147</v>
      </c>
      <c r="I3336" t="s">
        <v>11</v>
      </c>
      <c r="J3336" t="s">
        <v>15</v>
      </c>
      <c r="K3336">
        <v>2</v>
      </c>
      <c r="L3336">
        <v>600</v>
      </c>
      <c r="M3336">
        <v>1200</v>
      </c>
      <c r="N3336">
        <f>IF(COUNTIFS($B$2:B3336,B3336)=1,1,0)</f>
        <v>0</v>
      </c>
    </row>
    <row r="3337" spans="1:14" x14ac:dyDescent="0.2">
      <c r="A3337">
        <v>3336</v>
      </c>
      <c r="B3337">
        <v>2683</v>
      </c>
      <c r="C3337">
        <f>1/COUNTIF(B:B,Table1[[#This Row],[order_id]])</f>
        <v>0.33333333333333331</v>
      </c>
      <c r="D3337" t="str">
        <f>TEXT(Table1[[#This Row],[order_date]],"mmmm")</f>
        <v>September</v>
      </c>
      <c r="E3337" s="1">
        <v>45549</v>
      </c>
      <c r="F3337" s="1" t="str">
        <f>TEXT(Table1[[#This Row],[order_date]],"dddd")</f>
        <v>Saturday</v>
      </c>
      <c r="G3337">
        <f>HOUR(Table1[[#This Row],[order_time]])</f>
        <v>9</v>
      </c>
      <c r="H3337" s="2">
        <v>0.40309027777777778</v>
      </c>
      <c r="I3337" t="s">
        <v>11</v>
      </c>
      <c r="J3337" t="s">
        <v>25</v>
      </c>
      <c r="K3337">
        <v>2</v>
      </c>
      <c r="L3337">
        <v>1000</v>
      </c>
      <c r="M3337">
        <v>2000</v>
      </c>
      <c r="N3337">
        <f>IF(COUNTIFS($B$2:B3337,B3337)=1,1,0)</f>
        <v>1</v>
      </c>
    </row>
    <row r="3338" spans="1:14" x14ac:dyDescent="0.2">
      <c r="A3338">
        <v>3337</v>
      </c>
      <c r="B3338">
        <v>2683</v>
      </c>
      <c r="C3338">
        <f>1/COUNTIF(B:B,Table1[[#This Row],[order_id]])</f>
        <v>0.33333333333333331</v>
      </c>
      <c r="D3338" t="str">
        <f>TEXT(Table1[[#This Row],[order_date]],"mmmm")</f>
        <v>September</v>
      </c>
      <c r="E3338" s="1">
        <v>45549</v>
      </c>
      <c r="F3338" s="1" t="str">
        <f>TEXT(Table1[[#This Row],[order_date]],"dddd")</f>
        <v>Saturday</v>
      </c>
      <c r="G3338">
        <f>HOUR(Table1[[#This Row],[order_time]])</f>
        <v>12</v>
      </c>
      <c r="H3338" s="2">
        <v>0.52268518518518514</v>
      </c>
      <c r="I3338" t="s">
        <v>9</v>
      </c>
      <c r="J3338" t="s">
        <v>21</v>
      </c>
      <c r="K3338">
        <v>3</v>
      </c>
      <c r="L3338">
        <v>10</v>
      </c>
      <c r="M3338">
        <v>30</v>
      </c>
      <c r="N3338">
        <f>IF(COUNTIFS($B$2:B3338,B3338)=1,1,0)</f>
        <v>0</v>
      </c>
    </row>
    <row r="3339" spans="1:14" x14ac:dyDescent="0.2">
      <c r="A3339">
        <v>3338</v>
      </c>
      <c r="B3339">
        <v>2683</v>
      </c>
      <c r="C3339">
        <f>1/COUNTIF(B:B,Table1[[#This Row],[order_id]])</f>
        <v>0.33333333333333331</v>
      </c>
      <c r="D3339" t="str">
        <f>TEXT(Table1[[#This Row],[order_date]],"mmmm")</f>
        <v>September</v>
      </c>
      <c r="E3339" s="1">
        <v>45549</v>
      </c>
      <c r="F3339" s="1" t="str">
        <f>TEXT(Table1[[#This Row],[order_date]],"dddd")</f>
        <v>Saturday</v>
      </c>
      <c r="G3339">
        <f>HOUR(Table1[[#This Row],[order_time]])</f>
        <v>12</v>
      </c>
      <c r="H3339" s="2">
        <v>0.51663194444444449</v>
      </c>
      <c r="I3339" t="s">
        <v>18</v>
      </c>
      <c r="J3339" t="s">
        <v>31</v>
      </c>
      <c r="K3339">
        <v>1</v>
      </c>
      <c r="L3339">
        <v>45</v>
      </c>
      <c r="M3339">
        <v>45</v>
      </c>
      <c r="N3339">
        <f>IF(COUNTIFS($B$2:B3339,B3339)=1,1,0)</f>
        <v>0</v>
      </c>
    </row>
    <row r="3340" spans="1:14" x14ac:dyDescent="0.2">
      <c r="A3340">
        <v>3339</v>
      </c>
      <c r="B3340">
        <v>2684</v>
      </c>
      <c r="C3340">
        <f>1/COUNTIF(B:B,Table1[[#This Row],[order_id]])</f>
        <v>0.33333333333333331</v>
      </c>
      <c r="D3340" t="str">
        <f>TEXT(Table1[[#This Row],[order_date]],"mmmm")</f>
        <v>September</v>
      </c>
      <c r="E3340" s="1">
        <v>45550</v>
      </c>
      <c r="F3340" s="1" t="str">
        <f>TEXT(Table1[[#This Row],[order_date]],"dddd")</f>
        <v>Sunday</v>
      </c>
      <c r="G3340">
        <f>HOUR(Table1[[#This Row],[order_time]])</f>
        <v>17</v>
      </c>
      <c r="H3340" s="2">
        <v>0.74570601851851848</v>
      </c>
      <c r="I3340" t="s">
        <v>11</v>
      </c>
      <c r="J3340" t="s">
        <v>15</v>
      </c>
      <c r="K3340">
        <v>1</v>
      </c>
      <c r="L3340">
        <v>600</v>
      </c>
      <c r="M3340">
        <v>600</v>
      </c>
      <c r="N3340">
        <f>IF(COUNTIFS($B$2:B3340,B3340)=1,1,0)</f>
        <v>1</v>
      </c>
    </row>
    <row r="3341" spans="1:14" x14ac:dyDescent="0.2">
      <c r="A3341">
        <v>3340</v>
      </c>
      <c r="B3341">
        <v>2684</v>
      </c>
      <c r="C3341">
        <f>1/COUNTIF(B:B,Table1[[#This Row],[order_id]])</f>
        <v>0.33333333333333331</v>
      </c>
      <c r="D3341" t="str">
        <f>TEXT(Table1[[#This Row],[order_date]],"mmmm")</f>
        <v>September</v>
      </c>
      <c r="E3341" s="1">
        <v>45550</v>
      </c>
      <c r="F3341" s="1" t="str">
        <f>TEXT(Table1[[#This Row],[order_date]],"dddd")</f>
        <v>Sunday</v>
      </c>
      <c r="G3341">
        <f>HOUR(Table1[[#This Row],[order_time]])</f>
        <v>13</v>
      </c>
      <c r="H3341" s="2">
        <v>0.54974537037037041</v>
      </c>
      <c r="I3341" t="s">
        <v>16</v>
      </c>
      <c r="J3341" t="s">
        <v>28</v>
      </c>
      <c r="K3341">
        <v>4</v>
      </c>
      <c r="L3341">
        <v>25</v>
      </c>
      <c r="M3341">
        <v>100</v>
      </c>
      <c r="N3341">
        <f>IF(COUNTIFS($B$2:B3341,B3341)=1,1,0)</f>
        <v>0</v>
      </c>
    </row>
    <row r="3342" spans="1:14" x14ac:dyDescent="0.2">
      <c r="A3342">
        <v>3341</v>
      </c>
      <c r="B3342">
        <v>2684</v>
      </c>
      <c r="C3342">
        <f>1/COUNTIF(B:B,Table1[[#This Row],[order_id]])</f>
        <v>0.33333333333333331</v>
      </c>
      <c r="D3342" t="str">
        <f>TEXT(Table1[[#This Row],[order_date]],"mmmm")</f>
        <v>September</v>
      </c>
      <c r="E3342" s="1">
        <v>45550</v>
      </c>
      <c r="F3342" s="1" t="str">
        <f>TEXT(Table1[[#This Row],[order_date]],"dddd")</f>
        <v>Sunday</v>
      </c>
      <c r="G3342">
        <f>HOUR(Table1[[#This Row],[order_time]])</f>
        <v>16</v>
      </c>
      <c r="H3342" s="2">
        <v>0.6822569444444444</v>
      </c>
      <c r="I3342" t="s">
        <v>18</v>
      </c>
      <c r="J3342" t="s">
        <v>19</v>
      </c>
      <c r="K3342">
        <v>1</v>
      </c>
      <c r="L3342">
        <v>50</v>
      </c>
      <c r="M3342">
        <v>50</v>
      </c>
      <c r="N3342">
        <f>IF(COUNTIFS($B$2:B3342,B3342)=1,1,0)</f>
        <v>0</v>
      </c>
    </row>
    <row r="3343" spans="1:14" x14ac:dyDescent="0.2">
      <c r="A3343">
        <v>3342</v>
      </c>
      <c r="B3343">
        <v>2685</v>
      </c>
      <c r="C3343">
        <f>1/COUNTIF(B:B,Table1[[#This Row],[order_id]])</f>
        <v>1</v>
      </c>
      <c r="D3343" t="str">
        <f>TEXT(Table1[[#This Row],[order_date]],"mmmm")</f>
        <v>September</v>
      </c>
      <c r="E3343" s="1">
        <v>45550</v>
      </c>
      <c r="F3343" s="1" t="str">
        <f>TEXT(Table1[[#This Row],[order_date]],"dddd")</f>
        <v>Sunday</v>
      </c>
      <c r="G3343">
        <f>HOUR(Table1[[#This Row],[order_time]])</f>
        <v>10</v>
      </c>
      <c r="H3343" s="2">
        <v>0.42179398148148151</v>
      </c>
      <c r="I3343" t="s">
        <v>18</v>
      </c>
      <c r="J3343" t="s">
        <v>27</v>
      </c>
      <c r="K3343">
        <v>2</v>
      </c>
      <c r="L3343">
        <v>40</v>
      </c>
      <c r="M3343">
        <v>80</v>
      </c>
      <c r="N3343">
        <f>IF(COUNTIFS($B$2:B3343,B3343)=1,1,0)</f>
        <v>1</v>
      </c>
    </row>
    <row r="3344" spans="1:14" x14ac:dyDescent="0.2">
      <c r="A3344">
        <v>3343</v>
      </c>
      <c r="B3344">
        <v>2686</v>
      </c>
      <c r="C3344">
        <f>1/COUNTIF(B:B,Table1[[#This Row],[order_id]])</f>
        <v>0.33333333333333331</v>
      </c>
      <c r="D3344" t="str">
        <f>TEXT(Table1[[#This Row],[order_date]],"mmmm")</f>
        <v>September</v>
      </c>
      <c r="E3344" s="1">
        <v>45550</v>
      </c>
      <c r="F3344" s="1" t="str">
        <f>TEXT(Table1[[#This Row],[order_date]],"dddd")</f>
        <v>Sunday</v>
      </c>
      <c r="G3344">
        <f>HOUR(Table1[[#This Row],[order_time]])</f>
        <v>13</v>
      </c>
      <c r="H3344" s="2">
        <v>0.58168981481481485</v>
      </c>
      <c r="I3344" t="s">
        <v>16</v>
      </c>
      <c r="J3344" t="s">
        <v>17</v>
      </c>
      <c r="K3344">
        <v>3</v>
      </c>
      <c r="L3344">
        <v>20</v>
      </c>
      <c r="M3344">
        <v>60</v>
      </c>
      <c r="N3344">
        <f>IF(COUNTIFS($B$2:B3344,B3344)=1,1,0)</f>
        <v>1</v>
      </c>
    </row>
    <row r="3345" spans="1:14" x14ac:dyDescent="0.2">
      <c r="A3345">
        <v>3344</v>
      </c>
      <c r="B3345">
        <v>2686</v>
      </c>
      <c r="C3345">
        <f>1/COUNTIF(B:B,Table1[[#This Row],[order_id]])</f>
        <v>0.33333333333333331</v>
      </c>
      <c r="D3345" t="str">
        <f>TEXT(Table1[[#This Row],[order_date]],"mmmm")</f>
        <v>September</v>
      </c>
      <c r="E3345" s="1">
        <v>45550</v>
      </c>
      <c r="F3345" s="1" t="str">
        <f>TEXT(Table1[[#This Row],[order_date]],"dddd")</f>
        <v>Sunday</v>
      </c>
      <c r="G3345">
        <f>HOUR(Table1[[#This Row],[order_time]])</f>
        <v>9</v>
      </c>
      <c r="H3345" s="2">
        <v>0.39901620370370372</v>
      </c>
      <c r="I3345" t="s">
        <v>9</v>
      </c>
      <c r="J3345" t="s">
        <v>20</v>
      </c>
      <c r="K3345">
        <v>5</v>
      </c>
      <c r="L3345">
        <v>25</v>
      </c>
      <c r="M3345">
        <v>125</v>
      </c>
      <c r="N3345">
        <f>IF(COUNTIFS($B$2:B3345,B3345)=1,1,0)</f>
        <v>0</v>
      </c>
    </row>
    <row r="3346" spans="1:14" x14ac:dyDescent="0.2">
      <c r="A3346">
        <v>3345</v>
      </c>
      <c r="B3346">
        <v>2686</v>
      </c>
      <c r="C3346">
        <f>1/COUNTIF(B:B,Table1[[#This Row],[order_id]])</f>
        <v>0.33333333333333331</v>
      </c>
      <c r="D3346" t="str">
        <f>TEXT(Table1[[#This Row],[order_date]],"mmmm")</f>
        <v>September</v>
      </c>
      <c r="E3346" s="1">
        <v>45550</v>
      </c>
      <c r="F3346" s="1" t="str">
        <f>TEXT(Table1[[#This Row],[order_date]],"dddd")</f>
        <v>Sunday</v>
      </c>
      <c r="G3346">
        <f>HOUR(Table1[[#This Row],[order_time]])</f>
        <v>15</v>
      </c>
      <c r="H3346" s="2">
        <v>0.63560185185185181</v>
      </c>
      <c r="I3346" t="s">
        <v>11</v>
      </c>
      <c r="J3346" t="s">
        <v>14</v>
      </c>
      <c r="K3346">
        <v>4</v>
      </c>
      <c r="L3346">
        <v>700</v>
      </c>
      <c r="M3346">
        <v>2800</v>
      </c>
      <c r="N3346">
        <f>IF(COUNTIFS($B$2:B3346,B3346)=1,1,0)</f>
        <v>0</v>
      </c>
    </row>
    <row r="3347" spans="1:14" x14ac:dyDescent="0.2">
      <c r="A3347">
        <v>3346</v>
      </c>
      <c r="B3347">
        <v>2687</v>
      </c>
      <c r="C3347">
        <f>1/COUNTIF(B:B,Table1[[#This Row],[order_id]])</f>
        <v>1</v>
      </c>
      <c r="D3347" t="str">
        <f>TEXT(Table1[[#This Row],[order_date]],"mmmm")</f>
        <v>September</v>
      </c>
      <c r="E3347" s="1">
        <v>45550</v>
      </c>
      <c r="F3347" s="1" t="str">
        <f>TEXT(Table1[[#This Row],[order_date]],"dddd")</f>
        <v>Sunday</v>
      </c>
      <c r="G3347">
        <f>HOUR(Table1[[#This Row],[order_time]])</f>
        <v>12</v>
      </c>
      <c r="H3347" s="2">
        <v>0.50552083333333331</v>
      </c>
      <c r="I3347" t="s">
        <v>16</v>
      </c>
      <c r="J3347" t="s">
        <v>28</v>
      </c>
      <c r="K3347">
        <v>3</v>
      </c>
      <c r="L3347">
        <v>25</v>
      </c>
      <c r="M3347">
        <v>75</v>
      </c>
      <c r="N3347">
        <f>IF(COUNTIFS($B$2:B3347,B3347)=1,1,0)</f>
        <v>1</v>
      </c>
    </row>
    <row r="3348" spans="1:14" x14ac:dyDescent="0.2">
      <c r="A3348">
        <v>3347</v>
      </c>
      <c r="B3348">
        <v>2688</v>
      </c>
      <c r="C3348">
        <f>1/COUNTIF(B:B,Table1[[#This Row],[order_id]])</f>
        <v>0.5</v>
      </c>
      <c r="D3348" t="str">
        <f>TEXT(Table1[[#This Row],[order_date]],"mmmm")</f>
        <v>September</v>
      </c>
      <c r="E3348" s="1">
        <v>45550</v>
      </c>
      <c r="F3348" s="1" t="str">
        <f>TEXT(Table1[[#This Row],[order_date]],"dddd")</f>
        <v>Sunday</v>
      </c>
      <c r="G3348">
        <f>HOUR(Table1[[#This Row],[order_time]])</f>
        <v>20</v>
      </c>
      <c r="H3348" s="2">
        <v>0.8426851851851852</v>
      </c>
      <c r="I3348" t="s">
        <v>11</v>
      </c>
      <c r="J3348" t="s">
        <v>15</v>
      </c>
      <c r="K3348">
        <v>2</v>
      </c>
      <c r="L3348">
        <v>600</v>
      </c>
      <c r="M3348">
        <v>1200</v>
      </c>
      <c r="N3348">
        <f>IF(COUNTIFS($B$2:B3348,B3348)=1,1,0)</f>
        <v>1</v>
      </c>
    </row>
    <row r="3349" spans="1:14" x14ac:dyDescent="0.2">
      <c r="A3349">
        <v>3348</v>
      </c>
      <c r="B3349">
        <v>2688</v>
      </c>
      <c r="C3349">
        <f>1/COUNTIF(B:B,Table1[[#This Row],[order_id]])</f>
        <v>0.5</v>
      </c>
      <c r="D3349" t="str">
        <f>TEXT(Table1[[#This Row],[order_date]],"mmmm")</f>
        <v>September</v>
      </c>
      <c r="E3349" s="1">
        <v>45550</v>
      </c>
      <c r="F3349" s="1" t="str">
        <f>TEXT(Table1[[#This Row],[order_date]],"dddd")</f>
        <v>Sunday</v>
      </c>
      <c r="G3349">
        <f>HOUR(Table1[[#This Row],[order_time]])</f>
        <v>9</v>
      </c>
      <c r="H3349" s="2">
        <v>0.40714120370370371</v>
      </c>
      <c r="I3349" t="s">
        <v>18</v>
      </c>
      <c r="J3349" t="s">
        <v>31</v>
      </c>
      <c r="K3349">
        <v>2</v>
      </c>
      <c r="L3349">
        <v>45</v>
      </c>
      <c r="M3349">
        <v>90</v>
      </c>
      <c r="N3349">
        <f>IF(COUNTIFS($B$2:B3349,B3349)=1,1,0)</f>
        <v>0</v>
      </c>
    </row>
    <row r="3350" spans="1:14" x14ac:dyDescent="0.2">
      <c r="A3350">
        <v>3349</v>
      </c>
      <c r="B3350">
        <v>2689</v>
      </c>
      <c r="C3350">
        <f>1/COUNTIF(B:B,Table1[[#This Row],[order_id]])</f>
        <v>0.5</v>
      </c>
      <c r="D3350" t="str">
        <f>TEXT(Table1[[#This Row],[order_date]],"mmmm")</f>
        <v>September</v>
      </c>
      <c r="E3350" s="1">
        <v>45550</v>
      </c>
      <c r="F3350" s="1" t="str">
        <f>TEXT(Table1[[#This Row],[order_date]],"dddd")</f>
        <v>Sunday</v>
      </c>
      <c r="G3350">
        <f>HOUR(Table1[[#This Row],[order_time]])</f>
        <v>19</v>
      </c>
      <c r="H3350" s="2">
        <v>0.79767361111111112</v>
      </c>
      <c r="I3350" t="s">
        <v>16</v>
      </c>
      <c r="J3350" t="s">
        <v>17</v>
      </c>
      <c r="K3350">
        <v>1</v>
      </c>
      <c r="L3350">
        <v>20</v>
      </c>
      <c r="M3350">
        <v>20</v>
      </c>
      <c r="N3350">
        <f>IF(COUNTIFS($B$2:B3350,B3350)=1,1,0)</f>
        <v>1</v>
      </c>
    </row>
    <row r="3351" spans="1:14" x14ac:dyDescent="0.2">
      <c r="A3351">
        <v>3350</v>
      </c>
      <c r="B3351">
        <v>2689</v>
      </c>
      <c r="C3351">
        <f>1/COUNTIF(B:B,Table1[[#This Row],[order_id]])</f>
        <v>0.5</v>
      </c>
      <c r="D3351" t="str">
        <f>TEXT(Table1[[#This Row],[order_date]],"mmmm")</f>
        <v>September</v>
      </c>
      <c r="E3351" s="1">
        <v>45550</v>
      </c>
      <c r="F3351" s="1" t="str">
        <f>TEXT(Table1[[#This Row],[order_date]],"dddd")</f>
        <v>Sunday</v>
      </c>
      <c r="G3351">
        <f>HOUR(Table1[[#This Row],[order_time]])</f>
        <v>16</v>
      </c>
      <c r="H3351" s="2">
        <v>0.68814814814814818</v>
      </c>
      <c r="I3351" t="s">
        <v>16</v>
      </c>
      <c r="J3351" t="s">
        <v>23</v>
      </c>
      <c r="K3351">
        <v>2</v>
      </c>
      <c r="L3351">
        <v>30</v>
      </c>
      <c r="M3351">
        <v>60</v>
      </c>
      <c r="N3351">
        <f>IF(COUNTIFS($B$2:B3351,B3351)=1,1,0)</f>
        <v>0</v>
      </c>
    </row>
    <row r="3352" spans="1:14" x14ac:dyDescent="0.2">
      <c r="A3352">
        <v>3351</v>
      </c>
      <c r="B3352">
        <v>2690</v>
      </c>
      <c r="C3352">
        <f>1/COUNTIF(B:B,Table1[[#This Row],[order_id]])</f>
        <v>0.5</v>
      </c>
      <c r="D3352" t="str">
        <f>TEXT(Table1[[#This Row],[order_date]],"mmmm")</f>
        <v>September</v>
      </c>
      <c r="E3352" s="1">
        <v>45551</v>
      </c>
      <c r="F3352" s="1" t="str">
        <f>TEXT(Table1[[#This Row],[order_date]],"dddd")</f>
        <v>Monday</v>
      </c>
      <c r="G3352">
        <f>HOUR(Table1[[#This Row],[order_time]])</f>
        <v>12</v>
      </c>
      <c r="H3352" s="2">
        <v>0.50381944444444449</v>
      </c>
      <c r="I3352" t="s">
        <v>11</v>
      </c>
      <c r="J3352" t="s">
        <v>12</v>
      </c>
      <c r="K3352">
        <v>3</v>
      </c>
      <c r="L3352">
        <v>650</v>
      </c>
      <c r="M3352">
        <v>1950</v>
      </c>
      <c r="N3352">
        <f>IF(COUNTIFS($B$2:B3352,B3352)=1,1,0)</f>
        <v>1</v>
      </c>
    </row>
    <row r="3353" spans="1:14" x14ac:dyDescent="0.2">
      <c r="A3353">
        <v>3352</v>
      </c>
      <c r="B3353">
        <v>2690</v>
      </c>
      <c r="C3353">
        <f>1/COUNTIF(B:B,Table1[[#This Row],[order_id]])</f>
        <v>0.5</v>
      </c>
      <c r="D3353" t="str">
        <f>TEXT(Table1[[#This Row],[order_date]],"mmmm")</f>
        <v>September</v>
      </c>
      <c r="E3353" s="1">
        <v>45551</v>
      </c>
      <c r="F3353" s="1" t="str">
        <f>TEXT(Table1[[#This Row],[order_date]],"dddd")</f>
        <v>Monday</v>
      </c>
      <c r="G3353">
        <f>HOUR(Table1[[#This Row],[order_time]])</f>
        <v>16</v>
      </c>
      <c r="H3353" s="2">
        <v>0.70660879629629625</v>
      </c>
      <c r="I3353" t="s">
        <v>9</v>
      </c>
      <c r="J3353" t="s">
        <v>22</v>
      </c>
      <c r="K3353">
        <v>4</v>
      </c>
      <c r="L3353">
        <v>15</v>
      </c>
      <c r="M3353">
        <v>60</v>
      </c>
      <c r="N3353">
        <f>IF(COUNTIFS($B$2:B3353,B3353)=1,1,0)</f>
        <v>0</v>
      </c>
    </row>
    <row r="3354" spans="1:14" x14ac:dyDescent="0.2">
      <c r="A3354">
        <v>3353</v>
      </c>
      <c r="B3354">
        <v>2691</v>
      </c>
      <c r="C3354">
        <f>1/COUNTIF(B:B,Table1[[#This Row],[order_id]])</f>
        <v>1</v>
      </c>
      <c r="D3354" t="str">
        <f>TEXT(Table1[[#This Row],[order_date]],"mmmm")</f>
        <v>September</v>
      </c>
      <c r="E3354" s="1">
        <v>45551</v>
      </c>
      <c r="F3354" s="1" t="str">
        <f>TEXT(Table1[[#This Row],[order_date]],"dddd")</f>
        <v>Monday</v>
      </c>
      <c r="G3354">
        <f>HOUR(Table1[[#This Row],[order_time]])</f>
        <v>17</v>
      </c>
      <c r="H3354" s="2">
        <v>0.73746527777777782</v>
      </c>
      <c r="I3354" t="s">
        <v>9</v>
      </c>
      <c r="J3354" t="s">
        <v>20</v>
      </c>
      <c r="K3354">
        <v>5</v>
      </c>
      <c r="L3354">
        <v>25</v>
      </c>
      <c r="M3354">
        <v>125</v>
      </c>
      <c r="N3354">
        <f>IF(COUNTIFS($B$2:B3354,B3354)=1,1,0)</f>
        <v>1</v>
      </c>
    </row>
    <row r="3355" spans="1:14" x14ac:dyDescent="0.2">
      <c r="A3355">
        <v>3354</v>
      </c>
      <c r="B3355">
        <v>2692</v>
      </c>
      <c r="C3355">
        <f>1/COUNTIF(B:B,Table1[[#This Row],[order_id]])</f>
        <v>0.5</v>
      </c>
      <c r="D3355" t="str">
        <f>TEXT(Table1[[#This Row],[order_date]],"mmmm")</f>
        <v>September</v>
      </c>
      <c r="E3355" s="1">
        <v>45551</v>
      </c>
      <c r="F3355" s="1" t="str">
        <f>TEXT(Table1[[#This Row],[order_date]],"dddd")</f>
        <v>Monday</v>
      </c>
      <c r="G3355">
        <f>HOUR(Table1[[#This Row],[order_time]])</f>
        <v>17</v>
      </c>
      <c r="H3355" s="2">
        <v>0.71515046296296292</v>
      </c>
      <c r="I3355" t="s">
        <v>18</v>
      </c>
      <c r="J3355" t="s">
        <v>31</v>
      </c>
      <c r="K3355">
        <v>4</v>
      </c>
      <c r="L3355">
        <v>45</v>
      </c>
      <c r="M3355">
        <v>180</v>
      </c>
      <c r="N3355">
        <f>IF(COUNTIFS($B$2:B3355,B3355)=1,1,0)</f>
        <v>1</v>
      </c>
    </row>
    <row r="3356" spans="1:14" x14ac:dyDescent="0.2">
      <c r="A3356">
        <v>3355</v>
      </c>
      <c r="B3356">
        <v>2692</v>
      </c>
      <c r="C3356">
        <f>1/COUNTIF(B:B,Table1[[#This Row],[order_id]])</f>
        <v>0.5</v>
      </c>
      <c r="D3356" t="str">
        <f>TEXT(Table1[[#This Row],[order_date]],"mmmm")</f>
        <v>September</v>
      </c>
      <c r="E3356" s="1">
        <v>45551</v>
      </c>
      <c r="F3356" s="1" t="str">
        <f>TEXT(Table1[[#This Row],[order_date]],"dddd")</f>
        <v>Monday</v>
      </c>
      <c r="G3356">
        <f>HOUR(Table1[[#This Row],[order_time]])</f>
        <v>9</v>
      </c>
      <c r="H3356" s="2">
        <v>0.41296296296296298</v>
      </c>
      <c r="I3356" t="s">
        <v>16</v>
      </c>
      <c r="J3356" t="s">
        <v>17</v>
      </c>
      <c r="K3356">
        <v>1</v>
      </c>
      <c r="L3356">
        <v>20</v>
      </c>
      <c r="M3356">
        <v>20</v>
      </c>
      <c r="N3356">
        <f>IF(COUNTIFS($B$2:B3356,B3356)=1,1,0)</f>
        <v>0</v>
      </c>
    </row>
    <row r="3357" spans="1:14" x14ac:dyDescent="0.2">
      <c r="A3357">
        <v>3356</v>
      </c>
      <c r="B3357">
        <v>2693</v>
      </c>
      <c r="C3357">
        <f>1/COUNTIF(B:B,Table1[[#This Row],[order_id]])</f>
        <v>1</v>
      </c>
      <c r="D3357" t="str">
        <f>TEXT(Table1[[#This Row],[order_date]],"mmmm")</f>
        <v>September</v>
      </c>
      <c r="E3357" s="1">
        <v>45552</v>
      </c>
      <c r="F3357" s="1" t="str">
        <f>TEXT(Table1[[#This Row],[order_date]],"dddd")</f>
        <v>Tuesday</v>
      </c>
      <c r="G3357">
        <f>HOUR(Table1[[#This Row],[order_time]])</f>
        <v>13</v>
      </c>
      <c r="H3357" s="2">
        <v>0.56443287037037038</v>
      </c>
      <c r="I3357" t="s">
        <v>18</v>
      </c>
      <c r="J3357" t="s">
        <v>19</v>
      </c>
      <c r="K3357">
        <v>3</v>
      </c>
      <c r="L3357">
        <v>50</v>
      </c>
      <c r="M3357">
        <v>150</v>
      </c>
      <c r="N3357">
        <f>IF(COUNTIFS($B$2:B3357,B3357)=1,1,0)</f>
        <v>1</v>
      </c>
    </row>
    <row r="3358" spans="1:14" x14ac:dyDescent="0.2">
      <c r="A3358">
        <v>3357</v>
      </c>
      <c r="B3358">
        <v>2694</v>
      </c>
      <c r="C3358">
        <f>1/COUNTIF(B:B,Table1[[#This Row],[order_id]])</f>
        <v>1</v>
      </c>
      <c r="D3358" t="str">
        <f>TEXT(Table1[[#This Row],[order_date]],"mmmm")</f>
        <v>September</v>
      </c>
      <c r="E3358" s="1">
        <v>45552</v>
      </c>
      <c r="F3358" s="1" t="str">
        <f>TEXT(Table1[[#This Row],[order_date]],"dddd")</f>
        <v>Tuesday</v>
      </c>
      <c r="G3358">
        <f>HOUR(Table1[[#This Row],[order_time]])</f>
        <v>14</v>
      </c>
      <c r="H3358" s="2">
        <v>0.59350694444444441</v>
      </c>
      <c r="I3358" t="s">
        <v>16</v>
      </c>
      <c r="J3358" t="s">
        <v>24</v>
      </c>
      <c r="K3358">
        <v>2</v>
      </c>
      <c r="L3358">
        <v>35</v>
      </c>
      <c r="M3358">
        <v>70</v>
      </c>
      <c r="N3358">
        <f>IF(COUNTIFS($B$2:B3358,B3358)=1,1,0)</f>
        <v>1</v>
      </c>
    </row>
    <row r="3359" spans="1:14" x14ac:dyDescent="0.2">
      <c r="A3359">
        <v>3358</v>
      </c>
      <c r="B3359">
        <v>2695</v>
      </c>
      <c r="C3359">
        <f>1/COUNTIF(B:B,Table1[[#This Row],[order_id]])</f>
        <v>0.5</v>
      </c>
      <c r="D3359" t="str">
        <f>TEXT(Table1[[#This Row],[order_date]],"mmmm")</f>
        <v>September</v>
      </c>
      <c r="E3359" s="1">
        <v>45552</v>
      </c>
      <c r="F3359" s="1" t="str">
        <f>TEXT(Table1[[#This Row],[order_date]],"dddd")</f>
        <v>Tuesday</v>
      </c>
      <c r="G3359">
        <f>HOUR(Table1[[#This Row],[order_time]])</f>
        <v>12</v>
      </c>
      <c r="H3359" s="2">
        <v>0.50681712962962966</v>
      </c>
      <c r="I3359" t="s">
        <v>16</v>
      </c>
      <c r="J3359" t="s">
        <v>23</v>
      </c>
      <c r="K3359">
        <v>5</v>
      </c>
      <c r="L3359">
        <v>30</v>
      </c>
      <c r="M3359">
        <v>150</v>
      </c>
      <c r="N3359">
        <f>IF(COUNTIFS($B$2:B3359,B3359)=1,1,0)</f>
        <v>1</v>
      </c>
    </row>
    <row r="3360" spans="1:14" x14ac:dyDescent="0.2">
      <c r="A3360">
        <v>3359</v>
      </c>
      <c r="B3360">
        <v>2695</v>
      </c>
      <c r="C3360">
        <f>1/COUNTIF(B:B,Table1[[#This Row],[order_id]])</f>
        <v>0.5</v>
      </c>
      <c r="D3360" t="str">
        <f>TEXT(Table1[[#This Row],[order_date]],"mmmm")</f>
        <v>September</v>
      </c>
      <c r="E3360" s="1">
        <v>45552</v>
      </c>
      <c r="F3360" s="1" t="str">
        <f>TEXT(Table1[[#This Row],[order_date]],"dddd")</f>
        <v>Tuesday</v>
      </c>
      <c r="G3360">
        <f>HOUR(Table1[[#This Row],[order_time]])</f>
        <v>12</v>
      </c>
      <c r="H3360" s="2">
        <v>0.50010416666666668</v>
      </c>
      <c r="I3360" t="s">
        <v>18</v>
      </c>
      <c r="J3360" t="s">
        <v>31</v>
      </c>
      <c r="K3360">
        <v>3</v>
      </c>
      <c r="L3360">
        <v>45</v>
      </c>
      <c r="M3360">
        <v>135</v>
      </c>
      <c r="N3360">
        <f>IF(COUNTIFS($B$2:B3360,B3360)=1,1,0)</f>
        <v>0</v>
      </c>
    </row>
    <row r="3361" spans="1:14" x14ac:dyDescent="0.2">
      <c r="A3361">
        <v>3360</v>
      </c>
      <c r="B3361">
        <v>2696</v>
      </c>
      <c r="C3361">
        <f>1/COUNTIF(B:B,Table1[[#This Row],[order_id]])</f>
        <v>1</v>
      </c>
      <c r="D3361" t="str">
        <f>TEXT(Table1[[#This Row],[order_date]],"mmmm")</f>
        <v>September</v>
      </c>
      <c r="E3361" s="1">
        <v>45552</v>
      </c>
      <c r="F3361" s="1" t="str">
        <f>TEXT(Table1[[#This Row],[order_date]],"dddd")</f>
        <v>Tuesday</v>
      </c>
      <c r="G3361">
        <f>HOUR(Table1[[#This Row],[order_time]])</f>
        <v>14</v>
      </c>
      <c r="H3361" s="2">
        <v>0.59107638888888892</v>
      </c>
      <c r="I3361" t="s">
        <v>11</v>
      </c>
      <c r="J3361" t="s">
        <v>14</v>
      </c>
      <c r="K3361">
        <v>5</v>
      </c>
      <c r="L3361">
        <v>700</v>
      </c>
      <c r="M3361">
        <v>3500</v>
      </c>
      <c r="N3361">
        <f>IF(COUNTIFS($B$2:B3361,B3361)=1,1,0)</f>
        <v>1</v>
      </c>
    </row>
    <row r="3362" spans="1:14" x14ac:dyDescent="0.2">
      <c r="A3362">
        <v>3361</v>
      </c>
      <c r="B3362">
        <v>2697</v>
      </c>
      <c r="C3362">
        <f>1/COUNTIF(B:B,Table1[[#This Row],[order_id]])</f>
        <v>1</v>
      </c>
      <c r="D3362" t="str">
        <f>TEXT(Table1[[#This Row],[order_date]],"mmmm")</f>
        <v>September</v>
      </c>
      <c r="E3362" s="1">
        <v>45552</v>
      </c>
      <c r="F3362" s="1" t="str">
        <f>TEXT(Table1[[#This Row],[order_date]],"dddd")</f>
        <v>Tuesday</v>
      </c>
      <c r="G3362">
        <f>HOUR(Table1[[#This Row],[order_time]])</f>
        <v>18</v>
      </c>
      <c r="H3362" s="2">
        <v>0.78173611111111108</v>
      </c>
      <c r="I3362" t="s">
        <v>18</v>
      </c>
      <c r="J3362" t="s">
        <v>26</v>
      </c>
      <c r="K3362">
        <v>3</v>
      </c>
      <c r="L3362">
        <v>55</v>
      </c>
      <c r="M3362">
        <v>165</v>
      </c>
      <c r="N3362">
        <f>IF(COUNTIFS($B$2:B3362,B3362)=1,1,0)</f>
        <v>1</v>
      </c>
    </row>
    <row r="3363" spans="1:14" x14ac:dyDescent="0.2">
      <c r="A3363">
        <v>3362</v>
      </c>
      <c r="B3363">
        <v>2698</v>
      </c>
      <c r="C3363">
        <f>1/COUNTIF(B:B,Table1[[#This Row],[order_id]])</f>
        <v>0.33333333333333331</v>
      </c>
      <c r="D3363" t="str">
        <f>TEXT(Table1[[#This Row],[order_date]],"mmmm")</f>
        <v>September</v>
      </c>
      <c r="E3363" s="1">
        <v>45552</v>
      </c>
      <c r="F3363" s="1" t="str">
        <f>TEXT(Table1[[#This Row],[order_date]],"dddd")</f>
        <v>Tuesday</v>
      </c>
      <c r="G3363">
        <f>HOUR(Table1[[#This Row],[order_time]])</f>
        <v>20</v>
      </c>
      <c r="H3363" s="2">
        <v>0.83719907407407412</v>
      </c>
      <c r="I3363" t="s">
        <v>9</v>
      </c>
      <c r="J3363" t="s">
        <v>29</v>
      </c>
      <c r="K3363">
        <v>3</v>
      </c>
      <c r="L3363">
        <v>5</v>
      </c>
      <c r="M3363">
        <v>15</v>
      </c>
      <c r="N3363">
        <f>IF(COUNTIFS($B$2:B3363,B3363)=1,1,0)</f>
        <v>1</v>
      </c>
    </row>
    <row r="3364" spans="1:14" x14ac:dyDescent="0.2">
      <c r="A3364">
        <v>3363</v>
      </c>
      <c r="B3364">
        <v>2698</v>
      </c>
      <c r="C3364">
        <f>1/COUNTIF(B:B,Table1[[#This Row],[order_id]])</f>
        <v>0.33333333333333331</v>
      </c>
      <c r="D3364" t="str">
        <f>TEXT(Table1[[#This Row],[order_date]],"mmmm")</f>
        <v>September</v>
      </c>
      <c r="E3364" s="1">
        <v>45552</v>
      </c>
      <c r="F3364" s="1" t="str">
        <f>TEXT(Table1[[#This Row],[order_date]],"dddd")</f>
        <v>Tuesday</v>
      </c>
      <c r="G3364">
        <f>HOUR(Table1[[#This Row],[order_time]])</f>
        <v>18</v>
      </c>
      <c r="H3364" s="2">
        <v>0.77141203703703709</v>
      </c>
      <c r="I3364" t="s">
        <v>11</v>
      </c>
      <c r="J3364" t="s">
        <v>15</v>
      </c>
      <c r="K3364">
        <v>4</v>
      </c>
      <c r="L3364">
        <v>600</v>
      </c>
      <c r="M3364">
        <v>2400</v>
      </c>
      <c r="N3364">
        <f>IF(COUNTIFS($B$2:B3364,B3364)=1,1,0)</f>
        <v>0</v>
      </c>
    </row>
    <row r="3365" spans="1:14" x14ac:dyDescent="0.2">
      <c r="A3365">
        <v>3364</v>
      </c>
      <c r="B3365">
        <v>2698</v>
      </c>
      <c r="C3365">
        <f>1/COUNTIF(B:B,Table1[[#This Row],[order_id]])</f>
        <v>0.33333333333333331</v>
      </c>
      <c r="D3365" t="str">
        <f>TEXT(Table1[[#This Row],[order_date]],"mmmm")</f>
        <v>September</v>
      </c>
      <c r="E3365" s="1">
        <v>45552</v>
      </c>
      <c r="F3365" s="1" t="str">
        <f>TEXT(Table1[[#This Row],[order_date]],"dddd")</f>
        <v>Tuesday</v>
      </c>
      <c r="G3365">
        <f>HOUR(Table1[[#This Row],[order_time]])</f>
        <v>10</v>
      </c>
      <c r="H3365" s="2">
        <v>0.41928240740740741</v>
      </c>
      <c r="I3365" t="s">
        <v>18</v>
      </c>
      <c r="J3365" t="s">
        <v>19</v>
      </c>
      <c r="K3365">
        <v>5</v>
      </c>
      <c r="L3365">
        <v>50</v>
      </c>
      <c r="M3365">
        <v>250</v>
      </c>
      <c r="N3365">
        <f>IF(COUNTIFS($B$2:B3365,B3365)=1,1,0)</f>
        <v>0</v>
      </c>
    </row>
    <row r="3366" spans="1:14" x14ac:dyDescent="0.2">
      <c r="A3366">
        <v>3365</v>
      </c>
      <c r="B3366">
        <v>2699</v>
      </c>
      <c r="C3366">
        <f>1/COUNTIF(B:B,Table1[[#This Row],[order_id]])</f>
        <v>0.33333333333333331</v>
      </c>
      <c r="D3366" t="str">
        <f>TEXT(Table1[[#This Row],[order_date]],"mmmm")</f>
        <v>September</v>
      </c>
      <c r="E3366" s="1">
        <v>45553</v>
      </c>
      <c r="F3366" s="1" t="str">
        <f>TEXT(Table1[[#This Row],[order_date]],"dddd")</f>
        <v>Wednesday</v>
      </c>
      <c r="G3366">
        <f>HOUR(Table1[[#This Row],[order_time]])</f>
        <v>18</v>
      </c>
      <c r="H3366" s="2">
        <v>0.77454861111111106</v>
      </c>
      <c r="I3366" t="s">
        <v>16</v>
      </c>
      <c r="J3366" t="s">
        <v>23</v>
      </c>
      <c r="K3366">
        <v>5</v>
      </c>
      <c r="L3366">
        <v>30</v>
      </c>
      <c r="M3366">
        <v>150</v>
      </c>
      <c r="N3366">
        <f>IF(COUNTIFS($B$2:B3366,B3366)=1,1,0)</f>
        <v>1</v>
      </c>
    </row>
    <row r="3367" spans="1:14" x14ac:dyDescent="0.2">
      <c r="A3367">
        <v>3366</v>
      </c>
      <c r="B3367">
        <v>2699</v>
      </c>
      <c r="C3367">
        <f>1/COUNTIF(B:B,Table1[[#This Row],[order_id]])</f>
        <v>0.33333333333333331</v>
      </c>
      <c r="D3367" t="str">
        <f>TEXT(Table1[[#This Row],[order_date]],"mmmm")</f>
        <v>September</v>
      </c>
      <c r="E3367" s="1">
        <v>45553</v>
      </c>
      <c r="F3367" s="1" t="str">
        <f>TEXT(Table1[[#This Row],[order_date]],"dddd")</f>
        <v>Wednesday</v>
      </c>
      <c r="G3367">
        <f>HOUR(Table1[[#This Row],[order_time]])</f>
        <v>12</v>
      </c>
      <c r="H3367" s="2">
        <v>0.52332175925925928</v>
      </c>
      <c r="I3367" t="s">
        <v>9</v>
      </c>
      <c r="J3367" t="s">
        <v>29</v>
      </c>
      <c r="K3367">
        <v>1</v>
      </c>
      <c r="L3367">
        <v>5</v>
      </c>
      <c r="M3367">
        <v>5</v>
      </c>
      <c r="N3367">
        <f>IF(COUNTIFS($B$2:B3367,B3367)=1,1,0)</f>
        <v>0</v>
      </c>
    </row>
    <row r="3368" spans="1:14" x14ac:dyDescent="0.2">
      <c r="A3368">
        <v>3367</v>
      </c>
      <c r="B3368">
        <v>2699</v>
      </c>
      <c r="C3368">
        <f>1/COUNTIF(B:B,Table1[[#This Row],[order_id]])</f>
        <v>0.33333333333333331</v>
      </c>
      <c r="D3368" t="str">
        <f>TEXT(Table1[[#This Row],[order_date]],"mmmm")</f>
        <v>September</v>
      </c>
      <c r="E3368" s="1">
        <v>45553</v>
      </c>
      <c r="F3368" s="1" t="str">
        <f>TEXT(Table1[[#This Row],[order_date]],"dddd")</f>
        <v>Wednesday</v>
      </c>
      <c r="G3368">
        <f>HOUR(Table1[[#This Row],[order_time]])</f>
        <v>11</v>
      </c>
      <c r="H3368" s="2">
        <v>0.49793981481481481</v>
      </c>
      <c r="I3368" t="s">
        <v>9</v>
      </c>
      <c r="J3368" t="s">
        <v>29</v>
      </c>
      <c r="K3368">
        <v>2</v>
      </c>
      <c r="L3368">
        <v>5</v>
      </c>
      <c r="M3368">
        <v>10</v>
      </c>
      <c r="N3368">
        <f>IF(COUNTIFS($B$2:B3368,B3368)=1,1,0)</f>
        <v>0</v>
      </c>
    </row>
    <row r="3369" spans="1:14" x14ac:dyDescent="0.2">
      <c r="A3369">
        <v>3368</v>
      </c>
      <c r="B3369">
        <v>2700</v>
      </c>
      <c r="C3369">
        <f>1/COUNTIF(B:B,Table1[[#This Row],[order_id]])</f>
        <v>1</v>
      </c>
      <c r="D3369" t="str">
        <f>TEXT(Table1[[#This Row],[order_date]],"mmmm")</f>
        <v>September</v>
      </c>
      <c r="E3369" s="1">
        <v>45553</v>
      </c>
      <c r="F3369" s="1" t="str">
        <f>TEXT(Table1[[#This Row],[order_date]],"dddd")</f>
        <v>Wednesday</v>
      </c>
      <c r="G3369">
        <f>HOUR(Table1[[#This Row],[order_time]])</f>
        <v>15</v>
      </c>
      <c r="H3369" s="2">
        <v>0.62583333333333335</v>
      </c>
      <c r="I3369" t="s">
        <v>16</v>
      </c>
      <c r="J3369" t="s">
        <v>23</v>
      </c>
      <c r="K3369">
        <v>5</v>
      </c>
      <c r="L3369">
        <v>30</v>
      </c>
      <c r="M3369">
        <v>150</v>
      </c>
      <c r="N3369">
        <f>IF(COUNTIFS($B$2:B3369,B3369)=1,1,0)</f>
        <v>1</v>
      </c>
    </row>
    <row r="3370" spans="1:14" x14ac:dyDescent="0.2">
      <c r="A3370">
        <v>3369</v>
      </c>
      <c r="B3370">
        <v>2701</v>
      </c>
      <c r="C3370">
        <f>1/COUNTIF(B:B,Table1[[#This Row],[order_id]])</f>
        <v>1</v>
      </c>
      <c r="D3370" t="str">
        <f>TEXT(Table1[[#This Row],[order_date]],"mmmm")</f>
        <v>September</v>
      </c>
      <c r="E3370" s="1">
        <v>45553</v>
      </c>
      <c r="F3370" s="1" t="str">
        <f>TEXT(Table1[[#This Row],[order_date]],"dddd")</f>
        <v>Wednesday</v>
      </c>
      <c r="G3370">
        <f>HOUR(Table1[[#This Row],[order_time]])</f>
        <v>15</v>
      </c>
      <c r="H3370" s="2">
        <v>0.66324074074074069</v>
      </c>
      <c r="I3370" t="s">
        <v>16</v>
      </c>
      <c r="J3370" t="s">
        <v>17</v>
      </c>
      <c r="K3370">
        <v>5</v>
      </c>
      <c r="L3370">
        <v>20</v>
      </c>
      <c r="M3370">
        <v>100</v>
      </c>
      <c r="N3370">
        <f>IF(COUNTIFS($B$2:B3370,B3370)=1,1,0)</f>
        <v>1</v>
      </c>
    </row>
    <row r="3371" spans="1:14" x14ac:dyDescent="0.2">
      <c r="A3371">
        <v>3370</v>
      </c>
      <c r="B3371">
        <v>2702</v>
      </c>
      <c r="C3371">
        <f>1/COUNTIF(B:B,Table1[[#This Row],[order_id]])</f>
        <v>1</v>
      </c>
      <c r="D3371" t="str">
        <f>TEXT(Table1[[#This Row],[order_date]],"mmmm")</f>
        <v>September</v>
      </c>
      <c r="E3371" s="1">
        <v>45553</v>
      </c>
      <c r="F3371" s="1" t="str">
        <f>TEXT(Table1[[#This Row],[order_date]],"dddd")</f>
        <v>Wednesday</v>
      </c>
      <c r="G3371">
        <f>HOUR(Table1[[#This Row],[order_time]])</f>
        <v>11</v>
      </c>
      <c r="H3371" s="2">
        <v>0.49358796296296298</v>
      </c>
      <c r="I3371" t="s">
        <v>16</v>
      </c>
      <c r="J3371" t="s">
        <v>23</v>
      </c>
      <c r="K3371">
        <v>4</v>
      </c>
      <c r="L3371">
        <v>30</v>
      </c>
      <c r="M3371">
        <v>120</v>
      </c>
      <c r="N3371">
        <f>IF(COUNTIFS($B$2:B3371,B3371)=1,1,0)</f>
        <v>1</v>
      </c>
    </row>
    <row r="3372" spans="1:14" x14ac:dyDescent="0.2">
      <c r="A3372">
        <v>3371</v>
      </c>
      <c r="B3372">
        <v>2703</v>
      </c>
      <c r="C3372">
        <f>1/COUNTIF(B:B,Table1[[#This Row],[order_id]])</f>
        <v>0.5</v>
      </c>
      <c r="D3372" t="str">
        <f>TEXT(Table1[[#This Row],[order_date]],"mmmm")</f>
        <v>September</v>
      </c>
      <c r="E3372" s="1">
        <v>45554</v>
      </c>
      <c r="F3372" s="1" t="str">
        <f>TEXT(Table1[[#This Row],[order_date]],"dddd")</f>
        <v>Thursday</v>
      </c>
      <c r="G3372">
        <f>HOUR(Table1[[#This Row],[order_time]])</f>
        <v>15</v>
      </c>
      <c r="H3372" s="2">
        <v>0.65166666666666662</v>
      </c>
      <c r="I3372" t="s">
        <v>18</v>
      </c>
      <c r="J3372" t="s">
        <v>30</v>
      </c>
      <c r="K3372">
        <v>3</v>
      </c>
      <c r="L3372">
        <v>60</v>
      </c>
      <c r="M3372">
        <v>180</v>
      </c>
      <c r="N3372">
        <f>IF(COUNTIFS($B$2:B3372,B3372)=1,1,0)</f>
        <v>1</v>
      </c>
    </row>
    <row r="3373" spans="1:14" x14ac:dyDescent="0.2">
      <c r="A3373">
        <v>3372</v>
      </c>
      <c r="B3373">
        <v>2703</v>
      </c>
      <c r="C3373">
        <f>1/COUNTIF(B:B,Table1[[#This Row],[order_id]])</f>
        <v>0.5</v>
      </c>
      <c r="D3373" t="str">
        <f>TEXT(Table1[[#This Row],[order_date]],"mmmm")</f>
        <v>September</v>
      </c>
      <c r="E3373" s="1">
        <v>45554</v>
      </c>
      <c r="F3373" s="1" t="str">
        <f>TEXT(Table1[[#This Row],[order_date]],"dddd")</f>
        <v>Thursday</v>
      </c>
      <c r="G3373">
        <f>HOUR(Table1[[#This Row],[order_time]])</f>
        <v>9</v>
      </c>
      <c r="H3373" s="2">
        <v>0.38209490740740742</v>
      </c>
      <c r="I3373" t="s">
        <v>9</v>
      </c>
      <c r="J3373" t="s">
        <v>21</v>
      </c>
      <c r="K3373">
        <v>1</v>
      </c>
      <c r="L3373">
        <v>10</v>
      </c>
      <c r="M3373">
        <v>10</v>
      </c>
      <c r="N3373">
        <f>IF(COUNTIFS($B$2:B3373,B3373)=1,1,0)</f>
        <v>0</v>
      </c>
    </row>
    <row r="3374" spans="1:14" x14ac:dyDescent="0.2">
      <c r="A3374">
        <v>3373</v>
      </c>
      <c r="B3374">
        <v>2704</v>
      </c>
      <c r="C3374">
        <f>1/COUNTIF(B:B,Table1[[#This Row],[order_id]])</f>
        <v>1</v>
      </c>
      <c r="D3374" t="str">
        <f>TEXT(Table1[[#This Row],[order_date]],"mmmm")</f>
        <v>September</v>
      </c>
      <c r="E3374" s="1">
        <v>45554</v>
      </c>
      <c r="F3374" s="1" t="str">
        <f>TEXT(Table1[[#This Row],[order_date]],"dddd")</f>
        <v>Thursday</v>
      </c>
      <c r="G3374">
        <f>HOUR(Table1[[#This Row],[order_time]])</f>
        <v>20</v>
      </c>
      <c r="H3374" s="2">
        <v>0.8706018518518519</v>
      </c>
      <c r="I3374" t="s">
        <v>18</v>
      </c>
      <c r="J3374" t="s">
        <v>27</v>
      </c>
      <c r="K3374">
        <v>5</v>
      </c>
      <c r="L3374">
        <v>40</v>
      </c>
      <c r="M3374">
        <v>200</v>
      </c>
      <c r="N3374">
        <f>IF(COUNTIFS($B$2:B3374,B3374)=1,1,0)</f>
        <v>1</v>
      </c>
    </row>
    <row r="3375" spans="1:14" x14ac:dyDescent="0.2">
      <c r="A3375">
        <v>3374</v>
      </c>
      <c r="B3375">
        <v>2705</v>
      </c>
      <c r="C3375">
        <f>1/COUNTIF(B:B,Table1[[#This Row],[order_id]])</f>
        <v>0.33333333333333331</v>
      </c>
      <c r="D3375" t="str">
        <f>TEXT(Table1[[#This Row],[order_date]],"mmmm")</f>
        <v>September</v>
      </c>
      <c r="E3375" s="1">
        <v>45554</v>
      </c>
      <c r="F3375" s="1" t="str">
        <f>TEXT(Table1[[#This Row],[order_date]],"dddd")</f>
        <v>Thursday</v>
      </c>
      <c r="G3375">
        <f>HOUR(Table1[[#This Row],[order_time]])</f>
        <v>15</v>
      </c>
      <c r="H3375" s="2">
        <v>0.625</v>
      </c>
      <c r="I3375" t="s">
        <v>9</v>
      </c>
      <c r="J3375" t="s">
        <v>10</v>
      </c>
      <c r="K3375">
        <v>3</v>
      </c>
      <c r="L3375">
        <v>20</v>
      </c>
      <c r="M3375">
        <v>60</v>
      </c>
      <c r="N3375">
        <f>IF(COUNTIFS($B$2:B3375,B3375)=1,1,0)</f>
        <v>1</v>
      </c>
    </row>
    <row r="3376" spans="1:14" x14ac:dyDescent="0.2">
      <c r="A3376">
        <v>3375</v>
      </c>
      <c r="B3376">
        <v>2705</v>
      </c>
      <c r="C3376">
        <f>1/COUNTIF(B:B,Table1[[#This Row],[order_id]])</f>
        <v>0.33333333333333331</v>
      </c>
      <c r="D3376" t="str">
        <f>TEXT(Table1[[#This Row],[order_date]],"mmmm")</f>
        <v>September</v>
      </c>
      <c r="E3376" s="1">
        <v>45554</v>
      </c>
      <c r="F3376" s="1" t="str">
        <f>TEXT(Table1[[#This Row],[order_date]],"dddd")</f>
        <v>Thursday</v>
      </c>
      <c r="G3376">
        <f>HOUR(Table1[[#This Row],[order_time]])</f>
        <v>13</v>
      </c>
      <c r="H3376" s="2">
        <v>0.56747685185185182</v>
      </c>
      <c r="I3376" t="s">
        <v>16</v>
      </c>
      <c r="J3376" t="s">
        <v>23</v>
      </c>
      <c r="K3376">
        <v>5</v>
      </c>
      <c r="L3376">
        <v>30</v>
      </c>
      <c r="M3376">
        <v>150</v>
      </c>
      <c r="N3376">
        <f>IF(COUNTIFS($B$2:B3376,B3376)=1,1,0)</f>
        <v>0</v>
      </c>
    </row>
    <row r="3377" spans="1:14" x14ac:dyDescent="0.2">
      <c r="A3377">
        <v>3376</v>
      </c>
      <c r="B3377">
        <v>2705</v>
      </c>
      <c r="C3377">
        <f>1/COUNTIF(B:B,Table1[[#This Row],[order_id]])</f>
        <v>0.33333333333333331</v>
      </c>
      <c r="D3377" t="str">
        <f>TEXT(Table1[[#This Row],[order_date]],"mmmm")</f>
        <v>September</v>
      </c>
      <c r="E3377" s="1">
        <v>45554</v>
      </c>
      <c r="F3377" s="1" t="str">
        <f>TEXT(Table1[[#This Row],[order_date]],"dddd")</f>
        <v>Thursday</v>
      </c>
      <c r="G3377">
        <f>HOUR(Table1[[#This Row],[order_time]])</f>
        <v>20</v>
      </c>
      <c r="H3377" s="2">
        <v>0.86506944444444445</v>
      </c>
      <c r="I3377" t="s">
        <v>18</v>
      </c>
      <c r="J3377" t="s">
        <v>30</v>
      </c>
      <c r="K3377">
        <v>5</v>
      </c>
      <c r="L3377">
        <v>60</v>
      </c>
      <c r="M3377">
        <v>300</v>
      </c>
      <c r="N3377">
        <f>IF(COUNTIFS($B$2:B3377,B3377)=1,1,0)</f>
        <v>0</v>
      </c>
    </row>
    <row r="3378" spans="1:14" x14ac:dyDescent="0.2">
      <c r="A3378">
        <v>3377</v>
      </c>
      <c r="B3378">
        <v>2706</v>
      </c>
      <c r="C3378">
        <f>1/COUNTIF(B:B,Table1[[#This Row],[order_id]])</f>
        <v>1</v>
      </c>
      <c r="D3378" t="str">
        <f>TEXT(Table1[[#This Row],[order_date]],"mmmm")</f>
        <v>September</v>
      </c>
      <c r="E3378" s="1">
        <v>45555</v>
      </c>
      <c r="F3378" s="1" t="str">
        <f>TEXT(Table1[[#This Row],[order_date]],"dddd")</f>
        <v>Friday</v>
      </c>
      <c r="G3378">
        <f>HOUR(Table1[[#This Row],[order_time]])</f>
        <v>19</v>
      </c>
      <c r="H3378" s="2">
        <v>0.82642361111111107</v>
      </c>
      <c r="I3378" t="s">
        <v>18</v>
      </c>
      <c r="J3378" t="s">
        <v>27</v>
      </c>
      <c r="K3378">
        <v>2</v>
      </c>
      <c r="L3378">
        <v>40</v>
      </c>
      <c r="M3378">
        <v>80</v>
      </c>
      <c r="N3378">
        <f>IF(COUNTIFS($B$2:B3378,B3378)=1,1,0)</f>
        <v>1</v>
      </c>
    </row>
    <row r="3379" spans="1:14" x14ac:dyDescent="0.2">
      <c r="A3379">
        <v>3378</v>
      </c>
      <c r="B3379">
        <v>2707</v>
      </c>
      <c r="C3379">
        <f>1/COUNTIF(B:B,Table1[[#This Row],[order_id]])</f>
        <v>0.5</v>
      </c>
      <c r="D3379" t="str">
        <f>TEXT(Table1[[#This Row],[order_date]],"mmmm")</f>
        <v>September</v>
      </c>
      <c r="E3379" s="1">
        <v>45555</v>
      </c>
      <c r="F3379" s="1" t="str">
        <f>TEXT(Table1[[#This Row],[order_date]],"dddd")</f>
        <v>Friday</v>
      </c>
      <c r="G3379">
        <f>HOUR(Table1[[#This Row],[order_time]])</f>
        <v>14</v>
      </c>
      <c r="H3379" s="2">
        <v>0.61738425925925922</v>
      </c>
      <c r="I3379" t="s">
        <v>16</v>
      </c>
      <c r="J3379" t="s">
        <v>23</v>
      </c>
      <c r="K3379">
        <v>3</v>
      </c>
      <c r="L3379">
        <v>30</v>
      </c>
      <c r="M3379">
        <v>90</v>
      </c>
      <c r="N3379">
        <f>IF(COUNTIFS($B$2:B3379,B3379)=1,1,0)</f>
        <v>1</v>
      </c>
    </row>
    <row r="3380" spans="1:14" x14ac:dyDescent="0.2">
      <c r="A3380">
        <v>3379</v>
      </c>
      <c r="B3380">
        <v>2707</v>
      </c>
      <c r="C3380">
        <f>1/COUNTIF(B:B,Table1[[#This Row],[order_id]])</f>
        <v>0.5</v>
      </c>
      <c r="D3380" t="str">
        <f>TEXT(Table1[[#This Row],[order_date]],"mmmm")</f>
        <v>September</v>
      </c>
      <c r="E3380" s="1">
        <v>45555</v>
      </c>
      <c r="F3380" s="1" t="str">
        <f>TEXT(Table1[[#This Row],[order_date]],"dddd")</f>
        <v>Friday</v>
      </c>
      <c r="G3380">
        <f>HOUR(Table1[[#This Row],[order_time]])</f>
        <v>12</v>
      </c>
      <c r="H3380" s="2">
        <v>0.50006944444444446</v>
      </c>
      <c r="I3380" t="s">
        <v>9</v>
      </c>
      <c r="J3380" t="s">
        <v>10</v>
      </c>
      <c r="K3380">
        <v>3</v>
      </c>
      <c r="L3380">
        <v>20</v>
      </c>
      <c r="M3380">
        <v>60</v>
      </c>
      <c r="N3380">
        <f>IF(COUNTIFS($B$2:B3380,B3380)=1,1,0)</f>
        <v>0</v>
      </c>
    </row>
    <row r="3381" spans="1:14" x14ac:dyDescent="0.2">
      <c r="A3381">
        <v>3380</v>
      </c>
      <c r="B3381">
        <v>2708</v>
      </c>
      <c r="C3381">
        <f>1/COUNTIF(B:B,Table1[[#This Row],[order_id]])</f>
        <v>1</v>
      </c>
      <c r="D3381" t="str">
        <f>TEXT(Table1[[#This Row],[order_date]],"mmmm")</f>
        <v>September</v>
      </c>
      <c r="E3381" s="1">
        <v>45555</v>
      </c>
      <c r="F3381" s="1" t="str">
        <f>TEXT(Table1[[#This Row],[order_date]],"dddd")</f>
        <v>Friday</v>
      </c>
      <c r="G3381">
        <f>HOUR(Table1[[#This Row],[order_time]])</f>
        <v>9</v>
      </c>
      <c r="H3381" s="2">
        <v>0.40997685185185184</v>
      </c>
      <c r="I3381" t="s">
        <v>9</v>
      </c>
      <c r="J3381" t="s">
        <v>20</v>
      </c>
      <c r="K3381">
        <v>4</v>
      </c>
      <c r="L3381">
        <v>25</v>
      </c>
      <c r="M3381">
        <v>100</v>
      </c>
      <c r="N3381">
        <f>IF(COUNTIFS($B$2:B3381,B3381)=1,1,0)</f>
        <v>1</v>
      </c>
    </row>
    <row r="3382" spans="1:14" x14ac:dyDescent="0.2">
      <c r="A3382">
        <v>3381</v>
      </c>
      <c r="B3382">
        <v>2709</v>
      </c>
      <c r="C3382">
        <f>1/COUNTIF(B:B,Table1[[#This Row],[order_id]])</f>
        <v>1</v>
      </c>
      <c r="D3382" t="str">
        <f>TEXT(Table1[[#This Row],[order_date]],"mmmm")</f>
        <v>September</v>
      </c>
      <c r="E3382" s="1">
        <v>45555</v>
      </c>
      <c r="F3382" s="1" t="str">
        <f>TEXT(Table1[[#This Row],[order_date]],"dddd")</f>
        <v>Friday</v>
      </c>
      <c r="G3382">
        <f>HOUR(Table1[[#This Row],[order_time]])</f>
        <v>16</v>
      </c>
      <c r="H3382" s="2">
        <v>0.68072916666666672</v>
      </c>
      <c r="I3382" t="s">
        <v>18</v>
      </c>
      <c r="J3382" t="s">
        <v>26</v>
      </c>
      <c r="K3382">
        <v>1</v>
      </c>
      <c r="L3382">
        <v>55</v>
      </c>
      <c r="M3382">
        <v>55</v>
      </c>
      <c r="N3382">
        <f>IF(COUNTIFS($B$2:B3382,B3382)=1,1,0)</f>
        <v>1</v>
      </c>
    </row>
    <row r="3383" spans="1:14" x14ac:dyDescent="0.2">
      <c r="A3383">
        <v>3382</v>
      </c>
      <c r="B3383">
        <v>2710</v>
      </c>
      <c r="C3383">
        <f>1/COUNTIF(B:B,Table1[[#This Row],[order_id]])</f>
        <v>0.5</v>
      </c>
      <c r="D3383" t="str">
        <f>TEXT(Table1[[#This Row],[order_date]],"mmmm")</f>
        <v>September</v>
      </c>
      <c r="E3383" s="1">
        <v>45555</v>
      </c>
      <c r="F3383" s="1" t="str">
        <f>TEXT(Table1[[#This Row],[order_date]],"dddd")</f>
        <v>Friday</v>
      </c>
      <c r="G3383">
        <f>HOUR(Table1[[#This Row],[order_time]])</f>
        <v>19</v>
      </c>
      <c r="H3383" s="2">
        <v>0.83067129629629632</v>
      </c>
      <c r="I3383" t="s">
        <v>18</v>
      </c>
      <c r="J3383" t="s">
        <v>30</v>
      </c>
      <c r="K3383">
        <v>3</v>
      </c>
      <c r="L3383">
        <v>60</v>
      </c>
      <c r="M3383">
        <v>180</v>
      </c>
      <c r="N3383">
        <f>IF(COUNTIFS($B$2:B3383,B3383)=1,1,0)</f>
        <v>1</v>
      </c>
    </row>
    <row r="3384" spans="1:14" x14ac:dyDescent="0.2">
      <c r="A3384">
        <v>3383</v>
      </c>
      <c r="B3384">
        <v>2710</v>
      </c>
      <c r="C3384">
        <f>1/COUNTIF(B:B,Table1[[#This Row],[order_id]])</f>
        <v>0.5</v>
      </c>
      <c r="D3384" t="str">
        <f>TEXT(Table1[[#This Row],[order_date]],"mmmm")</f>
        <v>September</v>
      </c>
      <c r="E3384" s="1">
        <v>45555</v>
      </c>
      <c r="F3384" s="1" t="str">
        <f>TEXT(Table1[[#This Row],[order_date]],"dddd")</f>
        <v>Friday</v>
      </c>
      <c r="G3384">
        <f>HOUR(Table1[[#This Row],[order_time]])</f>
        <v>19</v>
      </c>
      <c r="H3384" s="2">
        <v>0.80137731481481478</v>
      </c>
      <c r="I3384" t="s">
        <v>18</v>
      </c>
      <c r="J3384" t="s">
        <v>27</v>
      </c>
      <c r="K3384">
        <v>3</v>
      </c>
      <c r="L3384">
        <v>40</v>
      </c>
      <c r="M3384">
        <v>120</v>
      </c>
      <c r="N3384">
        <f>IF(COUNTIFS($B$2:B3384,B3384)=1,1,0)</f>
        <v>0</v>
      </c>
    </row>
    <row r="3385" spans="1:14" x14ac:dyDescent="0.2">
      <c r="A3385">
        <v>3384</v>
      </c>
      <c r="B3385">
        <v>2711</v>
      </c>
      <c r="C3385">
        <f>1/COUNTIF(B:B,Table1[[#This Row],[order_id]])</f>
        <v>0.5</v>
      </c>
      <c r="D3385" t="str">
        <f>TEXT(Table1[[#This Row],[order_date]],"mmmm")</f>
        <v>September</v>
      </c>
      <c r="E3385" s="1">
        <v>45556</v>
      </c>
      <c r="F3385" s="1" t="str">
        <f>TEXT(Table1[[#This Row],[order_date]],"dddd")</f>
        <v>Saturday</v>
      </c>
      <c r="G3385">
        <f>HOUR(Table1[[#This Row],[order_time]])</f>
        <v>18</v>
      </c>
      <c r="H3385" s="2">
        <v>0.7542592592592593</v>
      </c>
      <c r="I3385" t="s">
        <v>11</v>
      </c>
      <c r="J3385" t="s">
        <v>25</v>
      </c>
      <c r="K3385">
        <v>3</v>
      </c>
      <c r="L3385">
        <v>1000</v>
      </c>
      <c r="M3385">
        <v>3000</v>
      </c>
      <c r="N3385">
        <f>IF(COUNTIFS($B$2:B3385,B3385)=1,1,0)</f>
        <v>1</v>
      </c>
    </row>
    <row r="3386" spans="1:14" x14ac:dyDescent="0.2">
      <c r="A3386">
        <v>3385</v>
      </c>
      <c r="B3386">
        <v>2711</v>
      </c>
      <c r="C3386">
        <f>1/COUNTIF(B:B,Table1[[#This Row],[order_id]])</f>
        <v>0.5</v>
      </c>
      <c r="D3386" t="str">
        <f>TEXT(Table1[[#This Row],[order_date]],"mmmm")</f>
        <v>September</v>
      </c>
      <c r="E3386" s="1">
        <v>45556</v>
      </c>
      <c r="F3386" s="1" t="str">
        <f>TEXT(Table1[[#This Row],[order_date]],"dddd")</f>
        <v>Saturday</v>
      </c>
      <c r="G3386">
        <f>HOUR(Table1[[#This Row],[order_time]])</f>
        <v>11</v>
      </c>
      <c r="H3386" s="2">
        <v>0.47194444444444444</v>
      </c>
      <c r="I3386" t="s">
        <v>18</v>
      </c>
      <c r="J3386" t="s">
        <v>27</v>
      </c>
      <c r="K3386">
        <v>3</v>
      </c>
      <c r="L3386">
        <v>40</v>
      </c>
      <c r="M3386">
        <v>120</v>
      </c>
      <c r="N3386">
        <f>IF(COUNTIFS($B$2:B3386,B3386)=1,1,0)</f>
        <v>0</v>
      </c>
    </row>
    <row r="3387" spans="1:14" x14ac:dyDescent="0.2">
      <c r="A3387">
        <v>3386</v>
      </c>
      <c r="B3387">
        <v>2712</v>
      </c>
      <c r="C3387">
        <f>1/COUNTIF(B:B,Table1[[#This Row],[order_id]])</f>
        <v>1</v>
      </c>
      <c r="D3387" t="str">
        <f>TEXT(Table1[[#This Row],[order_date]],"mmmm")</f>
        <v>September</v>
      </c>
      <c r="E3387" s="1">
        <v>45556</v>
      </c>
      <c r="F3387" s="1" t="str">
        <f>TEXT(Table1[[#This Row],[order_date]],"dddd")</f>
        <v>Saturday</v>
      </c>
      <c r="G3387">
        <f>HOUR(Table1[[#This Row],[order_time]])</f>
        <v>18</v>
      </c>
      <c r="H3387" s="2">
        <v>0.76744212962962965</v>
      </c>
      <c r="I3387" t="s">
        <v>11</v>
      </c>
      <c r="J3387" t="s">
        <v>25</v>
      </c>
      <c r="K3387">
        <v>3</v>
      </c>
      <c r="L3387">
        <v>1000</v>
      </c>
      <c r="M3387">
        <v>3000</v>
      </c>
      <c r="N3387">
        <f>IF(COUNTIFS($B$2:B3387,B3387)=1,1,0)</f>
        <v>1</v>
      </c>
    </row>
    <row r="3388" spans="1:14" x14ac:dyDescent="0.2">
      <c r="A3388">
        <v>3387</v>
      </c>
      <c r="B3388">
        <v>2713</v>
      </c>
      <c r="C3388">
        <f>1/COUNTIF(B:B,Table1[[#This Row],[order_id]])</f>
        <v>0.33333333333333331</v>
      </c>
      <c r="D3388" t="str">
        <f>TEXT(Table1[[#This Row],[order_date]],"mmmm")</f>
        <v>September</v>
      </c>
      <c r="E3388" s="1">
        <v>45556</v>
      </c>
      <c r="F3388" s="1" t="str">
        <f>TEXT(Table1[[#This Row],[order_date]],"dddd")</f>
        <v>Saturday</v>
      </c>
      <c r="G3388">
        <f>HOUR(Table1[[#This Row],[order_time]])</f>
        <v>19</v>
      </c>
      <c r="H3388" s="2">
        <v>0.82678240740740738</v>
      </c>
      <c r="I3388" t="s">
        <v>11</v>
      </c>
      <c r="J3388" t="s">
        <v>13</v>
      </c>
      <c r="K3388">
        <v>3</v>
      </c>
      <c r="L3388">
        <v>680</v>
      </c>
      <c r="M3388">
        <v>2040</v>
      </c>
      <c r="N3388">
        <f>IF(COUNTIFS($B$2:B3388,B3388)=1,1,0)</f>
        <v>1</v>
      </c>
    </row>
    <row r="3389" spans="1:14" x14ac:dyDescent="0.2">
      <c r="A3389">
        <v>3388</v>
      </c>
      <c r="B3389">
        <v>2713</v>
      </c>
      <c r="C3389">
        <f>1/COUNTIF(B:B,Table1[[#This Row],[order_id]])</f>
        <v>0.33333333333333331</v>
      </c>
      <c r="D3389" t="str">
        <f>TEXT(Table1[[#This Row],[order_date]],"mmmm")</f>
        <v>September</v>
      </c>
      <c r="E3389" s="1">
        <v>45556</v>
      </c>
      <c r="F3389" s="1" t="str">
        <f>TEXT(Table1[[#This Row],[order_date]],"dddd")</f>
        <v>Saturday</v>
      </c>
      <c r="G3389">
        <f>HOUR(Table1[[#This Row],[order_time]])</f>
        <v>12</v>
      </c>
      <c r="H3389" s="2">
        <v>0.53656250000000005</v>
      </c>
      <c r="I3389" t="s">
        <v>11</v>
      </c>
      <c r="J3389" t="s">
        <v>14</v>
      </c>
      <c r="K3389">
        <v>4</v>
      </c>
      <c r="L3389">
        <v>700</v>
      </c>
      <c r="M3389">
        <v>2800</v>
      </c>
      <c r="N3389">
        <f>IF(COUNTIFS($B$2:B3389,B3389)=1,1,0)</f>
        <v>0</v>
      </c>
    </row>
    <row r="3390" spans="1:14" x14ac:dyDescent="0.2">
      <c r="A3390">
        <v>3389</v>
      </c>
      <c r="B3390">
        <v>2713</v>
      </c>
      <c r="C3390">
        <f>1/COUNTIF(B:B,Table1[[#This Row],[order_id]])</f>
        <v>0.33333333333333331</v>
      </c>
      <c r="D3390" t="str">
        <f>TEXT(Table1[[#This Row],[order_date]],"mmmm")</f>
        <v>September</v>
      </c>
      <c r="E3390" s="1">
        <v>45556</v>
      </c>
      <c r="F3390" s="1" t="str">
        <f>TEXT(Table1[[#This Row],[order_date]],"dddd")</f>
        <v>Saturday</v>
      </c>
      <c r="G3390">
        <f>HOUR(Table1[[#This Row],[order_time]])</f>
        <v>15</v>
      </c>
      <c r="H3390" s="2">
        <v>0.62998842592592597</v>
      </c>
      <c r="I3390" t="s">
        <v>18</v>
      </c>
      <c r="J3390" t="s">
        <v>26</v>
      </c>
      <c r="K3390">
        <v>1</v>
      </c>
      <c r="L3390">
        <v>55</v>
      </c>
      <c r="M3390">
        <v>55</v>
      </c>
      <c r="N3390">
        <f>IF(COUNTIFS($B$2:B3390,B3390)=1,1,0)</f>
        <v>0</v>
      </c>
    </row>
    <row r="3391" spans="1:14" x14ac:dyDescent="0.2">
      <c r="A3391">
        <v>3390</v>
      </c>
      <c r="B3391">
        <v>2714</v>
      </c>
      <c r="C3391">
        <f>1/COUNTIF(B:B,Table1[[#This Row],[order_id]])</f>
        <v>0.5</v>
      </c>
      <c r="D3391" t="str">
        <f>TEXT(Table1[[#This Row],[order_date]],"mmmm")</f>
        <v>September</v>
      </c>
      <c r="E3391" s="1">
        <v>45556</v>
      </c>
      <c r="F3391" s="1" t="str">
        <f>TEXT(Table1[[#This Row],[order_date]],"dddd")</f>
        <v>Saturday</v>
      </c>
      <c r="G3391">
        <f>HOUR(Table1[[#This Row],[order_time]])</f>
        <v>15</v>
      </c>
      <c r="H3391" s="2">
        <v>0.6312268518518519</v>
      </c>
      <c r="I3391" t="s">
        <v>18</v>
      </c>
      <c r="J3391" t="s">
        <v>30</v>
      </c>
      <c r="K3391">
        <v>2</v>
      </c>
      <c r="L3391">
        <v>60</v>
      </c>
      <c r="M3391">
        <v>120</v>
      </c>
      <c r="N3391">
        <f>IF(COUNTIFS($B$2:B3391,B3391)=1,1,0)</f>
        <v>1</v>
      </c>
    </row>
    <row r="3392" spans="1:14" x14ac:dyDescent="0.2">
      <c r="A3392">
        <v>3391</v>
      </c>
      <c r="B3392">
        <v>2714</v>
      </c>
      <c r="C3392">
        <f>1/COUNTIF(B:B,Table1[[#This Row],[order_id]])</f>
        <v>0.5</v>
      </c>
      <c r="D3392" t="str">
        <f>TEXT(Table1[[#This Row],[order_date]],"mmmm")</f>
        <v>September</v>
      </c>
      <c r="E3392" s="1">
        <v>45556</v>
      </c>
      <c r="F3392" s="1" t="str">
        <f>TEXT(Table1[[#This Row],[order_date]],"dddd")</f>
        <v>Saturday</v>
      </c>
      <c r="G3392">
        <f>HOUR(Table1[[#This Row],[order_time]])</f>
        <v>9</v>
      </c>
      <c r="H3392" s="2">
        <v>0.39452546296296298</v>
      </c>
      <c r="I3392" t="s">
        <v>9</v>
      </c>
      <c r="J3392" t="s">
        <v>29</v>
      </c>
      <c r="K3392">
        <v>3</v>
      </c>
      <c r="L3392">
        <v>5</v>
      </c>
      <c r="M3392">
        <v>15</v>
      </c>
      <c r="N3392">
        <f>IF(COUNTIFS($B$2:B3392,B3392)=1,1,0)</f>
        <v>0</v>
      </c>
    </row>
    <row r="3393" spans="1:14" x14ac:dyDescent="0.2">
      <c r="A3393">
        <v>3392</v>
      </c>
      <c r="B3393">
        <v>2715</v>
      </c>
      <c r="C3393">
        <f>1/COUNTIF(B:B,Table1[[#This Row],[order_id]])</f>
        <v>0.5</v>
      </c>
      <c r="D3393" t="str">
        <f>TEXT(Table1[[#This Row],[order_date]],"mmmm")</f>
        <v>September</v>
      </c>
      <c r="E3393" s="1">
        <v>45556</v>
      </c>
      <c r="F3393" s="1" t="str">
        <f>TEXT(Table1[[#This Row],[order_date]],"dddd")</f>
        <v>Saturday</v>
      </c>
      <c r="G3393">
        <f>HOUR(Table1[[#This Row],[order_time]])</f>
        <v>10</v>
      </c>
      <c r="H3393" s="2">
        <v>0.4566087962962963</v>
      </c>
      <c r="I3393" t="s">
        <v>18</v>
      </c>
      <c r="J3393" t="s">
        <v>19</v>
      </c>
      <c r="K3393">
        <v>2</v>
      </c>
      <c r="L3393">
        <v>50</v>
      </c>
      <c r="M3393">
        <v>100</v>
      </c>
      <c r="N3393">
        <f>IF(COUNTIFS($B$2:B3393,B3393)=1,1,0)</f>
        <v>1</v>
      </c>
    </row>
    <row r="3394" spans="1:14" x14ac:dyDescent="0.2">
      <c r="A3394">
        <v>3393</v>
      </c>
      <c r="B3394">
        <v>2715</v>
      </c>
      <c r="C3394">
        <f>1/COUNTIF(B:B,Table1[[#This Row],[order_id]])</f>
        <v>0.5</v>
      </c>
      <c r="D3394" t="str">
        <f>TEXT(Table1[[#This Row],[order_date]],"mmmm")</f>
        <v>September</v>
      </c>
      <c r="E3394" s="1">
        <v>45556</v>
      </c>
      <c r="F3394" s="1" t="str">
        <f>TEXT(Table1[[#This Row],[order_date]],"dddd")</f>
        <v>Saturday</v>
      </c>
      <c r="G3394">
        <f>HOUR(Table1[[#This Row],[order_time]])</f>
        <v>15</v>
      </c>
      <c r="H3394" s="2">
        <v>0.66630787037037043</v>
      </c>
      <c r="I3394" t="s">
        <v>9</v>
      </c>
      <c r="J3394" t="s">
        <v>29</v>
      </c>
      <c r="K3394">
        <v>3</v>
      </c>
      <c r="L3394">
        <v>5</v>
      </c>
      <c r="M3394">
        <v>15</v>
      </c>
      <c r="N3394">
        <f>IF(COUNTIFS($B$2:B3394,B3394)=1,1,0)</f>
        <v>0</v>
      </c>
    </row>
    <row r="3395" spans="1:14" x14ac:dyDescent="0.2">
      <c r="A3395">
        <v>3394</v>
      </c>
      <c r="B3395">
        <v>2716</v>
      </c>
      <c r="C3395">
        <f>1/COUNTIF(B:B,Table1[[#This Row],[order_id]])</f>
        <v>0.5</v>
      </c>
      <c r="D3395" t="str">
        <f>TEXT(Table1[[#This Row],[order_date]],"mmmm")</f>
        <v>September</v>
      </c>
      <c r="E3395" s="1">
        <v>45556</v>
      </c>
      <c r="F3395" s="1" t="str">
        <f>TEXT(Table1[[#This Row],[order_date]],"dddd")</f>
        <v>Saturday</v>
      </c>
      <c r="G3395">
        <f>HOUR(Table1[[#This Row],[order_time]])</f>
        <v>14</v>
      </c>
      <c r="H3395" s="2">
        <v>0.61771990740740745</v>
      </c>
      <c r="I3395" t="s">
        <v>18</v>
      </c>
      <c r="J3395" t="s">
        <v>26</v>
      </c>
      <c r="K3395">
        <v>1</v>
      </c>
      <c r="L3395">
        <v>55</v>
      </c>
      <c r="M3395">
        <v>55</v>
      </c>
      <c r="N3395">
        <f>IF(COUNTIFS($B$2:B3395,B3395)=1,1,0)</f>
        <v>1</v>
      </c>
    </row>
    <row r="3396" spans="1:14" x14ac:dyDescent="0.2">
      <c r="A3396">
        <v>3395</v>
      </c>
      <c r="B3396">
        <v>2716</v>
      </c>
      <c r="C3396">
        <f>1/COUNTIF(B:B,Table1[[#This Row],[order_id]])</f>
        <v>0.5</v>
      </c>
      <c r="D3396" t="str">
        <f>TEXT(Table1[[#This Row],[order_date]],"mmmm")</f>
        <v>September</v>
      </c>
      <c r="E3396" s="1">
        <v>45556</v>
      </c>
      <c r="F3396" s="1" t="str">
        <f>TEXT(Table1[[#This Row],[order_date]],"dddd")</f>
        <v>Saturday</v>
      </c>
      <c r="G3396">
        <f>HOUR(Table1[[#This Row],[order_time]])</f>
        <v>16</v>
      </c>
      <c r="H3396" s="2">
        <v>0.6993287037037037</v>
      </c>
      <c r="I3396" t="s">
        <v>9</v>
      </c>
      <c r="J3396" t="s">
        <v>10</v>
      </c>
      <c r="K3396">
        <v>3</v>
      </c>
      <c r="L3396">
        <v>20</v>
      </c>
      <c r="M3396">
        <v>60</v>
      </c>
      <c r="N3396">
        <f>IF(COUNTIFS($B$2:B3396,B3396)=1,1,0)</f>
        <v>0</v>
      </c>
    </row>
    <row r="3397" spans="1:14" x14ac:dyDescent="0.2">
      <c r="A3397">
        <v>3396</v>
      </c>
      <c r="B3397">
        <v>2717</v>
      </c>
      <c r="C3397">
        <f>1/COUNTIF(B:B,Table1[[#This Row],[order_id]])</f>
        <v>1</v>
      </c>
      <c r="D3397" t="str">
        <f>TEXT(Table1[[#This Row],[order_date]],"mmmm")</f>
        <v>September</v>
      </c>
      <c r="E3397" s="1">
        <v>45556</v>
      </c>
      <c r="F3397" s="1" t="str">
        <f>TEXT(Table1[[#This Row],[order_date]],"dddd")</f>
        <v>Saturday</v>
      </c>
      <c r="G3397">
        <f>HOUR(Table1[[#This Row],[order_time]])</f>
        <v>11</v>
      </c>
      <c r="H3397" s="2">
        <v>0.49268518518518517</v>
      </c>
      <c r="I3397" t="s">
        <v>11</v>
      </c>
      <c r="J3397" t="s">
        <v>12</v>
      </c>
      <c r="K3397">
        <v>1</v>
      </c>
      <c r="L3397">
        <v>650</v>
      </c>
      <c r="M3397">
        <v>650</v>
      </c>
      <c r="N3397">
        <f>IF(COUNTIFS($B$2:B3397,B3397)=1,1,0)</f>
        <v>1</v>
      </c>
    </row>
    <row r="3398" spans="1:14" x14ac:dyDescent="0.2">
      <c r="A3398">
        <v>3397</v>
      </c>
      <c r="B3398">
        <v>2718</v>
      </c>
      <c r="C3398">
        <f>1/COUNTIF(B:B,Table1[[#This Row],[order_id]])</f>
        <v>0.33333333333333331</v>
      </c>
      <c r="D3398" t="str">
        <f>TEXT(Table1[[#This Row],[order_date]],"mmmm")</f>
        <v>September</v>
      </c>
      <c r="E3398" s="1">
        <v>45556</v>
      </c>
      <c r="F3398" s="1" t="str">
        <f>TEXT(Table1[[#This Row],[order_date]],"dddd")</f>
        <v>Saturday</v>
      </c>
      <c r="G3398">
        <f>HOUR(Table1[[#This Row],[order_time]])</f>
        <v>19</v>
      </c>
      <c r="H3398" s="2">
        <v>0.83236111111111111</v>
      </c>
      <c r="I3398" t="s">
        <v>16</v>
      </c>
      <c r="J3398" t="s">
        <v>24</v>
      </c>
      <c r="K3398">
        <v>5</v>
      </c>
      <c r="L3398">
        <v>35</v>
      </c>
      <c r="M3398">
        <v>175</v>
      </c>
      <c r="N3398">
        <f>IF(COUNTIFS($B$2:B3398,B3398)=1,1,0)</f>
        <v>1</v>
      </c>
    </row>
    <row r="3399" spans="1:14" x14ac:dyDescent="0.2">
      <c r="A3399">
        <v>3398</v>
      </c>
      <c r="B3399">
        <v>2718</v>
      </c>
      <c r="C3399">
        <f>1/COUNTIF(B:B,Table1[[#This Row],[order_id]])</f>
        <v>0.33333333333333331</v>
      </c>
      <c r="D3399" t="str">
        <f>TEXT(Table1[[#This Row],[order_date]],"mmmm")</f>
        <v>September</v>
      </c>
      <c r="E3399" s="1">
        <v>45556</v>
      </c>
      <c r="F3399" s="1" t="str">
        <f>TEXT(Table1[[#This Row],[order_date]],"dddd")</f>
        <v>Saturday</v>
      </c>
      <c r="G3399">
        <f>HOUR(Table1[[#This Row],[order_time]])</f>
        <v>13</v>
      </c>
      <c r="H3399" s="2">
        <v>0.5763773148148148</v>
      </c>
      <c r="I3399" t="s">
        <v>9</v>
      </c>
      <c r="J3399" t="s">
        <v>21</v>
      </c>
      <c r="K3399">
        <v>2</v>
      </c>
      <c r="L3399">
        <v>10</v>
      </c>
      <c r="M3399">
        <v>20</v>
      </c>
      <c r="N3399">
        <f>IF(COUNTIFS($B$2:B3399,B3399)=1,1,0)</f>
        <v>0</v>
      </c>
    </row>
    <row r="3400" spans="1:14" x14ac:dyDescent="0.2">
      <c r="A3400">
        <v>3399</v>
      </c>
      <c r="B3400">
        <v>2718</v>
      </c>
      <c r="C3400">
        <f>1/COUNTIF(B:B,Table1[[#This Row],[order_id]])</f>
        <v>0.33333333333333331</v>
      </c>
      <c r="D3400" t="str">
        <f>TEXT(Table1[[#This Row],[order_date]],"mmmm")</f>
        <v>September</v>
      </c>
      <c r="E3400" s="1">
        <v>45556</v>
      </c>
      <c r="F3400" s="1" t="str">
        <f>TEXT(Table1[[#This Row],[order_date]],"dddd")</f>
        <v>Saturday</v>
      </c>
      <c r="G3400">
        <f>HOUR(Table1[[#This Row],[order_time]])</f>
        <v>11</v>
      </c>
      <c r="H3400" s="2">
        <v>0.4906712962962963</v>
      </c>
      <c r="I3400" t="s">
        <v>11</v>
      </c>
      <c r="J3400" t="s">
        <v>15</v>
      </c>
      <c r="K3400">
        <v>3</v>
      </c>
      <c r="L3400">
        <v>600</v>
      </c>
      <c r="M3400">
        <v>1800</v>
      </c>
      <c r="N3400">
        <f>IF(COUNTIFS($B$2:B3400,B3400)=1,1,0)</f>
        <v>0</v>
      </c>
    </row>
    <row r="3401" spans="1:14" x14ac:dyDescent="0.2">
      <c r="A3401">
        <v>3400</v>
      </c>
      <c r="B3401">
        <v>2719</v>
      </c>
      <c r="C3401">
        <f>1/COUNTIF(B:B,Table1[[#This Row],[order_id]])</f>
        <v>1</v>
      </c>
      <c r="D3401" t="str">
        <f>TEXT(Table1[[#This Row],[order_date]],"mmmm")</f>
        <v>September</v>
      </c>
      <c r="E3401" s="1">
        <v>45556</v>
      </c>
      <c r="F3401" s="1" t="str">
        <f>TEXT(Table1[[#This Row],[order_date]],"dddd")</f>
        <v>Saturday</v>
      </c>
      <c r="G3401">
        <f>HOUR(Table1[[#This Row],[order_time]])</f>
        <v>9</v>
      </c>
      <c r="H3401" s="2">
        <v>0.37682870370370369</v>
      </c>
      <c r="I3401" t="s">
        <v>18</v>
      </c>
      <c r="J3401" t="s">
        <v>30</v>
      </c>
      <c r="K3401">
        <v>2</v>
      </c>
      <c r="L3401">
        <v>60</v>
      </c>
      <c r="M3401">
        <v>120</v>
      </c>
      <c r="N3401">
        <f>IF(COUNTIFS($B$2:B3401,B3401)=1,1,0)</f>
        <v>1</v>
      </c>
    </row>
    <row r="3402" spans="1:14" x14ac:dyDescent="0.2">
      <c r="A3402">
        <v>3401</v>
      </c>
      <c r="B3402">
        <v>2720</v>
      </c>
      <c r="C3402">
        <f>1/COUNTIF(B:B,Table1[[#This Row],[order_id]])</f>
        <v>0.5</v>
      </c>
      <c r="D3402" t="str">
        <f>TEXT(Table1[[#This Row],[order_date]],"mmmm")</f>
        <v>September</v>
      </c>
      <c r="E3402" s="1">
        <v>45556</v>
      </c>
      <c r="F3402" s="1" t="str">
        <f>TEXT(Table1[[#This Row],[order_date]],"dddd")</f>
        <v>Saturday</v>
      </c>
      <c r="G3402">
        <f>HOUR(Table1[[#This Row],[order_time]])</f>
        <v>17</v>
      </c>
      <c r="H3402" s="2">
        <v>0.74442129629629628</v>
      </c>
      <c r="I3402" t="s">
        <v>11</v>
      </c>
      <c r="J3402" t="s">
        <v>15</v>
      </c>
      <c r="K3402">
        <v>1</v>
      </c>
      <c r="L3402">
        <v>600</v>
      </c>
      <c r="M3402">
        <v>600</v>
      </c>
      <c r="N3402">
        <f>IF(COUNTIFS($B$2:B3402,B3402)=1,1,0)</f>
        <v>1</v>
      </c>
    </row>
    <row r="3403" spans="1:14" x14ac:dyDescent="0.2">
      <c r="A3403">
        <v>3402</v>
      </c>
      <c r="B3403">
        <v>2720</v>
      </c>
      <c r="C3403">
        <f>1/COUNTIF(B:B,Table1[[#This Row],[order_id]])</f>
        <v>0.5</v>
      </c>
      <c r="D3403" t="str">
        <f>TEXT(Table1[[#This Row],[order_date]],"mmmm")</f>
        <v>September</v>
      </c>
      <c r="E3403" s="1">
        <v>45556</v>
      </c>
      <c r="F3403" s="1" t="str">
        <f>TEXT(Table1[[#This Row],[order_date]],"dddd")</f>
        <v>Saturday</v>
      </c>
      <c r="G3403">
        <f>HOUR(Table1[[#This Row],[order_time]])</f>
        <v>16</v>
      </c>
      <c r="H3403" s="2">
        <v>0.6935648148148148</v>
      </c>
      <c r="I3403" t="s">
        <v>11</v>
      </c>
      <c r="J3403" t="s">
        <v>12</v>
      </c>
      <c r="K3403">
        <v>5</v>
      </c>
      <c r="L3403">
        <v>650</v>
      </c>
      <c r="M3403">
        <v>3250</v>
      </c>
      <c r="N3403">
        <f>IF(COUNTIFS($B$2:B3403,B3403)=1,1,0)</f>
        <v>0</v>
      </c>
    </row>
    <row r="3404" spans="1:14" x14ac:dyDescent="0.2">
      <c r="A3404">
        <v>3403</v>
      </c>
      <c r="B3404">
        <v>2721</v>
      </c>
      <c r="C3404">
        <f>1/COUNTIF(B:B,Table1[[#This Row],[order_id]])</f>
        <v>0.5</v>
      </c>
      <c r="D3404" t="str">
        <f>TEXT(Table1[[#This Row],[order_date]],"mmmm")</f>
        <v>September</v>
      </c>
      <c r="E3404" s="1">
        <v>45557</v>
      </c>
      <c r="F3404" s="1" t="str">
        <f>TEXT(Table1[[#This Row],[order_date]],"dddd")</f>
        <v>Sunday</v>
      </c>
      <c r="G3404">
        <f>HOUR(Table1[[#This Row],[order_time]])</f>
        <v>15</v>
      </c>
      <c r="H3404" s="2">
        <v>0.63594907407407408</v>
      </c>
      <c r="I3404" t="s">
        <v>16</v>
      </c>
      <c r="J3404" t="s">
        <v>17</v>
      </c>
      <c r="K3404">
        <v>2</v>
      </c>
      <c r="L3404">
        <v>20</v>
      </c>
      <c r="M3404">
        <v>40</v>
      </c>
      <c r="N3404">
        <f>IF(COUNTIFS($B$2:B3404,B3404)=1,1,0)</f>
        <v>1</v>
      </c>
    </row>
    <row r="3405" spans="1:14" x14ac:dyDescent="0.2">
      <c r="A3405">
        <v>3404</v>
      </c>
      <c r="B3405">
        <v>2721</v>
      </c>
      <c r="C3405">
        <f>1/COUNTIF(B:B,Table1[[#This Row],[order_id]])</f>
        <v>0.5</v>
      </c>
      <c r="D3405" t="str">
        <f>TEXT(Table1[[#This Row],[order_date]],"mmmm")</f>
        <v>September</v>
      </c>
      <c r="E3405" s="1">
        <v>45557</v>
      </c>
      <c r="F3405" s="1" t="str">
        <f>TEXT(Table1[[#This Row],[order_date]],"dddd")</f>
        <v>Sunday</v>
      </c>
      <c r="G3405">
        <f>HOUR(Table1[[#This Row],[order_time]])</f>
        <v>12</v>
      </c>
      <c r="H3405" s="2">
        <v>0.50719907407407405</v>
      </c>
      <c r="I3405" t="s">
        <v>18</v>
      </c>
      <c r="J3405" t="s">
        <v>19</v>
      </c>
      <c r="K3405">
        <v>1</v>
      </c>
      <c r="L3405">
        <v>50</v>
      </c>
      <c r="M3405">
        <v>50</v>
      </c>
      <c r="N3405">
        <f>IF(COUNTIFS($B$2:B3405,B3405)=1,1,0)</f>
        <v>0</v>
      </c>
    </row>
    <row r="3406" spans="1:14" x14ac:dyDescent="0.2">
      <c r="A3406">
        <v>3405</v>
      </c>
      <c r="B3406">
        <v>2722</v>
      </c>
      <c r="C3406">
        <f>1/COUNTIF(B:B,Table1[[#This Row],[order_id]])</f>
        <v>0.5</v>
      </c>
      <c r="D3406" t="str">
        <f>TEXT(Table1[[#This Row],[order_date]],"mmmm")</f>
        <v>September</v>
      </c>
      <c r="E3406" s="1">
        <v>45557</v>
      </c>
      <c r="F3406" s="1" t="str">
        <f>TEXT(Table1[[#This Row],[order_date]],"dddd")</f>
        <v>Sunday</v>
      </c>
      <c r="G3406">
        <f>HOUR(Table1[[#This Row],[order_time]])</f>
        <v>19</v>
      </c>
      <c r="H3406" s="2">
        <v>0.81200231481481477</v>
      </c>
      <c r="I3406" t="s">
        <v>18</v>
      </c>
      <c r="J3406" t="s">
        <v>26</v>
      </c>
      <c r="K3406">
        <v>2</v>
      </c>
      <c r="L3406">
        <v>55</v>
      </c>
      <c r="M3406">
        <v>110</v>
      </c>
      <c r="N3406">
        <f>IF(COUNTIFS($B$2:B3406,B3406)=1,1,0)</f>
        <v>1</v>
      </c>
    </row>
    <row r="3407" spans="1:14" x14ac:dyDescent="0.2">
      <c r="A3407">
        <v>3406</v>
      </c>
      <c r="B3407">
        <v>2722</v>
      </c>
      <c r="C3407">
        <f>1/COUNTIF(B:B,Table1[[#This Row],[order_id]])</f>
        <v>0.5</v>
      </c>
      <c r="D3407" t="str">
        <f>TEXT(Table1[[#This Row],[order_date]],"mmmm")</f>
        <v>September</v>
      </c>
      <c r="E3407" s="1">
        <v>45557</v>
      </c>
      <c r="F3407" s="1" t="str">
        <f>TEXT(Table1[[#This Row],[order_date]],"dddd")</f>
        <v>Sunday</v>
      </c>
      <c r="G3407">
        <f>HOUR(Table1[[#This Row],[order_time]])</f>
        <v>20</v>
      </c>
      <c r="H3407" s="2">
        <v>0.84818287037037032</v>
      </c>
      <c r="I3407" t="s">
        <v>9</v>
      </c>
      <c r="J3407" t="s">
        <v>10</v>
      </c>
      <c r="K3407">
        <v>1</v>
      </c>
      <c r="L3407">
        <v>20</v>
      </c>
      <c r="M3407">
        <v>20</v>
      </c>
      <c r="N3407">
        <f>IF(COUNTIFS($B$2:B3407,B3407)=1,1,0)</f>
        <v>0</v>
      </c>
    </row>
    <row r="3408" spans="1:14" x14ac:dyDescent="0.2">
      <c r="A3408">
        <v>3407</v>
      </c>
      <c r="B3408">
        <v>2723</v>
      </c>
      <c r="C3408">
        <f>1/COUNTIF(B:B,Table1[[#This Row],[order_id]])</f>
        <v>1</v>
      </c>
      <c r="D3408" t="str">
        <f>TEXT(Table1[[#This Row],[order_date]],"mmmm")</f>
        <v>September</v>
      </c>
      <c r="E3408" s="1">
        <v>45557</v>
      </c>
      <c r="F3408" s="1" t="str">
        <f>TEXT(Table1[[#This Row],[order_date]],"dddd")</f>
        <v>Sunday</v>
      </c>
      <c r="G3408">
        <f>HOUR(Table1[[#This Row],[order_time]])</f>
        <v>16</v>
      </c>
      <c r="H3408" s="2">
        <v>0.68747685185185181</v>
      </c>
      <c r="I3408" t="s">
        <v>16</v>
      </c>
      <c r="J3408" t="s">
        <v>28</v>
      </c>
      <c r="K3408">
        <v>5</v>
      </c>
      <c r="L3408">
        <v>25</v>
      </c>
      <c r="M3408">
        <v>125</v>
      </c>
      <c r="N3408">
        <f>IF(COUNTIFS($B$2:B3408,B3408)=1,1,0)</f>
        <v>1</v>
      </c>
    </row>
    <row r="3409" spans="1:14" x14ac:dyDescent="0.2">
      <c r="A3409">
        <v>3408</v>
      </c>
      <c r="B3409">
        <v>2724</v>
      </c>
      <c r="C3409">
        <f>1/COUNTIF(B:B,Table1[[#This Row],[order_id]])</f>
        <v>1</v>
      </c>
      <c r="D3409" t="str">
        <f>TEXT(Table1[[#This Row],[order_date]],"mmmm")</f>
        <v>September</v>
      </c>
      <c r="E3409" s="1">
        <v>45557</v>
      </c>
      <c r="F3409" s="1" t="str">
        <f>TEXT(Table1[[#This Row],[order_date]],"dddd")</f>
        <v>Sunday</v>
      </c>
      <c r="G3409">
        <f>HOUR(Table1[[#This Row],[order_time]])</f>
        <v>19</v>
      </c>
      <c r="H3409" s="2">
        <v>0.82568287037037036</v>
      </c>
      <c r="I3409" t="s">
        <v>9</v>
      </c>
      <c r="J3409" t="s">
        <v>20</v>
      </c>
      <c r="K3409">
        <v>1</v>
      </c>
      <c r="L3409">
        <v>25</v>
      </c>
      <c r="M3409">
        <v>25</v>
      </c>
      <c r="N3409">
        <f>IF(COUNTIFS($B$2:B3409,B3409)=1,1,0)</f>
        <v>1</v>
      </c>
    </row>
    <row r="3410" spans="1:14" x14ac:dyDescent="0.2">
      <c r="A3410">
        <v>3409</v>
      </c>
      <c r="B3410">
        <v>2725</v>
      </c>
      <c r="C3410">
        <f>1/COUNTIF(B:B,Table1[[#This Row],[order_id]])</f>
        <v>0.5</v>
      </c>
      <c r="D3410" t="str">
        <f>TEXT(Table1[[#This Row],[order_date]],"mmmm")</f>
        <v>September</v>
      </c>
      <c r="E3410" s="1">
        <v>45557</v>
      </c>
      <c r="F3410" s="1" t="str">
        <f>TEXT(Table1[[#This Row],[order_date]],"dddd")</f>
        <v>Sunday</v>
      </c>
      <c r="G3410">
        <f>HOUR(Table1[[#This Row],[order_time]])</f>
        <v>15</v>
      </c>
      <c r="H3410" s="2">
        <v>0.62880787037037034</v>
      </c>
      <c r="I3410" t="s">
        <v>18</v>
      </c>
      <c r="J3410" t="s">
        <v>30</v>
      </c>
      <c r="K3410">
        <v>5</v>
      </c>
      <c r="L3410">
        <v>60</v>
      </c>
      <c r="M3410">
        <v>300</v>
      </c>
      <c r="N3410">
        <f>IF(COUNTIFS($B$2:B3410,B3410)=1,1,0)</f>
        <v>1</v>
      </c>
    </row>
    <row r="3411" spans="1:14" x14ac:dyDescent="0.2">
      <c r="A3411">
        <v>3410</v>
      </c>
      <c r="B3411">
        <v>2725</v>
      </c>
      <c r="C3411">
        <f>1/COUNTIF(B:B,Table1[[#This Row],[order_id]])</f>
        <v>0.5</v>
      </c>
      <c r="D3411" t="str">
        <f>TEXT(Table1[[#This Row],[order_date]],"mmmm")</f>
        <v>September</v>
      </c>
      <c r="E3411" s="1">
        <v>45557</v>
      </c>
      <c r="F3411" s="1" t="str">
        <f>TEXT(Table1[[#This Row],[order_date]],"dddd")</f>
        <v>Sunday</v>
      </c>
      <c r="G3411">
        <f>HOUR(Table1[[#This Row],[order_time]])</f>
        <v>17</v>
      </c>
      <c r="H3411" s="2">
        <v>0.72824074074074074</v>
      </c>
      <c r="I3411" t="s">
        <v>11</v>
      </c>
      <c r="J3411" t="s">
        <v>13</v>
      </c>
      <c r="K3411">
        <v>3</v>
      </c>
      <c r="L3411">
        <v>680</v>
      </c>
      <c r="M3411">
        <v>2040</v>
      </c>
      <c r="N3411">
        <f>IF(COUNTIFS($B$2:B3411,B3411)=1,1,0)</f>
        <v>0</v>
      </c>
    </row>
    <row r="3412" spans="1:14" x14ac:dyDescent="0.2">
      <c r="A3412">
        <v>3411</v>
      </c>
      <c r="B3412">
        <v>2726</v>
      </c>
      <c r="C3412">
        <f>1/COUNTIF(B:B,Table1[[#This Row],[order_id]])</f>
        <v>0.33333333333333331</v>
      </c>
      <c r="D3412" t="str">
        <f>TEXT(Table1[[#This Row],[order_date]],"mmmm")</f>
        <v>September</v>
      </c>
      <c r="E3412" s="1">
        <v>45557</v>
      </c>
      <c r="F3412" s="1" t="str">
        <f>TEXT(Table1[[#This Row],[order_date]],"dddd")</f>
        <v>Sunday</v>
      </c>
      <c r="G3412">
        <f>HOUR(Table1[[#This Row],[order_time]])</f>
        <v>19</v>
      </c>
      <c r="H3412" s="2">
        <v>0.81798611111111108</v>
      </c>
      <c r="I3412" t="s">
        <v>18</v>
      </c>
      <c r="J3412" t="s">
        <v>26</v>
      </c>
      <c r="K3412">
        <v>4</v>
      </c>
      <c r="L3412">
        <v>55</v>
      </c>
      <c r="M3412">
        <v>220</v>
      </c>
      <c r="N3412">
        <f>IF(COUNTIFS($B$2:B3412,B3412)=1,1,0)</f>
        <v>1</v>
      </c>
    </row>
    <row r="3413" spans="1:14" x14ac:dyDescent="0.2">
      <c r="A3413">
        <v>3412</v>
      </c>
      <c r="B3413">
        <v>2726</v>
      </c>
      <c r="C3413">
        <f>1/COUNTIF(B:B,Table1[[#This Row],[order_id]])</f>
        <v>0.33333333333333331</v>
      </c>
      <c r="D3413" t="str">
        <f>TEXT(Table1[[#This Row],[order_date]],"mmmm")</f>
        <v>September</v>
      </c>
      <c r="E3413" s="1">
        <v>45557</v>
      </c>
      <c r="F3413" s="1" t="str">
        <f>TEXT(Table1[[#This Row],[order_date]],"dddd")</f>
        <v>Sunday</v>
      </c>
      <c r="G3413">
        <f>HOUR(Table1[[#This Row],[order_time]])</f>
        <v>16</v>
      </c>
      <c r="H3413" s="2">
        <v>0.68159722222222219</v>
      </c>
      <c r="I3413" t="s">
        <v>11</v>
      </c>
      <c r="J3413" t="s">
        <v>12</v>
      </c>
      <c r="K3413">
        <v>1</v>
      </c>
      <c r="L3413">
        <v>650</v>
      </c>
      <c r="M3413">
        <v>650</v>
      </c>
      <c r="N3413">
        <f>IF(COUNTIFS($B$2:B3413,B3413)=1,1,0)</f>
        <v>0</v>
      </c>
    </row>
    <row r="3414" spans="1:14" x14ac:dyDescent="0.2">
      <c r="A3414">
        <v>3413</v>
      </c>
      <c r="B3414">
        <v>2726</v>
      </c>
      <c r="C3414">
        <f>1/COUNTIF(B:B,Table1[[#This Row],[order_id]])</f>
        <v>0.33333333333333331</v>
      </c>
      <c r="D3414" t="str">
        <f>TEXT(Table1[[#This Row],[order_date]],"mmmm")</f>
        <v>September</v>
      </c>
      <c r="E3414" s="1">
        <v>45557</v>
      </c>
      <c r="F3414" s="1" t="str">
        <f>TEXT(Table1[[#This Row],[order_date]],"dddd")</f>
        <v>Sunday</v>
      </c>
      <c r="G3414">
        <f>HOUR(Table1[[#This Row],[order_time]])</f>
        <v>13</v>
      </c>
      <c r="H3414" s="2">
        <v>0.56577546296296299</v>
      </c>
      <c r="I3414" t="s">
        <v>9</v>
      </c>
      <c r="J3414" t="s">
        <v>10</v>
      </c>
      <c r="K3414">
        <v>4</v>
      </c>
      <c r="L3414">
        <v>20</v>
      </c>
      <c r="M3414">
        <v>80</v>
      </c>
      <c r="N3414">
        <f>IF(COUNTIFS($B$2:B3414,B3414)=1,1,0)</f>
        <v>0</v>
      </c>
    </row>
    <row r="3415" spans="1:14" x14ac:dyDescent="0.2">
      <c r="A3415">
        <v>3414</v>
      </c>
      <c r="B3415">
        <v>2727</v>
      </c>
      <c r="C3415">
        <f>1/COUNTIF(B:B,Table1[[#This Row],[order_id]])</f>
        <v>1</v>
      </c>
      <c r="D3415" t="str">
        <f>TEXT(Table1[[#This Row],[order_date]],"mmmm")</f>
        <v>September</v>
      </c>
      <c r="E3415" s="1">
        <v>45557</v>
      </c>
      <c r="F3415" s="1" t="str">
        <f>TEXT(Table1[[#This Row],[order_date]],"dddd")</f>
        <v>Sunday</v>
      </c>
      <c r="G3415">
        <f>HOUR(Table1[[#This Row],[order_time]])</f>
        <v>12</v>
      </c>
      <c r="H3415" s="2">
        <v>0.53336805555555555</v>
      </c>
      <c r="I3415" t="s">
        <v>16</v>
      </c>
      <c r="J3415" t="s">
        <v>23</v>
      </c>
      <c r="K3415">
        <v>3</v>
      </c>
      <c r="L3415">
        <v>30</v>
      </c>
      <c r="M3415">
        <v>90</v>
      </c>
      <c r="N3415">
        <f>IF(COUNTIFS($B$2:B3415,B3415)=1,1,0)</f>
        <v>1</v>
      </c>
    </row>
    <row r="3416" spans="1:14" x14ac:dyDescent="0.2">
      <c r="A3416">
        <v>3415</v>
      </c>
      <c r="B3416">
        <v>2728</v>
      </c>
      <c r="C3416">
        <f>1/COUNTIF(B:B,Table1[[#This Row],[order_id]])</f>
        <v>1</v>
      </c>
      <c r="D3416" t="str">
        <f>TEXT(Table1[[#This Row],[order_date]],"mmmm")</f>
        <v>September</v>
      </c>
      <c r="E3416" s="1">
        <v>45557</v>
      </c>
      <c r="F3416" s="1" t="str">
        <f>TEXT(Table1[[#This Row],[order_date]],"dddd")</f>
        <v>Sunday</v>
      </c>
      <c r="G3416">
        <f>HOUR(Table1[[#This Row],[order_time]])</f>
        <v>19</v>
      </c>
      <c r="H3416" s="2">
        <v>0.79688657407407404</v>
      </c>
      <c r="I3416" t="s">
        <v>16</v>
      </c>
      <c r="J3416" t="s">
        <v>24</v>
      </c>
      <c r="K3416">
        <v>2</v>
      </c>
      <c r="L3416">
        <v>35</v>
      </c>
      <c r="M3416">
        <v>70</v>
      </c>
      <c r="N3416">
        <f>IF(COUNTIFS($B$2:B3416,B3416)=1,1,0)</f>
        <v>1</v>
      </c>
    </row>
    <row r="3417" spans="1:14" x14ac:dyDescent="0.2">
      <c r="A3417">
        <v>3416</v>
      </c>
      <c r="B3417">
        <v>2729</v>
      </c>
      <c r="C3417">
        <f>1/COUNTIF(B:B,Table1[[#This Row],[order_id]])</f>
        <v>0.5</v>
      </c>
      <c r="D3417" t="str">
        <f>TEXT(Table1[[#This Row],[order_date]],"mmmm")</f>
        <v>September</v>
      </c>
      <c r="E3417" s="1">
        <v>45557</v>
      </c>
      <c r="F3417" s="1" t="str">
        <f>TEXT(Table1[[#This Row],[order_date]],"dddd")</f>
        <v>Sunday</v>
      </c>
      <c r="G3417">
        <f>HOUR(Table1[[#This Row],[order_time]])</f>
        <v>13</v>
      </c>
      <c r="H3417" s="2">
        <v>0.55145833333333338</v>
      </c>
      <c r="I3417" t="s">
        <v>9</v>
      </c>
      <c r="J3417" t="s">
        <v>20</v>
      </c>
      <c r="K3417">
        <v>4</v>
      </c>
      <c r="L3417">
        <v>25</v>
      </c>
      <c r="M3417">
        <v>100</v>
      </c>
      <c r="N3417">
        <f>IF(COUNTIFS($B$2:B3417,B3417)=1,1,0)</f>
        <v>1</v>
      </c>
    </row>
    <row r="3418" spans="1:14" x14ac:dyDescent="0.2">
      <c r="A3418">
        <v>3417</v>
      </c>
      <c r="B3418">
        <v>2729</v>
      </c>
      <c r="C3418">
        <f>1/COUNTIF(B:B,Table1[[#This Row],[order_id]])</f>
        <v>0.5</v>
      </c>
      <c r="D3418" t="str">
        <f>TEXT(Table1[[#This Row],[order_date]],"mmmm")</f>
        <v>September</v>
      </c>
      <c r="E3418" s="1">
        <v>45557</v>
      </c>
      <c r="F3418" s="1" t="str">
        <f>TEXT(Table1[[#This Row],[order_date]],"dddd")</f>
        <v>Sunday</v>
      </c>
      <c r="G3418">
        <f>HOUR(Table1[[#This Row],[order_time]])</f>
        <v>11</v>
      </c>
      <c r="H3418" s="2">
        <v>0.47857638888888887</v>
      </c>
      <c r="I3418" t="s">
        <v>18</v>
      </c>
      <c r="J3418" t="s">
        <v>26</v>
      </c>
      <c r="K3418">
        <v>5</v>
      </c>
      <c r="L3418">
        <v>55</v>
      </c>
      <c r="M3418">
        <v>275</v>
      </c>
      <c r="N3418">
        <f>IF(COUNTIFS($B$2:B3418,B3418)=1,1,0)</f>
        <v>0</v>
      </c>
    </row>
    <row r="3419" spans="1:14" x14ac:dyDescent="0.2">
      <c r="A3419">
        <v>3418</v>
      </c>
      <c r="B3419">
        <v>2730</v>
      </c>
      <c r="C3419">
        <f>1/COUNTIF(B:B,Table1[[#This Row],[order_id]])</f>
        <v>0.33333333333333331</v>
      </c>
      <c r="D3419" t="str">
        <f>TEXT(Table1[[#This Row],[order_date]],"mmmm")</f>
        <v>September</v>
      </c>
      <c r="E3419" s="1">
        <v>45558</v>
      </c>
      <c r="F3419" s="1" t="str">
        <f>TEXT(Table1[[#This Row],[order_date]],"dddd")</f>
        <v>Monday</v>
      </c>
      <c r="G3419">
        <f>HOUR(Table1[[#This Row],[order_time]])</f>
        <v>13</v>
      </c>
      <c r="H3419" s="2">
        <v>0.57119212962962962</v>
      </c>
      <c r="I3419" t="s">
        <v>16</v>
      </c>
      <c r="J3419" t="s">
        <v>24</v>
      </c>
      <c r="K3419">
        <v>2</v>
      </c>
      <c r="L3419">
        <v>35</v>
      </c>
      <c r="M3419">
        <v>70</v>
      </c>
      <c r="N3419">
        <f>IF(COUNTIFS($B$2:B3419,B3419)=1,1,0)</f>
        <v>1</v>
      </c>
    </row>
    <row r="3420" spans="1:14" x14ac:dyDescent="0.2">
      <c r="A3420">
        <v>3419</v>
      </c>
      <c r="B3420">
        <v>2730</v>
      </c>
      <c r="C3420">
        <f>1/COUNTIF(B:B,Table1[[#This Row],[order_id]])</f>
        <v>0.33333333333333331</v>
      </c>
      <c r="D3420" t="str">
        <f>TEXT(Table1[[#This Row],[order_date]],"mmmm")</f>
        <v>September</v>
      </c>
      <c r="E3420" s="1">
        <v>45558</v>
      </c>
      <c r="F3420" s="1" t="str">
        <f>TEXT(Table1[[#This Row],[order_date]],"dddd")</f>
        <v>Monday</v>
      </c>
      <c r="G3420">
        <f>HOUR(Table1[[#This Row],[order_time]])</f>
        <v>16</v>
      </c>
      <c r="H3420" s="2">
        <v>0.70248842592592597</v>
      </c>
      <c r="I3420" t="s">
        <v>11</v>
      </c>
      <c r="J3420" t="s">
        <v>12</v>
      </c>
      <c r="K3420">
        <v>1</v>
      </c>
      <c r="L3420">
        <v>650</v>
      </c>
      <c r="M3420">
        <v>650</v>
      </c>
      <c r="N3420">
        <f>IF(COUNTIFS($B$2:B3420,B3420)=1,1,0)</f>
        <v>0</v>
      </c>
    </row>
    <row r="3421" spans="1:14" x14ac:dyDescent="0.2">
      <c r="A3421">
        <v>3420</v>
      </c>
      <c r="B3421">
        <v>2730</v>
      </c>
      <c r="C3421">
        <f>1/COUNTIF(B:B,Table1[[#This Row],[order_id]])</f>
        <v>0.33333333333333331</v>
      </c>
      <c r="D3421" t="str">
        <f>TEXT(Table1[[#This Row],[order_date]],"mmmm")</f>
        <v>September</v>
      </c>
      <c r="E3421" s="1">
        <v>45558</v>
      </c>
      <c r="F3421" s="1" t="str">
        <f>TEXT(Table1[[#This Row],[order_date]],"dddd")</f>
        <v>Monday</v>
      </c>
      <c r="G3421">
        <f>HOUR(Table1[[#This Row],[order_time]])</f>
        <v>19</v>
      </c>
      <c r="H3421" s="2">
        <v>0.80311342592592594</v>
      </c>
      <c r="I3421" t="s">
        <v>11</v>
      </c>
      <c r="J3421" t="s">
        <v>15</v>
      </c>
      <c r="K3421">
        <v>4</v>
      </c>
      <c r="L3421">
        <v>600</v>
      </c>
      <c r="M3421">
        <v>2400</v>
      </c>
      <c r="N3421">
        <f>IF(COUNTIFS($B$2:B3421,B3421)=1,1,0)</f>
        <v>0</v>
      </c>
    </row>
    <row r="3422" spans="1:14" x14ac:dyDescent="0.2">
      <c r="A3422">
        <v>3421</v>
      </c>
      <c r="B3422">
        <v>2731</v>
      </c>
      <c r="C3422">
        <f>1/COUNTIF(B:B,Table1[[#This Row],[order_id]])</f>
        <v>0.33333333333333331</v>
      </c>
      <c r="D3422" t="str">
        <f>TEXT(Table1[[#This Row],[order_date]],"mmmm")</f>
        <v>September</v>
      </c>
      <c r="E3422" s="1">
        <v>45558</v>
      </c>
      <c r="F3422" s="1" t="str">
        <f>TEXT(Table1[[#This Row],[order_date]],"dddd")</f>
        <v>Monday</v>
      </c>
      <c r="G3422">
        <f>HOUR(Table1[[#This Row],[order_time]])</f>
        <v>18</v>
      </c>
      <c r="H3422" s="2">
        <v>0.79104166666666664</v>
      </c>
      <c r="I3422" t="s">
        <v>11</v>
      </c>
      <c r="J3422" t="s">
        <v>13</v>
      </c>
      <c r="K3422">
        <v>1</v>
      </c>
      <c r="L3422">
        <v>680</v>
      </c>
      <c r="M3422">
        <v>680</v>
      </c>
      <c r="N3422">
        <f>IF(COUNTIFS($B$2:B3422,B3422)=1,1,0)</f>
        <v>1</v>
      </c>
    </row>
    <row r="3423" spans="1:14" x14ac:dyDescent="0.2">
      <c r="A3423">
        <v>3422</v>
      </c>
      <c r="B3423">
        <v>2731</v>
      </c>
      <c r="C3423">
        <f>1/COUNTIF(B:B,Table1[[#This Row],[order_id]])</f>
        <v>0.33333333333333331</v>
      </c>
      <c r="D3423" t="str">
        <f>TEXT(Table1[[#This Row],[order_date]],"mmmm")</f>
        <v>September</v>
      </c>
      <c r="E3423" s="1">
        <v>45558</v>
      </c>
      <c r="F3423" s="1" t="str">
        <f>TEXT(Table1[[#This Row],[order_date]],"dddd")</f>
        <v>Monday</v>
      </c>
      <c r="G3423">
        <f>HOUR(Table1[[#This Row],[order_time]])</f>
        <v>13</v>
      </c>
      <c r="H3423" s="2">
        <v>0.54609953703703706</v>
      </c>
      <c r="I3423" t="s">
        <v>11</v>
      </c>
      <c r="J3423" t="s">
        <v>13</v>
      </c>
      <c r="K3423">
        <v>3</v>
      </c>
      <c r="L3423">
        <v>680</v>
      </c>
      <c r="M3423">
        <v>2040</v>
      </c>
      <c r="N3423">
        <f>IF(COUNTIFS($B$2:B3423,B3423)=1,1,0)</f>
        <v>0</v>
      </c>
    </row>
    <row r="3424" spans="1:14" x14ac:dyDescent="0.2">
      <c r="A3424">
        <v>3423</v>
      </c>
      <c r="B3424">
        <v>2731</v>
      </c>
      <c r="C3424">
        <f>1/COUNTIF(B:B,Table1[[#This Row],[order_id]])</f>
        <v>0.33333333333333331</v>
      </c>
      <c r="D3424" t="str">
        <f>TEXT(Table1[[#This Row],[order_date]],"mmmm")</f>
        <v>September</v>
      </c>
      <c r="E3424" s="1">
        <v>45558</v>
      </c>
      <c r="F3424" s="1" t="str">
        <f>TEXT(Table1[[#This Row],[order_date]],"dddd")</f>
        <v>Monday</v>
      </c>
      <c r="G3424">
        <f>HOUR(Table1[[#This Row],[order_time]])</f>
        <v>19</v>
      </c>
      <c r="H3424" s="2">
        <v>0.80333333333333334</v>
      </c>
      <c r="I3424" t="s">
        <v>16</v>
      </c>
      <c r="J3424" t="s">
        <v>24</v>
      </c>
      <c r="K3424">
        <v>1</v>
      </c>
      <c r="L3424">
        <v>35</v>
      </c>
      <c r="M3424">
        <v>35</v>
      </c>
      <c r="N3424">
        <f>IF(COUNTIFS($B$2:B3424,B3424)=1,1,0)</f>
        <v>0</v>
      </c>
    </row>
    <row r="3425" spans="1:14" x14ac:dyDescent="0.2">
      <c r="A3425">
        <v>3424</v>
      </c>
      <c r="B3425">
        <v>2732</v>
      </c>
      <c r="C3425">
        <f>1/COUNTIF(B:B,Table1[[#This Row],[order_id]])</f>
        <v>1</v>
      </c>
      <c r="D3425" t="str">
        <f>TEXT(Table1[[#This Row],[order_date]],"mmmm")</f>
        <v>September</v>
      </c>
      <c r="E3425" s="1">
        <v>45558</v>
      </c>
      <c r="F3425" s="1" t="str">
        <f>TEXT(Table1[[#This Row],[order_date]],"dddd")</f>
        <v>Monday</v>
      </c>
      <c r="G3425">
        <f>HOUR(Table1[[#This Row],[order_time]])</f>
        <v>11</v>
      </c>
      <c r="H3425" s="2">
        <v>0.48929398148148145</v>
      </c>
      <c r="I3425" t="s">
        <v>18</v>
      </c>
      <c r="J3425" t="s">
        <v>19</v>
      </c>
      <c r="K3425">
        <v>3</v>
      </c>
      <c r="L3425">
        <v>50</v>
      </c>
      <c r="M3425">
        <v>150</v>
      </c>
      <c r="N3425">
        <f>IF(COUNTIFS($B$2:B3425,B3425)=1,1,0)</f>
        <v>1</v>
      </c>
    </row>
    <row r="3426" spans="1:14" x14ac:dyDescent="0.2">
      <c r="A3426">
        <v>3425</v>
      </c>
      <c r="B3426">
        <v>2733</v>
      </c>
      <c r="C3426">
        <f>1/COUNTIF(B:B,Table1[[#This Row],[order_id]])</f>
        <v>1</v>
      </c>
      <c r="D3426" t="str">
        <f>TEXT(Table1[[#This Row],[order_date]],"mmmm")</f>
        <v>September</v>
      </c>
      <c r="E3426" s="1">
        <v>45558</v>
      </c>
      <c r="F3426" s="1" t="str">
        <f>TEXT(Table1[[#This Row],[order_date]],"dddd")</f>
        <v>Monday</v>
      </c>
      <c r="G3426">
        <f>HOUR(Table1[[#This Row],[order_time]])</f>
        <v>17</v>
      </c>
      <c r="H3426" s="2">
        <v>0.73086805555555556</v>
      </c>
      <c r="I3426" t="s">
        <v>9</v>
      </c>
      <c r="J3426" t="s">
        <v>21</v>
      </c>
      <c r="K3426">
        <v>4</v>
      </c>
      <c r="L3426">
        <v>10</v>
      </c>
      <c r="M3426">
        <v>40</v>
      </c>
      <c r="N3426">
        <f>IF(COUNTIFS($B$2:B3426,B3426)=1,1,0)</f>
        <v>1</v>
      </c>
    </row>
    <row r="3427" spans="1:14" x14ac:dyDescent="0.2">
      <c r="A3427">
        <v>3426</v>
      </c>
      <c r="B3427">
        <v>2734</v>
      </c>
      <c r="C3427">
        <f>1/COUNTIF(B:B,Table1[[#This Row],[order_id]])</f>
        <v>1</v>
      </c>
      <c r="D3427" t="str">
        <f>TEXT(Table1[[#This Row],[order_date]],"mmmm")</f>
        <v>September</v>
      </c>
      <c r="E3427" s="1">
        <v>45558</v>
      </c>
      <c r="F3427" s="1" t="str">
        <f>TEXT(Table1[[#This Row],[order_date]],"dddd")</f>
        <v>Monday</v>
      </c>
      <c r="G3427">
        <f>HOUR(Table1[[#This Row],[order_time]])</f>
        <v>12</v>
      </c>
      <c r="H3427" s="2">
        <v>0.5376967592592593</v>
      </c>
      <c r="I3427" t="s">
        <v>18</v>
      </c>
      <c r="J3427" t="s">
        <v>19</v>
      </c>
      <c r="K3427">
        <v>3</v>
      </c>
      <c r="L3427">
        <v>50</v>
      </c>
      <c r="M3427">
        <v>150</v>
      </c>
      <c r="N3427">
        <f>IF(COUNTIFS($B$2:B3427,B3427)=1,1,0)</f>
        <v>1</v>
      </c>
    </row>
    <row r="3428" spans="1:14" x14ac:dyDescent="0.2">
      <c r="A3428">
        <v>3427</v>
      </c>
      <c r="B3428">
        <v>2735</v>
      </c>
      <c r="C3428">
        <f>1/COUNTIF(B:B,Table1[[#This Row],[order_id]])</f>
        <v>0.33333333333333331</v>
      </c>
      <c r="D3428" t="str">
        <f>TEXT(Table1[[#This Row],[order_date]],"mmmm")</f>
        <v>September</v>
      </c>
      <c r="E3428" s="1">
        <v>45558</v>
      </c>
      <c r="F3428" s="1" t="str">
        <f>TEXT(Table1[[#This Row],[order_date]],"dddd")</f>
        <v>Monday</v>
      </c>
      <c r="G3428">
        <f>HOUR(Table1[[#This Row],[order_time]])</f>
        <v>12</v>
      </c>
      <c r="H3428" s="2">
        <v>0.54005787037037034</v>
      </c>
      <c r="I3428" t="s">
        <v>18</v>
      </c>
      <c r="J3428" t="s">
        <v>19</v>
      </c>
      <c r="K3428">
        <v>1</v>
      </c>
      <c r="L3428">
        <v>50</v>
      </c>
      <c r="M3428">
        <v>50</v>
      </c>
      <c r="N3428">
        <f>IF(COUNTIFS($B$2:B3428,B3428)=1,1,0)</f>
        <v>1</v>
      </c>
    </row>
    <row r="3429" spans="1:14" x14ac:dyDescent="0.2">
      <c r="A3429">
        <v>3428</v>
      </c>
      <c r="B3429">
        <v>2735</v>
      </c>
      <c r="C3429">
        <f>1/COUNTIF(B:B,Table1[[#This Row],[order_id]])</f>
        <v>0.33333333333333331</v>
      </c>
      <c r="D3429" t="str">
        <f>TEXT(Table1[[#This Row],[order_date]],"mmmm")</f>
        <v>September</v>
      </c>
      <c r="E3429" s="1">
        <v>45558</v>
      </c>
      <c r="F3429" s="1" t="str">
        <f>TEXT(Table1[[#This Row],[order_date]],"dddd")</f>
        <v>Monday</v>
      </c>
      <c r="G3429">
        <f>HOUR(Table1[[#This Row],[order_time]])</f>
        <v>17</v>
      </c>
      <c r="H3429" s="2">
        <v>0.73037037037037034</v>
      </c>
      <c r="I3429" t="s">
        <v>18</v>
      </c>
      <c r="J3429" t="s">
        <v>31</v>
      </c>
      <c r="K3429">
        <v>4</v>
      </c>
      <c r="L3429">
        <v>45</v>
      </c>
      <c r="M3429">
        <v>180</v>
      </c>
      <c r="N3429">
        <f>IF(COUNTIFS($B$2:B3429,B3429)=1,1,0)</f>
        <v>0</v>
      </c>
    </row>
    <row r="3430" spans="1:14" x14ac:dyDescent="0.2">
      <c r="A3430">
        <v>3429</v>
      </c>
      <c r="B3430">
        <v>2735</v>
      </c>
      <c r="C3430">
        <f>1/COUNTIF(B:B,Table1[[#This Row],[order_id]])</f>
        <v>0.33333333333333331</v>
      </c>
      <c r="D3430" t="str">
        <f>TEXT(Table1[[#This Row],[order_date]],"mmmm")</f>
        <v>September</v>
      </c>
      <c r="E3430" s="1">
        <v>45558</v>
      </c>
      <c r="F3430" s="1" t="str">
        <f>TEXT(Table1[[#This Row],[order_date]],"dddd")</f>
        <v>Monday</v>
      </c>
      <c r="G3430">
        <f>HOUR(Table1[[#This Row],[order_time]])</f>
        <v>14</v>
      </c>
      <c r="H3430" s="2">
        <v>0.60900462962962965</v>
      </c>
      <c r="I3430" t="s">
        <v>16</v>
      </c>
      <c r="J3430" t="s">
        <v>28</v>
      </c>
      <c r="K3430">
        <v>2</v>
      </c>
      <c r="L3430">
        <v>25</v>
      </c>
      <c r="M3430">
        <v>50</v>
      </c>
      <c r="N3430">
        <f>IF(COUNTIFS($B$2:B3430,B3430)=1,1,0)</f>
        <v>0</v>
      </c>
    </row>
    <row r="3431" spans="1:14" x14ac:dyDescent="0.2">
      <c r="A3431">
        <v>3430</v>
      </c>
      <c r="B3431">
        <v>2736</v>
      </c>
      <c r="C3431">
        <f>1/COUNTIF(B:B,Table1[[#This Row],[order_id]])</f>
        <v>0.33333333333333331</v>
      </c>
      <c r="D3431" t="str">
        <f>TEXT(Table1[[#This Row],[order_date]],"mmmm")</f>
        <v>September</v>
      </c>
      <c r="E3431" s="1">
        <v>45558</v>
      </c>
      <c r="F3431" s="1" t="str">
        <f>TEXT(Table1[[#This Row],[order_date]],"dddd")</f>
        <v>Monday</v>
      </c>
      <c r="G3431">
        <f>HOUR(Table1[[#This Row],[order_time]])</f>
        <v>18</v>
      </c>
      <c r="H3431" s="2">
        <v>0.78524305555555551</v>
      </c>
      <c r="I3431" t="s">
        <v>16</v>
      </c>
      <c r="J3431" t="s">
        <v>23</v>
      </c>
      <c r="K3431">
        <v>5</v>
      </c>
      <c r="L3431">
        <v>30</v>
      </c>
      <c r="M3431">
        <v>150</v>
      </c>
      <c r="N3431">
        <f>IF(COUNTIFS($B$2:B3431,B3431)=1,1,0)</f>
        <v>1</v>
      </c>
    </row>
    <row r="3432" spans="1:14" x14ac:dyDescent="0.2">
      <c r="A3432">
        <v>3431</v>
      </c>
      <c r="B3432">
        <v>2736</v>
      </c>
      <c r="C3432">
        <f>1/COUNTIF(B:B,Table1[[#This Row],[order_id]])</f>
        <v>0.33333333333333331</v>
      </c>
      <c r="D3432" t="str">
        <f>TEXT(Table1[[#This Row],[order_date]],"mmmm")</f>
        <v>September</v>
      </c>
      <c r="E3432" s="1">
        <v>45558</v>
      </c>
      <c r="F3432" s="1" t="str">
        <f>TEXT(Table1[[#This Row],[order_date]],"dddd")</f>
        <v>Monday</v>
      </c>
      <c r="G3432">
        <f>HOUR(Table1[[#This Row],[order_time]])</f>
        <v>16</v>
      </c>
      <c r="H3432" s="2">
        <v>0.68233796296296301</v>
      </c>
      <c r="I3432" t="s">
        <v>18</v>
      </c>
      <c r="J3432" t="s">
        <v>31</v>
      </c>
      <c r="K3432">
        <v>3</v>
      </c>
      <c r="L3432">
        <v>45</v>
      </c>
      <c r="M3432">
        <v>135</v>
      </c>
      <c r="N3432">
        <f>IF(COUNTIFS($B$2:B3432,B3432)=1,1,0)</f>
        <v>0</v>
      </c>
    </row>
    <row r="3433" spans="1:14" x14ac:dyDescent="0.2">
      <c r="A3433">
        <v>3432</v>
      </c>
      <c r="B3433">
        <v>2736</v>
      </c>
      <c r="C3433">
        <f>1/COUNTIF(B:B,Table1[[#This Row],[order_id]])</f>
        <v>0.33333333333333331</v>
      </c>
      <c r="D3433" t="str">
        <f>TEXT(Table1[[#This Row],[order_date]],"mmmm")</f>
        <v>September</v>
      </c>
      <c r="E3433" s="1">
        <v>45558</v>
      </c>
      <c r="F3433" s="1" t="str">
        <f>TEXT(Table1[[#This Row],[order_date]],"dddd")</f>
        <v>Monday</v>
      </c>
      <c r="G3433">
        <f>HOUR(Table1[[#This Row],[order_time]])</f>
        <v>18</v>
      </c>
      <c r="H3433" s="2">
        <v>0.76063657407407403</v>
      </c>
      <c r="I3433" t="s">
        <v>11</v>
      </c>
      <c r="J3433" t="s">
        <v>25</v>
      </c>
      <c r="K3433">
        <v>5</v>
      </c>
      <c r="L3433">
        <v>1000</v>
      </c>
      <c r="M3433">
        <v>5000</v>
      </c>
      <c r="N3433">
        <f>IF(COUNTIFS($B$2:B3433,B3433)=1,1,0)</f>
        <v>0</v>
      </c>
    </row>
    <row r="3434" spans="1:14" x14ac:dyDescent="0.2">
      <c r="A3434">
        <v>3433</v>
      </c>
      <c r="B3434">
        <v>2737</v>
      </c>
      <c r="C3434">
        <f>1/COUNTIF(B:B,Table1[[#This Row],[order_id]])</f>
        <v>0.5</v>
      </c>
      <c r="D3434" t="str">
        <f>TEXT(Table1[[#This Row],[order_date]],"mmmm")</f>
        <v>September</v>
      </c>
      <c r="E3434" s="1">
        <v>45558</v>
      </c>
      <c r="F3434" s="1" t="str">
        <f>TEXT(Table1[[#This Row],[order_date]],"dddd")</f>
        <v>Monday</v>
      </c>
      <c r="G3434">
        <f>HOUR(Table1[[#This Row],[order_time]])</f>
        <v>9</v>
      </c>
      <c r="H3434" s="2">
        <v>0.40967592592592594</v>
      </c>
      <c r="I3434" t="s">
        <v>18</v>
      </c>
      <c r="J3434" t="s">
        <v>19</v>
      </c>
      <c r="K3434">
        <v>5</v>
      </c>
      <c r="L3434">
        <v>50</v>
      </c>
      <c r="M3434">
        <v>250</v>
      </c>
      <c r="N3434">
        <f>IF(COUNTIFS($B$2:B3434,B3434)=1,1,0)</f>
        <v>1</v>
      </c>
    </row>
    <row r="3435" spans="1:14" x14ac:dyDescent="0.2">
      <c r="A3435">
        <v>3434</v>
      </c>
      <c r="B3435">
        <v>2737</v>
      </c>
      <c r="C3435">
        <f>1/COUNTIF(B:B,Table1[[#This Row],[order_id]])</f>
        <v>0.5</v>
      </c>
      <c r="D3435" t="str">
        <f>TEXT(Table1[[#This Row],[order_date]],"mmmm")</f>
        <v>September</v>
      </c>
      <c r="E3435" s="1">
        <v>45558</v>
      </c>
      <c r="F3435" s="1" t="str">
        <f>TEXT(Table1[[#This Row],[order_date]],"dddd")</f>
        <v>Monday</v>
      </c>
      <c r="G3435">
        <f>HOUR(Table1[[#This Row],[order_time]])</f>
        <v>19</v>
      </c>
      <c r="H3435" s="2">
        <v>0.79211805555555559</v>
      </c>
      <c r="I3435" t="s">
        <v>9</v>
      </c>
      <c r="J3435" t="s">
        <v>21</v>
      </c>
      <c r="K3435">
        <v>3</v>
      </c>
      <c r="L3435">
        <v>10</v>
      </c>
      <c r="M3435">
        <v>30</v>
      </c>
      <c r="N3435">
        <f>IF(COUNTIFS($B$2:B3435,B3435)=1,1,0)</f>
        <v>0</v>
      </c>
    </row>
    <row r="3436" spans="1:14" x14ac:dyDescent="0.2">
      <c r="A3436">
        <v>3435</v>
      </c>
      <c r="B3436">
        <v>2738</v>
      </c>
      <c r="C3436">
        <f>1/COUNTIF(B:B,Table1[[#This Row],[order_id]])</f>
        <v>0.5</v>
      </c>
      <c r="D3436" t="str">
        <f>TEXT(Table1[[#This Row],[order_date]],"mmmm")</f>
        <v>September</v>
      </c>
      <c r="E3436" s="1">
        <v>45559</v>
      </c>
      <c r="F3436" s="1" t="str">
        <f>TEXT(Table1[[#This Row],[order_date]],"dddd")</f>
        <v>Tuesday</v>
      </c>
      <c r="G3436">
        <f>HOUR(Table1[[#This Row],[order_time]])</f>
        <v>18</v>
      </c>
      <c r="H3436" s="2">
        <v>0.75120370370370371</v>
      </c>
      <c r="I3436" t="s">
        <v>9</v>
      </c>
      <c r="J3436" t="s">
        <v>20</v>
      </c>
      <c r="K3436">
        <v>4</v>
      </c>
      <c r="L3436">
        <v>25</v>
      </c>
      <c r="M3436">
        <v>100</v>
      </c>
      <c r="N3436">
        <f>IF(COUNTIFS($B$2:B3436,B3436)=1,1,0)</f>
        <v>1</v>
      </c>
    </row>
    <row r="3437" spans="1:14" x14ac:dyDescent="0.2">
      <c r="A3437">
        <v>3436</v>
      </c>
      <c r="B3437">
        <v>2738</v>
      </c>
      <c r="C3437">
        <f>1/COUNTIF(B:B,Table1[[#This Row],[order_id]])</f>
        <v>0.5</v>
      </c>
      <c r="D3437" t="str">
        <f>TEXT(Table1[[#This Row],[order_date]],"mmmm")</f>
        <v>September</v>
      </c>
      <c r="E3437" s="1">
        <v>45559</v>
      </c>
      <c r="F3437" s="1" t="str">
        <f>TEXT(Table1[[#This Row],[order_date]],"dddd")</f>
        <v>Tuesday</v>
      </c>
      <c r="G3437">
        <f>HOUR(Table1[[#This Row],[order_time]])</f>
        <v>14</v>
      </c>
      <c r="H3437" s="2">
        <v>0.61687499999999995</v>
      </c>
      <c r="I3437" t="s">
        <v>9</v>
      </c>
      <c r="J3437" t="s">
        <v>20</v>
      </c>
      <c r="K3437">
        <v>1</v>
      </c>
      <c r="L3437">
        <v>25</v>
      </c>
      <c r="M3437">
        <v>25</v>
      </c>
      <c r="N3437">
        <f>IF(COUNTIFS($B$2:B3437,B3437)=1,1,0)</f>
        <v>0</v>
      </c>
    </row>
    <row r="3438" spans="1:14" x14ac:dyDescent="0.2">
      <c r="A3438">
        <v>3437</v>
      </c>
      <c r="B3438">
        <v>2739</v>
      </c>
      <c r="C3438">
        <f>1/COUNTIF(B:B,Table1[[#This Row],[order_id]])</f>
        <v>0.33333333333333331</v>
      </c>
      <c r="D3438" t="str">
        <f>TEXT(Table1[[#This Row],[order_date]],"mmmm")</f>
        <v>September</v>
      </c>
      <c r="E3438" s="1">
        <v>45559</v>
      </c>
      <c r="F3438" s="1" t="str">
        <f>TEXT(Table1[[#This Row],[order_date]],"dddd")</f>
        <v>Tuesday</v>
      </c>
      <c r="G3438">
        <f>HOUR(Table1[[#This Row],[order_time]])</f>
        <v>9</v>
      </c>
      <c r="H3438" s="2">
        <v>0.39114583333333336</v>
      </c>
      <c r="I3438" t="s">
        <v>11</v>
      </c>
      <c r="J3438" t="s">
        <v>25</v>
      </c>
      <c r="K3438">
        <v>3</v>
      </c>
      <c r="L3438">
        <v>1000</v>
      </c>
      <c r="M3438">
        <v>3000</v>
      </c>
      <c r="N3438">
        <f>IF(COUNTIFS($B$2:B3438,B3438)=1,1,0)</f>
        <v>1</v>
      </c>
    </row>
    <row r="3439" spans="1:14" x14ac:dyDescent="0.2">
      <c r="A3439">
        <v>3438</v>
      </c>
      <c r="B3439">
        <v>2739</v>
      </c>
      <c r="C3439">
        <f>1/COUNTIF(B:B,Table1[[#This Row],[order_id]])</f>
        <v>0.33333333333333331</v>
      </c>
      <c r="D3439" t="str">
        <f>TEXT(Table1[[#This Row],[order_date]],"mmmm")</f>
        <v>September</v>
      </c>
      <c r="E3439" s="1">
        <v>45559</v>
      </c>
      <c r="F3439" s="1" t="str">
        <f>TEXT(Table1[[#This Row],[order_date]],"dddd")</f>
        <v>Tuesday</v>
      </c>
      <c r="G3439">
        <f>HOUR(Table1[[#This Row],[order_time]])</f>
        <v>15</v>
      </c>
      <c r="H3439" s="2">
        <v>0.65416666666666667</v>
      </c>
      <c r="I3439" t="s">
        <v>16</v>
      </c>
      <c r="J3439" t="s">
        <v>28</v>
      </c>
      <c r="K3439">
        <v>2</v>
      </c>
      <c r="L3439">
        <v>25</v>
      </c>
      <c r="M3439">
        <v>50</v>
      </c>
      <c r="N3439">
        <f>IF(COUNTIFS($B$2:B3439,B3439)=1,1,0)</f>
        <v>0</v>
      </c>
    </row>
    <row r="3440" spans="1:14" x14ac:dyDescent="0.2">
      <c r="A3440">
        <v>3439</v>
      </c>
      <c r="B3440">
        <v>2739</v>
      </c>
      <c r="C3440">
        <f>1/COUNTIF(B:B,Table1[[#This Row],[order_id]])</f>
        <v>0.33333333333333331</v>
      </c>
      <c r="D3440" t="str">
        <f>TEXT(Table1[[#This Row],[order_date]],"mmmm")</f>
        <v>September</v>
      </c>
      <c r="E3440" s="1">
        <v>45559</v>
      </c>
      <c r="F3440" s="1" t="str">
        <f>TEXT(Table1[[#This Row],[order_date]],"dddd")</f>
        <v>Tuesday</v>
      </c>
      <c r="G3440">
        <f>HOUR(Table1[[#This Row],[order_time]])</f>
        <v>11</v>
      </c>
      <c r="H3440" s="2">
        <v>0.49684027777777778</v>
      </c>
      <c r="I3440" t="s">
        <v>16</v>
      </c>
      <c r="J3440" t="s">
        <v>24</v>
      </c>
      <c r="K3440">
        <v>5</v>
      </c>
      <c r="L3440">
        <v>35</v>
      </c>
      <c r="M3440">
        <v>175</v>
      </c>
      <c r="N3440">
        <f>IF(COUNTIFS($B$2:B3440,B3440)=1,1,0)</f>
        <v>0</v>
      </c>
    </row>
    <row r="3441" spans="1:14" x14ac:dyDescent="0.2">
      <c r="A3441">
        <v>3440</v>
      </c>
      <c r="B3441">
        <v>2740</v>
      </c>
      <c r="C3441">
        <f>1/COUNTIF(B:B,Table1[[#This Row],[order_id]])</f>
        <v>1</v>
      </c>
      <c r="D3441" t="str">
        <f>TEXT(Table1[[#This Row],[order_date]],"mmmm")</f>
        <v>September</v>
      </c>
      <c r="E3441" s="1">
        <v>45559</v>
      </c>
      <c r="F3441" s="1" t="str">
        <f>TEXT(Table1[[#This Row],[order_date]],"dddd")</f>
        <v>Tuesday</v>
      </c>
      <c r="G3441">
        <f>HOUR(Table1[[#This Row],[order_time]])</f>
        <v>15</v>
      </c>
      <c r="H3441" s="2">
        <v>0.6478356481481482</v>
      </c>
      <c r="I3441" t="s">
        <v>16</v>
      </c>
      <c r="J3441" t="s">
        <v>17</v>
      </c>
      <c r="K3441">
        <v>1</v>
      </c>
      <c r="L3441">
        <v>20</v>
      </c>
      <c r="M3441">
        <v>20</v>
      </c>
      <c r="N3441">
        <f>IF(COUNTIFS($B$2:B3441,B3441)=1,1,0)</f>
        <v>1</v>
      </c>
    </row>
    <row r="3442" spans="1:14" x14ac:dyDescent="0.2">
      <c r="A3442">
        <v>3441</v>
      </c>
      <c r="B3442">
        <v>2741</v>
      </c>
      <c r="C3442">
        <f>1/COUNTIF(B:B,Table1[[#This Row],[order_id]])</f>
        <v>0.33333333333333331</v>
      </c>
      <c r="D3442" t="str">
        <f>TEXT(Table1[[#This Row],[order_date]],"mmmm")</f>
        <v>September</v>
      </c>
      <c r="E3442" s="1">
        <v>45559</v>
      </c>
      <c r="F3442" s="1" t="str">
        <f>TEXT(Table1[[#This Row],[order_date]],"dddd")</f>
        <v>Tuesday</v>
      </c>
      <c r="G3442">
        <f>HOUR(Table1[[#This Row],[order_time]])</f>
        <v>13</v>
      </c>
      <c r="H3442" s="2">
        <v>0.5599884259259259</v>
      </c>
      <c r="I3442" t="s">
        <v>11</v>
      </c>
      <c r="J3442" t="s">
        <v>25</v>
      </c>
      <c r="K3442">
        <v>4</v>
      </c>
      <c r="L3442">
        <v>1000</v>
      </c>
      <c r="M3442">
        <v>4000</v>
      </c>
      <c r="N3442">
        <f>IF(COUNTIFS($B$2:B3442,B3442)=1,1,0)</f>
        <v>1</v>
      </c>
    </row>
    <row r="3443" spans="1:14" x14ac:dyDescent="0.2">
      <c r="A3443">
        <v>3442</v>
      </c>
      <c r="B3443">
        <v>2741</v>
      </c>
      <c r="C3443">
        <f>1/COUNTIF(B:B,Table1[[#This Row],[order_id]])</f>
        <v>0.33333333333333331</v>
      </c>
      <c r="D3443" t="str">
        <f>TEXT(Table1[[#This Row],[order_date]],"mmmm")</f>
        <v>September</v>
      </c>
      <c r="E3443" s="1">
        <v>45559</v>
      </c>
      <c r="F3443" s="1" t="str">
        <f>TEXT(Table1[[#This Row],[order_date]],"dddd")</f>
        <v>Tuesday</v>
      </c>
      <c r="G3443">
        <f>HOUR(Table1[[#This Row],[order_time]])</f>
        <v>16</v>
      </c>
      <c r="H3443" s="2">
        <v>0.70565972222222217</v>
      </c>
      <c r="I3443" t="s">
        <v>18</v>
      </c>
      <c r="J3443" t="s">
        <v>26</v>
      </c>
      <c r="K3443">
        <v>3</v>
      </c>
      <c r="L3443">
        <v>55</v>
      </c>
      <c r="M3443">
        <v>165</v>
      </c>
      <c r="N3443">
        <f>IF(COUNTIFS($B$2:B3443,B3443)=1,1,0)</f>
        <v>0</v>
      </c>
    </row>
    <row r="3444" spans="1:14" x14ac:dyDescent="0.2">
      <c r="A3444">
        <v>3443</v>
      </c>
      <c r="B3444">
        <v>2741</v>
      </c>
      <c r="C3444">
        <f>1/COUNTIF(B:B,Table1[[#This Row],[order_id]])</f>
        <v>0.33333333333333331</v>
      </c>
      <c r="D3444" t="str">
        <f>TEXT(Table1[[#This Row],[order_date]],"mmmm")</f>
        <v>September</v>
      </c>
      <c r="E3444" s="1">
        <v>45559</v>
      </c>
      <c r="F3444" s="1" t="str">
        <f>TEXT(Table1[[#This Row],[order_date]],"dddd")</f>
        <v>Tuesday</v>
      </c>
      <c r="G3444">
        <f>HOUR(Table1[[#This Row],[order_time]])</f>
        <v>14</v>
      </c>
      <c r="H3444" s="2">
        <v>0.60052083333333328</v>
      </c>
      <c r="I3444" t="s">
        <v>11</v>
      </c>
      <c r="J3444" t="s">
        <v>25</v>
      </c>
      <c r="K3444">
        <v>5</v>
      </c>
      <c r="L3444">
        <v>1000</v>
      </c>
      <c r="M3444">
        <v>5000</v>
      </c>
      <c r="N3444">
        <f>IF(COUNTIFS($B$2:B3444,B3444)=1,1,0)</f>
        <v>0</v>
      </c>
    </row>
    <row r="3445" spans="1:14" x14ac:dyDescent="0.2">
      <c r="A3445">
        <v>3444</v>
      </c>
      <c r="B3445">
        <v>2742</v>
      </c>
      <c r="C3445">
        <f>1/COUNTIF(B:B,Table1[[#This Row],[order_id]])</f>
        <v>0.5</v>
      </c>
      <c r="D3445" t="str">
        <f>TEXT(Table1[[#This Row],[order_date]],"mmmm")</f>
        <v>September</v>
      </c>
      <c r="E3445" s="1">
        <v>45559</v>
      </c>
      <c r="F3445" s="1" t="str">
        <f>TEXT(Table1[[#This Row],[order_date]],"dddd")</f>
        <v>Tuesday</v>
      </c>
      <c r="G3445">
        <f>HOUR(Table1[[#This Row],[order_time]])</f>
        <v>13</v>
      </c>
      <c r="H3445" s="2">
        <v>0.5511342592592593</v>
      </c>
      <c r="I3445" t="s">
        <v>11</v>
      </c>
      <c r="J3445" t="s">
        <v>14</v>
      </c>
      <c r="K3445">
        <v>4</v>
      </c>
      <c r="L3445">
        <v>700</v>
      </c>
      <c r="M3445">
        <v>2800</v>
      </c>
      <c r="N3445">
        <f>IF(COUNTIFS($B$2:B3445,B3445)=1,1,0)</f>
        <v>1</v>
      </c>
    </row>
    <row r="3446" spans="1:14" x14ac:dyDescent="0.2">
      <c r="A3446">
        <v>3445</v>
      </c>
      <c r="B3446">
        <v>2742</v>
      </c>
      <c r="C3446">
        <f>1/COUNTIF(B:B,Table1[[#This Row],[order_id]])</f>
        <v>0.5</v>
      </c>
      <c r="D3446" t="str">
        <f>TEXT(Table1[[#This Row],[order_date]],"mmmm")</f>
        <v>September</v>
      </c>
      <c r="E3446" s="1">
        <v>45559</v>
      </c>
      <c r="F3446" s="1" t="str">
        <f>TEXT(Table1[[#This Row],[order_date]],"dddd")</f>
        <v>Tuesday</v>
      </c>
      <c r="G3446">
        <f>HOUR(Table1[[#This Row],[order_time]])</f>
        <v>20</v>
      </c>
      <c r="H3446" s="2">
        <v>0.85346064814814815</v>
      </c>
      <c r="I3446" t="s">
        <v>16</v>
      </c>
      <c r="J3446" t="s">
        <v>28</v>
      </c>
      <c r="K3446">
        <v>1</v>
      </c>
      <c r="L3446">
        <v>25</v>
      </c>
      <c r="M3446">
        <v>25</v>
      </c>
      <c r="N3446">
        <f>IF(COUNTIFS($B$2:B3446,B3446)=1,1,0)</f>
        <v>0</v>
      </c>
    </row>
    <row r="3447" spans="1:14" x14ac:dyDescent="0.2">
      <c r="A3447">
        <v>3446</v>
      </c>
      <c r="B3447">
        <v>2743</v>
      </c>
      <c r="C3447">
        <f>1/COUNTIF(B:B,Table1[[#This Row],[order_id]])</f>
        <v>1</v>
      </c>
      <c r="D3447" t="str">
        <f>TEXT(Table1[[#This Row],[order_date]],"mmmm")</f>
        <v>September</v>
      </c>
      <c r="E3447" s="1">
        <v>45559</v>
      </c>
      <c r="F3447" s="1" t="str">
        <f>TEXT(Table1[[#This Row],[order_date]],"dddd")</f>
        <v>Tuesday</v>
      </c>
      <c r="G3447">
        <f>HOUR(Table1[[#This Row],[order_time]])</f>
        <v>15</v>
      </c>
      <c r="H3447" s="2">
        <v>0.64309027777777783</v>
      </c>
      <c r="I3447" t="s">
        <v>9</v>
      </c>
      <c r="J3447" t="s">
        <v>10</v>
      </c>
      <c r="K3447">
        <v>4</v>
      </c>
      <c r="L3447">
        <v>20</v>
      </c>
      <c r="M3447">
        <v>80</v>
      </c>
      <c r="N3447">
        <f>IF(COUNTIFS($B$2:B3447,B3447)=1,1,0)</f>
        <v>1</v>
      </c>
    </row>
    <row r="3448" spans="1:14" x14ac:dyDescent="0.2">
      <c r="A3448">
        <v>3447</v>
      </c>
      <c r="B3448">
        <v>2744</v>
      </c>
      <c r="C3448">
        <f>1/COUNTIF(B:B,Table1[[#This Row],[order_id]])</f>
        <v>0.33333333333333331</v>
      </c>
      <c r="D3448" t="str">
        <f>TEXT(Table1[[#This Row],[order_date]],"mmmm")</f>
        <v>September</v>
      </c>
      <c r="E3448" s="1">
        <v>45559</v>
      </c>
      <c r="F3448" s="1" t="str">
        <f>TEXT(Table1[[#This Row],[order_date]],"dddd")</f>
        <v>Tuesday</v>
      </c>
      <c r="G3448">
        <f>HOUR(Table1[[#This Row],[order_time]])</f>
        <v>20</v>
      </c>
      <c r="H3448" s="2">
        <v>0.87460648148148146</v>
      </c>
      <c r="I3448" t="s">
        <v>11</v>
      </c>
      <c r="J3448" t="s">
        <v>12</v>
      </c>
      <c r="K3448">
        <v>2</v>
      </c>
      <c r="L3448">
        <v>650</v>
      </c>
      <c r="M3448">
        <v>1300</v>
      </c>
      <c r="N3448">
        <f>IF(COUNTIFS($B$2:B3448,B3448)=1,1,0)</f>
        <v>1</v>
      </c>
    </row>
    <row r="3449" spans="1:14" x14ac:dyDescent="0.2">
      <c r="A3449">
        <v>3448</v>
      </c>
      <c r="B3449">
        <v>2744</v>
      </c>
      <c r="C3449">
        <f>1/COUNTIF(B:B,Table1[[#This Row],[order_id]])</f>
        <v>0.33333333333333331</v>
      </c>
      <c r="D3449" t="str">
        <f>TEXT(Table1[[#This Row],[order_date]],"mmmm")</f>
        <v>September</v>
      </c>
      <c r="E3449" s="1">
        <v>45559</v>
      </c>
      <c r="F3449" s="1" t="str">
        <f>TEXT(Table1[[#This Row],[order_date]],"dddd")</f>
        <v>Tuesday</v>
      </c>
      <c r="G3449">
        <f>HOUR(Table1[[#This Row],[order_time]])</f>
        <v>16</v>
      </c>
      <c r="H3449" s="2">
        <v>0.67166666666666663</v>
      </c>
      <c r="I3449" t="s">
        <v>9</v>
      </c>
      <c r="J3449" t="s">
        <v>22</v>
      </c>
      <c r="K3449">
        <v>3</v>
      </c>
      <c r="L3449">
        <v>15</v>
      </c>
      <c r="M3449">
        <v>45</v>
      </c>
      <c r="N3449">
        <f>IF(COUNTIFS($B$2:B3449,B3449)=1,1,0)</f>
        <v>0</v>
      </c>
    </row>
    <row r="3450" spans="1:14" x14ac:dyDescent="0.2">
      <c r="A3450">
        <v>3449</v>
      </c>
      <c r="B3450">
        <v>2744</v>
      </c>
      <c r="C3450">
        <f>1/COUNTIF(B:B,Table1[[#This Row],[order_id]])</f>
        <v>0.33333333333333331</v>
      </c>
      <c r="D3450" t="str">
        <f>TEXT(Table1[[#This Row],[order_date]],"mmmm")</f>
        <v>September</v>
      </c>
      <c r="E3450" s="1">
        <v>45559</v>
      </c>
      <c r="F3450" s="1" t="str">
        <f>TEXT(Table1[[#This Row],[order_date]],"dddd")</f>
        <v>Tuesday</v>
      </c>
      <c r="G3450">
        <f>HOUR(Table1[[#This Row],[order_time]])</f>
        <v>9</v>
      </c>
      <c r="H3450" s="2">
        <v>0.39255787037037038</v>
      </c>
      <c r="I3450" t="s">
        <v>9</v>
      </c>
      <c r="J3450" t="s">
        <v>10</v>
      </c>
      <c r="K3450">
        <v>2</v>
      </c>
      <c r="L3450">
        <v>20</v>
      </c>
      <c r="M3450">
        <v>40</v>
      </c>
      <c r="N3450">
        <f>IF(COUNTIFS($B$2:B3450,B3450)=1,1,0)</f>
        <v>0</v>
      </c>
    </row>
    <row r="3451" spans="1:14" x14ac:dyDescent="0.2">
      <c r="A3451">
        <v>3450</v>
      </c>
      <c r="B3451">
        <v>2745</v>
      </c>
      <c r="C3451">
        <f>1/COUNTIF(B:B,Table1[[#This Row],[order_id]])</f>
        <v>0.33333333333333331</v>
      </c>
      <c r="D3451" t="str">
        <f>TEXT(Table1[[#This Row],[order_date]],"mmmm")</f>
        <v>September</v>
      </c>
      <c r="E3451" s="1">
        <v>45560</v>
      </c>
      <c r="F3451" s="1" t="str">
        <f>TEXT(Table1[[#This Row],[order_date]],"dddd")</f>
        <v>Wednesday</v>
      </c>
      <c r="G3451">
        <f>HOUR(Table1[[#This Row],[order_time]])</f>
        <v>20</v>
      </c>
      <c r="H3451" s="2">
        <v>0.86726851851851849</v>
      </c>
      <c r="I3451" t="s">
        <v>9</v>
      </c>
      <c r="J3451" t="s">
        <v>21</v>
      </c>
      <c r="K3451">
        <v>1</v>
      </c>
      <c r="L3451">
        <v>10</v>
      </c>
      <c r="M3451">
        <v>10</v>
      </c>
      <c r="N3451">
        <f>IF(COUNTIFS($B$2:B3451,B3451)=1,1,0)</f>
        <v>1</v>
      </c>
    </row>
    <row r="3452" spans="1:14" x14ac:dyDescent="0.2">
      <c r="A3452">
        <v>3451</v>
      </c>
      <c r="B3452">
        <v>2745</v>
      </c>
      <c r="C3452">
        <f>1/COUNTIF(B:B,Table1[[#This Row],[order_id]])</f>
        <v>0.33333333333333331</v>
      </c>
      <c r="D3452" t="str">
        <f>TEXT(Table1[[#This Row],[order_date]],"mmmm")</f>
        <v>September</v>
      </c>
      <c r="E3452" s="1">
        <v>45560</v>
      </c>
      <c r="F3452" s="1" t="str">
        <f>TEXT(Table1[[#This Row],[order_date]],"dddd")</f>
        <v>Wednesday</v>
      </c>
      <c r="G3452">
        <f>HOUR(Table1[[#This Row],[order_time]])</f>
        <v>15</v>
      </c>
      <c r="H3452" s="2">
        <v>0.65016203703703701</v>
      </c>
      <c r="I3452" t="s">
        <v>16</v>
      </c>
      <c r="J3452" t="s">
        <v>23</v>
      </c>
      <c r="K3452">
        <v>4</v>
      </c>
      <c r="L3452">
        <v>30</v>
      </c>
      <c r="M3452">
        <v>120</v>
      </c>
      <c r="N3452">
        <f>IF(COUNTIFS($B$2:B3452,B3452)=1,1,0)</f>
        <v>0</v>
      </c>
    </row>
    <row r="3453" spans="1:14" x14ac:dyDescent="0.2">
      <c r="A3453">
        <v>3452</v>
      </c>
      <c r="B3453">
        <v>2745</v>
      </c>
      <c r="C3453">
        <f>1/COUNTIF(B:B,Table1[[#This Row],[order_id]])</f>
        <v>0.33333333333333331</v>
      </c>
      <c r="D3453" t="str">
        <f>TEXT(Table1[[#This Row],[order_date]],"mmmm")</f>
        <v>September</v>
      </c>
      <c r="E3453" s="1">
        <v>45560</v>
      </c>
      <c r="F3453" s="1" t="str">
        <f>TEXT(Table1[[#This Row],[order_date]],"dddd")</f>
        <v>Wednesday</v>
      </c>
      <c r="G3453">
        <f>HOUR(Table1[[#This Row],[order_time]])</f>
        <v>18</v>
      </c>
      <c r="H3453" s="2">
        <v>0.75468749999999996</v>
      </c>
      <c r="I3453" t="s">
        <v>11</v>
      </c>
      <c r="J3453" t="s">
        <v>14</v>
      </c>
      <c r="K3453">
        <v>5</v>
      </c>
      <c r="L3453">
        <v>700</v>
      </c>
      <c r="M3453">
        <v>3500</v>
      </c>
      <c r="N3453">
        <f>IF(COUNTIFS($B$2:B3453,B3453)=1,1,0)</f>
        <v>0</v>
      </c>
    </row>
    <row r="3454" spans="1:14" x14ac:dyDescent="0.2">
      <c r="A3454">
        <v>3453</v>
      </c>
      <c r="B3454">
        <v>2746</v>
      </c>
      <c r="C3454">
        <f>1/COUNTIF(B:B,Table1[[#This Row],[order_id]])</f>
        <v>0.33333333333333331</v>
      </c>
      <c r="D3454" t="str">
        <f>TEXT(Table1[[#This Row],[order_date]],"mmmm")</f>
        <v>September</v>
      </c>
      <c r="E3454" s="1">
        <v>45560</v>
      </c>
      <c r="F3454" s="1" t="str">
        <f>TEXT(Table1[[#This Row],[order_date]],"dddd")</f>
        <v>Wednesday</v>
      </c>
      <c r="G3454">
        <f>HOUR(Table1[[#This Row],[order_time]])</f>
        <v>10</v>
      </c>
      <c r="H3454" s="2">
        <v>0.42831018518518521</v>
      </c>
      <c r="I3454" t="s">
        <v>9</v>
      </c>
      <c r="J3454" t="s">
        <v>22</v>
      </c>
      <c r="K3454">
        <v>1</v>
      </c>
      <c r="L3454">
        <v>15</v>
      </c>
      <c r="M3454">
        <v>15</v>
      </c>
      <c r="N3454">
        <f>IF(COUNTIFS($B$2:B3454,B3454)=1,1,0)</f>
        <v>1</v>
      </c>
    </row>
    <row r="3455" spans="1:14" x14ac:dyDescent="0.2">
      <c r="A3455">
        <v>3454</v>
      </c>
      <c r="B3455">
        <v>2746</v>
      </c>
      <c r="C3455">
        <f>1/COUNTIF(B:B,Table1[[#This Row],[order_id]])</f>
        <v>0.33333333333333331</v>
      </c>
      <c r="D3455" t="str">
        <f>TEXT(Table1[[#This Row],[order_date]],"mmmm")</f>
        <v>September</v>
      </c>
      <c r="E3455" s="1">
        <v>45560</v>
      </c>
      <c r="F3455" s="1" t="str">
        <f>TEXT(Table1[[#This Row],[order_date]],"dddd")</f>
        <v>Wednesday</v>
      </c>
      <c r="G3455">
        <f>HOUR(Table1[[#This Row],[order_time]])</f>
        <v>14</v>
      </c>
      <c r="H3455" s="2">
        <v>0.59780092592592593</v>
      </c>
      <c r="I3455" t="s">
        <v>9</v>
      </c>
      <c r="J3455" t="s">
        <v>21</v>
      </c>
      <c r="K3455">
        <v>1</v>
      </c>
      <c r="L3455">
        <v>10</v>
      </c>
      <c r="M3455">
        <v>10</v>
      </c>
      <c r="N3455">
        <f>IF(COUNTIFS($B$2:B3455,B3455)=1,1,0)</f>
        <v>0</v>
      </c>
    </row>
    <row r="3456" spans="1:14" x14ac:dyDescent="0.2">
      <c r="A3456">
        <v>3455</v>
      </c>
      <c r="B3456">
        <v>2746</v>
      </c>
      <c r="C3456">
        <f>1/COUNTIF(B:B,Table1[[#This Row],[order_id]])</f>
        <v>0.33333333333333331</v>
      </c>
      <c r="D3456" t="str">
        <f>TEXT(Table1[[#This Row],[order_date]],"mmmm")</f>
        <v>September</v>
      </c>
      <c r="E3456" s="1">
        <v>45560</v>
      </c>
      <c r="F3456" s="1" t="str">
        <f>TEXT(Table1[[#This Row],[order_date]],"dddd")</f>
        <v>Wednesday</v>
      </c>
      <c r="G3456">
        <f>HOUR(Table1[[#This Row],[order_time]])</f>
        <v>12</v>
      </c>
      <c r="H3456" s="2">
        <v>0.52306712962962965</v>
      </c>
      <c r="I3456" t="s">
        <v>9</v>
      </c>
      <c r="J3456" t="s">
        <v>20</v>
      </c>
      <c r="K3456">
        <v>4</v>
      </c>
      <c r="L3456">
        <v>25</v>
      </c>
      <c r="M3456">
        <v>100</v>
      </c>
      <c r="N3456">
        <f>IF(COUNTIFS($B$2:B3456,B3456)=1,1,0)</f>
        <v>0</v>
      </c>
    </row>
    <row r="3457" spans="1:14" x14ac:dyDescent="0.2">
      <c r="A3457">
        <v>3456</v>
      </c>
      <c r="B3457">
        <v>2747</v>
      </c>
      <c r="C3457">
        <f>1/COUNTIF(B:B,Table1[[#This Row],[order_id]])</f>
        <v>1</v>
      </c>
      <c r="D3457" t="str">
        <f>TEXT(Table1[[#This Row],[order_date]],"mmmm")</f>
        <v>September</v>
      </c>
      <c r="E3457" s="1">
        <v>45560</v>
      </c>
      <c r="F3457" s="1" t="str">
        <f>TEXT(Table1[[#This Row],[order_date]],"dddd")</f>
        <v>Wednesday</v>
      </c>
      <c r="G3457">
        <f>HOUR(Table1[[#This Row],[order_time]])</f>
        <v>18</v>
      </c>
      <c r="H3457" s="2">
        <v>0.7864930555555556</v>
      </c>
      <c r="I3457" t="s">
        <v>16</v>
      </c>
      <c r="J3457" t="s">
        <v>23</v>
      </c>
      <c r="K3457">
        <v>3</v>
      </c>
      <c r="L3457">
        <v>30</v>
      </c>
      <c r="M3457">
        <v>90</v>
      </c>
      <c r="N3457">
        <f>IF(COUNTIFS($B$2:B3457,B3457)=1,1,0)</f>
        <v>1</v>
      </c>
    </row>
    <row r="3458" spans="1:14" x14ac:dyDescent="0.2">
      <c r="A3458">
        <v>3457</v>
      </c>
      <c r="B3458">
        <v>2748</v>
      </c>
      <c r="C3458">
        <f>1/COUNTIF(B:B,Table1[[#This Row],[order_id]])</f>
        <v>0.5</v>
      </c>
      <c r="D3458" t="str">
        <f>TEXT(Table1[[#This Row],[order_date]],"mmmm")</f>
        <v>September</v>
      </c>
      <c r="E3458" s="1">
        <v>45561</v>
      </c>
      <c r="F3458" s="1" t="str">
        <f>TEXT(Table1[[#This Row],[order_date]],"dddd")</f>
        <v>Thursday</v>
      </c>
      <c r="G3458">
        <f>HOUR(Table1[[#This Row],[order_time]])</f>
        <v>16</v>
      </c>
      <c r="H3458" s="2">
        <v>0.68753472222222223</v>
      </c>
      <c r="I3458" t="s">
        <v>16</v>
      </c>
      <c r="J3458" t="s">
        <v>28</v>
      </c>
      <c r="K3458">
        <v>2</v>
      </c>
      <c r="L3458">
        <v>25</v>
      </c>
      <c r="M3458">
        <v>50</v>
      </c>
      <c r="N3458">
        <f>IF(COUNTIFS($B$2:B3458,B3458)=1,1,0)</f>
        <v>1</v>
      </c>
    </row>
    <row r="3459" spans="1:14" x14ac:dyDescent="0.2">
      <c r="A3459">
        <v>3458</v>
      </c>
      <c r="B3459">
        <v>2748</v>
      </c>
      <c r="C3459">
        <f>1/COUNTIF(B:B,Table1[[#This Row],[order_id]])</f>
        <v>0.5</v>
      </c>
      <c r="D3459" t="str">
        <f>TEXT(Table1[[#This Row],[order_date]],"mmmm")</f>
        <v>September</v>
      </c>
      <c r="E3459" s="1">
        <v>45561</v>
      </c>
      <c r="F3459" s="1" t="str">
        <f>TEXT(Table1[[#This Row],[order_date]],"dddd")</f>
        <v>Thursday</v>
      </c>
      <c r="G3459">
        <f>HOUR(Table1[[#This Row],[order_time]])</f>
        <v>18</v>
      </c>
      <c r="H3459" s="2">
        <v>0.75982638888888887</v>
      </c>
      <c r="I3459" t="s">
        <v>18</v>
      </c>
      <c r="J3459" t="s">
        <v>27</v>
      </c>
      <c r="K3459">
        <v>1</v>
      </c>
      <c r="L3459">
        <v>40</v>
      </c>
      <c r="M3459">
        <v>40</v>
      </c>
      <c r="N3459">
        <f>IF(COUNTIFS($B$2:B3459,B3459)=1,1,0)</f>
        <v>0</v>
      </c>
    </row>
    <row r="3460" spans="1:14" x14ac:dyDescent="0.2">
      <c r="A3460">
        <v>3459</v>
      </c>
      <c r="B3460">
        <v>2749</v>
      </c>
      <c r="C3460">
        <f>1/COUNTIF(B:B,Table1[[#This Row],[order_id]])</f>
        <v>0.33333333333333331</v>
      </c>
      <c r="D3460" t="str">
        <f>TEXT(Table1[[#This Row],[order_date]],"mmmm")</f>
        <v>September</v>
      </c>
      <c r="E3460" s="1">
        <v>45561</v>
      </c>
      <c r="F3460" s="1" t="str">
        <f>TEXT(Table1[[#This Row],[order_date]],"dddd")</f>
        <v>Thursday</v>
      </c>
      <c r="G3460">
        <f>HOUR(Table1[[#This Row],[order_time]])</f>
        <v>14</v>
      </c>
      <c r="H3460" s="2">
        <v>0.60378472222222224</v>
      </c>
      <c r="I3460" t="s">
        <v>16</v>
      </c>
      <c r="J3460" t="s">
        <v>17</v>
      </c>
      <c r="K3460">
        <v>2</v>
      </c>
      <c r="L3460">
        <v>20</v>
      </c>
      <c r="M3460">
        <v>40</v>
      </c>
      <c r="N3460">
        <f>IF(COUNTIFS($B$2:B3460,B3460)=1,1,0)</f>
        <v>1</v>
      </c>
    </row>
    <row r="3461" spans="1:14" x14ac:dyDescent="0.2">
      <c r="A3461">
        <v>3460</v>
      </c>
      <c r="B3461">
        <v>2749</v>
      </c>
      <c r="C3461">
        <f>1/COUNTIF(B:B,Table1[[#This Row],[order_id]])</f>
        <v>0.33333333333333331</v>
      </c>
      <c r="D3461" t="str">
        <f>TEXT(Table1[[#This Row],[order_date]],"mmmm")</f>
        <v>September</v>
      </c>
      <c r="E3461" s="1">
        <v>45561</v>
      </c>
      <c r="F3461" s="1" t="str">
        <f>TEXT(Table1[[#This Row],[order_date]],"dddd")</f>
        <v>Thursday</v>
      </c>
      <c r="G3461">
        <f>HOUR(Table1[[#This Row],[order_time]])</f>
        <v>15</v>
      </c>
      <c r="H3461" s="2">
        <v>0.63697916666666665</v>
      </c>
      <c r="I3461" t="s">
        <v>16</v>
      </c>
      <c r="J3461" t="s">
        <v>17</v>
      </c>
      <c r="K3461">
        <v>2</v>
      </c>
      <c r="L3461">
        <v>20</v>
      </c>
      <c r="M3461">
        <v>40</v>
      </c>
      <c r="N3461">
        <f>IF(COUNTIFS($B$2:B3461,B3461)=1,1,0)</f>
        <v>0</v>
      </c>
    </row>
    <row r="3462" spans="1:14" x14ac:dyDescent="0.2">
      <c r="A3462">
        <v>3461</v>
      </c>
      <c r="B3462">
        <v>2749</v>
      </c>
      <c r="C3462">
        <f>1/COUNTIF(B:B,Table1[[#This Row],[order_id]])</f>
        <v>0.33333333333333331</v>
      </c>
      <c r="D3462" t="str">
        <f>TEXT(Table1[[#This Row],[order_date]],"mmmm")</f>
        <v>September</v>
      </c>
      <c r="E3462" s="1">
        <v>45561</v>
      </c>
      <c r="F3462" s="1" t="str">
        <f>TEXT(Table1[[#This Row],[order_date]],"dddd")</f>
        <v>Thursday</v>
      </c>
      <c r="G3462">
        <f>HOUR(Table1[[#This Row],[order_time]])</f>
        <v>16</v>
      </c>
      <c r="H3462" s="2">
        <v>0.69885416666666667</v>
      </c>
      <c r="I3462" t="s">
        <v>16</v>
      </c>
      <c r="J3462" t="s">
        <v>24</v>
      </c>
      <c r="K3462">
        <v>5</v>
      </c>
      <c r="L3462">
        <v>35</v>
      </c>
      <c r="M3462">
        <v>175</v>
      </c>
      <c r="N3462">
        <f>IF(COUNTIFS($B$2:B3462,B3462)=1,1,0)</f>
        <v>0</v>
      </c>
    </row>
    <row r="3463" spans="1:14" x14ac:dyDescent="0.2">
      <c r="A3463">
        <v>3462</v>
      </c>
      <c r="B3463">
        <v>2750</v>
      </c>
      <c r="C3463">
        <f>1/COUNTIF(B:B,Table1[[#This Row],[order_id]])</f>
        <v>1</v>
      </c>
      <c r="D3463" t="str">
        <f>TEXT(Table1[[#This Row],[order_date]],"mmmm")</f>
        <v>September</v>
      </c>
      <c r="E3463" s="1">
        <v>45561</v>
      </c>
      <c r="F3463" s="1" t="str">
        <f>TEXT(Table1[[#This Row],[order_date]],"dddd")</f>
        <v>Thursday</v>
      </c>
      <c r="G3463">
        <f>HOUR(Table1[[#This Row],[order_time]])</f>
        <v>10</v>
      </c>
      <c r="H3463" s="2">
        <v>0.43686342592592592</v>
      </c>
      <c r="I3463" t="s">
        <v>11</v>
      </c>
      <c r="J3463" t="s">
        <v>14</v>
      </c>
      <c r="K3463">
        <v>2</v>
      </c>
      <c r="L3463">
        <v>700</v>
      </c>
      <c r="M3463">
        <v>1400</v>
      </c>
      <c r="N3463">
        <f>IF(COUNTIFS($B$2:B3463,B3463)=1,1,0)</f>
        <v>1</v>
      </c>
    </row>
    <row r="3464" spans="1:14" x14ac:dyDescent="0.2">
      <c r="A3464">
        <v>3463</v>
      </c>
      <c r="B3464">
        <v>2751</v>
      </c>
      <c r="C3464">
        <f>1/COUNTIF(B:B,Table1[[#This Row],[order_id]])</f>
        <v>0.33333333333333331</v>
      </c>
      <c r="D3464" t="str">
        <f>TEXT(Table1[[#This Row],[order_date]],"mmmm")</f>
        <v>September</v>
      </c>
      <c r="E3464" s="1">
        <v>45561</v>
      </c>
      <c r="F3464" s="1" t="str">
        <f>TEXT(Table1[[#This Row],[order_date]],"dddd")</f>
        <v>Thursday</v>
      </c>
      <c r="G3464">
        <f>HOUR(Table1[[#This Row],[order_time]])</f>
        <v>13</v>
      </c>
      <c r="H3464" s="2">
        <v>0.57335648148148144</v>
      </c>
      <c r="I3464" t="s">
        <v>9</v>
      </c>
      <c r="J3464" t="s">
        <v>20</v>
      </c>
      <c r="K3464">
        <v>5</v>
      </c>
      <c r="L3464">
        <v>25</v>
      </c>
      <c r="M3464">
        <v>125</v>
      </c>
      <c r="N3464">
        <f>IF(COUNTIFS($B$2:B3464,B3464)=1,1,0)</f>
        <v>1</v>
      </c>
    </row>
    <row r="3465" spans="1:14" x14ac:dyDescent="0.2">
      <c r="A3465">
        <v>3464</v>
      </c>
      <c r="B3465">
        <v>2751</v>
      </c>
      <c r="C3465">
        <f>1/COUNTIF(B:B,Table1[[#This Row],[order_id]])</f>
        <v>0.33333333333333331</v>
      </c>
      <c r="D3465" t="str">
        <f>TEXT(Table1[[#This Row],[order_date]],"mmmm")</f>
        <v>September</v>
      </c>
      <c r="E3465" s="1">
        <v>45561</v>
      </c>
      <c r="F3465" s="1" t="str">
        <f>TEXT(Table1[[#This Row],[order_date]],"dddd")</f>
        <v>Thursday</v>
      </c>
      <c r="G3465">
        <f>HOUR(Table1[[#This Row],[order_time]])</f>
        <v>11</v>
      </c>
      <c r="H3465" s="2">
        <v>0.49637731481481484</v>
      </c>
      <c r="I3465" t="s">
        <v>11</v>
      </c>
      <c r="J3465" t="s">
        <v>25</v>
      </c>
      <c r="K3465">
        <v>5</v>
      </c>
      <c r="L3465">
        <v>1000</v>
      </c>
      <c r="M3465">
        <v>5000</v>
      </c>
      <c r="N3465">
        <f>IF(COUNTIFS($B$2:B3465,B3465)=1,1,0)</f>
        <v>0</v>
      </c>
    </row>
    <row r="3466" spans="1:14" x14ac:dyDescent="0.2">
      <c r="A3466">
        <v>3465</v>
      </c>
      <c r="B3466">
        <v>2751</v>
      </c>
      <c r="C3466">
        <f>1/COUNTIF(B:B,Table1[[#This Row],[order_id]])</f>
        <v>0.33333333333333331</v>
      </c>
      <c r="D3466" t="str">
        <f>TEXT(Table1[[#This Row],[order_date]],"mmmm")</f>
        <v>September</v>
      </c>
      <c r="E3466" s="1">
        <v>45561</v>
      </c>
      <c r="F3466" s="1" t="str">
        <f>TEXT(Table1[[#This Row],[order_date]],"dddd")</f>
        <v>Thursday</v>
      </c>
      <c r="G3466">
        <f>HOUR(Table1[[#This Row],[order_time]])</f>
        <v>20</v>
      </c>
      <c r="H3466" s="2">
        <v>0.85923611111111109</v>
      </c>
      <c r="I3466" t="s">
        <v>16</v>
      </c>
      <c r="J3466" t="s">
        <v>28</v>
      </c>
      <c r="K3466">
        <v>3</v>
      </c>
      <c r="L3466">
        <v>25</v>
      </c>
      <c r="M3466">
        <v>75</v>
      </c>
      <c r="N3466">
        <f>IF(COUNTIFS($B$2:B3466,B3466)=1,1,0)</f>
        <v>0</v>
      </c>
    </row>
    <row r="3467" spans="1:14" x14ac:dyDescent="0.2">
      <c r="A3467">
        <v>3466</v>
      </c>
      <c r="B3467">
        <v>2752</v>
      </c>
      <c r="C3467">
        <f>1/COUNTIF(B:B,Table1[[#This Row],[order_id]])</f>
        <v>0.33333333333333331</v>
      </c>
      <c r="D3467" t="str">
        <f>TEXT(Table1[[#This Row],[order_date]],"mmmm")</f>
        <v>September</v>
      </c>
      <c r="E3467" s="1">
        <v>45561</v>
      </c>
      <c r="F3467" s="1" t="str">
        <f>TEXT(Table1[[#This Row],[order_date]],"dddd")</f>
        <v>Thursday</v>
      </c>
      <c r="G3467">
        <f>HOUR(Table1[[#This Row],[order_time]])</f>
        <v>14</v>
      </c>
      <c r="H3467" s="2">
        <v>0.61403935185185188</v>
      </c>
      <c r="I3467" t="s">
        <v>11</v>
      </c>
      <c r="J3467" t="s">
        <v>25</v>
      </c>
      <c r="K3467">
        <v>1</v>
      </c>
      <c r="L3467">
        <v>1000</v>
      </c>
      <c r="M3467">
        <v>1000</v>
      </c>
      <c r="N3467">
        <f>IF(COUNTIFS($B$2:B3467,B3467)=1,1,0)</f>
        <v>1</v>
      </c>
    </row>
    <row r="3468" spans="1:14" x14ac:dyDescent="0.2">
      <c r="A3468">
        <v>3467</v>
      </c>
      <c r="B3468">
        <v>2752</v>
      </c>
      <c r="C3468">
        <f>1/COUNTIF(B:B,Table1[[#This Row],[order_id]])</f>
        <v>0.33333333333333331</v>
      </c>
      <c r="D3468" t="str">
        <f>TEXT(Table1[[#This Row],[order_date]],"mmmm")</f>
        <v>September</v>
      </c>
      <c r="E3468" s="1">
        <v>45561</v>
      </c>
      <c r="F3468" s="1" t="str">
        <f>TEXT(Table1[[#This Row],[order_date]],"dddd")</f>
        <v>Thursday</v>
      </c>
      <c r="G3468">
        <f>HOUR(Table1[[#This Row],[order_time]])</f>
        <v>18</v>
      </c>
      <c r="H3468" s="2">
        <v>0.77642361111111113</v>
      </c>
      <c r="I3468" t="s">
        <v>16</v>
      </c>
      <c r="J3468" t="s">
        <v>17</v>
      </c>
      <c r="K3468">
        <v>3</v>
      </c>
      <c r="L3468">
        <v>20</v>
      </c>
      <c r="M3468">
        <v>60</v>
      </c>
      <c r="N3468">
        <f>IF(COUNTIFS($B$2:B3468,B3468)=1,1,0)</f>
        <v>0</v>
      </c>
    </row>
    <row r="3469" spans="1:14" x14ac:dyDescent="0.2">
      <c r="A3469">
        <v>3468</v>
      </c>
      <c r="B3469">
        <v>2752</v>
      </c>
      <c r="C3469">
        <f>1/COUNTIF(B:B,Table1[[#This Row],[order_id]])</f>
        <v>0.33333333333333331</v>
      </c>
      <c r="D3469" t="str">
        <f>TEXT(Table1[[#This Row],[order_date]],"mmmm")</f>
        <v>September</v>
      </c>
      <c r="E3469" s="1">
        <v>45561</v>
      </c>
      <c r="F3469" s="1" t="str">
        <f>TEXT(Table1[[#This Row],[order_date]],"dddd")</f>
        <v>Thursday</v>
      </c>
      <c r="G3469">
        <f>HOUR(Table1[[#This Row],[order_time]])</f>
        <v>20</v>
      </c>
      <c r="H3469" s="2">
        <v>0.83875</v>
      </c>
      <c r="I3469" t="s">
        <v>11</v>
      </c>
      <c r="J3469" t="s">
        <v>25</v>
      </c>
      <c r="K3469">
        <v>3</v>
      </c>
      <c r="L3469">
        <v>1000</v>
      </c>
      <c r="M3469">
        <v>3000</v>
      </c>
      <c r="N3469">
        <f>IF(COUNTIFS($B$2:B3469,B3469)=1,1,0)</f>
        <v>0</v>
      </c>
    </row>
    <row r="3470" spans="1:14" x14ac:dyDescent="0.2">
      <c r="A3470">
        <v>3469</v>
      </c>
      <c r="B3470">
        <v>2753</v>
      </c>
      <c r="C3470">
        <f>1/COUNTIF(B:B,Table1[[#This Row],[order_id]])</f>
        <v>1</v>
      </c>
      <c r="D3470" t="str">
        <f>TEXT(Table1[[#This Row],[order_date]],"mmmm")</f>
        <v>September</v>
      </c>
      <c r="E3470" s="1">
        <v>45561</v>
      </c>
      <c r="F3470" s="1" t="str">
        <f>TEXT(Table1[[#This Row],[order_date]],"dddd")</f>
        <v>Thursday</v>
      </c>
      <c r="G3470">
        <f>HOUR(Table1[[#This Row],[order_time]])</f>
        <v>10</v>
      </c>
      <c r="H3470" s="2">
        <v>0.41707175925925927</v>
      </c>
      <c r="I3470" t="s">
        <v>11</v>
      </c>
      <c r="J3470" t="s">
        <v>15</v>
      </c>
      <c r="K3470">
        <v>1</v>
      </c>
      <c r="L3470">
        <v>600</v>
      </c>
      <c r="M3470">
        <v>600</v>
      </c>
      <c r="N3470">
        <f>IF(COUNTIFS($B$2:B3470,B3470)=1,1,0)</f>
        <v>1</v>
      </c>
    </row>
    <row r="3471" spans="1:14" x14ac:dyDescent="0.2">
      <c r="A3471">
        <v>3470</v>
      </c>
      <c r="B3471">
        <v>2754</v>
      </c>
      <c r="C3471">
        <f>1/COUNTIF(B:B,Table1[[#This Row],[order_id]])</f>
        <v>0.33333333333333331</v>
      </c>
      <c r="D3471" t="str">
        <f>TEXT(Table1[[#This Row],[order_date]],"mmmm")</f>
        <v>September</v>
      </c>
      <c r="E3471" s="1">
        <v>45562</v>
      </c>
      <c r="F3471" s="1" t="str">
        <f>TEXT(Table1[[#This Row],[order_date]],"dddd")</f>
        <v>Friday</v>
      </c>
      <c r="G3471">
        <f>HOUR(Table1[[#This Row],[order_time]])</f>
        <v>19</v>
      </c>
      <c r="H3471" s="2">
        <v>0.7926157407407407</v>
      </c>
      <c r="I3471" t="s">
        <v>18</v>
      </c>
      <c r="J3471" t="s">
        <v>27</v>
      </c>
      <c r="K3471">
        <v>5</v>
      </c>
      <c r="L3471">
        <v>40</v>
      </c>
      <c r="M3471">
        <v>200</v>
      </c>
      <c r="N3471">
        <f>IF(COUNTIFS($B$2:B3471,B3471)=1,1,0)</f>
        <v>1</v>
      </c>
    </row>
    <row r="3472" spans="1:14" x14ac:dyDescent="0.2">
      <c r="A3472">
        <v>3471</v>
      </c>
      <c r="B3472">
        <v>2754</v>
      </c>
      <c r="C3472">
        <f>1/COUNTIF(B:B,Table1[[#This Row],[order_id]])</f>
        <v>0.33333333333333331</v>
      </c>
      <c r="D3472" t="str">
        <f>TEXT(Table1[[#This Row],[order_date]],"mmmm")</f>
        <v>September</v>
      </c>
      <c r="E3472" s="1">
        <v>45562</v>
      </c>
      <c r="F3472" s="1" t="str">
        <f>TEXT(Table1[[#This Row],[order_date]],"dddd")</f>
        <v>Friday</v>
      </c>
      <c r="G3472">
        <f>HOUR(Table1[[#This Row],[order_time]])</f>
        <v>12</v>
      </c>
      <c r="H3472" s="2">
        <v>0.52166666666666661</v>
      </c>
      <c r="I3472" t="s">
        <v>11</v>
      </c>
      <c r="J3472" t="s">
        <v>13</v>
      </c>
      <c r="K3472">
        <v>1</v>
      </c>
      <c r="L3472">
        <v>680</v>
      </c>
      <c r="M3472">
        <v>680</v>
      </c>
      <c r="N3472">
        <f>IF(COUNTIFS($B$2:B3472,B3472)=1,1,0)</f>
        <v>0</v>
      </c>
    </row>
    <row r="3473" spans="1:14" x14ac:dyDescent="0.2">
      <c r="A3473">
        <v>3472</v>
      </c>
      <c r="B3473">
        <v>2754</v>
      </c>
      <c r="C3473">
        <f>1/COUNTIF(B:B,Table1[[#This Row],[order_id]])</f>
        <v>0.33333333333333331</v>
      </c>
      <c r="D3473" t="str">
        <f>TEXT(Table1[[#This Row],[order_date]],"mmmm")</f>
        <v>September</v>
      </c>
      <c r="E3473" s="1">
        <v>45562</v>
      </c>
      <c r="F3473" s="1" t="str">
        <f>TEXT(Table1[[#This Row],[order_date]],"dddd")</f>
        <v>Friday</v>
      </c>
      <c r="G3473">
        <f>HOUR(Table1[[#This Row],[order_time]])</f>
        <v>15</v>
      </c>
      <c r="H3473" s="2">
        <v>0.65096064814814814</v>
      </c>
      <c r="I3473" t="s">
        <v>18</v>
      </c>
      <c r="J3473" t="s">
        <v>27</v>
      </c>
      <c r="K3473">
        <v>4</v>
      </c>
      <c r="L3473">
        <v>40</v>
      </c>
      <c r="M3473">
        <v>160</v>
      </c>
      <c r="N3473">
        <f>IF(COUNTIFS($B$2:B3473,B3473)=1,1,0)</f>
        <v>0</v>
      </c>
    </row>
    <row r="3474" spans="1:14" x14ac:dyDescent="0.2">
      <c r="A3474">
        <v>3473</v>
      </c>
      <c r="B3474">
        <v>2755</v>
      </c>
      <c r="C3474">
        <f>1/COUNTIF(B:B,Table1[[#This Row],[order_id]])</f>
        <v>0.33333333333333331</v>
      </c>
      <c r="D3474" t="str">
        <f>TEXT(Table1[[#This Row],[order_date]],"mmmm")</f>
        <v>September</v>
      </c>
      <c r="E3474" s="1">
        <v>45562</v>
      </c>
      <c r="F3474" s="1" t="str">
        <f>TEXT(Table1[[#This Row],[order_date]],"dddd")</f>
        <v>Friday</v>
      </c>
      <c r="G3474">
        <f>HOUR(Table1[[#This Row],[order_time]])</f>
        <v>16</v>
      </c>
      <c r="H3474" s="2">
        <v>0.69791666666666663</v>
      </c>
      <c r="I3474" t="s">
        <v>9</v>
      </c>
      <c r="J3474" t="s">
        <v>21</v>
      </c>
      <c r="K3474">
        <v>2</v>
      </c>
      <c r="L3474">
        <v>10</v>
      </c>
      <c r="M3474">
        <v>20</v>
      </c>
      <c r="N3474">
        <f>IF(COUNTIFS($B$2:B3474,B3474)=1,1,0)</f>
        <v>1</v>
      </c>
    </row>
    <row r="3475" spans="1:14" x14ac:dyDescent="0.2">
      <c r="A3475">
        <v>3474</v>
      </c>
      <c r="B3475">
        <v>2755</v>
      </c>
      <c r="C3475">
        <f>1/COUNTIF(B:B,Table1[[#This Row],[order_id]])</f>
        <v>0.33333333333333331</v>
      </c>
      <c r="D3475" t="str">
        <f>TEXT(Table1[[#This Row],[order_date]],"mmmm")</f>
        <v>September</v>
      </c>
      <c r="E3475" s="1">
        <v>45562</v>
      </c>
      <c r="F3475" s="1" t="str">
        <f>TEXT(Table1[[#This Row],[order_date]],"dddd")</f>
        <v>Friday</v>
      </c>
      <c r="G3475">
        <f>HOUR(Table1[[#This Row],[order_time]])</f>
        <v>16</v>
      </c>
      <c r="H3475" s="2">
        <v>0.69946759259259261</v>
      </c>
      <c r="I3475" t="s">
        <v>18</v>
      </c>
      <c r="J3475" t="s">
        <v>31</v>
      </c>
      <c r="K3475">
        <v>3</v>
      </c>
      <c r="L3475">
        <v>45</v>
      </c>
      <c r="M3475">
        <v>135</v>
      </c>
      <c r="N3475">
        <f>IF(COUNTIFS($B$2:B3475,B3475)=1,1,0)</f>
        <v>0</v>
      </c>
    </row>
    <row r="3476" spans="1:14" x14ac:dyDescent="0.2">
      <c r="A3476">
        <v>3475</v>
      </c>
      <c r="B3476">
        <v>2755</v>
      </c>
      <c r="C3476">
        <f>1/COUNTIF(B:B,Table1[[#This Row],[order_id]])</f>
        <v>0.33333333333333331</v>
      </c>
      <c r="D3476" t="str">
        <f>TEXT(Table1[[#This Row],[order_date]],"mmmm")</f>
        <v>September</v>
      </c>
      <c r="E3476" s="1">
        <v>45562</v>
      </c>
      <c r="F3476" s="1" t="str">
        <f>TEXT(Table1[[#This Row],[order_date]],"dddd")</f>
        <v>Friday</v>
      </c>
      <c r="G3476">
        <f>HOUR(Table1[[#This Row],[order_time]])</f>
        <v>13</v>
      </c>
      <c r="H3476" s="2">
        <v>0.56910879629629629</v>
      </c>
      <c r="I3476" t="s">
        <v>9</v>
      </c>
      <c r="J3476" t="s">
        <v>22</v>
      </c>
      <c r="K3476">
        <v>3</v>
      </c>
      <c r="L3476">
        <v>15</v>
      </c>
      <c r="M3476">
        <v>45</v>
      </c>
      <c r="N3476">
        <f>IF(COUNTIFS($B$2:B3476,B3476)=1,1,0)</f>
        <v>0</v>
      </c>
    </row>
    <row r="3477" spans="1:14" x14ac:dyDescent="0.2">
      <c r="A3477">
        <v>3476</v>
      </c>
      <c r="B3477">
        <v>2756</v>
      </c>
      <c r="C3477">
        <f>1/COUNTIF(B:B,Table1[[#This Row],[order_id]])</f>
        <v>1</v>
      </c>
      <c r="D3477" t="str">
        <f>TEXT(Table1[[#This Row],[order_date]],"mmmm")</f>
        <v>September</v>
      </c>
      <c r="E3477" s="1">
        <v>45562</v>
      </c>
      <c r="F3477" s="1" t="str">
        <f>TEXT(Table1[[#This Row],[order_date]],"dddd")</f>
        <v>Friday</v>
      </c>
      <c r="G3477">
        <f>HOUR(Table1[[#This Row],[order_time]])</f>
        <v>13</v>
      </c>
      <c r="H3477" s="2">
        <v>0.56712962962962965</v>
      </c>
      <c r="I3477" t="s">
        <v>16</v>
      </c>
      <c r="J3477" t="s">
        <v>17</v>
      </c>
      <c r="K3477">
        <v>1</v>
      </c>
      <c r="L3477">
        <v>20</v>
      </c>
      <c r="M3477">
        <v>20</v>
      </c>
      <c r="N3477">
        <f>IF(COUNTIFS($B$2:B3477,B3477)=1,1,0)</f>
        <v>1</v>
      </c>
    </row>
    <row r="3478" spans="1:14" x14ac:dyDescent="0.2">
      <c r="A3478">
        <v>3477</v>
      </c>
      <c r="B3478">
        <v>2757</v>
      </c>
      <c r="C3478">
        <f>1/COUNTIF(B:B,Table1[[#This Row],[order_id]])</f>
        <v>0.5</v>
      </c>
      <c r="D3478" t="str">
        <f>TEXT(Table1[[#This Row],[order_date]],"mmmm")</f>
        <v>September</v>
      </c>
      <c r="E3478" s="1">
        <v>45562</v>
      </c>
      <c r="F3478" s="1" t="str">
        <f>TEXT(Table1[[#This Row],[order_date]],"dddd")</f>
        <v>Friday</v>
      </c>
      <c r="G3478">
        <f>HOUR(Table1[[#This Row],[order_time]])</f>
        <v>9</v>
      </c>
      <c r="H3478" s="2">
        <v>0.37718750000000001</v>
      </c>
      <c r="I3478" t="s">
        <v>16</v>
      </c>
      <c r="J3478" t="s">
        <v>24</v>
      </c>
      <c r="K3478">
        <v>3</v>
      </c>
      <c r="L3478">
        <v>35</v>
      </c>
      <c r="M3478">
        <v>105</v>
      </c>
      <c r="N3478">
        <f>IF(COUNTIFS($B$2:B3478,B3478)=1,1,0)</f>
        <v>1</v>
      </c>
    </row>
    <row r="3479" spans="1:14" x14ac:dyDescent="0.2">
      <c r="A3479">
        <v>3478</v>
      </c>
      <c r="B3479">
        <v>2757</v>
      </c>
      <c r="C3479">
        <f>1/COUNTIF(B:B,Table1[[#This Row],[order_id]])</f>
        <v>0.5</v>
      </c>
      <c r="D3479" t="str">
        <f>TEXT(Table1[[#This Row],[order_date]],"mmmm")</f>
        <v>September</v>
      </c>
      <c r="E3479" s="1">
        <v>45562</v>
      </c>
      <c r="F3479" s="1" t="str">
        <f>TEXT(Table1[[#This Row],[order_date]],"dddd")</f>
        <v>Friday</v>
      </c>
      <c r="G3479">
        <f>HOUR(Table1[[#This Row],[order_time]])</f>
        <v>20</v>
      </c>
      <c r="H3479" s="2">
        <v>0.83780092592592592</v>
      </c>
      <c r="I3479" t="s">
        <v>16</v>
      </c>
      <c r="J3479" t="s">
        <v>24</v>
      </c>
      <c r="K3479">
        <v>3</v>
      </c>
      <c r="L3479">
        <v>35</v>
      </c>
      <c r="M3479">
        <v>105</v>
      </c>
      <c r="N3479">
        <f>IF(COUNTIFS($B$2:B3479,B3479)=1,1,0)</f>
        <v>0</v>
      </c>
    </row>
    <row r="3480" spans="1:14" x14ac:dyDescent="0.2">
      <c r="A3480">
        <v>3479</v>
      </c>
      <c r="B3480">
        <v>2758</v>
      </c>
      <c r="C3480">
        <f>1/COUNTIF(B:B,Table1[[#This Row],[order_id]])</f>
        <v>1</v>
      </c>
      <c r="D3480" t="str">
        <f>TEXT(Table1[[#This Row],[order_date]],"mmmm")</f>
        <v>September</v>
      </c>
      <c r="E3480" s="1">
        <v>45562</v>
      </c>
      <c r="F3480" s="1" t="str">
        <f>TEXT(Table1[[#This Row],[order_date]],"dddd")</f>
        <v>Friday</v>
      </c>
      <c r="G3480">
        <f>HOUR(Table1[[#This Row],[order_time]])</f>
        <v>18</v>
      </c>
      <c r="H3480" s="2">
        <v>0.79160879629629632</v>
      </c>
      <c r="I3480" t="s">
        <v>16</v>
      </c>
      <c r="J3480" t="s">
        <v>28</v>
      </c>
      <c r="K3480">
        <v>1</v>
      </c>
      <c r="L3480">
        <v>25</v>
      </c>
      <c r="M3480">
        <v>25</v>
      </c>
      <c r="N3480">
        <f>IF(COUNTIFS($B$2:B3480,B3480)=1,1,0)</f>
        <v>1</v>
      </c>
    </row>
    <row r="3481" spans="1:14" x14ac:dyDescent="0.2">
      <c r="A3481">
        <v>3480</v>
      </c>
      <c r="B3481">
        <v>2759</v>
      </c>
      <c r="C3481">
        <f>1/COUNTIF(B:B,Table1[[#This Row],[order_id]])</f>
        <v>0.33333333333333331</v>
      </c>
      <c r="D3481" t="str">
        <f>TEXT(Table1[[#This Row],[order_date]],"mmmm")</f>
        <v>September</v>
      </c>
      <c r="E3481" s="1">
        <v>45562</v>
      </c>
      <c r="F3481" s="1" t="str">
        <f>TEXT(Table1[[#This Row],[order_date]],"dddd")</f>
        <v>Friday</v>
      </c>
      <c r="G3481">
        <f>HOUR(Table1[[#This Row],[order_time]])</f>
        <v>16</v>
      </c>
      <c r="H3481" s="2">
        <v>0.69068287037037035</v>
      </c>
      <c r="I3481" t="s">
        <v>11</v>
      </c>
      <c r="J3481" t="s">
        <v>15</v>
      </c>
      <c r="K3481">
        <v>3</v>
      </c>
      <c r="L3481">
        <v>600</v>
      </c>
      <c r="M3481">
        <v>1800</v>
      </c>
      <c r="N3481">
        <f>IF(COUNTIFS($B$2:B3481,B3481)=1,1,0)</f>
        <v>1</v>
      </c>
    </row>
    <row r="3482" spans="1:14" x14ac:dyDescent="0.2">
      <c r="A3482">
        <v>3481</v>
      </c>
      <c r="B3482">
        <v>2759</v>
      </c>
      <c r="C3482">
        <f>1/COUNTIF(B:B,Table1[[#This Row],[order_id]])</f>
        <v>0.33333333333333331</v>
      </c>
      <c r="D3482" t="str">
        <f>TEXT(Table1[[#This Row],[order_date]],"mmmm")</f>
        <v>September</v>
      </c>
      <c r="E3482" s="1">
        <v>45562</v>
      </c>
      <c r="F3482" s="1" t="str">
        <f>TEXT(Table1[[#This Row],[order_date]],"dddd")</f>
        <v>Friday</v>
      </c>
      <c r="G3482">
        <f>HOUR(Table1[[#This Row],[order_time]])</f>
        <v>15</v>
      </c>
      <c r="H3482" s="2">
        <v>0.65516203703703701</v>
      </c>
      <c r="I3482" t="s">
        <v>18</v>
      </c>
      <c r="J3482" t="s">
        <v>30</v>
      </c>
      <c r="K3482">
        <v>3</v>
      </c>
      <c r="L3482">
        <v>60</v>
      </c>
      <c r="M3482">
        <v>180</v>
      </c>
      <c r="N3482">
        <f>IF(COUNTIFS($B$2:B3482,B3482)=1,1,0)</f>
        <v>0</v>
      </c>
    </row>
    <row r="3483" spans="1:14" x14ac:dyDescent="0.2">
      <c r="A3483">
        <v>3482</v>
      </c>
      <c r="B3483">
        <v>2759</v>
      </c>
      <c r="C3483">
        <f>1/COUNTIF(B:B,Table1[[#This Row],[order_id]])</f>
        <v>0.33333333333333331</v>
      </c>
      <c r="D3483" t="str">
        <f>TEXT(Table1[[#This Row],[order_date]],"mmmm")</f>
        <v>September</v>
      </c>
      <c r="E3483" s="1">
        <v>45562</v>
      </c>
      <c r="F3483" s="1" t="str">
        <f>TEXT(Table1[[#This Row],[order_date]],"dddd")</f>
        <v>Friday</v>
      </c>
      <c r="G3483">
        <f>HOUR(Table1[[#This Row],[order_time]])</f>
        <v>19</v>
      </c>
      <c r="H3483" s="2">
        <v>0.83275462962962965</v>
      </c>
      <c r="I3483" t="s">
        <v>9</v>
      </c>
      <c r="J3483" t="s">
        <v>22</v>
      </c>
      <c r="K3483">
        <v>5</v>
      </c>
      <c r="L3483">
        <v>15</v>
      </c>
      <c r="M3483">
        <v>75</v>
      </c>
      <c r="N3483">
        <f>IF(COUNTIFS($B$2:B3483,B3483)=1,1,0)</f>
        <v>0</v>
      </c>
    </row>
    <row r="3484" spans="1:14" x14ac:dyDescent="0.2">
      <c r="A3484">
        <v>3483</v>
      </c>
      <c r="B3484">
        <v>2760</v>
      </c>
      <c r="C3484">
        <f>1/COUNTIF(B:B,Table1[[#This Row],[order_id]])</f>
        <v>0.5</v>
      </c>
      <c r="D3484" t="str">
        <f>TEXT(Table1[[#This Row],[order_date]],"mmmm")</f>
        <v>September</v>
      </c>
      <c r="E3484" s="1">
        <v>45562</v>
      </c>
      <c r="F3484" s="1" t="str">
        <f>TEXT(Table1[[#This Row],[order_date]],"dddd")</f>
        <v>Friday</v>
      </c>
      <c r="G3484">
        <f>HOUR(Table1[[#This Row],[order_time]])</f>
        <v>17</v>
      </c>
      <c r="H3484" s="2">
        <v>0.74354166666666666</v>
      </c>
      <c r="I3484" t="s">
        <v>9</v>
      </c>
      <c r="J3484" t="s">
        <v>21</v>
      </c>
      <c r="K3484">
        <v>2</v>
      </c>
      <c r="L3484">
        <v>10</v>
      </c>
      <c r="M3484">
        <v>20</v>
      </c>
      <c r="N3484">
        <f>IF(COUNTIFS($B$2:B3484,B3484)=1,1,0)</f>
        <v>1</v>
      </c>
    </row>
    <row r="3485" spans="1:14" x14ac:dyDescent="0.2">
      <c r="A3485">
        <v>3484</v>
      </c>
      <c r="B3485">
        <v>2760</v>
      </c>
      <c r="C3485">
        <f>1/COUNTIF(B:B,Table1[[#This Row],[order_id]])</f>
        <v>0.5</v>
      </c>
      <c r="D3485" t="str">
        <f>TEXT(Table1[[#This Row],[order_date]],"mmmm")</f>
        <v>September</v>
      </c>
      <c r="E3485" s="1">
        <v>45562</v>
      </c>
      <c r="F3485" s="1" t="str">
        <f>TEXT(Table1[[#This Row],[order_date]],"dddd")</f>
        <v>Friday</v>
      </c>
      <c r="G3485">
        <f>HOUR(Table1[[#This Row],[order_time]])</f>
        <v>19</v>
      </c>
      <c r="H3485" s="2">
        <v>0.82520833333333332</v>
      </c>
      <c r="I3485" t="s">
        <v>16</v>
      </c>
      <c r="J3485" t="s">
        <v>28</v>
      </c>
      <c r="K3485">
        <v>4</v>
      </c>
      <c r="L3485">
        <v>25</v>
      </c>
      <c r="M3485">
        <v>100</v>
      </c>
      <c r="N3485">
        <f>IF(COUNTIFS($B$2:B3485,B3485)=1,1,0)</f>
        <v>0</v>
      </c>
    </row>
    <row r="3486" spans="1:14" x14ac:dyDescent="0.2">
      <c r="A3486">
        <v>3485</v>
      </c>
      <c r="B3486">
        <v>2761</v>
      </c>
      <c r="C3486">
        <f>1/COUNTIF(B:B,Table1[[#This Row],[order_id]])</f>
        <v>1</v>
      </c>
      <c r="D3486" t="str">
        <f>TEXT(Table1[[#This Row],[order_date]],"mmmm")</f>
        <v>September</v>
      </c>
      <c r="E3486" s="1">
        <v>45562</v>
      </c>
      <c r="F3486" s="1" t="str">
        <f>TEXT(Table1[[#This Row],[order_date]],"dddd")</f>
        <v>Friday</v>
      </c>
      <c r="G3486">
        <f>HOUR(Table1[[#This Row],[order_time]])</f>
        <v>9</v>
      </c>
      <c r="H3486" s="2">
        <v>0.39899305555555553</v>
      </c>
      <c r="I3486" t="s">
        <v>16</v>
      </c>
      <c r="J3486" t="s">
        <v>17</v>
      </c>
      <c r="K3486">
        <v>4</v>
      </c>
      <c r="L3486">
        <v>20</v>
      </c>
      <c r="M3486">
        <v>80</v>
      </c>
      <c r="N3486">
        <f>IF(COUNTIFS($B$2:B3486,B3486)=1,1,0)</f>
        <v>1</v>
      </c>
    </row>
    <row r="3487" spans="1:14" x14ac:dyDescent="0.2">
      <c r="A3487">
        <v>3486</v>
      </c>
      <c r="B3487">
        <v>2762</v>
      </c>
      <c r="C3487">
        <f>1/COUNTIF(B:B,Table1[[#This Row],[order_id]])</f>
        <v>0.5</v>
      </c>
      <c r="D3487" t="str">
        <f>TEXT(Table1[[#This Row],[order_date]],"mmmm")</f>
        <v>September</v>
      </c>
      <c r="E3487" s="1">
        <v>45562</v>
      </c>
      <c r="F3487" s="1" t="str">
        <f>TEXT(Table1[[#This Row],[order_date]],"dddd")</f>
        <v>Friday</v>
      </c>
      <c r="G3487">
        <f>HOUR(Table1[[#This Row],[order_time]])</f>
        <v>18</v>
      </c>
      <c r="H3487" s="2">
        <v>0.75394675925925925</v>
      </c>
      <c r="I3487" t="s">
        <v>9</v>
      </c>
      <c r="J3487" t="s">
        <v>10</v>
      </c>
      <c r="K3487">
        <v>3</v>
      </c>
      <c r="L3487">
        <v>20</v>
      </c>
      <c r="M3487">
        <v>60</v>
      </c>
      <c r="N3487">
        <f>IF(COUNTIFS($B$2:B3487,B3487)=1,1,0)</f>
        <v>1</v>
      </c>
    </row>
    <row r="3488" spans="1:14" x14ac:dyDescent="0.2">
      <c r="A3488">
        <v>3487</v>
      </c>
      <c r="B3488">
        <v>2762</v>
      </c>
      <c r="C3488">
        <f>1/COUNTIF(B:B,Table1[[#This Row],[order_id]])</f>
        <v>0.5</v>
      </c>
      <c r="D3488" t="str">
        <f>TEXT(Table1[[#This Row],[order_date]],"mmmm")</f>
        <v>September</v>
      </c>
      <c r="E3488" s="1">
        <v>45562</v>
      </c>
      <c r="F3488" s="1" t="str">
        <f>TEXT(Table1[[#This Row],[order_date]],"dddd")</f>
        <v>Friday</v>
      </c>
      <c r="G3488">
        <f>HOUR(Table1[[#This Row],[order_time]])</f>
        <v>20</v>
      </c>
      <c r="H3488" s="2">
        <v>0.84167824074074071</v>
      </c>
      <c r="I3488" t="s">
        <v>16</v>
      </c>
      <c r="J3488" t="s">
        <v>23</v>
      </c>
      <c r="K3488">
        <v>4</v>
      </c>
      <c r="L3488">
        <v>30</v>
      </c>
      <c r="M3488">
        <v>120</v>
      </c>
      <c r="N3488">
        <f>IF(COUNTIFS($B$2:B3488,B3488)=1,1,0)</f>
        <v>0</v>
      </c>
    </row>
    <row r="3489" spans="1:14" x14ac:dyDescent="0.2">
      <c r="A3489">
        <v>3488</v>
      </c>
      <c r="B3489">
        <v>2763</v>
      </c>
      <c r="C3489">
        <f>1/COUNTIF(B:B,Table1[[#This Row],[order_id]])</f>
        <v>1</v>
      </c>
      <c r="D3489" t="str">
        <f>TEXT(Table1[[#This Row],[order_date]],"mmmm")</f>
        <v>September</v>
      </c>
      <c r="E3489" s="1">
        <v>45562</v>
      </c>
      <c r="F3489" s="1" t="str">
        <f>TEXT(Table1[[#This Row],[order_date]],"dddd")</f>
        <v>Friday</v>
      </c>
      <c r="G3489">
        <f>HOUR(Table1[[#This Row],[order_time]])</f>
        <v>16</v>
      </c>
      <c r="H3489" s="2">
        <v>0.69254629629629627</v>
      </c>
      <c r="I3489" t="s">
        <v>16</v>
      </c>
      <c r="J3489" t="s">
        <v>17</v>
      </c>
      <c r="K3489">
        <v>5</v>
      </c>
      <c r="L3489">
        <v>20</v>
      </c>
      <c r="M3489">
        <v>100</v>
      </c>
      <c r="N3489">
        <f>IF(COUNTIFS($B$2:B3489,B3489)=1,1,0)</f>
        <v>1</v>
      </c>
    </row>
    <row r="3490" spans="1:14" x14ac:dyDescent="0.2">
      <c r="A3490">
        <v>3489</v>
      </c>
      <c r="B3490">
        <v>2764</v>
      </c>
      <c r="C3490">
        <f>1/COUNTIF(B:B,Table1[[#This Row],[order_id]])</f>
        <v>1</v>
      </c>
      <c r="D3490" t="str">
        <f>TEXT(Table1[[#This Row],[order_date]],"mmmm")</f>
        <v>September</v>
      </c>
      <c r="E3490" s="1">
        <v>45563</v>
      </c>
      <c r="F3490" s="1" t="str">
        <f>TEXT(Table1[[#This Row],[order_date]],"dddd")</f>
        <v>Saturday</v>
      </c>
      <c r="G3490">
        <f>HOUR(Table1[[#This Row],[order_time]])</f>
        <v>9</v>
      </c>
      <c r="H3490" s="2">
        <v>0.37695601851851851</v>
      </c>
      <c r="I3490" t="s">
        <v>9</v>
      </c>
      <c r="J3490" t="s">
        <v>10</v>
      </c>
      <c r="K3490">
        <v>1</v>
      </c>
      <c r="L3490">
        <v>20</v>
      </c>
      <c r="M3490">
        <v>20</v>
      </c>
      <c r="N3490">
        <f>IF(COUNTIFS($B$2:B3490,B3490)=1,1,0)</f>
        <v>1</v>
      </c>
    </row>
    <row r="3491" spans="1:14" x14ac:dyDescent="0.2">
      <c r="A3491">
        <v>3490</v>
      </c>
      <c r="B3491">
        <v>2765</v>
      </c>
      <c r="C3491">
        <f>1/COUNTIF(B:B,Table1[[#This Row],[order_id]])</f>
        <v>0.33333333333333331</v>
      </c>
      <c r="D3491" t="str">
        <f>TEXT(Table1[[#This Row],[order_date]],"mmmm")</f>
        <v>September</v>
      </c>
      <c r="E3491" s="1">
        <v>45563</v>
      </c>
      <c r="F3491" s="1" t="str">
        <f>TEXT(Table1[[#This Row],[order_date]],"dddd")</f>
        <v>Saturday</v>
      </c>
      <c r="G3491">
        <f>HOUR(Table1[[#This Row],[order_time]])</f>
        <v>14</v>
      </c>
      <c r="H3491" s="2">
        <v>0.61003472222222221</v>
      </c>
      <c r="I3491" t="s">
        <v>11</v>
      </c>
      <c r="J3491" t="s">
        <v>12</v>
      </c>
      <c r="K3491">
        <v>4</v>
      </c>
      <c r="L3491">
        <v>650</v>
      </c>
      <c r="M3491">
        <v>2600</v>
      </c>
      <c r="N3491">
        <f>IF(COUNTIFS($B$2:B3491,B3491)=1,1,0)</f>
        <v>1</v>
      </c>
    </row>
    <row r="3492" spans="1:14" x14ac:dyDescent="0.2">
      <c r="A3492">
        <v>3491</v>
      </c>
      <c r="B3492">
        <v>2765</v>
      </c>
      <c r="C3492">
        <f>1/COUNTIF(B:B,Table1[[#This Row],[order_id]])</f>
        <v>0.33333333333333331</v>
      </c>
      <c r="D3492" t="str">
        <f>TEXT(Table1[[#This Row],[order_date]],"mmmm")</f>
        <v>September</v>
      </c>
      <c r="E3492" s="1">
        <v>45563</v>
      </c>
      <c r="F3492" s="1" t="str">
        <f>TEXT(Table1[[#This Row],[order_date]],"dddd")</f>
        <v>Saturday</v>
      </c>
      <c r="G3492">
        <f>HOUR(Table1[[#This Row],[order_time]])</f>
        <v>13</v>
      </c>
      <c r="H3492" s="2">
        <v>0.57699074074074075</v>
      </c>
      <c r="I3492" t="s">
        <v>9</v>
      </c>
      <c r="J3492" t="s">
        <v>20</v>
      </c>
      <c r="K3492">
        <v>3</v>
      </c>
      <c r="L3492">
        <v>25</v>
      </c>
      <c r="M3492">
        <v>75</v>
      </c>
      <c r="N3492">
        <f>IF(COUNTIFS($B$2:B3492,B3492)=1,1,0)</f>
        <v>0</v>
      </c>
    </row>
    <row r="3493" spans="1:14" x14ac:dyDescent="0.2">
      <c r="A3493">
        <v>3492</v>
      </c>
      <c r="B3493">
        <v>2765</v>
      </c>
      <c r="C3493">
        <f>1/COUNTIF(B:B,Table1[[#This Row],[order_id]])</f>
        <v>0.33333333333333331</v>
      </c>
      <c r="D3493" t="str">
        <f>TEXT(Table1[[#This Row],[order_date]],"mmmm")</f>
        <v>September</v>
      </c>
      <c r="E3493" s="1">
        <v>45563</v>
      </c>
      <c r="F3493" s="1" t="str">
        <f>TEXT(Table1[[#This Row],[order_date]],"dddd")</f>
        <v>Saturday</v>
      </c>
      <c r="G3493">
        <f>HOUR(Table1[[#This Row],[order_time]])</f>
        <v>11</v>
      </c>
      <c r="H3493" s="2">
        <v>0.46751157407407407</v>
      </c>
      <c r="I3493" t="s">
        <v>11</v>
      </c>
      <c r="J3493" t="s">
        <v>14</v>
      </c>
      <c r="K3493">
        <v>2</v>
      </c>
      <c r="L3493">
        <v>700</v>
      </c>
      <c r="M3493">
        <v>1400</v>
      </c>
      <c r="N3493">
        <f>IF(COUNTIFS($B$2:B3493,B3493)=1,1,0)</f>
        <v>0</v>
      </c>
    </row>
    <row r="3494" spans="1:14" x14ac:dyDescent="0.2">
      <c r="A3494">
        <v>3493</v>
      </c>
      <c r="B3494">
        <v>2766</v>
      </c>
      <c r="C3494">
        <f>1/COUNTIF(B:B,Table1[[#This Row],[order_id]])</f>
        <v>0.5</v>
      </c>
      <c r="D3494" t="str">
        <f>TEXT(Table1[[#This Row],[order_date]],"mmmm")</f>
        <v>September</v>
      </c>
      <c r="E3494" s="1">
        <v>45563</v>
      </c>
      <c r="F3494" s="1" t="str">
        <f>TEXT(Table1[[#This Row],[order_date]],"dddd")</f>
        <v>Saturday</v>
      </c>
      <c r="G3494">
        <f>HOUR(Table1[[#This Row],[order_time]])</f>
        <v>13</v>
      </c>
      <c r="H3494" s="2">
        <v>0.55056712962962961</v>
      </c>
      <c r="I3494" t="s">
        <v>9</v>
      </c>
      <c r="J3494" t="s">
        <v>20</v>
      </c>
      <c r="K3494">
        <v>5</v>
      </c>
      <c r="L3494">
        <v>25</v>
      </c>
      <c r="M3494">
        <v>125</v>
      </c>
      <c r="N3494">
        <f>IF(COUNTIFS($B$2:B3494,B3494)=1,1,0)</f>
        <v>1</v>
      </c>
    </row>
    <row r="3495" spans="1:14" x14ac:dyDescent="0.2">
      <c r="A3495">
        <v>3494</v>
      </c>
      <c r="B3495">
        <v>2766</v>
      </c>
      <c r="C3495">
        <f>1/COUNTIF(B:B,Table1[[#This Row],[order_id]])</f>
        <v>0.5</v>
      </c>
      <c r="D3495" t="str">
        <f>TEXT(Table1[[#This Row],[order_date]],"mmmm")</f>
        <v>September</v>
      </c>
      <c r="E3495" s="1">
        <v>45563</v>
      </c>
      <c r="F3495" s="1" t="str">
        <f>TEXT(Table1[[#This Row],[order_date]],"dddd")</f>
        <v>Saturday</v>
      </c>
      <c r="G3495">
        <f>HOUR(Table1[[#This Row],[order_time]])</f>
        <v>18</v>
      </c>
      <c r="H3495" s="2">
        <v>0.78017361111111116</v>
      </c>
      <c r="I3495" t="s">
        <v>11</v>
      </c>
      <c r="J3495" t="s">
        <v>13</v>
      </c>
      <c r="K3495">
        <v>2</v>
      </c>
      <c r="L3495">
        <v>680</v>
      </c>
      <c r="M3495">
        <v>1360</v>
      </c>
      <c r="N3495">
        <f>IF(COUNTIFS($B$2:B3495,B3495)=1,1,0)</f>
        <v>0</v>
      </c>
    </row>
    <row r="3496" spans="1:14" x14ac:dyDescent="0.2">
      <c r="A3496">
        <v>3495</v>
      </c>
      <c r="B3496">
        <v>2767</v>
      </c>
      <c r="C3496">
        <f>1/COUNTIF(B:B,Table1[[#This Row],[order_id]])</f>
        <v>0.33333333333333331</v>
      </c>
      <c r="D3496" t="str">
        <f>TEXT(Table1[[#This Row],[order_date]],"mmmm")</f>
        <v>September</v>
      </c>
      <c r="E3496" s="1">
        <v>45563</v>
      </c>
      <c r="F3496" s="1" t="str">
        <f>TEXT(Table1[[#This Row],[order_date]],"dddd")</f>
        <v>Saturday</v>
      </c>
      <c r="G3496">
        <f>HOUR(Table1[[#This Row],[order_time]])</f>
        <v>14</v>
      </c>
      <c r="H3496" s="2">
        <v>0.58930555555555553</v>
      </c>
      <c r="I3496" t="s">
        <v>18</v>
      </c>
      <c r="J3496" t="s">
        <v>19</v>
      </c>
      <c r="K3496">
        <v>1</v>
      </c>
      <c r="L3496">
        <v>50</v>
      </c>
      <c r="M3496">
        <v>50</v>
      </c>
      <c r="N3496">
        <f>IF(COUNTIFS($B$2:B3496,B3496)=1,1,0)</f>
        <v>1</v>
      </c>
    </row>
    <row r="3497" spans="1:14" x14ac:dyDescent="0.2">
      <c r="A3497">
        <v>3496</v>
      </c>
      <c r="B3497">
        <v>2767</v>
      </c>
      <c r="C3497">
        <f>1/COUNTIF(B:B,Table1[[#This Row],[order_id]])</f>
        <v>0.33333333333333331</v>
      </c>
      <c r="D3497" t="str">
        <f>TEXT(Table1[[#This Row],[order_date]],"mmmm")</f>
        <v>September</v>
      </c>
      <c r="E3497" s="1">
        <v>45563</v>
      </c>
      <c r="F3497" s="1" t="str">
        <f>TEXT(Table1[[#This Row],[order_date]],"dddd")</f>
        <v>Saturday</v>
      </c>
      <c r="G3497">
        <f>HOUR(Table1[[#This Row],[order_time]])</f>
        <v>10</v>
      </c>
      <c r="H3497" s="2">
        <v>0.44989583333333333</v>
      </c>
      <c r="I3497" t="s">
        <v>11</v>
      </c>
      <c r="J3497" t="s">
        <v>25</v>
      </c>
      <c r="K3497">
        <v>4</v>
      </c>
      <c r="L3497">
        <v>1000</v>
      </c>
      <c r="M3497">
        <v>4000</v>
      </c>
      <c r="N3497">
        <f>IF(COUNTIFS($B$2:B3497,B3497)=1,1,0)</f>
        <v>0</v>
      </c>
    </row>
    <row r="3498" spans="1:14" x14ac:dyDescent="0.2">
      <c r="A3498">
        <v>3497</v>
      </c>
      <c r="B3498">
        <v>2767</v>
      </c>
      <c r="C3498">
        <f>1/COUNTIF(B:B,Table1[[#This Row],[order_id]])</f>
        <v>0.33333333333333331</v>
      </c>
      <c r="D3498" t="str">
        <f>TEXT(Table1[[#This Row],[order_date]],"mmmm")</f>
        <v>September</v>
      </c>
      <c r="E3498" s="1">
        <v>45563</v>
      </c>
      <c r="F3498" s="1" t="str">
        <f>TEXT(Table1[[#This Row],[order_date]],"dddd")</f>
        <v>Saturday</v>
      </c>
      <c r="G3498">
        <f>HOUR(Table1[[#This Row],[order_time]])</f>
        <v>17</v>
      </c>
      <c r="H3498" s="2">
        <v>0.724212962962963</v>
      </c>
      <c r="I3498" t="s">
        <v>16</v>
      </c>
      <c r="J3498" t="s">
        <v>23</v>
      </c>
      <c r="K3498">
        <v>5</v>
      </c>
      <c r="L3498">
        <v>30</v>
      </c>
      <c r="M3498">
        <v>150</v>
      </c>
      <c r="N3498">
        <f>IF(COUNTIFS($B$2:B3498,B3498)=1,1,0)</f>
        <v>0</v>
      </c>
    </row>
    <row r="3499" spans="1:14" x14ac:dyDescent="0.2">
      <c r="A3499">
        <v>3498</v>
      </c>
      <c r="B3499">
        <v>2768</v>
      </c>
      <c r="C3499">
        <f>1/COUNTIF(B:B,Table1[[#This Row],[order_id]])</f>
        <v>0.5</v>
      </c>
      <c r="D3499" t="str">
        <f>TEXT(Table1[[#This Row],[order_date]],"mmmm")</f>
        <v>September</v>
      </c>
      <c r="E3499" s="1">
        <v>45563</v>
      </c>
      <c r="F3499" s="1" t="str">
        <f>TEXT(Table1[[#This Row],[order_date]],"dddd")</f>
        <v>Saturday</v>
      </c>
      <c r="G3499">
        <f>HOUR(Table1[[#This Row],[order_time]])</f>
        <v>11</v>
      </c>
      <c r="H3499" s="2">
        <v>0.47728009259259258</v>
      </c>
      <c r="I3499" t="s">
        <v>9</v>
      </c>
      <c r="J3499" t="s">
        <v>21</v>
      </c>
      <c r="K3499">
        <v>5</v>
      </c>
      <c r="L3499">
        <v>10</v>
      </c>
      <c r="M3499">
        <v>50</v>
      </c>
      <c r="N3499">
        <f>IF(COUNTIFS($B$2:B3499,B3499)=1,1,0)</f>
        <v>1</v>
      </c>
    </row>
    <row r="3500" spans="1:14" x14ac:dyDescent="0.2">
      <c r="A3500">
        <v>3499</v>
      </c>
      <c r="B3500">
        <v>2768</v>
      </c>
      <c r="C3500">
        <f>1/COUNTIF(B:B,Table1[[#This Row],[order_id]])</f>
        <v>0.5</v>
      </c>
      <c r="D3500" t="str">
        <f>TEXT(Table1[[#This Row],[order_date]],"mmmm")</f>
        <v>September</v>
      </c>
      <c r="E3500" s="1">
        <v>45563</v>
      </c>
      <c r="F3500" s="1" t="str">
        <f>TEXT(Table1[[#This Row],[order_date]],"dddd")</f>
        <v>Saturday</v>
      </c>
      <c r="G3500">
        <f>HOUR(Table1[[#This Row],[order_time]])</f>
        <v>10</v>
      </c>
      <c r="H3500" s="2">
        <v>0.44734953703703706</v>
      </c>
      <c r="I3500" t="s">
        <v>9</v>
      </c>
      <c r="J3500" t="s">
        <v>21</v>
      </c>
      <c r="K3500">
        <v>3</v>
      </c>
      <c r="L3500">
        <v>10</v>
      </c>
      <c r="M3500">
        <v>30</v>
      </c>
      <c r="N3500">
        <f>IF(COUNTIFS($B$2:B3500,B3500)=1,1,0)</f>
        <v>0</v>
      </c>
    </row>
    <row r="3501" spans="1:14" x14ac:dyDescent="0.2">
      <c r="A3501">
        <v>3500</v>
      </c>
      <c r="B3501">
        <v>2769</v>
      </c>
      <c r="C3501">
        <f>1/COUNTIF(B:B,Table1[[#This Row],[order_id]])</f>
        <v>0.5</v>
      </c>
      <c r="D3501" t="str">
        <f>TEXT(Table1[[#This Row],[order_date]],"mmmm")</f>
        <v>September</v>
      </c>
      <c r="E3501" s="1">
        <v>45563</v>
      </c>
      <c r="F3501" s="1" t="str">
        <f>TEXT(Table1[[#This Row],[order_date]],"dddd")</f>
        <v>Saturday</v>
      </c>
      <c r="G3501">
        <f>HOUR(Table1[[#This Row],[order_time]])</f>
        <v>13</v>
      </c>
      <c r="H3501" s="2">
        <v>0.56056712962962962</v>
      </c>
      <c r="I3501" t="s">
        <v>11</v>
      </c>
      <c r="J3501" t="s">
        <v>13</v>
      </c>
      <c r="K3501">
        <v>2</v>
      </c>
      <c r="L3501">
        <v>680</v>
      </c>
      <c r="M3501">
        <v>1360</v>
      </c>
      <c r="N3501">
        <f>IF(COUNTIFS($B$2:B3501,B3501)=1,1,0)</f>
        <v>1</v>
      </c>
    </row>
    <row r="3502" spans="1:14" x14ac:dyDescent="0.2">
      <c r="A3502">
        <v>3501</v>
      </c>
      <c r="B3502">
        <v>2769</v>
      </c>
      <c r="C3502">
        <f>1/COUNTIF(B:B,Table1[[#This Row],[order_id]])</f>
        <v>0.5</v>
      </c>
      <c r="D3502" t="str">
        <f>TEXT(Table1[[#This Row],[order_date]],"mmmm")</f>
        <v>September</v>
      </c>
      <c r="E3502" s="1">
        <v>45563</v>
      </c>
      <c r="F3502" s="1" t="str">
        <f>TEXT(Table1[[#This Row],[order_date]],"dddd")</f>
        <v>Saturday</v>
      </c>
      <c r="G3502">
        <f>HOUR(Table1[[#This Row],[order_time]])</f>
        <v>13</v>
      </c>
      <c r="H3502" s="2">
        <v>0.55664351851851857</v>
      </c>
      <c r="I3502" t="s">
        <v>18</v>
      </c>
      <c r="J3502" t="s">
        <v>26</v>
      </c>
      <c r="K3502">
        <v>2</v>
      </c>
      <c r="L3502">
        <v>55</v>
      </c>
      <c r="M3502">
        <v>110</v>
      </c>
      <c r="N3502">
        <f>IF(COUNTIFS($B$2:B3502,B3502)=1,1,0)</f>
        <v>0</v>
      </c>
    </row>
    <row r="3503" spans="1:14" x14ac:dyDescent="0.2">
      <c r="A3503">
        <v>3502</v>
      </c>
      <c r="B3503">
        <v>2770</v>
      </c>
      <c r="C3503">
        <f>1/COUNTIF(B:B,Table1[[#This Row],[order_id]])</f>
        <v>1</v>
      </c>
      <c r="D3503" t="str">
        <f>TEXT(Table1[[#This Row],[order_date]],"mmmm")</f>
        <v>September</v>
      </c>
      <c r="E3503" s="1">
        <v>45564</v>
      </c>
      <c r="F3503" s="1" t="str">
        <f>TEXT(Table1[[#This Row],[order_date]],"dddd")</f>
        <v>Sunday</v>
      </c>
      <c r="G3503">
        <f>HOUR(Table1[[#This Row],[order_time]])</f>
        <v>17</v>
      </c>
      <c r="H3503" s="2">
        <v>0.73401620370370368</v>
      </c>
      <c r="I3503" t="s">
        <v>11</v>
      </c>
      <c r="J3503" t="s">
        <v>12</v>
      </c>
      <c r="K3503">
        <v>1</v>
      </c>
      <c r="L3503">
        <v>650</v>
      </c>
      <c r="M3503">
        <v>650</v>
      </c>
      <c r="N3503">
        <f>IF(COUNTIFS($B$2:B3503,B3503)=1,1,0)</f>
        <v>1</v>
      </c>
    </row>
    <row r="3504" spans="1:14" x14ac:dyDescent="0.2">
      <c r="A3504">
        <v>3503</v>
      </c>
      <c r="B3504">
        <v>2771</v>
      </c>
      <c r="C3504">
        <f>1/COUNTIF(B:B,Table1[[#This Row],[order_id]])</f>
        <v>0.5</v>
      </c>
      <c r="D3504" t="str">
        <f>TEXT(Table1[[#This Row],[order_date]],"mmmm")</f>
        <v>September</v>
      </c>
      <c r="E3504" s="1">
        <v>45564</v>
      </c>
      <c r="F3504" s="1" t="str">
        <f>TEXT(Table1[[#This Row],[order_date]],"dddd")</f>
        <v>Sunday</v>
      </c>
      <c r="G3504">
        <f>HOUR(Table1[[#This Row],[order_time]])</f>
        <v>15</v>
      </c>
      <c r="H3504" s="2">
        <v>0.65645833333333337</v>
      </c>
      <c r="I3504" t="s">
        <v>18</v>
      </c>
      <c r="J3504" t="s">
        <v>27</v>
      </c>
      <c r="K3504">
        <v>4</v>
      </c>
      <c r="L3504">
        <v>40</v>
      </c>
      <c r="M3504">
        <v>160</v>
      </c>
      <c r="N3504">
        <f>IF(COUNTIFS($B$2:B3504,B3504)=1,1,0)</f>
        <v>1</v>
      </c>
    </row>
    <row r="3505" spans="1:14" x14ac:dyDescent="0.2">
      <c r="A3505">
        <v>3504</v>
      </c>
      <c r="B3505">
        <v>2771</v>
      </c>
      <c r="C3505">
        <f>1/COUNTIF(B:B,Table1[[#This Row],[order_id]])</f>
        <v>0.5</v>
      </c>
      <c r="D3505" t="str">
        <f>TEXT(Table1[[#This Row],[order_date]],"mmmm")</f>
        <v>September</v>
      </c>
      <c r="E3505" s="1">
        <v>45564</v>
      </c>
      <c r="F3505" s="1" t="str">
        <f>TEXT(Table1[[#This Row],[order_date]],"dddd")</f>
        <v>Sunday</v>
      </c>
      <c r="G3505">
        <f>HOUR(Table1[[#This Row],[order_time]])</f>
        <v>13</v>
      </c>
      <c r="H3505" s="2">
        <v>0.57187500000000002</v>
      </c>
      <c r="I3505" t="s">
        <v>16</v>
      </c>
      <c r="J3505" t="s">
        <v>23</v>
      </c>
      <c r="K3505">
        <v>3</v>
      </c>
      <c r="L3505">
        <v>30</v>
      </c>
      <c r="M3505">
        <v>90</v>
      </c>
      <c r="N3505">
        <f>IF(COUNTIFS($B$2:B3505,B3505)=1,1,0)</f>
        <v>0</v>
      </c>
    </row>
    <row r="3506" spans="1:14" x14ac:dyDescent="0.2">
      <c r="A3506">
        <v>3505</v>
      </c>
      <c r="B3506">
        <v>2772</v>
      </c>
      <c r="C3506">
        <f>1/COUNTIF(B:B,Table1[[#This Row],[order_id]])</f>
        <v>1</v>
      </c>
      <c r="D3506" t="str">
        <f>TEXT(Table1[[#This Row],[order_date]],"mmmm")</f>
        <v>September</v>
      </c>
      <c r="E3506" s="1">
        <v>45564</v>
      </c>
      <c r="F3506" s="1" t="str">
        <f>TEXT(Table1[[#This Row],[order_date]],"dddd")</f>
        <v>Sunday</v>
      </c>
      <c r="G3506">
        <f>HOUR(Table1[[#This Row],[order_time]])</f>
        <v>20</v>
      </c>
      <c r="H3506" s="2">
        <v>0.87202546296296302</v>
      </c>
      <c r="I3506" t="s">
        <v>16</v>
      </c>
      <c r="J3506" t="s">
        <v>23</v>
      </c>
      <c r="K3506">
        <v>2</v>
      </c>
      <c r="L3506">
        <v>30</v>
      </c>
      <c r="M3506">
        <v>60</v>
      </c>
      <c r="N3506">
        <f>IF(COUNTIFS($B$2:B3506,B3506)=1,1,0)</f>
        <v>1</v>
      </c>
    </row>
    <row r="3507" spans="1:14" x14ac:dyDescent="0.2">
      <c r="A3507">
        <v>3506</v>
      </c>
      <c r="B3507">
        <v>2773</v>
      </c>
      <c r="C3507">
        <f>1/COUNTIF(B:B,Table1[[#This Row],[order_id]])</f>
        <v>0.33333333333333331</v>
      </c>
      <c r="D3507" t="str">
        <f>TEXT(Table1[[#This Row],[order_date]],"mmmm")</f>
        <v>September</v>
      </c>
      <c r="E3507" s="1">
        <v>45564</v>
      </c>
      <c r="F3507" s="1" t="str">
        <f>TEXT(Table1[[#This Row],[order_date]],"dddd")</f>
        <v>Sunday</v>
      </c>
      <c r="G3507">
        <f>HOUR(Table1[[#This Row],[order_time]])</f>
        <v>14</v>
      </c>
      <c r="H3507" s="2">
        <v>0.60467592592592589</v>
      </c>
      <c r="I3507" t="s">
        <v>9</v>
      </c>
      <c r="J3507" t="s">
        <v>20</v>
      </c>
      <c r="K3507">
        <v>5</v>
      </c>
      <c r="L3507">
        <v>25</v>
      </c>
      <c r="M3507">
        <v>125</v>
      </c>
      <c r="N3507">
        <f>IF(COUNTIFS($B$2:B3507,B3507)=1,1,0)</f>
        <v>1</v>
      </c>
    </row>
    <row r="3508" spans="1:14" x14ac:dyDescent="0.2">
      <c r="A3508">
        <v>3507</v>
      </c>
      <c r="B3508">
        <v>2773</v>
      </c>
      <c r="C3508">
        <f>1/COUNTIF(B:B,Table1[[#This Row],[order_id]])</f>
        <v>0.33333333333333331</v>
      </c>
      <c r="D3508" t="str">
        <f>TEXT(Table1[[#This Row],[order_date]],"mmmm")</f>
        <v>September</v>
      </c>
      <c r="E3508" s="1">
        <v>45564</v>
      </c>
      <c r="F3508" s="1" t="str">
        <f>TEXT(Table1[[#This Row],[order_date]],"dddd")</f>
        <v>Sunday</v>
      </c>
      <c r="G3508">
        <f>HOUR(Table1[[#This Row],[order_time]])</f>
        <v>12</v>
      </c>
      <c r="H3508" s="2">
        <v>0.50123842592592593</v>
      </c>
      <c r="I3508" t="s">
        <v>9</v>
      </c>
      <c r="J3508" t="s">
        <v>20</v>
      </c>
      <c r="K3508">
        <v>1</v>
      </c>
      <c r="L3508">
        <v>25</v>
      </c>
      <c r="M3508">
        <v>25</v>
      </c>
      <c r="N3508">
        <f>IF(COUNTIFS($B$2:B3508,B3508)=1,1,0)</f>
        <v>0</v>
      </c>
    </row>
    <row r="3509" spans="1:14" x14ac:dyDescent="0.2">
      <c r="A3509">
        <v>3508</v>
      </c>
      <c r="B3509">
        <v>2773</v>
      </c>
      <c r="C3509">
        <f>1/COUNTIF(B:B,Table1[[#This Row],[order_id]])</f>
        <v>0.33333333333333331</v>
      </c>
      <c r="D3509" t="str">
        <f>TEXT(Table1[[#This Row],[order_date]],"mmmm")</f>
        <v>September</v>
      </c>
      <c r="E3509" s="1">
        <v>45564</v>
      </c>
      <c r="F3509" s="1" t="str">
        <f>TEXT(Table1[[#This Row],[order_date]],"dddd")</f>
        <v>Sunday</v>
      </c>
      <c r="G3509">
        <f>HOUR(Table1[[#This Row],[order_time]])</f>
        <v>16</v>
      </c>
      <c r="H3509" s="2">
        <v>0.68981481481481477</v>
      </c>
      <c r="I3509" t="s">
        <v>9</v>
      </c>
      <c r="J3509" t="s">
        <v>22</v>
      </c>
      <c r="K3509">
        <v>5</v>
      </c>
      <c r="L3509">
        <v>15</v>
      </c>
      <c r="M3509">
        <v>75</v>
      </c>
      <c r="N3509">
        <f>IF(COUNTIFS($B$2:B3509,B3509)=1,1,0)</f>
        <v>0</v>
      </c>
    </row>
    <row r="3510" spans="1:14" x14ac:dyDescent="0.2">
      <c r="A3510">
        <v>3509</v>
      </c>
      <c r="B3510">
        <v>2774</v>
      </c>
      <c r="C3510">
        <f>1/COUNTIF(B:B,Table1[[#This Row],[order_id]])</f>
        <v>1</v>
      </c>
      <c r="D3510" t="str">
        <f>TEXT(Table1[[#This Row],[order_date]],"mmmm")</f>
        <v>September</v>
      </c>
      <c r="E3510" s="1">
        <v>45564</v>
      </c>
      <c r="F3510" s="1" t="str">
        <f>TEXT(Table1[[#This Row],[order_date]],"dddd")</f>
        <v>Sunday</v>
      </c>
      <c r="G3510">
        <f>HOUR(Table1[[#This Row],[order_time]])</f>
        <v>13</v>
      </c>
      <c r="H3510" s="2">
        <v>0.54297453703703702</v>
      </c>
      <c r="I3510" t="s">
        <v>16</v>
      </c>
      <c r="J3510" t="s">
        <v>28</v>
      </c>
      <c r="K3510">
        <v>3</v>
      </c>
      <c r="L3510">
        <v>25</v>
      </c>
      <c r="M3510">
        <v>75</v>
      </c>
      <c r="N3510">
        <f>IF(COUNTIFS($B$2:B3510,B3510)=1,1,0)</f>
        <v>1</v>
      </c>
    </row>
    <row r="3511" spans="1:14" x14ac:dyDescent="0.2">
      <c r="A3511">
        <v>3510</v>
      </c>
      <c r="B3511">
        <v>2775</v>
      </c>
      <c r="C3511">
        <f>1/COUNTIF(B:B,Table1[[#This Row],[order_id]])</f>
        <v>0.5</v>
      </c>
      <c r="D3511" t="str">
        <f>TEXT(Table1[[#This Row],[order_date]],"mmmm")</f>
        <v>September</v>
      </c>
      <c r="E3511" s="1">
        <v>45564</v>
      </c>
      <c r="F3511" s="1" t="str">
        <f>TEXT(Table1[[#This Row],[order_date]],"dddd")</f>
        <v>Sunday</v>
      </c>
      <c r="G3511">
        <f>HOUR(Table1[[#This Row],[order_time]])</f>
        <v>20</v>
      </c>
      <c r="H3511" s="2">
        <v>0.83646990740740745</v>
      </c>
      <c r="I3511" t="s">
        <v>11</v>
      </c>
      <c r="J3511" t="s">
        <v>12</v>
      </c>
      <c r="K3511">
        <v>3</v>
      </c>
      <c r="L3511">
        <v>650</v>
      </c>
      <c r="M3511">
        <v>1950</v>
      </c>
      <c r="N3511">
        <f>IF(COUNTIFS($B$2:B3511,B3511)=1,1,0)</f>
        <v>1</v>
      </c>
    </row>
    <row r="3512" spans="1:14" x14ac:dyDescent="0.2">
      <c r="A3512">
        <v>3511</v>
      </c>
      <c r="B3512">
        <v>2775</v>
      </c>
      <c r="C3512">
        <f>1/COUNTIF(B:B,Table1[[#This Row],[order_id]])</f>
        <v>0.5</v>
      </c>
      <c r="D3512" t="str">
        <f>TEXT(Table1[[#This Row],[order_date]],"mmmm")</f>
        <v>September</v>
      </c>
      <c r="E3512" s="1">
        <v>45564</v>
      </c>
      <c r="F3512" s="1" t="str">
        <f>TEXT(Table1[[#This Row],[order_date]],"dddd")</f>
        <v>Sunday</v>
      </c>
      <c r="G3512">
        <f>HOUR(Table1[[#This Row],[order_time]])</f>
        <v>10</v>
      </c>
      <c r="H3512" s="2">
        <v>0.44134259259259262</v>
      </c>
      <c r="I3512" t="s">
        <v>9</v>
      </c>
      <c r="J3512" t="s">
        <v>20</v>
      </c>
      <c r="K3512">
        <v>1</v>
      </c>
      <c r="L3512">
        <v>25</v>
      </c>
      <c r="M3512">
        <v>25</v>
      </c>
      <c r="N3512">
        <f>IF(COUNTIFS($B$2:B3512,B3512)=1,1,0)</f>
        <v>0</v>
      </c>
    </row>
    <row r="3513" spans="1:14" x14ac:dyDescent="0.2">
      <c r="A3513">
        <v>3512</v>
      </c>
      <c r="B3513">
        <v>2776</v>
      </c>
      <c r="C3513">
        <f>1/COUNTIF(B:B,Table1[[#This Row],[order_id]])</f>
        <v>1</v>
      </c>
      <c r="D3513" t="str">
        <f>TEXT(Table1[[#This Row],[order_date]],"mmmm")</f>
        <v>September</v>
      </c>
      <c r="E3513" s="1">
        <v>45564</v>
      </c>
      <c r="F3513" s="1" t="str">
        <f>TEXT(Table1[[#This Row],[order_date]],"dddd")</f>
        <v>Sunday</v>
      </c>
      <c r="G3513">
        <f>HOUR(Table1[[#This Row],[order_time]])</f>
        <v>10</v>
      </c>
      <c r="H3513" s="2">
        <v>0.4362152777777778</v>
      </c>
      <c r="I3513" t="s">
        <v>18</v>
      </c>
      <c r="J3513" t="s">
        <v>26</v>
      </c>
      <c r="K3513">
        <v>2</v>
      </c>
      <c r="L3513">
        <v>55</v>
      </c>
      <c r="M3513">
        <v>110</v>
      </c>
      <c r="N3513">
        <f>IF(COUNTIFS($B$2:B3513,B3513)=1,1,0)</f>
        <v>1</v>
      </c>
    </row>
    <row r="3514" spans="1:14" x14ac:dyDescent="0.2">
      <c r="A3514">
        <v>3513</v>
      </c>
      <c r="B3514">
        <v>2777</v>
      </c>
      <c r="C3514">
        <f>1/COUNTIF(B:B,Table1[[#This Row],[order_id]])</f>
        <v>0.5</v>
      </c>
      <c r="D3514" t="str">
        <f>TEXT(Table1[[#This Row],[order_date]],"mmmm")</f>
        <v>September</v>
      </c>
      <c r="E3514" s="1">
        <v>45565</v>
      </c>
      <c r="F3514" s="1" t="str">
        <f>TEXT(Table1[[#This Row],[order_date]],"dddd")</f>
        <v>Monday</v>
      </c>
      <c r="G3514">
        <f>HOUR(Table1[[#This Row],[order_time]])</f>
        <v>19</v>
      </c>
      <c r="H3514" s="2">
        <v>0.82625000000000004</v>
      </c>
      <c r="I3514" t="s">
        <v>9</v>
      </c>
      <c r="J3514" t="s">
        <v>22</v>
      </c>
      <c r="K3514">
        <v>2</v>
      </c>
      <c r="L3514">
        <v>15</v>
      </c>
      <c r="M3514">
        <v>30</v>
      </c>
      <c r="N3514">
        <f>IF(COUNTIFS($B$2:B3514,B3514)=1,1,0)</f>
        <v>1</v>
      </c>
    </row>
    <row r="3515" spans="1:14" x14ac:dyDescent="0.2">
      <c r="A3515">
        <v>3514</v>
      </c>
      <c r="B3515">
        <v>2777</v>
      </c>
      <c r="C3515">
        <f>1/COUNTIF(B:B,Table1[[#This Row],[order_id]])</f>
        <v>0.5</v>
      </c>
      <c r="D3515" t="str">
        <f>TEXT(Table1[[#This Row],[order_date]],"mmmm")</f>
        <v>September</v>
      </c>
      <c r="E3515" s="1">
        <v>45565</v>
      </c>
      <c r="F3515" s="1" t="str">
        <f>TEXT(Table1[[#This Row],[order_date]],"dddd")</f>
        <v>Monday</v>
      </c>
      <c r="G3515">
        <f>HOUR(Table1[[#This Row],[order_time]])</f>
        <v>10</v>
      </c>
      <c r="H3515" s="2">
        <v>0.44329861111111113</v>
      </c>
      <c r="I3515" t="s">
        <v>9</v>
      </c>
      <c r="J3515" t="s">
        <v>29</v>
      </c>
      <c r="K3515">
        <v>1</v>
      </c>
      <c r="L3515">
        <v>5</v>
      </c>
      <c r="M3515">
        <v>5</v>
      </c>
      <c r="N3515">
        <f>IF(COUNTIFS($B$2:B3515,B3515)=1,1,0)</f>
        <v>0</v>
      </c>
    </row>
    <row r="3516" spans="1:14" x14ac:dyDescent="0.2">
      <c r="A3516">
        <v>3515</v>
      </c>
      <c r="B3516">
        <v>2778</v>
      </c>
      <c r="C3516">
        <f>1/COUNTIF(B:B,Table1[[#This Row],[order_id]])</f>
        <v>0.33333333333333331</v>
      </c>
      <c r="D3516" t="str">
        <f>TEXT(Table1[[#This Row],[order_date]],"mmmm")</f>
        <v>September</v>
      </c>
      <c r="E3516" s="1">
        <v>45565</v>
      </c>
      <c r="F3516" s="1" t="str">
        <f>TEXT(Table1[[#This Row],[order_date]],"dddd")</f>
        <v>Monday</v>
      </c>
      <c r="G3516">
        <f>HOUR(Table1[[#This Row],[order_time]])</f>
        <v>19</v>
      </c>
      <c r="H3516" s="2">
        <v>0.82256944444444446</v>
      </c>
      <c r="I3516" t="s">
        <v>11</v>
      </c>
      <c r="J3516" t="s">
        <v>15</v>
      </c>
      <c r="K3516">
        <v>5</v>
      </c>
      <c r="L3516">
        <v>600</v>
      </c>
      <c r="M3516">
        <v>3000</v>
      </c>
      <c r="N3516">
        <f>IF(COUNTIFS($B$2:B3516,B3516)=1,1,0)</f>
        <v>1</v>
      </c>
    </row>
    <row r="3517" spans="1:14" x14ac:dyDescent="0.2">
      <c r="A3517">
        <v>3516</v>
      </c>
      <c r="B3517">
        <v>2778</v>
      </c>
      <c r="C3517">
        <f>1/COUNTIF(B:B,Table1[[#This Row],[order_id]])</f>
        <v>0.33333333333333331</v>
      </c>
      <c r="D3517" t="str">
        <f>TEXT(Table1[[#This Row],[order_date]],"mmmm")</f>
        <v>September</v>
      </c>
      <c r="E3517" s="1">
        <v>45565</v>
      </c>
      <c r="F3517" s="1" t="str">
        <f>TEXT(Table1[[#This Row],[order_date]],"dddd")</f>
        <v>Monday</v>
      </c>
      <c r="G3517">
        <f>HOUR(Table1[[#This Row],[order_time]])</f>
        <v>9</v>
      </c>
      <c r="H3517" s="2">
        <v>0.38417824074074075</v>
      </c>
      <c r="I3517" t="s">
        <v>11</v>
      </c>
      <c r="J3517" t="s">
        <v>25</v>
      </c>
      <c r="K3517">
        <v>3</v>
      </c>
      <c r="L3517">
        <v>1000</v>
      </c>
      <c r="M3517">
        <v>3000</v>
      </c>
      <c r="N3517">
        <f>IF(COUNTIFS($B$2:B3517,B3517)=1,1,0)</f>
        <v>0</v>
      </c>
    </row>
    <row r="3518" spans="1:14" x14ac:dyDescent="0.2">
      <c r="A3518">
        <v>3517</v>
      </c>
      <c r="B3518">
        <v>2778</v>
      </c>
      <c r="C3518">
        <f>1/COUNTIF(B:B,Table1[[#This Row],[order_id]])</f>
        <v>0.33333333333333331</v>
      </c>
      <c r="D3518" t="str">
        <f>TEXT(Table1[[#This Row],[order_date]],"mmmm")</f>
        <v>September</v>
      </c>
      <c r="E3518" s="1">
        <v>45565</v>
      </c>
      <c r="F3518" s="1" t="str">
        <f>TEXT(Table1[[#This Row],[order_date]],"dddd")</f>
        <v>Monday</v>
      </c>
      <c r="G3518">
        <f>HOUR(Table1[[#This Row],[order_time]])</f>
        <v>9</v>
      </c>
      <c r="H3518" s="2">
        <v>0.39130787037037035</v>
      </c>
      <c r="I3518" t="s">
        <v>11</v>
      </c>
      <c r="J3518" t="s">
        <v>13</v>
      </c>
      <c r="K3518">
        <v>4</v>
      </c>
      <c r="L3518">
        <v>680</v>
      </c>
      <c r="M3518">
        <v>2720</v>
      </c>
      <c r="N3518">
        <f>IF(COUNTIFS($B$2:B3518,B3518)=1,1,0)</f>
        <v>0</v>
      </c>
    </row>
    <row r="3519" spans="1:14" x14ac:dyDescent="0.2">
      <c r="A3519">
        <v>3518</v>
      </c>
      <c r="B3519">
        <v>2779</v>
      </c>
      <c r="C3519">
        <f>1/COUNTIF(B:B,Table1[[#This Row],[order_id]])</f>
        <v>0.5</v>
      </c>
      <c r="D3519" t="str">
        <f>TEXT(Table1[[#This Row],[order_date]],"mmmm")</f>
        <v>September</v>
      </c>
      <c r="E3519" s="1">
        <v>45565</v>
      </c>
      <c r="F3519" s="1" t="str">
        <f>TEXT(Table1[[#This Row],[order_date]],"dddd")</f>
        <v>Monday</v>
      </c>
      <c r="G3519">
        <f>HOUR(Table1[[#This Row],[order_time]])</f>
        <v>10</v>
      </c>
      <c r="H3519" s="2">
        <v>0.42920138888888887</v>
      </c>
      <c r="I3519" t="s">
        <v>18</v>
      </c>
      <c r="J3519" t="s">
        <v>27</v>
      </c>
      <c r="K3519">
        <v>3</v>
      </c>
      <c r="L3519">
        <v>40</v>
      </c>
      <c r="M3519">
        <v>120</v>
      </c>
      <c r="N3519">
        <f>IF(COUNTIFS($B$2:B3519,B3519)=1,1,0)</f>
        <v>1</v>
      </c>
    </row>
    <row r="3520" spans="1:14" x14ac:dyDescent="0.2">
      <c r="A3520">
        <v>3519</v>
      </c>
      <c r="B3520">
        <v>2779</v>
      </c>
      <c r="C3520">
        <f>1/COUNTIF(B:B,Table1[[#This Row],[order_id]])</f>
        <v>0.5</v>
      </c>
      <c r="D3520" t="str">
        <f>TEXT(Table1[[#This Row],[order_date]],"mmmm")</f>
        <v>September</v>
      </c>
      <c r="E3520" s="1">
        <v>45565</v>
      </c>
      <c r="F3520" s="1" t="str">
        <f>TEXT(Table1[[#This Row],[order_date]],"dddd")</f>
        <v>Monday</v>
      </c>
      <c r="G3520">
        <f>HOUR(Table1[[#This Row],[order_time]])</f>
        <v>18</v>
      </c>
      <c r="H3520" s="2">
        <v>0.76559027777777777</v>
      </c>
      <c r="I3520" t="s">
        <v>18</v>
      </c>
      <c r="J3520" t="s">
        <v>19</v>
      </c>
      <c r="K3520">
        <v>4</v>
      </c>
      <c r="L3520">
        <v>50</v>
      </c>
      <c r="M3520">
        <v>200</v>
      </c>
      <c r="N3520">
        <f>IF(COUNTIFS($B$2:B3520,B3520)=1,1,0)</f>
        <v>0</v>
      </c>
    </row>
    <row r="3521" spans="1:14" x14ac:dyDescent="0.2">
      <c r="A3521">
        <v>3520</v>
      </c>
      <c r="B3521">
        <v>2780</v>
      </c>
      <c r="C3521">
        <f>1/COUNTIF(B:B,Table1[[#This Row],[order_id]])</f>
        <v>1</v>
      </c>
      <c r="D3521" t="str">
        <f>TEXT(Table1[[#This Row],[order_date]],"mmmm")</f>
        <v>September</v>
      </c>
      <c r="E3521" s="1">
        <v>45565</v>
      </c>
      <c r="F3521" s="1" t="str">
        <f>TEXT(Table1[[#This Row],[order_date]],"dddd")</f>
        <v>Monday</v>
      </c>
      <c r="G3521">
        <f>HOUR(Table1[[#This Row],[order_time]])</f>
        <v>17</v>
      </c>
      <c r="H3521" s="2">
        <v>0.74534722222222227</v>
      </c>
      <c r="I3521" t="s">
        <v>9</v>
      </c>
      <c r="J3521" t="s">
        <v>21</v>
      </c>
      <c r="K3521">
        <v>3</v>
      </c>
      <c r="L3521">
        <v>10</v>
      </c>
      <c r="M3521">
        <v>30</v>
      </c>
      <c r="N3521">
        <f>IF(COUNTIFS($B$2:B3521,B3521)=1,1,0)</f>
        <v>1</v>
      </c>
    </row>
    <row r="3522" spans="1:14" x14ac:dyDescent="0.2">
      <c r="A3522">
        <v>3521</v>
      </c>
      <c r="B3522">
        <v>2781</v>
      </c>
      <c r="C3522">
        <f>1/COUNTIF(B:B,Table1[[#This Row],[order_id]])</f>
        <v>0.33333333333333331</v>
      </c>
      <c r="D3522" t="str">
        <f>TEXT(Table1[[#This Row],[order_date]],"mmmm")</f>
        <v>September</v>
      </c>
      <c r="E3522" s="1">
        <v>45565</v>
      </c>
      <c r="F3522" s="1" t="str">
        <f>TEXT(Table1[[#This Row],[order_date]],"dddd")</f>
        <v>Monday</v>
      </c>
      <c r="G3522">
        <f>HOUR(Table1[[#This Row],[order_time]])</f>
        <v>9</v>
      </c>
      <c r="H3522" s="2">
        <v>0.38163194444444443</v>
      </c>
      <c r="I3522" t="s">
        <v>16</v>
      </c>
      <c r="J3522" t="s">
        <v>23</v>
      </c>
      <c r="K3522">
        <v>5</v>
      </c>
      <c r="L3522">
        <v>30</v>
      </c>
      <c r="M3522">
        <v>150</v>
      </c>
      <c r="N3522">
        <f>IF(COUNTIFS($B$2:B3522,B3522)=1,1,0)</f>
        <v>1</v>
      </c>
    </row>
    <row r="3523" spans="1:14" x14ac:dyDescent="0.2">
      <c r="A3523">
        <v>3522</v>
      </c>
      <c r="B3523">
        <v>2781</v>
      </c>
      <c r="C3523">
        <f>1/COUNTIF(B:B,Table1[[#This Row],[order_id]])</f>
        <v>0.33333333333333331</v>
      </c>
      <c r="D3523" t="str">
        <f>TEXT(Table1[[#This Row],[order_date]],"mmmm")</f>
        <v>September</v>
      </c>
      <c r="E3523" s="1">
        <v>45565</v>
      </c>
      <c r="F3523" s="1" t="str">
        <f>TEXT(Table1[[#This Row],[order_date]],"dddd")</f>
        <v>Monday</v>
      </c>
      <c r="G3523">
        <f>HOUR(Table1[[#This Row],[order_time]])</f>
        <v>17</v>
      </c>
      <c r="H3523" s="2">
        <v>0.73250000000000004</v>
      </c>
      <c r="I3523" t="s">
        <v>18</v>
      </c>
      <c r="J3523" t="s">
        <v>19</v>
      </c>
      <c r="K3523">
        <v>5</v>
      </c>
      <c r="L3523">
        <v>50</v>
      </c>
      <c r="M3523">
        <v>250</v>
      </c>
      <c r="N3523">
        <f>IF(COUNTIFS($B$2:B3523,B3523)=1,1,0)</f>
        <v>0</v>
      </c>
    </row>
    <row r="3524" spans="1:14" x14ac:dyDescent="0.2">
      <c r="A3524">
        <v>3523</v>
      </c>
      <c r="B3524">
        <v>2781</v>
      </c>
      <c r="C3524">
        <f>1/COUNTIF(B:B,Table1[[#This Row],[order_id]])</f>
        <v>0.33333333333333331</v>
      </c>
      <c r="D3524" t="str">
        <f>TEXT(Table1[[#This Row],[order_date]],"mmmm")</f>
        <v>September</v>
      </c>
      <c r="E3524" s="1">
        <v>45565</v>
      </c>
      <c r="F3524" s="1" t="str">
        <f>TEXT(Table1[[#This Row],[order_date]],"dddd")</f>
        <v>Monday</v>
      </c>
      <c r="G3524">
        <f>HOUR(Table1[[#This Row],[order_time]])</f>
        <v>16</v>
      </c>
      <c r="H3524" s="2">
        <v>0.70425925925925925</v>
      </c>
      <c r="I3524" t="s">
        <v>11</v>
      </c>
      <c r="J3524" t="s">
        <v>12</v>
      </c>
      <c r="K3524">
        <v>4</v>
      </c>
      <c r="L3524">
        <v>650</v>
      </c>
      <c r="M3524">
        <v>2600</v>
      </c>
      <c r="N3524">
        <f>IF(COUNTIFS($B$2:B3524,B3524)=1,1,0)</f>
        <v>0</v>
      </c>
    </row>
    <row r="3525" spans="1:14" x14ac:dyDescent="0.2">
      <c r="A3525">
        <v>3524</v>
      </c>
      <c r="B3525">
        <v>2782</v>
      </c>
      <c r="C3525">
        <f>1/COUNTIF(B:B,Table1[[#This Row],[order_id]])</f>
        <v>1</v>
      </c>
      <c r="D3525" t="str">
        <f>TEXT(Table1[[#This Row],[order_date]],"mmmm")</f>
        <v>September</v>
      </c>
      <c r="E3525" s="1">
        <v>45565</v>
      </c>
      <c r="F3525" s="1" t="str">
        <f>TEXT(Table1[[#This Row],[order_date]],"dddd")</f>
        <v>Monday</v>
      </c>
      <c r="G3525">
        <f>HOUR(Table1[[#This Row],[order_time]])</f>
        <v>19</v>
      </c>
      <c r="H3525" s="2">
        <v>0.83241898148148152</v>
      </c>
      <c r="I3525" t="s">
        <v>9</v>
      </c>
      <c r="J3525" t="s">
        <v>21</v>
      </c>
      <c r="K3525">
        <v>2</v>
      </c>
      <c r="L3525">
        <v>10</v>
      </c>
      <c r="M3525">
        <v>20</v>
      </c>
      <c r="N3525">
        <f>IF(COUNTIFS($B$2:B3525,B3525)=1,1,0)</f>
        <v>1</v>
      </c>
    </row>
    <row r="3526" spans="1:14" x14ac:dyDescent="0.2">
      <c r="A3526">
        <v>3525</v>
      </c>
      <c r="B3526">
        <v>2783</v>
      </c>
      <c r="C3526">
        <f>1/COUNTIF(B:B,Table1[[#This Row],[order_id]])</f>
        <v>0.33333333333333331</v>
      </c>
      <c r="D3526" t="str">
        <f>TEXT(Table1[[#This Row],[order_date]],"mmmm")</f>
        <v>October</v>
      </c>
      <c r="E3526" s="1">
        <v>45566</v>
      </c>
      <c r="F3526" s="1" t="str">
        <f>TEXT(Table1[[#This Row],[order_date]],"dddd")</f>
        <v>Tuesday</v>
      </c>
      <c r="G3526">
        <f>HOUR(Table1[[#This Row],[order_time]])</f>
        <v>14</v>
      </c>
      <c r="H3526" s="2">
        <v>0.61197916666666663</v>
      </c>
      <c r="I3526" t="s">
        <v>11</v>
      </c>
      <c r="J3526" t="s">
        <v>15</v>
      </c>
      <c r="K3526">
        <v>4</v>
      </c>
      <c r="L3526">
        <v>600</v>
      </c>
      <c r="M3526">
        <v>2400</v>
      </c>
      <c r="N3526">
        <f>IF(COUNTIFS($B$2:B3526,B3526)=1,1,0)</f>
        <v>1</v>
      </c>
    </row>
    <row r="3527" spans="1:14" x14ac:dyDescent="0.2">
      <c r="A3527">
        <v>3526</v>
      </c>
      <c r="B3527">
        <v>2783</v>
      </c>
      <c r="C3527">
        <f>1/COUNTIF(B:B,Table1[[#This Row],[order_id]])</f>
        <v>0.33333333333333331</v>
      </c>
      <c r="D3527" t="str">
        <f>TEXT(Table1[[#This Row],[order_date]],"mmmm")</f>
        <v>October</v>
      </c>
      <c r="E3527" s="1">
        <v>45566</v>
      </c>
      <c r="F3527" s="1" t="str">
        <f>TEXT(Table1[[#This Row],[order_date]],"dddd")</f>
        <v>Tuesday</v>
      </c>
      <c r="G3527">
        <f>HOUR(Table1[[#This Row],[order_time]])</f>
        <v>11</v>
      </c>
      <c r="H3527" s="2">
        <v>0.48820601851851853</v>
      </c>
      <c r="I3527" t="s">
        <v>9</v>
      </c>
      <c r="J3527" t="s">
        <v>21</v>
      </c>
      <c r="K3527">
        <v>4</v>
      </c>
      <c r="L3527">
        <v>10</v>
      </c>
      <c r="M3527">
        <v>40</v>
      </c>
      <c r="N3527">
        <f>IF(COUNTIFS($B$2:B3527,B3527)=1,1,0)</f>
        <v>0</v>
      </c>
    </row>
    <row r="3528" spans="1:14" x14ac:dyDescent="0.2">
      <c r="A3528">
        <v>3527</v>
      </c>
      <c r="B3528">
        <v>2783</v>
      </c>
      <c r="C3528">
        <f>1/COUNTIF(B:B,Table1[[#This Row],[order_id]])</f>
        <v>0.33333333333333331</v>
      </c>
      <c r="D3528" t="str">
        <f>TEXT(Table1[[#This Row],[order_date]],"mmmm")</f>
        <v>October</v>
      </c>
      <c r="E3528" s="1">
        <v>45566</v>
      </c>
      <c r="F3528" s="1" t="str">
        <f>TEXT(Table1[[#This Row],[order_date]],"dddd")</f>
        <v>Tuesday</v>
      </c>
      <c r="G3528">
        <f>HOUR(Table1[[#This Row],[order_time]])</f>
        <v>17</v>
      </c>
      <c r="H3528" s="2">
        <v>0.7129050925925926</v>
      </c>
      <c r="I3528" t="s">
        <v>11</v>
      </c>
      <c r="J3528" t="s">
        <v>25</v>
      </c>
      <c r="K3528">
        <v>4</v>
      </c>
      <c r="L3528">
        <v>1000</v>
      </c>
      <c r="M3528">
        <v>4000</v>
      </c>
      <c r="N3528">
        <f>IF(COUNTIFS($B$2:B3528,B3528)=1,1,0)</f>
        <v>0</v>
      </c>
    </row>
    <row r="3529" spans="1:14" x14ac:dyDescent="0.2">
      <c r="A3529">
        <v>3528</v>
      </c>
      <c r="B3529">
        <v>2784</v>
      </c>
      <c r="C3529">
        <f>1/COUNTIF(B:B,Table1[[#This Row],[order_id]])</f>
        <v>1</v>
      </c>
      <c r="D3529" t="str">
        <f>TEXT(Table1[[#This Row],[order_date]],"mmmm")</f>
        <v>October</v>
      </c>
      <c r="E3529" s="1">
        <v>45566</v>
      </c>
      <c r="F3529" s="1" t="str">
        <f>TEXT(Table1[[#This Row],[order_date]],"dddd")</f>
        <v>Tuesday</v>
      </c>
      <c r="G3529">
        <f>HOUR(Table1[[#This Row],[order_time]])</f>
        <v>11</v>
      </c>
      <c r="H3529" s="2">
        <v>0.49210648148148151</v>
      </c>
      <c r="I3529" t="s">
        <v>9</v>
      </c>
      <c r="J3529" t="s">
        <v>10</v>
      </c>
      <c r="K3529">
        <v>1</v>
      </c>
      <c r="L3529">
        <v>20</v>
      </c>
      <c r="M3529">
        <v>20</v>
      </c>
      <c r="N3529">
        <f>IF(COUNTIFS($B$2:B3529,B3529)=1,1,0)</f>
        <v>1</v>
      </c>
    </row>
    <row r="3530" spans="1:14" x14ac:dyDescent="0.2">
      <c r="A3530">
        <v>3529</v>
      </c>
      <c r="B3530">
        <v>2785</v>
      </c>
      <c r="C3530">
        <f>1/COUNTIF(B:B,Table1[[#This Row],[order_id]])</f>
        <v>0.33333333333333331</v>
      </c>
      <c r="D3530" t="str">
        <f>TEXT(Table1[[#This Row],[order_date]],"mmmm")</f>
        <v>October</v>
      </c>
      <c r="E3530" s="1">
        <v>45566</v>
      </c>
      <c r="F3530" s="1" t="str">
        <f>TEXT(Table1[[#This Row],[order_date]],"dddd")</f>
        <v>Tuesday</v>
      </c>
      <c r="G3530">
        <f>HOUR(Table1[[#This Row],[order_time]])</f>
        <v>15</v>
      </c>
      <c r="H3530" s="2">
        <v>0.66314814814814815</v>
      </c>
      <c r="I3530" t="s">
        <v>18</v>
      </c>
      <c r="J3530" t="s">
        <v>30</v>
      </c>
      <c r="K3530">
        <v>1</v>
      </c>
      <c r="L3530">
        <v>60</v>
      </c>
      <c r="M3530">
        <v>60</v>
      </c>
      <c r="N3530">
        <f>IF(COUNTIFS($B$2:B3530,B3530)=1,1,0)</f>
        <v>1</v>
      </c>
    </row>
    <row r="3531" spans="1:14" x14ac:dyDescent="0.2">
      <c r="A3531">
        <v>3530</v>
      </c>
      <c r="B3531">
        <v>2785</v>
      </c>
      <c r="C3531">
        <f>1/COUNTIF(B:B,Table1[[#This Row],[order_id]])</f>
        <v>0.33333333333333331</v>
      </c>
      <c r="D3531" t="str">
        <f>TEXT(Table1[[#This Row],[order_date]],"mmmm")</f>
        <v>October</v>
      </c>
      <c r="E3531" s="1">
        <v>45566</v>
      </c>
      <c r="F3531" s="1" t="str">
        <f>TEXT(Table1[[#This Row],[order_date]],"dddd")</f>
        <v>Tuesday</v>
      </c>
      <c r="G3531">
        <f>HOUR(Table1[[#This Row],[order_time]])</f>
        <v>13</v>
      </c>
      <c r="H3531" s="2">
        <v>0.57269675925925922</v>
      </c>
      <c r="I3531" t="s">
        <v>18</v>
      </c>
      <c r="J3531" t="s">
        <v>19</v>
      </c>
      <c r="K3531">
        <v>1</v>
      </c>
      <c r="L3531">
        <v>50</v>
      </c>
      <c r="M3531">
        <v>50</v>
      </c>
      <c r="N3531">
        <f>IF(COUNTIFS($B$2:B3531,B3531)=1,1,0)</f>
        <v>0</v>
      </c>
    </row>
    <row r="3532" spans="1:14" x14ac:dyDescent="0.2">
      <c r="A3532">
        <v>3531</v>
      </c>
      <c r="B3532">
        <v>2785</v>
      </c>
      <c r="C3532">
        <f>1/COUNTIF(B:B,Table1[[#This Row],[order_id]])</f>
        <v>0.33333333333333331</v>
      </c>
      <c r="D3532" t="str">
        <f>TEXT(Table1[[#This Row],[order_date]],"mmmm")</f>
        <v>October</v>
      </c>
      <c r="E3532" s="1">
        <v>45566</v>
      </c>
      <c r="F3532" s="1" t="str">
        <f>TEXT(Table1[[#This Row],[order_date]],"dddd")</f>
        <v>Tuesday</v>
      </c>
      <c r="G3532">
        <f>HOUR(Table1[[#This Row],[order_time]])</f>
        <v>19</v>
      </c>
      <c r="H3532" s="2">
        <v>0.81644675925925925</v>
      </c>
      <c r="I3532" t="s">
        <v>11</v>
      </c>
      <c r="J3532" t="s">
        <v>14</v>
      </c>
      <c r="K3532">
        <v>4</v>
      </c>
      <c r="L3532">
        <v>700</v>
      </c>
      <c r="M3532">
        <v>2800</v>
      </c>
      <c r="N3532">
        <f>IF(COUNTIFS($B$2:B3532,B3532)=1,1,0)</f>
        <v>0</v>
      </c>
    </row>
    <row r="3533" spans="1:14" x14ac:dyDescent="0.2">
      <c r="A3533">
        <v>3532</v>
      </c>
      <c r="B3533">
        <v>2786</v>
      </c>
      <c r="C3533">
        <f>1/COUNTIF(B:B,Table1[[#This Row],[order_id]])</f>
        <v>0.5</v>
      </c>
      <c r="D3533" t="str">
        <f>TEXT(Table1[[#This Row],[order_date]],"mmmm")</f>
        <v>October</v>
      </c>
      <c r="E3533" s="1">
        <v>45566</v>
      </c>
      <c r="F3533" s="1" t="str">
        <f>TEXT(Table1[[#This Row],[order_date]],"dddd")</f>
        <v>Tuesday</v>
      </c>
      <c r="G3533">
        <f>HOUR(Table1[[#This Row],[order_time]])</f>
        <v>15</v>
      </c>
      <c r="H3533" s="2">
        <v>0.64993055555555557</v>
      </c>
      <c r="I3533" t="s">
        <v>18</v>
      </c>
      <c r="J3533" t="s">
        <v>26</v>
      </c>
      <c r="K3533">
        <v>3</v>
      </c>
      <c r="L3533">
        <v>55</v>
      </c>
      <c r="M3533">
        <v>165</v>
      </c>
      <c r="N3533">
        <f>IF(COUNTIFS($B$2:B3533,B3533)=1,1,0)</f>
        <v>1</v>
      </c>
    </row>
    <row r="3534" spans="1:14" x14ac:dyDescent="0.2">
      <c r="A3534">
        <v>3533</v>
      </c>
      <c r="B3534">
        <v>2786</v>
      </c>
      <c r="C3534">
        <f>1/COUNTIF(B:B,Table1[[#This Row],[order_id]])</f>
        <v>0.5</v>
      </c>
      <c r="D3534" t="str">
        <f>TEXT(Table1[[#This Row],[order_date]],"mmmm")</f>
        <v>October</v>
      </c>
      <c r="E3534" s="1">
        <v>45566</v>
      </c>
      <c r="F3534" s="1" t="str">
        <f>TEXT(Table1[[#This Row],[order_date]],"dddd")</f>
        <v>Tuesday</v>
      </c>
      <c r="G3534">
        <f>HOUR(Table1[[#This Row],[order_time]])</f>
        <v>20</v>
      </c>
      <c r="H3534" s="2">
        <v>0.8715856481481481</v>
      </c>
      <c r="I3534" t="s">
        <v>16</v>
      </c>
      <c r="J3534" t="s">
        <v>23</v>
      </c>
      <c r="K3534">
        <v>3</v>
      </c>
      <c r="L3534">
        <v>30</v>
      </c>
      <c r="M3534">
        <v>90</v>
      </c>
      <c r="N3534">
        <f>IF(COUNTIFS($B$2:B3534,B3534)=1,1,0)</f>
        <v>0</v>
      </c>
    </row>
    <row r="3535" spans="1:14" x14ac:dyDescent="0.2">
      <c r="A3535">
        <v>3534</v>
      </c>
      <c r="B3535">
        <v>2787</v>
      </c>
      <c r="C3535">
        <f>1/COUNTIF(B:B,Table1[[#This Row],[order_id]])</f>
        <v>0.5</v>
      </c>
      <c r="D3535" t="str">
        <f>TEXT(Table1[[#This Row],[order_date]],"mmmm")</f>
        <v>October</v>
      </c>
      <c r="E3535" s="1">
        <v>45567</v>
      </c>
      <c r="F3535" s="1" t="str">
        <f>TEXT(Table1[[#This Row],[order_date]],"dddd")</f>
        <v>Wednesday</v>
      </c>
      <c r="G3535">
        <f>HOUR(Table1[[#This Row],[order_time]])</f>
        <v>18</v>
      </c>
      <c r="H3535" s="2">
        <v>0.76481481481481484</v>
      </c>
      <c r="I3535" t="s">
        <v>9</v>
      </c>
      <c r="J3535" t="s">
        <v>20</v>
      </c>
      <c r="K3535">
        <v>4</v>
      </c>
      <c r="L3535">
        <v>25</v>
      </c>
      <c r="M3535">
        <v>100</v>
      </c>
      <c r="N3535">
        <f>IF(COUNTIFS($B$2:B3535,B3535)=1,1,0)</f>
        <v>1</v>
      </c>
    </row>
    <row r="3536" spans="1:14" x14ac:dyDescent="0.2">
      <c r="A3536">
        <v>3535</v>
      </c>
      <c r="B3536">
        <v>2787</v>
      </c>
      <c r="C3536">
        <f>1/COUNTIF(B:B,Table1[[#This Row],[order_id]])</f>
        <v>0.5</v>
      </c>
      <c r="D3536" t="str">
        <f>TEXT(Table1[[#This Row],[order_date]],"mmmm")</f>
        <v>October</v>
      </c>
      <c r="E3536" s="1">
        <v>45567</v>
      </c>
      <c r="F3536" s="1" t="str">
        <f>TEXT(Table1[[#This Row],[order_date]],"dddd")</f>
        <v>Wednesday</v>
      </c>
      <c r="G3536">
        <f>HOUR(Table1[[#This Row],[order_time]])</f>
        <v>10</v>
      </c>
      <c r="H3536" s="2">
        <v>0.44034722222222222</v>
      </c>
      <c r="I3536" t="s">
        <v>18</v>
      </c>
      <c r="J3536" t="s">
        <v>31</v>
      </c>
      <c r="K3536">
        <v>2</v>
      </c>
      <c r="L3536">
        <v>45</v>
      </c>
      <c r="M3536">
        <v>90</v>
      </c>
      <c r="N3536">
        <f>IF(COUNTIFS($B$2:B3536,B3536)=1,1,0)</f>
        <v>0</v>
      </c>
    </row>
    <row r="3537" spans="1:14" x14ac:dyDescent="0.2">
      <c r="A3537">
        <v>3536</v>
      </c>
      <c r="B3537">
        <v>2788</v>
      </c>
      <c r="C3537">
        <f>1/COUNTIF(B:B,Table1[[#This Row],[order_id]])</f>
        <v>0.33333333333333331</v>
      </c>
      <c r="D3537" t="str">
        <f>TEXT(Table1[[#This Row],[order_date]],"mmmm")</f>
        <v>October</v>
      </c>
      <c r="E3537" s="1">
        <v>45567</v>
      </c>
      <c r="F3537" s="1" t="str">
        <f>TEXT(Table1[[#This Row],[order_date]],"dddd")</f>
        <v>Wednesday</v>
      </c>
      <c r="G3537">
        <f>HOUR(Table1[[#This Row],[order_time]])</f>
        <v>15</v>
      </c>
      <c r="H3537" s="2">
        <v>0.63659722222222226</v>
      </c>
      <c r="I3537" t="s">
        <v>9</v>
      </c>
      <c r="J3537" t="s">
        <v>22</v>
      </c>
      <c r="K3537">
        <v>3</v>
      </c>
      <c r="L3537">
        <v>15</v>
      </c>
      <c r="M3537">
        <v>45</v>
      </c>
      <c r="N3537">
        <f>IF(COUNTIFS($B$2:B3537,B3537)=1,1,0)</f>
        <v>1</v>
      </c>
    </row>
    <row r="3538" spans="1:14" x14ac:dyDescent="0.2">
      <c r="A3538">
        <v>3537</v>
      </c>
      <c r="B3538">
        <v>2788</v>
      </c>
      <c r="C3538">
        <f>1/COUNTIF(B:B,Table1[[#This Row],[order_id]])</f>
        <v>0.33333333333333331</v>
      </c>
      <c r="D3538" t="str">
        <f>TEXT(Table1[[#This Row],[order_date]],"mmmm")</f>
        <v>October</v>
      </c>
      <c r="E3538" s="1">
        <v>45567</v>
      </c>
      <c r="F3538" s="1" t="str">
        <f>TEXT(Table1[[#This Row],[order_date]],"dddd")</f>
        <v>Wednesday</v>
      </c>
      <c r="G3538">
        <f>HOUR(Table1[[#This Row],[order_time]])</f>
        <v>17</v>
      </c>
      <c r="H3538" s="2">
        <v>0.73517361111111112</v>
      </c>
      <c r="I3538" t="s">
        <v>9</v>
      </c>
      <c r="J3538" t="s">
        <v>20</v>
      </c>
      <c r="K3538">
        <v>5</v>
      </c>
      <c r="L3538">
        <v>25</v>
      </c>
      <c r="M3538">
        <v>125</v>
      </c>
      <c r="N3538">
        <f>IF(COUNTIFS($B$2:B3538,B3538)=1,1,0)</f>
        <v>0</v>
      </c>
    </row>
    <row r="3539" spans="1:14" x14ac:dyDescent="0.2">
      <c r="A3539">
        <v>3538</v>
      </c>
      <c r="B3539">
        <v>2788</v>
      </c>
      <c r="C3539">
        <f>1/COUNTIF(B:B,Table1[[#This Row],[order_id]])</f>
        <v>0.33333333333333331</v>
      </c>
      <c r="D3539" t="str">
        <f>TEXT(Table1[[#This Row],[order_date]],"mmmm")</f>
        <v>October</v>
      </c>
      <c r="E3539" s="1">
        <v>45567</v>
      </c>
      <c r="F3539" s="1" t="str">
        <f>TEXT(Table1[[#This Row],[order_date]],"dddd")</f>
        <v>Wednesday</v>
      </c>
      <c r="G3539">
        <f>HOUR(Table1[[#This Row],[order_time]])</f>
        <v>16</v>
      </c>
      <c r="H3539" s="2">
        <v>0.68836805555555558</v>
      </c>
      <c r="I3539" t="s">
        <v>9</v>
      </c>
      <c r="J3539" t="s">
        <v>20</v>
      </c>
      <c r="K3539">
        <v>1</v>
      </c>
      <c r="L3539">
        <v>25</v>
      </c>
      <c r="M3539">
        <v>25</v>
      </c>
      <c r="N3539">
        <f>IF(COUNTIFS($B$2:B3539,B3539)=1,1,0)</f>
        <v>0</v>
      </c>
    </row>
    <row r="3540" spans="1:14" x14ac:dyDescent="0.2">
      <c r="A3540">
        <v>3539</v>
      </c>
      <c r="B3540">
        <v>2789</v>
      </c>
      <c r="C3540">
        <f>1/COUNTIF(B:B,Table1[[#This Row],[order_id]])</f>
        <v>1</v>
      </c>
      <c r="D3540" t="str">
        <f>TEXT(Table1[[#This Row],[order_date]],"mmmm")</f>
        <v>October</v>
      </c>
      <c r="E3540" s="1">
        <v>45567</v>
      </c>
      <c r="F3540" s="1" t="str">
        <f>TEXT(Table1[[#This Row],[order_date]],"dddd")</f>
        <v>Wednesday</v>
      </c>
      <c r="G3540">
        <f>HOUR(Table1[[#This Row],[order_time]])</f>
        <v>11</v>
      </c>
      <c r="H3540" s="2">
        <v>0.46635416666666668</v>
      </c>
      <c r="I3540" t="s">
        <v>18</v>
      </c>
      <c r="J3540" t="s">
        <v>31</v>
      </c>
      <c r="K3540">
        <v>2</v>
      </c>
      <c r="L3540">
        <v>45</v>
      </c>
      <c r="M3540">
        <v>90</v>
      </c>
      <c r="N3540">
        <f>IF(COUNTIFS($B$2:B3540,B3540)=1,1,0)</f>
        <v>1</v>
      </c>
    </row>
    <row r="3541" spans="1:14" x14ac:dyDescent="0.2">
      <c r="A3541">
        <v>3540</v>
      </c>
      <c r="B3541">
        <v>2790</v>
      </c>
      <c r="C3541">
        <f>1/COUNTIF(B:B,Table1[[#This Row],[order_id]])</f>
        <v>1</v>
      </c>
      <c r="D3541" t="str">
        <f>TEXT(Table1[[#This Row],[order_date]],"mmmm")</f>
        <v>October</v>
      </c>
      <c r="E3541" s="1">
        <v>45567</v>
      </c>
      <c r="F3541" s="1" t="str">
        <f>TEXT(Table1[[#This Row],[order_date]],"dddd")</f>
        <v>Wednesday</v>
      </c>
      <c r="G3541">
        <f>HOUR(Table1[[#This Row],[order_time]])</f>
        <v>10</v>
      </c>
      <c r="H3541" s="2">
        <v>0.45511574074074074</v>
      </c>
      <c r="I3541" t="s">
        <v>9</v>
      </c>
      <c r="J3541" t="s">
        <v>29</v>
      </c>
      <c r="K3541">
        <v>2</v>
      </c>
      <c r="L3541">
        <v>5</v>
      </c>
      <c r="M3541">
        <v>10</v>
      </c>
      <c r="N3541">
        <f>IF(COUNTIFS($B$2:B3541,B3541)=1,1,0)</f>
        <v>1</v>
      </c>
    </row>
    <row r="3542" spans="1:14" x14ac:dyDescent="0.2">
      <c r="A3542">
        <v>3541</v>
      </c>
      <c r="B3542">
        <v>2791</v>
      </c>
      <c r="C3542">
        <f>1/COUNTIF(B:B,Table1[[#This Row],[order_id]])</f>
        <v>1</v>
      </c>
      <c r="D3542" t="str">
        <f>TEXT(Table1[[#This Row],[order_date]],"mmmm")</f>
        <v>October</v>
      </c>
      <c r="E3542" s="1">
        <v>45568</v>
      </c>
      <c r="F3542" s="1" t="str">
        <f>TEXT(Table1[[#This Row],[order_date]],"dddd")</f>
        <v>Thursday</v>
      </c>
      <c r="G3542">
        <f>HOUR(Table1[[#This Row],[order_time]])</f>
        <v>10</v>
      </c>
      <c r="H3542" s="2">
        <v>0.43732638888888886</v>
      </c>
      <c r="I3542" t="s">
        <v>11</v>
      </c>
      <c r="J3542" t="s">
        <v>25</v>
      </c>
      <c r="K3542">
        <v>3</v>
      </c>
      <c r="L3542">
        <v>1000</v>
      </c>
      <c r="M3542">
        <v>3000</v>
      </c>
      <c r="N3542">
        <f>IF(COUNTIFS($B$2:B3542,B3542)=1,1,0)</f>
        <v>1</v>
      </c>
    </row>
    <row r="3543" spans="1:14" x14ac:dyDescent="0.2">
      <c r="A3543">
        <v>3542</v>
      </c>
      <c r="B3543">
        <v>2792</v>
      </c>
      <c r="C3543">
        <f>1/COUNTIF(B:B,Table1[[#This Row],[order_id]])</f>
        <v>0.33333333333333331</v>
      </c>
      <c r="D3543" t="str">
        <f>TEXT(Table1[[#This Row],[order_date]],"mmmm")</f>
        <v>October</v>
      </c>
      <c r="E3543" s="1">
        <v>45568</v>
      </c>
      <c r="F3543" s="1" t="str">
        <f>TEXT(Table1[[#This Row],[order_date]],"dddd")</f>
        <v>Thursday</v>
      </c>
      <c r="G3543">
        <f>HOUR(Table1[[#This Row],[order_time]])</f>
        <v>11</v>
      </c>
      <c r="H3543" s="2">
        <v>0.49785879629629631</v>
      </c>
      <c r="I3543" t="s">
        <v>9</v>
      </c>
      <c r="J3543" t="s">
        <v>21</v>
      </c>
      <c r="K3543">
        <v>2</v>
      </c>
      <c r="L3543">
        <v>10</v>
      </c>
      <c r="M3543">
        <v>20</v>
      </c>
      <c r="N3543">
        <f>IF(COUNTIFS($B$2:B3543,B3543)=1,1,0)</f>
        <v>1</v>
      </c>
    </row>
    <row r="3544" spans="1:14" x14ac:dyDescent="0.2">
      <c r="A3544">
        <v>3543</v>
      </c>
      <c r="B3544">
        <v>2792</v>
      </c>
      <c r="C3544">
        <f>1/COUNTIF(B:B,Table1[[#This Row],[order_id]])</f>
        <v>0.33333333333333331</v>
      </c>
      <c r="D3544" t="str">
        <f>TEXT(Table1[[#This Row],[order_date]],"mmmm")</f>
        <v>October</v>
      </c>
      <c r="E3544" s="1">
        <v>45568</v>
      </c>
      <c r="F3544" s="1" t="str">
        <f>TEXT(Table1[[#This Row],[order_date]],"dddd")</f>
        <v>Thursday</v>
      </c>
      <c r="G3544">
        <f>HOUR(Table1[[#This Row],[order_time]])</f>
        <v>10</v>
      </c>
      <c r="H3544" s="2">
        <v>0.4364351851851852</v>
      </c>
      <c r="I3544" t="s">
        <v>18</v>
      </c>
      <c r="J3544" t="s">
        <v>30</v>
      </c>
      <c r="K3544">
        <v>4</v>
      </c>
      <c r="L3544">
        <v>60</v>
      </c>
      <c r="M3544">
        <v>240</v>
      </c>
      <c r="N3544">
        <f>IF(COUNTIFS($B$2:B3544,B3544)=1,1,0)</f>
        <v>0</v>
      </c>
    </row>
    <row r="3545" spans="1:14" x14ac:dyDescent="0.2">
      <c r="A3545">
        <v>3544</v>
      </c>
      <c r="B3545">
        <v>2792</v>
      </c>
      <c r="C3545">
        <f>1/COUNTIF(B:B,Table1[[#This Row],[order_id]])</f>
        <v>0.33333333333333331</v>
      </c>
      <c r="D3545" t="str">
        <f>TEXT(Table1[[#This Row],[order_date]],"mmmm")</f>
        <v>October</v>
      </c>
      <c r="E3545" s="1">
        <v>45568</v>
      </c>
      <c r="F3545" s="1" t="str">
        <f>TEXT(Table1[[#This Row],[order_date]],"dddd")</f>
        <v>Thursday</v>
      </c>
      <c r="G3545">
        <f>HOUR(Table1[[#This Row],[order_time]])</f>
        <v>9</v>
      </c>
      <c r="H3545" s="2">
        <v>0.39258101851851851</v>
      </c>
      <c r="I3545" t="s">
        <v>9</v>
      </c>
      <c r="J3545" t="s">
        <v>21</v>
      </c>
      <c r="K3545">
        <v>3</v>
      </c>
      <c r="L3545">
        <v>10</v>
      </c>
      <c r="M3545">
        <v>30</v>
      </c>
      <c r="N3545">
        <f>IF(COUNTIFS($B$2:B3545,B3545)=1,1,0)</f>
        <v>0</v>
      </c>
    </row>
    <row r="3546" spans="1:14" x14ac:dyDescent="0.2">
      <c r="A3546">
        <v>3545</v>
      </c>
      <c r="B3546">
        <v>2793</v>
      </c>
      <c r="C3546">
        <f>1/COUNTIF(B:B,Table1[[#This Row],[order_id]])</f>
        <v>1</v>
      </c>
      <c r="D3546" t="str">
        <f>TEXT(Table1[[#This Row],[order_date]],"mmmm")</f>
        <v>October</v>
      </c>
      <c r="E3546" s="1">
        <v>45568</v>
      </c>
      <c r="F3546" s="1" t="str">
        <f>TEXT(Table1[[#This Row],[order_date]],"dddd")</f>
        <v>Thursday</v>
      </c>
      <c r="G3546">
        <f>HOUR(Table1[[#This Row],[order_time]])</f>
        <v>11</v>
      </c>
      <c r="H3546" s="2">
        <v>0.45917824074074076</v>
      </c>
      <c r="I3546" t="s">
        <v>16</v>
      </c>
      <c r="J3546" t="s">
        <v>24</v>
      </c>
      <c r="K3546">
        <v>2</v>
      </c>
      <c r="L3546">
        <v>35</v>
      </c>
      <c r="M3546">
        <v>70</v>
      </c>
      <c r="N3546">
        <f>IF(COUNTIFS($B$2:B3546,B3546)=1,1,0)</f>
        <v>1</v>
      </c>
    </row>
    <row r="3547" spans="1:14" x14ac:dyDescent="0.2">
      <c r="A3547">
        <v>3546</v>
      </c>
      <c r="B3547">
        <v>2794</v>
      </c>
      <c r="C3547">
        <f>1/COUNTIF(B:B,Table1[[#This Row],[order_id]])</f>
        <v>0.5</v>
      </c>
      <c r="D3547" t="str">
        <f>TEXT(Table1[[#This Row],[order_date]],"mmmm")</f>
        <v>October</v>
      </c>
      <c r="E3547" s="1">
        <v>45568</v>
      </c>
      <c r="F3547" s="1" t="str">
        <f>TEXT(Table1[[#This Row],[order_date]],"dddd")</f>
        <v>Thursday</v>
      </c>
      <c r="G3547">
        <f>HOUR(Table1[[#This Row],[order_time]])</f>
        <v>13</v>
      </c>
      <c r="H3547" s="2">
        <v>0.5678819444444444</v>
      </c>
      <c r="I3547" t="s">
        <v>9</v>
      </c>
      <c r="J3547" t="s">
        <v>20</v>
      </c>
      <c r="K3547">
        <v>1</v>
      </c>
      <c r="L3547">
        <v>25</v>
      </c>
      <c r="M3547">
        <v>25</v>
      </c>
      <c r="N3547">
        <f>IF(COUNTIFS($B$2:B3547,B3547)=1,1,0)</f>
        <v>1</v>
      </c>
    </row>
    <row r="3548" spans="1:14" x14ac:dyDescent="0.2">
      <c r="A3548">
        <v>3547</v>
      </c>
      <c r="B3548">
        <v>2794</v>
      </c>
      <c r="C3548">
        <f>1/COUNTIF(B:B,Table1[[#This Row],[order_id]])</f>
        <v>0.5</v>
      </c>
      <c r="D3548" t="str">
        <f>TEXT(Table1[[#This Row],[order_date]],"mmmm")</f>
        <v>October</v>
      </c>
      <c r="E3548" s="1">
        <v>45568</v>
      </c>
      <c r="F3548" s="1" t="str">
        <f>TEXT(Table1[[#This Row],[order_date]],"dddd")</f>
        <v>Thursday</v>
      </c>
      <c r="G3548">
        <f>HOUR(Table1[[#This Row],[order_time]])</f>
        <v>16</v>
      </c>
      <c r="H3548" s="2">
        <v>0.70385416666666667</v>
      </c>
      <c r="I3548" t="s">
        <v>16</v>
      </c>
      <c r="J3548" t="s">
        <v>23</v>
      </c>
      <c r="K3548">
        <v>2</v>
      </c>
      <c r="L3548">
        <v>30</v>
      </c>
      <c r="M3548">
        <v>60</v>
      </c>
      <c r="N3548">
        <f>IF(COUNTIFS($B$2:B3548,B3548)=1,1,0)</f>
        <v>0</v>
      </c>
    </row>
    <row r="3549" spans="1:14" x14ac:dyDescent="0.2">
      <c r="A3549">
        <v>3548</v>
      </c>
      <c r="B3549">
        <v>2795</v>
      </c>
      <c r="C3549">
        <f>1/COUNTIF(B:B,Table1[[#This Row],[order_id]])</f>
        <v>0.33333333333333331</v>
      </c>
      <c r="D3549" t="str">
        <f>TEXT(Table1[[#This Row],[order_date]],"mmmm")</f>
        <v>October</v>
      </c>
      <c r="E3549" s="1">
        <v>45568</v>
      </c>
      <c r="F3549" s="1" t="str">
        <f>TEXT(Table1[[#This Row],[order_date]],"dddd")</f>
        <v>Thursday</v>
      </c>
      <c r="G3549">
        <f>HOUR(Table1[[#This Row],[order_time]])</f>
        <v>16</v>
      </c>
      <c r="H3549" s="2">
        <v>0.69497685185185187</v>
      </c>
      <c r="I3549" t="s">
        <v>11</v>
      </c>
      <c r="J3549" t="s">
        <v>14</v>
      </c>
      <c r="K3549">
        <v>3</v>
      </c>
      <c r="L3549">
        <v>700</v>
      </c>
      <c r="M3549">
        <v>2100</v>
      </c>
      <c r="N3549">
        <f>IF(COUNTIFS($B$2:B3549,B3549)=1,1,0)</f>
        <v>1</v>
      </c>
    </row>
    <row r="3550" spans="1:14" x14ac:dyDescent="0.2">
      <c r="A3550">
        <v>3549</v>
      </c>
      <c r="B3550">
        <v>2795</v>
      </c>
      <c r="C3550">
        <f>1/COUNTIF(B:B,Table1[[#This Row],[order_id]])</f>
        <v>0.33333333333333331</v>
      </c>
      <c r="D3550" t="str">
        <f>TEXT(Table1[[#This Row],[order_date]],"mmmm")</f>
        <v>October</v>
      </c>
      <c r="E3550" s="1">
        <v>45568</v>
      </c>
      <c r="F3550" s="1" t="str">
        <f>TEXT(Table1[[#This Row],[order_date]],"dddd")</f>
        <v>Thursday</v>
      </c>
      <c r="G3550">
        <f>HOUR(Table1[[#This Row],[order_time]])</f>
        <v>19</v>
      </c>
      <c r="H3550" s="2">
        <v>0.80077546296296298</v>
      </c>
      <c r="I3550" t="s">
        <v>16</v>
      </c>
      <c r="J3550" t="s">
        <v>24</v>
      </c>
      <c r="K3550">
        <v>4</v>
      </c>
      <c r="L3550">
        <v>35</v>
      </c>
      <c r="M3550">
        <v>140</v>
      </c>
      <c r="N3550">
        <f>IF(COUNTIFS($B$2:B3550,B3550)=1,1,0)</f>
        <v>0</v>
      </c>
    </row>
    <row r="3551" spans="1:14" x14ac:dyDescent="0.2">
      <c r="A3551">
        <v>3550</v>
      </c>
      <c r="B3551">
        <v>2795</v>
      </c>
      <c r="C3551">
        <f>1/COUNTIF(B:B,Table1[[#This Row],[order_id]])</f>
        <v>0.33333333333333331</v>
      </c>
      <c r="D3551" t="str">
        <f>TEXT(Table1[[#This Row],[order_date]],"mmmm")</f>
        <v>October</v>
      </c>
      <c r="E3551" s="1">
        <v>45568</v>
      </c>
      <c r="F3551" s="1" t="str">
        <f>TEXT(Table1[[#This Row],[order_date]],"dddd")</f>
        <v>Thursday</v>
      </c>
      <c r="G3551">
        <f>HOUR(Table1[[#This Row],[order_time]])</f>
        <v>19</v>
      </c>
      <c r="H3551" s="2">
        <v>0.7963541666666667</v>
      </c>
      <c r="I3551" t="s">
        <v>11</v>
      </c>
      <c r="J3551" t="s">
        <v>15</v>
      </c>
      <c r="K3551">
        <v>2</v>
      </c>
      <c r="L3551">
        <v>600</v>
      </c>
      <c r="M3551">
        <v>1200</v>
      </c>
      <c r="N3551">
        <f>IF(COUNTIFS($B$2:B3551,B3551)=1,1,0)</f>
        <v>0</v>
      </c>
    </row>
    <row r="3552" spans="1:14" x14ac:dyDescent="0.2">
      <c r="A3552">
        <v>3551</v>
      </c>
      <c r="B3552">
        <v>2796</v>
      </c>
      <c r="C3552">
        <f>1/COUNTIF(B:B,Table1[[#This Row],[order_id]])</f>
        <v>0.33333333333333331</v>
      </c>
      <c r="D3552" t="str">
        <f>TEXT(Table1[[#This Row],[order_date]],"mmmm")</f>
        <v>October</v>
      </c>
      <c r="E3552" s="1">
        <v>45569</v>
      </c>
      <c r="F3552" s="1" t="str">
        <f>TEXT(Table1[[#This Row],[order_date]],"dddd")</f>
        <v>Friday</v>
      </c>
      <c r="G3552">
        <f>HOUR(Table1[[#This Row],[order_time]])</f>
        <v>20</v>
      </c>
      <c r="H3552" s="2">
        <v>0.84348379629629633</v>
      </c>
      <c r="I3552" t="s">
        <v>18</v>
      </c>
      <c r="J3552" t="s">
        <v>19</v>
      </c>
      <c r="K3552">
        <v>2</v>
      </c>
      <c r="L3552">
        <v>50</v>
      </c>
      <c r="M3552">
        <v>100</v>
      </c>
      <c r="N3552">
        <f>IF(COUNTIFS($B$2:B3552,B3552)=1,1,0)</f>
        <v>1</v>
      </c>
    </row>
    <row r="3553" spans="1:14" x14ac:dyDescent="0.2">
      <c r="A3553">
        <v>3552</v>
      </c>
      <c r="B3553">
        <v>2796</v>
      </c>
      <c r="C3553">
        <f>1/COUNTIF(B:B,Table1[[#This Row],[order_id]])</f>
        <v>0.33333333333333331</v>
      </c>
      <c r="D3553" t="str">
        <f>TEXT(Table1[[#This Row],[order_date]],"mmmm")</f>
        <v>October</v>
      </c>
      <c r="E3553" s="1">
        <v>45569</v>
      </c>
      <c r="F3553" s="1" t="str">
        <f>TEXT(Table1[[#This Row],[order_date]],"dddd")</f>
        <v>Friday</v>
      </c>
      <c r="G3553">
        <f>HOUR(Table1[[#This Row],[order_time]])</f>
        <v>9</v>
      </c>
      <c r="H3553" s="2">
        <v>0.41168981481481481</v>
      </c>
      <c r="I3553" t="s">
        <v>11</v>
      </c>
      <c r="J3553" t="s">
        <v>13</v>
      </c>
      <c r="K3553">
        <v>5</v>
      </c>
      <c r="L3553">
        <v>680</v>
      </c>
      <c r="M3553">
        <v>3400</v>
      </c>
      <c r="N3553">
        <f>IF(COUNTIFS($B$2:B3553,B3553)=1,1,0)</f>
        <v>0</v>
      </c>
    </row>
    <row r="3554" spans="1:14" x14ac:dyDescent="0.2">
      <c r="A3554">
        <v>3553</v>
      </c>
      <c r="B3554">
        <v>2796</v>
      </c>
      <c r="C3554">
        <f>1/COUNTIF(B:B,Table1[[#This Row],[order_id]])</f>
        <v>0.33333333333333331</v>
      </c>
      <c r="D3554" t="str">
        <f>TEXT(Table1[[#This Row],[order_date]],"mmmm")</f>
        <v>October</v>
      </c>
      <c r="E3554" s="1">
        <v>45569</v>
      </c>
      <c r="F3554" s="1" t="str">
        <f>TEXT(Table1[[#This Row],[order_date]],"dddd")</f>
        <v>Friday</v>
      </c>
      <c r="G3554">
        <f>HOUR(Table1[[#This Row],[order_time]])</f>
        <v>9</v>
      </c>
      <c r="H3554" s="2">
        <v>0.41584490740740743</v>
      </c>
      <c r="I3554" t="s">
        <v>9</v>
      </c>
      <c r="J3554" t="s">
        <v>29</v>
      </c>
      <c r="K3554">
        <v>3</v>
      </c>
      <c r="L3554">
        <v>5</v>
      </c>
      <c r="M3554">
        <v>15</v>
      </c>
      <c r="N3554">
        <f>IF(COUNTIFS($B$2:B3554,B3554)=1,1,0)</f>
        <v>0</v>
      </c>
    </row>
    <row r="3555" spans="1:14" x14ac:dyDescent="0.2">
      <c r="A3555">
        <v>3554</v>
      </c>
      <c r="B3555">
        <v>2797</v>
      </c>
      <c r="C3555">
        <f>1/COUNTIF(B:B,Table1[[#This Row],[order_id]])</f>
        <v>0.5</v>
      </c>
      <c r="D3555" t="str">
        <f>TEXT(Table1[[#This Row],[order_date]],"mmmm")</f>
        <v>October</v>
      </c>
      <c r="E3555" s="1">
        <v>45569</v>
      </c>
      <c r="F3555" s="1" t="str">
        <f>TEXT(Table1[[#This Row],[order_date]],"dddd")</f>
        <v>Friday</v>
      </c>
      <c r="G3555">
        <f>HOUR(Table1[[#This Row],[order_time]])</f>
        <v>15</v>
      </c>
      <c r="H3555" s="2">
        <v>0.65445601851851853</v>
      </c>
      <c r="I3555" t="s">
        <v>16</v>
      </c>
      <c r="J3555" t="s">
        <v>23</v>
      </c>
      <c r="K3555">
        <v>3</v>
      </c>
      <c r="L3555">
        <v>30</v>
      </c>
      <c r="M3555">
        <v>90</v>
      </c>
      <c r="N3555">
        <f>IF(COUNTIFS($B$2:B3555,B3555)=1,1,0)</f>
        <v>1</v>
      </c>
    </row>
    <row r="3556" spans="1:14" x14ac:dyDescent="0.2">
      <c r="A3556">
        <v>3555</v>
      </c>
      <c r="B3556">
        <v>2797</v>
      </c>
      <c r="C3556">
        <f>1/COUNTIF(B:B,Table1[[#This Row],[order_id]])</f>
        <v>0.5</v>
      </c>
      <c r="D3556" t="str">
        <f>TEXT(Table1[[#This Row],[order_date]],"mmmm")</f>
        <v>October</v>
      </c>
      <c r="E3556" s="1">
        <v>45569</v>
      </c>
      <c r="F3556" s="1" t="str">
        <f>TEXT(Table1[[#This Row],[order_date]],"dddd")</f>
        <v>Friday</v>
      </c>
      <c r="G3556">
        <f>HOUR(Table1[[#This Row],[order_time]])</f>
        <v>20</v>
      </c>
      <c r="H3556" s="2">
        <v>0.84753472222222226</v>
      </c>
      <c r="I3556" t="s">
        <v>18</v>
      </c>
      <c r="J3556" t="s">
        <v>27</v>
      </c>
      <c r="K3556">
        <v>5</v>
      </c>
      <c r="L3556">
        <v>40</v>
      </c>
      <c r="M3556">
        <v>200</v>
      </c>
      <c r="N3556">
        <f>IF(COUNTIFS($B$2:B3556,B3556)=1,1,0)</f>
        <v>0</v>
      </c>
    </row>
    <row r="3557" spans="1:14" x14ac:dyDescent="0.2">
      <c r="A3557">
        <v>3556</v>
      </c>
      <c r="B3557">
        <v>2798</v>
      </c>
      <c r="C3557">
        <f>1/COUNTIF(B:B,Table1[[#This Row],[order_id]])</f>
        <v>0.33333333333333331</v>
      </c>
      <c r="D3557" t="str">
        <f>TEXT(Table1[[#This Row],[order_date]],"mmmm")</f>
        <v>October</v>
      </c>
      <c r="E3557" s="1">
        <v>45569</v>
      </c>
      <c r="F3557" s="1" t="str">
        <f>TEXT(Table1[[#This Row],[order_date]],"dddd")</f>
        <v>Friday</v>
      </c>
      <c r="G3557">
        <f>HOUR(Table1[[#This Row],[order_time]])</f>
        <v>18</v>
      </c>
      <c r="H3557" s="2">
        <v>0.77840277777777778</v>
      </c>
      <c r="I3557" t="s">
        <v>9</v>
      </c>
      <c r="J3557" t="s">
        <v>29</v>
      </c>
      <c r="K3557">
        <v>1</v>
      </c>
      <c r="L3557">
        <v>5</v>
      </c>
      <c r="M3557">
        <v>5</v>
      </c>
      <c r="N3557">
        <f>IF(COUNTIFS($B$2:B3557,B3557)=1,1,0)</f>
        <v>1</v>
      </c>
    </row>
    <row r="3558" spans="1:14" x14ac:dyDescent="0.2">
      <c r="A3558">
        <v>3557</v>
      </c>
      <c r="B3558">
        <v>2798</v>
      </c>
      <c r="C3558">
        <f>1/COUNTIF(B:B,Table1[[#This Row],[order_id]])</f>
        <v>0.33333333333333331</v>
      </c>
      <c r="D3558" t="str">
        <f>TEXT(Table1[[#This Row],[order_date]],"mmmm")</f>
        <v>October</v>
      </c>
      <c r="E3558" s="1">
        <v>45569</v>
      </c>
      <c r="F3558" s="1" t="str">
        <f>TEXT(Table1[[#This Row],[order_date]],"dddd")</f>
        <v>Friday</v>
      </c>
      <c r="G3558">
        <f>HOUR(Table1[[#This Row],[order_time]])</f>
        <v>17</v>
      </c>
      <c r="H3558" s="2">
        <v>0.73832175925925925</v>
      </c>
      <c r="I3558" t="s">
        <v>16</v>
      </c>
      <c r="J3558" t="s">
        <v>28</v>
      </c>
      <c r="K3558">
        <v>3</v>
      </c>
      <c r="L3558">
        <v>25</v>
      </c>
      <c r="M3558">
        <v>75</v>
      </c>
      <c r="N3558">
        <f>IF(COUNTIFS($B$2:B3558,B3558)=1,1,0)</f>
        <v>0</v>
      </c>
    </row>
    <row r="3559" spans="1:14" x14ac:dyDescent="0.2">
      <c r="A3559">
        <v>3558</v>
      </c>
      <c r="B3559">
        <v>2798</v>
      </c>
      <c r="C3559">
        <f>1/COUNTIF(B:B,Table1[[#This Row],[order_id]])</f>
        <v>0.33333333333333331</v>
      </c>
      <c r="D3559" t="str">
        <f>TEXT(Table1[[#This Row],[order_date]],"mmmm")</f>
        <v>October</v>
      </c>
      <c r="E3559" s="1">
        <v>45569</v>
      </c>
      <c r="F3559" s="1" t="str">
        <f>TEXT(Table1[[#This Row],[order_date]],"dddd")</f>
        <v>Friday</v>
      </c>
      <c r="G3559">
        <f>HOUR(Table1[[#This Row],[order_time]])</f>
        <v>9</v>
      </c>
      <c r="H3559" s="2">
        <v>0.41415509259259259</v>
      </c>
      <c r="I3559" t="s">
        <v>9</v>
      </c>
      <c r="J3559" t="s">
        <v>10</v>
      </c>
      <c r="K3559">
        <v>3</v>
      </c>
      <c r="L3559">
        <v>20</v>
      </c>
      <c r="M3559">
        <v>60</v>
      </c>
      <c r="N3559">
        <f>IF(COUNTIFS($B$2:B3559,B3559)=1,1,0)</f>
        <v>0</v>
      </c>
    </row>
    <row r="3560" spans="1:14" x14ac:dyDescent="0.2">
      <c r="A3560">
        <v>3559</v>
      </c>
      <c r="B3560">
        <v>2799</v>
      </c>
      <c r="C3560">
        <f>1/COUNTIF(B:B,Table1[[#This Row],[order_id]])</f>
        <v>0.5</v>
      </c>
      <c r="D3560" t="str">
        <f>TEXT(Table1[[#This Row],[order_date]],"mmmm")</f>
        <v>October</v>
      </c>
      <c r="E3560" s="1">
        <v>45569</v>
      </c>
      <c r="F3560" s="1" t="str">
        <f>TEXT(Table1[[#This Row],[order_date]],"dddd")</f>
        <v>Friday</v>
      </c>
      <c r="G3560">
        <f>HOUR(Table1[[#This Row],[order_time]])</f>
        <v>19</v>
      </c>
      <c r="H3560" s="2">
        <v>0.8091666666666667</v>
      </c>
      <c r="I3560" t="s">
        <v>18</v>
      </c>
      <c r="J3560" t="s">
        <v>19</v>
      </c>
      <c r="K3560">
        <v>4</v>
      </c>
      <c r="L3560">
        <v>50</v>
      </c>
      <c r="M3560">
        <v>200</v>
      </c>
      <c r="N3560">
        <f>IF(COUNTIFS($B$2:B3560,B3560)=1,1,0)</f>
        <v>1</v>
      </c>
    </row>
    <row r="3561" spans="1:14" x14ac:dyDescent="0.2">
      <c r="A3561">
        <v>3560</v>
      </c>
      <c r="B3561">
        <v>2799</v>
      </c>
      <c r="C3561">
        <f>1/COUNTIF(B:B,Table1[[#This Row],[order_id]])</f>
        <v>0.5</v>
      </c>
      <c r="D3561" t="str">
        <f>TEXT(Table1[[#This Row],[order_date]],"mmmm")</f>
        <v>October</v>
      </c>
      <c r="E3561" s="1">
        <v>45569</v>
      </c>
      <c r="F3561" s="1" t="str">
        <f>TEXT(Table1[[#This Row],[order_date]],"dddd")</f>
        <v>Friday</v>
      </c>
      <c r="G3561">
        <f>HOUR(Table1[[#This Row],[order_time]])</f>
        <v>11</v>
      </c>
      <c r="H3561" s="2">
        <v>0.48844907407407406</v>
      </c>
      <c r="I3561" t="s">
        <v>9</v>
      </c>
      <c r="J3561" t="s">
        <v>10</v>
      </c>
      <c r="K3561">
        <v>4</v>
      </c>
      <c r="L3561">
        <v>20</v>
      </c>
      <c r="M3561">
        <v>80</v>
      </c>
      <c r="N3561">
        <f>IF(COUNTIFS($B$2:B3561,B3561)=1,1,0)</f>
        <v>0</v>
      </c>
    </row>
    <row r="3562" spans="1:14" x14ac:dyDescent="0.2">
      <c r="A3562">
        <v>3561</v>
      </c>
      <c r="B3562">
        <v>2800</v>
      </c>
      <c r="C3562">
        <f>1/COUNTIF(B:B,Table1[[#This Row],[order_id]])</f>
        <v>0.33333333333333331</v>
      </c>
      <c r="D3562" t="str">
        <f>TEXT(Table1[[#This Row],[order_date]],"mmmm")</f>
        <v>October</v>
      </c>
      <c r="E3562" s="1">
        <v>45569</v>
      </c>
      <c r="F3562" s="1" t="str">
        <f>TEXT(Table1[[#This Row],[order_date]],"dddd")</f>
        <v>Friday</v>
      </c>
      <c r="G3562">
        <f>HOUR(Table1[[#This Row],[order_time]])</f>
        <v>12</v>
      </c>
      <c r="H3562" s="2">
        <v>0.52084490740740741</v>
      </c>
      <c r="I3562" t="s">
        <v>16</v>
      </c>
      <c r="J3562" t="s">
        <v>28</v>
      </c>
      <c r="K3562">
        <v>2</v>
      </c>
      <c r="L3562">
        <v>25</v>
      </c>
      <c r="M3562">
        <v>50</v>
      </c>
      <c r="N3562">
        <f>IF(COUNTIFS($B$2:B3562,B3562)=1,1,0)</f>
        <v>1</v>
      </c>
    </row>
    <row r="3563" spans="1:14" x14ac:dyDescent="0.2">
      <c r="A3563">
        <v>3562</v>
      </c>
      <c r="B3563">
        <v>2800</v>
      </c>
      <c r="C3563">
        <f>1/COUNTIF(B:B,Table1[[#This Row],[order_id]])</f>
        <v>0.33333333333333331</v>
      </c>
      <c r="D3563" t="str">
        <f>TEXT(Table1[[#This Row],[order_date]],"mmmm")</f>
        <v>October</v>
      </c>
      <c r="E3563" s="1">
        <v>45569</v>
      </c>
      <c r="F3563" s="1" t="str">
        <f>TEXT(Table1[[#This Row],[order_date]],"dddd")</f>
        <v>Friday</v>
      </c>
      <c r="G3563">
        <f>HOUR(Table1[[#This Row],[order_time]])</f>
        <v>11</v>
      </c>
      <c r="H3563" s="2">
        <v>0.48797453703703703</v>
      </c>
      <c r="I3563" t="s">
        <v>9</v>
      </c>
      <c r="J3563" t="s">
        <v>10</v>
      </c>
      <c r="K3563">
        <v>3</v>
      </c>
      <c r="L3563">
        <v>20</v>
      </c>
      <c r="M3563">
        <v>60</v>
      </c>
      <c r="N3563">
        <f>IF(COUNTIFS($B$2:B3563,B3563)=1,1,0)</f>
        <v>0</v>
      </c>
    </row>
    <row r="3564" spans="1:14" x14ac:dyDescent="0.2">
      <c r="A3564">
        <v>3563</v>
      </c>
      <c r="B3564">
        <v>2800</v>
      </c>
      <c r="C3564">
        <f>1/COUNTIF(B:B,Table1[[#This Row],[order_id]])</f>
        <v>0.33333333333333331</v>
      </c>
      <c r="D3564" t="str">
        <f>TEXT(Table1[[#This Row],[order_date]],"mmmm")</f>
        <v>October</v>
      </c>
      <c r="E3564" s="1">
        <v>45569</v>
      </c>
      <c r="F3564" s="1" t="str">
        <f>TEXT(Table1[[#This Row],[order_date]],"dddd")</f>
        <v>Friday</v>
      </c>
      <c r="G3564">
        <f>HOUR(Table1[[#This Row],[order_time]])</f>
        <v>12</v>
      </c>
      <c r="H3564" s="2">
        <v>0.50396990740740744</v>
      </c>
      <c r="I3564" t="s">
        <v>11</v>
      </c>
      <c r="J3564" t="s">
        <v>14</v>
      </c>
      <c r="K3564">
        <v>5</v>
      </c>
      <c r="L3564">
        <v>700</v>
      </c>
      <c r="M3564">
        <v>3500</v>
      </c>
      <c r="N3564">
        <f>IF(COUNTIFS($B$2:B3564,B3564)=1,1,0)</f>
        <v>0</v>
      </c>
    </row>
    <row r="3565" spans="1:14" x14ac:dyDescent="0.2">
      <c r="A3565">
        <v>3564</v>
      </c>
      <c r="B3565">
        <v>2801</v>
      </c>
      <c r="C3565">
        <f>1/COUNTIF(B:B,Table1[[#This Row],[order_id]])</f>
        <v>1</v>
      </c>
      <c r="D3565" t="str">
        <f>TEXT(Table1[[#This Row],[order_date]],"mmmm")</f>
        <v>October</v>
      </c>
      <c r="E3565" s="1">
        <v>45570</v>
      </c>
      <c r="F3565" s="1" t="str">
        <f>TEXT(Table1[[#This Row],[order_date]],"dddd")</f>
        <v>Saturday</v>
      </c>
      <c r="G3565">
        <f>HOUR(Table1[[#This Row],[order_time]])</f>
        <v>19</v>
      </c>
      <c r="H3565" s="2">
        <v>0.82502314814814814</v>
      </c>
      <c r="I3565" t="s">
        <v>11</v>
      </c>
      <c r="J3565" t="s">
        <v>25</v>
      </c>
      <c r="K3565">
        <v>4</v>
      </c>
      <c r="L3565">
        <v>1000</v>
      </c>
      <c r="M3565">
        <v>4000</v>
      </c>
      <c r="N3565">
        <f>IF(COUNTIFS($B$2:B3565,B3565)=1,1,0)</f>
        <v>1</v>
      </c>
    </row>
    <row r="3566" spans="1:14" x14ac:dyDescent="0.2">
      <c r="A3566">
        <v>3565</v>
      </c>
      <c r="B3566">
        <v>2802</v>
      </c>
      <c r="C3566">
        <f>1/COUNTIF(B:B,Table1[[#This Row],[order_id]])</f>
        <v>0.33333333333333331</v>
      </c>
      <c r="D3566" t="str">
        <f>TEXT(Table1[[#This Row],[order_date]],"mmmm")</f>
        <v>October</v>
      </c>
      <c r="E3566" s="1">
        <v>45570</v>
      </c>
      <c r="F3566" s="1" t="str">
        <f>TEXT(Table1[[#This Row],[order_date]],"dddd")</f>
        <v>Saturday</v>
      </c>
      <c r="G3566">
        <f>HOUR(Table1[[#This Row],[order_time]])</f>
        <v>9</v>
      </c>
      <c r="H3566" s="2">
        <v>0.41453703703703704</v>
      </c>
      <c r="I3566" t="s">
        <v>9</v>
      </c>
      <c r="J3566" t="s">
        <v>22</v>
      </c>
      <c r="K3566">
        <v>2</v>
      </c>
      <c r="L3566">
        <v>15</v>
      </c>
      <c r="M3566">
        <v>30</v>
      </c>
      <c r="N3566">
        <f>IF(COUNTIFS($B$2:B3566,B3566)=1,1,0)</f>
        <v>1</v>
      </c>
    </row>
    <row r="3567" spans="1:14" x14ac:dyDescent="0.2">
      <c r="A3567">
        <v>3566</v>
      </c>
      <c r="B3567">
        <v>2802</v>
      </c>
      <c r="C3567">
        <f>1/COUNTIF(B:B,Table1[[#This Row],[order_id]])</f>
        <v>0.33333333333333331</v>
      </c>
      <c r="D3567" t="str">
        <f>TEXT(Table1[[#This Row],[order_date]],"mmmm")</f>
        <v>October</v>
      </c>
      <c r="E3567" s="1">
        <v>45570</v>
      </c>
      <c r="F3567" s="1" t="str">
        <f>TEXT(Table1[[#This Row],[order_date]],"dddd")</f>
        <v>Saturday</v>
      </c>
      <c r="G3567">
        <f>HOUR(Table1[[#This Row],[order_time]])</f>
        <v>15</v>
      </c>
      <c r="H3567" s="2">
        <v>0.65773148148148153</v>
      </c>
      <c r="I3567" t="s">
        <v>16</v>
      </c>
      <c r="J3567" t="s">
        <v>24</v>
      </c>
      <c r="K3567">
        <v>2</v>
      </c>
      <c r="L3567">
        <v>35</v>
      </c>
      <c r="M3567">
        <v>70</v>
      </c>
      <c r="N3567">
        <f>IF(COUNTIFS($B$2:B3567,B3567)=1,1,0)</f>
        <v>0</v>
      </c>
    </row>
    <row r="3568" spans="1:14" x14ac:dyDescent="0.2">
      <c r="A3568">
        <v>3567</v>
      </c>
      <c r="B3568">
        <v>2802</v>
      </c>
      <c r="C3568">
        <f>1/COUNTIF(B:B,Table1[[#This Row],[order_id]])</f>
        <v>0.33333333333333331</v>
      </c>
      <c r="D3568" t="str">
        <f>TEXT(Table1[[#This Row],[order_date]],"mmmm")</f>
        <v>October</v>
      </c>
      <c r="E3568" s="1">
        <v>45570</v>
      </c>
      <c r="F3568" s="1" t="str">
        <f>TEXT(Table1[[#This Row],[order_date]],"dddd")</f>
        <v>Saturday</v>
      </c>
      <c r="G3568">
        <f>HOUR(Table1[[#This Row],[order_time]])</f>
        <v>14</v>
      </c>
      <c r="H3568" s="2">
        <v>0.58609953703703699</v>
      </c>
      <c r="I3568" t="s">
        <v>18</v>
      </c>
      <c r="J3568" t="s">
        <v>31</v>
      </c>
      <c r="K3568">
        <v>4</v>
      </c>
      <c r="L3568">
        <v>45</v>
      </c>
      <c r="M3568">
        <v>180</v>
      </c>
      <c r="N3568">
        <f>IF(COUNTIFS($B$2:B3568,B3568)=1,1,0)</f>
        <v>0</v>
      </c>
    </row>
    <row r="3569" spans="1:14" x14ac:dyDescent="0.2">
      <c r="A3569">
        <v>3568</v>
      </c>
      <c r="B3569">
        <v>2803</v>
      </c>
      <c r="C3569">
        <f>1/COUNTIF(B:B,Table1[[#This Row],[order_id]])</f>
        <v>0.5</v>
      </c>
      <c r="D3569" t="str">
        <f>TEXT(Table1[[#This Row],[order_date]],"mmmm")</f>
        <v>October</v>
      </c>
      <c r="E3569" s="1">
        <v>45570</v>
      </c>
      <c r="F3569" s="1" t="str">
        <f>TEXT(Table1[[#This Row],[order_date]],"dddd")</f>
        <v>Saturday</v>
      </c>
      <c r="G3569">
        <f>HOUR(Table1[[#This Row],[order_time]])</f>
        <v>20</v>
      </c>
      <c r="H3569" s="2">
        <v>0.8563425925925926</v>
      </c>
      <c r="I3569" t="s">
        <v>11</v>
      </c>
      <c r="J3569" t="s">
        <v>12</v>
      </c>
      <c r="K3569">
        <v>2</v>
      </c>
      <c r="L3569">
        <v>650</v>
      </c>
      <c r="M3569">
        <v>1300</v>
      </c>
      <c r="N3569">
        <f>IF(COUNTIFS($B$2:B3569,B3569)=1,1,0)</f>
        <v>1</v>
      </c>
    </row>
    <row r="3570" spans="1:14" x14ac:dyDescent="0.2">
      <c r="A3570">
        <v>3569</v>
      </c>
      <c r="B3570">
        <v>2803</v>
      </c>
      <c r="C3570">
        <f>1/COUNTIF(B:B,Table1[[#This Row],[order_id]])</f>
        <v>0.5</v>
      </c>
      <c r="D3570" t="str">
        <f>TEXT(Table1[[#This Row],[order_date]],"mmmm")</f>
        <v>October</v>
      </c>
      <c r="E3570" s="1">
        <v>45570</v>
      </c>
      <c r="F3570" s="1" t="str">
        <f>TEXT(Table1[[#This Row],[order_date]],"dddd")</f>
        <v>Saturday</v>
      </c>
      <c r="G3570">
        <f>HOUR(Table1[[#This Row],[order_time]])</f>
        <v>19</v>
      </c>
      <c r="H3570" s="2">
        <v>0.82328703703703698</v>
      </c>
      <c r="I3570" t="s">
        <v>11</v>
      </c>
      <c r="J3570" t="s">
        <v>25</v>
      </c>
      <c r="K3570">
        <v>3</v>
      </c>
      <c r="L3570">
        <v>1000</v>
      </c>
      <c r="M3570">
        <v>3000</v>
      </c>
      <c r="N3570">
        <f>IF(COUNTIFS($B$2:B3570,B3570)=1,1,0)</f>
        <v>0</v>
      </c>
    </row>
    <row r="3571" spans="1:14" x14ac:dyDescent="0.2">
      <c r="A3571">
        <v>3570</v>
      </c>
      <c r="B3571">
        <v>2804</v>
      </c>
      <c r="C3571">
        <f>1/COUNTIF(B:B,Table1[[#This Row],[order_id]])</f>
        <v>1</v>
      </c>
      <c r="D3571" t="str">
        <f>TEXT(Table1[[#This Row],[order_date]],"mmmm")</f>
        <v>October</v>
      </c>
      <c r="E3571" s="1">
        <v>45570</v>
      </c>
      <c r="F3571" s="1" t="str">
        <f>TEXT(Table1[[#This Row],[order_date]],"dddd")</f>
        <v>Saturday</v>
      </c>
      <c r="G3571">
        <f>HOUR(Table1[[#This Row],[order_time]])</f>
        <v>15</v>
      </c>
      <c r="H3571" s="2">
        <v>0.65251157407407412</v>
      </c>
      <c r="I3571" t="s">
        <v>18</v>
      </c>
      <c r="J3571" t="s">
        <v>30</v>
      </c>
      <c r="K3571">
        <v>4</v>
      </c>
      <c r="L3571">
        <v>60</v>
      </c>
      <c r="M3571">
        <v>240</v>
      </c>
      <c r="N3571">
        <f>IF(COUNTIFS($B$2:B3571,B3571)=1,1,0)</f>
        <v>1</v>
      </c>
    </row>
    <row r="3572" spans="1:14" x14ac:dyDescent="0.2">
      <c r="A3572">
        <v>3571</v>
      </c>
      <c r="B3572">
        <v>2805</v>
      </c>
      <c r="C3572">
        <f>1/COUNTIF(B:B,Table1[[#This Row],[order_id]])</f>
        <v>0.33333333333333331</v>
      </c>
      <c r="D3572" t="str">
        <f>TEXT(Table1[[#This Row],[order_date]],"mmmm")</f>
        <v>October</v>
      </c>
      <c r="E3572" s="1">
        <v>45570</v>
      </c>
      <c r="F3572" s="1" t="str">
        <f>TEXT(Table1[[#This Row],[order_date]],"dddd")</f>
        <v>Saturday</v>
      </c>
      <c r="G3572">
        <f>HOUR(Table1[[#This Row],[order_time]])</f>
        <v>12</v>
      </c>
      <c r="H3572" s="2">
        <v>0.52673611111111107</v>
      </c>
      <c r="I3572" t="s">
        <v>11</v>
      </c>
      <c r="J3572" t="s">
        <v>25</v>
      </c>
      <c r="K3572">
        <v>5</v>
      </c>
      <c r="L3572">
        <v>1000</v>
      </c>
      <c r="M3572">
        <v>5000</v>
      </c>
      <c r="N3572">
        <f>IF(COUNTIFS($B$2:B3572,B3572)=1,1,0)</f>
        <v>1</v>
      </c>
    </row>
    <row r="3573" spans="1:14" x14ac:dyDescent="0.2">
      <c r="A3573">
        <v>3572</v>
      </c>
      <c r="B3573">
        <v>2805</v>
      </c>
      <c r="C3573">
        <f>1/COUNTIF(B:B,Table1[[#This Row],[order_id]])</f>
        <v>0.33333333333333331</v>
      </c>
      <c r="D3573" t="str">
        <f>TEXT(Table1[[#This Row],[order_date]],"mmmm")</f>
        <v>October</v>
      </c>
      <c r="E3573" s="1">
        <v>45570</v>
      </c>
      <c r="F3573" s="1" t="str">
        <f>TEXT(Table1[[#This Row],[order_date]],"dddd")</f>
        <v>Saturday</v>
      </c>
      <c r="G3573">
        <f>HOUR(Table1[[#This Row],[order_time]])</f>
        <v>9</v>
      </c>
      <c r="H3573" s="2">
        <v>0.39905092592592595</v>
      </c>
      <c r="I3573" t="s">
        <v>18</v>
      </c>
      <c r="J3573" t="s">
        <v>30</v>
      </c>
      <c r="K3573">
        <v>1</v>
      </c>
      <c r="L3573">
        <v>60</v>
      </c>
      <c r="M3573">
        <v>60</v>
      </c>
      <c r="N3573">
        <f>IF(COUNTIFS($B$2:B3573,B3573)=1,1,0)</f>
        <v>0</v>
      </c>
    </row>
    <row r="3574" spans="1:14" x14ac:dyDescent="0.2">
      <c r="A3574">
        <v>3573</v>
      </c>
      <c r="B3574">
        <v>2805</v>
      </c>
      <c r="C3574">
        <f>1/COUNTIF(B:B,Table1[[#This Row],[order_id]])</f>
        <v>0.33333333333333331</v>
      </c>
      <c r="D3574" t="str">
        <f>TEXT(Table1[[#This Row],[order_date]],"mmmm")</f>
        <v>October</v>
      </c>
      <c r="E3574" s="1">
        <v>45570</v>
      </c>
      <c r="F3574" s="1" t="str">
        <f>TEXT(Table1[[#This Row],[order_date]],"dddd")</f>
        <v>Saturday</v>
      </c>
      <c r="G3574">
        <f>HOUR(Table1[[#This Row],[order_time]])</f>
        <v>10</v>
      </c>
      <c r="H3574" s="2">
        <v>0.43692129629629628</v>
      </c>
      <c r="I3574" t="s">
        <v>16</v>
      </c>
      <c r="J3574" t="s">
        <v>24</v>
      </c>
      <c r="K3574">
        <v>3</v>
      </c>
      <c r="L3574">
        <v>35</v>
      </c>
      <c r="M3574">
        <v>105</v>
      </c>
      <c r="N3574">
        <f>IF(COUNTIFS($B$2:B3574,B3574)=1,1,0)</f>
        <v>0</v>
      </c>
    </row>
    <row r="3575" spans="1:14" x14ac:dyDescent="0.2">
      <c r="A3575">
        <v>3574</v>
      </c>
      <c r="B3575">
        <v>2806</v>
      </c>
      <c r="C3575">
        <f>1/COUNTIF(B:B,Table1[[#This Row],[order_id]])</f>
        <v>0.33333333333333331</v>
      </c>
      <c r="D3575" t="str">
        <f>TEXT(Table1[[#This Row],[order_date]],"mmmm")</f>
        <v>October</v>
      </c>
      <c r="E3575" s="1">
        <v>45570</v>
      </c>
      <c r="F3575" s="1" t="str">
        <f>TEXT(Table1[[#This Row],[order_date]],"dddd")</f>
        <v>Saturday</v>
      </c>
      <c r="G3575">
        <f>HOUR(Table1[[#This Row],[order_time]])</f>
        <v>17</v>
      </c>
      <c r="H3575" s="2">
        <v>0.73359953703703706</v>
      </c>
      <c r="I3575" t="s">
        <v>11</v>
      </c>
      <c r="J3575" t="s">
        <v>14</v>
      </c>
      <c r="K3575">
        <v>1</v>
      </c>
      <c r="L3575">
        <v>700</v>
      </c>
      <c r="M3575">
        <v>700</v>
      </c>
      <c r="N3575">
        <f>IF(COUNTIFS($B$2:B3575,B3575)=1,1,0)</f>
        <v>1</v>
      </c>
    </row>
    <row r="3576" spans="1:14" x14ac:dyDescent="0.2">
      <c r="A3576">
        <v>3575</v>
      </c>
      <c r="B3576">
        <v>2806</v>
      </c>
      <c r="C3576">
        <f>1/COUNTIF(B:B,Table1[[#This Row],[order_id]])</f>
        <v>0.33333333333333331</v>
      </c>
      <c r="D3576" t="str">
        <f>TEXT(Table1[[#This Row],[order_date]],"mmmm")</f>
        <v>October</v>
      </c>
      <c r="E3576" s="1">
        <v>45570</v>
      </c>
      <c r="F3576" s="1" t="str">
        <f>TEXT(Table1[[#This Row],[order_date]],"dddd")</f>
        <v>Saturday</v>
      </c>
      <c r="G3576">
        <f>HOUR(Table1[[#This Row],[order_time]])</f>
        <v>13</v>
      </c>
      <c r="H3576" s="2">
        <v>0.55708333333333337</v>
      </c>
      <c r="I3576" t="s">
        <v>11</v>
      </c>
      <c r="J3576" t="s">
        <v>12</v>
      </c>
      <c r="K3576">
        <v>5</v>
      </c>
      <c r="L3576">
        <v>650</v>
      </c>
      <c r="M3576">
        <v>3250</v>
      </c>
      <c r="N3576">
        <f>IF(COUNTIFS($B$2:B3576,B3576)=1,1,0)</f>
        <v>0</v>
      </c>
    </row>
    <row r="3577" spans="1:14" x14ac:dyDescent="0.2">
      <c r="A3577">
        <v>3576</v>
      </c>
      <c r="B3577">
        <v>2806</v>
      </c>
      <c r="C3577">
        <f>1/COUNTIF(B:B,Table1[[#This Row],[order_id]])</f>
        <v>0.33333333333333331</v>
      </c>
      <c r="D3577" t="str">
        <f>TEXT(Table1[[#This Row],[order_date]],"mmmm")</f>
        <v>October</v>
      </c>
      <c r="E3577" s="1">
        <v>45570</v>
      </c>
      <c r="F3577" s="1" t="str">
        <f>TEXT(Table1[[#This Row],[order_date]],"dddd")</f>
        <v>Saturday</v>
      </c>
      <c r="G3577">
        <f>HOUR(Table1[[#This Row],[order_time]])</f>
        <v>12</v>
      </c>
      <c r="H3577" s="2">
        <v>0.53675925925925927</v>
      </c>
      <c r="I3577" t="s">
        <v>11</v>
      </c>
      <c r="J3577" t="s">
        <v>14</v>
      </c>
      <c r="K3577">
        <v>2</v>
      </c>
      <c r="L3577">
        <v>700</v>
      </c>
      <c r="M3577">
        <v>1400</v>
      </c>
      <c r="N3577">
        <f>IF(COUNTIFS($B$2:B3577,B3577)=1,1,0)</f>
        <v>0</v>
      </c>
    </row>
    <row r="3578" spans="1:14" x14ac:dyDescent="0.2">
      <c r="A3578">
        <v>3577</v>
      </c>
      <c r="B3578">
        <v>2807</v>
      </c>
      <c r="C3578">
        <f>1/COUNTIF(B:B,Table1[[#This Row],[order_id]])</f>
        <v>0.33333333333333331</v>
      </c>
      <c r="D3578" t="str">
        <f>TEXT(Table1[[#This Row],[order_date]],"mmmm")</f>
        <v>October</v>
      </c>
      <c r="E3578" s="1">
        <v>45570</v>
      </c>
      <c r="F3578" s="1" t="str">
        <f>TEXT(Table1[[#This Row],[order_date]],"dddd")</f>
        <v>Saturday</v>
      </c>
      <c r="G3578">
        <f>HOUR(Table1[[#This Row],[order_time]])</f>
        <v>13</v>
      </c>
      <c r="H3578" s="2">
        <v>0.56035879629629626</v>
      </c>
      <c r="I3578" t="s">
        <v>11</v>
      </c>
      <c r="J3578" t="s">
        <v>12</v>
      </c>
      <c r="K3578">
        <v>1</v>
      </c>
      <c r="L3578">
        <v>650</v>
      </c>
      <c r="M3578">
        <v>650</v>
      </c>
      <c r="N3578">
        <f>IF(COUNTIFS($B$2:B3578,B3578)=1,1,0)</f>
        <v>1</v>
      </c>
    </row>
    <row r="3579" spans="1:14" x14ac:dyDescent="0.2">
      <c r="A3579">
        <v>3578</v>
      </c>
      <c r="B3579">
        <v>2807</v>
      </c>
      <c r="C3579">
        <f>1/COUNTIF(B:B,Table1[[#This Row],[order_id]])</f>
        <v>0.33333333333333331</v>
      </c>
      <c r="D3579" t="str">
        <f>TEXT(Table1[[#This Row],[order_date]],"mmmm")</f>
        <v>October</v>
      </c>
      <c r="E3579" s="1">
        <v>45570</v>
      </c>
      <c r="F3579" s="1" t="str">
        <f>TEXT(Table1[[#This Row],[order_date]],"dddd")</f>
        <v>Saturday</v>
      </c>
      <c r="G3579">
        <f>HOUR(Table1[[#This Row],[order_time]])</f>
        <v>9</v>
      </c>
      <c r="H3579" s="2">
        <v>0.40721064814814817</v>
      </c>
      <c r="I3579" t="s">
        <v>9</v>
      </c>
      <c r="J3579" t="s">
        <v>29</v>
      </c>
      <c r="K3579">
        <v>1</v>
      </c>
      <c r="L3579">
        <v>5</v>
      </c>
      <c r="M3579">
        <v>5</v>
      </c>
      <c r="N3579">
        <f>IF(COUNTIFS($B$2:B3579,B3579)=1,1,0)</f>
        <v>0</v>
      </c>
    </row>
    <row r="3580" spans="1:14" x14ac:dyDescent="0.2">
      <c r="A3580">
        <v>3579</v>
      </c>
      <c r="B3580">
        <v>2807</v>
      </c>
      <c r="C3580">
        <f>1/COUNTIF(B:B,Table1[[#This Row],[order_id]])</f>
        <v>0.33333333333333331</v>
      </c>
      <c r="D3580" t="str">
        <f>TEXT(Table1[[#This Row],[order_date]],"mmmm")</f>
        <v>October</v>
      </c>
      <c r="E3580" s="1">
        <v>45570</v>
      </c>
      <c r="F3580" s="1" t="str">
        <f>TEXT(Table1[[#This Row],[order_date]],"dddd")</f>
        <v>Saturday</v>
      </c>
      <c r="G3580">
        <f>HOUR(Table1[[#This Row],[order_time]])</f>
        <v>20</v>
      </c>
      <c r="H3580" s="2">
        <v>0.85887731481481477</v>
      </c>
      <c r="I3580" t="s">
        <v>11</v>
      </c>
      <c r="J3580" t="s">
        <v>25</v>
      </c>
      <c r="K3580">
        <v>4</v>
      </c>
      <c r="L3580">
        <v>1000</v>
      </c>
      <c r="M3580">
        <v>4000</v>
      </c>
      <c r="N3580">
        <f>IF(COUNTIFS($B$2:B3580,B3580)=1,1,0)</f>
        <v>0</v>
      </c>
    </row>
    <row r="3581" spans="1:14" x14ac:dyDescent="0.2">
      <c r="A3581">
        <v>3580</v>
      </c>
      <c r="B3581">
        <v>2808</v>
      </c>
      <c r="C3581">
        <f>1/COUNTIF(B:B,Table1[[#This Row],[order_id]])</f>
        <v>0.33333333333333331</v>
      </c>
      <c r="D3581" t="str">
        <f>TEXT(Table1[[#This Row],[order_date]],"mmmm")</f>
        <v>October</v>
      </c>
      <c r="E3581" s="1">
        <v>45570</v>
      </c>
      <c r="F3581" s="1" t="str">
        <f>TEXT(Table1[[#This Row],[order_date]],"dddd")</f>
        <v>Saturday</v>
      </c>
      <c r="G3581">
        <f>HOUR(Table1[[#This Row],[order_time]])</f>
        <v>20</v>
      </c>
      <c r="H3581" s="2">
        <v>0.84432870370370372</v>
      </c>
      <c r="I3581" t="s">
        <v>11</v>
      </c>
      <c r="J3581" t="s">
        <v>12</v>
      </c>
      <c r="K3581">
        <v>2</v>
      </c>
      <c r="L3581">
        <v>650</v>
      </c>
      <c r="M3581">
        <v>1300</v>
      </c>
      <c r="N3581">
        <f>IF(COUNTIFS($B$2:B3581,B3581)=1,1,0)</f>
        <v>1</v>
      </c>
    </row>
    <row r="3582" spans="1:14" x14ac:dyDescent="0.2">
      <c r="A3582">
        <v>3581</v>
      </c>
      <c r="B3582">
        <v>2808</v>
      </c>
      <c r="C3582">
        <f>1/COUNTIF(B:B,Table1[[#This Row],[order_id]])</f>
        <v>0.33333333333333331</v>
      </c>
      <c r="D3582" t="str">
        <f>TEXT(Table1[[#This Row],[order_date]],"mmmm")</f>
        <v>October</v>
      </c>
      <c r="E3582" s="1">
        <v>45570</v>
      </c>
      <c r="F3582" s="1" t="str">
        <f>TEXT(Table1[[#This Row],[order_date]],"dddd")</f>
        <v>Saturday</v>
      </c>
      <c r="G3582">
        <f>HOUR(Table1[[#This Row],[order_time]])</f>
        <v>11</v>
      </c>
      <c r="H3582" s="2">
        <v>0.47164351851851855</v>
      </c>
      <c r="I3582" t="s">
        <v>11</v>
      </c>
      <c r="J3582" t="s">
        <v>15</v>
      </c>
      <c r="K3582">
        <v>2</v>
      </c>
      <c r="L3582">
        <v>600</v>
      </c>
      <c r="M3582">
        <v>1200</v>
      </c>
      <c r="N3582">
        <f>IF(COUNTIFS($B$2:B3582,B3582)=1,1,0)</f>
        <v>0</v>
      </c>
    </row>
    <row r="3583" spans="1:14" x14ac:dyDescent="0.2">
      <c r="A3583">
        <v>3582</v>
      </c>
      <c r="B3583">
        <v>2808</v>
      </c>
      <c r="C3583">
        <f>1/COUNTIF(B:B,Table1[[#This Row],[order_id]])</f>
        <v>0.33333333333333331</v>
      </c>
      <c r="D3583" t="str">
        <f>TEXT(Table1[[#This Row],[order_date]],"mmmm")</f>
        <v>October</v>
      </c>
      <c r="E3583" s="1">
        <v>45570</v>
      </c>
      <c r="F3583" s="1" t="str">
        <f>TEXT(Table1[[#This Row],[order_date]],"dddd")</f>
        <v>Saturday</v>
      </c>
      <c r="G3583">
        <f>HOUR(Table1[[#This Row],[order_time]])</f>
        <v>18</v>
      </c>
      <c r="H3583" s="2">
        <v>0.78233796296296299</v>
      </c>
      <c r="I3583" t="s">
        <v>16</v>
      </c>
      <c r="J3583" t="s">
        <v>28</v>
      </c>
      <c r="K3583">
        <v>5</v>
      </c>
      <c r="L3583">
        <v>25</v>
      </c>
      <c r="M3583">
        <v>125</v>
      </c>
      <c r="N3583">
        <f>IF(COUNTIFS($B$2:B3583,B3583)=1,1,0)</f>
        <v>0</v>
      </c>
    </row>
    <row r="3584" spans="1:14" x14ac:dyDescent="0.2">
      <c r="A3584">
        <v>3583</v>
      </c>
      <c r="B3584">
        <v>2809</v>
      </c>
      <c r="C3584">
        <f>1/COUNTIF(B:B,Table1[[#This Row],[order_id]])</f>
        <v>0.33333333333333331</v>
      </c>
      <c r="D3584" t="str">
        <f>TEXT(Table1[[#This Row],[order_date]],"mmmm")</f>
        <v>October</v>
      </c>
      <c r="E3584" s="1">
        <v>45570</v>
      </c>
      <c r="F3584" s="1" t="str">
        <f>TEXT(Table1[[#This Row],[order_date]],"dddd")</f>
        <v>Saturday</v>
      </c>
      <c r="G3584">
        <f>HOUR(Table1[[#This Row],[order_time]])</f>
        <v>10</v>
      </c>
      <c r="H3584" s="2">
        <v>0.44400462962962961</v>
      </c>
      <c r="I3584" t="s">
        <v>18</v>
      </c>
      <c r="J3584" t="s">
        <v>27</v>
      </c>
      <c r="K3584">
        <v>3</v>
      </c>
      <c r="L3584">
        <v>40</v>
      </c>
      <c r="M3584">
        <v>120</v>
      </c>
      <c r="N3584">
        <f>IF(COUNTIFS($B$2:B3584,B3584)=1,1,0)</f>
        <v>1</v>
      </c>
    </row>
    <row r="3585" spans="1:14" x14ac:dyDescent="0.2">
      <c r="A3585">
        <v>3584</v>
      </c>
      <c r="B3585">
        <v>2809</v>
      </c>
      <c r="C3585">
        <f>1/COUNTIF(B:B,Table1[[#This Row],[order_id]])</f>
        <v>0.33333333333333331</v>
      </c>
      <c r="D3585" t="str">
        <f>TEXT(Table1[[#This Row],[order_date]],"mmmm")</f>
        <v>October</v>
      </c>
      <c r="E3585" s="1">
        <v>45570</v>
      </c>
      <c r="F3585" s="1" t="str">
        <f>TEXT(Table1[[#This Row],[order_date]],"dddd")</f>
        <v>Saturday</v>
      </c>
      <c r="G3585">
        <f>HOUR(Table1[[#This Row],[order_time]])</f>
        <v>14</v>
      </c>
      <c r="H3585" s="2">
        <v>0.61444444444444446</v>
      </c>
      <c r="I3585" t="s">
        <v>16</v>
      </c>
      <c r="J3585" t="s">
        <v>17</v>
      </c>
      <c r="K3585">
        <v>3</v>
      </c>
      <c r="L3585">
        <v>20</v>
      </c>
      <c r="M3585">
        <v>60</v>
      </c>
      <c r="N3585">
        <f>IF(COUNTIFS($B$2:B3585,B3585)=1,1,0)</f>
        <v>0</v>
      </c>
    </row>
    <row r="3586" spans="1:14" x14ac:dyDescent="0.2">
      <c r="A3586">
        <v>3585</v>
      </c>
      <c r="B3586">
        <v>2809</v>
      </c>
      <c r="C3586">
        <f>1/COUNTIF(B:B,Table1[[#This Row],[order_id]])</f>
        <v>0.33333333333333331</v>
      </c>
      <c r="D3586" t="str">
        <f>TEXT(Table1[[#This Row],[order_date]],"mmmm")</f>
        <v>October</v>
      </c>
      <c r="E3586" s="1">
        <v>45570</v>
      </c>
      <c r="F3586" s="1" t="str">
        <f>TEXT(Table1[[#This Row],[order_date]],"dddd")</f>
        <v>Saturday</v>
      </c>
      <c r="G3586">
        <f>HOUR(Table1[[#This Row],[order_time]])</f>
        <v>14</v>
      </c>
      <c r="H3586" s="2">
        <v>0.60097222222222224</v>
      </c>
      <c r="I3586" t="s">
        <v>16</v>
      </c>
      <c r="J3586" t="s">
        <v>23</v>
      </c>
      <c r="K3586">
        <v>2</v>
      </c>
      <c r="L3586">
        <v>30</v>
      </c>
      <c r="M3586">
        <v>60</v>
      </c>
      <c r="N3586">
        <f>IF(COUNTIFS($B$2:B3586,B3586)=1,1,0)</f>
        <v>0</v>
      </c>
    </row>
    <row r="3587" spans="1:14" x14ac:dyDescent="0.2">
      <c r="A3587">
        <v>3586</v>
      </c>
      <c r="B3587">
        <v>2810</v>
      </c>
      <c r="C3587">
        <f>1/COUNTIF(B:B,Table1[[#This Row],[order_id]])</f>
        <v>0.33333333333333331</v>
      </c>
      <c r="D3587" t="str">
        <f>TEXT(Table1[[#This Row],[order_date]],"mmmm")</f>
        <v>October</v>
      </c>
      <c r="E3587" s="1">
        <v>45571</v>
      </c>
      <c r="F3587" s="1" t="str">
        <f>TEXT(Table1[[#This Row],[order_date]],"dddd")</f>
        <v>Sunday</v>
      </c>
      <c r="G3587">
        <f>HOUR(Table1[[#This Row],[order_time]])</f>
        <v>20</v>
      </c>
      <c r="H3587" s="2">
        <v>0.86069444444444443</v>
      </c>
      <c r="I3587" t="s">
        <v>16</v>
      </c>
      <c r="J3587" t="s">
        <v>28</v>
      </c>
      <c r="K3587">
        <v>5</v>
      </c>
      <c r="L3587">
        <v>25</v>
      </c>
      <c r="M3587">
        <v>125</v>
      </c>
      <c r="N3587">
        <f>IF(COUNTIFS($B$2:B3587,B3587)=1,1,0)</f>
        <v>1</v>
      </c>
    </row>
    <row r="3588" spans="1:14" x14ac:dyDescent="0.2">
      <c r="A3588">
        <v>3587</v>
      </c>
      <c r="B3588">
        <v>2810</v>
      </c>
      <c r="C3588">
        <f>1/COUNTIF(B:B,Table1[[#This Row],[order_id]])</f>
        <v>0.33333333333333331</v>
      </c>
      <c r="D3588" t="str">
        <f>TEXT(Table1[[#This Row],[order_date]],"mmmm")</f>
        <v>October</v>
      </c>
      <c r="E3588" s="1">
        <v>45571</v>
      </c>
      <c r="F3588" s="1" t="str">
        <f>TEXT(Table1[[#This Row],[order_date]],"dddd")</f>
        <v>Sunday</v>
      </c>
      <c r="G3588">
        <f>HOUR(Table1[[#This Row],[order_time]])</f>
        <v>15</v>
      </c>
      <c r="H3588" s="2">
        <v>0.65462962962962967</v>
      </c>
      <c r="I3588" t="s">
        <v>11</v>
      </c>
      <c r="J3588" t="s">
        <v>15</v>
      </c>
      <c r="K3588">
        <v>4</v>
      </c>
      <c r="L3588">
        <v>600</v>
      </c>
      <c r="M3588">
        <v>2400</v>
      </c>
      <c r="N3588">
        <f>IF(COUNTIFS($B$2:B3588,B3588)=1,1,0)</f>
        <v>0</v>
      </c>
    </row>
    <row r="3589" spans="1:14" x14ac:dyDescent="0.2">
      <c r="A3589">
        <v>3588</v>
      </c>
      <c r="B3589">
        <v>2810</v>
      </c>
      <c r="C3589">
        <f>1/COUNTIF(B:B,Table1[[#This Row],[order_id]])</f>
        <v>0.33333333333333331</v>
      </c>
      <c r="D3589" t="str">
        <f>TEXT(Table1[[#This Row],[order_date]],"mmmm")</f>
        <v>October</v>
      </c>
      <c r="E3589" s="1">
        <v>45571</v>
      </c>
      <c r="F3589" s="1" t="str">
        <f>TEXT(Table1[[#This Row],[order_date]],"dddd")</f>
        <v>Sunday</v>
      </c>
      <c r="G3589">
        <f>HOUR(Table1[[#This Row],[order_time]])</f>
        <v>16</v>
      </c>
      <c r="H3589" s="2">
        <v>0.68655092592592593</v>
      </c>
      <c r="I3589" t="s">
        <v>11</v>
      </c>
      <c r="J3589" t="s">
        <v>13</v>
      </c>
      <c r="K3589">
        <v>1</v>
      </c>
      <c r="L3589">
        <v>680</v>
      </c>
      <c r="M3589">
        <v>680</v>
      </c>
      <c r="N3589">
        <f>IF(COUNTIFS($B$2:B3589,B3589)=1,1,0)</f>
        <v>0</v>
      </c>
    </row>
    <row r="3590" spans="1:14" x14ac:dyDescent="0.2">
      <c r="A3590">
        <v>3589</v>
      </c>
      <c r="B3590">
        <v>2811</v>
      </c>
      <c r="C3590">
        <f>1/COUNTIF(B:B,Table1[[#This Row],[order_id]])</f>
        <v>0.5</v>
      </c>
      <c r="D3590" t="str">
        <f>TEXT(Table1[[#This Row],[order_date]],"mmmm")</f>
        <v>October</v>
      </c>
      <c r="E3590" s="1">
        <v>45571</v>
      </c>
      <c r="F3590" s="1" t="str">
        <f>TEXT(Table1[[#This Row],[order_date]],"dddd")</f>
        <v>Sunday</v>
      </c>
      <c r="G3590">
        <f>HOUR(Table1[[#This Row],[order_time]])</f>
        <v>9</v>
      </c>
      <c r="H3590" s="2">
        <v>0.38342592592592595</v>
      </c>
      <c r="I3590" t="s">
        <v>9</v>
      </c>
      <c r="J3590" t="s">
        <v>22</v>
      </c>
      <c r="K3590">
        <v>1</v>
      </c>
      <c r="L3590">
        <v>15</v>
      </c>
      <c r="M3590">
        <v>15</v>
      </c>
      <c r="N3590">
        <f>IF(COUNTIFS($B$2:B3590,B3590)=1,1,0)</f>
        <v>1</v>
      </c>
    </row>
    <row r="3591" spans="1:14" x14ac:dyDescent="0.2">
      <c r="A3591">
        <v>3590</v>
      </c>
      <c r="B3591">
        <v>2811</v>
      </c>
      <c r="C3591">
        <f>1/COUNTIF(B:B,Table1[[#This Row],[order_id]])</f>
        <v>0.5</v>
      </c>
      <c r="D3591" t="str">
        <f>TEXT(Table1[[#This Row],[order_date]],"mmmm")</f>
        <v>October</v>
      </c>
      <c r="E3591" s="1">
        <v>45571</v>
      </c>
      <c r="F3591" s="1" t="str">
        <f>TEXT(Table1[[#This Row],[order_date]],"dddd")</f>
        <v>Sunday</v>
      </c>
      <c r="G3591">
        <f>HOUR(Table1[[#This Row],[order_time]])</f>
        <v>15</v>
      </c>
      <c r="H3591" s="2">
        <v>0.63368055555555558</v>
      </c>
      <c r="I3591" t="s">
        <v>11</v>
      </c>
      <c r="J3591" t="s">
        <v>25</v>
      </c>
      <c r="K3591">
        <v>4</v>
      </c>
      <c r="L3591">
        <v>1000</v>
      </c>
      <c r="M3591">
        <v>4000</v>
      </c>
      <c r="N3591">
        <f>IF(COUNTIFS($B$2:B3591,B3591)=1,1,0)</f>
        <v>0</v>
      </c>
    </row>
    <row r="3592" spans="1:14" x14ac:dyDescent="0.2">
      <c r="A3592">
        <v>3591</v>
      </c>
      <c r="B3592">
        <v>2812</v>
      </c>
      <c r="C3592">
        <f>1/COUNTIF(B:B,Table1[[#This Row],[order_id]])</f>
        <v>1</v>
      </c>
      <c r="D3592" t="str">
        <f>TEXT(Table1[[#This Row],[order_date]],"mmmm")</f>
        <v>October</v>
      </c>
      <c r="E3592" s="1">
        <v>45571</v>
      </c>
      <c r="F3592" s="1" t="str">
        <f>TEXT(Table1[[#This Row],[order_date]],"dddd")</f>
        <v>Sunday</v>
      </c>
      <c r="G3592">
        <f>HOUR(Table1[[#This Row],[order_time]])</f>
        <v>18</v>
      </c>
      <c r="H3592" s="2">
        <v>0.78163194444444439</v>
      </c>
      <c r="I3592" t="s">
        <v>18</v>
      </c>
      <c r="J3592" t="s">
        <v>26</v>
      </c>
      <c r="K3592">
        <v>4</v>
      </c>
      <c r="L3592">
        <v>55</v>
      </c>
      <c r="M3592">
        <v>220</v>
      </c>
      <c r="N3592">
        <f>IF(COUNTIFS($B$2:B3592,B3592)=1,1,0)</f>
        <v>1</v>
      </c>
    </row>
    <row r="3593" spans="1:14" x14ac:dyDescent="0.2">
      <c r="A3593">
        <v>3592</v>
      </c>
      <c r="B3593">
        <v>2813</v>
      </c>
      <c r="C3593">
        <f>1/COUNTIF(B:B,Table1[[#This Row],[order_id]])</f>
        <v>0.5</v>
      </c>
      <c r="D3593" t="str">
        <f>TEXT(Table1[[#This Row],[order_date]],"mmmm")</f>
        <v>October</v>
      </c>
      <c r="E3593" s="1">
        <v>45571</v>
      </c>
      <c r="F3593" s="1" t="str">
        <f>TEXT(Table1[[#This Row],[order_date]],"dddd")</f>
        <v>Sunday</v>
      </c>
      <c r="G3593">
        <f>HOUR(Table1[[#This Row],[order_time]])</f>
        <v>11</v>
      </c>
      <c r="H3593" s="2">
        <v>0.49843749999999998</v>
      </c>
      <c r="I3593" t="s">
        <v>9</v>
      </c>
      <c r="J3593" t="s">
        <v>21</v>
      </c>
      <c r="K3593">
        <v>1</v>
      </c>
      <c r="L3593">
        <v>10</v>
      </c>
      <c r="M3593">
        <v>10</v>
      </c>
      <c r="N3593">
        <f>IF(COUNTIFS($B$2:B3593,B3593)=1,1,0)</f>
        <v>1</v>
      </c>
    </row>
    <row r="3594" spans="1:14" x14ac:dyDescent="0.2">
      <c r="A3594">
        <v>3593</v>
      </c>
      <c r="B3594">
        <v>2813</v>
      </c>
      <c r="C3594">
        <f>1/COUNTIF(B:B,Table1[[#This Row],[order_id]])</f>
        <v>0.5</v>
      </c>
      <c r="D3594" t="str">
        <f>TEXT(Table1[[#This Row],[order_date]],"mmmm")</f>
        <v>October</v>
      </c>
      <c r="E3594" s="1">
        <v>45571</v>
      </c>
      <c r="F3594" s="1" t="str">
        <f>TEXT(Table1[[#This Row],[order_date]],"dddd")</f>
        <v>Sunday</v>
      </c>
      <c r="G3594">
        <f>HOUR(Table1[[#This Row],[order_time]])</f>
        <v>10</v>
      </c>
      <c r="H3594" s="2">
        <v>0.45798611111111109</v>
      </c>
      <c r="I3594" t="s">
        <v>16</v>
      </c>
      <c r="J3594" t="s">
        <v>24</v>
      </c>
      <c r="K3594">
        <v>4</v>
      </c>
      <c r="L3594">
        <v>35</v>
      </c>
      <c r="M3594">
        <v>140</v>
      </c>
      <c r="N3594">
        <f>IF(COUNTIFS($B$2:B3594,B3594)=1,1,0)</f>
        <v>0</v>
      </c>
    </row>
    <row r="3595" spans="1:14" x14ac:dyDescent="0.2">
      <c r="A3595">
        <v>3594</v>
      </c>
      <c r="B3595">
        <v>2814</v>
      </c>
      <c r="C3595">
        <f>1/COUNTIF(B:B,Table1[[#This Row],[order_id]])</f>
        <v>0.33333333333333331</v>
      </c>
      <c r="D3595" t="str">
        <f>TEXT(Table1[[#This Row],[order_date]],"mmmm")</f>
        <v>October</v>
      </c>
      <c r="E3595" s="1">
        <v>45572</v>
      </c>
      <c r="F3595" s="1" t="str">
        <f>TEXT(Table1[[#This Row],[order_date]],"dddd")</f>
        <v>Monday</v>
      </c>
      <c r="G3595">
        <f>HOUR(Table1[[#This Row],[order_time]])</f>
        <v>16</v>
      </c>
      <c r="H3595" s="2">
        <v>0.69341435185185185</v>
      </c>
      <c r="I3595" t="s">
        <v>18</v>
      </c>
      <c r="J3595" t="s">
        <v>19</v>
      </c>
      <c r="K3595">
        <v>2</v>
      </c>
      <c r="L3595">
        <v>50</v>
      </c>
      <c r="M3595">
        <v>100</v>
      </c>
      <c r="N3595">
        <f>IF(COUNTIFS($B$2:B3595,B3595)=1,1,0)</f>
        <v>1</v>
      </c>
    </row>
    <row r="3596" spans="1:14" x14ac:dyDescent="0.2">
      <c r="A3596">
        <v>3595</v>
      </c>
      <c r="B3596">
        <v>2814</v>
      </c>
      <c r="C3596">
        <f>1/COUNTIF(B:B,Table1[[#This Row],[order_id]])</f>
        <v>0.33333333333333331</v>
      </c>
      <c r="D3596" t="str">
        <f>TEXT(Table1[[#This Row],[order_date]],"mmmm")</f>
        <v>October</v>
      </c>
      <c r="E3596" s="1">
        <v>45572</v>
      </c>
      <c r="F3596" s="1" t="str">
        <f>TEXT(Table1[[#This Row],[order_date]],"dddd")</f>
        <v>Monday</v>
      </c>
      <c r="G3596">
        <f>HOUR(Table1[[#This Row],[order_time]])</f>
        <v>11</v>
      </c>
      <c r="H3596" s="2">
        <v>0.48645833333333333</v>
      </c>
      <c r="I3596" t="s">
        <v>9</v>
      </c>
      <c r="J3596" t="s">
        <v>22</v>
      </c>
      <c r="K3596">
        <v>1</v>
      </c>
      <c r="L3596">
        <v>15</v>
      </c>
      <c r="M3596">
        <v>15</v>
      </c>
      <c r="N3596">
        <f>IF(COUNTIFS($B$2:B3596,B3596)=1,1,0)</f>
        <v>0</v>
      </c>
    </row>
    <row r="3597" spans="1:14" x14ac:dyDescent="0.2">
      <c r="A3597">
        <v>3596</v>
      </c>
      <c r="B3597">
        <v>2814</v>
      </c>
      <c r="C3597">
        <f>1/COUNTIF(B:B,Table1[[#This Row],[order_id]])</f>
        <v>0.33333333333333331</v>
      </c>
      <c r="D3597" t="str">
        <f>TEXT(Table1[[#This Row],[order_date]],"mmmm")</f>
        <v>October</v>
      </c>
      <c r="E3597" s="1">
        <v>45572</v>
      </c>
      <c r="F3597" s="1" t="str">
        <f>TEXT(Table1[[#This Row],[order_date]],"dddd")</f>
        <v>Monday</v>
      </c>
      <c r="G3597">
        <f>HOUR(Table1[[#This Row],[order_time]])</f>
        <v>12</v>
      </c>
      <c r="H3597" s="2">
        <v>0.53886574074074078</v>
      </c>
      <c r="I3597" t="s">
        <v>9</v>
      </c>
      <c r="J3597" t="s">
        <v>10</v>
      </c>
      <c r="K3597">
        <v>1</v>
      </c>
      <c r="L3597">
        <v>20</v>
      </c>
      <c r="M3597">
        <v>20</v>
      </c>
      <c r="N3597">
        <f>IF(COUNTIFS($B$2:B3597,B3597)=1,1,0)</f>
        <v>0</v>
      </c>
    </row>
    <row r="3598" spans="1:14" x14ac:dyDescent="0.2">
      <c r="A3598">
        <v>3597</v>
      </c>
      <c r="B3598">
        <v>2815</v>
      </c>
      <c r="C3598">
        <f>1/COUNTIF(B:B,Table1[[#This Row],[order_id]])</f>
        <v>1</v>
      </c>
      <c r="D3598" t="str">
        <f>TEXT(Table1[[#This Row],[order_date]],"mmmm")</f>
        <v>October</v>
      </c>
      <c r="E3598" s="1">
        <v>45572</v>
      </c>
      <c r="F3598" s="1" t="str">
        <f>TEXT(Table1[[#This Row],[order_date]],"dddd")</f>
        <v>Monday</v>
      </c>
      <c r="G3598">
        <f>HOUR(Table1[[#This Row],[order_time]])</f>
        <v>9</v>
      </c>
      <c r="H3598" s="2">
        <v>0.37886574074074075</v>
      </c>
      <c r="I3598" t="s">
        <v>18</v>
      </c>
      <c r="J3598" t="s">
        <v>27</v>
      </c>
      <c r="K3598">
        <v>5</v>
      </c>
      <c r="L3598">
        <v>40</v>
      </c>
      <c r="M3598">
        <v>200</v>
      </c>
      <c r="N3598">
        <f>IF(COUNTIFS($B$2:B3598,B3598)=1,1,0)</f>
        <v>1</v>
      </c>
    </row>
    <row r="3599" spans="1:14" x14ac:dyDescent="0.2">
      <c r="A3599">
        <v>3598</v>
      </c>
      <c r="B3599">
        <v>2816</v>
      </c>
      <c r="C3599">
        <f>1/COUNTIF(B:B,Table1[[#This Row],[order_id]])</f>
        <v>0.5</v>
      </c>
      <c r="D3599" t="str">
        <f>TEXT(Table1[[#This Row],[order_date]],"mmmm")</f>
        <v>October</v>
      </c>
      <c r="E3599" s="1">
        <v>45572</v>
      </c>
      <c r="F3599" s="1" t="str">
        <f>TEXT(Table1[[#This Row],[order_date]],"dddd")</f>
        <v>Monday</v>
      </c>
      <c r="G3599">
        <f>HOUR(Table1[[#This Row],[order_time]])</f>
        <v>16</v>
      </c>
      <c r="H3599" s="2">
        <v>0.6839467592592593</v>
      </c>
      <c r="I3599" t="s">
        <v>18</v>
      </c>
      <c r="J3599" t="s">
        <v>27</v>
      </c>
      <c r="K3599">
        <v>2</v>
      </c>
      <c r="L3599">
        <v>40</v>
      </c>
      <c r="M3599">
        <v>80</v>
      </c>
      <c r="N3599">
        <f>IF(COUNTIFS($B$2:B3599,B3599)=1,1,0)</f>
        <v>1</v>
      </c>
    </row>
    <row r="3600" spans="1:14" x14ac:dyDescent="0.2">
      <c r="A3600">
        <v>3599</v>
      </c>
      <c r="B3600">
        <v>2816</v>
      </c>
      <c r="C3600">
        <f>1/COUNTIF(B:B,Table1[[#This Row],[order_id]])</f>
        <v>0.5</v>
      </c>
      <c r="D3600" t="str">
        <f>TEXT(Table1[[#This Row],[order_date]],"mmmm")</f>
        <v>October</v>
      </c>
      <c r="E3600" s="1">
        <v>45572</v>
      </c>
      <c r="F3600" s="1" t="str">
        <f>TEXT(Table1[[#This Row],[order_date]],"dddd")</f>
        <v>Monday</v>
      </c>
      <c r="G3600">
        <f>HOUR(Table1[[#This Row],[order_time]])</f>
        <v>11</v>
      </c>
      <c r="H3600" s="2">
        <v>0.46081018518518518</v>
      </c>
      <c r="I3600" t="s">
        <v>18</v>
      </c>
      <c r="J3600" t="s">
        <v>27</v>
      </c>
      <c r="K3600">
        <v>3</v>
      </c>
      <c r="L3600">
        <v>40</v>
      </c>
      <c r="M3600">
        <v>120</v>
      </c>
      <c r="N3600">
        <f>IF(COUNTIFS($B$2:B3600,B3600)=1,1,0)</f>
        <v>0</v>
      </c>
    </row>
    <row r="3601" spans="1:14" x14ac:dyDescent="0.2">
      <c r="A3601">
        <v>3600</v>
      </c>
      <c r="B3601">
        <v>2817</v>
      </c>
      <c r="C3601">
        <f>1/COUNTIF(B:B,Table1[[#This Row],[order_id]])</f>
        <v>0.33333333333333331</v>
      </c>
      <c r="D3601" t="str">
        <f>TEXT(Table1[[#This Row],[order_date]],"mmmm")</f>
        <v>October</v>
      </c>
      <c r="E3601" s="1">
        <v>45572</v>
      </c>
      <c r="F3601" s="1" t="str">
        <f>TEXT(Table1[[#This Row],[order_date]],"dddd")</f>
        <v>Monday</v>
      </c>
      <c r="G3601">
        <f>HOUR(Table1[[#This Row],[order_time]])</f>
        <v>11</v>
      </c>
      <c r="H3601" s="2">
        <v>0.46295138888888887</v>
      </c>
      <c r="I3601" t="s">
        <v>16</v>
      </c>
      <c r="J3601" t="s">
        <v>23</v>
      </c>
      <c r="K3601">
        <v>1</v>
      </c>
      <c r="L3601">
        <v>30</v>
      </c>
      <c r="M3601">
        <v>30</v>
      </c>
      <c r="N3601">
        <f>IF(COUNTIFS($B$2:B3601,B3601)=1,1,0)</f>
        <v>1</v>
      </c>
    </row>
    <row r="3602" spans="1:14" x14ac:dyDescent="0.2">
      <c r="A3602">
        <v>3601</v>
      </c>
      <c r="B3602">
        <v>2817</v>
      </c>
      <c r="C3602">
        <f>1/COUNTIF(B:B,Table1[[#This Row],[order_id]])</f>
        <v>0.33333333333333331</v>
      </c>
      <c r="D3602" t="str">
        <f>TEXT(Table1[[#This Row],[order_date]],"mmmm")</f>
        <v>October</v>
      </c>
      <c r="E3602" s="1">
        <v>45572</v>
      </c>
      <c r="F3602" s="1" t="str">
        <f>TEXT(Table1[[#This Row],[order_date]],"dddd")</f>
        <v>Monday</v>
      </c>
      <c r="G3602">
        <f>HOUR(Table1[[#This Row],[order_time]])</f>
        <v>10</v>
      </c>
      <c r="H3602" s="2">
        <v>0.43450231481481483</v>
      </c>
      <c r="I3602" t="s">
        <v>9</v>
      </c>
      <c r="J3602" t="s">
        <v>22</v>
      </c>
      <c r="K3602">
        <v>3</v>
      </c>
      <c r="L3602">
        <v>15</v>
      </c>
      <c r="M3602">
        <v>45</v>
      </c>
      <c r="N3602">
        <f>IF(COUNTIFS($B$2:B3602,B3602)=1,1,0)</f>
        <v>0</v>
      </c>
    </row>
    <row r="3603" spans="1:14" x14ac:dyDescent="0.2">
      <c r="A3603">
        <v>3602</v>
      </c>
      <c r="B3603">
        <v>2817</v>
      </c>
      <c r="C3603">
        <f>1/COUNTIF(B:B,Table1[[#This Row],[order_id]])</f>
        <v>0.33333333333333331</v>
      </c>
      <c r="D3603" t="str">
        <f>TEXT(Table1[[#This Row],[order_date]],"mmmm")</f>
        <v>October</v>
      </c>
      <c r="E3603" s="1">
        <v>45572</v>
      </c>
      <c r="F3603" s="1" t="str">
        <f>TEXT(Table1[[#This Row],[order_date]],"dddd")</f>
        <v>Monday</v>
      </c>
      <c r="G3603">
        <f>HOUR(Table1[[#This Row],[order_time]])</f>
        <v>18</v>
      </c>
      <c r="H3603" s="2">
        <v>0.76869212962962963</v>
      </c>
      <c r="I3603" t="s">
        <v>11</v>
      </c>
      <c r="J3603" t="s">
        <v>14</v>
      </c>
      <c r="K3603">
        <v>4</v>
      </c>
      <c r="L3603">
        <v>700</v>
      </c>
      <c r="M3603">
        <v>2800</v>
      </c>
      <c r="N3603">
        <f>IF(COUNTIFS($B$2:B3603,B3603)=1,1,0)</f>
        <v>0</v>
      </c>
    </row>
    <row r="3604" spans="1:14" x14ac:dyDescent="0.2">
      <c r="A3604">
        <v>3603</v>
      </c>
      <c r="B3604">
        <v>2818</v>
      </c>
      <c r="C3604">
        <f>1/COUNTIF(B:B,Table1[[#This Row],[order_id]])</f>
        <v>0.33333333333333331</v>
      </c>
      <c r="D3604" t="str">
        <f>TEXT(Table1[[#This Row],[order_date]],"mmmm")</f>
        <v>October</v>
      </c>
      <c r="E3604" s="1">
        <v>45572</v>
      </c>
      <c r="F3604" s="1" t="str">
        <f>TEXT(Table1[[#This Row],[order_date]],"dddd")</f>
        <v>Monday</v>
      </c>
      <c r="G3604">
        <f>HOUR(Table1[[#This Row],[order_time]])</f>
        <v>18</v>
      </c>
      <c r="H3604" s="2">
        <v>0.76050925925925927</v>
      </c>
      <c r="I3604" t="s">
        <v>18</v>
      </c>
      <c r="J3604" t="s">
        <v>30</v>
      </c>
      <c r="K3604">
        <v>5</v>
      </c>
      <c r="L3604">
        <v>60</v>
      </c>
      <c r="M3604">
        <v>300</v>
      </c>
      <c r="N3604">
        <f>IF(COUNTIFS($B$2:B3604,B3604)=1,1,0)</f>
        <v>1</v>
      </c>
    </row>
    <row r="3605" spans="1:14" x14ac:dyDescent="0.2">
      <c r="A3605">
        <v>3604</v>
      </c>
      <c r="B3605">
        <v>2818</v>
      </c>
      <c r="C3605">
        <f>1/COUNTIF(B:B,Table1[[#This Row],[order_id]])</f>
        <v>0.33333333333333331</v>
      </c>
      <c r="D3605" t="str">
        <f>TEXT(Table1[[#This Row],[order_date]],"mmmm")</f>
        <v>October</v>
      </c>
      <c r="E3605" s="1">
        <v>45572</v>
      </c>
      <c r="F3605" s="1" t="str">
        <f>TEXT(Table1[[#This Row],[order_date]],"dddd")</f>
        <v>Monday</v>
      </c>
      <c r="G3605">
        <f>HOUR(Table1[[#This Row],[order_time]])</f>
        <v>19</v>
      </c>
      <c r="H3605" s="2">
        <v>0.80339120370370365</v>
      </c>
      <c r="I3605" t="s">
        <v>18</v>
      </c>
      <c r="J3605" t="s">
        <v>26</v>
      </c>
      <c r="K3605">
        <v>4</v>
      </c>
      <c r="L3605">
        <v>55</v>
      </c>
      <c r="M3605">
        <v>220</v>
      </c>
      <c r="N3605">
        <f>IF(COUNTIFS($B$2:B3605,B3605)=1,1,0)</f>
        <v>0</v>
      </c>
    </row>
    <row r="3606" spans="1:14" x14ac:dyDescent="0.2">
      <c r="A3606">
        <v>3605</v>
      </c>
      <c r="B3606">
        <v>2818</v>
      </c>
      <c r="C3606">
        <f>1/COUNTIF(B:B,Table1[[#This Row],[order_id]])</f>
        <v>0.33333333333333331</v>
      </c>
      <c r="D3606" t="str">
        <f>TEXT(Table1[[#This Row],[order_date]],"mmmm")</f>
        <v>October</v>
      </c>
      <c r="E3606" s="1">
        <v>45572</v>
      </c>
      <c r="F3606" s="1" t="str">
        <f>TEXT(Table1[[#This Row],[order_date]],"dddd")</f>
        <v>Monday</v>
      </c>
      <c r="G3606">
        <f>HOUR(Table1[[#This Row],[order_time]])</f>
        <v>20</v>
      </c>
      <c r="H3606" s="2">
        <v>0.84452546296296294</v>
      </c>
      <c r="I3606" t="s">
        <v>11</v>
      </c>
      <c r="J3606" t="s">
        <v>25</v>
      </c>
      <c r="K3606">
        <v>4</v>
      </c>
      <c r="L3606">
        <v>1000</v>
      </c>
      <c r="M3606">
        <v>4000</v>
      </c>
      <c r="N3606">
        <f>IF(COUNTIFS($B$2:B3606,B3606)=1,1,0)</f>
        <v>0</v>
      </c>
    </row>
    <row r="3607" spans="1:14" x14ac:dyDescent="0.2">
      <c r="A3607">
        <v>3606</v>
      </c>
      <c r="B3607">
        <v>2819</v>
      </c>
      <c r="C3607">
        <f>1/COUNTIF(B:B,Table1[[#This Row],[order_id]])</f>
        <v>0.5</v>
      </c>
      <c r="D3607" t="str">
        <f>TEXT(Table1[[#This Row],[order_date]],"mmmm")</f>
        <v>October</v>
      </c>
      <c r="E3607" s="1">
        <v>45572</v>
      </c>
      <c r="F3607" s="1" t="str">
        <f>TEXT(Table1[[#This Row],[order_date]],"dddd")</f>
        <v>Monday</v>
      </c>
      <c r="G3607">
        <f>HOUR(Table1[[#This Row],[order_time]])</f>
        <v>10</v>
      </c>
      <c r="H3607" s="2">
        <v>0.43019675925925926</v>
      </c>
      <c r="I3607" t="s">
        <v>18</v>
      </c>
      <c r="J3607" t="s">
        <v>26</v>
      </c>
      <c r="K3607">
        <v>2</v>
      </c>
      <c r="L3607">
        <v>55</v>
      </c>
      <c r="M3607">
        <v>110</v>
      </c>
      <c r="N3607">
        <f>IF(COUNTIFS($B$2:B3607,B3607)=1,1,0)</f>
        <v>1</v>
      </c>
    </row>
    <row r="3608" spans="1:14" x14ac:dyDescent="0.2">
      <c r="A3608">
        <v>3607</v>
      </c>
      <c r="B3608">
        <v>2819</v>
      </c>
      <c r="C3608">
        <f>1/COUNTIF(B:B,Table1[[#This Row],[order_id]])</f>
        <v>0.5</v>
      </c>
      <c r="D3608" t="str">
        <f>TEXT(Table1[[#This Row],[order_date]],"mmmm")</f>
        <v>October</v>
      </c>
      <c r="E3608" s="1">
        <v>45572</v>
      </c>
      <c r="F3608" s="1" t="str">
        <f>TEXT(Table1[[#This Row],[order_date]],"dddd")</f>
        <v>Monday</v>
      </c>
      <c r="G3608">
        <f>HOUR(Table1[[#This Row],[order_time]])</f>
        <v>20</v>
      </c>
      <c r="H3608" s="2">
        <v>0.85626157407407411</v>
      </c>
      <c r="I3608" t="s">
        <v>11</v>
      </c>
      <c r="J3608" t="s">
        <v>14</v>
      </c>
      <c r="K3608">
        <v>5</v>
      </c>
      <c r="L3608">
        <v>700</v>
      </c>
      <c r="M3608">
        <v>3500</v>
      </c>
      <c r="N3608">
        <f>IF(COUNTIFS($B$2:B3608,B3608)=1,1,0)</f>
        <v>0</v>
      </c>
    </row>
    <row r="3609" spans="1:14" x14ac:dyDescent="0.2">
      <c r="A3609">
        <v>3608</v>
      </c>
      <c r="B3609">
        <v>2820</v>
      </c>
      <c r="C3609">
        <f>1/COUNTIF(B:B,Table1[[#This Row],[order_id]])</f>
        <v>1</v>
      </c>
      <c r="D3609" t="str">
        <f>TEXT(Table1[[#This Row],[order_date]],"mmmm")</f>
        <v>October</v>
      </c>
      <c r="E3609" s="1">
        <v>45573</v>
      </c>
      <c r="F3609" s="1" t="str">
        <f>TEXT(Table1[[#This Row],[order_date]],"dddd")</f>
        <v>Tuesday</v>
      </c>
      <c r="G3609">
        <f>HOUR(Table1[[#This Row],[order_time]])</f>
        <v>12</v>
      </c>
      <c r="H3609" s="2">
        <v>0.52239583333333328</v>
      </c>
      <c r="I3609" t="s">
        <v>16</v>
      </c>
      <c r="J3609" t="s">
        <v>17</v>
      </c>
      <c r="K3609">
        <v>4</v>
      </c>
      <c r="L3609">
        <v>20</v>
      </c>
      <c r="M3609">
        <v>80</v>
      </c>
      <c r="N3609">
        <f>IF(COUNTIFS($B$2:B3609,B3609)=1,1,0)</f>
        <v>1</v>
      </c>
    </row>
    <row r="3610" spans="1:14" x14ac:dyDescent="0.2">
      <c r="A3610">
        <v>3609</v>
      </c>
      <c r="B3610">
        <v>2821</v>
      </c>
      <c r="C3610">
        <f>1/COUNTIF(B:B,Table1[[#This Row],[order_id]])</f>
        <v>0.33333333333333331</v>
      </c>
      <c r="D3610" t="str">
        <f>TEXT(Table1[[#This Row],[order_date]],"mmmm")</f>
        <v>October</v>
      </c>
      <c r="E3610" s="1">
        <v>45573</v>
      </c>
      <c r="F3610" s="1" t="str">
        <f>TEXT(Table1[[#This Row],[order_date]],"dddd")</f>
        <v>Tuesday</v>
      </c>
      <c r="G3610">
        <f>HOUR(Table1[[#This Row],[order_time]])</f>
        <v>13</v>
      </c>
      <c r="H3610" s="2">
        <v>0.56327546296296294</v>
      </c>
      <c r="I3610" t="s">
        <v>16</v>
      </c>
      <c r="J3610" t="s">
        <v>24</v>
      </c>
      <c r="K3610">
        <v>5</v>
      </c>
      <c r="L3610">
        <v>35</v>
      </c>
      <c r="M3610">
        <v>175</v>
      </c>
      <c r="N3610">
        <f>IF(COUNTIFS($B$2:B3610,B3610)=1,1,0)</f>
        <v>1</v>
      </c>
    </row>
    <row r="3611" spans="1:14" x14ac:dyDescent="0.2">
      <c r="A3611">
        <v>3610</v>
      </c>
      <c r="B3611">
        <v>2821</v>
      </c>
      <c r="C3611">
        <f>1/COUNTIF(B:B,Table1[[#This Row],[order_id]])</f>
        <v>0.33333333333333331</v>
      </c>
      <c r="D3611" t="str">
        <f>TEXT(Table1[[#This Row],[order_date]],"mmmm")</f>
        <v>October</v>
      </c>
      <c r="E3611" s="1">
        <v>45573</v>
      </c>
      <c r="F3611" s="1" t="str">
        <f>TEXT(Table1[[#This Row],[order_date]],"dddd")</f>
        <v>Tuesday</v>
      </c>
      <c r="G3611">
        <f>HOUR(Table1[[#This Row],[order_time]])</f>
        <v>18</v>
      </c>
      <c r="H3611" s="2">
        <v>0.77746527777777774</v>
      </c>
      <c r="I3611" t="s">
        <v>18</v>
      </c>
      <c r="J3611" t="s">
        <v>30</v>
      </c>
      <c r="K3611">
        <v>3</v>
      </c>
      <c r="L3611">
        <v>60</v>
      </c>
      <c r="M3611">
        <v>180</v>
      </c>
      <c r="N3611">
        <f>IF(COUNTIFS($B$2:B3611,B3611)=1,1,0)</f>
        <v>0</v>
      </c>
    </row>
    <row r="3612" spans="1:14" x14ac:dyDescent="0.2">
      <c r="A3612">
        <v>3611</v>
      </c>
      <c r="B3612">
        <v>2821</v>
      </c>
      <c r="C3612">
        <f>1/COUNTIF(B:B,Table1[[#This Row],[order_id]])</f>
        <v>0.33333333333333331</v>
      </c>
      <c r="D3612" t="str">
        <f>TEXT(Table1[[#This Row],[order_date]],"mmmm")</f>
        <v>October</v>
      </c>
      <c r="E3612" s="1">
        <v>45573</v>
      </c>
      <c r="F3612" s="1" t="str">
        <f>TEXT(Table1[[#This Row],[order_date]],"dddd")</f>
        <v>Tuesday</v>
      </c>
      <c r="G3612">
        <f>HOUR(Table1[[#This Row],[order_time]])</f>
        <v>16</v>
      </c>
      <c r="H3612" s="2">
        <v>0.67317129629629635</v>
      </c>
      <c r="I3612" t="s">
        <v>11</v>
      </c>
      <c r="J3612" t="s">
        <v>13</v>
      </c>
      <c r="K3612">
        <v>3</v>
      </c>
      <c r="L3612">
        <v>680</v>
      </c>
      <c r="M3612">
        <v>2040</v>
      </c>
      <c r="N3612">
        <f>IF(COUNTIFS($B$2:B3612,B3612)=1,1,0)</f>
        <v>0</v>
      </c>
    </row>
    <row r="3613" spans="1:14" x14ac:dyDescent="0.2">
      <c r="A3613">
        <v>3612</v>
      </c>
      <c r="B3613">
        <v>2822</v>
      </c>
      <c r="C3613">
        <f>1/COUNTIF(B:B,Table1[[#This Row],[order_id]])</f>
        <v>0.5</v>
      </c>
      <c r="D3613" t="str">
        <f>TEXT(Table1[[#This Row],[order_date]],"mmmm")</f>
        <v>October</v>
      </c>
      <c r="E3613" s="1">
        <v>45573</v>
      </c>
      <c r="F3613" s="1" t="str">
        <f>TEXT(Table1[[#This Row],[order_date]],"dddd")</f>
        <v>Tuesday</v>
      </c>
      <c r="G3613">
        <f>HOUR(Table1[[#This Row],[order_time]])</f>
        <v>19</v>
      </c>
      <c r="H3613" s="2">
        <v>0.8235069444444445</v>
      </c>
      <c r="I3613" t="s">
        <v>18</v>
      </c>
      <c r="J3613" t="s">
        <v>27</v>
      </c>
      <c r="K3613">
        <v>3</v>
      </c>
      <c r="L3613">
        <v>40</v>
      </c>
      <c r="M3613">
        <v>120</v>
      </c>
      <c r="N3613">
        <f>IF(COUNTIFS($B$2:B3613,B3613)=1,1,0)</f>
        <v>1</v>
      </c>
    </row>
    <row r="3614" spans="1:14" x14ac:dyDescent="0.2">
      <c r="A3614">
        <v>3613</v>
      </c>
      <c r="B3614">
        <v>2822</v>
      </c>
      <c r="C3614">
        <f>1/COUNTIF(B:B,Table1[[#This Row],[order_id]])</f>
        <v>0.5</v>
      </c>
      <c r="D3614" t="str">
        <f>TEXT(Table1[[#This Row],[order_date]],"mmmm")</f>
        <v>October</v>
      </c>
      <c r="E3614" s="1">
        <v>45573</v>
      </c>
      <c r="F3614" s="1" t="str">
        <f>TEXT(Table1[[#This Row],[order_date]],"dddd")</f>
        <v>Tuesday</v>
      </c>
      <c r="G3614">
        <f>HOUR(Table1[[#This Row],[order_time]])</f>
        <v>9</v>
      </c>
      <c r="H3614" s="2">
        <v>0.41274305555555557</v>
      </c>
      <c r="I3614" t="s">
        <v>11</v>
      </c>
      <c r="J3614" t="s">
        <v>14</v>
      </c>
      <c r="K3614">
        <v>4</v>
      </c>
      <c r="L3614">
        <v>700</v>
      </c>
      <c r="M3614">
        <v>2800</v>
      </c>
      <c r="N3614">
        <f>IF(COUNTIFS($B$2:B3614,B3614)=1,1,0)</f>
        <v>0</v>
      </c>
    </row>
    <row r="3615" spans="1:14" x14ac:dyDescent="0.2">
      <c r="A3615">
        <v>3614</v>
      </c>
      <c r="B3615">
        <v>2823</v>
      </c>
      <c r="C3615">
        <f>1/COUNTIF(B:B,Table1[[#This Row],[order_id]])</f>
        <v>0.33333333333333331</v>
      </c>
      <c r="D3615" t="str">
        <f>TEXT(Table1[[#This Row],[order_date]],"mmmm")</f>
        <v>October</v>
      </c>
      <c r="E3615" s="1">
        <v>45573</v>
      </c>
      <c r="F3615" s="1" t="str">
        <f>TEXT(Table1[[#This Row],[order_date]],"dddd")</f>
        <v>Tuesday</v>
      </c>
      <c r="G3615">
        <f>HOUR(Table1[[#This Row],[order_time]])</f>
        <v>17</v>
      </c>
      <c r="H3615" s="2">
        <v>0.73457175925925922</v>
      </c>
      <c r="I3615" t="s">
        <v>18</v>
      </c>
      <c r="J3615" t="s">
        <v>19</v>
      </c>
      <c r="K3615">
        <v>2</v>
      </c>
      <c r="L3615">
        <v>50</v>
      </c>
      <c r="M3615">
        <v>100</v>
      </c>
      <c r="N3615">
        <f>IF(COUNTIFS($B$2:B3615,B3615)=1,1,0)</f>
        <v>1</v>
      </c>
    </row>
    <row r="3616" spans="1:14" x14ac:dyDescent="0.2">
      <c r="A3616">
        <v>3615</v>
      </c>
      <c r="B3616">
        <v>2823</v>
      </c>
      <c r="C3616">
        <f>1/COUNTIF(B:B,Table1[[#This Row],[order_id]])</f>
        <v>0.33333333333333331</v>
      </c>
      <c r="D3616" t="str">
        <f>TEXT(Table1[[#This Row],[order_date]],"mmmm")</f>
        <v>October</v>
      </c>
      <c r="E3616" s="1">
        <v>45573</v>
      </c>
      <c r="F3616" s="1" t="str">
        <f>TEXT(Table1[[#This Row],[order_date]],"dddd")</f>
        <v>Tuesday</v>
      </c>
      <c r="G3616">
        <f>HOUR(Table1[[#This Row],[order_time]])</f>
        <v>15</v>
      </c>
      <c r="H3616" s="2">
        <v>0.66513888888888884</v>
      </c>
      <c r="I3616" t="s">
        <v>18</v>
      </c>
      <c r="J3616" t="s">
        <v>30</v>
      </c>
      <c r="K3616">
        <v>1</v>
      </c>
      <c r="L3616">
        <v>60</v>
      </c>
      <c r="M3616">
        <v>60</v>
      </c>
      <c r="N3616">
        <f>IF(COUNTIFS($B$2:B3616,B3616)=1,1,0)</f>
        <v>0</v>
      </c>
    </row>
    <row r="3617" spans="1:14" x14ac:dyDescent="0.2">
      <c r="A3617">
        <v>3616</v>
      </c>
      <c r="B3617">
        <v>2823</v>
      </c>
      <c r="C3617">
        <f>1/COUNTIF(B:B,Table1[[#This Row],[order_id]])</f>
        <v>0.33333333333333331</v>
      </c>
      <c r="D3617" t="str">
        <f>TEXT(Table1[[#This Row],[order_date]],"mmmm")</f>
        <v>October</v>
      </c>
      <c r="E3617" s="1">
        <v>45573</v>
      </c>
      <c r="F3617" s="1" t="str">
        <f>TEXT(Table1[[#This Row],[order_date]],"dddd")</f>
        <v>Tuesday</v>
      </c>
      <c r="G3617">
        <f>HOUR(Table1[[#This Row],[order_time]])</f>
        <v>15</v>
      </c>
      <c r="H3617" s="2">
        <v>0.64877314814814813</v>
      </c>
      <c r="I3617" t="s">
        <v>9</v>
      </c>
      <c r="J3617" t="s">
        <v>22</v>
      </c>
      <c r="K3617">
        <v>1</v>
      </c>
      <c r="L3617">
        <v>15</v>
      </c>
      <c r="M3617">
        <v>15</v>
      </c>
      <c r="N3617">
        <f>IF(COUNTIFS($B$2:B3617,B3617)=1,1,0)</f>
        <v>0</v>
      </c>
    </row>
    <row r="3618" spans="1:14" x14ac:dyDescent="0.2">
      <c r="A3618">
        <v>3617</v>
      </c>
      <c r="B3618">
        <v>2824</v>
      </c>
      <c r="C3618">
        <f>1/COUNTIF(B:B,Table1[[#This Row],[order_id]])</f>
        <v>1</v>
      </c>
      <c r="D3618" t="str">
        <f>TEXT(Table1[[#This Row],[order_date]],"mmmm")</f>
        <v>October</v>
      </c>
      <c r="E3618" s="1">
        <v>45573</v>
      </c>
      <c r="F3618" s="1" t="str">
        <f>TEXT(Table1[[#This Row],[order_date]],"dddd")</f>
        <v>Tuesday</v>
      </c>
      <c r="G3618">
        <f>HOUR(Table1[[#This Row],[order_time]])</f>
        <v>17</v>
      </c>
      <c r="H3618" s="2">
        <v>0.72293981481481484</v>
      </c>
      <c r="I3618" t="s">
        <v>18</v>
      </c>
      <c r="J3618" t="s">
        <v>31</v>
      </c>
      <c r="K3618">
        <v>2</v>
      </c>
      <c r="L3618">
        <v>45</v>
      </c>
      <c r="M3618">
        <v>90</v>
      </c>
      <c r="N3618">
        <f>IF(COUNTIFS($B$2:B3618,B3618)=1,1,0)</f>
        <v>1</v>
      </c>
    </row>
    <row r="3619" spans="1:14" x14ac:dyDescent="0.2">
      <c r="A3619">
        <v>3618</v>
      </c>
      <c r="B3619">
        <v>2825</v>
      </c>
      <c r="C3619">
        <f>1/COUNTIF(B:B,Table1[[#This Row],[order_id]])</f>
        <v>1</v>
      </c>
      <c r="D3619" t="str">
        <f>TEXT(Table1[[#This Row],[order_date]],"mmmm")</f>
        <v>October</v>
      </c>
      <c r="E3619" s="1">
        <v>45573</v>
      </c>
      <c r="F3619" s="1" t="str">
        <f>TEXT(Table1[[#This Row],[order_date]],"dddd")</f>
        <v>Tuesday</v>
      </c>
      <c r="G3619">
        <f>HOUR(Table1[[#This Row],[order_time]])</f>
        <v>14</v>
      </c>
      <c r="H3619" s="2">
        <v>0.6104398148148148</v>
      </c>
      <c r="I3619" t="s">
        <v>11</v>
      </c>
      <c r="J3619" t="s">
        <v>15</v>
      </c>
      <c r="K3619">
        <v>2</v>
      </c>
      <c r="L3619">
        <v>600</v>
      </c>
      <c r="M3619">
        <v>1200</v>
      </c>
      <c r="N3619">
        <f>IF(COUNTIFS($B$2:B3619,B3619)=1,1,0)</f>
        <v>1</v>
      </c>
    </row>
    <row r="3620" spans="1:14" x14ac:dyDescent="0.2">
      <c r="A3620">
        <v>3619</v>
      </c>
      <c r="B3620">
        <v>2826</v>
      </c>
      <c r="C3620">
        <f>1/COUNTIF(B:B,Table1[[#This Row],[order_id]])</f>
        <v>0.5</v>
      </c>
      <c r="D3620" t="str">
        <f>TEXT(Table1[[#This Row],[order_date]],"mmmm")</f>
        <v>October</v>
      </c>
      <c r="E3620" s="1">
        <v>45573</v>
      </c>
      <c r="F3620" s="1" t="str">
        <f>TEXT(Table1[[#This Row],[order_date]],"dddd")</f>
        <v>Tuesday</v>
      </c>
      <c r="G3620">
        <f>HOUR(Table1[[#This Row],[order_time]])</f>
        <v>10</v>
      </c>
      <c r="H3620" s="2">
        <v>0.43200231481481483</v>
      </c>
      <c r="I3620" t="s">
        <v>9</v>
      </c>
      <c r="J3620" t="s">
        <v>20</v>
      </c>
      <c r="K3620">
        <v>4</v>
      </c>
      <c r="L3620">
        <v>25</v>
      </c>
      <c r="M3620">
        <v>100</v>
      </c>
      <c r="N3620">
        <f>IF(COUNTIFS($B$2:B3620,B3620)=1,1,0)</f>
        <v>1</v>
      </c>
    </row>
    <row r="3621" spans="1:14" x14ac:dyDescent="0.2">
      <c r="A3621">
        <v>3620</v>
      </c>
      <c r="B3621">
        <v>2826</v>
      </c>
      <c r="C3621">
        <f>1/COUNTIF(B:B,Table1[[#This Row],[order_id]])</f>
        <v>0.5</v>
      </c>
      <c r="D3621" t="str">
        <f>TEXT(Table1[[#This Row],[order_date]],"mmmm")</f>
        <v>October</v>
      </c>
      <c r="E3621" s="1">
        <v>45573</v>
      </c>
      <c r="F3621" s="1" t="str">
        <f>TEXT(Table1[[#This Row],[order_date]],"dddd")</f>
        <v>Tuesday</v>
      </c>
      <c r="G3621">
        <f>HOUR(Table1[[#This Row],[order_time]])</f>
        <v>20</v>
      </c>
      <c r="H3621" s="2">
        <v>0.86515046296296294</v>
      </c>
      <c r="I3621" t="s">
        <v>11</v>
      </c>
      <c r="J3621" t="s">
        <v>12</v>
      </c>
      <c r="K3621">
        <v>3</v>
      </c>
      <c r="L3621">
        <v>650</v>
      </c>
      <c r="M3621">
        <v>1950</v>
      </c>
      <c r="N3621">
        <f>IF(COUNTIFS($B$2:B3621,B3621)=1,1,0)</f>
        <v>0</v>
      </c>
    </row>
    <row r="3622" spans="1:14" x14ac:dyDescent="0.2">
      <c r="A3622">
        <v>3621</v>
      </c>
      <c r="B3622">
        <v>2827</v>
      </c>
      <c r="C3622">
        <f>1/COUNTIF(B:B,Table1[[#This Row],[order_id]])</f>
        <v>0.33333333333333331</v>
      </c>
      <c r="D3622" t="str">
        <f>TEXT(Table1[[#This Row],[order_date]],"mmmm")</f>
        <v>October</v>
      </c>
      <c r="E3622" s="1">
        <v>45573</v>
      </c>
      <c r="F3622" s="1" t="str">
        <f>TEXT(Table1[[#This Row],[order_date]],"dddd")</f>
        <v>Tuesday</v>
      </c>
      <c r="G3622">
        <f>HOUR(Table1[[#This Row],[order_time]])</f>
        <v>16</v>
      </c>
      <c r="H3622" s="2">
        <v>0.70756944444444447</v>
      </c>
      <c r="I3622" t="s">
        <v>16</v>
      </c>
      <c r="J3622" t="s">
        <v>28</v>
      </c>
      <c r="K3622">
        <v>1</v>
      </c>
      <c r="L3622">
        <v>25</v>
      </c>
      <c r="M3622">
        <v>25</v>
      </c>
      <c r="N3622">
        <f>IF(COUNTIFS($B$2:B3622,B3622)=1,1,0)</f>
        <v>1</v>
      </c>
    </row>
    <row r="3623" spans="1:14" x14ac:dyDescent="0.2">
      <c r="A3623">
        <v>3622</v>
      </c>
      <c r="B3623">
        <v>2827</v>
      </c>
      <c r="C3623">
        <f>1/COUNTIF(B:B,Table1[[#This Row],[order_id]])</f>
        <v>0.33333333333333331</v>
      </c>
      <c r="D3623" t="str">
        <f>TEXT(Table1[[#This Row],[order_date]],"mmmm")</f>
        <v>October</v>
      </c>
      <c r="E3623" s="1">
        <v>45573</v>
      </c>
      <c r="F3623" s="1" t="str">
        <f>TEXT(Table1[[#This Row],[order_date]],"dddd")</f>
        <v>Tuesday</v>
      </c>
      <c r="G3623">
        <f>HOUR(Table1[[#This Row],[order_time]])</f>
        <v>16</v>
      </c>
      <c r="H3623" s="2">
        <v>0.7082060185185185</v>
      </c>
      <c r="I3623" t="s">
        <v>9</v>
      </c>
      <c r="J3623" t="s">
        <v>29</v>
      </c>
      <c r="K3623">
        <v>5</v>
      </c>
      <c r="L3623">
        <v>5</v>
      </c>
      <c r="M3623">
        <v>25</v>
      </c>
      <c r="N3623">
        <f>IF(COUNTIFS($B$2:B3623,B3623)=1,1,0)</f>
        <v>0</v>
      </c>
    </row>
    <row r="3624" spans="1:14" x14ac:dyDescent="0.2">
      <c r="A3624">
        <v>3623</v>
      </c>
      <c r="B3624">
        <v>2827</v>
      </c>
      <c r="C3624">
        <f>1/COUNTIF(B:B,Table1[[#This Row],[order_id]])</f>
        <v>0.33333333333333331</v>
      </c>
      <c r="D3624" t="str">
        <f>TEXT(Table1[[#This Row],[order_date]],"mmmm")</f>
        <v>October</v>
      </c>
      <c r="E3624" s="1">
        <v>45573</v>
      </c>
      <c r="F3624" s="1" t="str">
        <f>TEXT(Table1[[#This Row],[order_date]],"dddd")</f>
        <v>Tuesday</v>
      </c>
      <c r="G3624">
        <f>HOUR(Table1[[#This Row],[order_time]])</f>
        <v>18</v>
      </c>
      <c r="H3624" s="2">
        <v>0.77635416666666668</v>
      </c>
      <c r="I3624" t="s">
        <v>9</v>
      </c>
      <c r="J3624" t="s">
        <v>22</v>
      </c>
      <c r="K3624">
        <v>2</v>
      </c>
      <c r="L3624">
        <v>15</v>
      </c>
      <c r="M3624">
        <v>30</v>
      </c>
      <c r="N3624">
        <f>IF(COUNTIFS($B$2:B3624,B3624)=1,1,0)</f>
        <v>0</v>
      </c>
    </row>
    <row r="3625" spans="1:14" x14ac:dyDescent="0.2">
      <c r="A3625">
        <v>3624</v>
      </c>
      <c r="B3625">
        <v>2828</v>
      </c>
      <c r="C3625">
        <f>1/COUNTIF(B:B,Table1[[#This Row],[order_id]])</f>
        <v>1</v>
      </c>
      <c r="D3625" t="str">
        <f>TEXT(Table1[[#This Row],[order_date]],"mmmm")</f>
        <v>October</v>
      </c>
      <c r="E3625" s="1">
        <v>45573</v>
      </c>
      <c r="F3625" s="1" t="str">
        <f>TEXT(Table1[[#This Row],[order_date]],"dddd")</f>
        <v>Tuesday</v>
      </c>
      <c r="G3625">
        <f>HOUR(Table1[[#This Row],[order_time]])</f>
        <v>17</v>
      </c>
      <c r="H3625" s="2">
        <v>0.7477314814814815</v>
      </c>
      <c r="I3625" t="s">
        <v>9</v>
      </c>
      <c r="J3625" t="s">
        <v>29</v>
      </c>
      <c r="K3625">
        <v>1</v>
      </c>
      <c r="L3625">
        <v>5</v>
      </c>
      <c r="M3625">
        <v>5</v>
      </c>
      <c r="N3625">
        <f>IF(COUNTIFS($B$2:B3625,B3625)=1,1,0)</f>
        <v>1</v>
      </c>
    </row>
    <row r="3626" spans="1:14" x14ac:dyDescent="0.2">
      <c r="A3626">
        <v>3625</v>
      </c>
      <c r="B3626">
        <v>2829</v>
      </c>
      <c r="C3626">
        <f>1/COUNTIF(B:B,Table1[[#This Row],[order_id]])</f>
        <v>0.33333333333333331</v>
      </c>
      <c r="D3626" t="str">
        <f>TEXT(Table1[[#This Row],[order_date]],"mmmm")</f>
        <v>October</v>
      </c>
      <c r="E3626" s="1">
        <v>45574</v>
      </c>
      <c r="F3626" s="1" t="str">
        <f>TEXT(Table1[[#This Row],[order_date]],"dddd")</f>
        <v>Wednesday</v>
      </c>
      <c r="G3626">
        <f>HOUR(Table1[[#This Row],[order_time]])</f>
        <v>14</v>
      </c>
      <c r="H3626" s="2">
        <v>0.61217592592592596</v>
      </c>
      <c r="I3626" t="s">
        <v>16</v>
      </c>
      <c r="J3626" t="s">
        <v>17</v>
      </c>
      <c r="K3626">
        <v>1</v>
      </c>
      <c r="L3626">
        <v>20</v>
      </c>
      <c r="M3626">
        <v>20</v>
      </c>
      <c r="N3626">
        <f>IF(COUNTIFS($B$2:B3626,B3626)=1,1,0)</f>
        <v>1</v>
      </c>
    </row>
    <row r="3627" spans="1:14" x14ac:dyDescent="0.2">
      <c r="A3627">
        <v>3626</v>
      </c>
      <c r="B3627">
        <v>2829</v>
      </c>
      <c r="C3627">
        <f>1/COUNTIF(B:B,Table1[[#This Row],[order_id]])</f>
        <v>0.33333333333333331</v>
      </c>
      <c r="D3627" t="str">
        <f>TEXT(Table1[[#This Row],[order_date]],"mmmm")</f>
        <v>October</v>
      </c>
      <c r="E3627" s="1">
        <v>45574</v>
      </c>
      <c r="F3627" s="1" t="str">
        <f>TEXT(Table1[[#This Row],[order_date]],"dddd")</f>
        <v>Wednesday</v>
      </c>
      <c r="G3627">
        <f>HOUR(Table1[[#This Row],[order_time]])</f>
        <v>13</v>
      </c>
      <c r="H3627" s="2">
        <v>0.57526620370370374</v>
      </c>
      <c r="I3627" t="s">
        <v>18</v>
      </c>
      <c r="J3627" t="s">
        <v>27</v>
      </c>
      <c r="K3627">
        <v>2</v>
      </c>
      <c r="L3627">
        <v>40</v>
      </c>
      <c r="M3627">
        <v>80</v>
      </c>
      <c r="N3627">
        <f>IF(COUNTIFS($B$2:B3627,B3627)=1,1,0)</f>
        <v>0</v>
      </c>
    </row>
    <row r="3628" spans="1:14" x14ac:dyDescent="0.2">
      <c r="A3628">
        <v>3627</v>
      </c>
      <c r="B3628">
        <v>2829</v>
      </c>
      <c r="C3628">
        <f>1/COUNTIF(B:B,Table1[[#This Row],[order_id]])</f>
        <v>0.33333333333333331</v>
      </c>
      <c r="D3628" t="str">
        <f>TEXT(Table1[[#This Row],[order_date]],"mmmm")</f>
        <v>October</v>
      </c>
      <c r="E3628" s="1">
        <v>45574</v>
      </c>
      <c r="F3628" s="1" t="str">
        <f>TEXT(Table1[[#This Row],[order_date]],"dddd")</f>
        <v>Wednesday</v>
      </c>
      <c r="G3628">
        <f>HOUR(Table1[[#This Row],[order_time]])</f>
        <v>17</v>
      </c>
      <c r="H3628" s="2">
        <v>0.73442129629629627</v>
      </c>
      <c r="I3628" t="s">
        <v>16</v>
      </c>
      <c r="J3628" t="s">
        <v>17</v>
      </c>
      <c r="K3628">
        <v>5</v>
      </c>
      <c r="L3628">
        <v>20</v>
      </c>
      <c r="M3628">
        <v>100</v>
      </c>
      <c r="N3628">
        <f>IF(COUNTIFS($B$2:B3628,B3628)=1,1,0)</f>
        <v>0</v>
      </c>
    </row>
    <row r="3629" spans="1:14" x14ac:dyDescent="0.2">
      <c r="A3629">
        <v>3628</v>
      </c>
      <c r="B3629">
        <v>2830</v>
      </c>
      <c r="C3629">
        <f>1/COUNTIF(B:B,Table1[[#This Row],[order_id]])</f>
        <v>0.33333333333333331</v>
      </c>
      <c r="D3629" t="str">
        <f>TEXT(Table1[[#This Row],[order_date]],"mmmm")</f>
        <v>October</v>
      </c>
      <c r="E3629" s="1">
        <v>45574</v>
      </c>
      <c r="F3629" s="1" t="str">
        <f>TEXT(Table1[[#This Row],[order_date]],"dddd")</f>
        <v>Wednesday</v>
      </c>
      <c r="G3629">
        <f>HOUR(Table1[[#This Row],[order_time]])</f>
        <v>14</v>
      </c>
      <c r="H3629" s="2">
        <v>0.60682870370370368</v>
      </c>
      <c r="I3629" t="s">
        <v>18</v>
      </c>
      <c r="J3629" t="s">
        <v>26</v>
      </c>
      <c r="K3629">
        <v>5</v>
      </c>
      <c r="L3629">
        <v>55</v>
      </c>
      <c r="M3629">
        <v>275</v>
      </c>
      <c r="N3629">
        <f>IF(COUNTIFS($B$2:B3629,B3629)=1,1,0)</f>
        <v>1</v>
      </c>
    </row>
    <row r="3630" spans="1:14" x14ac:dyDescent="0.2">
      <c r="A3630">
        <v>3629</v>
      </c>
      <c r="B3630">
        <v>2830</v>
      </c>
      <c r="C3630">
        <f>1/COUNTIF(B:B,Table1[[#This Row],[order_id]])</f>
        <v>0.33333333333333331</v>
      </c>
      <c r="D3630" t="str">
        <f>TEXT(Table1[[#This Row],[order_date]],"mmmm")</f>
        <v>October</v>
      </c>
      <c r="E3630" s="1">
        <v>45574</v>
      </c>
      <c r="F3630" s="1" t="str">
        <f>TEXT(Table1[[#This Row],[order_date]],"dddd")</f>
        <v>Wednesday</v>
      </c>
      <c r="G3630">
        <f>HOUR(Table1[[#This Row],[order_time]])</f>
        <v>14</v>
      </c>
      <c r="H3630" s="2">
        <v>0.62418981481481484</v>
      </c>
      <c r="I3630" t="s">
        <v>18</v>
      </c>
      <c r="J3630" t="s">
        <v>30</v>
      </c>
      <c r="K3630">
        <v>3</v>
      </c>
      <c r="L3630">
        <v>60</v>
      </c>
      <c r="M3630">
        <v>180</v>
      </c>
      <c r="N3630">
        <f>IF(COUNTIFS($B$2:B3630,B3630)=1,1,0)</f>
        <v>0</v>
      </c>
    </row>
    <row r="3631" spans="1:14" x14ac:dyDescent="0.2">
      <c r="A3631">
        <v>3630</v>
      </c>
      <c r="B3631">
        <v>2830</v>
      </c>
      <c r="C3631">
        <f>1/COUNTIF(B:B,Table1[[#This Row],[order_id]])</f>
        <v>0.33333333333333331</v>
      </c>
      <c r="D3631" t="str">
        <f>TEXT(Table1[[#This Row],[order_date]],"mmmm")</f>
        <v>October</v>
      </c>
      <c r="E3631" s="1">
        <v>45574</v>
      </c>
      <c r="F3631" s="1" t="str">
        <f>TEXT(Table1[[#This Row],[order_date]],"dddd")</f>
        <v>Wednesday</v>
      </c>
      <c r="G3631">
        <f>HOUR(Table1[[#This Row],[order_time]])</f>
        <v>15</v>
      </c>
      <c r="H3631" s="2">
        <v>0.65989583333333335</v>
      </c>
      <c r="I3631" t="s">
        <v>9</v>
      </c>
      <c r="J3631" t="s">
        <v>22</v>
      </c>
      <c r="K3631">
        <v>1</v>
      </c>
      <c r="L3631">
        <v>15</v>
      </c>
      <c r="M3631">
        <v>15</v>
      </c>
      <c r="N3631">
        <f>IF(COUNTIFS($B$2:B3631,B3631)=1,1,0)</f>
        <v>0</v>
      </c>
    </row>
    <row r="3632" spans="1:14" x14ac:dyDescent="0.2">
      <c r="A3632">
        <v>3631</v>
      </c>
      <c r="B3632">
        <v>2831</v>
      </c>
      <c r="C3632">
        <f>1/COUNTIF(B:B,Table1[[#This Row],[order_id]])</f>
        <v>1</v>
      </c>
      <c r="D3632" t="str">
        <f>TEXT(Table1[[#This Row],[order_date]],"mmmm")</f>
        <v>October</v>
      </c>
      <c r="E3632" s="1">
        <v>45574</v>
      </c>
      <c r="F3632" s="1" t="str">
        <f>TEXT(Table1[[#This Row],[order_date]],"dddd")</f>
        <v>Wednesday</v>
      </c>
      <c r="G3632">
        <f>HOUR(Table1[[#This Row],[order_time]])</f>
        <v>14</v>
      </c>
      <c r="H3632" s="2">
        <v>0.61026620370370366</v>
      </c>
      <c r="I3632" t="s">
        <v>16</v>
      </c>
      <c r="J3632" t="s">
        <v>28</v>
      </c>
      <c r="K3632">
        <v>2</v>
      </c>
      <c r="L3632">
        <v>25</v>
      </c>
      <c r="M3632">
        <v>50</v>
      </c>
      <c r="N3632">
        <f>IF(COUNTIFS($B$2:B3632,B3632)=1,1,0)</f>
        <v>1</v>
      </c>
    </row>
    <row r="3633" spans="1:14" x14ac:dyDescent="0.2">
      <c r="A3633">
        <v>3632</v>
      </c>
      <c r="B3633">
        <v>2832</v>
      </c>
      <c r="C3633">
        <f>1/COUNTIF(B:B,Table1[[#This Row],[order_id]])</f>
        <v>0.33333333333333331</v>
      </c>
      <c r="D3633" t="str">
        <f>TEXT(Table1[[#This Row],[order_date]],"mmmm")</f>
        <v>October</v>
      </c>
      <c r="E3633" s="1">
        <v>45574</v>
      </c>
      <c r="F3633" s="1" t="str">
        <f>TEXT(Table1[[#This Row],[order_date]],"dddd")</f>
        <v>Wednesday</v>
      </c>
      <c r="G3633">
        <f>HOUR(Table1[[#This Row],[order_time]])</f>
        <v>10</v>
      </c>
      <c r="H3633" s="2">
        <v>0.4228587962962963</v>
      </c>
      <c r="I3633" t="s">
        <v>11</v>
      </c>
      <c r="J3633" t="s">
        <v>13</v>
      </c>
      <c r="K3633">
        <v>3</v>
      </c>
      <c r="L3633">
        <v>680</v>
      </c>
      <c r="M3633">
        <v>2040</v>
      </c>
      <c r="N3633">
        <f>IF(COUNTIFS($B$2:B3633,B3633)=1,1,0)</f>
        <v>1</v>
      </c>
    </row>
    <row r="3634" spans="1:14" x14ac:dyDescent="0.2">
      <c r="A3634">
        <v>3633</v>
      </c>
      <c r="B3634">
        <v>2832</v>
      </c>
      <c r="C3634">
        <f>1/COUNTIF(B:B,Table1[[#This Row],[order_id]])</f>
        <v>0.33333333333333331</v>
      </c>
      <c r="D3634" t="str">
        <f>TEXT(Table1[[#This Row],[order_date]],"mmmm")</f>
        <v>October</v>
      </c>
      <c r="E3634" s="1">
        <v>45574</v>
      </c>
      <c r="F3634" s="1" t="str">
        <f>TEXT(Table1[[#This Row],[order_date]],"dddd")</f>
        <v>Wednesday</v>
      </c>
      <c r="G3634">
        <f>HOUR(Table1[[#This Row],[order_time]])</f>
        <v>16</v>
      </c>
      <c r="H3634" s="2">
        <v>0.68519675925925927</v>
      </c>
      <c r="I3634" t="s">
        <v>18</v>
      </c>
      <c r="J3634" t="s">
        <v>30</v>
      </c>
      <c r="K3634">
        <v>2</v>
      </c>
      <c r="L3634">
        <v>60</v>
      </c>
      <c r="M3634">
        <v>120</v>
      </c>
      <c r="N3634">
        <f>IF(COUNTIFS($B$2:B3634,B3634)=1,1,0)</f>
        <v>0</v>
      </c>
    </row>
    <row r="3635" spans="1:14" x14ac:dyDescent="0.2">
      <c r="A3635">
        <v>3634</v>
      </c>
      <c r="B3635">
        <v>2832</v>
      </c>
      <c r="C3635">
        <f>1/COUNTIF(B:B,Table1[[#This Row],[order_id]])</f>
        <v>0.33333333333333331</v>
      </c>
      <c r="D3635" t="str">
        <f>TEXT(Table1[[#This Row],[order_date]],"mmmm")</f>
        <v>October</v>
      </c>
      <c r="E3635" s="1">
        <v>45574</v>
      </c>
      <c r="F3635" s="1" t="str">
        <f>TEXT(Table1[[#This Row],[order_date]],"dddd")</f>
        <v>Wednesday</v>
      </c>
      <c r="G3635">
        <f>HOUR(Table1[[#This Row],[order_time]])</f>
        <v>20</v>
      </c>
      <c r="H3635" s="2">
        <v>0.85774305555555552</v>
      </c>
      <c r="I3635" t="s">
        <v>11</v>
      </c>
      <c r="J3635" t="s">
        <v>25</v>
      </c>
      <c r="K3635">
        <v>2</v>
      </c>
      <c r="L3635">
        <v>1000</v>
      </c>
      <c r="M3635">
        <v>2000</v>
      </c>
      <c r="N3635">
        <f>IF(COUNTIFS($B$2:B3635,B3635)=1,1,0)</f>
        <v>0</v>
      </c>
    </row>
    <row r="3636" spans="1:14" x14ac:dyDescent="0.2">
      <c r="A3636">
        <v>3635</v>
      </c>
      <c r="B3636">
        <v>2833</v>
      </c>
      <c r="C3636">
        <f>1/COUNTIF(B:B,Table1[[#This Row],[order_id]])</f>
        <v>0.33333333333333331</v>
      </c>
      <c r="D3636" t="str">
        <f>TEXT(Table1[[#This Row],[order_date]],"mmmm")</f>
        <v>October</v>
      </c>
      <c r="E3636" s="1">
        <v>45574</v>
      </c>
      <c r="F3636" s="1" t="str">
        <f>TEXT(Table1[[#This Row],[order_date]],"dddd")</f>
        <v>Wednesday</v>
      </c>
      <c r="G3636">
        <f>HOUR(Table1[[#This Row],[order_time]])</f>
        <v>20</v>
      </c>
      <c r="H3636" s="2">
        <v>0.84576388888888887</v>
      </c>
      <c r="I3636" t="s">
        <v>11</v>
      </c>
      <c r="J3636" t="s">
        <v>15</v>
      </c>
      <c r="K3636">
        <v>1</v>
      </c>
      <c r="L3636">
        <v>600</v>
      </c>
      <c r="M3636">
        <v>600</v>
      </c>
      <c r="N3636">
        <f>IF(COUNTIFS($B$2:B3636,B3636)=1,1,0)</f>
        <v>1</v>
      </c>
    </row>
    <row r="3637" spans="1:14" x14ac:dyDescent="0.2">
      <c r="A3637">
        <v>3636</v>
      </c>
      <c r="B3637">
        <v>2833</v>
      </c>
      <c r="C3637">
        <f>1/COUNTIF(B:B,Table1[[#This Row],[order_id]])</f>
        <v>0.33333333333333331</v>
      </c>
      <c r="D3637" t="str">
        <f>TEXT(Table1[[#This Row],[order_date]],"mmmm")</f>
        <v>October</v>
      </c>
      <c r="E3637" s="1">
        <v>45574</v>
      </c>
      <c r="F3637" s="1" t="str">
        <f>TEXT(Table1[[#This Row],[order_date]],"dddd")</f>
        <v>Wednesday</v>
      </c>
      <c r="G3637">
        <f>HOUR(Table1[[#This Row],[order_time]])</f>
        <v>10</v>
      </c>
      <c r="H3637" s="2">
        <v>0.45394675925925926</v>
      </c>
      <c r="I3637" t="s">
        <v>18</v>
      </c>
      <c r="J3637" t="s">
        <v>26</v>
      </c>
      <c r="K3637">
        <v>4</v>
      </c>
      <c r="L3637">
        <v>55</v>
      </c>
      <c r="M3637">
        <v>220</v>
      </c>
      <c r="N3637">
        <f>IF(COUNTIFS($B$2:B3637,B3637)=1,1,0)</f>
        <v>0</v>
      </c>
    </row>
    <row r="3638" spans="1:14" x14ac:dyDescent="0.2">
      <c r="A3638">
        <v>3637</v>
      </c>
      <c r="B3638">
        <v>2833</v>
      </c>
      <c r="C3638">
        <f>1/COUNTIF(B:B,Table1[[#This Row],[order_id]])</f>
        <v>0.33333333333333331</v>
      </c>
      <c r="D3638" t="str">
        <f>TEXT(Table1[[#This Row],[order_date]],"mmmm")</f>
        <v>October</v>
      </c>
      <c r="E3638" s="1">
        <v>45574</v>
      </c>
      <c r="F3638" s="1" t="str">
        <f>TEXT(Table1[[#This Row],[order_date]],"dddd")</f>
        <v>Wednesday</v>
      </c>
      <c r="G3638">
        <f>HOUR(Table1[[#This Row],[order_time]])</f>
        <v>15</v>
      </c>
      <c r="H3638" s="2">
        <v>0.63488425925925929</v>
      </c>
      <c r="I3638" t="s">
        <v>9</v>
      </c>
      <c r="J3638" t="s">
        <v>29</v>
      </c>
      <c r="K3638">
        <v>3</v>
      </c>
      <c r="L3638">
        <v>5</v>
      </c>
      <c r="M3638">
        <v>15</v>
      </c>
      <c r="N3638">
        <f>IF(COUNTIFS($B$2:B3638,B3638)=1,1,0)</f>
        <v>0</v>
      </c>
    </row>
    <row r="3639" spans="1:14" x14ac:dyDescent="0.2">
      <c r="A3639">
        <v>3638</v>
      </c>
      <c r="B3639">
        <v>2834</v>
      </c>
      <c r="C3639">
        <f>1/COUNTIF(B:B,Table1[[#This Row],[order_id]])</f>
        <v>0.33333333333333331</v>
      </c>
      <c r="D3639" t="str">
        <f>TEXT(Table1[[#This Row],[order_date]],"mmmm")</f>
        <v>October</v>
      </c>
      <c r="E3639" s="1">
        <v>45575</v>
      </c>
      <c r="F3639" s="1" t="str">
        <f>TEXT(Table1[[#This Row],[order_date]],"dddd")</f>
        <v>Thursday</v>
      </c>
      <c r="G3639">
        <f>HOUR(Table1[[#This Row],[order_time]])</f>
        <v>20</v>
      </c>
      <c r="H3639" s="2">
        <v>0.86146990740740736</v>
      </c>
      <c r="I3639" t="s">
        <v>9</v>
      </c>
      <c r="J3639" t="s">
        <v>20</v>
      </c>
      <c r="K3639">
        <v>3</v>
      </c>
      <c r="L3639">
        <v>25</v>
      </c>
      <c r="M3639">
        <v>75</v>
      </c>
      <c r="N3639">
        <f>IF(COUNTIFS($B$2:B3639,B3639)=1,1,0)</f>
        <v>1</v>
      </c>
    </row>
    <row r="3640" spans="1:14" x14ac:dyDescent="0.2">
      <c r="A3640">
        <v>3639</v>
      </c>
      <c r="B3640">
        <v>2834</v>
      </c>
      <c r="C3640">
        <f>1/COUNTIF(B:B,Table1[[#This Row],[order_id]])</f>
        <v>0.33333333333333331</v>
      </c>
      <c r="D3640" t="str">
        <f>TEXT(Table1[[#This Row],[order_date]],"mmmm")</f>
        <v>October</v>
      </c>
      <c r="E3640" s="1">
        <v>45575</v>
      </c>
      <c r="F3640" s="1" t="str">
        <f>TEXT(Table1[[#This Row],[order_date]],"dddd")</f>
        <v>Thursday</v>
      </c>
      <c r="G3640">
        <f>HOUR(Table1[[#This Row],[order_time]])</f>
        <v>18</v>
      </c>
      <c r="H3640" s="2">
        <v>0.75951388888888893</v>
      </c>
      <c r="I3640" t="s">
        <v>16</v>
      </c>
      <c r="J3640" t="s">
        <v>17</v>
      </c>
      <c r="K3640">
        <v>3</v>
      </c>
      <c r="L3640">
        <v>20</v>
      </c>
      <c r="M3640">
        <v>60</v>
      </c>
      <c r="N3640">
        <f>IF(COUNTIFS($B$2:B3640,B3640)=1,1,0)</f>
        <v>0</v>
      </c>
    </row>
    <row r="3641" spans="1:14" x14ac:dyDescent="0.2">
      <c r="A3641">
        <v>3640</v>
      </c>
      <c r="B3641">
        <v>2834</v>
      </c>
      <c r="C3641">
        <f>1/COUNTIF(B:B,Table1[[#This Row],[order_id]])</f>
        <v>0.33333333333333331</v>
      </c>
      <c r="D3641" t="str">
        <f>TEXT(Table1[[#This Row],[order_date]],"mmmm")</f>
        <v>October</v>
      </c>
      <c r="E3641" s="1">
        <v>45575</v>
      </c>
      <c r="F3641" s="1" t="str">
        <f>TEXT(Table1[[#This Row],[order_date]],"dddd")</f>
        <v>Thursday</v>
      </c>
      <c r="G3641">
        <f>HOUR(Table1[[#This Row],[order_time]])</f>
        <v>12</v>
      </c>
      <c r="H3641" s="2">
        <v>0.50835648148148149</v>
      </c>
      <c r="I3641" t="s">
        <v>18</v>
      </c>
      <c r="J3641" t="s">
        <v>19</v>
      </c>
      <c r="K3641">
        <v>5</v>
      </c>
      <c r="L3641">
        <v>50</v>
      </c>
      <c r="M3641">
        <v>250</v>
      </c>
      <c r="N3641">
        <f>IF(COUNTIFS($B$2:B3641,B3641)=1,1,0)</f>
        <v>0</v>
      </c>
    </row>
    <row r="3642" spans="1:14" x14ac:dyDescent="0.2">
      <c r="A3642">
        <v>3641</v>
      </c>
      <c r="B3642">
        <v>2835</v>
      </c>
      <c r="C3642">
        <f>1/COUNTIF(B:B,Table1[[#This Row],[order_id]])</f>
        <v>0.33333333333333331</v>
      </c>
      <c r="D3642" t="str">
        <f>TEXT(Table1[[#This Row],[order_date]],"mmmm")</f>
        <v>October</v>
      </c>
      <c r="E3642" s="1">
        <v>45575</v>
      </c>
      <c r="F3642" s="1" t="str">
        <f>TEXT(Table1[[#This Row],[order_date]],"dddd")</f>
        <v>Thursday</v>
      </c>
      <c r="G3642">
        <f>HOUR(Table1[[#This Row],[order_time]])</f>
        <v>12</v>
      </c>
      <c r="H3642" s="2">
        <v>0.50665509259259256</v>
      </c>
      <c r="I3642" t="s">
        <v>16</v>
      </c>
      <c r="J3642" t="s">
        <v>17</v>
      </c>
      <c r="K3642">
        <v>2</v>
      </c>
      <c r="L3642">
        <v>20</v>
      </c>
      <c r="M3642">
        <v>40</v>
      </c>
      <c r="N3642">
        <f>IF(COUNTIFS($B$2:B3642,B3642)=1,1,0)</f>
        <v>1</v>
      </c>
    </row>
    <row r="3643" spans="1:14" x14ac:dyDescent="0.2">
      <c r="A3643">
        <v>3642</v>
      </c>
      <c r="B3643">
        <v>2835</v>
      </c>
      <c r="C3643">
        <f>1/COUNTIF(B:B,Table1[[#This Row],[order_id]])</f>
        <v>0.33333333333333331</v>
      </c>
      <c r="D3643" t="str">
        <f>TEXT(Table1[[#This Row],[order_date]],"mmmm")</f>
        <v>October</v>
      </c>
      <c r="E3643" s="1">
        <v>45575</v>
      </c>
      <c r="F3643" s="1" t="str">
        <f>TEXT(Table1[[#This Row],[order_date]],"dddd")</f>
        <v>Thursday</v>
      </c>
      <c r="G3643">
        <f>HOUR(Table1[[#This Row],[order_time]])</f>
        <v>13</v>
      </c>
      <c r="H3643" s="2">
        <v>0.56722222222222218</v>
      </c>
      <c r="I3643" t="s">
        <v>18</v>
      </c>
      <c r="J3643" t="s">
        <v>26</v>
      </c>
      <c r="K3643">
        <v>1</v>
      </c>
      <c r="L3643">
        <v>55</v>
      </c>
      <c r="M3643">
        <v>55</v>
      </c>
      <c r="N3643">
        <f>IF(COUNTIFS($B$2:B3643,B3643)=1,1,0)</f>
        <v>0</v>
      </c>
    </row>
    <row r="3644" spans="1:14" x14ac:dyDescent="0.2">
      <c r="A3644">
        <v>3643</v>
      </c>
      <c r="B3644">
        <v>2835</v>
      </c>
      <c r="C3644">
        <f>1/COUNTIF(B:B,Table1[[#This Row],[order_id]])</f>
        <v>0.33333333333333331</v>
      </c>
      <c r="D3644" t="str">
        <f>TEXT(Table1[[#This Row],[order_date]],"mmmm")</f>
        <v>October</v>
      </c>
      <c r="E3644" s="1">
        <v>45575</v>
      </c>
      <c r="F3644" s="1" t="str">
        <f>TEXT(Table1[[#This Row],[order_date]],"dddd")</f>
        <v>Thursday</v>
      </c>
      <c r="G3644">
        <f>HOUR(Table1[[#This Row],[order_time]])</f>
        <v>13</v>
      </c>
      <c r="H3644" s="2">
        <v>0.55349537037037033</v>
      </c>
      <c r="I3644" t="s">
        <v>9</v>
      </c>
      <c r="J3644" t="s">
        <v>20</v>
      </c>
      <c r="K3644">
        <v>5</v>
      </c>
      <c r="L3644">
        <v>25</v>
      </c>
      <c r="M3644">
        <v>125</v>
      </c>
      <c r="N3644">
        <f>IF(COUNTIFS($B$2:B3644,B3644)=1,1,0)</f>
        <v>0</v>
      </c>
    </row>
    <row r="3645" spans="1:14" x14ac:dyDescent="0.2">
      <c r="A3645">
        <v>3644</v>
      </c>
      <c r="B3645">
        <v>2836</v>
      </c>
      <c r="C3645">
        <f>1/COUNTIF(B:B,Table1[[#This Row],[order_id]])</f>
        <v>0.5</v>
      </c>
      <c r="D3645" t="str">
        <f>TEXT(Table1[[#This Row],[order_date]],"mmmm")</f>
        <v>October</v>
      </c>
      <c r="E3645" s="1">
        <v>45575</v>
      </c>
      <c r="F3645" s="1" t="str">
        <f>TEXT(Table1[[#This Row],[order_date]],"dddd")</f>
        <v>Thursday</v>
      </c>
      <c r="G3645">
        <f>HOUR(Table1[[#This Row],[order_time]])</f>
        <v>10</v>
      </c>
      <c r="H3645" s="2">
        <v>0.45673611111111112</v>
      </c>
      <c r="I3645" t="s">
        <v>18</v>
      </c>
      <c r="J3645" t="s">
        <v>27</v>
      </c>
      <c r="K3645">
        <v>2</v>
      </c>
      <c r="L3645">
        <v>40</v>
      </c>
      <c r="M3645">
        <v>80</v>
      </c>
      <c r="N3645">
        <f>IF(COUNTIFS($B$2:B3645,B3645)=1,1,0)</f>
        <v>1</v>
      </c>
    </row>
    <row r="3646" spans="1:14" x14ac:dyDescent="0.2">
      <c r="A3646">
        <v>3645</v>
      </c>
      <c r="B3646">
        <v>2836</v>
      </c>
      <c r="C3646">
        <f>1/COUNTIF(B:B,Table1[[#This Row],[order_id]])</f>
        <v>0.5</v>
      </c>
      <c r="D3646" t="str">
        <f>TEXT(Table1[[#This Row],[order_date]],"mmmm")</f>
        <v>October</v>
      </c>
      <c r="E3646" s="1">
        <v>45575</v>
      </c>
      <c r="F3646" s="1" t="str">
        <f>TEXT(Table1[[#This Row],[order_date]],"dddd")</f>
        <v>Thursday</v>
      </c>
      <c r="G3646">
        <f>HOUR(Table1[[#This Row],[order_time]])</f>
        <v>20</v>
      </c>
      <c r="H3646" s="2">
        <v>0.86579861111111112</v>
      </c>
      <c r="I3646" t="s">
        <v>18</v>
      </c>
      <c r="J3646" t="s">
        <v>27</v>
      </c>
      <c r="K3646">
        <v>4</v>
      </c>
      <c r="L3646">
        <v>40</v>
      </c>
      <c r="M3646">
        <v>160</v>
      </c>
      <c r="N3646">
        <f>IF(COUNTIFS($B$2:B3646,B3646)=1,1,0)</f>
        <v>0</v>
      </c>
    </row>
    <row r="3647" spans="1:14" x14ac:dyDescent="0.2">
      <c r="A3647">
        <v>3646</v>
      </c>
      <c r="B3647">
        <v>2837</v>
      </c>
      <c r="C3647">
        <f>1/COUNTIF(B:B,Table1[[#This Row],[order_id]])</f>
        <v>1</v>
      </c>
      <c r="D3647" t="str">
        <f>TEXT(Table1[[#This Row],[order_date]],"mmmm")</f>
        <v>October</v>
      </c>
      <c r="E3647" s="1">
        <v>45575</v>
      </c>
      <c r="F3647" s="1" t="str">
        <f>TEXT(Table1[[#This Row],[order_date]],"dddd")</f>
        <v>Thursday</v>
      </c>
      <c r="G3647">
        <f>HOUR(Table1[[#This Row],[order_time]])</f>
        <v>20</v>
      </c>
      <c r="H3647" s="2">
        <v>0.85775462962962967</v>
      </c>
      <c r="I3647" t="s">
        <v>11</v>
      </c>
      <c r="J3647" t="s">
        <v>25</v>
      </c>
      <c r="K3647">
        <v>2</v>
      </c>
      <c r="L3647">
        <v>1000</v>
      </c>
      <c r="M3647">
        <v>2000</v>
      </c>
      <c r="N3647">
        <f>IF(COUNTIFS($B$2:B3647,B3647)=1,1,0)</f>
        <v>1</v>
      </c>
    </row>
    <row r="3648" spans="1:14" x14ac:dyDescent="0.2">
      <c r="A3648">
        <v>3647</v>
      </c>
      <c r="B3648">
        <v>2838</v>
      </c>
      <c r="C3648">
        <f>1/COUNTIF(B:B,Table1[[#This Row],[order_id]])</f>
        <v>0.5</v>
      </c>
      <c r="D3648" t="str">
        <f>TEXT(Table1[[#This Row],[order_date]],"mmmm")</f>
        <v>October</v>
      </c>
      <c r="E3648" s="1">
        <v>45576</v>
      </c>
      <c r="F3648" s="1" t="str">
        <f>TEXT(Table1[[#This Row],[order_date]],"dddd")</f>
        <v>Friday</v>
      </c>
      <c r="G3648">
        <f>HOUR(Table1[[#This Row],[order_time]])</f>
        <v>11</v>
      </c>
      <c r="H3648" s="2">
        <v>0.47489583333333335</v>
      </c>
      <c r="I3648" t="s">
        <v>16</v>
      </c>
      <c r="J3648" t="s">
        <v>28</v>
      </c>
      <c r="K3648">
        <v>5</v>
      </c>
      <c r="L3648">
        <v>25</v>
      </c>
      <c r="M3648">
        <v>125</v>
      </c>
      <c r="N3648">
        <f>IF(COUNTIFS($B$2:B3648,B3648)=1,1,0)</f>
        <v>1</v>
      </c>
    </row>
    <row r="3649" spans="1:14" x14ac:dyDescent="0.2">
      <c r="A3649">
        <v>3648</v>
      </c>
      <c r="B3649">
        <v>2838</v>
      </c>
      <c r="C3649">
        <f>1/COUNTIF(B:B,Table1[[#This Row],[order_id]])</f>
        <v>0.5</v>
      </c>
      <c r="D3649" t="str">
        <f>TEXT(Table1[[#This Row],[order_date]],"mmmm")</f>
        <v>October</v>
      </c>
      <c r="E3649" s="1">
        <v>45576</v>
      </c>
      <c r="F3649" s="1" t="str">
        <f>TEXT(Table1[[#This Row],[order_date]],"dddd")</f>
        <v>Friday</v>
      </c>
      <c r="G3649">
        <f>HOUR(Table1[[#This Row],[order_time]])</f>
        <v>15</v>
      </c>
      <c r="H3649" s="2">
        <v>0.65182870370370372</v>
      </c>
      <c r="I3649" t="s">
        <v>16</v>
      </c>
      <c r="J3649" t="s">
        <v>24</v>
      </c>
      <c r="K3649">
        <v>1</v>
      </c>
      <c r="L3649">
        <v>35</v>
      </c>
      <c r="M3649">
        <v>35</v>
      </c>
      <c r="N3649">
        <f>IF(COUNTIFS($B$2:B3649,B3649)=1,1,0)</f>
        <v>0</v>
      </c>
    </row>
    <row r="3650" spans="1:14" x14ac:dyDescent="0.2">
      <c r="A3650">
        <v>3649</v>
      </c>
      <c r="B3650">
        <v>2839</v>
      </c>
      <c r="C3650">
        <f>1/COUNTIF(B:B,Table1[[#This Row],[order_id]])</f>
        <v>1</v>
      </c>
      <c r="D3650" t="str">
        <f>TEXT(Table1[[#This Row],[order_date]],"mmmm")</f>
        <v>October</v>
      </c>
      <c r="E3650" s="1">
        <v>45576</v>
      </c>
      <c r="F3650" s="1" t="str">
        <f>TEXT(Table1[[#This Row],[order_date]],"dddd")</f>
        <v>Friday</v>
      </c>
      <c r="G3650">
        <f>HOUR(Table1[[#This Row],[order_time]])</f>
        <v>19</v>
      </c>
      <c r="H3650" s="2">
        <v>0.80476851851851849</v>
      </c>
      <c r="I3650" t="s">
        <v>16</v>
      </c>
      <c r="J3650" t="s">
        <v>17</v>
      </c>
      <c r="K3650">
        <v>3</v>
      </c>
      <c r="L3650">
        <v>20</v>
      </c>
      <c r="M3650">
        <v>60</v>
      </c>
      <c r="N3650">
        <f>IF(COUNTIFS($B$2:B3650,B3650)=1,1,0)</f>
        <v>1</v>
      </c>
    </row>
    <row r="3651" spans="1:14" x14ac:dyDescent="0.2">
      <c r="A3651">
        <v>3650</v>
      </c>
      <c r="B3651">
        <v>2840</v>
      </c>
      <c r="C3651">
        <f>1/COUNTIF(B:B,Table1[[#This Row],[order_id]])</f>
        <v>1</v>
      </c>
      <c r="D3651" t="str">
        <f>TEXT(Table1[[#This Row],[order_date]],"mmmm")</f>
        <v>October</v>
      </c>
      <c r="E3651" s="1">
        <v>45576</v>
      </c>
      <c r="F3651" s="1" t="str">
        <f>TEXT(Table1[[#This Row],[order_date]],"dddd")</f>
        <v>Friday</v>
      </c>
      <c r="G3651">
        <f>HOUR(Table1[[#This Row],[order_time]])</f>
        <v>17</v>
      </c>
      <c r="H3651" s="2">
        <v>0.71276620370370369</v>
      </c>
      <c r="I3651" t="s">
        <v>18</v>
      </c>
      <c r="J3651" t="s">
        <v>19</v>
      </c>
      <c r="K3651">
        <v>1</v>
      </c>
      <c r="L3651">
        <v>50</v>
      </c>
      <c r="M3651">
        <v>50</v>
      </c>
      <c r="N3651">
        <f>IF(COUNTIFS($B$2:B3651,B3651)=1,1,0)</f>
        <v>1</v>
      </c>
    </row>
    <row r="3652" spans="1:14" x14ac:dyDescent="0.2">
      <c r="A3652">
        <v>3651</v>
      </c>
      <c r="B3652">
        <v>2841</v>
      </c>
      <c r="C3652">
        <f>1/COUNTIF(B:B,Table1[[#This Row],[order_id]])</f>
        <v>0.33333333333333331</v>
      </c>
      <c r="D3652" t="str">
        <f>TEXT(Table1[[#This Row],[order_date]],"mmmm")</f>
        <v>October</v>
      </c>
      <c r="E3652" s="1">
        <v>45576</v>
      </c>
      <c r="F3652" s="1" t="str">
        <f>TEXT(Table1[[#This Row],[order_date]],"dddd")</f>
        <v>Friday</v>
      </c>
      <c r="G3652">
        <f>HOUR(Table1[[#This Row],[order_time]])</f>
        <v>9</v>
      </c>
      <c r="H3652" s="2">
        <v>0.37644675925925924</v>
      </c>
      <c r="I3652" t="s">
        <v>9</v>
      </c>
      <c r="J3652" t="s">
        <v>29</v>
      </c>
      <c r="K3652">
        <v>2</v>
      </c>
      <c r="L3652">
        <v>5</v>
      </c>
      <c r="M3652">
        <v>10</v>
      </c>
      <c r="N3652">
        <f>IF(COUNTIFS($B$2:B3652,B3652)=1,1,0)</f>
        <v>1</v>
      </c>
    </row>
    <row r="3653" spans="1:14" x14ac:dyDescent="0.2">
      <c r="A3653">
        <v>3652</v>
      </c>
      <c r="B3653">
        <v>2841</v>
      </c>
      <c r="C3653">
        <f>1/COUNTIF(B:B,Table1[[#This Row],[order_id]])</f>
        <v>0.33333333333333331</v>
      </c>
      <c r="D3653" t="str">
        <f>TEXT(Table1[[#This Row],[order_date]],"mmmm")</f>
        <v>October</v>
      </c>
      <c r="E3653" s="1">
        <v>45576</v>
      </c>
      <c r="F3653" s="1" t="str">
        <f>TEXT(Table1[[#This Row],[order_date]],"dddd")</f>
        <v>Friday</v>
      </c>
      <c r="G3653">
        <f>HOUR(Table1[[#This Row],[order_time]])</f>
        <v>19</v>
      </c>
      <c r="H3653" s="2">
        <v>0.81789351851851855</v>
      </c>
      <c r="I3653" t="s">
        <v>9</v>
      </c>
      <c r="J3653" t="s">
        <v>10</v>
      </c>
      <c r="K3653">
        <v>5</v>
      </c>
      <c r="L3653">
        <v>20</v>
      </c>
      <c r="M3653">
        <v>100</v>
      </c>
      <c r="N3653">
        <f>IF(COUNTIFS($B$2:B3653,B3653)=1,1,0)</f>
        <v>0</v>
      </c>
    </row>
    <row r="3654" spans="1:14" x14ac:dyDescent="0.2">
      <c r="A3654">
        <v>3653</v>
      </c>
      <c r="B3654">
        <v>2841</v>
      </c>
      <c r="C3654">
        <f>1/COUNTIF(B:B,Table1[[#This Row],[order_id]])</f>
        <v>0.33333333333333331</v>
      </c>
      <c r="D3654" t="str">
        <f>TEXT(Table1[[#This Row],[order_date]],"mmmm")</f>
        <v>October</v>
      </c>
      <c r="E3654" s="1">
        <v>45576</v>
      </c>
      <c r="F3654" s="1" t="str">
        <f>TEXT(Table1[[#This Row],[order_date]],"dddd")</f>
        <v>Friday</v>
      </c>
      <c r="G3654">
        <f>HOUR(Table1[[#This Row],[order_time]])</f>
        <v>13</v>
      </c>
      <c r="H3654" s="2">
        <v>0.57655092592592594</v>
      </c>
      <c r="I3654" t="s">
        <v>9</v>
      </c>
      <c r="J3654" t="s">
        <v>29</v>
      </c>
      <c r="K3654">
        <v>3</v>
      </c>
      <c r="L3654">
        <v>5</v>
      </c>
      <c r="M3654">
        <v>15</v>
      </c>
      <c r="N3654">
        <f>IF(COUNTIFS($B$2:B3654,B3654)=1,1,0)</f>
        <v>0</v>
      </c>
    </row>
    <row r="3655" spans="1:14" x14ac:dyDescent="0.2">
      <c r="A3655">
        <v>3654</v>
      </c>
      <c r="B3655">
        <v>2842</v>
      </c>
      <c r="C3655">
        <f>1/COUNTIF(B:B,Table1[[#This Row],[order_id]])</f>
        <v>0.5</v>
      </c>
      <c r="D3655" t="str">
        <f>TEXT(Table1[[#This Row],[order_date]],"mmmm")</f>
        <v>October</v>
      </c>
      <c r="E3655" s="1">
        <v>45576</v>
      </c>
      <c r="F3655" s="1" t="str">
        <f>TEXT(Table1[[#This Row],[order_date]],"dddd")</f>
        <v>Friday</v>
      </c>
      <c r="G3655">
        <f>HOUR(Table1[[#This Row],[order_time]])</f>
        <v>19</v>
      </c>
      <c r="H3655" s="2">
        <v>0.80351851851851852</v>
      </c>
      <c r="I3655" t="s">
        <v>18</v>
      </c>
      <c r="J3655" t="s">
        <v>30</v>
      </c>
      <c r="K3655">
        <v>5</v>
      </c>
      <c r="L3655">
        <v>60</v>
      </c>
      <c r="M3655">
        <v>300</v>
      </c>
      <c r="N3655">
        <f>IF(COUNTIFS($B$2:B3655,B3655)=1,1,0)</f>
        <v>1</v>
      </c>
    </row>
    <row r="3656" spans="1:14" x14ac:dyDescent="0.2">
      <c r="A3656">
        <v>3655</v>
      </c>
      <c r="B3656">
        <v>2842</v>
      </c>
      <c r="C3656">
        <f>1/COUNTIF(B:B,Table1[[#This Row],[order_id]])</f>
        <v>0.5</v>
      </c>
      <c r="D3656" t="str">
        <f>TEXT(Table1[[#This Row],[order_date]],"mmmm")</f>
        <v>October</v>
      </c>
      <c r="E3656" s="1">
        <v>45576</v>
      </c>
      <c r="F3656" s="1" t="str">
        <f>TEXT(Table1[[#This Row],[order_date]],"dddd")</f>
        <v>Friday</v>
      </c>
      <c r="G3656">
        <f>HOUR(Table1[[#This Row],[order_time]])</f>
        <v>12</v>
      </c>
      <c r="H3656" s="2">
        <v>0.53984953703703709</v>
      </c>
      <c r="I3656" t="s">
        <v>11</v>
      </c>
      <c r="J3656" t="s">
        <v>13</v>
      </c>
      <c r="K3656">
        <v>1</v>
      </c>
      <c r="L3656">
        <v>680</v>
      </c>
      <c r="M3656">
        <v>680</v>
      </c>
      <c r="N3656">
        <f>IF(COUNTIFS($B$2:B3656,B3656)=1,1,0)</f>
        <v>0</v>
      </c>
    </row>
    <row r="3657" spans="1:14" x14ac:dyDescent="0.2">
      <c r="A3657">
        <v>3656</v>
      </c>
      <c r="B3657">
        <v>2843</v>
      </c>
      <c r="C3657">
        <f>1/COUNTIF(B:B,Table1[[#This Row],[order_id]])</f>
        <v>0.5</v>
      </c>
      <c r="D3657" t="str">
        <f>TEXT(Table1[[#This Row],[order_date]],"mmmm")</f>
        <v>October</v>
      </c>
      <c r="E3657" s="1">
        <v>45577</v>
      </c>
      <c r="F3657" s="1" t="str">
        <f>TEXT(Table1[[#This Row],[order_date]],"dddd")</f>
        <v>Saturday</v>
      </c>
      <c r="G3657">
        <f>HOUR(Table1[[#This Row],[order_time]])</f>
        <v>9</v>
      </c>
      <c r="H3657" s="2">
        <v>0.39458333333333334</v>
      </c>
      <c r="I3657" t="s">
        <v>16</v>
      </c>
      <c r="J3657" t="s">
        <v>28</v>
      </c>
      <c r="K3657">
        <v>5</v>
      </c>
      <c r="L3657">
        <v>25</v>
      </c>
      <c r="M3657">
        <v>125</v>
      </c>
      <c r="N3657">
        <f>IF(COUNTIFS($B$2:B3657,B3657)=1,1,0)</f>
        <v>1</v>
      </c>
    </row>
    <row r="3658" spans="1:14" x14ac:dyDescent="0.2">
      <c r="A3658">
        <v>3657</v>
      </c>
      <c r="B3658">
        <v>2843</v>
      </c>
      <c r="C3658">
        <f>1/COUNTIF(B:B,Table1[[#This Row],[order_id]])</f>
        <v>0.5</v>
      </c>
      <c r="D3658" t="str">
        <f>TEXT(Table1[[#This Row],[order_date]],"mmmm")</f>
        <v>October</v>
      </c>
      <c r="E3658" s="1">
        <v>45577</v>
      </c>
      <c r="F3658" s="1" t="str">
        <f>TEXT(Table1[[#This Row],[order_date]],"dddd")</f>
        <v>Saturday</v>
      </c>
      <c r="G3658">
        <f>HOUR(Table1[[#This Row],[order_time]])</f>
        <v>14</v>
      </c>
      <c r="H3658" s="2">
        <v>0.61349537037037039</v>
      </c>
      <c r="I3658" t="s">
        <v>16</v>
      </c>
      <c r="J3658" t="s">
        <v>17</v>
      </c>
      <c r="K3658">
        <v>4</v>
      </c>
      <c r="L3658">
        <v>20</v>
      </c>
      <c r="M3658">
        <v>80</v>
      </c>
      <c r="N3658">
        <f>IF(COUNTIFS($B$2:B3658,B3658)=1,1,0)</f>
        <v>0</v>
      </c>
    </row>
    <row r="3659" spans="1:14" x14ac:dyDescent="0.2">
      <c r="A3659">
        <v>3658</v>
      </c>
      <c r="B3659">
        <v>2844</v>
      </c>
      <c r="C3659">
        <f>1/COUNTIF(B:B,Table1[[#This Row],[order_id]])</f>
        <v>1</v>
      </c>
      <c r="D3659" t="str">
        <f>TEXT(Table1[[#This Row],[order_date]],"mmmm")</f>
        <v>October</v>
      </c>
      <c r="E3659" s="1">
        <v>45577</v>
      </c>
      <c r="F3659" s="1" t="str">
        <f>TEXT(Table1[[#This Row],[order_date]],"dddd")</f>
        <v>Saturday</v>
      </c>
      <c r="G3659">
        <f>HOUR(Table1[[#This Row],[order_time]])</f>
        <v>18</v>
      </c>
      <c r="H3659" s="2">
        <v>0.76297453703703699</v>
      </c>
      <c r="I3659" t="s">
        <v>9</v>
      </c>
      <c r="J3659" t="s">
        <v>29</v>
      </c>
      <c r="K3659">
        <v>2</v>
      </c>
      <c r="L3659">
        <v>5</v>
      </c>
      <c r="M3659">
        <v>10</v>
      </c>
      <c r="N3659">
        <f>IF(COUNTIFS($B$2:B3659,B3659)=1,1,0)</f>
        <v>1</v>
      </c>
    </row>
    <row r="3660" spans="1:14" x14ac:dyDescent="0.2">
      <c r="A3660">
        <v>3659</v>
      </c>
      <c r="B3660">
        <v>2845</v>
      </c>
      <c r="C3660">
        <f>1/COUNTIF(B:B,Table1[[#This Row],[order_id]])</f>
        <v>0.33333333333333331</v>
      </c>
      <c r="D3660" t="str">
        <f>TEXT(Table1[[#This Row],[order_date]],"mmmm")</f>
        <v>October</v>
      </c>
      <c r="E3660" s="1">
        <v>45577</v>
      </c>
      <c r="F3660" s="1" t="str">
        <f>TEXT(Table1[[#This Row],[order_date]],"dddd")</f>
        <v>Saturday</v>
      </c>
      <c r="G3660">
        <f>HOUR(Table1[[#This Row],[order_time]])</f>
        <v>10</v>
      </c>
      <c r="H3660" s="2">
        <v>0.42326388888888888</v>
      </c>
      <c r="I3660" t="s">
        <v>9</v>
      </c>
      <c r="J3660" t="s">
        <v>10</v>
      </c>
      <c r="K3660">
        <v>1</v>
      </c>
      <c r="L3660">
        <v>20</v>
      </c>
      <c r="M3660">
        <v>20</v>
      </c>
      <c r="N3660">
        <f>IF(COUNTIFS($B$2:B3660,B3660)=1,1,0)</f>
        <v>1</v>
      </c>
    </row>
    <row r="3661" spans="1:14" x14ac:dyDescent="0.2">
      <c r="A3661">
        <v>3660</v>
      </c>
      <c r="B3661">
        <v>2845</v>
      </c>
      <c r="C3661">
        <f>1/COUNTIF(B:B,Table1[[#This Row],[order_id]])</f>
        <v>0.33333333333333331</v>
      </c>
      <c r="D3661" t="str">
        <f>TEXT(Table1[[#This Row],[order_date]],"mmmm")</f>
        <v>October</v>
      </c>
      <c r="E3661" s="1">
        <v>45577</v>
      </c>
      <c r="F3661" s="1" t="str">
        <f>TEXT(Table1[[#This Row],[order_date]],"dddd")</f>
        <v>Saturday</v>
      </c>
      <c r="G3661">
        <f>HOUR(Table1[[#This Row],[order_time]])</f>
        <v>18</v>
      </c>
      <c r="H3661" s="2">
        <v>0.79160879629629632</v>
      </c>
      <c r="I3661" t="s">
        <v>18</v>
      </c>
      <c r="J3661" t="s">
        <v>30</v>
      </c>
      <c r="K3661">
        <v>1</v>
      </c>
      <c r="L3661">
        <v>60</v>
      </c>
      <c r="M3661">
        <v>60</v>
      </c>
      <c r="N3661">
        <f>IF(COUNTIFS($B$2:B3661,B3661)=1,1,0)</f>
        <v>0</v>
      </c>
    </row>
    <row r="3662" spans="1:14" x14ac:dyDescent="0.2">
      <c r="A3662">
        <v>3661</v>
      </c>
      <c r="B3662">
        <v>2845</v>
      </c>
      <c r="C3662">
        <f>1/COUNTIF(B:B,Table1[[#This Row],[order_id]])</f>
        <v>0.33333333333333331</v>
      </c>
      <c r="D3662" t="str">
        <f>TEXT(Table1[[#This Row],[order_date]],"mmmm")</f>
        <v>October</v>
      </c>
      <c r="E3662" s="1">
        <v>45577</v>
      </c>
      <c r="F3662" s="1" t="str">
        <f>TEXT(Table1[[#This Row],[order_date]],"dddd")</f>
        <v>Saturday</v>
      </c>
      <c r="G3662">
        <f>HOUR(Table1[[#This Row],[order_time]])</f>
        <v>11</v>
      </c>
      <c r="H3662" s="2">
        <v>0.48096064814814815</v>
      </c>
      <c r="I3662" t="s">
        <v>16</v>
      </c>
      <c r="J3662" t="s">
        <v>17</v>
      </c>
      <c r="K3662">
        <v>1</v>
      </c>
      <c r="L3662">
        <v>20</v>
      </c>
      <c r="M3662">
        <v>20</v>
      </c>
      <c r="N3662">
        <f>IF(COUNTIFS($B$2:B3662,B3662)=1,1,0)</f>
        <v>0</v>
      </c>
    </row>
    <row r="3663" spans="1:14" x14ac:dyDescent="0.2">
      <c r="A3663">
        <v>3662</v>
      </c>
      <c r="B3663">
        <v>2846</v>
      </c>
      <c r="C3663">
        <f>1/COUNTIF(B:B,Table1[[#This Row],[order_id]])</f>
        <v>0.33333333333333331</v>
      </c>
      <c r="D3663" t="str">
        <f>TEXT(Table1[[#This Row],[order_date]],"mmmm")</f>
        <v>October</v>
      </c>
      <c r="E3663" s="1">
        <v>45577</v>
      </c>
      <c r="F3663" s="1" t="str">
        <f>TEXT(Table1[[#This Row],[order_date]],"dddd")</f>
        <v>Saturday</v>
      </c>
      <c r="G3663">
        <f>HOUR(Table1[[#This Row],[order_time]])</f>
        <v>17</v>
      </c>
      <c r="H3663" s="2">
        <v>0.71143518518518523</v>
      </c>
      <c r="I3663" t="s">
        <v>16</v>
      </c>
      <c r="J3663" t="s">
        <v>28</v>
      </c>
      <c r="K3663">
        <v>2</v>
      </c>
      <c r="L3663">
        <v>25</v>
      </c>
      <c r="M3663">
        <v>50</v>
      </c>
      <c r="N3663">
        <f>IF(COUNTIFS($B$2:B3663,B3663)=1,1,0)</f>
        <v>1</v>
      </c>
    </row>
    <row r="3664" spans="1:14" x14ac:dyDescent="0.2">
      <c r="A3664">
        <v>3663</v>
      </c>
      <c r="B3664">
        <v>2846</v>
      </c>
      <c r="C3664">
        <f>1/COUNTIF(B:B,Table1[[#This Row],[order_id]])</f>
        <v>0.33333333333333331</v>
      </c>
      <c r="D3664" t="str">
        <f>TEXT(Table1[[#This Row],[order_date]],"mmmm")</f>
        <v>October</v>
      </c>
      <c r="E3664" s="1">
        <v>45577</v>
      </c>
      <c r="F3664" s="1" t="str">
        <f>TEXT(Table1[[#This Row],[order_date]],"dddd")</f>
        <v>Saturday</v>
      </c>
      <c r="G3664">
        <f>HOUR(Table1[[#This Row],[order_time]])</f>
        <v>18</v>
      </c>
      <c r="H3664" s="2">
        <v>0.7741203703703704</v>
      </c>
      <c r="I3664" t="s">
        <v>11</v>
      </c>
      <c r="J3664" t="s">
        <v>14</v>
      </c>
      <c r="K3664">
        <v>3</v>
      </c>
      <c r="L3664">
        <v>700</v>
      </c>
      <c r="M3664">
        <v>2100</v>
      </c>
      <c r="N3664">
        <f>IF(COUNTIFS($B$2:B3664,B3664)=1,1,0)</f>
        <v>0</v>
      </c>
    </row>
    <row r="3665" spans="1:14" x14ac:dyDescent="0.2">
      <c r="A3665">
        <v>3664</v>
      </c>
      <c r="B3665">
        <v>2846</v>
      </c>
      <c r="C3665">
        <f>1/COUNTIF(B:B,Table1[[#This Row],[order_id]])</f>
        <v>0.33333333333333331</v>
      </c>
      <c r="D3665" t="str">
        <f>TEXT(Table1[[#This Row],[order_date]],"mmmm")</f>
        <v>October</v>
      </c>
      <c r="E3665" s="1">
        <v>45577</v>
      </c>
      <c r="F3665" s="1" t="str">
        <f>TEXT(Table1[[#This Row],[order_date]],"dddd")</f>
        <v>Saturday</v>
      </c>
      <c r="G3665">
        <f>HOUR(Table1[[#This Row],[order_time]])</f>
        <v>16</v>
      </c>
      <c r="H3665" s="2">
        <v>0.68226851851851855</v>
      </c>
      <c r="I3665" t="s">
        <v>11</v>
      </c>
      <c r="J3665" t="s">
        <v>13</v>
      </c>
      <c r="K3665">
        <v>2</v>
      </c>
      <c r="L3665">
        <v>680</v>
      </c>
      <c r="M3665">
        <v>1360</v>
      </c>
      <c r="N3665">
        <f>IF(COUNTIFS($B$2:B3665,B3665)=1,1,0)</f>
        <v>0</v>
      </c>
    </row>
    <row r="3666" spans="1:14" x14ac:dyDescent="0.2">
      <c r="A3666">
        <v>3665</v>
      </c>
      <c r="B3666">
        <v>2847</v>
      </c>
      <c r="C3666">
        <f>1/COUNTIF(B:B,Table1[[#This Row],[order_id]])</f>
        <v>0.5</v>
      </c>
      <c r="D3666" t="str">
        <f>TEXT(Table1[[#This Row],[order_date]],"mmmm")</f>
        <v>October</v>
      </c>
      <c r="E3666" s="1">
        <v>45577</v>
      </c>
      <c r="F3666" s="1" t="str">
        <f>TEXT(Table1[[#This Row],[order_date]],"dddd")</f>
        <v>Saturday</v>
      </c>
      <c r="G3666">
        <f>HOUR(Table1[[#This Row],[order_time]])</f>
        <v>12</v>
      </c>
      <c r="H3666" s="2">
        <v>0.50699074074074069</v>
      </c>
      <c r="I3666" t="s">
        <v>16</v>
      </c>
      <c r="J3666" t="s">
        <v>24</v>
      </c>
      <c r="K3666">
        <v>5</v>
      </c>
      <c r="L3666">
        <v>35</v>
      </c>
      <c r="M3666">
        <v>175</v>
      </c>
      <c r="N3666">
        <f>IF(COUNTIFS($B$2:B3666,B3666)=1,1,0)</f>
        <v>1</v>
      </c>
    </row>
    <row r="3667" spans="1:14" x14ac:dyDescent="0.2">
      <c r="A3667">
        <v>3666</v>
      </c>
      <c r="B3667">
        <v>2847</v>
      </c>
      <c r="C3667">
        <f>1/COUNTIF(B:B,Table1[[#This Row],[order_id]])</f>
        <v>0.5</v>
      </c>
      <c r="D3667" t="str">
        <f>TEXT(Table1[[#This Row],[order_date]],"mmmm")</f>
        <v>October</v>
      </c>
      <c r="E3667" s="1">
        <v>45577</v>
      </c>
      <c r="F3667" s="1" t="str">
        <f>TEXT(Table1[[#This Row],[order_date]],"dddd")</f>
        <v>Saturday</v>
      </c>
      <c r="G3667">
        <f>HOUR(Table1[[#This Row],[order_time]])</f>
        <v>12</v>
      </c>
      <c r="H3667" s="2">
        <v>0.53157407407407409</v>
      </c>
      <c r="I3667" t="s">
        <v>16</v>
      </c>
      <c r="J3667" t="s">
        <v>24</v>
      </c>
      <c r="K3667">
        <v>2</v>
      </c>
      <c r="L3667">
        <v>35</v>
      </c>
      <c r="M3667">
        <v>70</v>
      </c>
      <c r="N3667">
        <f>IF(COUNTIFS($B$2:B3667,B3667)=1,1,0)</f>
        <v>0</v>
      </c>
    </row>
    <row r="3668" spans="1:14" x14ac:dyDescent="0.2">
      <c r="A3668">
        <v>3667</v>
      </c>
      <c r="B3668">
        <v>2848</v>
      </c>
      <c r="C3668">
        <f>1/COUNTIF(B:B,Table1[[#This Row],[order_id]])</f>
        <v>1</v>
      </c>
      <c r="D3668" t="str">
        <f>TEXT(Table1[[#This Row],[order_date]],"mmmm")</f>
        <v>October</v>
      </c>
      <c r="E3668" s="1">
        <v>45577</v>
      </c>
      <c r="F3668" s="1" t="str">
        <f>TEXT(Table1[[#This Row],[order_date]],"dddd")</f>
        <v>Saturday</v>
      </c>
      <c r="G3668">
        <f>HOUR(Table1[[#This Row],[order_time]])</f>
        <v>19</v>
      </c>
      <c r="H3668" s="2">
        <v>0.81472222222222224</v>
      </c>
      <c r="I3668" t="s">
        <v>16</v>
      </c>
      <c r="J3668" t="s">
        <v>17</v>
      </c>
      <c r="K3668">
        <v>4</v>
      </c>
      <c r="L3668">
        <v>20</v>
      </c>
      <c r="M3668">
        <v>80</v>
      </c>
      <c r="N3668">
        <f>IF(COUNTIFS($B$2:B3668,B3668)=1,1,0)</f>
        <v>1</v>
      </c>
    </row>
    <row r="3669" spans="1:14" x14ac:dyDescent="0.2">
      <c r="A3669">
        <v>3668</v>
      </c>
      <c r="B3669">
        <v>2849</v>
      </c>
      <c r="C3669">
        <f>1/COUNTIF(B:B,Table1[[#This Row],[order_id]])</f>
        <v>0.5</v>
      </c>
      <c r="D3669" t="str">
        <f>TEXT(Table1[[#This Row],[order_date]],"mmmm")</f>
        <v>October</v>
      </c>
      <c r="E3669" s="1">
        <v>45577</v>
      </c>
      <c r="F3669" s="1" t="str">
        <f>TEXT(Table1[[#This Row],[order_date]],"dddd")</f>
        <v>Saturday</v>
      </c>
      <c r="G3669">
        <f>HOUR(Table1[[#This Row],[order_time]])</f>
        <v>13</v>
      </c>
      <c r="H3669" s="2">
        <v>0.55560185185185185</v>
      </c>
      <c r="I3669" t="s">
        <v>18</v>
      </c>
      <c r="J3669" t="s">
        <v>26</v>
      </c>
      <c r="K3669">
        <v>1</v>
      </c>
      <c r="L3669">
        <v>55</v>
      </c>
      <c r="M3669">
        <v>55</v>
      </c>
      <c r="N3669">
        <f>IF(COUNTIFS($B$2:B3669,B3669)=1,1,0)</f>
        <v>1</v>
      </c>
    </row>
    <row r="3670" spans="1:14" x14ac:dyDescent="0.2">
      <c r="A3670">
        <v>3669</v>
      </c>
      <c r="B3670">
        <v>2849</v>
      </c>
      <c r="C3670">
        <f>1/COUNTIF(B:B,Table1[[#This Row],[order_id]])</f>
        <v>0.5</v>
      </c>
      <c r="D3670" t="str">
        <f>TEXT(Table1[[#This Row],[order_date]],"mmmm")</f>
        <v>October</v>
      </c>
      <c r="E3670" s="1">
        <v>45577</v>
      </c>
      <c r="F3670" s="1" t="str">
        <f>TEXT(Table1[[#This Row],[order_date]],"dddd")</f>
        <v>Saturday</v>
      </c>
      <c r="G3670">
        <f>HOUR(Table1[[#This Row],[order_time]])</f>
        <v>18</v>
      </c>
      <c r="H3670" s="2">
        <v>0.75300925925925921</v>
      </c>
      <c r="I3670" t="s">
        <v>16</v>
      </c>
      <c r="J3670" t="s">
        <v>17</v>
      </c>
      <c r="K3670">
        <v>3</v>
      </c>
      <c r="L3670">
        <v>20</v>
      </c>
      <c r="M3670">
        <v>60</v>
      </c>
      <c r="N3670">
        <f>IF(COUNTIFS($B$2:B3670,B3670)=1,1,0)</f>
        <v>0</v>
      </c>
    </row>
    <row r="3671" spans="1:14" x14ac:dyDescent="0.2">
      <c r="A3671">
        <v>3670</v>
      </c>
      <c r="B3671">
        <v>2850</v>
      </c>
      <c r="C3671">
        <f>1/COUNTIF(B:B,Table1[[#This Row],[order_id]])</f>
        <v>0.5</v>
      </c>
      <c r="D3671" t="str">
        <f>TEXT(Table1[[#This Row],[order_date]],"mmmm")</f>
        <v>October</v>
      </c>
      <c r="E3671" s="1">
        <v>45578</v>
      </c>
      <c r="F3671" s="1" t="str">
        <f>TEXT(Table1[[#This Row],[order_date]],"dddd")</f>
        <v>Sunday</v>
      </c>
      <c r="G3671">
        <f>HOUR(Table1[[#This Row],[order_time]])</f>
        <v>12</v>
      </c>
      <c r="H3671" s="2">
        <v>0.53114583333333332</v>
      </c>
      <c r="I3671" t="s">
        <v>18</v>
      </c>
      <c r="J3671" t="s">
        <v>27</v>
      </c>
      <c r="K3671">
        <v>2</v>
      </c>
      <c r="L3671">
        <v>40</v>
      </c>
      <c r="M3671">
        <v>80</v>
      </c>
      <c r="N3671">
        <f>IF(COUNTIFS($B$2:B3671,B3671)=1,1,0)</f>
        <v>1</v>
      </c>
    </row>
    <row r="3672" spans="1:14" x14ac:dyDescent="0.2">
      <c r="A3672">
        <v>3671</v>
      </c>
      <c r="B3672">
        <v>2850</v>
      </c>
      <c r="C3672">
        <f>1/COUNTIF(B:B,Table1[[#This Row],[order_id]])</f>
        <v>0.5</v>
      </c>
      <c r="D3672" t="str">
        <f>TEXT(Table1[[#This Row],[order_date]],"mmmm")</f>
        <v>October</v>
      </c>
      <c r="E3672" s="1">
        <v>45578</v>
      </c>
      <c r="F3672" s="1" t="str">
        <f>TEXT(Table1[[#This Row],[order_date]],"dddd")</f>
        <v>Sunday</v>
      </c>
      <c r="G3672">
        <f>HOUR(Table1[[#This Row],[order_time]])</f>
        <v>10</v>
      </c>
      <c r="H3672" s="2">
        <v>0.42997685185185186</v>
      </c>
      <c r="I3672" t="s">
        <v>11</v>
      </c>
      <c r="J3672" t="s">
        <v>15</v>
      </c>
      <c r="K3672">
        <v>2</v>
      </c>
      <c r="L3672">
        <v>600</v>
      </c>
      <c r="M3672">
        <v>1200</v>
      </c>
      <c r="N3672">
        <f>IF(COUNTIFS($B$2:B3672,B3672)=1,1,0)</f>
        <v>0</v>
      </c>
    </row>
    <row r="3673" spans="1:14" x14ac:dyDescent="0.2">
      <c r="A3673">
        <v>3672</v>
      </c>
      <c r="B3673">
        <v>2851</v>
      </c>
      <c r="C3673">
        <f>1/COUNTIF(B:B,Table1[[#This Row],[order_id]])</f>
        <v>1</v>
      </c>
      <c r="D3673" t="str">
        <f>TEXT(Table1[[#This Row],[order_date]],"mmmm")</f>
        <v>October</v>
      </c>
      <c r="E3673" s="1">
        <v>45578</v>
      </c>
      <c r="F3673" s="1" t="str">
        <f>TEXT(Table1[[#This Row],[order_date]],"dddd")</f>
        <v>Sunday</v>
      </c>
      <c r="G3673">
        <f>HOUR(Table1[[#This Row],[order_time]])</f>
        <v>18</v>
      </c>
      <c r="H3673" s="2">
        <v>0.7767708333333333</v>
      </c>
      <c r="I3673" t="s">
        <v>16</v>
      </c>
      <c r="J3673" t="s">
        <v>28</v>
      </c>
      <c r="K3673">
        <v>1</v>
      </c>
      <c r="L3673">
        <v>25</v>
      </c>
      <c r="M3673">
        <v>25</v>
      </c>
      <c r="N3673">
        <f>IF(COUNTIFS($B$2:B3673,B3673)=1,1,0)</f>
        <v>1</v>
      </c>
    </row>
    <row r="3674" spans="1:14" x14ac:dyDescent="0.2">
      <c r="A3674">
        <v>3673</v>
      </c>
      <c r="B3674">
        <v>2852</v>
      </c>
      <c r="C3674">
        <f>1/COUNTIF(B:B,Table1[[#This Row],[order_id]])</f>
        <v>0.33333333333333331</v>
      </c>
      <c r="D3674" t="str">
        <f>TEXT(Table1[[#This Row],[order_date]],"mmmm")</f>
        <v>October</v>
      </c>
      <c r="E3674" s="1">
        <v>45578</v>
      </c>
      <c r="F3674" s="1" t="str">
        <f>TEXT(Table1[[#This Row],[order_date]],"dddd")</f>
        <v>Sunday</v>
      </c>
      <c r="G3674">
        <f>HOUR(Table1[[#This Row],[order_time]])</f>
        <v>11</v>
      </c>
      <c r="H3674" s="2">
        <v>0.46476851851851853</v>
      </c>
      <c r="I3674" t="s">
        <v>18</v>
      </c>
      <c r="J3674" t="s">
        <v>19</v>
      </c>
      <c r="K3674">
        <v>4</v>
      </c>
      <c r="L3674">
        <v>50</v>
      </c>
      <c r="M3674">
        <v>200</v>
      </c>
      <c r="N3674">
        <f>IF(COUNTIFS($B$2:B3674,B3674)=1,1,0)</f>
        <v>1</v>
      </c>
    </row>
    <row r="3675" spans="1:14" x14ac:dyDescent="0.2">
      <c r="A3675">
        <v>3674</v>
      </c>
      <c r="B3675">
        <v>2852</v>
      </c>
      <c r="C3675">
        <f>1/COUNTIF(B:B,Table1[[#This Row],[order_id]])</f>
        <v>0.33333333333333331</v>
      </c>
      <c r="D3675" t="str">
        <f>TEXT(Table1[[#This Row],[order_date]],"mmmm")</f>
        <v>October</v>
      </c>
      <c r="E3675" s="1">
        <v>45578</v>
      </c>
      <c r="F3675" s="1" t="str">
        <f>TEXT(Table1[[#This Row],[order_date]],"dddd")</f>
        <v>Sunday</v>
      </c>
      <c r="G3675">
        <f>HOUR(Table1[[#This Row],[order_time]])</f>
        <v>12</v>
      </c>
      <c r="H3675" s="2">
        <v>0.51268518518518513</v>
      </c>
      <c r="I3675" t="s">
        <v>18</v>
      </c>
      <c r="J3675" t="s">
        <v>31</v>
      </c>
      <c r="K3675">
        <v>2</v>
      </c>
      <c r="L3675">
        <v>45</v>
      </c>
      <c r="M3675">
        <v>90</v>
      </c>
      <c r="N3675">
        <f>IF(COUNTIFS($B$2:B3675,B3675)=1,1,0)</f>
        <v>0</v>
      </c>
    </row>
    <row r="3676" spans="1:14" x14ac:dyDescent="0.2">
      <c r="A3676">
        <v>3675</v>
      </c>
      <c r="B3676">
        <v>2852</v>
      </c>
      <c r="C3676">
        <f>1/COUNTIF(B:B,Table1[[#This Row],[order_id]])</f>
        <v>0.33333333333333331</v>
      </c>
      <c r="D3676" t="str">
        <f>TEXT(Table1[[#This Row],[order_date]],"mmmm")</f>
        <v>October</v>
      </c>
      <c r="E3676" s="1">
        <v>45578</v>
      </c>
      <c r="F3676" s="1" t="str">
        <f>TEXT(Table1[[#This Row],[order_date]],"dddd")</f>
        <v>Sunday</v>
      </c>
      <c r="G3676">
        <f>HOUR(Table1[[#This Row],[order_time]])</f>
        <v>16</v>
      </c>
      <c r="H3676" s="2">
        <v>0.6716550925925926</v>
      </c>
      <c r="I3676" t="s">
        <v>18</v>
      </c>
      <c r="J3676" t="s">
        <v>31</v>
      </c>
      <c r="K3676">
        <v>1</v>
      </c>
      <c r="L3676">
        <v>45</v>
      </c>
      <c r="M3676">
        <v>45</v>
      </c>
      <c r="N3676">
        <f>IF(COUNTIFS($B$2:B3676,B3676)=1,1,0)</f>
        <v>0</v>
      </c>
    </row>
    <row r="3677" spans="1:14" x14ac:dyDescent="0.2">
      <c r="A3677">
        <v>3676</v>
      </c>
      <c r="B3677">
        <v>2853</v>
      </c>
      <c r="C3677">
        <f>1/COUNTIF(B:B,Table1[[#This Row],[order_id]])</f>
        <v>1</v>
      </c>
      <c r="D3677" t="str">
        <f>TEXT(Table1[[#This Row],[order_date]],"mmmm")</f>
        <v>October</v>
      </c>
      <c r="E3677" s="1">
        <v>45578</v>
      </c>
      <c r="F3677" s="1" t="str">
        <f>TEXT(Table1[[#This Row],[order_date]],"dddd")</f>
        <v>Sunday</v>
      </c>
      <c r="G3677">
        <f>HOUR(Table1[[#This Row],[order_time]])</f>
        <v>14</v>
      </c>
      <c r="H3677" s="2">
        <v>0.59284722222222219</v>
      </c>
      <c r="I3677" t="s">
        <v>18</v>
      </c>
      <c r="J3677" t="s">
        <v>26</v>
      </c>
      <c r="K3677">
        <v>2</v>
      </c>
      <c r="L3677">
        <v>55</v>
      </c>
      <c r="M3677">
        <v>110</v>
      </c>
      <c r="N3677">
        <f>IF(COUNTIFS($B$2:B3677,B3677)=1,1,0)</f>
        <v>1</v>
      </c>
    </row>
    <row r="3678" spans="1:14" x14ac:dyDescent="0.2">
      <c r="A3678">
        <v>3677</v>
      </c>
      <c r="B3678">
        <v>2854</v>
      </c>
      <c r="C3678">
        <f>1/COUNTIF(B:B,Table1[[#This Row],[order_id]])</f>
        <v>1</v>
      </c>
      <c r="D3678" t="str">
        <f>TEXT(Table1[[#This Row],[order_date]],"mmmm")</f>
        <v>October</v>
      </c>
      <c r="E3678" s="1">
        <v>45579</v>
      </c>
      <c r="F3678" s="1" t="str">
        <f>TEXT(Table1[[#This Row],[order_date]],"dddd")</f>
        <v>Monday</v>
      </c>
      <c r="G3678">
        <f>HOUR(Table1[[#This Row],[order_time]])</f>
        <v>11</v>
      </c>
      <c r="H3678" s="2">
        <v>0.47145833333333331</v>
      </c>
      <c r="I3678" t="s">
        <v>16</v>
      </c>
      <c r="J3678" t="s">
        <v>28</v>
      </c>
      <c r="K3678">
        <v>2</v>
      </c>
      <c r="L3678">
        <v>25</v>
      </c>
      <c r="M3678">
        <v>50</v>
      </c>
      <c r="N3678">
        <f>IF(COUNTIFS($B$2:B3678,B3678)=1,1,0)</f>
        <v>1</v>
      </c>
    </row>
    <row r="3679" spans="1:14" x14ac:dyDescent="0.2">
      <c r="A3679">
        <v>3678</v>
      </c>
      <c r="B3679">
        <v>2855</v>
      </c>
      <c r="C3679">
        <f>1/COUNTIF(B:B,Table1[[#This Row],[order_id]])</f>
        <v>0.33333333333333331</v>
      </c>
      <c r="D3679" t="str">
        <f>TEXT(Table1[[#This Row],[order_date]],"mmmm")</f>
        <v>October</v>
      </c>
      <c r="E3679" s="1">
        <v>45579</v>
      </c>
      <c r="F3679" s="1" t="str">
        <f>TEXT(Table1[[#This Row],[order_date]],"dddd")</f>
        <v>Monday</v>
      </c>
      <c r="G3679">
        <f>HOUR(Table1[[#This Row],[order_time]])</f>
        <v>13</v>
      </c>
      <c r="H3679" s="2">
        <v>0.54442129629629632</v>
      </c>
      <c r="I3679" t="s">
        <v>11</v>
      </c>
      <c r="J3679" t="s">
        <v>14</v>
      </c>
      <c r="K3679">
        <v>3</v>
      </c>
      <c r="L3679">
        <v>700</v>
      </c>
      <c r="M3679">
        <v>2100</v>
      </c>
      <c r="N3679">
        <f>IF(COUNTIFS($B$2:B3679,B3679)=1,1,0)</f>
        <v>1</v>
      </c>
    </row>
    <row r="3680" spans="1:14" x14ac:dyDescent="0.2">
      <c r="A3680">
        <v>3679</v>
      </c>
      <c r="B3680">
        <v>2855</v>
      </c>
      <c r="C3680">
        <f>1/COUNTIF(B:B,Table1[[#This Row],[order_id]])</f>
        <v>0.33333333333333331</v>
      </c>
      <c r="D3680" t="str">
        <f>TEXT(Table1[[#This Row],[order_date]],"mmmm")</f>
        <v>October</v>
      </c>
      <c r="E3680" s="1">
        <v>45579</v>
      </c>
      <c r="F3680" s="1" t="str">
        <f>TEXT(Table1[[#This Row],[order_date]],"dddd")</f>
        <v>Monday</v>
      </c>
      <c r="G3680">
        <f>HOUR(Table1[[#This Row],[order_time]])</f>
        <v>19</v>
      </c>
      <c r="H3680" s="2">
        <v>0.82879629629629625</v>
      </c>
      <c r="I3680" t="s">
        <v>11</v>
      </c>
      <c r="J3680" t="s">
        <v>15</v>
      </c>
      <c r="K3680">
        <v>2</v>
      </c>
      <c r="L3680">
        <v>600</v>
      </c>
      <c r="M3680">
        <v>1200</v>
      </c>
      <c r="N3680">
        <f>IF(COUNTIFS($B$2:B3680,B3680)=1,1,0)</f>
        <v>0</v>
      </c>
    </row>
    <row r="3681" spans="1:14" x14ac:dyDescent="0.2">
      <c r="A3681">
        <v>3680</v>
      </c>
      <c r="B3681">
        <v>2855</v>
      </c>
      <c r="C3681">
        <f>1/COUNTIF(B:B,Table1[[#This Row],[order_id]])</f>
        <v>0.33333333333333331</v>
      </c>
      <c r="D3681" t="str">
        <f>TEXT(Table1[[#This Row],[order_date]],"mmmm")</f>
        <v>October</v>
      </c>
      <c r="E3681" s="1">
        <v>45579</v>
      </c>
      <c r="F3681" s="1" t="str">
        <f>TEXT(Table1[[#This Row],[order_date]],"dddd")</f>
        <v>Monday</v>
      </c>
      <c r="G3681">
        <f>HOUR(Table1[[#This Row],[order_time]])</f>
        <v>16</v>
      </c>
      <c r="H3681" s="2">
        <v>0.66900462962962959</v>
      </c>
      <c r="I3681" t="s">
        <v>11</v>
      </c>
      <c r="J3681" t="s">
        <v>25</v>
      </c>
      <c r="K3681">
        <v>5</v>
      </c>
      <c r="L3681">
        <v>1000</v>
      </c>
      <c r="M3681">
        <v>5000</v>
      </c>
      <c r="N3681">
        <f>IF(COUNTIFS($B$2:B3681,B3681)=1,1,0)</f>
        <v>0</v>
      </c>
    </row>
    <row r="3682" spans="1:14" x14ac:dyDescent="0.2">
      <c r="A3682">
        <v>3681</v>
      </c>
      <c r="B3682">
        <v>2856</v>
      </c>
      <c r="C3682">
        <f>1/COUNTIF(B:B,Table1[[#This Row],[order_id]])</f>
        <v>0.5</v>
      </c>
      <c r="D3682" t="str">
        <f>TEXT(Table1[[#This Row],[order_date]],"mmmm")</f>
        <v>October</v>
      </c>
      <c r="E3682" s="1">
        <v>45579</v>
      </c>
      <c r="F3682" s="1" t="str">
        <f>TEXT(Table1[[#This Row],[order_date]],"dddd")</f>
        <v>Monday</v>
      </c>
      <c r="G3682">
        <f>HOUR(Table1[[#This Row],[order_time]])</f>
        <v>9</v>
      </c>
      <c r="H3682" s="2">
        <v>0.39061342592592591</v>
      </c>
      <c r="I3682" t="s">
        <v>11</v>
      </c>
      <c r="J3682" t="s">
        <v>25</v>
      </c>
      <c r="K3682">
        <v>1</v>
      </c>
      <c r="L3682">
        <v>1000</v>
      </c>
      <c r="M3682">
        <v>1000</v>
      </c>
      <c r="N3682">
        <f>IF(COUNTIFS($B$2:B3682,B3682)=1,1,0)</f>
        <v>1</v>
      </c>
    </row>
    <row r="3683" spans="1:14" x14ac:dyDescent="0.2">
      <c r="A3683">
        <v>3682</v>
      </c>
      <c r="B3683">
        <v>2856</v>
      </c>
      <c r="C3683">
        <f>1/COUNTIF(B:B,Table1[[#This Row],[order_id]])</f>
        <v>0.5</v>
      </c>
      <c r="D3683" t="str">
        <f>TEXT(Table1[[#This Row],[order_date]],"mmmm")</f>
        <v>October</v>
      </c>
      <c r="E3683" s="1">
        <v>45579</v>
      </c>
      <c r="F3683" s="1" t="str">
        <f>TEXT(Table1[[#This Row],[order_date]],"dddd")</f>
        <v>Monday</v>
      </c>
      <c r="G3683">
        <f>HOUR(Table1[[#This Row],[order_time]])</f>
        <v>18</v>
      </c>
      <c r="H3683" s="2">
        <v>0.77909722222222222</v>
      </c>
      <c r="I3683" t="s">
        <v>18</v>
      </c>
      <c r="J3683" t="s">
        <v>30</v>
      </c>
      <c r="K3683">
        <v>2</v>
      </c>
      <c r="L3683">
        <v>60</v>
      </c>
      <c r="M3683">
        <v>120</v>
      </c>
      <c r="N3683">
        <f>IF(COUNTIFS($B$2:B3683,B3683)=1,1,0)</f>
        <v>0</v>
      </c>
    </row>
    <row r="3684" spans="1:14" x14ac:dyDescent="0.2">
      <c r="A3684">
        <v>3683</v>
      </c>
      <c r="B3684">
        <v>2857</v>
      </c>
      <c r="C3684">
        <f>1/COUNTIF(B:B,Table1[[#This Row],[order_id]])</f>
        <v>0.5</v>
      </c>
      <c r="D3684" t="str">
        <f>TEXT(Table1[[#This Row],[order_date]],"mmmm")</f>
        <v>October</v>
      </c>
      <c r="E3684" s="1">
        <v>45580</v>
      </c>
      <c r="F3684" s="1" t="str">
        <f>TEXT(Table1[[#This Row],[order_date]],"dddd")</f>
        <v>Tuesday</v>
      </c>
      <c r="G3684">
        <f>HOUR(Table1[[#This Row],[order_time]])</f>
        <v>20</v>
      </c>
      <c r="H3684" s="2">
        <v>0.85871527777777779</v>
      </c>
      <c r="I3684" t="s">
        <v>18</v>
      </c>
      <c r="J3684" t="s">
        <v>26</v>
      </c>
      <c r="K3684">
        <v>5</v>
      </c>
      <c r="L3684">
        <v>55</v>
      </c>
      <c r="M3684">
        <v>275</v>
      </c>
      <c r="N3684">
        <f>IF(COUNTIFS($B$2:B3684,B3684)=1,1,0)</f>
        <v>1</v>
      </c>
    </row>
    <row r="3685" spans="1:14" x14ac:dyDescent="0.2">
      <c r="A3685">
        <v>3684</v>
      </c>
      <c r="B3685">
        <v>2857</v>
      </c>
      <c r="C3685">
        <f>1/COUNTIF(B:B,Table1[[#This Row],[order_id]])</f>
        <v>0.5</v>
      </c>
      <c r="D3685" t="str">
        <f>TEXT(Table1[[#This Row],[order_date]],"mmmm")</f>
        <v>October</v>
      </c>
      <c r="E3685" s="1">
        <v>45580</v>
      </c>
      <c r="F3685" s="1" t="str">
        <f>TEXT(Table1[[#This Row],[order_date]],"dddd")</f>
        <v>Tuesday</v>
      </c>
      <c r="G3685">
        <f>HOUR(Table1[[#This Row],[order_time]])</f>
        <v>20</v>
      </c>
      <c r="H3685" s="2">
        <v>0.83953703703703708</v>
      </c>
      <c r="I3685" t="s">
        <v>18</v>
      </c>
      <c r="J3685" t="s">
        <v>19</v>
      </c>
      <c r="K3685">
        <v>2</v>
      </c>
      <c r="L3685">
        <v>50</v>
      </c>
      <c r="M3685">
        <v>100</v>
      </c>
      <c r="N3685">
        <f>IF(COUNTIFS($B$2:B3685,B3685)=1,1,0)</f>
        <v>0</v>
      </c>
    </row>
    <row r="3686" spans="1:14" x14ac:dyDescent="0.2">
      <c r="A3686">
        <v>3685</v>
      </c>
      <c r="B3686">
        <v>2858</v>
      </c>
      <c r="C3686">
        <f>1/COUNTIF(B:B,Table1[[#This Row],[order_id]])</f>
        <v>1</v>
      </c>
      <c r="D3686" t="str">
        <f>TEXT(Table1[[#This Row],[order_date]],"mmmm")</f>
        <v>October</v>
      </c>
      <c r="E3686" s="1">
        <v>45580</v>
      </c>
      <c r="F3686" s="1" t="str">
        <f>TEXT(Table1[[#This Row],[order_date]],"dddd")</f>
        <v>Tuesday</v>
      </c>
      <c r="G3686">
        <f>HOUR(Table1[[#This Row],[order_time]])</f>
        <v>17</v>
      </c>
      <c r="H3686" s="2">
        <v>0.74716435185185182</v>
      </c>
      <c r="I3686" t="s">
        <v>11</v>
      </c>
      <c r="J3686" t="s">
        <v>12</v>
      </c>
      <c r="K3686">
        <v>2</v>
      </c>
      <c r="L3686">
        <v>650</v>
      </c>
      <c r="M3686">
        <v>1300</v>
      </c>
      <c r="N3686">
        <f>IF(COUNTIFS($B$2:B3686,B3686)=1,1,0)</f>
        <v>1</v>
      </c>
    </row>
    <row r="3687" spans="1:14" x14ac:dyDescent="0.2">
      <c r="A3687">
        <v>3686</v>
      </c>
      <c r="B3687">
        <v>2859</v>
      </c>
      <c r="C3687">
        <f>1/COUNTIF(B:B,Table1[[#This Row],[order_id]])</f>
        <v>1</v>
      </c>
      <c r="D3687" t="str">
        <f>TEXT(Table1[[#This Row],[order_date]],"mmmm")</f>
        <v>October</v>
      </c>
      <c r="E3687" s="1">
        <v>45580</v>
      </c>
      <c r="F3687" s="1" t="str">
        <f>TEXT(Table1[[#This Row],[order_date]],"dddd")</f>
        <v>Tuesday</v>
      </c>
      <c r="G3687">
        <f>HOUR(Table1[[#This Row],[order_time]])</f>
        <v>9</v>
      </c>
      <c r="H3687" s="2">
        <v>0.37884259259259262</v>
      </c>
      <c r="I3687" t="s">
        <v>18</v>
      </c>
      <c r="J3687" t="s">
        <v>19</v>
      </c>
      <c r="K3687">
        <v>2</v>
      </c>
      <c r="L3687">
        <v>50</v>
      </c>
      <c r="M3687">
        <v>100</v>
      </c>
      <c r="N3687">
        <f>IF(COUNTIFS($B$2:B3687,B3687)=1,1,0)</f>
        <v>1</v>
      </c>
    </row>
    <row r="3688" spans="1:14" x14ac:dyDescent="0.2">
      <c r="A3688">
        <v>3687</v>
      </c>
      <c r="B3688">
        <v>2860</v>
      </c>
      <c r="C3688">
        <f>1/COUNTIF(B:B,Table1[[#This Row],[order_id]])</f>
        <v>0.5</v>
      </c>
      <c r="D3688" t="str">
        <f>TEXT(Table1[[#This Row],[order_date]],"mmmm")</f>
        <v>October</v>
      </c>
      <c r="E3688" s="1">
        <v>45580</v>
      </c>
      <c r="F3688" s="1" t="str">
        <f>TEXT(Table1[[#This Row],[order_date]],"dddd")</f>
        <v>Tuesday</v>
      </c>
      <c r="G3688">
        <f>HOUR(Table1[[#This Row],[order_time]])</f>
        <v>15</v>
      </c>
      <c r="H3688" s="2">
        <v>0.65298611111111116</v>
      </c>
      <c r="I3688" t="s">
        <v>9</v>
      </c>
      <c r="J3688" t="s">
        <v>20</v>
      </c>
      <c r="K3688">
        <v>2</v>
      </c>
      <c r="L3688">
        <v>25</v>
      </c>
      <c r="M3688">
        <v>50</v>
      </c>
      <c r="N3688">
        <f>IF(COUNTIFS($B$2:B3688,B3688)=1,1,0)</f>
        <v>1</v>
      </c>
    </row>
    <row r="3689" spans="1:14" x14ac:dyDescent="0.2">
      <c r="A3689">
        <v>3688</v>
      </c>
      <c r="B3689">
        <v>2860</v>
      </c>
      <c r="C3689">
        <f>1/COUNTIF(B:B,Table1[[#This Row],[order_id]])</f>
        <v>0.5</v>
      </c>
      <c r="D3689" t="str">
        <f>TEXT(Table1[[#This Row],[order_date]],"mmmm")</f>
        <v>October</v>
      </c>
      <c r="E3689" s="1">
        <v>45580</v>
      </c>
      <c r="F3689" s="1" t="str">
        <f>TEXT(Table1[[#This Row],[order_date]],"dddd")</f>
        <v>Tuesday</v>
      </c>
      <c r="G3689">
        <f>HOUR(Table1[[#This Row],[order_time]])</f>
        <v>18</v>
      </c>
      <c r="H3689" s="2">
        <v>0.77224537037037033</v>
      </c>
      <c r="I3689" t="s">
        <v>11</v>
      </c>
      <c r="J3689" t="s">
        <v>13</v>
      </c>
      <c r="K3689">
        <v>1</v>
      </c>
      <c r="L3689">
        <v>680</v>
      </c>
      <c r="M3689">
        <v>680</v>
      </c>
      <c r="N3689">
        <f>IF(COUNTIFS($B$2:B3689,B3689)=1,1,0)</f>
        <v>0</v>
      </c>
    </row>
    <row r="3690" spans="1:14" x14ac:dyDescent="0.2">
      <c r="A3690">
        <v>3689</v>
      </c>
      <c r="B3690">
        <v>2861</v>
      </c>
      <c r="C3690">
        <f>1/COUNTIF(B:B,Table1[[#This Row],[order_id]])</f>
        <v>0.5</v>
      </c>
      <c r="D3690" t="str">
        <f>TEXT(Table1[[#This Row],[order_date]],"mmmm")</f>
        <v>October</v>
      </c>
      <c r="E3690" s="1">
        <v>45580</v>
      </c>
      <c r="F3690" s="1" t="str">
        <f>TEXT(Table1[[#This Row],[order_date]],"dddd")</f>
        <v>Tuesday</v>
      </c>
      <c r="G3690">
        <f>HOUR(Table1[[#This Row],[order_time]])</f>
        <v>10</v>
      </c>
      <c r="H3690" s="2">
        <v>0.42686342592592591</v>
      </c>
      <c r="I3690" t="s">
        <v>16</v>
      </c>
      <c r="J3690" t="s">
        <v>28</v>
      </c>
      <c r="K3690">
        <v>1</v>
      </c>
      <c r="L3690">
        <v>25</v>
      </c>
      <c r="M3690">
        <v>25</v>
      </c>
      <c r="N3690">
        <f>IF(COUNTIFS($B$2:B3690,B3690)=1,1,0)</f>
        <v>1</v>
      </c>
    </row>
    <row r="3691" spans="1:14" x14ac:dyDescent="0.2">
      <c r="A3691">
        <v>3690</v>
      </c>
      <c r="B3691">
        <v>2861</v>
      </c>
      <c r="C3691">
        <f>1/COUNTIF(B:B,Table1[[#This Row],[order_id]])</f>
        <v>0.5</v>
      </c>
      <c r="D3691" t="str">
        <f>TEXT(Table1[[#This Row],[order_date]],"mmmm")</f>
        <v>October</v>
      </c>
      <c r="E3691" s="1">
        <v>45580</v>
      </c>
      <c r="F3691" s="1" t="str">
        <f>TEXT(Table1[[#This Row],[order_date]],"dddd")</f>
        <v>Tuesday</v>
      </c>
      <c r="G3691">
        <f>HOUR(Table1[[#This Row],[order_time]])</f>
        <v>13</v>
      </c>
      <c r="H3691" s="2">
        <v>0.54387731481481483</v>
      </c>
      <c r="I3691" t="s">
        <v>11</v>
      </c>
      <c r="J3691" t="s">
        <v>13</v>
      </c>
      <c r="K3691">
        <v>1</v>
      </c>
      <c r="L3691">
        <v>680</v>
      </c>
      <c r="M3691">
        <v>680</v>
      </c>
      <c r="N3691">
        <f>IF(COUNTIFS($B$2:B3691,B3691)=1,1,0)</f>
        <v>0</v>
      </c>
    </row>
    <row r="3692" spans="1:14" x14ac:dyDescent="0.2">
      <c r="A3692">
        <v>3691</v>
      </c>
      <c r="B3692">
        <v>2862</v>
      </c>
      <c r="C3692">
        <f>1/COUNTIF(B:B,Table1[[#This Row],[order_id]])</f>
        <v>1</v>
      </c>
      <c r="D3692" t="str">
        <f>TEXT(Table1[[#This Row],[order_date]],"mmmm")</f>
        <v>October</v>
      </c>
      <c r="E3692" s="1">
        <v>45580</v>
      </c>
      <c r="F3692" s="1" t="str">
        <f>TEXT(Table1[[#This Row],[order_date]],"dddd")</f>
        <v>Tuesday</v>
      </c>
      <c r="G3692">
        <f>HOUR(Table1[[#This Row],[order_time]])</f>
        <v>12</v>
      </c>
      <c r="H3692" s="2">
        <v>0.50049768518518523</v>
      </c>
      <c r="I3692" t="s">
        <v>16</v>
      </c>
      <c r="J3692" t="s">
        <v>17</v>
      </c>
      <c r="K3692">
        <v>5</v>
      </c>
      <c r="L3692">
        <v>20</v>
      </c>
      <c r="M3692">
        <v>100</v>
      </c>
      <c r="N3692">
        <f>IF(COUNTIFS($B$2:B3692,B3692)=1,1,0)</f>
        <v>1</v>
      </c>
    </row>
    <row r="3693" spans="1:14" x14ac:dyDescent="0.2">
      <c r="A3693">
        <v>3692</v>
      </c>
      <c r="B3693">
        <v>2863</v>
      </c>
      <c r="C3693">
        <f>1/COUNTIF(B:B,Table1[[#This Row],[order_id]])</f>
        <v>1</v>
      </c>
      <c r="D3693" t="str">
        <f>TEXT(Table1[[#This Row],[order_date]],"mmmm")</f>
        <v>October</v>
      </c>
      <c r="E3693" s="1">
        <v>45580</v>
      </c>
      <c r="F3693" s="1" t="str">
        <f>TEXT(Table1[[#This Row],[order_date]],"dddd")</f>
        <v>Tuesday</v>
      </c>
      <c r="G3693">
        <f>HOUR(Table1[[#This Row],[order_time]])</f>
        <v>18</v>
      </c>
      <c r="H3693" s="2">
        <v>0.78259259259259262</v>
      </c>
      <c r="I3693" t="s">
        <v>18</v>
      </c>
      <c r="J3693" t="s">
        <v>31</v>
      </c>
      <c r="K3693">
        <v>2</v>
      </c>
      <c r="L3693">
        <v>45</v>
      </c>
      <c r="M3693">
        <v>90</v>
      </c>
      <c r="N3693">
        <f>IF(COUNTIFS($B$2:B3693,B3693)=1,1,0)</f>
        <v>1</v>
      </c>
    </row>
    <row r="3694" spans="1:14" x14ac:dyDescent="0.2">
      <c r="A3694">
        <v>3693</v>
      </c>
      <c r="B3694">
        <v>2864</v>
      </c>
      <c r="C3694">
        <f>1/COUNTIF(B:B,Table1[[#This Row],[order_id]])</f>
        <v>0.5</v>
      </c>
      <c r="D3694" t="str">
        <f>TEXT(Table1[[#This Row],[order_date]],"mmmm")</f>
        <v>October</v>
      </c>
      <c r="E3694" s="1">
        <v>45581</v>
      </c>
      <c r="F3694" s="1" t="str">
        <f>TEXT(Table1[[#This Row],[order_date]],"dddd")</f>
        <v>Wednesday</v>
      </c>
      <c r="G3694">
        <f>HOUR(Table1[[#This Row],[order_time]])</f>
        <v>10</v>
      </c>
      <c r="H3694" s="2">
        <v>0.43247685185185186</v>
      </c>
      <c r="I3694" t="s">
        <v>18</v>
      </c>
      <c r="J3694" t="s">
        <v>27</v>
      </c>
      <c r="K3694">
        <v>2</v>
      </c>
      <c r="L3694">
        <v>40</v>
      </c>
      <c r="M3694">
        <v>80</v>
      </c>
      <c r="N3694">
        <f>IF(COUNTIFS($B$2:B3694,B3694)=1,1,0)</f>
        <v>1</v>
      </c>
    </row>
    <row r="3695" spans="1:14" x14ac:dyDescent="0.2">
      <c r="A3695">
        <v>3694</v>
      </c>
      <c r="B3695">
        <v>2864</v>
      </c>
      <c r="C3695">
        <f>1/COUNTIF(B:B,Table1[[#This Row],[order_id]])</f>
        <v>0.5</v>
      </c>
      <c r="D3695" t="str">
        <f>TEXT(Table1[[#This Row],[order_date]],"mmmm")</f>
        <v>October</v>
      </c>
      <c r="E3695" s="1">
        <v>45581</v>
      </c>
      <c r="F3695" s="1" t="str">
        <f>TEXT(Table1[[#This Row],[order_date]],"dddd")</f>
        <v>Wednesday</v>
      </c>
      <c r="G3695">
        <f>HOUR(Table1[[#This Row],[order_time]])</f>
        <v>9</v>
      </c>
      <c r="H3695" s="2">
        <v>0.38512731481481483</v>
      </c>
      <c r="I3695" t="s">
        <v>16</v>
      </c>
      <c r="J3695" t="s">
        <v>28</v>
      </c>
      <c r="K3695">
        <v>4</v>
      </c>
      <c r="L3695">
        <v>25</v>
      </c>
      <c r="M3695">
        <v>100</v>
      </c>
      <c r="N3695">
        <f>IF(COUNTIFS($B$2:B3695,B3695)=1,1,0)</f>
        <v>0</v>
      </c>
    </row>
    <row r="3696" spans="1:14" x14ac:dyDescent="0.2">
      <c r="A3696">
        <v>3695</v>
      </c>
      <c r="B3696">
        <v>2865</v>
      </c>
      <c r="C3696">
        <f>1/COUNTIF(B:B,Table1[[#This Row],[order_id]])</f>
        <v>0.33333333333333331</v>
      </c>
      <c r="D3696" t="str">
        <f>TEXT(Table1[[#This Row],[order_date]],"mmmm")</f>
        <v>October</v>
      </c>
      <c r="E3696" s="1">
        <v>45581</v>
      </c>
      <c r="F3696" s="1" t="str">
        <f>TEXT(Table1[[#This Row],[order_date]],"dddd")</f>
        <v>Wednesday</v>
      </c>
      <c r="G3696">
        <f>HOUR(Table1[[#This Row],[order_time]])</f>
        <v>11</v>
      </c>
      <c r="H3696" s="2">
        <v>0.4871064814814815</v>
      </c>
      <c r="I3696" t="s">
        <v>11</v>
      </c>
      <c r="J3696" t="s">
        <v>13</v>
      </c>
      <c r="K3696">
        <v>4</v>
      </c>
      <c r="L3696">
        <v>680</v>
      </c>
      <c r="M3696">
        <v>2720</v>
      </c>
      <c r="N3696">
        <f>IF(COUNTIFS($B$2:B3696,B3696)=1,1,0)</f>
        <v>1</v>
      </c>
    </row>
    <row r="3697" spans="1:14" x14ac:dyDescent="0.2">
      <c r="A3697">
        <v>3696</v>
      </c>
      <c r="B3697">
        <v>2865</v>
      </c>
      <c r="C3697">
        <f>1/COUNTIF(B:B,Table1[[#This Row],[order_id]])</f>
        <v>0.33333333333333331</v>
      </c>
      <c r="D3697" t="str">
        <f>TEXT(Table1[[#This Row],[order_date]],"mmmm")</f>
        <v>October</v>
      </c>
      <c r="E3697" s="1">
        <v>45581</v>
      </c>
      <c r="F3697" s="1" t="str">
        <f>TEXT(Table1[[#This Row],[order_date]],"dddd")</f>
        <v>Wednesday</v>
      </c>
      <c r="G3697">
        <f>HOUR(Table1[[#This Row],[order_time]])</f>
        <v>12</v>
      </c>
      <c r="H3697" s="2">
        <v>0.53638888888888892</v>
      </c>
      <c r="I3697" t="s">
        <v>9</v>
      </c>
      <c r="J3697" t="s">
        <v>22</v>
      </c>
      <c r="K3697">
        <v>2</v>
      </c>
      <c r="L3697">
        <v>15</v>
      </c>
      <c r="M3697">
        <v>30</v>
      </c>
      <c r="N3697">
        <f>IF(COUNTIFS($B$2:B3697,B3697)=1,1,0)</f>
        <v>0</v>
      </c>
    </row>
    <row r="3698" spans="1:14" x14ac:dyDescent="0.2">
      <c r="A3698">
        <v>3697</v>
      </c>
      <c r="B3698">
        <v>2865</v>
      </c>
      <c r="C3698">
        <f>1/COUNTIF(B:B,Table1[[#This Row],[order_id]])</f>
        <v>0.33333333333333331</v>
      </c>
      <c r="D3698" t="str">
        <f>TEXT(Table1[[#This Row],[order_date]],"mmmm")</f>
        <v>October</v>
      </c>
      <c r="E3698" s="1">
        <v>45581</v>
      </c>
      <c r="F3698" s="1" t="str">
        <f>TEXT(Table1[[#This Row],[order_date]],"dddd")</f>
        <v>Wednesday</v>
      </c>
      <c r="G3698">
        <f>HOUR(Table1[[#This Row],[order_time]])</f>
        <v>14</v>
      </c>
      <c r="H3698" s="2">
        <v>0.60875000000000001</v>
      </c>
      <c r="I3698" t="s">
        <v>9</v>
      </c>
      <c r="J3698" t="s">
        <v>20</v>
      </c>
      <c r="K3698">
        <v>2</v>
      </c>
      <c r="L3698">
        <v>25</v>
      </c>
      <c r="M3698">
        <v>50</v>
      </c>
      <c r="N3698">
        <f>IF(COUNTIFS($B$2:B3698,B3698)=1,1,0)</f>
        <v>0</v>
      </c>
    </row>
    <row r="3699" spans="1:14" x14ac:dyDescent="0.2">
      <c r="A3699">
        <v>3698</v>
      </c>
      <c r="B3699">
        <v>2866</v>
      </c>
      <c r="C3699">
        <f>1/COUNTIF(B:B,Table1[[#This Row],[order_id]])</f>
        <v>0.33333333333333331</v>
      </c>
      <c r="D3699" t="str">
        <f>TEXT(Table1[[#This Row],[order_date]],"mmmm")</f>
        <v>October</v>
      </c>
      <c r="E3699" s="1">
        <v>45581</v>
      </c>
      <c r="F3699" s="1" t="str">
        <f>TEXT(Table1[[#This Row],[order_date]],"dddd")</f>
        <v>Wednesday</v>
      </c>
      <c r="G3699">
        <f>HOUR(Table1[[#This Row],[order_time]])</f>
        <v>19</v>
      </c>
      <c r="H3699" s="2">
        <v>0.82916666666666672</v>
      </c>
      <c r="I3699" t="s">
        <v>9</v>
      </c>
      <c r="J3699" t="s">
        <v>20</v>
      </c>
      <c r="K3699">
        <v>4</v>
      </c>
      <c r="L3699">
        <v>25</v>
      </c>
      <c r="M3699">
        <v>100</v>
      </c>
      <c r="N3699">
        <f>IF(COUNTIFS($B$2:B3699,B3699)=1,1,0)</f>
        <v>1</v>
      </c>
    </row>
    <row r="3700" spans="1:14" x14ac:dyDescent="0.2">
      <c r="A3700">
        <v>3699</v>
      </c>
      <c r="B3700">
        <v>2866</v>
      </c>
      <c r="C3700">
        <f>1/COUNTIF(B:B,Table1[[#This Row],[order_id]])</f>
        <v>0.33333333333333331</v>
      </c>
      <c r="D3700" t="str">
        <f>TEXT(Table1[[#This Row],[order_date]],"mmmm")</f>
        <v>October</v>
      </c>
      <c r="E3700" s="1">
        <v>45581</v>
      </c>
      <c r="F3700" s="1" t="str">
        <f>TEXT(Table1[[#This Row],[order_date]],"dddd")</f>
        <v>Wednesday</v>
      </c>
      <c r="G3700">
        <f>HOUR(Table1[[#This Row],[order_time]])</f>
        <v>16</v>
      </c>
      <c r="H3700" s="2">
        <v>0.70093749999999999</v>
      </c>
      <c r="I3700" t="s">
        <v>18</v>
      </c>
      <c r="J3700" t="s">
        <v>19</v>
      </c>
      <c r="K3700">
        <v>1</v>
      </c>
      <c r="L3700">
        <v>50</v>
      </c>
      <c r="M3700">
        <v>50</v>
      </c>
      <c r="N3700">
        <f>IF(COUNTIFS($B$2:B3700,B3700)=1,1,0)</f>
        <v>0</v>
      </c>
    </row>
    <row r="3701" spans="1:14" x14ac:dyDescent="0.2">
      <c r="A3701">
        <v>3700</v>
      </c>
      <c r="B3701">
        <v>2866</v>
      </c>
      <c r="C3701">
        <f>1/COUNTIF(B:B,Table1[[#This Row],[order_id]])</f>
        <v>0.33333333333333331</v>
      </c>
      <c r="D3701" t="str">
        <f>TEXT(Table1[[#This Row],[order_date]],"mmmm")</f>
        <v>October</v>
      </c>
      <c r="E3701" s="1">
        <v>45581</v>
      </c>
      <c r="F3701" s="1" t="str">
        <f>TEXT(Table1[[#This Row],[order_date]],"dddd")</f>
        <v>Wednesday</v>
      </c>
      <c r="G3701">
        <f>HOUR(Table1[[#This Row],[order_time]])</f>
        <v>9</v>
      </c>
      <c r="H3701" s="2">
        <v>0.38906249999999998</v>
      </c>
      <c r="I3701" t="s">
        <v>9</v>
      </c>
      <c r="J3701" t="s">
        <v>21</v>
      </c>
      <c r="K3701">
        <v>1</v>
      </c>
      <c r="L3701">
        <v>10</v>
      </c>
      <c r="M3701">
        <v>10</v>
      </c>
      <c r="N3701">
        <f>IF(COUNTIFS($B$2:B3701,B3701)=1,1,0)</f>
        <v>0</v>
      </c>
    </row>
    <row r="3702" spans="1:14" x14ac:dyDescent="0.2">
      <c r="A3702">
        <v>3701</v>
      </c>
      <c r="B3702">
        <v>2867</v>
      </c>
      <c r="C3702">
        <f>1/COUNTIF(B:B,Table1[[#This Row],[order_id]])</f>
        <v>0.5</v>
      </c>
      <c r="D3702" t="str">
        <f>TEXT(Table1[[#This Row],[order_date]],"mmmm")</f>
        <v>October</v>
      </c>
      <c r="E3702" s="1">
        <v>45581</v>
      </c>
      <c r="F3702" s="1" t="str">
        <f>TEXT(Table1[[#This Row],[order_date]],"dddd")</f>
        <v>Wednesday</v>
      </c>
      <c r="G3702">
        <f>HOUR(Table1[[#This Row],[order_time]])</f>
        <v>11</v>
      </c>
      <c r="H3702" s="2">
        <v>0.46430555555555558</v>
      </c>
      <c r="I3702" t="s">
        <v>18</v>
      </c>
      <c r="J3702" t="s">
        <v>26</v>
      </c>
      <c r="K3702">
        <v>4</v>
      </c>
      <c r="L3702">
        <v>55</v>
      </c>
      <c r="M3702">
        <v>220</v>
      </c>
      <c r="N3702">
        <f>IF(COUNTIFS($B$2:B3702,B3702)=1,1,0)</f>
        <v>1</v>
      </c>
    </row>
    <row r="3703" spans="1:14" x14ac:dyDescent="0.2">
      <c r="A3703">
        <v>3702</v>
      </c>
      <c r="B3703">
        <v>2867</v>
      </c>
      <c r="C3703">
        <f>1/COUNTIF(B:B,Table1[[#This Row],[order_id]])</f>
        <v>0.5</v>
      </c>
      <c r="D3703" t="str">
        <f>TEXT(Table1[[#This Row],[order_date]],"mmmm")</f>
        <v>October</v>
      </c>
      <c r="E3703" s="1">
        <v>45581</v>
      </c>
      <c r="F3703" s="1" t="str">
        <f>TEXT(Table1[[#This Row],[order_date]],"dddd")</f>
        <v>Wednesday</v>
      </c>
      <c r="G3703">
        <f>HOUR(Table1[[#This Row],[order_time]])</f>
        <v>11</v>
      </c>
      <c r="H3703" s="2">
        <v>0.46307870370370369</v>
      </c>
      <c r="I3703" t="s">
        <v>16</v>
      </c>
      <c r="J3703" t="s">
        <v>17</v>
      </c>
      <c r="K3703">
        <v>2</v>
      </c>
      <c r="L3703">
        <v>20</v>
      </c>
      <c r="M3703">
        <v>40</v>
      </c>
      <c r="N3703">
        <f>IF(COUNTIFS($B$2:B3703,B3703)=1,1,0)</f>
        <v>0</v>
      </c>
    </row>
    <row r="3704" spans="1:14" x14ac:dyDescent="0.2">
      <c r="A3704">
        <v>3703</v>
      </c>
      <c r="B3704">
        <v>2868</v>
      </c>
      <c r="C3704">
        <f>1/COUNTIF(B:B,Table1[[#This Row],[order_id]])</f>
        <v>1</v>
      </c>
      <c r="D3704" t="str">
        <f>TEXT(Table1[[#This Row],[order_date]],"mmmm")</f>
        <v>October</v>
      </c>
      <c r="E3704" s="1">
        <v>45581</v>
      </c>
      <c r="F3704" s="1" t="str">
        <f>TEXT(Table1[[#This Row],[order_date]],"dddd")</f>
        <v>Wednesday</v>
      </c>
      <c r="G3704">
        <f>HOUR(Table1[[#This Row],[order_time]])</f>
        <v>16</v>
      </c>
      <c r="H3704" s="2">
        <v>0.67027777777777775</v>
      </c>
      <c r="I3704" t="s">
        <v>16</v>
      </c>
      <c r="J3704" t="s">
        <v>17</v>
      </c>
      <c r="K3704">
        <v>3</v>
      </c>
      <c r="L3704">
        <v>20</v>
      </c>
      <c r="M3704">
        <v>60</v>
      </c>
      <c r="N3704">
        <f>IF(COUNTIFS($B$2:B3704,B3704)=1,1,0)</f>
        <v>1</v>
      </c>
    </row>
    <row r="3705" spans="1:14" x14ac:dyDescent="0.2">
      <c r="A3705">
        <v>3704</v>
      </c>
      <c r="B3705">
        <v>2869</v>
      </c>
      <c r="C3705">
        <f>1/COUNTIF(B:B,Table1[[#This Row],[order_id]])</f>
        <v>1</v>
      </c>
      <c r="D3705" t="str">
        <f>TEXT(Table1[[#This Row],[order_date]],"mmmm")</f>
        <v>October</v>
      </c>
      <c r="E3705" s="1">
        <v>45581</v>
      </c>
      <c r="F3705" s="1" t="str">
        <f>TEXT(Table1[[#This Row],[order_date]],"dddd")</f>
        <v>Wednesday</v>
      </c>
      <c r="G3705">
        <f>HOUR(Table1[[#This Row],[order_time]])</f>
        <v>10</v>
      </c>
      <c r="H3705" s="2">
        <v>0.42405092592592591</v>
      </c>
      <c r="I3705" t="s">
        <v>11</v>
      </c>
      <c r="J3705" t="s">
        <v>15</v>
      </c>
      <c r="K3705">
        <v>5</v>
      </c>
      <c r="L3705">
        <v>600</v>
      </c>
      <c r="M3705">
        <v>3000</v>
      </c>
      <c r="N3705">
        <f>IF(COUNTIFS($B$2:B3705,B3705)=1,1,0)</f>
        <v>1</v>
      </c>
    </row>
    <row r="3706" spans="1:14" x14ac:dyDescent="0.2">
      <c r="A3706">
        <v>3705</v>
      </c>
      <c r="B3706">
        <v>2870</v>
      </c>
      <c r="C3706">
        <f>1/COUNTIF(B:B,Table1[[#This Row],[order_id]])</f>
        <v>1</v>
      </c>
      <c r="D3706" t="str">
        <f>TEXT(Table1[[#This Row],[order_date]],"mmmm")</f>
        <v>October</v>
      </c>
      <c r="E3706" s="1">
        <v>45581</v>
      </c>
      <c r="F3706" s="1" t="str">
        <f>TEXT(Table1[[#This Row],[order_date]],"dddd")</f>
        <v>Wednesday</v>
      </c>
      <c r="G3706">
        <f>HOUR(Table1[[#This Row],[order_time]])</f>
        <v>15</v>
      </c>
      <c r="H3706" s="2">
        <v>0.63287037037037042</v>
      </c>
      <c r="I3706" t="s">
        <v>16</v>
      </c>
      <c r="J3706" t="s">
        <v>24</v>
      </c>
      <c r="K3706">
        <v>1</v>
      </c>
      <c r="L3706">
        <v>35</v>
      </c>
      <c r="M3706">
        <v>35</v>
      </c>
      <c r="N3706">
        <f>IF(COUNTIFS($B$2:B3706,B3706)=1,1,0)</f>
        <v>1</v>
      </c>
    </row>
    <row r="3707" spans="1:14" x14ac:dyDescent="0.2">
      <c r="A3707">
        <v>3706</v>
      </c>
      <c r="B3707">
        <v>2871</v>
      </c>
      <c r="C3707">
        <f>1/COUNTIF(B:B,Table1[[#This Row],[order_id]])</f>
        <v>1</v>
      </c>
      <c r="D3707" t="str">
        <f>TEXT(Table1[[#This Row],[order_date]],"mmmm")</f>
        <v>October</v>
      </c>
      <c r="E3707" s="1">
        <v>45581</v>
      </c>
      <c r="F3707" s="1" t="str">
        <f>TEXT(Table1[[#This Row],[order_date]],"dddd")</f>
        <v>Wednesday</v>
      </c>
      <c r="G3707">
        <f>HOUR(Table1[[#This Row],[order_time]])</f>
        <v>19</v>
      </c>
      <c r="H3707" s="2">
        <v>0.81465277777777778</v>
      </c>
      <c r="I3707" t="s">
        <v>16</v>
      </c>
      <c r="J3707" t="s">
        <v>23</v>
      </c>
      <c r="K3707">
        <v>2</v>
      </c>
      <c r="L3707">
        <v>30</v>
      </c>
      <c r="M3707">
        <v>60</v>
      </c>
      <c r="N3707">
        <f>IF(COUNTIFS($B$2:B3707,B3707)=1,1,0)</f>
        <v>1</v>
      </c>
    </row>
    <row r="3708" spans="1:14" x14ac:dyDescent="0.2">
      <c r="A3708">
        <v>3707</v>
      </c>
      <c r="B3708">
        <v>2872</v>
      </c>
      <c r="C3708">
        <f>1/COUNTIF(B:B,Table1[[#This Row],[order_id]])</f>
        <v>0.33333333333333331</v>
      </c>
      <c r="D3708" t="str">
        <f>TEXT(Table1[[#This Row],[order_date]],"mmmm")</f>
        <v>October</v>
      </c>
      <c r="E3708" s="1">
        <v>45582</v>
      </c>
      <c r="F3708" s="1" t="str">
        <f>TEXT(Table1[[#This Row],[order_date]],"dddd")</f>
        <v>Thursday</v>
      </c>
      <c r="G3708">
        <f>HOUR(Table1[[#This Row],[order_time]])</f>
        <v>16</v>
      </c>
      <c r="H3708" s="2">
        <v>0.68685185185185182</v>
      </c>
      <c r="I3708" t="s">
        <v>16</v>
      </c>
      <c r="J3708" t="s">
        <v>24</v>
      </c>
      <c r="K3708">
        <v>4</v>
      </c>
      <c r="L3708">
        <v>35</v>
      </c>
      <c r="M3708">
        <v>140</v>
      </c>
      <c r="N3708">
        <f>IF(COUNTIFS($B$2:B3708,B3708)=1,1,0)</f>
        <v>1</v>
      </c>
    </row>
    <row r="3709" spans="1:14" x14ac:dyDescent="0.2">
      <c r="A3709">
        <v>3708</v>
      </c>
      <c r="B3709">
        <v>2872</v>
      </c>
      <c r="C3709">
        <f>1/COUNTIF(B:B,Table1[[#This Row],[order_id]])</f>
        <v>0.33333333333333331</v>
      </c>
      <c r="D3709" t="str">
        <f>TEXT(Table1[[#This Row],[order_date]],"mmmm")</f>
        <v>October</v>
      </c>
      <c r="E3709" s="1">
        <v>45582</v>
      </c>
      <c r="F3709" s="1" t="str">
        <f>TEXT(Table1[[#This Row],[order_date]],"dddd")</f>
        <v>Thursday</v>
      </c>
      <c r="G3709">
        <f>HOUR(Table1[[#This Row],[order_time]])</f>
        <v>9</v>
      </c>
      <c r="H3709" s="2">
        <v>0.40528935185185183</v>
      </c>
      <c r="I3709" t="s">
        <v>9</v>
      </c>
      <c r="J3709" t="s">
        <v>29</v>
      </c>
      <c r="K3709">
        <v>5</v>
      </c>
      <c r="L3709">
        <v>5</v>
      </c>
      <c r="M3709">
        <v>25</v>
      </c>
      <c r="N3709">
        <f>IF(COUNTIFS($B$2:B3709,B3709)=1,1,0)</f>
        <v>0</v>
      </c>
    </row>
    <row r="3710" spans="1:14" x14ac:dyDescent="0.2">
      <c r="A3710">
        <v>3709</v>
      </c>
      <c r="B3710">
        <v>2872</v>
      </c>
      <c r="C3710">
        <f>1/COUNTIF(B:B,Table1[[#This Row],[order_id]])</f>
        <v>0.33333333333333331</v>
      </c>
      <c r="D3710" t="str">
        <f>TEXT(Table1[[#This Row],[order_date]],"mmmm")</f>
        <v>October</v>
      </c>
      <c r="E3710" s="1">
        <v>45582</v>
      </c>
      <c r="F3710" s="1" t="str">
        <f>TEXT(Table1[[#This Row],[order_date]],"dddd")</f>
        <v>Thursday</v>
      </c>
      <c r="G3710">
        <f>HOUR(Table1[[#This Row],[order_time]])</f>
        <v>9</v>
      </c>
      <c r="H3710" s="2">
        <v>0.41629629629629628</v>
      </c>
      <c r="I3710" t="s">
        <v>18</v>
      </c>
      <c r="J3710" t="s">
        <v>19</v>
      </c>
      <c r="K3710">
        <v>2</v>
      </c>
      <c r="L3710">
        <v>50</v>
      </c>
      <c r="M3710">
        <v>100</v>
      </c>
      <c r="N3710">
        <f>IF(COUNTIFS($B$2:B3710,B3710)=1,1,0)</f>
        <v>0</v>
      </c>
    </row>
    <row r="3711" spans="1:14" x14ac:dyDescent="0.2">
      <c r="A3711">
        <v>3710</v>
      </c>
      <c r="B3711">
        <v>2873</v>
      </c>
      <c r="C3711">
        <f>1/COUNTIF(B:B,Table1[[#This Row],[order_id]])</f>
        <v>0.33333333333333331</v>
      </c>
      <c r="D3711" t="str">
        <f>TEXT(Table1[[#This Row],[order_date]],"mmmm")</f>
        <v>October</v>
      </c>
      <c r="E3711" s="1">
        <v>45582</v>
      </c>
      <c r="F3711" s="1" t="str">
        <f>TEXT(Table1[[#This Row],[order_date]],"dddd")</f>
        <v>Thursday</v>
      </c>
      <c r="G3711">
        <f>HOUR(Table1[[#This Row],[order_time]])</f>
        <v>16</v>
      </c>
      <c r="H3711" s="2">
        <v>0.67575231481481479</v>
      </c>
      <c r="I3711" t="s">
        <v>16</v>
      </c>
      <c r="J3711" t="s">
        <v>28</v>
      </c>
      <c r="K3711">
        <v>3</v>
      </c>
      <c r="L3711">
        <v>25</v>
      </c>
      <c r="M3711">
        <v>75</v>
      </c>
      <c r="N3711">
        <f>IF(COUNTIFS($B$2:B3711,B3711)=1,1,0)</f>
        <v>1</v>
      </c>
    </row>
    <row r="3712" spans="1:14" x14ac:dyDescent="0.2">
      <c r="A3712">
        <v>3711</v>
      </c>
      <c r="B3712">
        <v>2873</v>
      </c>
      <c r="C3712">
        <f>1/COUNTIF(B:B,Table1[[#This Row],[order_id]])</f>
        <v>0.33333333333333331</v>
      </c>
      <c r="D3712" t="str">
        <f>TEXT(Table1[[#This Row],[order_date]],"mmmm")</f>
        <v>October</v>
      </c>
      <c r="E3712" s="1">
        <v>45582</v>
      </c>
      <c r="F3712" s="1" t="str">
        <f>TEXT(Table1[[#This Row],[order_date]],"dddd")</f>
        <v>Thursday</v>
      </c>
      <c r="G3712">
        <f>HOUR(Table1[[#This Row],[order_time]])</f>
        <v>11</v>
      </c>
      <c r="H3712" s="2">
        <v>0.48287037037037039</v>
      </c>
      <c r="I3712" t="s">
        <v>16</v>
      </c>
      <c r="J3712" t="s">
        <v>17</v>
      </c>
      <c r="K3712">
        <v>4</v>
      </c>
      <c r="L3712">
        <v>20</v>
      </c>
      <c r="M3712">
        <v>80</v>
      </c>
      <c r="N3712">
        <f>IF(COUNTIFS($B$2:B3712,B3712)=1,1,0)</f>
        <v>0</v>
      </c>
    </row>
    <row r="3713" spans="1:14" x14ac:dyDescent="0.2">
      <c r="A3713">
        <v>3712</v>
      </c>
      <c r="B3713">
        <v>2873</v>
      </c>
      <c r="C3713">
        <f>1/COUNTIF(B:B,Table1[[#This Row],[order_id]])</f>
        <v>0.33333333333333331</v>
      </c>
      <c r="D3713" t="str">
        <f>TEXT(Table1[[#This Row],[order_date]],"mmmm")</f>
        <v>October</v>
      </c>
      <c r="E3713" s="1">
        <v>45582</v>
      </c>
      <c r="F3713" s="1" t="str">
        <f>TEXT(Table1[[#This Row],[order_date]],"dddd")</f>
        <v>Thursday</v>
      </c>
      <c r="G3713">
        <f>HOUR(Table1[[#This Row],[order_time]])</f>
        <v>10</v>
      </c>
      <c r="H3713" s="2">
        <v>0.43233796296296295</v>
      </c>
      <c r="I3713" t="s">
        <v>9</v>
      </c>
      <c r="J3713" t="s">
        <v>20</v>
      </c>
      <c r="K3713">
        <v>5</v>
      </c>
      <c r="L3713">
        <v>25</v>
      </c>
      <c r="M3713">
        <v>125</v>
      </c>
      <c r="N3713">
        <f>IF(COUNTIFS($B$2:B3713,B3713)=1,1,0)</f>
        <v>0</v>
      </c>
    </row>
    <row r="3714" spans="1:14" x14ac:dyDescent="0.2">
      <c r="A3714">
        <v>3713</v>
      </c>
      <c r="B3714">
        <v>2874</v>
      </c>
      <c r="C3714">
        <f>1/COUNTIF(B:B,Table1[[#This Row],[order_id]])</f>
        <v>0.33333333333333331</v>
      </c>
      <c r="D3714" t="str">
        <f>TEXT(Table1[[#This Row],[order_date]],"mmmm")</f>
        <v>October</v>
      </c>
      <c r="E3714" s="1">
        <v>45582</v>
      </c>
      <c r="F3714" s="1" t="str">
        <f>TEXT(Table1[[#This Row],[order_date]],"dddd")</f>
        <v>Thursday</v>
      </c>
      <c r="G3714">
        <f>HOUR(Table1[[#This Row],[order_time]])</f>
        <v>10</v>
      </c>
      <c r="H3714" s="2">
        <v>0.41802083333333334</v>
      </c>
      <c r="I3714" t="s">
        <v>18</v>
      </c>
      <c r="J3714" t="s">
        <v>26</v>
      </c>
      <c r="K3714">
        <v>5</v>
      </c>
      <c r="L3714">
        <v>55</v>
      </c>
      <c r="M3714">
        <v>275</v>
      </c>
      <c r="N3714">
        <f>IF(COUNTIFS($B$2:B3714,B3714)=1,1,0)</f>
        <v>1</v>
      </c>
    </row>
    <row r="3715" spans="1:14" x14ac:dyDescent="0.2">
      <c r="A3715">
        <v>3714</v>
      </c>
      <c r="B3715">
        <v>2874</v>
      </c>
      <c r="C3715">
        <f>1/COUNTIF(B:B,Table1[[#This Row],[order_id]])</f>
        <v>0.33333333333333331</v>
      </c>
      <c r="D3715" t="str">
        <f>TEXT(Table1[[#This Row],[order_date]],"mmmm")</f>
        <v>October</v>
      </c>
      <c r="E3715" s="1">
        <v>45582</v>
      </c>
      <c r="F3715" s="1" t="str">
        <f>TEXT(Table1[[#This Row],[order_date]],"dddd")</f>
        <v>Thursday</v>
      </c>
      <c r="G3715">
        <f>HOUR(Table1[[#This Row],[order_time]])</f>
        <v>15</v>
      </c>
      <c r="H3715" s="2">
        <v>0.64571759259259254</v>
      </c>
      <c r="I3715" t="s">
        <v>9</v>
      </c>
      <c r="J3715" t="s">
        <v>22</v>
      </c>
      <c r="K3715">
        <v>4</v>
      </c>
      <c r="L3715">
        <v>15</v>
      </c>
      <c r="M3715">
        <v>60</v>
      </c>
      <c r="N3715">
        <f>IF(COUNTIFS($B$2:B3715,B3715)=1,1,0)</f>
        <v>0</v>
      </c>
    </row>
    <row r="3716" spans="1:14" x14ac:dyDescent="0.2">
      <c r="A3716">
        <v>3715</v>
      </c>
      <c r="B3716">
        <v>2874</v>
      </c>
      <c r="C3716">
        <f>1/COUNTIF(B:B,Table1[[#This Row],[order_id]])</f>
        <v>0.33333333333333331</v>
      </c>
      <c r="D3716" t="str">
        <f>TEXT(Table1[[#This Row],[order_date]],"mmmm")</f>
        <v>October</v>
      </c>
      <c r="E3716" s="1">
        <v>45582</v>
      </c>
      <c r="F3716" s="1" t="str">
        <f>TEXT(Table1[[#This Row],[order_date]],"dddd")</f>
        <v>Thursday</v>
      </c>
      <c r="G3716">
        <f>HOUR(Table1[[#This Row],[order_time]])</f>
        <v>19</v>
      </c>
      <c r="H3716" s="2">
        <v>0.81540509259259264</v>
      </c>
      <c r="I3716" t="s">
        <v>11</v>
      </c>
      <c r="J3716" t="s">
        <v>25</v>
      </c>
      <c r="K3716">
        <v>1</v>
      </c>
      <c r="L3716">
        <v>1000</v>
      </c>
      <c r="M3716">
        <v>1000</v>
      </c>
      <c r="N3716">
        <f>IF(COUNTIFS($B$2:B3716,B3716)=1,1,0)</f>
        <v>0</v>
      </c>
    </row>
    <row r="3717" spans="1:14" x14ac:dyDescent="0.2">
      <c r="A3717">
        <v>3716</v>
      </c>
      <c r="B3717">
        <v>2875</v>
      </c>
      <c r="C3717">
        <f>1/COUNTIF(B:B,Table1[[#This Row],[order_id]])</f>
        <v>0.5</v>
      </c>
      <c r="D3717" t="str">
        <f>TEXT(Table1[[#This Row],[order_date]],"mmmm")</f>
        <v>October</v>
      </c>
      <c r="E3717" s="1">
        <v>45582</v>
      </c>
      <c r="F3717" s="1" t="str">
        <f>TEXT(Table1[[#This Row],[order_date]],"dddd")</f>
        <v>Thursday</v>
      </c>
      <c r="G3717">
        <f>HOUR(Table1[[#This Row],[order_time]])</f>
        <v>16</v>
      </c>
      <c r="H3717" s="2">
        <v>0.6935069444444445</v>
      </c>
      <c r="I3717" t="s">
        <v>18</v>
      </c>
      <c r="J3717" t="s">
        <v>19</v>
      </c>
      <c r="K3717">
        <v>4</v>
      </c>
      <c r="L3717">
        <v>50</v>
      </c>
      <c r="M3717">
        <v>200</v>
      </c>
      <c r="N3717">
        <f>IF(COUNTIFS($B$2:B3717,B3717)=1,1,0)</f>
        <v>1</v>
      </c>
    </row>
    <row r="3718" spans="1:14" x14ac:dyDescent="0.2">
      <c r="A3718">
        <v>3717</v>
      </c>
      <c r="B3718">
        <v>2875</v>
      </c>
      <c r="C3718">
        <f>1/COUNTIF(B:B,Table1[[#This Row],[order_id]])</f>
        <v>0.5</v>
      </c>
      <c r="D3718" t="str">
        <f>TEXT(Table1[[#This Row],[order_date]],"mmmm")</f>
        <v>October</v>
      </c>
      <c r="E3718" s="1">
        <v>45582</v>
      </c>
      <c r="F3718" s="1" t="str">
        <f>TEXT(Table1[[#This Row],[order_date]],"dddd")</f>
        <v>Thursday</v>
      </c>
      <c r="G3718">
        <f>HOUR(Table1[[#This Row],[order_time]])</f>
        <v>20</v>
      </c>
      <c r="H3718" s="2">
        <v>0.84925925925925927</v>
      </c>
      <c r="I3718" t="s">
        <v>16</v>
      </c>
      <c r="J3718" t="s">
        <v>28</v>
      </c>
      <c r="K3718">
        <v>1</v>
      </c>
      <c r="L3718">
        <v>25</v>
      </c>
      <c r="M3718">
        <v>25</v>
      </c>
      <c r="N3718">
        <f>IF(COUNTIFS($B$2:B3718,B3718)=1,1,0)</f>
        <v>0</v>
      </c>
    </row>
    <row r="3719" spans="1:14" x14ac:dyDescent="0.2">
      <c r="A3719">
        <v>3718</v>
      </c>
      <c r="B3719">
        <v>2876</v>
      </c>
      <c r="C3719">
        <f>1/COUNTIF(B:B,Table1[[#This Row],[order_id]])</f>
        <v>0.33333333333333331</v>
      </c>
      <c r="D3719" t="str">
        <f>TEXT(Table1[[#This Row],[order_date]],"mmmm")</f>
        <v>October</v>
      </c>
      <c r="E3719" s="1">
        <v>45582</v>
      </c>
      <c r="F3719" s="1" t="str">
        <f>TEXT(Table1[[#This Row],[order_date]],"dddd")</f>
        <v>Thursday</v>
      </c>
      <c r="G3719">
        <f>HOUR(Table1[[#This Row],[order_time]])</f>
        <v>16</v>
      </c>
      <c r="H3719" s="2">
        <v>0.67964120370370373</v>
      </c>
      <c r="I3719" t="s">
        <v>18</v>
      </c>
      <c r="J3719" t="s">
        <v>27</v>
      </c>
      <c r="K3719">
        <v>3</v>
      </c>
      <c r="L3719">
        <v>40</v>
      </c>
      <c r="M3719">
        <v>120</v>
      </c>
      <c r="N3719">
        <f>IF(COUNTIFS($B$2:B3719,B3719)=1,1,0)</f>
        <v>1</v>
      </c>
    </row>
    <row r="3720" spans="1:14" x14ac:dyDescent="0.2">
      <c r="A3720">
        <v>3719</v>
      </c>
      <c r="B3720">
        <v>2876</v>
      </c>
      <c r="C3720">
        <f>1/COUNTIF(B:B,Table1[[#This Row],[order_id]])</f>
        <v>0.33333333333333331</v>
      </c>
      <c r="D3720" t="str">
        <f>TEXT(Table1[[#This Row],[order_date]],"mmmm")</f>
        <v>October</v>
      </c>
      <c r="E3720" s="1">
        <v>45582</v>
      </c>
      <c r="F3720" s="1" t="str">
        <f>TEXT(Table1[[#This Row],[order_date]],"dddd")</f>
        <v>Thursday</v>
      </c>
      <c r="G3720">
        <f>HOUR(Table1[[#This Row],[order_time]])</f>
        <v>17</v>
      </c>
      <c r="H3720" s="2">
        <v>0.72331018518518519</v>
      </c>
      <c r="I3720" t="s">
        <v>11</v>
      </c>
      <c r="J3720" t="s">
        <v>25</v>
      </c>
      <c r="K3720">
        <v>4</v>
      </c>
      <c r="L3720">
        <v>1000</v>
      </c>
      <c r="M3720">
        <v>4000</v>
      </c>
      <c r="N3720">
        <f>IF(COUNTIFS($B$2:B3720,B3720)=1,1,0)</f>
        <v>0</v>
      </c>
    </row>
    <row r="3721" spans="1:14" x14ac:dyDescent="0.2">
      <c r="A3721">
        <v>3720</v>
      </c>
      <c r="B3721">
        <v>2876</v>
      </c>
      <c r="C3721">
        <f>1/COUNTIF(B:B,Table1[[#This Row],[order_id]])</f>
        <v>0.33333333333333331</v>
      </c>
      <c r="D3721" t="str">
        <f>TEXT(Table1[[#This Row],[order_date]],"mmmm")</f>
        <v>October</v>
      </c>
      <c r="E3721" s="1">
        <v>45582</v>
      </c>
      <c r="F3721" s="1" t="str">
        <f>TEXT(Table1[[#This Row],[order_date]],"dddd")</f>
        <v>Thursday</v>
      </c>
      <c r="G3721">
        <f>HOUR(Table1[[#This Row],[order_time]])</f>
        <v>14</v>
      </c>
      <c r="H3721" s="2">
        <v>0.604375</v>
      </c>
      <c r="I3721" t="s">
        <v>16</v>
      </c>
      <c r="J3721" t="s">
        <v>28</v>
      </c>
      <c r="K3721">
        <v>2</v>
      </c>
      <c r="L3721">
        <v>25</v>
      </c>
      <c r="M3721">
        <v>50</v>
      </c>
      <c r="N3721">
        <f>IF(COUNTIFS($B$2:B3721,B3721)=1,1,0)</f>
        <v>0</v>
      </c>
    </row>
    <row r="3722" spans="1:14" x14ac:dyDescent="0.2">
      <c r="A3722">
        <v>3721</v>
      </c>
      <c r="B3722">
        <v>2877</v>
      </c>
      <c r="C3722">
        <f>1/COUNTIF(B:B,Table1[[#This Row],[order_id]])</f>
        <v>0.5</v>
      </c>
      <c r="D3722" t="str">
        <f>TEXT(Table1[[#This Row],[order_date]],"mmmm")</f>
        <v>October</v>
      </c>
      <c r="E3722" s="1">
        <v>45582</v>
      </c>
      <c r="F3722" s="1" t="str">
        <f>TEXT(Table1[[#This Row],[order_date]],"dddd")</f>
        <v>Thursday</v>
      </c>
      <c r="G3722">
        <f>HOUR(Table1[[#This Row],[order_time]])</f>
        <v>16</v>
      </c>
      <c r="H3722" s="2">
        <v>0.69785879629629632</v>
      </c>
      <c r="I3722" t="s">
        <v>18</v>
      </c>
      <c r="J3722" t="s">
        <v>19</v>
      </c>
      <c r="K3722">
        <v>5</v>
      </c>
      <c r="L3722">
        <v>50</v>
      </c>
      <c r="M3722">
        <v>250</v>
      </c>
      <c r="N3722">
        <f>IF(COUNTIFS($B$2:B3722,B3722)=1,1,0)</f>
        <v>1</v>
      </c>
    </row>
    <row r="3723" spans="1:14" x14ac:dyDescent="0.2">
      <c r="A3723">
        <v>3722</v>
      </c>
      <c r="B3723">
        <v>2877</v>
      </c>
      <c r="C3723">
        <f>1/COUNTIF(B:B,Table1[[#This Row],[order_id]])</f>
        <v>0.5</v>
      </c>
      <c r="D3723" t="str">
        <f>TEXT(Table1[[#This Row],[order_date]],"mmmm")</f>
        <v>October</v>
      </c>
      <c r="E3723" s="1">
        <v>45582</v>
      </c>
      <c r="F3723" s="1" t="str">
        <f>TEXT(Table1[[#This Row],[order_date]],"dddd")</f>
        <v>Thursday</v>
      </c>
      <c r="G3723">
        <f>HOUR(Table1[[#This Row],[order_time]])</f>
        <v>10</v>
      </c>
      <c r="H3723" s="2">
        <v>0.45018518518518519</v>
      </c>
      <c r="I3723" t="s">
        <v>18</v>
      </c>
      <c r="J3723" t="s">
        <v>19</v>
      </c>
      <c r="K3723">
        <v>3</v>
      </c>
      <c r="L3723">
        <v>50</v>
      </c>
      <c r="M3723">
        <v>150</v>
      </c>
      <c r="N3723">
        <f>IF(COUNTIFS($B$2:B3723,B3723)=1,1,0)</f>
        <v>0</v>
      </c>
    </row>
    <row r="3724" spans="1:14" x14ac:dyDescent="0.2">
      <c r="A3724">
        <v>3723</v>
      </c>
      <c r="B3724">
        <v>2878</v>
      </c>
      <c r="C3724">
        <f>1/COUNTIF(B:B,Table1[[#This Row],[order_id]])</f>
        <v>1</v>
      </c>
      <c r="D3724" t="str">
        <f>TEXT(Table1[[#This Row],[order_date]],"mmmm")</f>
        <v>October</v>
      </c>
      <c r="E3724" s="1">
        <v>45582</v>
      </c>
      <c r="F3724" s="1" t="str">
        <f>TEXT(Table1[[#This Row],[order_date]],"dddd")</f>
        <v>Thursday</v>
      </c>
      <c r="G3724">
        <f>HOUR(Table1[[#This Row],[order_time]])</f>
        <v>19</v>
      </c>
      <c r="H3724" s="2">
        <v>0.83321759259259254</v>
      </c>
      <c r="I3724" t="s">
        <v>18</v>
      </c>
      <c r="J3724" t="s">
        <v>31</v>
      </c>
      <c r="K3724">
        <v>5</v>
      </c>
      <c r="L3724">
        <v>45</v>
      </c>
      <c r="M3724">
        <v>225</v>
      </c>
      <c r="N3724">
        <f>IF(COUNTIFS($B$2:B3724,B3724)=1,1,0)</f>
        <v>1</v>
      </c>
    </row>
    <row r="3725" spans="1:14" x14ac:dyDescent="0.2">
      <c r="A3725">
        <v>3724</v>
      </c>
      <c r="B3725">
        <v>2879</v>
      </c>
      <c r="C3725">
        <f>1/COUNTIF(B:B,Table1[[#This Row],[order_id]])</f>
        <v>1</v>
      </c>
      <c r="D3725" t="str">
        <f>TEXT(Table1[[#This Row],[order_date]],"mmmm")</f>
        <v>October</v>
      </c>
      <c r="E3725" s="1">
        <v>45583</v>
      </c>
      <c r="F3725" s="1" t="str">
        <f>TEXT(Table1[[#This Row],[order_date]],"dddd")</f>
        <v>Friday</v>
      </c>
      <c r="G3725">
        <f>HOUR(Table1[[#This Row],[order_time]])</f>
        <v>10</v>
      </c>
      <c r="H3725" s="2">
        <v>0.42146990740740742</v>
      </c>
      <c r="I3725" t="s">
        <v>16</v>
      </c>
      <c r="J3725" t="s">
        <v>24</v>
      </c>
      <c r="K3725">
        <v>2</v>
      </c>
      <c r="L3725">
        <v>35</v>
      </c>
      <c r="M3725">
        <v>70</v>
      </c>
      <c r="N3725">
        <f>IF(COUNTIFS($B$2:B3725,B3725)=1,1,0)</f>
        <v>1</v>
      </c>
    </row>
    <row r="3726" spans="1:14" x14ac:dyDescent="0.2">
      <c r="A3726">
        <v>3725</v>
      </c>
      <c r="B3726">
        <v>2880</v>
      </c>
      <c r="C3726">
        <f>1/COUNTIF(B:B,Table1[[#This Row],[order_id]])</f>
        <v>1</v>
      </c>
      <c r="D3726" t="str">
        <f>TEXT(Table1[[#This Row],[order_date]],"mmmm")</f>
        <v>October</v>
      </c>
      <c r="E3726" s="1">
        <v>45583</v>
      </c>
      <c r="F3726" s="1" t="str">
        <f>TEXT(Table1[[#This Row],[order_date]],"dddd")</f>
        <v>Friday</v>
      </c>
      <c r="G3726">
        <f>HOUR(Table1[[#This Row],[order_time]])</f>
        <v>15</v>
      </c>
      <c r="H3726" s="2">
        <v>0.63787037037037042</v>
      </c>
      <c r="I3726" t="s">
        <v>16</v>
      </c>
      <c r="J3726" t="s">
        <v>17</v>
      </c>
      <c r="K3726">
        <v>5</v>
      </c>
      <c r="L3726">
        <v>20</v>
      </c>
      <c r="M3726">
        <v>100</v>
      </c>
      <c r="N3726">
        <f>IF(COUNTIFS($B$2:B3726,B3726)=1,1,0)</f>
        <v>1</v>
      </c>
    </row>
    <row r="3727" spans="1:14" x14ac:dyDescent="0.2">
      <c r="A3727">
        <v>3726</v>
      </c>
      <c r="B3727">
        <v>2881</v>
      </c>
      <c r="C3727">
        <f>1/COUNTIF(B:B,Table1[[#This Row],[order_id]])</f>
        <v>0.33333333333333331</v>
      </c>
      <c r="D3727" t="str">
        <f>TEXT(Table1[[#This Row],[order_date]],"mmmm")</f>
        <v>October</v>
      </c>
      <c r="E3727" s="1">
        <v>45583</v>
      </c>
      <c r="F3727" s="1" t="str">
        <f>TEXT(Table1[[#This Row],[order_date]],"dddd")</f>
        <v>Friday</v>
      </c>
      <c r="G3727">
        <f>HOUR(Table1[[#This Row],[order_time]])</f>
        <v>15</v>
      </c>
      <c r="H3727" s="2">
        <v>0.64696759259259262</v>
      </c>
      <c r="I3727" t="s">
        <v>16</v>
      </c>
      <c r="J3727" t="s">
        <v>28</v>
      </c>
      <c r="K3727">
        <v>1</v>
      </c>
      <c r="L3727">
        <v>25</v>
      </c>
      <c r="M3727">
        <v>25</v>
      </c>
      <c r="N3727">
        <f>IF(COUNTIFS($B$2:B3727,B3727)=1,1,0)</f>
        <v>1</v>
      </c>
    </row>
    <row r="3728" spans="1:14" x14ac:dyDescent="0.2">
      <c r="A3728">
        <v>3727</v>
      </c>
      <c r="B3728">
        <v>2881</v>
      </c>
      <c r="C3728">
        <f>1/COUNTIF(B:B,Table1[[#This Row],[order_id]])</f>
        <v>0.33333333333333331</v>
      </c>
      <c r="D3728" t="str">
        <f>TEXT(Table1[[#This Row],[order_date]],"mmmm")</f>
        <v>October</v>
      </c>
      <c r="E3728" s="1">
        <v>45583</v>
      </c>
      <c r="F3728" s="1" t="str">
        <f>TEXT(Table1[[#This Row],[order_date]],"dddd")</f>
        <v>Friday</v>
      </c>
      <c r="G3728">
        <f>HOUR(Table1[[#This Row],[order_time]])</f>
        <v>17</v>
      </c>
      <c r="H3728" s="2">
        <v>0.72093750000000001</v>
      </c>
      <c r="I3728" t="s">
        <v>16</v>
      </c>
      <c r="J3728" t="s">
        <v>28</v>
      </c>
      <c r="K3728">
        <v>2</v>
      </c>
      <c r="L3728">
        <v>25</v>
      </c>
      <c r="M3728">
        <v>50</v>
      </c>
      <c r="N3728">
        <f>IF(COUNTIFS($B$2:B3728,B3728)=1,1,0)</f>
        <v>0</v>
      </c>
    </row>
    <row r="3729" spans="1:14" x14ac:dyDescent="0.2">
      <c r="A3729">
        <v>3728</v>
      </c>
      <c r="B3729">
        <v>2881</v>
      </c>
      <c r="C3729">
        <f>1/COUNTIF(B:B,Table1[[#This Row],[order_id]])</f>
        <v>0.33333333333333331</v>
      </c>
      <c r="D3729" t="str">
        <f>TEXT(Table1[[#This Row],[order_date]],"mmmm")</f>
        <v>October</v>
      </c>
      <c r="E3729" s="1">
        <v>45583</v>
      </c>
      <c r="F3729" s="1" t="str">
        <f>TEXT(Table1[[#This Row],[order_date]],"dddd")</f>
        <v>Friday</v>
      </c>
      <c r="G3729">
        <f>HOUR(Table1[[#This Row],[order_time]])</f>
        <v>15</v>
      </c>
      <c r="H3729" s="2">
        <v>0.65528935185185189</v>
      </c>
      <c r="I3729" t="s">
        <v>9</v>
      </c>
      <c r="J3729" t="s">
        <v>21</v>
      </c>
      <c r="K3729">
        <v>2</v>
      </c>
      <c r="L3729">
        <v>10</v>
      </c>
      <c r="M3729">
        <v>20</v>
      </c>
      <c r="N3729">
        <f>IF(COUNTIFS($B$2:B3729,B3729)=1,1,0)</f>
        <v>0</v>
      </c>
    </row>
    <row r="3730" spans="1:14" x14ac:dyDescent="0.2">
      <c r="A3730">
        <v>3729</v>
      </c>
      <c r="B3730">
        <v>2882</v>
      </c>
      <c r="C3730">
        <f>1/COUNTIF(B:B,Table1[[#This Row],[order_id]])</f>
        <v>0.33333333333333331</v>
      </c>
      <c r="D3730" t="str">
        <f>TEXT(Table1[[#This Row],[order_date]],"mmmm")</f>
        <v>October</v>
      </c>
      <c r="E3730" s="1">
        <v>45583</v>
      </c>
      <c r="F3730" s="1" t="str">
        <f>TEXT(Table1[[#This Row],[order_date]],"dddd")</f>
        <v>Friday</v>
      </c>
      <c r="G3730">
        <f>HOUR(Table1[[#This Row],[order_time]])</f>
        <v>9</v>
      </c>
      <c r="H3730" s="2">
        <v>0.37712962962962965</v>
      </c>
      <c r="I3730" t="s">
        <v>11</v>
      </c>
      <c r="J3730" t="s">
        <v>14</v>
      </c>
      <c r="K3730">
        <v>5</v>
      </c>
      <c r="L3730">
        <v>700</v>
      </c>
      <c r="M3730">
        <v>3500</v>
      </c>
      <c r="N3730">
        <f>IF(COUNTIFS($B$2:B3730,B3730)=1,1,0)</f>
        <v>1</v>
      </c>
    </row>
    <row r="3731" spans="1:14" x14ac:dyDescent="0.2">
      <c r="A3731">
        <v>3730</v>
      </c>
      <c r="B3731">
        <v>2882</v>
      </c>
      <c r="C3731">
        <f>1/COUNTIF(B:B,Table1[[#This Row],[order_id]])</f>
        <v>0.33333333333333331</v>
      </c>
      <c r="D3731" t="str">
        <f>TEXT(Table1[[#This Row],[order_date]],"mmmm")</f>
        <v>October</v>
      </c>
      <c r="E3731" s="1">
        <v>45583</v>
      </c>
      <c r="F3731" s="1" t="str">
        <f>TEXT(Table1[[#This Row],[order_date]],"dddd")</f>
        <v>Friday</v>
      </c>
      <c r="G3731">
        <f>HOUR(Table1[[#This Row],[order_time]])</f>
        <v>9</v>
      </c>
      <c r="H3731" s="2">
        <v>0.37929398148148147</v>
      </c>
      <c r="I3731" t="s">
        <v>9</v>
      </c>
      <c r="J3731" t="s">
        <v>22</v>
      </c>
      <c r="K3731">
        <v>5</v>
      </c>
      <c r="L3731">
        <v>15</v>
      </c>
      <c r="M3731">
        <v>75</v>
      </c>
      <c r="N3731">
        <f>IF(COUNTIFS($B$2:B3731,B3731)=1,1,0)</f>
        <v>0</v>
      </c>
    </row>
    <row r="3732" spans="1:14" x14ac:dyDescent="0.2">
      <c r="A3732">
        <v>3731</v>
      </c>
      <c r="B3732">
        <v>2882</v>
      </c>
      <c r="C3732">
        <f>1/COUNTIF(B:B,Table1[[#This Row],[order_id]])</f>
        <v>0.33333333333333331</v>
      </c>
      <c r="D3732" t="str">
        <f>TEXT(Table1[[#This Row],[order_date]],"mmmm")</f>
        <v>October</v>
      </c>
      <c r="E3732" s="1">
        <v>45583</v>
      </c>
      <c r="F3732" s="1" t="str">
        <f>TEXT(Table1[[#This Row],[order_date]],"dddd")</f>
        <v>Friday</v>
      </c>
      <c r="G3732">
        <f>HOUR(Table1[[#This Row],[order_time]])</f>
        <v>13</v>
      </c>
      <c r="H3732" s="2">
        <v>0.57012731481481482</v>
      </c>
      <c r="I3732" t="s">
        <v>9</v>
      </c>
      <c r="J3732" t="s">
        <v>21</v>
      </c>
      <c r="K3732">
        <v>2</v>
      </c>
      <c r="L3732">
        <v>10</v>
      </c>
      <c r="M3732">
        <v>20</v>
      </c>
      <c r="N3732">
        <f>IF(COUNTIFS($B$2:B3732,B3732)=1,1,0)</f>
        <v>0</v>
      </c>
    </row>
    <row r="3733" spans="1:14" x14ac:dyDescent="0.2">
      <c r="A3733">
        <v>3732</v>
      </c>
      <c r="B3733">
        <v>2883</v>
      </c>
      <c r="C3733">
        <f>1/COUNTIF(B:B,Table1[[#This Row],[order_id]])</f>
        <v>0.5</v>
      </c>
      <c r="D3733" t="str">
        <f>TEXT(Table1[[#This Row],[order_date]],"mmmm")</f>
        <v>October</v>
      </c>
      <c r="E3733" s="1">
        <v>45584</v>
      </c>
      <c r="F3733" s="1" t="str">
        <f>TEXT(Table1[[#This Row],[order_date]],"dddd")</f>
        <v>Saturday</v>
      </c>
      <c r="G3733">
        <f>HOUR(Table1[[#This Row],[order_time]])</f>
        <v>11</v>
      </c>
      <c r="H3733" s="2">
        <v>0.48365740740740742</v>
      </c>
      <c r="I3733" t="s">
        <v>18</v>
      </c>
      <c r="J3733" t="s">
        <v>19</v>
      </c>
      <c r="K3733">
        <v>1</v>
      </c>
      <c r="L3733">
        <v>50</v>
      </c>
      <c r="M3733">
        <v>50</v>
      </c>
      <c r="N3733">
        <f>IF(COUNTIFS($B$2:B3733,B3733)=1,1,0)</f>
        <v>1</v>
      </c>
    </row>
    <row r="3734" spans="1:14" x14ac:dyDescent="0.2">
      <c r="A3734">
        <v>3733</v>
      </c>
      <c r="B3734">
        <v>2883</v>
      </c>
      <c r="C3734">
        <f>1/COUNTIF(B:B,Table1[[#This Row],[order_id]])</f>
        <v>0.5</v>
      </c>
      <c r="D3734" t="str">
        <f>TEXT(Table1[[#This Row],[order_date]],"mmmm")</f>
        <v>October</v>
      </c>
      <c r="E3734" s="1">
        <v>45584</v>
      </c>
      <c r="F3734" s="1" t="str">
        <f>TEXT(Table1[[#This Row],[order_date]],"dddd")</f>
        <v>Saturday</v>
      </c>
      <c r="G3734">
        <f>HOUR(Table1[[#This Row],[order_time]])</f>
        <v>14</v>
      </c>
      <c r="H3734" s="2">
        <v>0.60944444444444446</v>
      </c>
      <c r="I3734" t="s">
        <v>18</v>
      </c>
      <c r="J3734" t="s">
        <v>31</v>
      </c>
      <c r="K3734">
        <v>5</v>
      </c>
      <c r="L3734">
        <v>45</v>
      </c>
      <c r="M3734">
        <v>225</v>
      </c>
      <c r="N3734">
        <f>IF(COUNTIFS($B$2:B3734,B3734)=1,1,0)</f>
        <v>0</v>
      </c>
    </row>
    <row r="3735" spans="1:14" x14ac:dyDescent="0.2">
      <c r="A3735">
        <v>3734</v>
      </c>
      <c r="B3735">
        <v>2884</v>
      </c>
      <c r="C3735">
        <f>1/COUNTIF(B:B,Table1[[#This Row],[order_id]])</f>
        <v>0.33333333333333331</v>
      </c>
      <c r="D3735" t="str">
        <f>TEXT(Table1[[#This Row],[order_date]],"mmmm")</f>
        <v>October</v>
      </c>
      <c r="E3735" s="1">
        <v>45584</v>
      </c>
      <c r="F3735" s="1" t="str">
        <f>TEXT(Table1[[#This Row],[order_date]],"dddd")</f>
        <v>Saturday</v>
      </c>
      <c r="G3735">
        <f>HOUR(Table1[[#This Row],[order_time]])</f>
        <v>9</v>
      </c>
      <c r="H3735" s="2">
        <v>0.41541666666666666</v>
      </c>
      <c r="I3735" t="s">
        <v>18</v>
      </c>
      <c r="J3735" t="s">
        <v>27</v>
      </c>
      <c r="K3735">
        <v>3</v>
      </c>
      <c r="L3735">
        <v>40</v>
      </c>
      <c r="M3735">
        <v>120</v>
      </c>
      <c r="N3735">
        <f>IF(COUNTIFS($B$2:B3735,B3735)=1,1,0)</f>
        <v>1</v>
      </c>
    </row>
    <row r="3736" spans="1:14" x14ac:dyDescent="0.2">
      <c r="A3736">
        <v>3735</v>
      </c>
      <c r="B3736">
        <v>2884</v>
      </c>
      <c r="C3736">
        <f>1/COUNTIF(B:B,Table1[[#This Row],[order_id]])</f>
        <v>0.33333333333333331</v>
      </c>
      <c r="D3736" t="str">
        <f>TEXT(Table1[[#This Row],[order_date]],"mmmm")</f>
        <v>October</v>
      </c>
      <c r="E3736" s="1">
        <v>45584</v>
      </c>
      <c r="F3736" s="1" t="str">
        <f>TEXT(Table1[[#This Row],[order_date]],"dddd")</f>
        <v>Saturday</v>
      </c>
      <c r="G3736">
        <f>HOUR(Table1[[#This Row],[order_time]])</f>
        <v>10</v>
      </c>
      <c r="H3736" s="2">
        <v>0.42649305555555556</v>
      </c>
      <c r="I3736" t="s">
        <v>18</v>
      </c>
      <c r="J3736" t="s">
        <v>31</v>
      </c>
      <c r="K3736">
        <v>2</v>
      </c>
      <c r="L3736">
        <v>45</v>
      </c>
      <c r="M3736">
        <v>90</v>
      </c>
      <c r="N3736">
        <f>IF(COUNTIFS($B$2:B3736,B3736)=1,1,0)</f>
        <v>0</v>
      </c>
    </row>
    <row r="3737" spans="1:14" x14ac:dyDescent="0.2">
      <c r="A3737">
        <v>3736</v>
      </c>
      <c r="B3737">
        <v>2884</v>
      </c>
      <c r="C3737">
        <f>1/COUNTIF(B:B,Table1[[#This Row],[order_id]])</f>
        <v>0.33333333333333331</v>
      </c>
      <c r="D3737" t="str">
        <f>TEXT(Table1[[#This Row],[order_date]],"mmmm")</f>
        <v>October</v>
      </c>
      <c r="E3737" s="1">
        <v>45584</v>
      </c>
      <c r="F3737" s="1" t="str">
        <f>TEXT(Table1[[#This Row],[order_date]],"dddd")</f>
        <v>Saturday</v>
      </c>
      <c r="G3737">
        <f>HOUR(Table1[[#This Row],[order_time]])</f>
        <v>15</v>
      </c>
      <c r="H3737" s="2">
        <v>0.65609953703703705</v>
      </c>
      <c r="I3737" t="s">
        <v>18</v>
      </c>
      <c r="J3737" t="s">
        <v>31</v>
      </c>
      <c r="K3737">
        <v>1</v>
      </c>
      <c r="L3737">
        <v>45</v>
      </c>
      <c r="M3737">
        <v>45</v>
      </c>
      <c r="N3737">
        <f>IF(COUNTIFS($B$2:B3737,B3737)=1,1,0)</f>
        <v>0</v>
      </c>
    </row>
    <row r="3738" spans="1:14" x14ac:dyDescent="0.2">
      <c r="A3738">
        <v>3737</v>
      </c>
      <c r="B3738">
        <v>2885</v>
      </c>
      <c r="C3738">
        <f>1/COUNTIF(B:B,Table1[[#This Row],[order_id]])</f>
        <v>0.33333333333333331</v>
      </c>
      <c r="D3738" t="str">
        <f>TEXT(Table1[[#This Row],[order_date]],"mmmm")</f>
        <v>October</v>
      </c>
      <c r="E3738" s="1">
        <v>45584</v>
      </c>
      <c r="F3738" s="1" t="str">
        <f>TEXT(Table1[[#This Row],[order_date]],"dddd")</f>
        <v>Saturday</v>
      </c>
      <c r="G3738">
        <f>HOUR(Table1[[#This Row],[order_time]])</f>
        <v>14</v>
      </c>
      <c r="H3738" s="2">
        <v>0.58703703703703702</v>
      </c>
      <c r="I3738" t="s">
        <v>11</v>
      </c>
      <c r="J3738" t="s">
        <v>15</v>
      </c>
      <c r="K3738">
        <v>1</v>
      </c>
      <c r="L3738">
        <v>600</v>
      </c>
      <c r="M3738">
        <v>600</v>
      </c>
      <c r="N3738">
        <f>IF(COUNTIFS($B$2:B3738,B3738)=1,1,0)</f>
        <v>1</v>
      </c>
    </row>
    <row r="3739" spans="1:14" x14ac:dyDescent="0.2">
      <c r="A3739">
        <v>3738</v>
      </c>
      <c r="B3739">
        <v>2885</v>
      </c>
      <c r="C3739">
        <f>1/COUNTIF(B:B,Table1[[#This Row],[order_id]])</f>
        <v>0.33333333333333331</v>
      </c>
      <c r="D3739" t="str">
        <f>TEXT(Table1[[#This Row],[order_date]],"mmmm")</f>
        <v>October</v>
      </c>
      <c r="E3739" s="1">
        <v>45584</v>
      </c>
      <c r="F3739" s="1" t="str">
        <f>TEXT(Table1[[#This Row],[order_date]],"dddd")</f>
        <v>Saturday</v>
      </c>
      <c r="G3739">
        <f>HOUR(Table1[[#This Row],[order_time]])</f>
        <v>12</v>
      </c>
      <c r="H3739" s="2">
        <v>0.51605324074074077</v>
      </c>
      <c r="I3739" t="s">
        <v>16</v>
      </c>
      <c r="J3739" t="s">
        <v>28</v>
      </c>
      <c r="K3739">
        <v>5</v>
      </c>
      <c r="L3739">
        <v>25</v>
      </c>
      <c r="M3739">
        <v>125</v>
      </c>
      <c r="N3739">
        <f>IF(COUNTIFS($B$2:B3739,B3739)=1,1,0)</f>
        <v>0</v>
      </c>
    </row>
    <row r="3740" spans="1:14" x14ac:dyDescent="0.2">
      <c r="A3740">
        <v>3739</v>
      </c>
      <c r="B3740">
        <v>2885</v>
      </c>
      <c r="C3740">
        <f>1/COUNTIF(B:B,Table1[[#This Row],[order_id]])</f>
        <v>0.33333333333333331</v>
      </c>
      <c r="D3740" t="str">
        <f>TEXT(Table1[[#This Row],[order_date]],"mmmm")</f>
        <v>October</v>
      </c>
      <c r="E3740" s="1">
        <v>45584</v>
      </c>
      <c r="F3740" s="1" t="str">
        <f>TEXT(Table1[[#This Row],[order_date]],"dddd")</f>
        <v>Saturday</v>
      </c>
      <c r="G3740">
        <f>HOUR(Table1[[#This Row],[order_time]])</f>
        <v>18</v>
      </c>
      <c r="H3740" s="2">
        <v>0.77660879629629631</v>
      </c>
      <c r="I3740" t="s">
        <v>18</v>
      </c>
      <c r="J3740" t="s">
        <v>26</v>
      </c>
      <c r="K3740">
        <v>2</v>
      </c>
      <c r="L3740">
        <v>55</v>
      </c>
      <c r="M3740">
        <v>110</v>
      </c>
      <c r="N3740">
        <f>IF(COUNTIFS($B$2:B3740,B3740)=1,1,0)</f>
        <v>0</v>
      </c>
    </row>
    <row r="3741" spans="1:14" x14ac:dyDescent="0.2">
      <c r="A3741">
        <v>3740</v>
      </c>
      <c r="B3741">
        <v>2886</v>
      </c>
      <c r="C3741">
        <f>1/COUNTIF(B:B,Table1[[#This Row],[order_id]])</f>
        <v>0.33333333333333331</v>
      </c>
      <c r="D3741" t="str">
        <f>TEXT(Table1[[#This Row],[order_date]],"mmmm")</f>
        <v>October</v>
      </c>
      <c r="E3741" s="1">
        <v>45584</v>
      </c>
      <c r="F3741" s="1" t="str">
        <f>TEXT(Table1[[#This Row],[order_date]],"dddd")</f>
        <v>Saturday</v>
      </c>
      <c r="G3741">
        <f>HOUR(Table1[[#This Row],[order_time]])</f>
        <v>12</v>
      </c>
      <c r="H3741" s="2">
        <v>0.5387615740740741</v>
      </c>
      <c r="I3741" t="s">
        <v>18</v>
      </c>
      <c r="J3741" t="s">
        <v>26</v>
      </c>
      <c r="K3741">
        <v>1</v>
      </c>
      <c r="L3741">
        <v>55</v>
      </c>
      <c r="M3741">
        <v>55</v>
      </c>
      <c r="N3741">
        <f>IF(COUNTIFS($B$2:B3741,B3741)=1,1,0)</f>
        <v>1</v>
      </c>
    </row>
    <row r="3742" spans="1:14" x14ac:dyDescent="0.2">
      <c r="A3742">
        <v>3741</v>
      </c>
      <c r="B3742">
        <v>2886</v>
      </c>
      <c r="C3742">
        <f>1/COUNTIF(B:B,Table1[[#This Row],[order_id]])</f>
        <v>0.33333333333333331</v>
      </c>
      <c r="D3742" t="str">
        <f>TEXT(Table1[[#This Row],[order_date]],"mmmm")</f>
        <v>October</v>
      </c>
      <c r="E3742" s="1">
        <v>45584</v>
      </c>
      <c r="F3742" s="1" t="str">
        <f>TEXT(Table1[[#This Row],[order_date]],"dddd")</f>
        <v>Saturday</v>
      </c>
      <c r="G3742">
        <f>HOUR(Table1[[#This Row],[order_time]])</f>
        <v>13</v>
      </c>
      <c r="H3742" s="2">
        <v>0.54803240740740744</v>
      </c>
      <c r="I3742" t="s">
        <v>18</v>
      </c>
      <c r="J3742" t="s">
        <v>26</v>
      </c>
      <c r="K3742">
        <v>2</v>
      </c>
      <c r="L3742">
        <v>55</v>
      </c>
      <c r="M3742">
        <v>110</v>
      </c>
      <c r="N3742">
        <f>IF(COUNTIFS($B$2:B3742,B3742)=1,1,0)</f>
        <v>0</v>
      </c>
    </row>
    <row r="3743" spans="1:14" x14ac:dyDescent="0.2">
      <c r="A3743">
        <v>3742</v>
      </c>
      <c r="B3743">
        <v>2886</v>
      </c>
      <c r="C3743">
        <f>1/COUNTIF(B:B,Table1[[#This Row],[order_id]])</f>
        <v>0.33333333333333331</v>
      </c>
      <c r="D3743" t="str">
        <f>TEXT(Table1[[#This Row],[order_date]],"mmmm")</f>
        <v>October</v>
      </c>
      <c r="E3743" s="1">
        <v>45584</v>
      </c>
      <c r="F3743" s="1" t="str">
        <f>TEXT(Table1[[#This Row],[order_date]],"dddd")</f>
        <v>Saturday</v>
      </c>
      <c r="G3743">
        <f>HOUR(Table1[[#This Row],[order_time]])</f>
        <v>19</v>
      </c>
      <c r="H3743" s="2">
        <v>0.82442129629629635</v>
      </c>
      <c r="I3743" t="s">
        <v>11</v>
      </c>
      <c r="J3743" t="s">
        <v>15</v>
      </c>
      <c r="K3743">
        <v>5</v>
      </c>
      <c r="L3743">
        <v>600</v>
      </c>
      <c r="M3743">
        <v>3000</v>
      </c>
      <c r="N3743">
        <f>IF(COUNTIFS($B$2:B3743,B3743)=1,1,0)</f>
        <v>0</v>
      </c>
    </row>
    <row r="3744" spans="1:14" x14ac:dyDescent="0.2">
      <c r="A3744">
        <v>3743</v>
      </c>
      <c r="B3744">
        <v>2887</v>
      </c>
      <c r="C3744">
        <f>1/COUNTIF(B:B,Table1[[#This Row],[order_id]])</f>
        <v>0.5</v>
      </c>
      <c r="D3744" t="str">
        <f>TEXT(Table1[[#This Row],[order_date]],"mmmm")</f>
        <v>October</v>
      </c>
      <c r="E3744" s="1">
        <v>45584</v>
      </c>
      <c r="F3744" s="1" t="str">
        <f>TEXT(Table1[[#This Row],[order_date]],"dddd")</f>
        <v>Saturday</v>
      </c>
      <c r="G3744">
        <f>HOUR(Table1[[#This Row],[order_time]])</f>
        <v>15</v>
      </c>
      <c r="H3744" s="2">
        <v>0.63958333333333328</v>
      </c>
      <c r="I3744" t="s">
        <v>18</v>
      </c>
      <c r="J3744" t="s">
        <v>19</v>
      </c>
      <c r="K3744">
        <v>3</v>
      </c>
      <c r="L3744">
        <v>50</v>
      </c>
      <c r="M3744">
        <v>150</v>
      </c>
      <c r="N3744">
        <f>IF(COUNTIFS($B$2:B3744,B3744)=1,1,0)</f>
        <v>1</v>
      </c>
    </row>
    <row r="3745" spans="1:14" x14ac:dyDescent="0.2">
      <c r="A3745">
        <v>3744</v>
      </c>
      <c r="B3745">
        <v>2887</v>
      </c>
      <c r="C3745">
        <f>1/COUNTIF(B:B,Table1[[#This Row],[order_id]])</f>
        <v>0.5</v>
      </c>
      <c r="D3745" t="str">
        <f>TEXT(Table1[[#This Row],[order_date]],"mmmm")</f>
        <v>October</v>
      </c>
      <c r="E3745" s="1">
        <v>45584</v>
      </c>
      <c r="F3745" s="1" t="str">
        <f>TEXT(Table1[[#This Row],[order_date]],"dddd")</f>
        <v>Saturday</v>
      </c>
      <c r="G3745">
        <f>HOUR(Table1[[#This Row],[order_time]])</f>
        <v>15</v>
      </c>
      <c r="H3745" s="2">
        <v>0.65604166666666663</v>
      </c>
      <c r="I3745" t="s">
        <v>11</v>
      </c>
      <c r="J3745" t="s">
        <v>25</v>
      </c>
      <c r="K3745">
        <v>3</v>
      </c>
      <c r="L3745">
        <v>1000</v>
      </c>
      <c r="M3745">
        <v>3000</v>
      </c>
      <c r="N3745">
        <f>IF(COUNTIFS($B$2:B3745,B3745)=1,1,0)</f>
        <v>0</v>
      </c>
    </row>
    <row r="3746" spans="1:14" x14ac:dyDescent="0.2">
      <c r="A3746">
        <v>3745</v>
      </c>
      <c r="B3746">
        <v>2888</v>
      </c>
      <c r="C3746">
        <f>1/COUNTIF(B:B,Table1[[#This Row],[order_id]])</f>
        <v>0.5</v>
      </c>
      <c r="D3746" t="str">
        <f>TEXT(Table1[[#This Row],[order_date]],"mmmm")</f>
        <v>October</v>
      </c>
      <c r="E3746" s="1">
        <v>45584</v>
      </c>
      <c r="F3746" s="1" t="str">
        <f>TEXT(Table1[[#This Row],[order_date]],"dddd")</f>
        <v>Saturday</v>
      </c>
      <c r="G3746">
        <f>HOUR(Table1[[#This Row],[order_time]])</f>
        <v>18</v>
      </c>
      <c r="H3746" s="2">
        <v>0.77621527777777777</v>
      </c>
      <c r="I3746" t="s">
        <v>11</v>
      </c>
      <c r="J3746" t="s">
        <v>14</v>
      </c>
      <c r="K3746">
        <v>4</v>
      </c>
      <c r="L3746">
        <v>700</v>
      </c>
      <c r="M3746">
        <v>2800</v>
      </c>
      <c r="N3746">
        <f>IF(COUNTIFS($B$2:B3746,B3746)=1,1,0)</f>
        <v>1</v>
      </c>
    </row>
    <row r="3747" spans="1:14" x14ac:dyDescent="0.2">
      <c r="A3747">
        <v>3746</v>
      </c>
      <c r="B3747">
        <v>2888</v>
      </c>
      <c r="C3747">
        <f>1/COUNTIF(B:B,Table1[[#This Row],[order_id]])</f>
        <v>0.5</v>
      </c>
      <c r="D3747" t="str">
        <f>TEXT(Table1[[#This Row],[order_date]],"mmmm")</f>
        <v>October</v>
      </c>
      <c r="E3747" s="1">
        <v>45584</v>
      </c>
      <c r="F3747" s="1" t="str">
        <f>TEXT(Table1[[#This Row],[order_date]],"dddd")</f>
        <v>Saturday</v>
      </c>
      <c r="G3747">
        <f>HOUR(Table1[[#This Row],[order_time]])</f>
        <v>15</v>
      </c>
      <c r="H3747" s="2">
        <v>0.66275462962962961</v>
      </c>
      <c r="I3747" t="s">
        <v>9</v>
      </c>
      <c r="J3747" t="s">
        <v>22</v>
      </c>
      <c r="K3747">
        <v>2</v>
      </c>
      <c r="L3747">
        <v>15</v>
      </c>
      <c r="M3747">
        <v>30</v>
      </c>
      <c r="N3747">
        <f>IF(COUNTIFS($B$2:B3747,B3747)=1,1,0)</f>
        <v>0</v>
      </c>
    </row>
    <row r="3748" spans="1:14" x14ac:dyDescent="0.2">
      <c r="A3748">
        <v>3747</v>
      </c>
      <c r="B3748">
        <v>2889</v>
      </c>
      <c r="C3748">
        <f>1/COUNTIF(B:B,Table1[[#This Row],[order_id]])</f>
        <v>0.5</v>
      </c>
      <c r="D3748" t="str">
        <f>TEXT(Table1[[#This Row],[order_date]],"mmmm")</f>
        <v>October</v>
      </c>
      <c r="E3748" s="1">
        <v>45584</v>
      </c>
      <c r="F3748" s="1" t="str">
        <f>TEXT(Table1[[#This Row],[order_date]],"dddd")</f>
        <v>Saturday</v>
      </c>
      <c r="G3748">
        <f>HOUR(Table1[[#This Row],[order_time]])</f>
        <v>19</v>
      </c>
      <c r="H3748" s="2">
        <v>0.80659722222222219</v>
      </c>
      <c r="I3748" t="s">
        <v>11</v>
      </c>
      <c r="J3748" t="s">
        <v>12</v>
      </c>
      <c r="K3748">
        <v>1</v>
      </c>
      <c r="L3748">
        <v>650</v>
      </c>
      <c r="M3748">
        <v>650</v>
      </c>
      <c r="N3748">
        <f>IF(COUNTIFS($B$2:B3748,B3748)=1,1,0)</f>
        <v>1</v>
      </c>
    </row>
    <row r="3749" spans="1:14" x14ac:dyDescent="0.2">
      <c r="A3749">
        <v>3748</v>
      </c>
      <c r="B3749">
        <v>2889</v>
      </c>
      <c r="C3749">
        <f>1/COUNTIF(B:B,Table1[[#This Row],[order_id]])</f>
        <v>0.5</v>
      </c>
      <c r="D3749" t="str">
        <f>TEXT(Table1[[#This Row],[order_date]],"mmmm")</f>
        <v>October</v>
      </c>
      <c r="E3749" s="1">
        <v>45584</v>
      </c>
      <c r="F3749" s="1" t="str">
        <f>TEXT(Table1[[#This Row],[order_date]],"dddd")</f>
        <v>Saturday</v>
      </c>
      <c r="G3749">
        <f>HOUR(Table1[[#This Row],[order_time]])</f>
        <v>16</v>
      </c>
      <c r="H3749" s="2">
        <v>0.69270833333333337</v>
      </c>
      <c r="I3749" t="s">
        <v>11</v>
      </c>
      <c r="J3749" t="s">
        <v>12</v>
      </c>
      <c r="K3749">
        <v>3</v>
      </c>
      <c r="L3749">
        <v>650</v>
      </c>
      <c r="M3749">
        <v>1950</v>
      </c>
      <c r="N3749">
        <f>IF(COUNTIFS($B$2:B3749,B3749)=1,1,0)</f>
        <v>0</v>
      </c>
    </row>
    <row r="3750" spans="1:14" x14ac:dyDescent="0.2">
      <c r="A3750">
        <v>3749</v>
      </c>
      <c r="B3750">
        <v>2890</v>
      </c>
      <c r="C3750">
        <f>1/COUNTIF(B:B,Table1[[#This Row],[order_id]])</f>
        <v>0.5</v>
      </c>
      <c r="D3750" t="str">
        <f>TEXT(Table1[[#This Row],[order_date]],"mmmm")</f>
        <v>October</v>
      </c>
      <c r="E3750" s="1">
        <v>45585</v>
      </c>
      <c r="F3750" s="1" t="str">
        <f>TEXT(Table1[[#This Row],[order_date]],"dddd")</f>
        <v>Sunday</v>
      </c>
      <c r="G3750">
        <f>HOUR(Table1[[#This Row],[order_time]])</f>
        <v>16</v>
      </c>
      <c r="H3750" s="2">
        <v>0.67583333333333329</v>
      </c>
      <c r="I3750" t="s">
        <v>11</v>
      </c>
      <c r="J3750" t="s">
        <v>12</v>
      </c>
      <c r="K3750">
        <v>2</v>
      </c>
      <c r="L3750">
        <v>650</v>
      </c>
      <c r="M3750">
        <v>1300</v>
      </c>
      <c r="N3750">
        <f>IF(COUNTIFS($B$2:B3750,B3750)=1,1,0)</f>
        <v>1</v>
      </c>
    </row>
    <row r="3751" spans="1:14" x14ac:dyDescent="0.2">
      <c r="A3751">
        <v>3750</v>
      </c>
      <c r="B3751">
        <v>2890</v>
      </c>
      <c r="C3751">
        <f>1/COUNTIF(B:B,Table1[[#This Row],[order_id]])</f>
        <v>0.5</v>
      </c>
      <c r="D3751" t="str">
        <f>TEXT(Table1[[#This Row],[order_date]],"mmmm")</f>
        <v>October</v>
      </c>
      <c r="E3751" s="1">
        <v>45585</v>
      </c>
      <c r="F3751" s="1" t="str">
        <f>TEXT(Table1[[#This Row],[order_date]],"dddd")</f>
        <v>Sunday</v>
      </c>
      <c r="G3751">
        <f>HOUR(Table1[[#This Row],[order_time]])</f>
        <v>18</v>
      </c>
      <c r="H3751" s="2">
        <v>0.76670138888888884</v>
      </c>
      <c r="I3751" t="s">
        <v>18</v>
      </c>
      <c r="J3751" t="s">
        <v>31</v>
      </c>
      <c r="K3751">
        <v>5</v>
      </c>
      <c r="L3751">
        <v>45</v>
      </c>
      <c r="M3751">
        <v>225</v>
      </c>
      <c r="N3751">
        <f>IF(COUNTIFS($B$2:B3751,B3751)=1,1,0)</f>
        <v>0</v>
      </c>
    </row>
    <row r="3752" spans="1:14" x14ac:dyDescent="0.2">
      <c r="A3752">
        <v>3751</v>
      </c>
      <c r="B3752">
        <v>2891</v>
      </c>
      <c r="C3752">
        <f>1/COUNTIF(B:B,Table1[[#This Row],[order_id]])</f>
        <v>0.5</v>
      </c>
      <c r="D3752" t="str">
        <f>TEXT(Table1[[#This Row],[order_date]],"mmmm")</f>
        <v>October</v>
      </c>
      <c r="E3752" s="1">
        <v>45585</v>
      </c>
      <c r="F3752" s="1" t="str">
        <f>TEXT(Table1[[#This Row],[order_date]],"dddd")</f>
        <v>Sunday</v>
      </c>
      <c r="G3752">
        <f>HOUR(Table1[[#This Row],[order_time]])</f>
        <v>19</v>
      </c>
      <c r="H3752" s="2">
        <v>0.81049768518518517</v>
      </c>
      <c r="I3752" t="s">
        <v>18</v>
      </c>
      <c r="J3752" t="s">
        <v>19</v>
      </c>
      <c r="K3752">
        <v>1</v>
      </c>
      <c r="L3752">
        <v>50</v>
      </c>
      <c r="M3752">
        <v>50</v>
      </c>
      <c r="N3752">
        <f>IF(COUNTIFS($B$2:B3752,B3752)=1,1,0)</f>
        <v>1</v>
      </c>
    </row>
    <row r="3753" spans="1:14" x14ac:dyDescent="0.2">
      <c r="A3753">
        <v>3752</v>
      </c>
      <c r="B3753">
        <v>2891</v>
      </c>
      <c r="C3753">
        <f>1/COUNTIF(B:B,Table1[[#This Row],[order_id]])</f>
        <v>0.5</v>
      </c>
      <c r="D3753" t="str">
        <f>TEXT(Table1[[#This Row],[order_date]],"mmmm")</f>
        <v>October</v>
      </c>
      <c r="E3753" s="1">
        <v>45585</v>
      </c>
      <c r="F3753" s="1" t="str">
        <f>TEXT(Table1[[#This Row],[order_date]],"dddd")</f>
        <v>Sunday</v>
      </c>
      <c r="G3753">
        <f>HOUR(Table1[[#This Row],[order_time]])</f>
        <v>16</v>
      </c>
      <c r="H3753" s="2">
        <v>0.69861111111111107</v>
      </c>
      <c r="I3753" t="s">
        <v>9</v>
      </c>
      <c r="J3753" t="s">
        <v>22</v>
      </c>
      <c r="K3753">
        <v>1</v>
      </c>
      <c r="L3753">
        <v>15</v>
      </c>
      <c r="M3753">
        <v>15</v>
      </c>
      <c r="N3753">
        <f>IF(COUNTIFS($B$2:B3753,B3753)=1,1,0)</f>
        <v>0</v>
      </c>
    </row>
    <row r="3754" spans="1:14" x14ac:dyDescent="0.2">
      <c r="A3754">
        <v>3753</v>
      </c>
      <c r="B3754">
        <v>2892</v>
      </c>
      <c r="C3754">
        <f>1/COUNTIF(B:B,Table1[[#This Row],[order_id]])</f>
        <v>0.5</v>
      </c>
      <c r="D3754" t="str">
        <f>TEXT(Table1[[#This Row],[order_date]],"mmmm")</f>
        <v>October</v>
      </c>
      <c r="E3754" s="1">
        <v>45585</v>
      </c>
      <c r="F3754" s="1" t="str">
        <f>TEXT(Table1[[#This Row],[order_date]],"dddd")</f>
        <v>Sunday</v>
      </c>
      <c r="G3754">
        <f>HOUR(Table1[[#This Row],[order_time]])</f>
        <v>15</v>
      </c>
      <c r="H3754" s="2">
        <v>0.65858796296296296</v>
      </c>
      <c r="I3754" t="s">
        <v>18</v>
      </c>
      <c r="J3754" t="s">
        <v>27</v>
      </c>
      <c r="K3754">
        <v>5</v>
      </c>
      <c r="L3754">
        <v>40</v>
      </c>
      <c r="M3754">
        <v>200</v>
      </c>
      <c r="N3754">
        <f>IF(COUNTIFS($B$2:B3754,B3754)=1,1,0)</f>
        <v>1</v>
      </c>
    </row>
    <row r="3755" spans="1:14" x14ac:dyDescent="0.2">
      <c r="A3755">
        <v>3754</v>
      </c>
      <c r="B3755">
        <v>2892</v>
      </c>
      <c r="C3755">
        <f>1/COUNTIF(B:B,Table1[[#This Row],[order_id]])</f>
        <v>0.5</v>
      </c>
      <c r="D3755" t="str">
        <f>TEXT(Table1[[#This Row],[order_date]],"mmmm")</f>
        <v>October</v>
      </c>
      <c r="E3755" s="1">
        <v>45585</v>
      </c>
      <c r="F3755" s="1" t="str">
        <f>TEXT(Table1[[#This Row],[order_date]],"dddd")</f>
        <v>Sunday</v>
      </c>
      <c r="G3755">
        <f>HOUR(Table1[[#This Row],[order_time]])</f>
        <v>12</v>
      </c>
      <c r="H3755" s="2">
        <v>0.50890046296296299</v>
      </c>
      <c r="I3755" t="s">
        <v>9</v>
      </c>
      <c r="J3755" t="s">
        <v>21</v>
      </c>
      <c r="K3755">
        <v>3</v>
      </c>
      <c r="L3755">
        <v>10</v>
      </c>
      <c r="M3755">
        <v>30</v>
      </c>
      <c r="N3755">
        <f>IF(COUNTIFS($B$2:B3755,B3755)=1,1,0)</f>
        <v>0</v>
      </c>
    </row>
    <row r="3756" spans="1:14" x14ac:dyDescent="0.2">
      <c r="A3756">
        <v>3755</v>
      </c>
      <c r="B3756">
        <v>2893</v>
      </c>
      <c r="C3756">
        <f>1/COUNTIF(B:B,Table1[[#This Row],[order_id]])</f>
        <v>0.5</v>
      </c>
      <c r="D3756" t="str">
        <f>TEXT(Table1[[#This Row],[order_date]],"mmmm")</f>
        <v>October</v>
      </c>
      <c r="E3756" s="1">
        <v>45585</v>
      </c>
      <c r="F3756" s="1" t="str">
        <f>TEXT(Table1[[#This Row],[order_date]],"dddd")</f>
        <v>Sunday</v>
      </c>
      <c r="G3756">
        <f>HOUR(Table1[[#This Row],[order_time]])</f>
        <v>19</v>
      </c>
      <c r="H3756" s="2">
        <v>0.82740740740740737</v>
      </c>
      <c r="I3756" t="s">
        <v>18</v>
      </c>
      <c r="J3756" t="s">
        <v>30</v>
      </c>
      <c r="K3756">
        <v>1</v>
      </c>
      <c r="L3756">
        <v>60</v>
      </c>
      <c r="M3756">
        <v>60</v>
      </c>
      <c r="N3756">
        <f>IF(COUNTIFS($B$2:B3756,B3756)=1,1,0)</f>
        <v>1</v>
      </c>
    </row>
    <row r="3757" spans="1:14" x14ac:dyDescent="0.2">
      <c r="A3757">
        <v>3756</v>
      </c>
      <c r="B3757">
        <v>2893</v>
      </c>
      <c r="C3757">
        <f>1/COUNTIF(B:B,Table1[[#This Row],[order_id]])</f>
        <v>0.5</v>
      </c>
      <c r="D3757" t="str">
        <f>TEXT(Table1[[#This Row],[order_date]],"mmmm")</f>
        <v>October</v>
      </c>
      <c r="E3757" s="1">
        <v>45585</v>
      </c>
      <c r="F3757" s="1" t="str">
        <f>TEXT(Table1[[#This Row],[order_date]],"dddd")</f>
        <v>Sunday</v>
      </c>
      <c r="G3757">
        <f>HOUR(Table1[[#This Row],[order_time]])</f>
        <v>18</v>
      </c>
      <c r="H3757" s="2">
        <v>0.78712962962962962</v>
      </c>
      <c r="I3757" t="s">
        <v>11</v>
      </c>
      <c r="J3757" t="s">
        <v>25</v>
      </c>
      <c r="K3757">
        <v>1</v>
      </c>
      <c r="L3757">
        <v>1000</v>
      </c>
      <c r="M3757">
        <v>1000</v>
      </c>
      <c r="N3757">
        <f>IF(COUNTIFS($B$2:B3757,B3757)=1,1,0)</f>
        <v>0</v>
      </c>
    </row>
    <row r="3758" spans="1:14" x14ac:dyDescent="0.2">
      <c r="A3758">
        <v>3757</v>
      </c>
      <c r="B3758">
        <v>2894</v>
      </c>
      <c r="C3758">
        <f>1/COUNTIF(B:B,Table1[[#This Row],[order_id]])</f>
        <v>0.33333333333333331</v>
      </c>
      <c r="D3758" t="str">
        <f>TEXT(Table1[[#This Row],[order_date]],"mmmm")</f>
        <v>October</v>
      </c>
      <c r="E3758" s="1">
        <v>45585</v>
      </c>
      <c r="F3758" s="1" t="str">
        <f>TEXT(Table1[[#This Row],[order_date]],"dddd")</f>
        <v>Sunday</v>
      </c>
      <c r="G3758">
        <f>HOUR(Table1[[#This Row],[order_time]])</f>
        <v>18</v>
      </c>
      <c r="H3758" s="2">
        <v>0.77368055555555559</v>
      </c>
      <c r="I3758" t="s">
        <v>18</v>
      </c>
      <c r="J3758" t="s">
        <v>27</v>
      </c>
      <c r="K3758">
        <v>4</v>
      </c>
      <c r="L3758">
        <v>40</v>
      </c>
      <c r="M3758">
        <v>160</v>
      </c>
      <c r="N3758">
        <f>IF(COUNTIFS($B$2:B3758,B3758)=1,1,0)</f>
        <v>1</v>
      </c>
    </row>
    <row r="3759" spans="1:14" x14ac:dyDescent="0.2">
      <c r="A3759">
        <v>3758</v>
      </c>
      <c r="B3759">
        <v>2894</v>
      </c>
      <c r="C3759">
        <f>1/COUNTIF(B:B,Table1[[#This Row],[order_id]])</f>
        <v>0.33333333333333331</v>
      </c>
      <c r="D3759" t="str">
        <f>TEXT(Table1[[#This Row],[order_date]],"mmmm")</f>
        <v>October</v>
      </c>
      <c r="E3759" s="1">
        <v>45585</v>
      </c>
      <c r="F3759" s="1" t="str">
        <f>TEXT(Table1[[#This Row],[order_date]],"dddd")</f>
        <v>Sunday</v>
      </c>
      <c r="G3759">
        <f>HOUR(Table1[[#This Row],[order_time]])</f>
        <v>13</v>
      </c>
      <c r="H3759" s="2">
        <v>0.54795138888888884</v>
      </c>
      <c r="I3759" t="s">
        <v>16</v>
      </c>
      <c r="J3759" t="s">
        <v>23</v>
      </c>
      <c r="K3759">
        <v>4</v>
      </c>
      <c r="L3759">
        <v>30</v>
      </c>
      <c r="M3759">
        <v>120</v>
      </c>
      <c r="N3759">
        <f>IF(COUNTIFS($B$2:B3759,B3759)=1,1,0)</f>
        <v>0</v>
      </c>
    </row>
    <row r="3760" spans="1:14" x14ac:dyDescent="0.2">
      <c r="A3760">
        <v>3759</v>
      </c>
      <c r="B3760">
        <v>2894</v>
      </c>
      <c r="C3760">
        <f>1/COUNTIF(B:B,Table1[[#This Row],[order_id]])</f>
        <v>0.33333333333333331</v>
      </c>
      <c r="D3760" t="str">
        <f>TEXT(Table1[[#This Row],[order_date]],"mmmm")</f>
        <v>October</v>
      </c>
      <c r="E3760" s="1">
        <v>45585</v>
      </c>
      <c r="F3760" s="1" t="str">
        <f>TEXT(Table1[[#This Row],[order_date]],"dddd")</f>
        <v>Sunday</v>
      </c>
      <c r="G3760">
        <f>HOUR(Table1[[#This Row],[order_time]])</f>
        <v>16</v>
      </c>
      <c r="H3760" s="2">
        <v>0.6810532407407407</v>
      </c>
      <c r="I3760" t="s">
        <v>16</v>
      </c>
      <c r="J3760" t="s">
        <v>17</v>
      </c>
      <c r="K3760">
        <v>2</v>
      </c>
      <c r="L3760">
        <v>20</v>
      </c>
      <c r="M3760">
        <v>40</v>
      </c>
      <c r="N3760">
        <f>IF(COUNTIFS($B$2:B3760,B3760)=1,1,0)</f>
        <v>0</v>
      </c>
    </row>
    <row r="3761" spans="1:14" x14ac:dyDescent="0.2">
      <c r="A3761">
        <v>3760</v>
      </c>
      <c r="B3761">
        <v>2895</v>
      </c>
      <c r="C3761">
        <f>1/COUNTIF(B:B,Table1[[#This Row],[order_id]])</f>
        <v>1</v>
      </c>
      <c r="D3761" t="str">
        <f>TEXT(Table1[[#This Row],[order_date]],"mmmm")</f>
        <v>October</v>
      </c>
      <c r="E3761" s="1">
        <v>45585</v>
      </c>
      <c r="F3761" s="1" t="str">
        <f>TEXT(Table1[[#This Row],[order_date]],"dddd")</f>
        <v>Sunday</v>
      </c>
      <c r="G3761">
        <f>HOUR(Table1[[#This Row],[order_time]])</f>
        <v>17</v>
      </c>
      <c r="H3761" s="2">
        <v>0.72162037037037041</v>
      </c>
      <c r="I3761" t="s">
        <v>16</v>
      </c>
      <c r="J3761" t="s">
        <v>24</v>
      </c>
      <c r="K3761">
        <v>4</v>
      </c>
      <c r="L3761">
        <v>35</v>
      </c>
      <c r="M3761">
        <v>140</v>
      </c>
      <c r="N3761">
        <f>IF(COUNTIFS($B$2:B3761,B3761)=1,1,0)</f>
        <v>1</v>
      </c>
    </row>
    <row r="3762" spans="1:14" x14ac:dyDescent="0.2">
      <c r="A3762">
        <v>3761</v>
      </c>
      <c r="B3762">
        <v>2896</v>
      </c>
      <c r="C3762">
        <f>1/COUNTIF(B:B,Table1[[#This Row],[order_id]])</f>
        <v>0.5</v>
      </c>
      <c r="D3762" t="str">
        <f>TEXT(Table1[[#This Row],[order_date]],"mmmm")</f>
        <v>October</v>
      </c>
      <c r="E3762" s="1">
        <v>45585</v>
      </c>
      <c r="F3762" s="1" t="str">
        <f>TEXT(Table1[[#This Row],[order_date]],"dddd")</f>
        <v>Sunday</v>
      </c>
      <c r="G3762">
        <f>HOUR(Table1[[#This Row],[order_time]])</f>
        <v>10</v>
      </c>
      <c r="H3762" s="2">
        <v>0.43565972222222221</v>
      </c>
      <c r="I3762" t="s">
        <v>9</v>
      </c>
      <c r="J3762" t="s">
        <v>29</v>
      </c>
      <c r="K3762">
        <v>5</v>
      </c>
      <c r="L3762">
        <v>5</v>
      </c>
      <c r="M3762">
        <v>25</v>
      </c>
      <c r="N3762">
        <f>IF(COUNTIFS($B$2:B3762,B3762)=1,1,0)</f>
        <v>1</v>
      </c>
    </row>
    <row r="3763" spans="1:14" x14ac:dyDescent="0.2">
      <c r="A3763">
        <v>3762</v>
      </c>
      <c r="B3763">
        <v>2896</v>
      </c>
      <c r="C3763">
        <f>1/COUNTIF(B:B,Table1[[#This Row],[order_id]])</f>
        <v>0.5</v>
      </c>
      <c r="D3763" t="str">
        <f>TEXT(Table1[[#This Row],[order_date]],"mmmm")</f>
        <v>October</v>
      </c>
      <c r="E3763" s="1">
        <v>45585</v>
      </c>
      <c r="F3763" s="1" t="str">
        <f>TEXT(Table1[[#This Row],[order_date]],"dddd")</f>
        <v>Sunday</v>
      </c>
      <c r="G3763">
        <f>HOUR(Table1[[#This Row],[order_time]])</f>
        <v>10</v>
      </c>
      <c r="H3763" s="2">
        <v>0.44195601851851851</v>
      </c>
      <c r="I3763" t="s">
        <v>16</v>
      </c>
      <c r="J3763" t="s">
        <v>24</v>
      </c>
      <c r="K3763">
        <v>1</v>
      </c>
      <c r="L3763">
        <v>35</v>
      </c>
      <c r="M3763">
        <v>35</v>
      </c>
      <c r="N3763">
        <f>IF(COUNTIFS($B$2:B3763,B3763)=1,1,0)</f>
        <v>0</v>
      </c>
    </row>
    <row r="3764" spans="1:14" x14ac:dyDescent="0.2">
      <c r="A3764">
        <v>3763</v>
      </c>
      <c r="B3764">
        <v>2897</v>
      </c>
      <c r="C3764">
        <f>1/COUNTIF(B:B,Table1[[#This Row],[order_id]])</f>
        <v>0.5</v>
      </c>
      <c r="D3764" t="str">
        <f>TEXT(Table1[[#This Row],[order_date]],"mmmm")</f>
        <v>October</v>
      </c>
      <c r="E3764" s="1">
        <v>45585</v>
      </c>
      <c r="F3764" s="1" t="str">
        <f>TEXT(Table1[[#This Row],[order_date]],"dddd")</f>
        <v>Sunday</v>
      </c>
      <c r="G3764">
        <f>HOUR(Table1[[#This Row],[order_time]])</f>
        <v>14</v>
      </c>
      <c r="H3764" s="2">
        <v>0.62028935185185186</v>
      </c>
      <c r="I3764" t="s">
        <v>11</v>
      </c>
      <c r="J3764" t="s">
        <v>13</v>
      </c>
      <c r="K3764">
        <v>4</v>
      </c>
      <c r="L3764">
        <v>680</v>
      </c>
      <c r="M3764">
        <v>2720</v>
      </c>
      <c r="N3764">
        <f>IF(COUNTIFS($B$2:B3764,B3764)=1,1,0)</f>
        <v>1</v>
      </c>
    </row>
    <row r="3765" spans="1:14" x14ac:dyDescent="0.2">
      <c r="A3765">
        <v>3764</v>
      </c>
      <c r="B3765">
        <v>2897</v>
      </c>
      <c r="C3765">
        <f>1/COUNTIF(B:B,Table1[[#This Row],[order_id]])</f>
        <v>0.5</v>
      </c>
      <c r="D3765" t="str">
        <f>TEXT(Table1[[#This Row],[order_date]],"mmmm")</f>
        <v>October</v>
      </c>
      <c r="E3765" s="1">
        <v>45585</v>
      </c>
      <c r="F3765" s="1" t="str">
        <f>TEXT(Table1[[#This Row],[order_date]],"dddd")</f>
        <v>Sunday</v>
      </c>
      <c r="G3765">
        <f>HOUR(Table1[[#This Row],[order_time]])</f>
        <v>19</v>
      </c>
      <c r="H3765" s="2">
        <v>0.83321759259259254</v>
      </c>
      <c r="I3765" t="s">
        <v>9</v>
      </c>
      <c r="J3765" t="s">
        <v>20</v>
      </c>
      <c r="K3765">
        <v>2</v>
      </c>
      <c r="L3765">
        <v>25</v>
      </c>
      <c r="M3765">
        <v>50</v>
      </c>
      <c r="N3765">
        <f>IF(COUNTIFS($B$2:B3765,B3765)=1,1,0)</f>
        <v>0</v>
      </c>
    </row>
    <row r="3766" spans="1:14" x14ac:dyDescent="0.2">
      <c r="A3766">
        <v>3765</v>
      </c>
      <c r="B3766">
        <v>2898</v>
      </c>
      <c r="C3766">
        <f>1/COUNTIF(B:B,Table1[[#This Row],[order_id]])</f>
        <v>0.33333333333333331</v>
      </c>
      <c r="D3766" t="str">
        <f>TEXT(Table1[[#This Row],[order_date]],"mmmm")</f>
        <v>October</v>
      </c>
      <c r="E3766" s="1">
        <v>45586</v>
      </c>
      <c r="F3766" s="1" t="str">
        <f>TEXT(Table1[[#This Row],[order_date]],"dddd")</f>
        <v>Monday</v>
      </c>
      <c r="G3766">
        <f>HOUR(Table1[[#This Row],[order_time]])</f>
        <v>20</v>
      </c>
      <c r="H3766" s="2">
        <v>0.85062499999999996</v>
      </c>
      <c r="I3766" t="s">
        <v>16</v>
      </c>
      <c r="J3766" t="s">
        <v>23</v>
      </c>
      <c r="K3766">
        <v>4</v>
      </c>
      <c r="L3766">
        <v>30</v>
      </c>
      <c r="M3766">
        <v>120</v>
      </c>
      <c r="N3766">
        <f>IF(COUNTIFS($B$2:B3766,B3766)=1,1,0)</f>
        <v>1</v>
      </c>
    </row>
    <row r="3767" spans="1:14" x14ac:dyDescent="0.2">
      <c r="A3767">
        <v>3766</v>
      </c>
      <c r="B3767">
        <v>2898</v>
      </c>
      <c r="C3767">
        <f>1/COUNTIF(B:B,Table1[[#This Row],[order_id]])</f>
        <v>0.33333333333333331</v>
      </c>
      <c r="D3767" t="str">
        <f>TEXT(Table1[[#This Row],[order_date]],"mmmm")</f>
        <v>October</v>
      </c>
      <c r="E3767" s="1">
        <v>45586</v>
      </c>
      <c r="F3767" s="1" t="str">
        <f>TEXT(Table1[[#This Row],[order_date]],"dddd")</f>
        <v>Monday</v>
      </c>
      <c r="G3767">
        <f>HOUR(Table1[[#This Row],[order_time]])</f>
        <v>14</v>
      </c>
      <c r="H3767" s="2">
        <v>0.61826388888888884</v>
      </c>
      <c r="I3767" t="s">
        <v>11</v>
      </c>
      <c r="J3767" t="s">
        <v>14</v>
      </c>
      <c r="K3767">
        <v>1</v>
      </c>
      <c r="L3767">
        <v>700</v>
      </c>
      <c r="M3767">
        <v>700</v>
      </c>
      <c r="N3767">
        <f>IF(COUNTIFS($B$2:B3767,B3767)=1,1,0)</f>
        <v>0</v>
      </c>
    </row>
    <row r="3768" spans="1:14" x14ac:dyDescent="0.2">
      <c r="A3768">
        <v>3767</v>
      </c>
      <c r="B3768">
        <v>2898</v>
      </c>
      <c r="C3768">
        <f>1/COUNTIF(B:B,Table1[[#This Row],[order_id]])</f>
        <v>0.33333333333333331</v>
      </c>
      <c r="D3768" t="str">
        <f>TEXT(Table1[[#This Row],[order_date]],"mmmm")</f>
        <v>October</v>
      </c>
      <c r="E3768" s="1">
        <v>45586</v>
      </c>
      <c r="F3768" s="1" t="str">
        <f>TEXT(Table1[[#This Row],[order_date]],"dddd")</f>
        <v>Monday</v>
      </c>
      <c r="G3768">
        <f>HOUR(Table1[[#This Row],[order_time]])</f>
        <v>17</v>
      </c>
      <c r="H3768" s="2">
        <v>0.73552083333333329</v>
      </c>
      <c r="I3768" t="s">
        <v>9</v>
      </c>
      <c r="J3768" t="s">
        <v>22</v>
      </c>
      <c r="K3768">
        <v>2</v>
      </c>
      <c r="L3768">
        <v>15</v>
      </c>
      <c r="M3768">
        <v>30</v>
      </c>
      <c r="N3768">
        <f>IF(COUNTIFS($B$2:B3768,B3768)=1,1,0)</f>
        <v>0</v>
      </c>
    </row>
    <row r="3769" spans="1:14" x14ac:dyDescent="0.2">
      <c r="A3769">
        <v>3768</v>
      </c>
      <c r="B3769">
        <v>2899</v>
      </c>
      <c r="C3769">
        <f>1/COUNTIF(B:B,Table1[[#This Row],[order_id]])</f>
        <v>0.5</v>
      </c>
      <c r="D3769" t="str">
        <f>TEXT(Table1[[#This Row],[order_date]],"mmmm")</f>
        <v>October</v>
      </c>
      <c r="E3769" s="1">
        <v>45586</v>
      </c>
      <c r="F3769" s="1" t="str">
        <f>TEXT(Table1[[#This Row],[order_date]],"dddd")</f>
        <v>Monday</v>
      </c>
      <c r="G3769">
        <f>HOUR(Table1[[#This Row],[order_time]])</f>
        <v>14</v>
      </c>
      <c r="H3769" s="2">
        <v>0.59432870370370372</v>
      </c>
      <c r="I3769" t="s">
        <v>18</v>
      </c>
      <c r="J3769" t="s">
        <v>30</v>
      </c>
      <c r="K3769">
        <v>4</v>
      </c>
      <c r="L3769">
        <v>60</v>
      </c>
      <c r="M3769">
        <v>240</v>
      </c>
      <c r="N3769">
        <f>IF(COUNTIFS($B$2:B3769,B3769)=1,1,0)</f>
        <v>1</v>
      </c>
    </row>
    <row r="3770" spans="1:14" x14ac:dyDescent="0.2">
      <c r="A3770">
        <v>3769</v>
      </c>
      <c r="B3770">
        <v>2899</v>
      </c>
      <c r="C3770">
        <f>1/COUNTIF(B:B,Table1[[#This Row],[order_id]])</f>
        <v>0.5</v>
      </c>
      <c r="D3770" t="str">
        <f>TEXT(Table1[[#This Row],[order_date]],"mmmm")</f>
        <v>October</v>
      </c>
      <c r="E3770" s="1">
        <v>45586</v>
      </c>
      <c r="F3770" s="1" t="str">
        <f>TEXT(Table1[[#This Row],[order_date]],"dddd")</f>
        <v>Monday</v>
      </c>
      <c r="G3770">
        <f>HOUR(Table1[[#This Row],[order_time]])</f>
        <v>17</v>
      </c>
      <c r="H3770" s="2">
        <v>0.73819444444444449</v>
      </c>
      <c r="I3770" t="s">
        <v>16</v>
      </c>
      <c r="J3770" t="s">
        <v>24</v>
      </c>
      <c r="K3770">
        <v>4</v>
      </c>
      <c r="L3770">
        <v>35</v>
      </c>
      <c r="M3770">
        <v>140</v>
      </c>
      <c r="N3770">
        <f>IF(COUNTIFS($B$2:B3770,B3770)=1,1,0)</f>
        <v>0</v>
      </c>
    </row>
    <row r="3771" spans="1:14" x14ac:dyDescent="0.2">
      <c r="A3771">
        <v>3770</v>
      </c>
      <c r="B3771">
        <v>2900</v>
      </c>
      <c r="C3771">
        <f>1/COUNTIF(B:B,Table1[[#This Row],[order_id]])</f>
        <v>1</v>
      </c>
      <c r="D3771" t="str">
        <f>TEXT(Table1[[#This Row],[order_date]],"mmmm")</f>
        <v>October</v>
      </c>
      <c r="E3771" s="1">
        <v>45586</v>
      </c>
      <c r="F3771" s="1" t="str">
        <f>TEXT(Table1[[#This Row],[order_date]],"dddd")</f>
        <v>Monday</v>
      </c>
      <c r="G3771">
        <f>HOUR(Table1[[#This Row],[order_time]])</f>
        <v>20</v>
      </c>
      <c r="H3771" s="2">
        <v>0.84642361111111108</v>
      </c>
      <c r="I3771" t="s">
        <v>11</v>
      </c>
      <c r="J3771" t="s">
        <v>13</v>
      </c>
      <c r="K3771">
        <v>1</v>
      </c>
      <c r="L3771">
        <v>680</v>
      </c>
      <c r="M3771">
        <v>680</v>
      </c>
      <c r="N3771">
        <f>IF(COUNTIFS($B$2:B3771,B3771)=1,1,0)</f>
        <v>1</v>
      </c>
    </row>
    <row r="3772" spans="1:14" x14ac:dyDescent="0.2">
      <c r="A3772">
        <v>3771</v>
      </c>
      <c r="B3772">
        <v>2901</v>
      </c>
      <c r="C3772">
        <f>1/COUNTIF(B:B,Table1[[#This Row],[order_id]])</f>
        <v>0.5</v>
      </c>
      <c r="D3772" t="str">
        <f>TEXT(Table1[[#This Row],[order_date]],"mmmm")</f>
        <v>October</v>
      </c>
      <c r="E3772" s="1">
        <v>45586</v>
      </c>
      <c r="F3772" s="1" t="str">
        <f>TEXT(Table1[[#This Row],[order_date]],"dddd")</f>
        <v>Monday</v>
      </c>
      <c r="G3772">
        <f>HOUR(Table1[[#This Row],[order_time]])</f>
        <v>10</v>
      </c>
      <c r="H3772" s="2">
        <v>0.45494212962962965</v>
      </c>
      <c r="I3772" t="s">
        <v>11</v>
      </c>
      <c r="J3772" t="s">
        <v>14</v>
      </c>
      <c r="K3772">
        <v>3</v>
      </c>
      <c r="L3772">
        <v>700</v>
      </c>
      <c r="M3772">
        <v>2100</v>
      </c>
      <c r="N3772">
        <f>IF(COUNTIFS($B$2:B3772,B3772)=1,1,0)</f>
        <v>1</v>
      </c>
    </row>
    <row r="3773" spans="1:14" x14ac:dyDescent="0.2">
      <c r="A3773">
        <v>3772</v>
      </c>
      <c r="B3773">
        <v>2901</v>
      </c>
      <c r="C3773">
        <f>1/COUNTIF(B:B,Table1[[#This Row],[order_id]])</f>
        <v>0.5</v>
      </c>
      <c r="D3773" t="str">
        <f>TEXT(Table1[[#This Row],[order_date]],"mmmm")</f>
        <v>October</v>
      </c>
      <c r="E3773" s="1">
        <v>45586</v>
      </c>
      <c r="F3773" s="1" t="str">
        <f>TEXT(Table1[[#This Row],[order_date]],"dddd")</f>
        <v>Monday</v>
      </c>
      <c r="G3773">
        <f>HOUR(Table1[[#This Row],[order_time]])</f>
        <v>18</v>
      </c>
      <c r="H3773" s="2">
        <v>0.76634259259259263</v>
      </c>
      <c r="I3773" t="s">
        <v>16</v>
      </c>
      <c r="J3773" t="s">
        <v>17</v>
      </c>
      <c r="K3773">
        <v>3</v>
      </c>
      <c r="L3773">
        <v>20</v>
      </c>
      <c r="M3773">
        <v>60</v>
      </c>
      <c r="N3773">
        <f>IF(COUNTIFS($B$2:B3773,B3773)=1,1,0)</f>
        <v>0</v>
      </c>
    </row>
    <row r="3774" spans="1:14" x14ac:dyDescent="0.2">
      <c r="A3774">
        <v>3773</v>
      </c>
      <c r="B3774">
        <v>2902</v>
      </c>
      <c r="C3774">
        <f>1/COUNTIF(B:B,Table1[[#This Row],[order_id]])</f>
        <v>1</v>
      </c>
      <c r="D3774" t="str">
        <f>TEXT(Table1[[#This Row],[order_date]],"mmmm")</f>
        <v>October</v>
      </c>
      <c r="E3774" s="1">
        <v>45586</v>
      </c>
      <c r="F3774" s="1" t="str">
        <f>TEXT(Table1[[#This Row],[order_date]],"dddd")</f>
        <v>Monday</v>
      </c>
      <c r="G3774">
        <f>HOUR(Table1[[#This Row],[order_time]])</f>
        <v>16</v>
      </c>
      <c r="H3774" s="2">
        <v>0.66778935185185184</v>
      </c>
      <c r="I3774" t="s">
        <v>18</v>
      </c>
      <c r="J3774" t="s">
        <v>26</v>
      </c>
      <c r="K3774">
        <v>3</v>
      </c>
      <c r="L3774">
        <v>55</v>
      </c>
      <c r="M3774">
        <v>165</v>
      </c>
      <c r="N3774">
        <f>IF(COUNTIFS($B$2:B3774,B3774)=1,1,0)</f>
        <v>1</v>
      </c>
    </row>
    <row r="3775" spans="1:14" x14ac:dyDescent="0.2">
      <c r="A3775">
        <v>3774</v>
      </c>
      <c r="B3775">
        <v>2903</v>
      </c>
      <c r="C3775">
        <f>1/COUNTIF(B:B,Table1[[#This Row],[order_id]])</f>
        <v>0.5</v>
      </c>
      <c r="D3775" t="str">
        <f>TEXT(Table1[[#This Row],[order_date]],"mmmm")</f>
        <v>October</v>
      </c>
      <c r="E3775" s="1">
        <v>45586</v>
      </c>
      <c r="F3775" s="1" t="str">
        <f>TEXT(Table1[[#This Row],[order_date]],"dddd")</f>
        <v>Monday</v>
      </c>
      <c r="G3775">
        <f>HOUR(Table1[[#This Row],[order_time]])</f>
        <v>11</v>
      </c>
      <c r="H3775" s="2">
        <v>0.49002314814814812</v>
      </c>
      <c r="I3775" t="s">
        <v>16</v>
      </c>
      <c r="J3775" t="s">
        <v>17</v>
      </c>
      <c r="K3775">
        <v>4</v>
      </c>
      <c r="L3775">
        <v>20</v>
      </c>
      <c r="M3775">
        <v>80</v>
      </c>
      <c r="N3775">
        <f>IF(COUNTIFS($B$2:B3775,B3775)=1,1,0)</f>
        <v>1</v>
      </c>
    </row>
    <row r="3776" spans="1:14" x14ac:dyDescent="0.2">
      <c r="A3776">
        <v>3775</v>
      </c>
      <c r="B3776">
        <v>2903</v>
      </c>
      <c r="C3776">
        <f>1/COUNTIF(B:B,Table1[[#This Row],[order_id]])</f>
        <v>0.5</v>
      </c>
      <c r="D3776" t="str">
        <f>TEXT(Table1[[#This Row],[order_date]],"mmmm")</f>
        <v>October</v>
      </c>
      <c r="E3776" s="1">
        <v>45586</v>
      </c>
      <c r="F3776" s="1" t="str">
        <f>TEXT(Table1[[#This Row],[order_date]],"dddd")</f>
        <v>Monday</v>
      </c>
      <c r="G3776">
        <f>HOUR(Table1[[#This Row],[order_time]])</f>
        <v>11</v>
      </c>
      <c r="H3776" s="2">
        <v>0.46736111111111112</v>
      </c>
      <c r="I3776" t="s">
        <v>11</v>
      </c>
      <c r="J3776" t="s">
        <v>13</v>
      </c>
      <c r="K3776">
        <v>4</v>
      </c>
      <c r="L3776">
        <v>680</v>
      </c>
      <c r="M3776">
        <v>2720</v>
      </c>
      <c r="N3776">
        <f>IF(COUNTIFS($B$2:B3776,B3776)=1,1,0)</f>
        <v>0</v>
      </c>
    </row>
    <row r="3777" spans="1:14" x14ac:dyDescent="0.2">
      <c r="A3777">
        <v>3776</v>
      </c>
      <c r="B3777">
        <v>2904</v>
      </c>
      <c r="C3777">
        <f>1/COUNTIF(B:B,Table1[[#This Row],[order_id]])</f>
        <v>0.33333333333333331</v>
      </c>
      <c r="D3777" t="str">
        <f>TEXT(Table1[[#This Row],[order_date]],"mmmm")</f>
        <v>October</v>
      </c>
      <c r="E3777" s="1">
        <v>45586</v>
      </c>
      <c r="F3777" s="1" t="str">
        <f>TEXT(Table1[[#This Row],[order_date]],"dddd")</f>
        <v>Monday</v>
      </c>
      <c r="G3777">
        <f>HOUR(Table1[[#This Row],[order_time]])</f>
        <v>19</v>
      </c>
      <c r="H3777" s="2">
        <v>0.80432870370370368</v>
      </c>
      <c r="I3777" t="s">
        <v>11</v>
      </c>
      <c r="J3777" t="s">
        <v>14</v>
      </c>
      <c r="K3777">
        <v>3</v>
      </c>
      <c r="L3777">
        <v>700</v>
      </c>
      <c r="M3777">
        <v>2100</v>
      </c>
      <c r="N3777">
        <f>IF(COUNTIFS($B$2:B3777,B3777)=1,1,0)</f>
        <v>1</v>
      </c>
    </row>
    <row r="3778" spans="1:14" x14ac:dyDescent="0.2">
      <c r="A3778">
        <v>3777</v>
      </c>
      <c r="B3778">
        <v>2904</v>
      </c>
      <c r="C3778">
        <f>1/COUNTIF(B:B,Table1[[#This Row],[order_id]])</f>
        <v>0.33333333333333331</v>
      </c>
      <c r="D3778" t="str">
        <f>TEXT(Table1[[#This Row],[order_date]],"mmmm")</f>
        <v>October</v>
      </c>
      <c r="E3778" s="1">
        <v>45586</v>
      </c>
      <c r="F3778" s="1" t="str">
        <f>TEXT(Table1[[#This Row],[order_date]],"dddd")</f>
        <v>Monday</v>
      </c>
      <c r="G3778">
        <f>HOUR(Table1[[#This Row],[order_time]])</f>
        <v>18</v>
      </c>
      <c r="H3778" s="2">
        <v>0.76006944444444446</v>
      </c>
      <c r="I3778" t="s">
        <v>16</v>
      </c>
      <c r="J3778" t="s">
        <v>17</v>
      </c>
      <c r="K3778">
        <v>3</v>
      </c>
      <c r="L3778">
        <v>20</v>
      </c>
      <c r="M3778">
        <v>60</v>
      </c>
      <c r="N3778">
        <f>IF(COUNTIFS($B$2:B3778,B3778)=1,1,0)</f>
        <v>0</v>
      </c>
    </row>
    <row r="3779" spans="1:14" x14ac:dyDescent="0.2">
      <c r="A3779">
        <v>3778</v>
      </c>
      <c r="B3779">
        <v>2904</v>
      </c>
      <c r="C3779">
        <f>1/COUNTIF(B:B,Table1[[#This Row],[order_id]])</f>
        <v>0.33333333333333331</v>
      </c>
      <c r="D3779" t="str">
        <f>TEXT(Table1[[#This Row],[order_date]],"mmmm")</f>
        <v>October</v>
      </c>
      <c r="E3779" s="1">
        <v>45586</v>
      </c>
      <c r="F3779" s="1" t="str">
        <f>TEXT(Table1[[#This Row],[order_date]],"dddd")</f>
        <v>Monday</v>
      </c>
      <c r="G3779">
        <f>HOUR(Table1[[#This Row],[order_time]])</f>
        <v>9</v>
      </c>
      <c r="H3779" s="2">
        <v>0.40596064814814814</v>
      </c>
      <c r="I3779" t="s">
        <v>11</v>
      </c>
      <c r="J3779" t="s">
        <v>13</v>
      </c>
      <c r="K3779">
        <v>5</v>
      </c>
      <c r="L3779">
        <v>680</v>
      </c>
      <c r="M3779">
        <v>3400</v>
      </c>
      <c r="N3779">
        <f>IF(COUNTIFS($B$2:B3779,B3779)=1,1,0)</f>
        <v>0</v>
      </c>
    </row>
    <row r="3780" spans="1:14" x14ac:dyDescent="0.2">
      <c r="A3780">
        <v>3779</v>
      </c>
      <c r="B3780">
        <v>2905</v>
      </c>
      <c r="C3780">
        <f>1/COUNTIF(B:B,Table1[[#This Row],[order_id]])</f>
        <v>0.33333333333333331</v>
      </c>
      <c r="D3780" t="str">
        <f>TEXT(Table1[[#This Row],[order_date]],"mmmm")</f>
        <v>October</v>
      </c>
      <c r="E3780" s="1">
        <v>45586</v>
      </c>
      <c r="F3780" s="1" t="str">
        <f>TEXT(Table1[[#This Row],[order_date]],"dddd")</f>
        <v>Monday</v>
      </c>
      <c r="G3780">
        <f>HOUR(Table1[[#This Row],[order_time]])</f>
        <v>17</v>
      </c>
      <c r="H3780" s="2">
        <v>0.74251157407407409</v>
      </c>
      <c r="I3780" t="s">
        <v>16</v>
      </c>
      <c r="J3780" t="s">
        <v>24</v>
      </c>
      <c r="K3780">
        <v>5</v>
      </c>
      <c r="L3780">
        <v>35</v>
      </c>
      <c r="M3780">
        <v>175</v>
      </c>
      <c r="N3780">
        <f>IF(COUNTIFS($B$2:B3780,B3780)=1,1,0)</f>
        <v>1</v>
      </c>
    </row>
    <row r="3781" spans="1:14" x14ac:dyDescent="0.2">
      <c r="A3781">
        <v>3780</v>
      </c>
      <c r="B3781">
        <v>2905</v>
      </c>
      <c r="C3781">
        <f>1/COUNTIF(B:B,Table1[[#This Row],[order_id]])</f>
        <v>0.33333333333333331</v>
      </c>
      <c r="D3781" t="str">
        <f>TEXT(Table1[[#This Row],[order_date]],"mmmm")</f>
        <v>October</v>
      </c>
      <c r="E3781" s="1">
        <v>45586</v>
      </c>
      <c r="F3781" s="1" t="str">
        <f>TEXT(Table1[[#This Row],[order_date]],"dddd")</f>
        <v>Monday</v>
      </c>
      <c r="G3781">
        <f>HOUR(Table1[[#This Row],[order_time]])</f>
        <v>15</v>
      </c>
      <c r="H3781" s="2">
        <v>0.65105324074074078</v>
      </c>
      <c r="I3781" t="s">
        <v>11</v>
      </c>
      <c r="J3781" t="s">
        <v>25</v>
      </c>
      <c r="K3781">
        <v>1</v>
      </c>
      <c r="L3781">
        <v>1000</v>
      </c>
      <c r="M3781">
        <v>1000</v>
      </c>
      <c r="N3781">
        <f>IF(COUNTIFS($B$2:B3781,B3781)=1,1,0)</f>
        <v>0</v>
      </c>
    </row>
    <row r="3782" spans="1:14" x14ac:dyDescent="0.2">
      <c r="A3782">
        <v>3781</v>
      </c>
      <c r="B3782">
        <v>2905</v>
      </c>
      <c r="C3782">
        <f>1/COUNTIF(B:B,Table1[[#This Row],[order_id]])</f>
        <v>0.33333333333333331</v>
      </c>
      <c r="D3782" t="str">
        <f>TEXT(Table1[[#This Row],[order_date]],"mmmm")</f>
        <v>October</v>
      </c>
      <c r="E3782" s="1">
        <v>45586</v>
      </c>
      <c r="F3782" s="1" t="str">
        <f>TEXT(Table1[[#This Row],[order_date]],"dddd")</f>
        <v>Monday</v>
      </c>
      <c r="G3782">
        <f>HOUR(Table1[[#This Row],[order_time]])</f>
        <v>20</v>
      </c>
      <c r="H3782" s="2">
        <v>0.87112268518518521</v>
      </c>
      <c r="I3782" t="s">
        <v>9</v>
      </c>
      <c r="J3782" t="s">
        <v>10</v>
      </c>
      <c r="K3782">
        <v>4</v>
      </c>
      <c r="L3782">
        <v>20</v>
      </c>
      <c r="M3782">
        <v>80</v>
      </c>
      <c r="N3782">
        <f>IF(COUNTIFS($B$2:B3782,B3782)=1,1,0)</f>
        <v>0</v>
      </c>
    </row>
    <row r="3783" spans="1:14" x14ac:dyDescent="0.2">
      <c r="A3783">
        <v>3782</v>
      </c>
      <c r="B3783">
        <v>2906</v>
      </c>
      <c r="C3783">
        <f>1/COUNTIF(B:B,Table1[[#This Row],[order_id]])</f>
        <v>0.33333333333333331</v>
      </c>
      <c r="D3783" t="str">
        <f>TEXT(Table1[[#This Row],[order_date]],"mmmm")</f>
        <v>October</v>
      </c>
      <c r="E3783" s="1">
        <v>45586</v>
      </c>
      <c r="F3783" s="1" t="str">
        <f>TEXT(Table1[[#This Row],[order_date]],"dddd")</f>
        <v>Monday</v>
      </c>
      <c r="G3783">
        <f>HOUR(Table1[[#This Row],[order_time]])</f>
        <v>13</v>
      </c>
      <c r="H3783" s="2">
        <v>0.56598379629629625</v>
      </c>
      <c r="I3783" t="s">
        <v>18</v>
      </c>
      <c r="J3783" t="s">
        <v>31</v>
      </c>
      <c r="K3783">
        <v>5</v>
      </c>
      <c r="L3783">
        <v>45</v>
      </c>
      <c r="M3783">
        <v>225</v>
      </c>
      <c r="N3783">
        <f>IF(COUNTIFS($B$2:B3783,B3783)=1,1,0)</f>
        <v>1</v>
      </c>
    </row>
    <row r="3784" spans="1:14" x14ac:dyDescent="0.2">
      <c r="A3784">
        <v>3783</v>
      </c>
      <c r="B3784">
        <v>2906</v>
      </c>
      <c r="C3784">
        <f>1/COUNTIF(B:B,Table1[[#This Row],[order_id]])</f>
        <v>0.33333333333333331</v>
      </c>
      <c r="D3784" t="str">
        <f>TEXT(Table1[[#This Row],[order_date]],"mmmm")</f>
        <v>October</v>
      </c>
      <c r="E3784" s="1">
        <v>45586</v>
      </c>
      <c r="F3784" s="1" t="str">
        <f>TEXT(Table1[[#This Row],[order_date]],"dddd")</f>
        <v>Monday</v>
      </c>
      <c r="G3784">
        <f>HOUR(Table1[[#This Row],[order_time]])</f>
        <v>14</v>
      </c>
      <c r="H3784" s="2">
        <v>0.61592592592592588</v>
      </c>
      <c r="I3784" t="s">
        <v>16</v>
      </c>
      <c r="J3784" t="s">
        <v>28</v>
      </c>
      <c r="K3784">
        <v>2</v>
      </c>
      <c r="L3784">
        <v>25</v>
      </c>
      <c r="M3784">
        <v>50</v>
      </c>
      <c r="N3784">
        <f>IF(COUNTIFS($B$2:B3784,B3784)=1,1,0)</f>
        <v>0</v>
      </c>
    </row>
    <row r="3785" spans="1:14" x14ac:dyDescent="0.2">
      <c r="A3785">
        <v>3784</v>
      </c>
      <c r="B3785">
        <v>2906</v>
      </c>
      <c r="C3785">
        <f>1/COUNTIF(B:B,Table1[[#This Row],[order_id]])</f>
        <v>0.33333333333333331</v>
      </c>
      <c r="D3785" t="str">
        <f>TEXT(Table1[[#This Row],[order_date]],"mmmm")</f>
        <v>October</v>
      </c>
      <c r="E3785" s="1">
        <v>45586</v>
      </c>
      <c r="F3785" s="1" t="str">
        <f>TEXT(Table1[[#This Row],[order_date]],"dddd")</f>
        <v>Monday</v>
      </c>
      <c r="G3785">
        <f>HOUR(Table1[[#This Row],[order_time]])</f>
        <v>11</v>
      </c>
      <c r="H3785" s="2">
        <v>0.48987268518518517</v>
      </c>
      <c r="I3785" t="s">
        <v>9</v>
      </c>
      <c r="J3785" t="s">
        <v>21</v>
      </c>
      <c r="K3785">
        <v>4</v>
      </c>
      <c r="L3785">
        <v>10</v>
      </c>
      <c r="M3785">
        <v>40</v>
      </c>
      <c r="N3785">
        <f>IF(COUNTIFS($B$2:B3785,B3785)=1,1,0)</f>
        <v>0</v>
      </c>
    </row>
    <row r="3786" spans="1:14" x14ac:dyDescent="0.2">
      <c r="A3786">
        <v>3785</v>
      </c>
      <c r="B3786">
        <v>2907</v>
      </c>
      <c r="C3786">
        <f>1/COUNTIF(B:B,Table1[[#This Row],[order_id]])</f>
        <v>0.5</v>
      </c>
      <c r="D3786" t="str">
        <f>TEXT(Table1[[#This Row],[order_date]],"mmmm")</f>
        <v>October</v>
      </c>
      <c r="E3786" s="1">
        <v>45586</v>
      </c>
      <c r="F3786" s="1" t="str">
        <f>TEXT(Table1[[#This Row],[order_date]],"dddd")</f>
        <v>Monday</v>
      </c>
      <c r="G3786">
        <f>HOUR(Table1[[#This Row],[order_time]])</f>
        <v>17</v>
      </c>
      <c r="H3786" s="2">
        <v>0.71083333333333332</v>
      </c>
      <c r="I3786" t="s">
        <v>16</v>
      </c>
      <c r="J3786" t="s">
        <v>24</v>
      </c>
      <c r="K3786">
        <v>5</v>
      </c>
      <c r="L3786">
        <v>35</v>
      </c>
      <c r="M3786">
        <v>175</v>
      </c>
      <c r="N3786">
        <f>IF(COUNTIFS($B$2:B3786,B3786)=1,1,0)</f>
        <v>1</v>
      </c>
    </row>
    <row r="3787" spans="1:14" x14ac:dyDescent="0.2">
      <c r="A3787">
        <v>3786</v>
      </c>
      <c r="B3787">
        <v>2907</v>
      </c>
      <c r="C3787">
        <f>1/COUNTIF(B:B,Table1[[#This Row],[order_id]])</f>
        <v>0.5</v>
      </c>
      <c r="D3787" t="str">
        <f>TEXT(Table1[[#This Row],[order_date]],"mmmm")</f>
        <v>October</v>
      </c>
      <c r="E3787" s="1">
        <v>45586</v>
      </c>
      <c r="F3787" s="1" t="str">
        <f>TEXT(Table1[[#This Row],[order_date]],"dddd")</f>
        <v>Monday</v>
      </c>
      <c r="G3787">
        <f>HOUR(Table1[[#This Row],[order_time]])</f>
        <v>15</v>
      </c>
      <c r="H3787" s="2">
        <v>0.64312499999999995</v>
      </c>
      <c r="I3787" t="s">
        <v>18</v>
      </c>
      <c r="J3787" t="s">
        <v>27</v>
      </c>
      <c r="K3787">
        <v>4</v>
      </c>
      <c r="L3787">
        <v>40</v>
      </c>
      <c r="M3787">
        <v>160</v>
      </c>
      <c r="N3787">
        <f>IF(COUNTIFS($B$2:B3787,B3787)=1,1,0)</f>
        <v>0</v>
      </c>
    </row>
    <row r="3788" spans="1:14" x14ac:dyDescent="0.2">
      <c r="A3788">
        <v>3787</v>
      </c>
      <c r="B3788">
        <v>2908</v>
      </c>
      <c r="C3788">
        <f>1/COUNTIF(B:B,Table1[[#This Row],[order_id]])</f>
        <v>0.5</v>
      </c>
      <c r="D3788" t="str">
        <f>TEXT(Table1[[#This Row],[order_date]],"mmmm")</f>
        <v>October</v>
      </c>
      <c r="E3788" s="1">
        <v>45587</v>
      </c>
      <c r="F3788" s="1" t="str">
        <f>TEXT(Table1[[#This Row],[order_date]],"dddd")</f>
        <v>Tuesday</v>
      </c>
      <c r="G3788">
        <f>HOUR(Table1[[#This Row],[order_time]])</f>
        <v>11</v>
      </c>
      <c r="H3788" s="2">
        <v>0.46856481481481482</v>
      </c>
      <c r="I3788" t="s">
        <v>18</v>
      </c>
      <c r="J3788" t="s">
        <v>26</v>
      </c>
      <c r="K3788">
        <v>1</v>
      </c>
      <c r="L3788">
        <v>55</v>
      </c>
      <c r="M3788">
        <v>55</v>
      </c>
      <c r="N3788">
        <f>IF(COUNTIFS($B$2:B3788,B3788)=1,1,0)</f>
        <v>1</v>
      </c>
    </row>
    <row r="3789" spans="1:14" x14ac:dyDescent="0.2">
      <c r="A3789">
        <v>3788</v>
      </c>
      <c r="B3789">
        <v>2908</v>
      </c>
      <c r="C3789">
        <f>1/COUNTIF(B:B,Table1[[#This Row],[order_id]])</f>
        <v>0.5</v>
      </c>
      <c r="D3789" t="str">
        <f>TEXT(Table1[[#This Row],[order_date]],"mmmm")</f>
        <v>October</v>
      </c>
      <c r="E3789" s="1">
        <v>45587</v>
      </c>
      <c r="F3789" s="1" t="str">
        <f>TEXT(Table1[[#This Row],[order_date]],"dddd")</f>
        <v>Tuesday</v>
      </c>
      <c r="G3789">
        <f>HOUR(Table1[[#This Row],[order_time]])</f>
        <v>18</v>
      </c>
      <c r="H3789" s="2">
        <v>0.75150462962962961</v>
      </c>
      <c r="I3789" t="s">
        <v>9</v>
      </c>
      <c r="J3789" t="s">
        <v>21</v>
      </c>
      <c r="K3789">
        <v>2</v>
      </c>
      <c r="L3789">
        <v>10</v>
      </c>
      <c r="M3789">
        <v>20</v>
      </c>
      <c r="N3789">
        <f>IF(COUNTIFS($B$2:B3789,B3789)=1,1,0)</f>
        <v>0</v>
      </c>
    </row>
    <row r="3790" spans="1:14" x14ac:dyDescent="0.2">
      <c r="A3790">
        <v>3789</v>
      </c>
      <c r="B3790">
        <v>2909</v>
      </c>
      <c r="C3790">
        <f>1/COUNTIF(B:B,Table1[[#This Row],[order_id]])</f>
        <v>1</v>
      </c>
      <c r="D3790" t="str">
        <f>TEXT(Table1[[#This Row],[order_date]],"mmmm")</f>
        <v>October</v>
      </c>
      <c r="E3790" s="1">
        <v>45587</v>
      </c>
      <c r="F3790" s="1" t="str">
        <f>TEXT(Table1[[#This Row],[order_date]],"dddd")</f>
        <v>Tuesday</v>
      </c>
      <c r="G3790">
        <f>HOUR(Table1[[#This Row],[order_time]])</f>
        <v>14</v>
      </c>
      <c r="H3790" s="2">
        <v>0.58476851851851852</v>
      </c>
      <c r="I3790" t="s">
        <v>9</v>
      </c>
      <c r="J3790" t="s">
        <v>29</v>
      </c>
      <c r="K3790">
        <v>3</v>
      </c>
      <c r="L3790">
        <v>5</v>
      </c>
      <c r="M3790">
        <v>15</v>
      </c>
      <c r="N3790">
        <f>IF(COUNTIFS($B$2:B3790,B3790)=1,1,0)</f>
        <v>1</v>
      </c>
    </row>
    <row r="3791" spans="1:14" x14ac:dyDescent="0.2">
      <c r="A3791">
        <v>3790</v>
      </c>
      <c r="B3791">
        <v>2910</v>
      </c>
      <c r="C3791">
        <f>1/COUNTIF(B:B,Table1[[#This Row],[order_id]])</f>
        <v>0.5</v>
      </c>
      <c r="D3791" t="str">
        <f>TEXT(Table1[[#This Row],[order_date]],"mmmm")</f>
        <v>October</v>
      </c>
      <c r="E3791" s="1">
        <v>45587</v>
      </c>
      <c r="F3791" s="1" t="str">
        <f>TEXT(Table1[[#This Row],[order_date]],"dddd")</f>
        <v>Tuesday</v>
      </c>
      <c r="G3791">
        <f>HOUR(Table1[[#This Row],[order_time]])</f>
        <v>13</v>
      </c>
      <c r="H3791" s="2">
        <v>0.5422569444444445</v>
      </c>
      <c r="I3791" t="s">
        <v>18</v>
      </c>
      <c r="J3791" t="s">
        <v>30</v>
      </c>
      <c r="K3791">
        <v>3</v>
      </c>
      <c r="L3791">
        <v>60</v>
      </c>
      <c r="M3791">
        <v>180</v>
      </c>
      <c r="N3791">
        <f>IF(COUNTIFS($B$2:B3791,B3791)=1,1,0)</f>
        <v>1</v>
      </c>
    </row>
    <row r="3792" spans="1:14" x14ac:dyDescent="0.2">
      <c r="A3792">
        <v>3791</v>
      </c>
      <c r="B3792">
        <v>2910</v>
      </c>
      <c r="C3792">
        <f>1/COUNTIF(B:B,Table1[[#This Row],[order_id]])</f>
        <v>0.5</v>
      </c>
      <c r="D3792" t="str">
        <f>TEXT(Table1[[#This Row],[order_date]],"mmmm")</f>
        <v>October</v>
      </c>
      <c r="E3792" s="1">
        <v>45587</v>
      </c>
      <c r="F3792" s="1" t="str">
        <f>TEXT(Table1[[#This Row],[order_date]],"dddd")</f>
        <v>Tuesday</v>
      </c>
      <c r="G3792">
        <f>HOUR(Table1[[#This Row],[order_time]])</f>
        <v>12</v>
      </c>
      <c r="H3792" s="2">
        <v>0.52023148148148146</v>
      </c>
      <c r="I3792" t="s">
        <v>9</v>
      </c>
      <c r="J3792" t="s">
        <v>21</v>
      </c>
      <c r="K3792">
        <v>1</v>
      </c>
      <c r="L3792">
        <v>10</v>
      </c>
      <c r="M3792">
        <v>10</v>
      </c>
      <c r="N3792">
        <f>IF(COUNTIFS($B$2:B3792,B3792)=1,1,0)</f>
        <v>0</v>
      </c>
    </row>
    <row r="3793" spans="1:14" x14ac:dyDescent="0.2">
      <c r="A3793">
        <v>3792</v>
      </c>
      <c r="B3793">
        <v>2911</v>
      </c>
      <c r="C3793">
        <f>1/COUNTIF(B:B,Table1[[#This Row],[order_id]])</f>
        <v>1</v>
      </c>
      <c r="D3793" t="str">
        <f>TEXT(Table1[[#This Row],[order_date]],"mmmm")</f>
        <v>October</v>
      </c>
      <c r="E3793" s="1">
        <v>45587</v>
      </c>
      <c r="F3793" s="1" t="str">
        <f>TEXT(Table1[[#This Row],[order_date]],"dddd")</f>
        <v>Tuesday</v>
      </c>
      <c r="G3793">
        <f>HOUR(Table1[[#This Row],[order_time]])</f>
        <v>13</v>
      </c>
      <c r="H3793" s="2">
        <v>0.54851851851851852</v>
      </c>
      <c r="I3793" t="s">
        <v>11</v>
      </c>
      <c r="J3793" t="s">
        <v>13</v>
      </c>
      <c r="K3793">
        <v>2</v>
      </c>
      <c r="L3793">
        <v>680</v>
      </c>
      <c r="M3793">
        <v>1360</v>
      </c>
      <c r="N3793">
        <f>IF(COUNTIFS($B$2:B3793,B3793)=1,1,0)</f>
        <v>1</v>
      </c>
    </row>
    <row r="3794" spans="1:14" x14ac:dyDescent="0.2">
      <c r="A3794">
        <v>3793</v>
      </c>
      <c r="B3794">
        <v>2912</v>
      </c>
      <c r="C3794">
        <f>1/COUNTIF(B:B,Table1[[#This Row],[order_id]])</f>
        <v>0.5</v>
      </c>
      <c r="D3794" t="str">
        <f>TEXT(Table1[[#This Row],[order_date]],"mmmm")</f>
        <v>October</v>
      </c>
      <c r="E3794" s="1">
        <v>45587</v>
      </c>
      <c r="F3794" s="1" t="str">
        <f>TEXT(Table1[[#This Row],[order_date]],"dddd")</f>
        <v>Tuesday</v>
      </c>
      <c r="G3794">
        <f>HOUR(Table1[[#This Row],[order_time]])</f>
        <v>15</v>
      </c>
      <c r="H3794" s="2">
        <v>0.66501157407407407</v>
      </c>
      <c r="I3794" t="s">
        <v>18</v>
      </c>
      <c r="J3794" t="s">
        <v>26</v>
      </c>
      <c r="K3794">
        <v>3</v>
      </c>
      <c r="L3794">
        <v>55</v>
      </c>
      <c r="M3794">
        <v>165</v>
      </c>
      <c r="N3794">
        <f>IF(COUNTIFS($B$2:B3794,B3794)=1,1,0)</f>
        <v>1</v>
      </c>
    </row>
    <row r="3795" spans="1:14" x14ac:dyDescent="0.2">
      <c r="A3795">
        <v>3794</v>
      </c>
      <c r="B3795">
        <v>2912</v>
      </c>
      <c r="C3795">
        <f>1/COUNTIF(B:B,Table1[[#This Row],[order_id]])</f>
        <v>0.5</v>
      </c>
      <c r="D3795" t="str">
        <f>TEXT(Table1[[#This Row],[order_date]],"mmmm")</f>
        <v>October</v>
      </c>
      <c r="E3795" s="1">
        <v>45587</v>
      </c>
      <c r="F3795" s="1" t="str">
        <f>TEXT(Table1[[#This Row],[order_date]],"dddd")</f>
        <v>Tuesday</v>
      </c>
      <c r="G3795">
        <f>HOUR(Table1[[#This Row],[order_time]])</f>
        <v>19</v>
      </c>
      <c r="H3795" s="2">
        <v>0.8153125</v>
      </c>
      <c r="I3795" t="s">
        <v>16</v>
      </c>
      <c r="J3795" t="s">
        <v>23</v>
      </c>
      <c r="K3795">
        <v>3</v>
      </c>
      <c r="L3795">
        <v>30</v>
      </c>
      <c r="M3795">
        <v>90</v>
      </c>
      <c r="N3795">
        <f>IF(COUNTIFS($B$2:B3795,B3795)=1,1,0)</f>
        <v>0</v>
      </c>
    </row>
    <row r="3796" spans="1:14" x14ac:dyDescent="0.2">
      <c r="A3796">
        <v>3795</v>
      </c>
      <c r="B3796">
        <v>2913</v>
      </c>
      <c r="C3796">
        <f>1/COUNTIF(B:B,Table1[[#This Row],[order_id]])</f>
        <v>0.33333333333333331</v>
      </c>
      <c r="D3796" t="str">
        <f>TEXT(Table1[[#This Row],[order_date]],"mmmm")</f>
        <v>October</v>
      </c>
      <c r="E3796" s="1">
        <v>45587</v>
      </c>
      <c r="F3796" s="1" t="str">
        <f>TEXT(Table1[[#This Row],[order_date]],"dddd")</f>
        <v>Tuesday</v>
      </c>
      <c r="G3796">
        <f>HOUR(Table1[[#This Row],[order_time]])</f>
        <v>9</v>
      </c>
      <c r="H3796" s="2">
        <v>0.39269675925925923</v>
      </c>
      <c r="I3796" t="s">
        <v>18</v>
      </c>
      <c r="J3796" t="s">
        <v>19</v>
      </c>
      <c r="K3796">
        <v>1</v>
      </c>
      <c r="L3796">
        <v>50</v>
      </c>
      <c r="M3796">
        <v>50</v>
      </c>
      <c r="N3796">
        <f>IF(COUNTIFS($B$2:B3796,B3796)=1,1,0)</f>
        <v>1</v>
      </c>
    </row>
    <row r="3797" spans="1:14" x14ac:dyDescent="0.2">
      <c r="A3797">
        <v>3796</v>
      </c>
      <c r="B3797">
        <v>2913</v>
      </c>
      <c r="C3797">
        <f>1/COUNTIF(B:B,Table1[[#This Row],[order_id]])</f>
        <v>0.33333333333333331</v>
      </c>
      <c r="D3797" t="str">
        <f>TEXT(Table1[[#This Row],[order_date]],"mmmm")</f>
        <v>October</v>
      </c>
      <c r="E3797" s="1">
        <v>45587</v>
      </c>
      <c r="F3797" s="1" t="str">
        <f>TEXT(Table1[[#This Row],[order_date]],"dddd")</f>
        <v>Tuesday</v>
      </c>
      <c r="G3797">
        <f>HOUR(Table1[[#This Row],[order_time]])</f>
        <v>15</v>
      </c>
      <c r="H3797" s="2">
        <v>0.63376157407407407</v>
      </c>
      <c r="I3797" t="s">
        <v>18</v>
      </c>
      <c r="J3797" t="s">
        <v>31</v>
      </c>
      <c r="K3797">
        <v>3</v>
      </c>
      <c r="L3797">
        <v>45</v>
      </c>
      <c r="M3797">
        <v>135</v>
      </c>
      <c r="N3797">
        <f>IF(COUNTIFS($B$2:B3797,B3797)=1,1,0)</f>
        <v>0</v>
      </c>
    </row>
    <row r="3798" spans="1:14" x14ac:dyDescent="0.2">
      <c r="A3798">
        <v>3797</v>
      </c>
      <c r="B3798">
        <v>2913</v>
      </c>
      <c r="C3798">
        <f>1/COUNTIF(B:B,Table1[[#This Row],[order_id]])</f>
        <v>0.33333333333333331</v>
      </c>
      <c r="D3798" t="str">
        <f>TEXT(Table1[[#This Row],[order_date]],"mmmm")</f>
        <v>October</v>
      </c>
      <c r="E3798" s="1">
        <v>45587</v>
      </c>
      <c r="F3798" s="1" t="str">
        <f>TEXT(Table1[[#This Row],[order_date]],"dddd")</f>
        <v>Tuesday</v>
      </c>
      <c r="G3798">
        <f>HOUR(Table1[[#This Row],[order_time]])</f>
        <v>15</v>
      </c>
      <c r="H3798" s="2">
        <v>0.63671296296296298</v>
      </c>
      <c r="I3798" t="s">
        <v>11</v>
      </c>
      <c r="J3798" t="s">
        <v>14</v>
      </c>
      <c r="K3798">
        <v>3</v>
      </c>
      <c r="L3798">
        <v>700</v>
      </c>
      <c r="M3798">
        <v>2100</v>
      </c>
      <c r="N3798">
        <f>IF(COUNTIFS($B$2:B3798,B3798)=1,1,0)</f>
        <v>0</v>
      </c>
    </row>
    <row r="3799" spans="1:14" x14ac:dyDescent="0.2">
      <c r="A3799">
        <v>3798</v>
      </c>
      <c r="B3799">
        <v>2914</v>
      </c>
      <c r="C3799">
        <f>1/COUNTIF(B:B,Table1[[#This Row],[order_id]])</f>
        <v>1</v>
      </c>
      <c r="D3799" t="str">
        <f>TEXT(Table1[[#This Row],[order_date]],"mmmm")</f>
        <v>October</v>
      </c>
      <c r="E3799" s="1">
        <v>45587</v>
      </c>
      <c r="F3799" s="1" t="str">
        <f>TEXT(Table1[[#This Row],[order_date]],"dddd")</f>
        <v>Tuesday</v>
      </c>
      <c r="G3799">
        <f>HOUR(Table1[[#This Row],[order_time]])</f>
        <v>19</v>
      </c>
      <c r="H3799" s="2">
        <v>0.81535879629629626</v>
      </c>
      <c r="I3799" t="s">
        <v>18</v>
      </c>
      <c r="J3799" t="s">
        <v>27</v>
      </c>
      <c r="K3799">
        <v>1</v>
      </c>
      <c r="L3799">
        <v>40</v>
      </c>
      <c r="M3799">
        <v>40</v>
      </c>
      <c r="N3799">
        <f>IF(COUNTIFS($B$2:B3799,B3799)=1,1,0)</f>
        <v>1</v>
      </c>
    </row>
    <row r="3800" spans="1:14" x14ac:dyDescent="0.2">
      <c r="A3800">
        <v>3799</v>
      </c>
      <c r="B3800">
        <v>2915</v>
      </c>
      <c r="C3800">
        <f>1/COUNTIF(B:B,Table1[[#This Row],[order_id]])</f>
        <v>0.5</v>
      </c>
      <c r="D3800" t="str">
        <f>TEXT(Table1[[#This Row],[order_date]],"mmmm")</f>
        <v>October</v>
      </c>
      <c r="E3800" s="1">
        <v>45587</v>
      </c>
      <c r="F3800" s="1" t="str">
        <f>TEXT(Table1[[#This Row],[order_date]],"dddd")</f>
        <v>Tuesday</v>
      </c>
      <c r="G3800">
        <f>HOUR(Table1[[#This Row],[order_time]])</f>
        <v>20</v>
      </c>
      <c r="H3800" s="2">
        <v>0.83341435185185186</v>
      </c>
      <c r="I3800" t="s">
        <v>11</v>
      </c>
      <c r="J3800" t="s">
        <v>25</v>
      </c>
      <c r="K3800">
        <v>4</v>
      </c>
      <c r="L3800">
        <v>1000</v>
      </c>
      <c r="M3800">
        <v>4000</v>
      </c>
      <c r="N3800">
        <f>IF(COUNTIFS($B$2:B3800,B3800)=1,1,0)</f>
        <v>1</v>
      </c>
    </row>
    <row r="3801" spans="1:14" x14ac:dyDescent="0.2">
      <c r="A3801">
        <v>3800</v>
      </c>
      <c r="B3801">
        <v>2915</v>
      </c>
      <c r="C3801">
        <f>1/COUNTIF(B:B,Table1[[#This Row],[order_id]])</f>
        <v>0.5</v>
      </c>
      <c r="D3801" t="str">
        <f>TEXT(Table1[[#This Row],[order_date]],"mmmm")</f>
        <v>October</v>
      </c>
      <c r="E3801" s="1">
        <v>45587</v>
      </c>
      <c r="F3801" s="1" t="str">
        <f>TEXT(Table1[[#This Row],[order_date]],"dddd")</f>
        <v>Tuesday</v>
      </c>
      <c r="G3801">
        <f>HOUR(Table1[[#This Row],[order_time]])</f>
        <v>17</v>
      </c>
      <c r="H3801" s="2">
        <v>0.7103356481481482</v>
      </c>
      <c r="I3801" t="s">
        <v>9</v>
      </c>
      <c r="J3801" t="s">
        <v>21</v>
      </c>
      <c r="K3801">
        <v>1</v>
      </c>
      <c r="L3801">
        <v>10</v>
      </c>
      <c r="M3801">
        <v>10</v>
      </c>
      <c r="N3801">
        <f>IF(COUNTIFS($B$2:B3801,B3801)=1,1,0)</f>
        <v>0</v>
      </c>
    </row>
    <row r="3802" spans="1:14" x14ac:dyDescent="0.2">
      <c r="A3802">
        <v>3801</v>
      </c>
      <c r="B3802">
        <v>2916</v>
      </c>
      <c r="C3802">
        <f>1/COUNTIF(B:B,Table1[[#This Row],[order_id]])</f>
        <v>0.5</v>
      </c>
      <c r="D3802" t="str">
        <f>TEXT(Table1[[#This Row],[order_date]],"mmmm")</f>
        <v>October</v>
      </c>
      <c r="E3802" s="1">
        <v>45587</v>
      </c>
      <c r="F3802" s="1" t="str">
        <f>TEXT(Table1[[#This Row],[order_date]],"dddd")</f>
        <v>Tuesday</v>
      </c>
      <c r="G3802">
        <f>HOUR(Table1[[#This Row],[order_time]])</f>
        <v>19</v>
      </c>
      <c r="H3802" s="2">
        <v>0.79331018518518515</v>
      </c>
      <c r="I3802" t="s">
        <v>16</v>
      </c>
      <c r="J3802" t="s">
        <v>17</v>
      </c>
      <c r="K3802">
        <v>5</v>
      </c>
      <c r="L3802">
        <v>20</v>
      </c>
      <c r="M3802">
        <v>100</v>
      </c>
      <c r="N3802">
        <f>IF(COUNTIFS($B$2:B3802,B3802)=1,1,0)</f>
        <v>1</v>
      </c>
    </row>
    <row r="3803" spans="1:14" x14ac:dyDescent="0.2">
      <c r="A3803">
        <v>3802</v>
      </c>
      <c r="B3803">
        <v>2916</v>
      </c>
      <c r="C3803">
        <f>1/COUNTIF(B:B,Table1[[#This Row],[order_id]])</f>
        <v>0.5</v>
      </c>
      <c r="D3803" t="str">
        <f>TEXT(Table1[[#This Row],[order_date]],"mmmm")</f>
        <v>October</v>
      </c>
      <c r="E3803" s="1">
        <v>45587</v>
      </c>
      <c r="F3803" s="1" t="str">
        <f>TEXT(Table1[[#This Row],[order_date]],"dddd")</f>
        <v>Tuesday</v>
      </c>
      <c r="G3803">
        <f>HOUR(Table1[[#This Row],[order_time]])</f>
        <v>13</v>
      </c>
      <c r="H3803" s="2">
        <v>0.56525462962962958</v>
      </c>
      <c r="I3803" t="s">
        <v>9</v>
      </c>
      <c r="J3803" t="s">
        <v>10</v>
      </c>
      <c r="K3803">
        <v>5</v>
      </c>
      <c r="L3803">
        <v>20</v>
      </c>
      <c r="M3803">
        <v>100</v>
      </c>
      <c r="N3803">
        <f>IF(COUNTIFS($B$2:B3803,B3803)=1,1,0)</f>
        <v>0</v>
      </c>
    </row>
    <row r="3804" spans="1:14" x14ac:dyDescent="0.2">
      <c r="A3804">
        <v>3803</v>
      </c>
      <c r="B3804">
        <v>2917</v>
      </c>
      <c r="C3804">
        <f>1/COUNTIF(B:B,Table1[[#This Row],[order_id]])</f>
        <v>0.33333333333333331</v>
      </c>
      <c r="D3804" t="str">
        <f>TEXT(Table1[[#This Row],[order_date]],"mmmm")</f>
        <v>October</v>
      </c>
      <c r="E3804" s="1">
        <v>45587</v>
      </c>
      <c r="F3804" s="1" t="str">
        <f>TEXT(Table1[[#This Row],[order_date]],"dddd")</f>
        <v>Tuesday</v>
      </c>
      <c r="G3804">
        <f>HOUR(Table1[[#This Row],[order_time]])</f>
        <v>20</v>
      </c>
      <c r="H3804" s="2">
        <v>0.83675925925925931</v>
      </c>
      <c r="I3804" t="s">
        <v>18</v>
      </c>
      <c r="J3804" t="s">
        <v>30</v>
      </c>
      <c r="K3804">
        <v>5</v>
      </c>
      <c r="L3804">
        <v>60</v>
      </c>
      <c r="M3804">
        <v>300</v>
      </c>
      <c r="N3804">
        <f>IF(COUNTIFS($B$2:B3804,B3804)=1,1,0)</f>
        <v>1</v>
      </c>
    </row>
    <row r="3805" spans="1:14" x14ac:dyDescent="0.2">
      <c r="A3805">
        <v>3804</v>
      </c>
      <c r="B3805">
        <v>2917</v>
      </c>
      <c r="C3805">
        <f>1/COUNTIF(B:B,Table1[[#This Row],[order_id]])</f>
        <v>0.33333333333333331</v>
      </c>
      <c r="D3805" t="str">
        <f>TEXT(Table1[[#This Row],[order_date]],"mmmm")</f>
        <v>October</v>
      </c>
      <c r="E3805" s="1">
        <v>45587</v>
      </c>
      <c r="F3805" s="1" t="str">
        <f>TEXT(Table1[[#This Row],[order_date]],"dddd")</f>
        <v>Tuesday</v>
      </c>
      <c r="G3805">
        <f>HOUR(Table1[[#This Row],[order_time]])</f>
        <v>16</v>
      </c>
      <c r="H3805" s="2">
        <v>0.6738425925925926</v>
      </c>
      <c r="I3805" t="s">
        <v>18</v>
      </c>
      <c r="J3805" t="s">
        <v>26</v>
      </c>
      <c r="K3805">
        <v>2</v>
      </c>
      <c r="L3805">
        <v>55</v>
      </c>
      <c r="M3805">
        <v>110</v>
      </c>
      <c r="N3805">
        <f>IF(COUNTIFS($B$2:B3805,B3805)=1,1,0)</f>
        <v>0</v>
      </c>
    </row>
    <row r="3806" spans="1:14" x14ac:dyDescent="0.2">
      <c r="A3806">
        <v>3805</v>
      </c>
      <c r="B3806">
        <v>2917</v>
      </c>
      <c r="C3806">
        <f>1/COUNTIF(B:B,Table1[[#This Row],[order_id]])</f>
        <v>0.33333333333333331</v>
      </c>
      <c r="D3806" t="str">
        <f>TEXT(Table1[[#This Row],[order_date]],"mmmm")</f>
        <v>October</v>
      </c>
      <c r="E3806" s="1">
        <v>45587</v>
      </c>
      <c r="F3806" s="1" t="str">
        <f>TEXT(Table1[[#This Row],[order_date]],"dddd")</f>
        <v>Tuesday</v>
      </c>
      <c r="G3806">
        <f>HOUR(Table1[[#This Row],[order_time]])</f>
        <v>10</v>
      </c>
      <c r="H3806" s="2">
        <v>0.43578703703703703</v>
      </c>
      <c r="I3806" t="s">
        <v>9</v>
      </c>
      <c r="J3806" t="s">
        <v>29</v>
      </c>
      <c r="K3806">
        <v>3</v>
      </c>
      <c r="L3806">
        <v>5</v>
      </c>
      <c r="M3806">
        <v>15</v>
      </c>
      <c r="N3806">
        <f>IF(COUNTIFS($B$2:B3806,B3806)=1,1,0)</f>
        <v>0</v>
      </c>
    </row>
    <row r="3807" spans="1:14" x14ac:dyDescent="0.2">
      <c r="A3807">
        <v>3806</v>
      </c>
      <c r="B3807">
        <v>2918</v>
      </c>
      <c r="C3807">
        <f>1/COUNTIF(B:B,Table1[[#This Row],[order_id]])</f>
        <v>1</v>
      </c>
      <c r="D3807" t="str">
        <f>TEXT(Table1[[#This Row],[order_date]],"mmmm")</f>
        <v>October</v>
      </c>
      <c r="E3807" s="1">
        <v>45588</v>
      </c>
      <c r="F3807" s="1" t="str">
        <f>TEXT(Table1[[#This Row],[order_date]],"dddd")</f>
        <v>Wednesday</v>
      </c>
      <c r="G3807">
        <f>HOUR(Table1[[#This Row],[order_time]])</f>
        <v>12</v>
      </c>
      <c r="H3807" s="2">
        <v>0.53826388888888888</v>
      </c>
      <c r="I3807" t="s">
        <v>16</v>
      </c>
      <c r="J3807" t="s">
        <v>17</v>
      </c>
      <c r="K3807">
        <v>4</v>
      </c>
      <c r="L3807">
        <v>20</v>
      </c>
      <c r="M3807">
        <v>80</v>
      </c>
      <c r="N3807">
        <f>IF(COUNTIFS($B$2:B3807,B3807)=1,1,0)</f>
        <v>1</v>
      </c>
    </row>
    <row r="3808" spans="1:14" x14ac:dyDescent="0.2">
      <c r="A3808">
        <v>3807</v>
      </c>
      <c r="B3808">
        <v>2919</v>
      </c>
      <c r="C3808">
        <f>1/COUNTIF(B:B,Table1[[#This Row],[order_id]])</f>
        <v>1</v>
      </c>
      <c r="D3808" t="str">
        <f>TEXT(Table1[[#This Row],[order_date]],"mmmm")</f>
        <v>October</v>
      </c>
      <c r="E3808" s="1">
        <v>45588</v>
      </c>
      <c r="F3808" s="1" t="str">
        <f>TEXT(Table1[[#This Row],[order_date]],"dddd")</f>
        <v>Wednesday</v>
      </c>
      <c r="G3808">
        <f>HOUR(Table1[[#This Row],[order_time]])</f>
        <v>10</v>
      </c>
      <c r="H3808" s="2">
        <v>0.43151620370370369</v>
      </c>
      <c r="I3808" t="s">
        <v>18</v>
      </c>
      <c r="J3808" t="s">
        <v>31</v>
      </c>
      <c r="K3808">
        <v>3</v>
      </c>
      <c r="L3808">
        <v>45</v>
      </c>
      <c r="M3808">
        <v>135</v>
      </c>
      <c r="N3808">
        <f>IF(COUNTIFS($B$2:B3808,B3808)=1,1,0)</f>
        <v>1</v>
      </c>
    </row>
    <row r="3809" spans="1:14" x14ac:dyDescent="0.2">
      <c r="A3809">
        <v>3808</v>
      </c>
      <c r="B3809">
        <v>2920</v>
      </c>
      <c r="C3809">
        <f>1/COUNTIF(B:B,Table1[[#This Row],[order_id]])</f>
        <v>1</v>
      </c>
      <c r="D3809" t="str">
        <f>TEXT(Table1[[#This Row],[order_date]],"mmmm")</f>
        <v>October</v>
      </c>
      <c r="E3809" s="1">
        <v>45588</v>
      </c>
      <c r="F3809" s="1" t="str">
        <f>TEXT(Table1[[#This Row],[order_date]],"dddd")</f>
        <v>Wednesday</v>
      </c>
      <c r="G3809">
        <f>HOUR(Table1[[#This Row],[order_time]])</f>
        <v>17</v>
      </c>
      <c r="H3809" s="2">
        <v>0.72599537037037032</v>
      </c>
      <c r="I3809" t="s">
        <v>16</v>
      </c>
      <c r="J3809" t="s">
        <v>17</v>
      </c>
      <c r="K3809">
        <v>2</v>
      </c>
      <c r="L3809">
        <v>20</v>
      </c>
      <c r="M3809">
        <v>40</v>
      </c>
      <c r="N3809">
        <f>IF(COUNTIFS($B$2:B3809,B3809)=1,1,0)</f>
        <v>1</v>
      </c>
    </row>
    <row r="3810" spans="1:14" x14ac:dyDescent="0.2">
      <c r="A3810">
        <v>3809</v>
      </c>
      <c r="B3810">
        <v>2921</v>
      </c>
      <c r="C3810">
        <f>1/COUNTIF(B:B,Table1[[#This Row],[order_id]])</f>
        <v>0.5</v>
      </c>
      <c r="D3810" t="str">
        <f>TEXT(Table1[[#This Row],[order_date]],"mmmm")</f>
        <v>October</v>
      </c>
      <c r="E3810" s="1">
        <v>45588</v>
      </c>
      <c r="F3810" s="1" t="str">
        <f>TEXT(Table1[[#This Row],[order_date]],"dddd")</f>
        <v>Wednesday</v>
      </c>
      <c r="G3810">
        <f>HOUR(Table1[[#This Row],[order_time]])</f>
        <v>9</v>
      </c>
      <c r="H3810" s="2">
        <v>0.38277777777777777</v>
      </c>
      <c r="I3810" t="s">
        <v>16</v>
      </c>
      <c r="J3810" t="s">
        <v>23</v>
      </c>
      <c r="K3810">
        <v>5</v>
      </c>
      <c r="L3810">
        <v>30</v>
      </c>
      <c r="M3810">
        <v>150</v>
      </c>
      <c r="N3810">
        <f>IF(COUNTIFS($B$2:B3810,B3810)=1,1,0)</f>
        <v>1</v>
      </c>
    </row>
    <row r="3811" spans="1:14" x14ac:dyDescent="0.2">
      <c r="A3811">
        <v>3810</v>
      </c>
      <c r="B3811">
        <v>2921</v>
      </c>
      <c r="C3811">
        <f>1/COUNTIF(B:B,Table1[[#This Row],[order_id]])</f>
        <v>0.5</v>
      </c>
      <c r="D3811" t="str">
        <f>TEXT(Table1[[#This Row],[order_date]],"mmmm")</f>
        <v>October</v>
      </c>
      <c r="E3811" s="1">
        <v>45588</v>
      </c>
      <c r="F3811" s="1" t="str">
        <f>TEXT(Table1[[#This Row],[order_date]],"dddd")</f>
        <v>Wednesday</v>
      </c>
      <c r="G3811">
        <f>HOUR(Table1[[#This Row],[order_time]])</f>
        <v>11</v>
      </c>
      <c r="H3811" s="2">
        <v>0.48321759259259262</v>
      </c>
      <c r="I3811" t="s">
        <v>18</v>
      </c>
      <c r="J3811" t="s">
        <v>27</v>
      </c>
      <c r="K3811">
        <v>5</v>
      </c>
      <c r="L3811">
        <v>40</v>
      </c>
      <c r="M3811">
        <v>200</v>
      </c>
      <c r="N3811">
        <f>IF(COUNTIFS($B$2:B3811,B3811)=1,1,0)</f>
        <v>0</v>
      </c>
    </row>
    <row r="3812" spans="1:14" x14ac:dyDescent="0.2">
      <c r="A3812">
        <v>3811</v>
      </c>
      <c r="B3812">
        <v>2922</v>
      </c>
      <c r="C3812">
        <f>1/COUNTIF(B:B,Table1[[#This Row],[order_id]])</f>
        <v>0.33333333333333331</v>
      </c>
      <c r="D3812" t="str">
        <f>TEXT(Table1[[#This Row],[order_date]],"mmmm")</f>
        <v>October</v>
      </c>
      <c r="E3812" s="1">
        <v>45588</v>
      </c>
      <c r="F3812" s="1" t="str">
        <f>TEXT(Table1[[#This Row],[order_date]],"dddd")</f>
        <v>Wednesday</v>
      </c>
      <c r="G3812">
        <f>HOUR(Table1[[#This Row],[order_time]])</f>
        <v>20</v>
      </c>
      <c r="H3812" s="2">
        <v>0.86865740740740738</v>
      </c>
      <c r="I3812" t="s">
        <v>16</v>
      </c>
      <c r="J3812" t="s">
        <v>23</v>
      </c>
      <c r="K3812">
        <v>5</v>
      </c>
      <c r="L3812">
        <v>30</v>
      </c>
      <c r="M3812">
        <v>150</v>
      </c>
      <c r="N3812">
        <f>IF(COUNTIFS($B$2:B3812,B3812)=1,1,0)</f>
        <v>1</v>
      </c>
    </row>
    <row r="3813" spans="1:14" x14ac:dyDescent="0.2">
      <c r="A3813">
        <v>3812</v>
      </c>
      <c r="B3813">
        <v>2922</v>
      </c>
      <c r="C3813">
        <f>1/COUNTIF(B:B,Table1[[#This Row],[order_id]])</f>
        <v>0.33333333333333331</v>
      </c>
      <c r="D3813" t="str">
        <f>TEXT(Table1[[#This Row],[order_date]],"mmmm")</f>
        <v>October</v>
      </c>
      <c r="E3813" s="1">
        <v>45588</v>
      </c>
      <c r="F3813" s="1" t="str">
        <f>TEXT(Table1[[#This Row],[order_date]],"dddd")</f>
        <v>Wednesday</v>
      </c>
      <c r="G3813">
        <f>HOUR(Table1[[#This Row],[order_time]])</f>
        <v>19</v>
      </c>
      <c r="H3813" s="2">
        <v>0.8175810185185185</v>
      </c>
      <c r="I3813" t="s">
        <v>16</v>
      </c>
      <c r="J3813" t="s">
        <v>23</v>
      </c>
      <c r="K3813">
        <v>4</v>
      </c>
      <c r="L3813">
        <v>30</v>
      </c>
      <c r="M3813">
        <v>120</v>
      </c>
      <c r="N3813">
        <f>IF(COUNTIFS($B$2:B3813,B3813)=1,1,0)</f>
        <v>0</v>
      </c>
    </row>
    <row r="3814" spans="1:14" x14ac:dyDescent="0.2">
      <c r="A3814">
        <v>3813</v>
      </c>
      <c r="B3814">
        <v>2922</v>
      </c>
      <c r="C3814">
        <f>1/COUNTIF(B:B,Table1[[#This Row],[order_id]])</f>
        <v>0.33333333333333331</v>
      </c>
      <c r="D3814" t="str">
        <f>TEXT(Table1[[#This Row],[order_date]],"mmmm")</f>
        <v>October</v>
      </c>
      <c r="E3814" s="1">
        <v>45588</v>
      </c>
      <c r="F3814" s="1" t="str">
        <f>TEXT(Table1[[#This Row],[order_date]],"dddd")</f>
        <v>Wednesday</v>
      </c>
      <c r="G3814">
        <f>HOUR(Table1[[#This Row],[order_time]])</f>
        <v>14</v>
      </c>
      <c r="H3814" s="2">
        <v>0.62359953703703708</v>
      </c>
      <c r="I3814" t="s">
        <v>16</v>
      </c>
      <c r="J3814" t="s">
        <v>28</v>
      </c>
      <c r="K3814">
        <v>1</v>
      </c>
      <c r="L3814">
        <v>25</v>
      </c>
      <c r="M3814">
        <v>25</v>
      </c>
      <c r="N3814">
        <f>IF(COUNTIFS($B$2:B3814,B3814)=1,1,0)</f>
        <v>0</v>
      </c>
    </row>
    <row r="3815" spans="1:14" x14ac:dyDescent="0.2">
      <c r="A3815">
        <v>3814</v>
      </c>
      <c r="B3815">
        <v>2923</v>
      </c>
      <c r="C3815">
        <f>1/COUNTIF(B:B,Table1[[#This Row],[order_id]])</f>
        <v>1</v>
      </c>
      <c r="D3815" t="str">
        <f>TEXT(Table1[[#This Row],[order_date]],"mmmm")</f>
        <v>October</v>
      </c>
      <c r="E3815" s="1">
        <v>45588</v>
      </c>
      <c r="F3815" s="1" t="str">
        <f>TEXT(Table1[[#This Row],[order_date]],"dddd")</f>
        <v>Wednesday</v>
      </c>
      <c r="G3815">
        <f>HOUR(Table1[[#This Row],[order_time]])</f>
        <v>14</v>
      </c>
      <c r="H3815" s="2">
        <v>0.61182870370370368</v>
      </c>
      <c r="I3815" t="s">
        <v>9</v>
      </c>
      <c r="J3815" t="s">
        <v>20</v>
      </c>
      <c r="K3815">
        <v>4</v>
      </c>
      <c r="L3815">
        <v>25</v>
      </c>
      <c r="M3815">
        <v>100</v>
      </c>
      <c r="N3815">
        <f>IF(COUNTIFS($B$2:B3815,B3815)=1,1,0)</f>
        <v>1</v>
      </c>
    </row>
    <row r="3816" spans="1:14" x14ac:dyDescent="0.2">
      <c r="A3816">
        <v>3815</v>
      </c>
      <c r="B3816">
        <v>2924</v>
      </c>
      <c r="C3816">
        <f>1/COUNTIF(B:B,Table1[[#This Row],[order_id]])</f>
        <v>0.33333333333333331</v>
      </c>
      <c r="D3816" t="str">
        <f>TEXT(Table1[[#This Row],[order_date]],"mmmm")</f>
        <v>October</v>
      </c>
      <c r="E3816" s="1">
        <v>45588</v>
      </c>
      <c r="F3816" s="1" t="str">
        <f>TEXT(Table1[[#This Row],[order_date]],"dddd")</f>
        <v>Wednesday</v>
      </c>
      <c r="G3816">
        <f>HOUR(Table1[[#This Row],[order_time]])</f>
        <v>11</v>
      </c>
      <c r="H3816" s="2">
        <v>0.48019675925925925</v>
      </c>
      <c r="I3816" t="s">
        <v>16</v>
      </c>
      <c r="J3816" t="s">
        <v>28</v>
      </c>
      <c r="K3816">
        <v>5</v>
      </c>
      <c r="L3816">
        <v>25</v>
      </c>
      <c r="M3816">
        <v>125</v>
      </c>
      <c r="N3816">
        <f>IF(COUNTIFS($B$2:B3816,B3816)=1,1,0)</f>
        <v>1</v>
      </c>
    </row>
    <row r="3817" spans="1:14" x14ac:dyDescent="0.2">
      <c r="A3817">
        <v>3816</v>
      </c>
      <c r="B3817">
        <v>2924</v>
      </c>
      <c r="C3817">
        <f>1/COUNTIF(B:B,Table1[[#This Row],[order_id]])</f>
        <v>0.33333333333333331</v>
      </c>
      <c r="D3817" t="str">
        <f>TEXT(Table1[[#This Row],[order_date]],"mmmm")</f>
        <v>October</v>
      </c>
      <c r="E3817" s="1">
        <v>45588</v>
      </c>
      <c r="F3817" s="1" t="str">
        <f>TEXT(Table1[[#This Row],[order_date]],"dddd")</f>
        <v>Wednesday</v>
      </c>
      <c r="G3817">
        <f>HOUR(Table1[[#This Row],[order_time]])</f>
        <v>10</v>
      </c>
      <c r="H3817" s="2">
        <v>0.42094907407407406</v>
      </c>
      <c r="I3817" t="s">
        <v>16</v>
      </c>
      <c r="J3817" t="s">
        <v>17</v>
      </c>
      <c r="K3817">
        <v>2</v>
      </c>
      <c r="L3817">
        <v>20</v>
      </c>
      <c r="M3817">
        <v>40</v>
      </c>
      <c r="N3817">
        <f>IF(COUNTIFS($B$2:B3817,B3817)=1,1,0)</f>
        <v>0</v>
      </c>
    </row>
    <row r="3818" spans="1:14" x14ac:dyDescent="0.2">
      <c r="A3818">
        <v>3817</v>
      </c>
      <c r="B3818">
        <v>2924</v>
      </c>
      <c r="C3818">
        <f>1/COUNTIF(B:B,Table1[[#This Row],[order_id]])</f>
        <v>0.33333333333333331</v>
      </c>
      <c r="D3818" t="str">
        <f>TEXT(Table1[[#This Row],[order_date]],"mmmm")</f>
        <v>October</v>
      </c>
      <c r="E3818" s="1">
        <v>45588</v>
      </c>
      <c r="F3818" s="1" t="str">
        <f>TEXT(Table1[[#This Row],[order_date]],"dddd")</f>
        <v>Wednesday</v>
      </c>
      <c r="G3818">
        <f>HOUR(Table1[[#This Row],[order_time]])</f>
        <v>19</v>
      </c>
      <c r="H3818" s="2">
        <v>0.82351851851851854</v>
      </c>
      <c r="I3818" t="s">
        <v>11</v>
      </c>
      <c r="J3818" t="s">
        <v>15</v>
      </c>
      <c r="K3818">
        <v>5</v>
      </c>
      <c r="L3818">
        <v>600</v>
      </c>
      <c r="M3818">
        <v>3000</v>
      </c>
      <c r="N3818">
        <f>IF(COUNTIFS($B$2:B3818,B3818)=1,1,0)</f>
        <v>0</v>
      </c>
    </row>
    <row r="3819" spans="1:14" x14ac:dyDescent="0.2">
      <c r="A3819">
        <v>3818</v>
      </c>
      <c r="B3819">
        <v>2925</v>
      </c>
      <c r="C3819">
        <f>1/COUNTIF(B:B,Table1[[#This Row],[order_id]])</f>
        <v>0.33333333333333331</v>
      </c>
      <c r="D3819" t="str">
        <f>TEXT(Table1[[#This Row],[order_date]],"mmmm")</f>
        <v>October</v>
      </c>
      <c r="E3819" s="1">
        <v>45588</v>
      </c>
      <c r="F3819" s="1" t="str">
        <f>TEXT(Table1[[#This Row],[order_date]],"dddd")</f>
        <v>Wednesday</v>
      </c>
      <c r="G3819">
        <f>HOUR(Table1[[#This Row],[order_time]])</f>
        <v>12</v>
      </c>
      <c r="H3819" s="2">
        <v>0.51766203703703706</v>
      </c>
      <c r="I3819" t="s">
        <v>16</v>
      </c>
      <c r="J3819" t="s">
        <v>23</v>
      </c>
      <c r="K3819">
        <v>3</v>
      </c>
      <c r="L3819">
        <v>30</v>
      </c>
      <c r="M3819">
        <v>90</v>
      </c>
      <c r="N3819">
        <f>IF(COUNTIFS($B$2:B3819,B3819)=1,1,0)</f>
        <v>1</v>
      </c>
    </row>
    <row r="3820" spans="1:14" x14ac:dyDescent="0.2">
      <c r="A3820">
        <v>3819</v>
      </c>
      <c r="B3820">
        <v>2925</v>
      </c>
      <c r="C3820">
        <f>1/COUNTIF(B:B,Table1[[#This Row],[order_id]])</f>
        <v>0.33333333333333331</v>
      </c>
      <c r="D3820" t="str">
        <f>TEXT(Table1[[#This Row],[order_date]],"mmmm")</f>
        <v>October</v>
      </c>
      <c r="E3820" s="1">
        <v>45588</v>
      </c>
      <c r="F3820" s="1" t="str">
        <f>TEXT(Table1[[#This Row],[order_date]],"dddd")</f>
        <v>Wednesday</v>
      </c>
      <c r="G3820">
        <f>HOUR(Table1[[#This Row],[order_time]])</f>
        <v>13</v>
      </c>
      <c r="H3820" s="2">
        <v>0.54659722222222218</v>
      </c>
      <c r="I3820" t="s">
        <v>11</v>
      </c>
      <c r="J3820" t="s">
        <v>13</v>
      </c>
      <c r="K3820">
        <v>1</v>
      </c>
      <c r="L3820">
        <v>680</v>
      </c>
      <c r="M3820">
        <v>680</v>
      </c>
      <c r="N3820">
        <f>IF(COUNTIFS($B$2:B3820,B3820)=1,1,0)</f>
        <v>0</v>
      </c>
    </row>
    <row r="3821" spans="1:14" x14ac:dyDescent="0.2">
      <c r="A3821">
        <v>3820</v>
      </c>
      <c r="B3821">
        <v>2925</v>
      </c>
      <c r="C3821">
        <f>1/COUNTIF(B:B,Table1[[#This Row],[order_id]])</f>
        <v>0.33333333333333331</v>
      </c>
      <c r="D3821" t="str">
        <f>TEXT(Table1[[#This Row],[order_date]],"mmmm")</f>
        <v>October</v>
      </c>
      <c r="E3821" s="1">
        <v>45588</v>
      </c>
      <c r="F3821" s="1" t="str">
        <f>TEXT(Table1[[#This Row],[order_date]],"dddd")</f>
        <v>Wednesday</v>
      </c>
      <c r="G3821">
        <f>HOUR(Table1[[#This Row],[order_time]])</f>
        <v>15</v>
      </c>
      <c r="H3821" s="2">
        <v>0.63620370370370372</v>
      </c>
      <c r="I3821" t="s">
        <v>11</v>
      </c>
      <c r="J3821" t="s">
        <v>12</v>
      </c>
      <c r="K3821">
        <v>3</v>
      </c>
      <c r="L3821">
        <v>650</v>
      </c>
      <c r="M3821">
        <v>1950</v>
      </c>
      <c r="N3821">
        <f>IF(COUNTIFS($B$2:B3821,B3821)=1,1,0)</f>
        <v>0</v>
      </c>
    </row>
    <row r="3822" spans="1:14" x14ac:dyDescent="0.2">
      <c r="A3822">
        <v>3821</v>
      </c>
      <c r="B3822">
        <v>2926</v>
      </c>
      <c r="C3822">
        <f>1/COUNTIF(B:B,Table1[[#This Row],[order_id]])</f>
        <v>1</v>
      </c>
      <c r="D3822" t="str">
        <f>TEXT(Table1[[#This Row],[order_date]],"mmmm")</f>
        <v>October</v>
      </c>
      <c r="E3822" s="1">
        <v>45589</v>
      </c>
      <c r="F3822" s="1" t="str">
        <f>TEXT(Table1[[#This Row],[order_date]],"dddd")</f>
        <v>Thursday</v>
      </c>
      <c r="G3822">
        <f>HOUR(Table1[[#This Row],[order_time]])</f>
        <v>20</v>
      </c>
      <c r="H3822" s="2">
        <v>0.86744212962962963</v>
      </c>
      <c r="I3822" t="s">
        <v>16</v>
      </c>
      <c r="J3822" t="s">
        <v>17</v>
      </c>
      <c r="K3822">
        <v>2</v>
      </c>
      <c r="L3822">
        <v>20</v>
      </c>
      <c r="M3822">
        <v>40</v>
      </c>
      <c r="N3822">
        <f>IF(COUNTIFS($B$2:B3822,B3822)=1,1,0)</f>
        <v>1</v>
      </c>
    </row>
    <row r="3823" spans="1:14" x14ac:dyDescent="0.2">
      <c r="A3823">
        <v>3822</v>
      </c>
      <c r="B3823">
        <v>2927</v>
      </c>
      <c r="C3823">
        <f>1/COUNTIF(B:B,Table1[[#This Row],[order_id]])</f>
        <v>0.33333333333333331</v>
      </c>
      <c r="D3823" t="str">
        <f>TEXT(Table1[[#This Row],[order_date]],"mmmm")</f>
        <v>October</v>
      </c>
      <c r="E3823" s="1">
        <v>45589</v>
      </c>
      <c r="F3823" s="1" t="str">
        <f>TEXT(Table1[[#This Row],[order_date]],"dddd")</f>
        <v>Thursday</v>
      </c>
      <c r="G3823">
        <f>HOUR(Table1[[#This Row],[order_time]])</f>
        <v>15</v>
      </c>
      <c r="H3823" s="2">
        <v>0.65540509259259261</v>
      </c>
      <c r="I3823" t="s">
        <v>16</v>
      </c>
      <c r="J3823" t="s">
        <v>28</v>
      </c>
      <c r="K3823">
        <v>3</v>
      </c>
      <c r="L3823">
        <v>25</v>
      </c>
      <c r="M3823">
        <v>75</v>
      </c>
      <c r="N3823">
        <f>IF(COUNTIFS($B$2:B3823,B3823)=1,1,0)</f>
        <v>1</v>
      </c>
    </row>
    <row r="3824" spans="1:14" x14ac:dyDescent="0.2">
      <c r="A3824">
        <v>3823</v>
      </c>
      <c r="B3824">
        <v>2927</v>
      </c>
      <c r="C3824">
        <f>1/COUNTIF(B:B,Table1[[#This Row],[order_id]])</f>
        <v>0.33333333333333331</v>
      </c>
      <c r="D3824" t="str">
        <f>TEXT(Table1[[#This Row],[order_date]],"mmmm")</f>
        <v>October</v>
      </c>
      <c r="E3824" s="1">
        <v>45589</v>
      </c>
      <c r="F3824" s="1" t="str">
        <f>TEXT(Table1[[#This Row],[order_date]],"dddd")</f>
        <v>Thursday</v>
      </c>
      <c r="G3824">
        <f>HOUR(Table1[[#This Row],[order_time]])</f>
        <v>16</v>
      </c>
      <c r="H3824" s="2">
        <v>0.6810532407407407</v>
      </c>
      <c r="I3824" t="s">
        <v>9</v>
      </c>
      <c r="J3824" t="s">
        <v>29</v>
      </c>
      <c r="K3824">
        <v>5</v>
      </c>
      <c r="L3824">
        <v>5</v>
      </c>
      <c r="M3824">
        <v>25</v>
      </c>
      <c r="N3824">
        <f>IF(COUNTIFS($B$2:B3824,B3824)=1,1,0)</f>
        <v>0</v>
      </c>
    </row>
    <row r="3825" spans="1:14" x14ac:dyDescent="0.2">
      <c r="A3825">
        <v>3824</v>
      </c>
      <c r="B3825">
        <v>2927</v>
      </c>
      <c r="C3825">
        <f>1/COUNTIF(B:B,Table1[[#This Row],[order_id]])</f>
        <v>0.33333333333333331</v>
      </c>
      <c r="D3825" t="str">
        <f>TEXT(Table1[[#This Row],[order_date]],"mmmm")</f>
        <v>October</v>
      </c>
      <c r="E3825" s="1">
        <v>45589</v>
      </c>
      <c r="F3825" s="1" t="str">
        <f>TEXT(Table1[[#This Row],[order_date]],"dddd")</f>
        <v>Thursday</v>
      </c>
      <c r="G3825">
        <f>HOUR(Table1[[#This Row],[order_time]])</f>
        <v>17</v>
      </c>
      <c r="H3825" s="2">
        <v>0.74373842592592587</v>
      </c>
      <c r="I3825" t="s">
        <v>16</v>
      </c>
      <c r="J3825" t="s">
        <v>23</v>
      </c>
      <c r="K3825">
        <v>4</v>
      </c>
      <c r="L3825">
        <v>30</v>
      </c>
      <c r="M3825">
        <v>120</v>
      </c>
      <c r="N3825">
        <f>IF(COUNTIFS($B$2:B3825,B3825)=1,1,0)</f>
        <v>0</v>
      </c>
    </row>
    <row r="3826" spans="1:14" x14ac:dyDescent="0.2">
      <c r="A3826">
        <v>3825</v>
      </c>
      <c r="B3826">
        <v>2928</v>
      </c>
      <c r="C3826">
        <f>1/COUNTIF(B:B,Table1[[#This Row],[order_id]])</f>
        <v>0.5</v>
      </c>
      <c r="D3826" t="str">
        <f>TEXT(Table1[[#This Row],[order_date]],"mmmm")</f>
        <v>October</v>
      </c>
      <c r="E3826" s="1">
        <v>45589</v>
      </c>
      <c r="F3826" s="1" t="str">
        <f>TEXT(Table1[[#This Row],[order_date]],"dddd")</f>
        <v>Thursday</v>
      </c>
      <c r="G3826">
        <f>HOUR(Table1[[#This Row],[order_time]])</f>
        <v>11</v>
      </c>
      <c r="H3826" s="2">
        <v>0.47085648148148146</v>
      </c>
      <c r="I3826" t="s">
        <v>18</v>
      </c>
      <c r="J3826" t="s">
        <v>31</v>
      </c>
      <c r="K3826">
        <v>1</v>
      </c>
      <c r="L3826">
        <v>45</v>
      </c>
      <c r="M3826">
        <v>45</v>
      </c>
      <c r="N3826">
        <f>IF(COUNTIFS($B$2:B3826,B3826)=1,1,0)</f>
        <v>1</v>
      </c>
    </row>
    <row r="3827" spans="1:14" x14ac:dyDescent="0.2">
      <c r="A3827">
        <v>3826</v>
      </c>
      <c r="B3827">
        <v>2928</v>
      </c>
      <c r="C3827">
        <f>1/COUNTIF(B:B,Table1[[#This Row],[order_id]])</f>
        <v>0.5</v>
      </c>
      <c r="D3827" t="str">
        <f>TEXT(Table1[[#This Row],[order_date]],"mmmm")</f>
        <v>October</v>
      </c>
      <c r="E3827" s="1">
        <v>45589</v>
      </c>
      <c r="F3827" s="1" t="str">
        <f>TEXT(Table1[[#This Row],[order_date]],"dddd")</f>
        <v>Thursday</v>
      </c>
      <c r="G3827">
        <f>HOUR(Table1[[#This Row],[order_time]])</f>
        <v>11</v>
      </c>
      <c r="H3827" s="2">
        <v>0.49680555555555556</v>
      </c>
      <c r="I3827" t="s">
        <v>11</v>
      </c>
      <c r="J3827" t="s">
        <v>13</v>
      </c>
      <c r="K3827">
        <v>5</v>
      </c>
      <c r="L3827">
        <v>680</v>
      </c>
      <c r="M3827">
        <v>3400</v>
      </c>
      <c r="N3827">
        <f>IF(COUNTIFS($B$2:B3827,B3827)=1,1,0)</f>
        <v>0</v>
      </c>
    </row>
    <row r="3828" spans="1:14" x14ac:dyDescent="0.2">
      <c r="A3828">
        <v>3827</v>
      </c>
      <c r="B3828">
        <v>2929</v>
      </c>
      <c r="C3828">
        <f>1/COUNTIF(B:B,Table1[[#This Row],[order_id]])</f>
        <v>0.33333333333333331</v>
      </c>
      <c r="D3828" t="str">
        <f>TEXT(Table1[[#This Row],[order_date]],"mmmm")</f>
        <v>October</v>
      </c>
      <c r="E3828" s="1">
        <v>45589</v>
      </c>
      <c r="F3828" s="1" t="str">
        <f>TEXT(Table1[[#This Row],[order_date]],"dddd")</f>
        <v>Thursday</v>
      </c>
      <c r="G3828">
        <f>HOUR(Table1[[#This Row],[order_time]])</f>
        <v>12</v>
      </c>
      <c r="H3828" s="2">
        <v>0.52141203703703709</v>
      </c>
      <c r="I3828" t="s">
        <v>18</v>
      </c>
      <c r="J3828" t="s">
        <v>30</v>
      </c>
      <c r="K3828">
        <v>5</v>
      </c>
      <c r="L3828">
        <v>60</v>
      </c>
      <c r="M3828">
        <v>300</v>
      </c>
      <c r="N3828">
        <f>IF(COUNTIFS($B$2:B3828,B3828)=1,1,0)</f>
        <v>1</v>
      </c>
    </row>
    <row r="3829" spans="1:14" x14ac:dyDescent="0.2">
      <c r="A3829">
        <v>3828</v>
      </c>
      <c r="B3829">
        <v>2929</v>
      </c>
      <c r="C3829">
        <f>1/COUNTIF(B:B,Table1[[#This Row],[order_id]])</f>
        <v>0.33333333333333331</v>
      </c>
      <c r="D3829" t="str">
        <f>TEXT(Table1[[#This Row],[order_date]],"mmmm")</f>
        <v>October</v>
      </c>
      <c r="E3829" s="1">
        <v>45589</v>
      </c>
      <c r="F3829" s="1" t="str">
        <f>TEXT(Table1[[#This Row],[order_date]],"dddd")</f>
        <v>Thursday</v>
      </c>
      <c r="G3829">
        <f>HOUR(Table1[[#This Row],[order_time]])</f>
        <v>9</v>
      </c>
      <c r="H3829" s="2">
        <v>0.39288194444444446</v>
      </c>
      <c r="I3829" t="s">
        <v>11</v>
      </c>
      <c r="J3829" t="s">
        <v>15</v>
      </c>
      <c r="K3829">
        <v>4</v>
      </c>
      <c r="L3829">
        <v>600</v>
      </c>
      <c r="M3829">
        <v>2400</v>
      </c>
      <c r="N3829">
        <f>IF(COUNTIFS($B$2:B3829,B3829)=1,1,0)</f>
        <v>0</v>
      </c>
    </row>
    <row r="3830" spans="1:14" x14ac:dyDescent="0.2">
      <c r="A3830">
        <v>3829</v>
      </c>
      <c r="B3830">
        <v>2929</v>
      </c>
      <c r="C3830">
        <f>1/COUNTIF(B:B,Table1[[#This Row],[order_id]])</f>
        <v>0.33333333333333331</v>
      </c>
      <c r="D3830" t="str">
        <f>TEXT(Table1[[#This Row],[order_date]],"mmmm")</f>
        <v>October</v>
      </c>
      <c r="E3830" s="1">
        <v>45589</v>
      </c>
      <c r="F3830" s="1" t="str">
        <f>TEXT(Table1[[#This Row],[order_date]],"dddd")</f>
        <v>Thursday</v>
      </c>
      <c r="G3830">
        <f>HOUR(Table1[[#This Row],[order_time]])</f>
        <v>19</v>
      </c>
      <c r="H3830" s="2">
        <v>0.80133101851851851</v>
      </c>
      <c r="I3830" t="s">
        <v>9</v>
      </c>
      <c r="J3830" t="s">
        <v>10</v>
      </c>
      <c r="K3830">
        <v>1</v>
      </c>
      <c r="L3830">
        <v>20</v>
      </c>
      <c r="M3830">
        <v>20</v>
      </c>
      <c r="N3830">
        <f>IF(COUNTIFS($B$2:B3830,B3830)=1,1,0)</f>
        <v>0</v>
      </c>
    </row>
    <row r="3831" spans="1:14" x14ac:dyDescent="0.2">
      <c r="A3831">
        <v>3830</v>
      </c>
      <c r="B3831">
        <v>2930</v>
      </c>
      <c r="C3831">
        <f>1/COUNTIF(B:B,Table1[[#This Row],[order_id]])</f>
        <v>0.5</v>
      </c>
      <c r="D3831" t="str">
        <f>TEXT(Table1[[#This Row],[order_date]],"mmmm")</f>
        <v>October</v>
      </c>
      <c r="E3831" s="1">
        <v>45589</v>
      </c>
      <c r="F3831" s="1" t="str">
        <f>TEXT(Table1[[#This Row],[order_date]],"dddd")</f>
        <v>Thursday</v>
      </c>
      <c r="G3831">
        <f>HOUR(Table1[[#This Row],[order_time]])</f>
        <v>16</v>
      </c>
      <c r="H3831" s="2">
        <v>0.67641203703703701</v>
      </c>
      <c r="I3831" t="s">
        <v>9</v>
      </c>
      <c r="J3831" t="s">
        <v>21</v>
      </c>
      <c r="K3831">
        <v>3</v>
      </c>
      <c r="L3831">
        <v>10</v>
      </c>
      <c r="M3831">
        <v>30</v>
      </c>
      <c r="N3831">
        <f>IF(COUNTIFS($B$2:B3831,B3831)=1,1,0)</f>
        <v>1</v>
      </c>
    </row>
    <row r="3832" spans="1:14" x14ac:dyDescent="0.2">
      <c r="A3832">
        <v>3831</v>
      </c>
      <c r="B3832">
        <v>2930</v>
      </c>
      <c r="C3832">
        <f>1/COUNTIF(B:B,Table1[[#This Row],[order_id]])</f>
        <v>0.5</v>
      </c>
      <c r="D3832" t="str">
        <f>TEXT(Table1[[#This Row],[order_date]],"mmmm")</f>
        <v>October</v>
      </c>
      <c r="E3832" s="1">
        <v>45589</v>
      </c>
      <c r="F3832" s="1" t="str">
        <f>TEXT(Table1[[#This Row],[order_date]],"dddd")</f>
        <v>Thursday</v>
      </c>
      <c r="G3832">
        <f>HOUR(Table1[[#This Row],[order_time]])</f>
        <v>13</v>
      </c>
      <c r="H3832" s="2">
        <v>0.56030092592592595</v>
      </c>
      <c r="I3832" t="s">
        <v>9</v>
      </c>
      <c r="J3832" t="s">
        <v>21</v>
      </c>
      <c r="K3832">
        <v>4</v>
      </c>
      <c r="L3832">
        <v>10</v>
      </c>
      <c r="M3832">
        <v>40</v>
      </c>
      <c r="N3832">
        <f>IF(COUNTIFS($B$2:B3832,B3832)=1,1,0)</f>
        <v>0</v>
      </c>
    </row>
    <row r="3833" spans="1:14" x14ac:dyDescent="0.2">
      <c r="A3833">
        <v>3832</v>
      </c>
      <c r="B3833">
        <v>2931</v>
      </c>
      <c r="C3833">
        <f>1/COUNTIF(B:B,Table1[[#This Row],[order_id]])</f>
        <v>0.5</v>
      </c>
      <c r="D3833" t="str">
        <f>TEXT(Table1[[#This Row],[order_date]],"mmmm")</f>
        <v>October</v>
      </c>
      <c r="E3833" s="1">
        <v>45589</v>
      </c>
      <c r="F3833" s="1" t="str">
        <f>TEXT(Table1[[#This Row],[order_date]],"dddd")</f>
        <v>Thursday</v>
      </c>
      <c r="G3833">
        <f>HOUR(Table1[[#This Row],[order_time]])</f>
        <v>12</v>
      </c>
      <c r="H3833" s="2">
        <v>0.51358796296296294</v>
      </c>
      <c r="I3833" t="s">
        <v>18</v>
      </c>
      <c r="J3833" t="s">
        <v>30</v>
      </c>
      <c r="K3833">
        <v>5</v>
      </c>
      <c r="L3833">
        <v>60</v>
      </c>
      <c r="M3833">
        <v>300</v>
      </c>
      <c r="N3833">
        <f>IF(COUNTIFS($B$2:B3833,B3833)=1,1,0)</f>
        <v>1</v>
      </c>
    </row>
    <row r="3834" spans="1:14" x14ac:dyDescent="0.2">
      <c r="A3834">
        <v>3833</v>
      </c>
      <c r="B3834">
        <v>2931</v>
      </c>
      <c r="C3834">
        <f>1/COUNTIF(B:B,Table1[[#This Row],[order_id]])</f>
        <v>0.5</v>
      </c>
      <c r="D3834" t="str">
        <f>TEXT(Table1[[#This Row],[order_date]],"mmmm")</f>
        <v>October</v>
      </c>
      <c r="E3834" s="1">
        <v>45589</v>
      </c>
      <c r="F3834" s="1" t="str">
        <f>TEXT(Table1[[#This Row],[order_date]],"dddd")</f>
        <v>Thursday</v>
      </c>
      <c r="G3834">
        <f>HOUR(Table1[[#This Row],[order_time]])</f>
        <v>13</v>
      </c>
      <c r="H3834" s="2">
        <v>0.55765046296296295</v>
      </c>
      <c r="I3834" t="s">
        <v>18</v>
      </c>
      <c r="J3834" t="s">
        <v>26</v>
      </c>
      <c r="K3834">
        <v>1</v>
      </c>
      <c r="L3834">
        <v>55</v>
      </c>
      <c r="M3834">
        <v>55</v>
      </c>
      <c r="N3834">
        <f>IF(COUNTIFS($B$2:B3834,B3834)=1,1,0)</f>
        <v>0</v>
      </c>
    </row>
    <row r="3835" spans="1:14" x14ac:dyDescent="0.2">
      <c r="A3835">
        <v>3834</v>
      </c>
      <c r="B3835">
        <v>2932</v>
      </c>
      <c r="C3835">
        <f>1/COUNTIF(B:B,Table1[[#This Row],[order_id]])</f>
        <v>0.5</v>
      </c>
      <c r="D3835" t="str">
        <f>TEXT(Table1[[#This Row],[order_date]],"mmmm")</f>
        <v>October</v>
      </c>
      <c r="E3835" s="1">
        <v>45590</v>
      </c>
      <c r="F3835" s="1" t="str">
        <f>TEXT(Table1[[#This Row],[order_date]],"dddd")</f>
        <v>Friday</v>
      </c>
      <c r="G3835">
        <f>HOUR(Table1[[#This Row],[order_time]])</f>
        <v>13</v>
      </c>
      <c r="H3835" s="2">
        <v>0.57355324074074077</v>
      </c>
      <c r="I3835" t="s">
        <v>11</v>
      </c>
      <c r="J3835" t="s">
        <v>12</v>
      </c>
      <c r="K3835">
        <v>2</v>
      </c>
      <c r="L3835">
        <v>650</v>
      </c>
      <c r="M3835">
        <v>1300</v>
      </c>
      <c r="N3835">
        <f>IF(COUNTIFS($B$2:B3835,B3835)=1,1,0)</f>
        <v>1</v>
      </c>
    </row>
    <row r="3836" spans="1:14" x14ac:dyDescent="0.2">
      <c r="A3836">
        <v>3835</v>
      </c>
      <c r="B3836">
        <v>2932</v>
      </c>
      <c r="C3836">
        <f>1/COUNTIF(B:B,Table1[[#This Row],[order_id]])</f>
        <v>0.5</v>
      </c>
      <c r="D3836" t="str">
        <f>TEXT(Table1[[#This Row],[order_date]],"mmmm")</f>
        <v>October</v>
      </c>
      <c r="E3836" s="1">
        <v>45590</v>
      </c>
      <c r="F3836" s="1" t="str">
        <f>TEXT(Table1[[#This Row],[order_date]],"dddd")</f>
        <v>Friday</v>
      </c>
      <c r="G3836">
        <f>HOUR(Table1[[#This Row],[order_time]])</f>
        <v>11</v>
      </c>
      <c r="H3836" s="2">
        <v>0.47013888888888888</v>
      </c>
      <c r="I3836" t="s">
        <v>11</v>
      </c>
      <c r="J3836" t="s">
        <v>13</v>
      </c>
      <c r="K3836">
        <v>5</v>
      </c>
      <c r="L3836">
        <v>680</v>
      </c>
      <c r="M3836">
        <v>3400</v>
      </c>
      <c r="N3836">
        <f>IF(COUNTIFS($B$2:B3836,B3836)=1,1,0)</f>
        <v>0</v>
      </c>
    </row>
    <row r="3837" spans="1:14" x14ac:dyDescent="0.2">
      <c r="A3837">
        <v>3836</v>
      </c>
      <c r="B3837">
        <v>2933</v>
      </c>
      <c r="C3837">
        <f>1/COUNTIF(B:B,Table1[[#This Row],[order_id]])</f>
        <v>1</v>
      </c>
      <c r="D3837" t="str">
        <f>TEXT(Table1[[#This Row],[order_date]],"mmmm")</f>
        <v>October</v>
      </c>
      <c r="E3837" s="1">
        <v>45590</v>
      </c>
      <c r="F3837" s="1" t="str">
        <f>TEXT(Table1[[#This Row],[order_date]],"dddd")</f>
        <v>Friday</v>
      </c>
      <c r="G3837">
        <f>HOUR(Table1[[#This Row],[order_time]])</f>
        <v>18</v>
      </c>
      <c r="H3837" s="2">
        <v>0.78748842592592594</v>
      </c>
      <c r="I3837" t="s">
        <v>18</v>
      </c>
      <c r="J3837" t="s">
        <v>31</v>
      </c>
      <c r="K3837">
        <v>3</v>
      </c>
      <c r="L3837">
        <v>45</v>
      </c>
      <c r="M3837">
        <v>135</v>
      </c>
      <c r="N3837">
        <f>IF(COUNTIFS($B$2:B3837,B3837)=1,1,0)</f>
        <v>1</v>
      </c>
    </row>
    <row r="3838" spans="1:14" x14ac:dyDescent="0.2">
      <c r="A3838">
        <v>3837</v>
      </c>
      <c r="B3838">
        <v>2934</v>
      </c>
      <c r="C3838">
        <f>1/COUNTIF(B:B,Table1[[#This Row],[order_id]])</f>
        <v>0.33333333333333331</v>
      </c>
      <c r="D3838" t="str">
        <f>TEXT(Table1[[#This Row],[order_date]],"mmmm")</f>
        <v>October</v>
      </c>
      <c r="E3838" s="1">
        <v>45590</v>
      </c>
      <c r="F3838" s="1" t="str">
        <f>TEXT(Table1[[#This Row],[order_date]],"dddd")</f>
        <v>Friday</v>
      </c>
      <c r="G3838">
        <f>HOUR(Table1[[#This Row],[order_time]])</f>
        <v>17</v>
      </c>
      <c r="H3838" s="2">
        <v>0.74857638888888889</v>
      </c>
      <c r="I3838" t="s">
        <v>16</v>
      </c>
      <c r="J3838" t="s">
        <v>17</v>
      </c>
      <c r="K3838">
        <v>4</v>
      </c>
      <c r="L3838">
        <v>20</v>
      </c>
      <c r="M3838">
        <v>80</v>
      </c>
      <c r="N3838">
        <f>IF(COUNTIFS($B$2:B3838,B3838)=1,1,0)</f>
        <v>1</v>
      </c>
    </row>
    <row r="3839" spans="1:14" x14ac:dyDescent="0.2">
      <c r="A3839">
        <v>3838</v>
      </c>
      <c r="B3839">
        <v>2934</v>
      </c>
      <c r="C3839">
        <f>1/COUNTIF(B:B,Table1[[#This Row],[order_id]])</f>
        <v>0.33333333333333331</v>
      </c>
      <c r="D3839" t="str">
        <f>TEXT(Table1[[#This Row],[order_date]],"mmmm")</f>
        <v>October</v>
      </c>
      <c r="E3839" s="1">
        <v>45590</v>
      </c>
      <c r="F3839" s="1" t="str">
        <f>TEXT(Table1[[#This Row],[order_date]],"dddd")</f>
        <v>Friday</v>
      </c>
      <c r="G3839">
        <f>HOUR(Table1[[#This Row],[order_time]])</f>
        <v>20</v>
      </c>
      <c r="H3839" s="2">
        <v>0.85609953703703701</v>
      </c>
      <c r="I3839" t="s">
        <v>11</v>
      </c>
      <c r="J3839" t="s">
        <v>25</v>
      </c>
      <c r="K3839">
        <v>1</v>
      </c>
      <c r="L3839">
        <v>1000</v>
      </c>
      <c r="M3839">
        <v>1000</v>
      </c>
      <c r="N3839">
        <f>IF(COUNTIFS($B$2:B3839,B3839)=1,1,0)</f>
        <v>0</v>
      </c>
    </row>
    <row r="3840" spans="1:14" x14ac:dyDescent="0.2">
      <c r="A3840">
        <v>3839</v>
      </c>
      <c r="B3840">
        <v>2934</v>
      </c>
      <c r="C3840">
        <f>1/COUNTIF(B:B,Table1[[#This Row],[order_id]])</f>
        <v>0.33333333333333331</v>
      </c>
      <c r="D3840" t="str">
        <f>TEXT(Table1[[#This Row],[order_date]],"mmmm")</f>
        <v>October</v>
      </c>
      <c r="E3840" s="1">
        <v>45590</v>
      </c>
      <c r="F3840" s="1" t="str">
        <f>TEXT(Table1[[#This Row],[order_date]],"dddd")</f>
        <v>Friday</v>
      </c>
      <c r="G3840">
        <f>HOUR(Table1[[#This Row],[order_time]])</f>
        <v>17</v>
      </c>
      <c r="H3840" s="2">
        <v>0.74942129629629628</v>
      </c>
      <c r="I3840" t="s">
        <v>11</v>
      </c>
      <c r="J3840" t="s">
        <v>12</v>
      </c>
      <c r="K3840">
        <v>2</v>
      </c>
      <c r="L3840">
        <v>650</v>
      </c>
      <c r="M3840">
        <v>1300</v>
      </c>
      <c r="N3840">
        <f>IF(COUNTIFS($B$2:B3840,B3840)=1,1,0)</f>
        <v>0</v>
      </c>
    </row>
    <row r="3841" spans="1:14" x14ac:dyDescent="0.2">
      <c r="A3841">
        <v>3840</v>
      </c>
      <c r="B3841">
        <v>2935</v>
      </c>
      <c r="C3841">
        <f>1/COUNTIF(B:B,Table1[[#This Row],[order_id]])</f>
        <v>0.5</v>
      </c>
      <c r="D3841" t="str">
        <f>TEXT(Table1[[#This Row],[order_date]],"mmmm")</f>
        <v>October</v>
      </c>
      <c r="E3841" s="1">
        <v>45590</v>
      </c>
      <c r="F3841" s="1" t="str">
        <f>TEXT(Table1[[#This Row],[order_date]],"dddd")</f>
        <v>Friday</v>
      </c>
      <c r="G3841">
        <f>HOUR(Table1[[#This Row],[order_time]])</f>
        <v>11</v>
      </c>
      <c r="H3841" s="2">
        <v>0.46835648148148146</v>
      </c>
      <c r="I3841" t="s">
        <v>16</v>
      </c>
      <c r="J3841" t="s">
        <v>17</v>
      </c>
      <c r="K3841">
        <v>2</v>
      </c>
      <c r="L3841">
        <v>20</v>
      </c>
      <c r="M3841">
        <v>40</v>
      </c>
      <c r="N3841">
        <f>IF(COUNTIFS($B$2:B3841,B3841)=1,1,0)</f>
        <v>1</v>
      </c>
    </row>
    <row r="3842" spans="1:14" x14ac:dyDescent="0.2">
      <c r="A3842">
        <v>3841</v>
      </c>
      <c r="B3842">
        <v>2935</v>
      </c>
      <c r="C3842">
        <f>1/COUNTIF(B:B,Table1[[#This Row],[order_id]])</f>
        <v>0.5</v>
      </c>
      <c r="D3842" t="str">
        <f>TEXT(Table1[[#This Row],[order_date]],"mmmm")</f>
        <v>October</v>
      </c>
      <c r="E3842" s="1">
        <v>45590</v>
      </c>
      <c r="F3842" s="1" t="str">
        <f>TEXT(Table1[[#This Row],[order_date]],"dddd")</f>
        <v>Friday</v>
      </c>
      <c r="G3842">
        <f>HOUR(Table1[[#This Row],[order_time]])</f>
        <v>19</v>
      </c>
      <c r="H3842" s="2">
        <v>0.7988425925925926</v>
      </c>
      <c r="I3842" t="s">
        <v>18</v>
      </c>
      <c r="J3842" t="s">
        <v>31</v>
      </c>
      <c r="K3842">
        <v>5</v>
      </c>
      <c r="L3842">
        <v>45</v>
      </c>
      <c r="M3842">
        <v>225</v>
      </c>
      <c r="N3842">
        <f>IF(COUNTIFS($B$2:B3842,B3842)=1,1,0)</f>
        <v>0</v>
      </c>
    </row>
    <row r="3843" spans="1:14" x14ac:dyDescent="0.2">
      <c r="A3843">
        <v>3842</v>
      </c>
      <c r="B3843">
        <v>2936</v>
      </c>
      <c r="C3843">
        <f>1/COUNTIF(B:B,Table1[[#This Row],[order_id]])</f>
        <v>0.33333333333333331</v>
      </c>
      <c r="D3843" t="str">
        <f>TEXT(Table1[[#This Row],[order_date]],"mmmm")</f>
        <v>October</v>
      </c>
      <c r="E3843" s="1">
        <v>45590</v>
      </c>
      <c r="F3843" s="1" t="str">
        <f>TEXT(Table1[[#This Row],[order_date]],"dddd")</f>
        <v>Friday</v>
      </c>
      <c r="G3843">
        <f>HOUR(Table1[[#This Row],[order_time]])</f>
        <v>10</v>
      </c>
      <c r="H3843" s="2">
        <v>0.45019675925925928</v>
      </c>
      <c r="I3843" t="s">
        <v>11</v>
      </c>
      <c r="J3843" t="s">
        <v>14</v>
      </c>
      <c r="K3843">
        <v>1</v>
      </c>
      <c r="L3843">
        <v>700</v>
      </c>
      <c r="M3843">
        <v>700</v>
      </c>
      <c r="N3843">
        <f>IF(COUNTIFS($B$2:B3843,B3843)=1,1,0)</f>
        <v>1</v>
      </c>
    </row>
    <row r="3844" spans="1:14" x14ac:dyDescent="0.2">
      <c r="A3844">
        <v>3843</v>
      </c>
      <c r="B3844">
        <v>2936</v>
      </c>
      <c r="C3844">
        <f>1/COUNTIF(B:B,Table1[[#This Row],[order_id]])</f>
        <v>0.33333333333333331</v>
      </c>
      <c r="D3844" t="str">
        <f>TEXT(Table1[[#This Row],[order_date]],"mmmm")</f>
        <v>October</v>
      </c>
      <c r="E3844" s="1">
        <v>45590</v>
      </c>
      <c r="F3844" s="1" t="str">
        <f>TEXT(Table1[[#This Row],[order_date]],"dddd")</f>
        <v>Friday</v>
      </c>
      <c r="G3844">
        <f>HOUR(Table1[[#This Row],[order_time]])</f>
        <v>20</v>
      </c>
      <c r="H3844" s="2">
        <v>0.87285879629629626</v>
      </c>
      <c r="I3844" t="s">
        <v>9</v>
      </c>
      <c r="J3844" t="s">
        <v>20</v>
      </c>
      <c r="K3844">
        <v>5</v>
      </c>
      <c r="L3844">
        <v>25</v>
      </c>
      <c r="M3844">
        <v>125</v>
      </c>
      <c r="N3844">
        <f>IF(COUNTIFS($B$2:B3844,B3844)=1,1,0)</f>
        <v>0</v>
      </c>
    </row>
    <row r="3845" spans="1:14" x14ac:dyDescent="0.2">
      <c r="A3845">
        <v>3844</v>
      </c>
      <c r="B3845">
        <v>2936</v>
      </c>
      <c r="C3845">
        <f>1/COUNTIF(B:B,Table1[[#This Row],[order_id]])</f>
        <v>0.33333333333333331</v>
      </c>
      <c r="D3845" t="str">
        <f>TEXT(Table1[[#This Row],[order_date]],"mmmm")</f>
        <v>October</v>
      </c>
      <c r="E3845" s="1">
        <v>45590</v>
      </c>
      <c r="F3845" s="1" t="str">
        <f>TEXT(Table1[[#This Row],[order_date]],"dddd")</f>
        <v>Friday</v>
      </c>
      <c r="G3845">
        <f>HOUR(Table1[[#This Row],[order_time]])</f>
        <v>19</v>
      </c>
      <c r="H3845" s="2">
        <v>0.79194444444444445</v>
      </c>
      <c r="I3845" t="s">
        <v>11</v>
      </c>
      <c r="J3845" t="s">
        <v>15</v>
      </c>
      <c r="K3845">
        <v>1</v>
      </c>
      <c r="L3845">
        <v>600</v>
      </c>
      <c r="M3845">
        <v>600</v>
      </c>
      <c r="N3845">
        <f>IF(COUNTIFS($B$2:B3845,B3845)=1,1,0)</f>
        <v>0</v>
      </c>
    </row>
    <row r="3846" spans="1:14" x14ac:dyDescent="0.2">
      <c r="A3846">
        <v>3845</v>
      </c>
      <c r="B3846">
        <v>2937</v>
      </c>
      <c r="C3846">
        <f>1/COUNTIF(B:B,Table1[[#This Row],[order_id]])</f>
        <v>0.5</v>
      </c>
      <c r="D3846" t="str">
        <f>TEXT(Table1[[#This Row],[order_date]],"mmmm")</f>
        <v>October</v>
      </c>
      <c r="E3846" s="1">
        <v>45590</v>
      </c>
      <c r="F3846" s="1" t="str">
        <f>TEXT(Table1[[#This Row],[order_date]],"dddd")</f>
        <v>Friday</v>
      </c>
      <c r="G3846">
        <f>HOUR(Table1[[#This Row],[order_time]])</f>
        <v>18</v>
      </c>
      <c r="H3846" s="2">
        <v>0.77712962962962961</v>
      </c>
      <c r="I3846" t="s">
        <v>11</v>
      </c>
      <c r="J3846" t="s">
        <v>13</v>
      </c>
      <c r="K3846">
        <v>1</v>
      </c>
      <c r="L3846">
        <v>680</v>
      </c>
      <c r="M3846">
        <v>680</v>
      </c>
      <c r="N3846">
        <f>IF(COUNTIFS($B$2:B3846,B3846)=1,1,0)</f>
        <v>1</v>
      </c>
    </row>
    <row r="3847" spans="1:14" x14ac:dyDescent="0.2">
      <c r="A3847">
        <v>3846</v>
      </c>
      <c r="B3847">
        <v>2937</v>
      </c>
      <c r="C3847">
        <f>1/COUNTIF(B:B,Table1[[#This Row],[order_id]])</f>
        <v>0.5</v>
      </c>
      <c r="D3847" t="str">
        <f>TEXT(Table1[[#This Row],[order_date]],"mmmm")</f>
        <v>October</v>
      </c>
      <c r="E3847" s="1">
        <v>45590</v>
      </c>
      <c r="F3847" s="1" t="str">
        <f>TEXT(Table1[[#This Row],[order_date]],"dddd")</f>
        <v>Friday</v>
      </c>
      <c r="G3847">
        <f>HOUR(Table1[[#This Row],[order_time]])</f>
        <v>10</v>
      </c>
      <c r="H3847" s="2">
        <v>0.45006944444444447</v>
      </c>
      <c r="I3847" t="s">
        <v>18</v>
      </c>
      <c r="J3847" t="s">
        <v>26</v>
      </c>
      <c r="K3847">
        <v>1</v>
      </c>
      <c r="L3847">
        <v>55</v>
      </c>
      <c r="M3847">
        <v>55</v>
      </c>
      <c r="N3847">
        <f>IF(COUNTIFS($B$2:B3847,B3847)=1,1,0)</f>
        <v>0</v>
      </c>
    </row>
    <row r="3848" spans="1:14" x14ac:dyDescent="0.2">
      <c r="A3848">
        <v>3847</v>
      </c>
      <c r="B3848">
        <v>2938</v>
      </c>
      <c r="C3848">
        <f>1/COUNTIF(B:B,Table1[[#This Row],[order_id]])</f>
        <v>0.5</v>
      </c>
      <c r="D3848" t="str">
        <f>TEXT(Table1[[#This Row],[order_date]],"mmmm")</f>
        <v>October</v>
      </c>
      <c r="E3848" s="1">
        <v>45590</v>
      </c>
      <c r="F3848" s="1" t="str">
        <f>TEXT(Table1[[#This Row],[order_date]],"dddd")</f>
        <v>Friday</v>
      </c>
      <c r="G3848">
        <f>HOUR(Table1[[#This Row],[order_time]])</f>
        <v>20</v>
      </c>
      <c r="H3848" s="2">
        <v>0.83596064814814819</v>
      </c>
      <c r="I3848" t="s">
        <v>18</v>
      </c>
      <c r="J3848" t="s">
        <v>31</v>
      </c>
      <c r="K3848">
        <v>2</v>
      </c>
      <c r="L3848">
        <v>45</v>
      </c>
      <c r="M3848">
        <v>90</v>
      </c>
      <c r="N3848">
        <f>IF(COUNTIFS($B$2:B3848,B3848)=1,1,0)</f>
        <v>1</v>
      </c>
    </row>
    <row r="3849" spans="1:14" x14ac:dyDescent="0.2">
      <c r="A3849">
        <v>3848</v>
      </c>
      <c r="B3849">
        <v>2938</v>
      </c>
      <c r="C3849">
        <f>1/COUNTIF(B:B,Table1[[#This Row],[order_id]])</f>
        <v>0.5</v>
      </c>
      <c r="D3849" t="str">
        <f>TEXT(Table1[[#This Row],[order_date]],"mmmm")</f>
        <v>October</v>
      </c>
      <c r="E3849" s="1">
        <v>45590</v>
      </c>
      <c r="F3849" s="1" t="str">
        <f>TEXT(Table1[[#This Row],[order_date]],"dddd")</f>
        <v>Friday</v>
      </c>
      <c r="G3849">
        <f>HOUR(Table1[[#This Row],[order_time]])</f>
        <v>13</v>
      </c>
      <c r="H3849" s="2">
        <v>0.54716435185185186</v>
      </c>
      <c r="I3849" t="s">
        <v>11</v>
      </c>
      <c r="J3849" t="s">
        <v>14</v>
      </c>
      <c r="K3849">
        <v>4</v>
      </c>
      <c r="L3849">
        <v>700</v>
      </c>
      <c r="M3849">
        <v>2800</v>
      </c>
      <c r="N3849">
        <f>IF(COUNTIFS($B$2:B3849,B3849)=1,1,0)</f>
        <v>0</v>
      </c>
    </row>
    <row r="3850" spans="1:14" x14ac:dyDescent="0.2">
      <c r="A3850">
        <v>3849</v>
      </c>
      <c r="B3850">
        <v>2939</v>
      </c>
      <c r="C3850">
        <f>1/COUNTIF(B:B,Table1[[#This Row],[order_id]])</f>
        <v>0.33333333333333331</v>
      </c>
      <c r="D3850" t="str">
        <f>TEXT(Table1[[#This Row],[order_date]],"mmmm")</f>
        <v>October</v>
      </c>
      <c r="E3850" s="1">
        <v>45590</v>
      </c>
      <c r="F3850" s="1" t="str">
        <f>TEXT(Table1[[#This Row],[order_date]],"dddd")</f>
        <v>Friday</v>
      </c>
      <c r="G3850">
        <f>HOUR(Table1[[#This Row],[order_time]])</f>
        <v>19</v>
      </c>
      <c r="H3850" s="2">
        <v>0.82827546296296295</v>
      </c>
      <c r="I3850" t="s">
        <v>9</v>
      </c>
      <c r="J3850" t="s">
        <v>22</v>
      </c>
      <c r="K3850">
        <v>5</v>
      </c>
      <c r="L3850">
        <v>15</v>
      </c>
      <c r="M3850">
        <v>75</v>
      </c>
      <c r="N3850">
        <f>IF(COUNTIFS($B$2:B3850,B3850)=1,1,0)</f>
        <v>1</v>
      </c>
    </row>
    <row r="3851" spans="1:14" x14ac:dyDescent="0.2">
      <c r="A3851">
        <v>3850</v>
      </c>
      <c r="B3851">
        <v>2939</v>
      </c>
      <c r="C3851">
        <f>1/COUNTIF(B:B,Table1[[#This Row],[order_id]])</f>
        <v>0.33333333333333331</v>
      </c>
      <c r="D3851" t="str">
        <f>TEXT(Table1[[#This Row],[order_date]],"mmmm")</f>
        <v>October</v>
      </c>
      <c r="E3851" s="1">
        <v>45590</v>
      </c>
      <c r="F3851" s="1" t="str">
        <f>TEXT(Table1[[#This Row],[order_date]],"dddd")</f>
        <v>Friday</v>
      </c>
      <c r="G3851">
        <f>HOUR(Table1[[#This Row],[order_time]])</f>
        <v>16</v>
      </c>
      <c r="H3851" s="2">
        <v>0.6999305555555555</v>
      </c>
      <c r="I3851" t="s">
        <v>16</v>
      </c>
      <c r="J3851" t="s">
        <v>23</v>
      </c>
      <c r="K3851">
        <v>5</v>
      </c>
      <c r="L3851">
        <v>30</v>
      </c>
      <c r="M3851">
        <v>150</v>
      </c>
      <c r="N3851">
        <f>IF(COUNTIFS($B$2:B3851,B3851)=1,1,0)</f>
        <v>0</v>
      </c>
    </row>
    <row r="3852" spans="1:14" x14ac:dyDescent="0.2">
      <c r="A3852">
        <v>3851</v>
      </c>
      <c r="B3852">
        <v>2939</v>
      </c>
      <c r="C3852">
        <f>1/COUNTIF(B:B,Table1[[#This Row],[order_id]])</f>
        <v>0.33333333333333331</v>
      </c>
      <c r="D3852" t="str">
        <f>TEXT(Table1[[#This Row],[order_date]],"mmmm")</f>
        <v>October</v>
      </c>
      <c r="E3852" s="1">
        <v>45590</v>
      </c>
      <c r="F3852" s="1" t="str">
        <f>TEXT(Table1[[#This Row],[order_date]],"dddd")</f>
        <v>Friday</v>
      </c>
      <c r="G3852">
        <f>HOUR(Table1[[#This Row],[order_time]])</f>
        <v>11</v>
      </c>
      <c r="H3852" s="2">
        <v>0.46604166666666669</v>
      </c>
      <c r="I3852" t="s">
        <v>9</v>
      </c>
      <c r="J3852" t="s">
        <v>10</v>
      </c>
      <c r="K3852">
        <v>5</v>
      </c>
      <c r="L3852">
        <v>20</v>
      </c>
      <c r="M3852">
        <v>100</v>
      </c>
      <c r="N3852">
        <f>IF(COUNTIFS($B$2:B3852,B3852)=1,1,0)</f>
        <v>0</v>
      </c>
    </row>
    <row r="3853" spans="1:14" x14ac:dyDescent="0.2">
      <c r="A3853">
        <v>3852</v>
      </c>
      <c r="B3853">
        <v>2940</v>
      </c>
      <c r="C3853">
        <f>1/COUNTIF(B:B,Table1[[#This Row],[order_id]])</f>
        <v>1</v>
      </c>
      <c r="D3853" t="str">
        <f>TEXT(Table1[[#This Row],[order_date]],"mmmm")</f>
        <v>October</v>
      </c>
      <c r="E3853" s="1">
        <v>45590</v>
      </c>
      <c r="F3853" s="1" t="str">
        <f>TEXT(Table1[[#This Row],[order_date]],"dddd")</f>
        <v>Friday</v>
      </c>
      <c r="G3853">
        <f>HOUR(Table1[[#This Row],[order_time]])</f>
        <v>19</v>
      </c>
      <c r="H3853" s="2">
        <v>0.7986805555555555</v>
      </c>
      <c r="I3853" t="s">
        <v>11</v>
      </c>
      <c r="J3853" t="s">
        <v>13</v>
      </c>
      <c r="K3853">
        <v>1</v>
      </c>
      <c r="L3853">
        <v>680</v>
      </c>
      <c r="M3853">
        <v>680</v>
      </c>
      <c r="N3853">
        <f>IF(COUNTIFS($B$2:B3853,B3853)=1,1,0)</f>
        <v>1</v>
      </c>
    </row>
    <row r="3854" spans="1:14" x14ac:dyDescent="0.2">
      <c r="A3854">
        <v>3853</v>
      </c>
      <c r="B3854">
        <v>2941</v>
      </c>
      <c r="C3854">
        <f>1/COUNTIF(B:B,Table1[[#This Row],[order_id]])</f>
        <v>0.33333333333333331</v>
      </c>
      <c r="D3854" t="str">
        <f>TEXT(Table1[[#This Row],[order_date]],"mmmm")</f>
        <v>October</v>
      </c>
      <c r="E3854" s="1">
        <v>45591</v>
      </c>
      <c r="F3854" s="1" t="str">
        <f>TEXT(Table1[[#This Row],[order_date]],"dddd")</f>
        <v>Saturday</v>
      </c>
      <c r="G3854">
        <f>HOUR(Table1[[#This Row],[order_time]])</f>
        <v>13</v>
      </c>
      <c r="H3854" s="2">
        <v>0.56368055555555552</v>
      </c>
      <c r="I3854" t="s">
        <v>11</v>
      </c>
      <c r="J3854" t="s">
        <v>12</v>
      </c>
      <c r="K3854">
        <v>3</v>
      </c>
      <c r="L3854">
        <v>650</v>
      </c>
      <c r="M3854">
        <v>1950</v>
      </c>
      <c r="N3854">
        <f>IF(COUNTIFS($B$2:B3854,B3854)=1,1,0)</f>
        <v>1</v>
      </c>
    </row>
    <row r="3855" spans="1:14" x14ac:dyDescent="0.2">
      <c r="A3855">
        <v>3854</v>
      </c>
      <c r="B3855">
        <v>2941</v>
      </c>
      <c r="C3855">
        <f>1/COUNTIF(B:B,Table1[[#This Row],[order_id]])</f>
        <v>0.33333333333333331</v>
      </c>
      <c r="D3855" t="str">
        <f>TEXT(Table1[[#This Row],[order_date]],"mmmm")</f>
        <v>October</v>
      </c>
      <c r="E3855" s="1">
        <v>45591</v>
      </c>
      <c r="F3855" s="1" t="str">
        <f>TEXT(Table1[[#This Row],[order_date]],"dddd")</f>
        <v>Saturday</v>
      </c>
      <c r="G3855">
        <f>HOUR(Table1[[#This Row],[order_time]])</f>
        <v>17</v>
      </c>
      <c r="H3855" s="2">
        <v>0.71762731481481479</v>
      </c>
      <c r="I3855" t="s">
        <v>9</v>
      </c>
      <c r="J3855" t="s">
        <v>20</v>
      </c>
      <c r="K3855">
        <v>5</v>
      </c>
      <c r="L3855">
        <v>25</v>
      </c>
      <c r="M3855">
        <v>125</v>
      </c>
      <c r="N3855">
        <f>IF(COUNTIFS($B$2:B3855,B3855)=1,1,0)</f>
        <v>0</v>
      </c>
    </row>
    <row r="3856" spans="1:14" x14ac:dyDescent="0.2">
      <c r="A3856">
        <v>3855</v>
      </c>
      <c r="B3856">
        <v>2941</v>
      </c>
      <c r="C3856">
        <f>1/COUNTIF(B:B,Table1[[#This Row],[order_id]])</f>
        <v>0.33333333333333331</v>
      </c>
      <c r="D3856" t="str">
        <f>TEXT(Table1[[#This Row],[order_date]],"mmmm")</f>
        <v>October</v>
      </c>
      <c r="E3856" s="1">
        <v>45591</v>
      </c>
      <c r="F3856" s="1" t="str">
        <f>TEXT(Table1[[#This Row],[order_date]],"dddd")</f>
        <v>Saturday</v>
      </c>
      <c r="G3856">
        <f>HOUR(Table1[[#This Row],[order_time]])</f>
        <v>11</v>
      </c>
      <c r="H3856" s="2">
        <v>0.48776620370370372</v>
      </c>
      <c r="I3856" t="s">
        <v>11</v>
      </c>
      <c r="J3856" t="s">
        <v>14</v>
      </c>
      <c r="K3856">
        <v>4</v>
      </c>
      <c r="L3856">
        <v>700</v>
      </c>
      <c r="M3856">
        <v>2800</v>
      </c>
      <c r="N3856">
        <f>IF(COUNTIFS($B$2:B3856,B3856)=1,1,0)</f>
        <v>0</v>
      </c>
    </row>
    <row r="3857" spans="1:14" x14ac:dyDescent="0.2">
      <c r="A3857">
        <v>3856</v>
      </c>
      <c r="B3857">
        <v>2942</v>
      </c>
      <c r="C3857">
        <f>1/COUNTIF(B:B,Table1[[#This Row],[order_id]])</f>
        <v>1</v>
      </c>
      <c r="D3857" t="str">
        <f>TEXT(Table1[[#This Row],[order_date]],"mmmm")</f>
        <v>October</v>
      </c>
      <c r="E3857" s="1">
        <v>45591</v>
      </c>
      <c r="F3857" s="1" t="str">
        <f>TEXT(Table1[[#This Row],[order_date]],"dddd")</f>
        <v>Saturday</v>
      </c>
      <c r="G3857">
        <f>HOUR(Table1[[#This Row],[order_time]])</f>
        <v>9</v>
      </c>
      <c r="H3857" s="2">
        <v>0.39960648148148148</v>
      </c>
      <c r="I3857" t="s">
        <v>18</v>
      </c>
      <c r="J3857" t="s">
        <v>26</v>
      </c>
      <c r="K3857">
        <v>2</v>
      </c>
      <c r="L3857">
        <v>55</v>
      </c>
      <c r="M3857">
        <v>110</v>
      </c>
      <c r="N3857">
        <f>IF(COUNTIFS($B$2:B3857,B3857)=1,1,0)</f>
        <v>1</v>
      </c>
    </row>
    <row r="3858" spans="1:14" x14ac:dyDescent="0.2">
      <c r="A3858">
        <v>3857</v>
      </c>
      <c r="B3858">
        <v>2943</v>
      </c>
      <c r="C3858">
        <f>1/COUNTIF(B:B,Table1[[#This Row],[order_id]])</f>
        <v>0.33333333333333331</v>
      </c>
      <c r="D3858" t="str">
        <f>TEXT(Table1[[#This Row],[order_date]],"mmmm")</f>
        <v>October</v>
      </c>
      <c r="E3858" s="1">
        <v>45591</v>
      </c>
      <c r="F3858" s="1" t="str">
        <f>TEXT(Table1[[#This Row],[order_date]],"dddd")</f>
        <v>Saturday</v>
      </c>
      <c r="G3858">
        <f>HOUR(Table1[[#This Row],[order_time]])</f>
        <v>18</v>
      </c>
      <c r="H3858" s="2">
        <v>0.77500000000000002</v>
      </c>
      <c r="I3858" t="s">
        <v>11</v>
      </c>
      <c r="J3858" t="s">
        <v>14</v>
      </c>
      <c r="K3858">
        <v>1</v>
      </c>
      <c r="L3858">
        <v>700</v>
      </c>
      <c r="M3858">
        <v>700</v>
      </c>
      <c r="N3858">
        <f>IF(COUNTIFS($B$2:B3858,B3858)=1,1,0)</f>
        <v>1</v>
      </c>
    </row>
    <row r="3859" spans="1:14" x14ac:dyDescent="0.2">
      <c r="A3859">
        <v>3858</v>
      </c>
      <c r="B3859">
        <v>2943</v>
      </c>
      <c r="C3859">
        <f>1/COUNTIF(B:B,Table1[[#This Row],[order_id]])</f>
        <v>0.33333333333333331</v>
      </c>
      <c r="D3859" t="str">
        <f>TEXT(Table1[[#This Row],[order_date]],"mmmm")</f>
        <v>October</v>
      </c>
      <c r="E3859" s="1">
        <v>45591</v>
      </c>
      <c r="F3859" s="1" t="str">
        <f>TEXT(Table1[[#This Row],[order_date]],"dddd")</f>
        <v>Saturday</v>
      </c>
      <c r="G3859">
        <f>HOUR(Table1[[#This Row],[order_time]])</f>
        <v>18</v>
      </c>
      <c r="H3859" s="2">
        <v>0.76334490740740746</v>
      </c>
      <c r="I3859" t="s">
        <v>16</v>
      </c>
      <c r="J3859" t="s">
        <v>23</v>
      </c>
      <c r="K3859">
        <v>1</v>
      </c>
      <c r="L3859">
        <v>30</v>
      </c>
      <c r="M3859">
        <v>30</v>
      </c>
      <c r="N3859">
        <f>IF(COUNTIFS($B$2:B3859,B3859)=1,1,0)</f>
        <v>0</v>
      </c>
    </row>
    <row r="3860" spans="1:14" x14ac:dyDescent="0.2">
      <c r="A3860">
        <v>3859</v>
      </c>
      <c r="B3860">
        <v>2943</v>
      </c>
      <c r="C3860">
        <f>1/COUNTIF(B:B,Table1[[#This Row],[order_id]])</f>
        <v>0.33333333333333331</v>
      </c>
      <c r="D3860" t="str">
        <f>TEXT(Table1[[#This Row],[order_date]],"mmmm")</f>
        <v>October</v>
      </c>
      <c r="E3860" s="1">
        <v>45591</v>
      </c>
      <c r="F3860" s="1" t="str">
        <f>TEXT(Table1[[#This Row],[order_date]],"dddd")</f>
        <v>Saturday</v>
      </c>
      <c r="G3860">
        <f>HOUR(Table1[[#This Row],[order_time]])</f>
        <v>13</v>
      </c>
      <c r="H3860" s="2">
        <v>0.56116898148148153</v>
      </c>
      <c r="I3860" t="s">
        <v>9</v>
      </c>
      <c r="J3860" t="s">
        <v>10</v>
      </c>
      <c r="K3860">
        <v>5</v>
      </c>
      <c r="L3860">
        <v>20</v>
      </c>
      <c r="M3860">
        <v>100</v>
      </c>
      <c r="N3860">
        <f>IF(COUNTIFS($B$2:B3860,B3860)=1,1,0)</f>
        <v>0</v>
      </c>
    </row>
    <row r="3861" spans="1:14" x14ac:dyDescent="0.2">
      <c r="A3861">
        <v>3860</v>
      </c>
      <c r="B3861">
        <v>2944</v>
      </c>
      <c r="C3861">
        <f>1/COUNTIF(B:B,Table1[[#This Row],[order_id]])</f>
        <v>0.5</v>
      </c>
      <c r="D3861" t="str">
        <f>TEXT(Table1[[#This Row],[order_date]],"mmmm")</f>
        <v>October</v>
      </c>
      <c r="E3861" s="1">
        <v>45591</v>
      </c>
      <c r="F3861" s="1" t="str">
        <f>TEXT(Table1[[#This Row],[order_date]],"dddd")</f>
        <v>Saturday</v>
      </c>
      <c r="G3861">
        <f>HOUR(Table1[[#This Row],[order_time]])</f>
        <v>10</v>
      </c>
      <c r="H3861" s="2">
        <v>0.43062499999999998</v>
      </c>
      <c r="I3861" t="s">
        <v>18</v>
      </c>
      <c r="J3861" t="s">
        <v>30</v>
      </c>
      <c r="K3861">
        <v>3</v>
      </c>
      <c r="L3861">
        <v>60</v>
      </c>
      <c r="M3861">
        <v>180</v>
      </c>
      <c r="N3861">
        <f>IF(COUNTIFS($B$2:B3861,B3861)=1,1,0)</f>
        <v>1</v>
      </c>
    </row>
    <row r="3862" spans="1:14" x14ac:dyDescent="0.2">
      <c r="A3862">
        <v>3861</v>
      </c>
      <c r="B3862">
        <v>2944</v>
      </c>
      <c r="C3862">
        <f>1/COUNTIF(B:B,Table1[[#This Row],[order_id]])</f>
        <v>0.5</v>
      </c>
      <c r="D3862" t="str">
        <f>TEXT(Table1[[#This Row],[order_date]],"mmmm")</f>
        <v>October</v>
      </c>
      <c r="E3862" s="1">
        <v>45591</v>
      </c>
      <c r="F3862" s="1" t="str">
        <f>TEXT(Table1[[#This Row],[order_date]],"dddd")</f>
        <v>Saturday</v>
      </c>
      <c r="G3862">
        <f>HOUR(Table1[[#This Row],[order_time]])</f>
        <v>20</v>
      </c>
      <c r="H3862" s="2">
        <v>0.84011574074074069</v>
      </c>
      <c r="I3862" t="s">
        <v>18</v>
      </c>
      <c r="J3862" t="s">
        <v>27</v>
      </c>
      <c r="K3862">
        <v>1</v>
      </c>
      <c r="L3862">
        <v>40</v>
      </c>
      <c r="M3862">
        <v>40</v>
      </c>
      <c r="N3862">
        <f>IF(COUNTIFS($B$2:B3862,B3862)=1,1,0)</f>
        <v>0</v>
      </c>
    </row>
    <row r="3863" spans="1:14" x14ac:dyDescent="0.2">
      <c r="A3863">
        <v>3862</v>
      </c>
      <c r="B3863">
        <v>2945</v>
      </c>
      <c r="C3863">
        <f>1/COUNTIF(B:B,Table1[[#This Row],[order_id]])</f>
        <v>0.5</v>
      </c>
      <c r="D3863" t="str">
        <f>TEXT(Table1[[#This Row],[order_date]],"mmmm")</f>
        <v>October</v>
      </c>
      <c r="E3863" s="1">
        <v>45591</v>
      </c>
      <c r="F3863" s="1" t="str">
        <f>TEXT(Table1[[#This Row],[order_date]],"dddd")</f>
        <v>Saturday</v>
      </c>
      <c r="G3863">
        <f>HOUR(Table1[[#This Row],[order_time]])</f>
        <v>9</v>
      </c>
      <c r="H3863" s="2">
        <v>0.37998842592592591</v>
      </c>
      <c r="I3863" t="s">
        <v>9</v>
      </c>
      <c r="J3863" t="s">
        <v>22</v>
      </c>
      <c r="K3863">
        <v>4</v>
      </c>
      <c r="L3863">
        <v>15</v>
      </c>
      <c r="M3863">
        <v>60</v>
      </c>
      <c r="N3863">
        <f>IF(COUNTIFS($B$2:B3863,B3863)=1,1,0)</f>
        <v>1</v>
      </c>
    </row>
    <row r="3864" spans="1:14" x14ac:dyDescent="0.2">
      <c r="A3864">
        <v>3863</v>
      </c>
      <c r="B3864">
        <v>2945</v>
      </c>
      <c r="C3864">
        <f>1/COUNTIF(B:B,Table1[[#This Row],[order_id]])</f>
        <v>0.5</v>
      </c>
      <c r="D3864" t="str">
        <f>TEXT(Table1[[#This Row],[order_date]],"mmmm")</f>
        <v>October</v>
      </c>
      <c r="E3864" s="1">
        <v>45591</v>
      </c>
      <c r="F3864" s="1" t="str">
        <f>TEXT(Table1[[#This Row],[order_date]],"dddd")</f>
        <v>Saturday</v>
      </c>
      <c r="G3864">
        <f>HOUR(Table1[[#This Row],[order_time]])</f>
        <v>9</v>
      </c>
      <c r="H3864" s="2">
        <v>0.40207175925925925</v>
      </c>
      <c r="I3864" t="s">
        <v>16</v>
      </c>
      <c r="J3864" t="s">
        <v>28</v>
      </c>
      <c r="K3864">
        <v>4</v>
      </c>
      <c r="L3864">
        <v>25</v>
      </c>
      <c r="M3864">
        <v>100</v>
      </c>
      <c r="N3864">
        <f>IF(COUNTIFS($B$2:B3864,B3864)=1,1,0)</f>
        <v>0</v>
      </c>
    </row>
    <row r="3865" spans="1:14" x14ac:dyDescent="0.2">
      <c r="A3865">
        <v>3864</v>
      </c>
      <c r="B3865">
        <v>2946</v>
      </c>
      <c r="C3865">
        <f>1/COUNTIF(B:B,Table1[[#This Row],[order_id]])</f>
        <v>1</v>
      </c>
      <c r="D3865" t="str">
        <f>TEXT(Table1[[#This Row],[order_date]],"mmmm")</f>
        <v>October</v>
      </c>
      <c r="E3865" s="1">
        <v>45591</v>
      </c>
      <c r="F3865" s="1" t="str">
        <f>TEXT(Table1[[#This Row],[order_date]],"dddd")</f>
        <v>Saturday</v>
      </c>
      <c r="G3865">
        <f>HOUR(Table1[[#This Row],[order_time]])</f>
        <v>11</v>
      </c>
      <c r="H3865" s="2">
        <v>0.49929398148148146</v>
      </c>
      <c r="I3865" t="s">
        <v>16</v>
      </c>
      <c r="J3865" t="s">
        <v>24</v>
      </c>
      <c r="K3865">
        <v>1</v>
      </c>
      <c r="L3865">
        <v>35</v>
      </c>
      <c r="M3865">
        <v>35</v>
      </c>
      <c r="N3865">
        <f>IF(COUNTIFS($B$2:B3865,B3865)=1,1,0)</f>
        <v>1</v>
      </c>
    </row>
    <row r="3866" spans="1:14" x14ac:dyDescent="0.2">
      <c r="A3866">
        <v>3865</v>
      </c>
      <c r="B3866">
        <v>2947</v>
      </c>
      <c r="C3866">
        <f>1/COUNTIF(B:B,Table1[[#This Row],[order_id]])</f>
        <v>0.33333333333333331</v>
      </c>
      <c r="D3866" t="str">
        <f>TEXT(Table1[[#This Row],[order_date]],"mmmm")</f>
        <v>October</v>
      </c>
      <c r="E3866" s="1">
        <v>45591</v>
      </c>
      <c r="F3866" s="1" t="str">
        <f>TEXT(Table1[[#This Row],[order_date]],"dddd")</f>
        <v>Saturday</v>
      </c>
      <c r="G3866">
        <f>HOUR(Table1[[#This Row],[order_time]])</f>
        <v>20</v>
      </c>
      <c r="H3866" s="2">
        <v>0.85086805555555556</v>
      </c>
      <c r="I3866" t="s">
        <v>11</v>
      </c>
      <c r="J3866" t="s">
        <v>15</v>
      </c>
      <c r="K3866">
        <v>2</v>
      </c>
      <c r="L3866">
        <v>600</v>
      </c>
      <c r="M3866">
        <v>1200</v>
      </c>
      <c r="N3866">
        <f>IF(COUNTIFS($B$2:B3866,B3866)=1,1,0)</f>
        <v>1</v>
      </c>
    </row>
    <row r="3867" spans="1:14" x14ac:dyDescent="0.2">
      <c r="A3867">
        <v>3866</v>
      </c>
      <c r="B3867">
        <v>2947</v>
      </c>
      <c r="C3867">
        <f>1/COUNTIF(B:B,Table1[[#This Row],[order_id]])</f>
        <v>0.33333333333333331</v>
      </c>
      <c r="D3867" t="str">
        <f>TEXT(Table1[[#This Row],[order_date]],"mmmm")</f>
        <v>October</v>
      </c>
      <c r="E3867" s="1">
        <v>45591</v>
      </c>
      <c r="F3867" s="1" t="str">
        <f>TEXT(Table1[[#This Row],[order_date]],"dddd")</f>
        <v>Saturday</v>
      </c>
      <c r="G3867">
        <f>HOUR(Table1[[#This Row],[order_time]])</f>
        <v>17</v>
      </c>
      <c r="H3867" s="2">
        <v>0.72890046296296296</v>
      </c>
      <c r="I3867" t="s">
        <v>11</v>
      </c>
      <c r="J3867" t="s">
        <v>13</v>
      </c>
      <c r="K3867">
        <v>5</v>
      </c>
      <c r="L3867">
        <v>680</v>
      </c>
      <c r="M3867">
        <v>3400</v>
      </c>
      <c r="N3867">
        <f>IF(COUNTIFS($B$2:B3867,B3867)=1,1,0)</f>
        <v>0</v>
      </c>
    </row>
    <row r="3868" spans="1:14" x14ac:dyDescent="0.2">
      <c r="A3868">
        <v>3867</v>
      </c>
      <c r="B3868">
        <v>2947</v>
      </c>
      <c r="C3868">
        <f>1/COUNTIF(B:B,Table1[[#This Row],[order_id]])</f>
        <v>0.33333333333333331</v>
      </c>
      <c r="D3868" t="str">
        <f>TEXT(Table1[[#This Row],[order_date]],"mmmm")</f>
        <v>October</v>
      </c>
      <c r="E3868" s="1">
        <v>45591</v>
      </c>
      <c r="F3868" s="1" t="str">
        <f>TEXT(Table1[[#This Row],[order_date]],"dddd")</f>
        <v>Saturday</v>
      </c>
      <c r="G3868">
        <f>HOUR(Table1[[#This Row],[order_time]])</f>
        <v>18</v>
      </c>
      <c r="H3868" s="2">
        <v>0.77576388888888892</v>
      </c>
      <c r="I3868" t="s">
        <v>11</v>
      </c>
      <c r="J3868" t="s">
        <v>14</v>
      </c>
      <c r="K3868">
        <v>2</v>
      </c>
      <c r="L3868">
        <v>700</v>
      </c>
      <c r="M3868">
        <v>1400</v>
      </c>
      <c r="N3868">
        <f>IF(COUNTIFS($B$2:B3868,B3868)=1,1,0)</f>
        <v>0</v>
      </c>
    </row>
    <row r="3869" spans="1:14" x14ac:dyDescent="0.2">
      <c r="A3869">
        <v>3868</v>
      </c>
      <c r="B3869">
        <v>2948</v>
      </c>
      <c r="C3869">
        <f>1/COUNTIF(B:B,Table1[[#This Row],[order_id]])</f>
        <v>1</v>
      </c>
      <c r="D3869" t="str">
        <f>TEXT(Table1[[#This Row],[order_date]],"mmmm")</f>
        <v>October</v>
      </c>
      <c r="E3869" s="1">
        <v>45591</v>
      </c>
      <c r="F3869" s="1" t="str">
        <f>TEXT(Table1[[#This Row],[order_date]],"dddd")</f>
        <v>Saturday</v>
      </c>
      <c r="G3869">
        <f>HOUR(Table1[[#This Row],[order_time]])</f>
        <v>18</v>
      </c>
      <c r="H3869" s="2">
        <v>0.75309027777777782</v>
      </c>
      <c r="I3869" t="s">
        <v>9</v>
      </c>
      <c r="J3869" t="s">
        <v>20</v>
      </c>
      <c r="K3869">
        <v>2</v>
      </c>
      <c r="L3869">
        <v>25</v>
      </c>
      <c r="M3869">
        <v>50</v>
      </c>
      <c r="N3869">
        <f>IF(COUNTIFS($B$2:B3869,B3869)=1,1,0)</f>
        <v>1</v>
      </c>
    </row>
    <row r="3870" spans="1:14" x14ac:dyDescent="0.2">
      <c r="A3870">
        <v>3869</v>
      </c>
      <c r="B3870">
        <v>2949</v>
      </c>
      <c r="C3870">
        <f>1/COUNTIF(B:B,Table1[[#This Row],[order_id]])</f>
        <v>0.33333333333333331</v>
      </c>
      <c r="D3870" t="str">
        <f>TEXT(Table1[[#This Row],[order_date]],"mmmm")</f>
        <v>October</v>
      </c>
      <c r="E3870" s="1">
        <v>45591</v>
      </c>
      <c r="F3870" s="1" t="str">
        <f>TEXT(Table1[[#This Row],[order_date]],"dddd")</f>
        <v>Saturday</v>
      </c>
      <c r="G3870">
        <f>HOUR(Table1[[#This Row],[order_time]])</f>
        <v>17</v>
      </c>
      <c r="H3870" s="2">
        <v>0.71677083333333336</v>
      </c>
      <c r="I3870" t="s">
        <v>16</v>
      </c>
      <c r="J3870" t="s">
        <v>24</v>
      </c>
      <c r="K3870">
        <v>1</v>
      </c>
      <c r="L3870">
        <v>35</v>
      </c>
      <c r="M3870">
        <v>35</v>
      </c>
      <c r="N3870">
        <f>IF(COUNTIFS($B$2:B3870,B3870)=1,1,0)</f>
        <v>1</v>
      </c>
    </row>
    <row r="3871" spans="1:14" x14ac:dyDescent="0.2">
      <c r="A3871">
        <v>3870</v>
      </c>
      <c r="B3871">
        <v>2949</v>
      </c>
      <c r="C3871">
        <f>1/COUNTIF(B:B,Table1[[#This Row],[order_id]])</f>
        <v>0.33333333333333331</v>
      </c>
      <c r="D3871" t="str">
        <f>TEXT(Table1[[#This Row],[order_date]],"mmmm")</f>
        <v>October</v>
      </c>
      <c r="E3871" s="1">
        <v>45591</v>
      </c>
      <c r="F3871" s="1" t="str">
        <f>TEXT(Table1[[#This Row],[order_date]],"dddd")</f>
        <v>Saturday</v>
      </c>
      <c r="G3871">
        <f>HOUR(Table1[[#This Row],[order_time]])</f>
        <v>17</v>
      </c>
      <c r="H3871" s="2">
        <v>0.71450231481481485</v>
      </c>
      <c r="I3871" t="s">
        <v>18</v>
      </c>
      <c r="J3871" t="s">
        <v>31</v>
      </c>
      <c r="K3871">
        <v>4</v>
      </c>
      <c r="L3871">
        <v>45</v>
      </c>
      <c r="M3871">
        <v>180</v>
      </c>
      <c r="N3871">
        <f>IF(COUNTIFS($B$2:B3871,B3871)=1,1,0)</f>
        <v>0</v>
      </c>
    </row>
    <row r="3872" spans="1:14" x14ac:dyDescent="0.2">
      <c r="A3872">
        <v>3871</v>
      </c>
      <c r="B3872">
        <v>2949</v>
      </c>
      <c r="C3872">
        <f>1/COUNTIF(B:B,Table1[[#This Row],[order_id]])</f>
        <v>0.33333333333333331</v>
      </c>
      <c r="D3872" t="str">
        <f>TEXT(Table1[[#This Row],[order_date]],"mmmm")</f>
        <v>October</v>
      </c>
      <c r="E3872" s="1">
        <v>45591</v>
      </c>
      <c r="F3872" s="1" t="str">
        <f>TEXT(Table1[[#This Row],[order_date]],"dddd")</f>
        <v>Saturday</v>
      </c>
      <c r="G3872">
        <f>HOUR(Table1[[#This Row],[order_time]])</f>
        <v>12</v>
      </c>
      <c r="H3872" s="2">
        <v>0.53006944444444448</v>
      </c>
      <c r="I3872" t="s">
        <v>11</v>
      </c>
      <c r="J3872" t="s">
        <v>15</v>
      </c>
      <c r="K3872">
        <v>5</v>
      </c>
      <c r="L3872">
        <v>600</v>
      </c>
      <c r="M3872">
        <v>3000</v>
      </c>
      <c r="N3872">
        <f>IF(COUNTIFS($B$2:B3872,B3872)=1,1,0)</f>
        <v>0</v>
      </c>
    </row>
    <row r="3873" spans="1:14" x14ac:dyDescent="0.2">
      <c r="A3873">
        <v>3872</v>
      </c>
      <c r="B3873">
        <v>2950</v>
      </c>
      <c r="C3873">
        <f>1/COUNTIF(B:B,Table1[[#This Row],[order_id]])</f>
        <v>1</v>
      </c>
      <c r="D3873" t="str">
        <f>TEXT(Table1[[#This Row],[order_date]],"mmmm")</f>
        <v>October</v>
      </c>
      <c r="E3873" s="1">
        <v>45591</v>
      </c>
      <c r="F3873" s="1" t="str">
        <f>TEXT(Table1[[#This Row],[order_date]],"dddd")</f>
        <v>Saturday</v>
      </c>
      <c r="G3873">
        <f>HOUR(Table1[[#This Row],[order_time]])</f>
        <v>9</v>
      </c>
      <c r="H3873" s="2">
        <v>0.38851851851851854</v>
      </c>
      <c r="I3873" t="s">
        <v>9</v>
      </c>
      <c r="J3873" t="s">
        <v>29</v>
      </c>
      <c r="K3873">
        <v>4</v>
      </c>
      <c r="L3873">
        <v>5</v>
      </c>
      <c r="M3873">
        <v>20</v>
      </c>
      <c r="N3873">
        <f>IF(COUNTIFS($B$2:B3873,B3873)=1,1,0)</f>
        <v>1</v>
      </c>
    </row>
    <row r="3874" spans="1:14" x14ac:dyDescent="0.2">
      <c r="A3874">
        <v>3873</v>
      </c>
      <c r="B3874">
        <v>2951</v>
      </c>
      <c r="C3874">
        <f>1/COUNTIF(B:B,Table1[[#This Row],[order_id]])</f>
        <v>0.5</v>
      </c>
      <c r="D3874" t="str">
        <f>TEXT(Table1[[#This Row],[order_date]],"mmmm")</f>
        <v>October</v>
      </c>
      <c r="E3874" s="1">
        <v>45592</v>
      </c>
      <c r="F3874" s="1" t="str">
        <f>TEXT(Table1[[#This Row],[order_date]],"dddd")</f>
        <v>Sunday</v>
      </c>
      <c r="G3874">
        <f>HOUR(Table1[[#This Row],[order_time]])</f>
        <v>19</v>
      </c>
      <c r="H3874" s="2">
        <v>0.81603009259259263</v>
      </c>
      <c r="I3874" t="s">
        <v>9</v>
      </c>
      <c r="J3874" t="s">
        <v>29</v>
      </c>
      <c r="K3874">
        <v>2</v>
      </c>
      <c r="L3874">
        <v>5</v>
      </c>
      <c r="M3874">
        <v>10</v>
      </c>
      <c r="N3874">
        <f>IF(COUNTIFS($B$2:B3874,B3874)=1,1,0)</f>
        <v>1</v>
      </c>
    </row>
    <row r="3875" spans="1:14" x14ac:dyDescent="0.2">
      <c r="A3875">
        <v>3874</v>
      </c>
      <c r="B3875">
        <v>2951</v>
      </c>
      <c r="C3875">
        <f>1/COUNTIF(B:B,Table1[[#This Row],[order_id]])</f>
        <v>0.5</v>
      </c>
      <c r="D3875" t="str">
        <f>TEXT(Table1[[#This Row],[order_date]],"mmmm")</f>
        <v>October</v>
      </c>
      <c r="E3875" s="1">
        <v>45592</v>
      </c>
      <c r="F3875" s="1" t="str">
        <f>TEXT(Table1[[#This Row],[order_date]],"dddd")</f>
        <v>Sunday</v>
      </c>
      <c r="G3875">
        <f>HOUR(Table1[[#This Row],[order_time]])</f>
        <v>9</v>
      </c>
      <c r="H3875" s="2">
        <v>0.38343749999999999</v>
      </c>
      <c r="I3875" t="s">
        <v>16</v>
      </c>
      <c r="J3875" t="s">
        <v>23</v>
      </c>
      <c r="K3875">
        <v>4</v>
      </c>
      <c r="L3875">
        <v>30</v>
      </c>
      <c r="M3875">
        <v>120</v>
      </c>
      <c r="N3875">
        <f>IF(COUNTIFS($B$2:B3875,B3875)=1,1,0)</f>
        <v>0</v>
      </c>
    </row>
    <row r="3876" spans="1:14" x14ac:dyDescent="0.2">
      <c r="A3876">
        <v>3875</v>
      </c>
      <c r="B3876">
        <v>2952</v>
      </c>
      <c r="C3876">
        <f>1/COUNTIF(B:B,Table1[[#This Row],[order_id]])</f>
        <v>0.5</v>
      </c>
      <c r="D3876" t="str">
        <f>TEXT(Table1[[#This Row],[order_date]],"mmmm")</f>
        <v>October</v>
      </c>
      <c r="E3876" s="1">
        <v>45592</v>
      </c>
      <c r="F3876" s="1" t="str">
        <f>TEXT(Table1[[#This Row],[order_date]],"dddd")</f>
        <v>Sunday</v>
      </c>
      <c r="G3876">
        <f>HOUR(Table1[[#This Row],[order_time]])</f>
        <v>13</v>
      </c>
      <c r="H3876" s="2">
        <v>0.55016203703703703</v>
      </c>
      <c r="I3876" t="s">
        <v>9</v>
      </c>
      <c r="J3876" t="s">
        <v>22</v>
      </c>
      <c r="K3876">
        <v>3</v>
      </c>
      <c r="L3876">
        <v>15</v>
      </c>
      <c r="M3876">
        <v>45</v>
      </c>
      <c r="N3876">
        <f>IF(COUNTIFS($B$2:B3876,B3876)=1,1,0)</f>
        <v>1</v>
      </c>
    </row>
    <row r="3877" spans="1:14" x14ac:dyDescent="0.2">
      <c r="A3877">
        <v>3876</v>
      </c>
      <c r="B3877">
        <v>2952</v>
      </c>
      <c r="C3877">
        <f>1/COUNTIF(B:B,Table1[[#This Row],[order_id]])</f>
        <v>0.5</v>
      </c>
      <c r="D3877" t="str">
        <f>TEXT(Table1[[#This Row],[order_date]],"mmmm")</f>
        <v>October</v>
      </c>
      <c r="E3877" s="1">
        <v>45592</v>
      </c>
      <c r="F3877" s="1" t="str">
        <f>TEXT(Table1[[#This Row],[order_date]],"dddd")</f>
        <v>Sunday</v>
      </c>
      <c r="G3877">
        <f>HOUR(Table1[[#This Row],[order_time]])</f>
        <v>14</v>
      </c>
      <c r="H3877" s="2">
        <v>0.60175925925925922</v>
      </c>
      <c r="I3877" t="s">
        <v>16</v>
      </c>
      <c r="J3877" t="s">
        <v>17</v>
      </c>
      <c r="K3877">
        <v>5</v>
      </c>
      <c r="L3877">
        <v>20</v>
      </c>
      <c r="M3877">
        <v>100</v>
      </c>
      <c r="N3877">
        <f>IF(COUNTIFS($B$2:B3877,B3877)=1,1,0)</f>
        <v>0</v>
      </c>
    </row>
    <row r="3878" spans="1:14" x14ac:dyDescent="0.2">
      <c r="A3878">
        <v>3877</v>
      </c>
      <c r="B3878">
        <v>2953</v>
      </c>
      <c r="C3878">
        <f>1/COUNTIF(B:B,Table1[[#This Row],[order_id]])</f>
        <v>0.33333333333333331</v>
      </c>
      <c r="D3878" t="str">
        <f>TEXT(Table1[[#This Row],[order_date]],"mmmm")</f>
        <v>October</v>
      </c>
      <c r="E3878" s="1">
        <v>45592</v>
      </c>
      <c r="F3878" s="1" t="str">
        <f>TEXT(Table1[[#This Row],[order_date]],"dddd")</f>
        <v>Sunday</v>
      </c>
      <c r="G3878">
        <f>HOUR(Table1[[#This Row],[order_time]])</f>
        <v>12</v>
      </c>
      <c r="H3878" s="2">
        <v>0.51145833333333335</v>
      </c>
      <c r="I3878" t="s">
        <v>16</v>
      </c>
      <c r="J3878" t="s">
        <v>28</v>
      </c>
      <c r="K3878">
        <v>4</v>
      </c>
      <c r="L3878">
        <v>25</v>
      </c>
      <c r="M3878">
        <v>100</v>
      </c>
      <c r="N3878">
        <f>IF(COUNTIFS($B$2:B3878,B3878)=1,1,0)</f>
        <v>1</v>
      </c>
    </row>
    <row r="3879" spans="1:14" x14ac:dyDescent="0.2">
      <c r="A3879">
        <v>3878</v>
      </c>
      <c r="B3879">
        <v>2953</v>
      </c>
      <c r="C3879">
        <f>1/COUNTIF(B:B,Table1[[#This Row],[order_id]])</f>
        <v>0.33333333333333331</v>
      </c>
      <c r="D3879" t="str">
        <f>TEXT(Table1[[#This Row],[order_date]],"mmmm")</f>
        <v>October</v>
      </c>
      <c r="E3879" s="1">
        <v>45592</v>
      </c>
      <c r="F3879" s="1" t="str">
        <f>TEXT(Table1[[#This Row],[order_date]],"dddd")</f>
        <v>Sunday</v>
      </c>
      <c r="G3879">
        <f>HOUR(Table1[[#This Row],[order_time]])</f>
        <v>13</v>
      </c>
      <c r="H3879" s="2">
        <v>0.56054398148148143</v>
      </c>
      <c r="I3879" t="s">
        <v>9</v>
      </c>
      <c r="J3879" t="s">
        <v>20</v>
      </c>
      <c r="K3879">
        <v>2</v>
      </c>
      <c r="L3879">
        <v>25</v>
      </c>
      <c r="M3879">
        <v>50</v>
      </c>
      <c r="N3879">
        <f>IF(COUNTIFS($B$2:B3879,B3879)=1,1,0)</f>
        <v>0</v>
      </c>
    </row>
    <row r="3880" spans="1:14" x14ac:dyDescent="0.2">
      <c r="A3880">
        <v>3879</v>
      </c>
      <c r="B3880">
        <v>2953</v>
      </c>
      <c r="C3880">
        <f>1/COUNTIF(B:B,Table1[[#This Row],[order_id]])</f>
        <v>0.33333333333333331</v>
      </c>
      <c r="D3880" t="str">
        <f>TEXT(Table1[[#This Row],[order_date]],"mmmm")</f>
        <v>October</v>
      </c>
      <c r="E3880" s="1">
        <v>45592</v>
      </c>
      <c r="F3880" s="1" t="str">
        <f>TEXT(Table1[[#This Row],[order_date]],"dddd")</f>
        <v>Sunday</v>
      </c>
      <c r="G3880">
        <f>HOUR(Table1[[#This Row],[order_time]])</f>
        <v>18</v>
      </c>
      <c r="H3880" s="2">
        <v>0.77195601851851847</v>
      </c>
      <c r="I3880" t="s">
        <v>11</v>
      </c>
      <c r="J3880" t="s">
        <v>25</v>
      </c>
      <c r="K3880">
        <v>5</v>
      </c>
      <c r="L3880">
        <v>1000</v>
      </c>
      <c r="M3880">
        <v>5000</v>
      </c>
      <c r="N3880">
        <f>IF(COUNTIFS($B$2:B3880,B3880)=1,1,0)</f>
        <v>0</v>
      </c>
    </row>
    <row r="3881" spans="1:14" x14ac:dyDescent="0.2">
      <c r="A3881">
        <v>3880</v>
      </c>
      <c r="B3881">
        <v>2954</v>
      </c>
      <c r="C3881">
        <f>1/COUNTIF(B:B,Table1[[#This Row],[order_id]])</f>
        <v>0.33333333333333331</v>
      </c>
      <c r="D3881" t="str">
        <f>TEXT(Table1[[#This Row],[order_date]],"mmmm")</f>
        <v>October</v>
      </c>
      <c r="E3881" s="1">
        <v>45592</v>
      </c>
      <c r="F3881" s="1" t="str">
        <f>TEXT(Table1[[#This Row],[order_date]],"dddd")</f>
        <v>Sunday</v>
      </c>
      <c r="G3881">
        <f>HOUR(Table1[[#This Row],[order_time]])</f>
        <v>9</v>
      </c>
      <c r="H3881" s="2">
        <v>0.39019675925925928</v>
      </c>
      <c r="I3881" t="s">
        <v>16</v>
      </c>
      <c r="J3881" t="s">
        <v>24</v>
      </c>
      <c r="K3881">
        <v>2</v>
      </c>
      <c r="L3881">
        <v>35</v>
      </c>
      <c r="M3881">
        <v>70</v>
      </c>
      <c r="N3881">
        <f>IF(COUNTIFS($B$2:B3881,B3881)=1,1,0)</f>
        <v>1</v>
      </c>
    </row>
    <row r="3882" spans="1:14" x14ac:dyDescent="0.2">
      <c r="A3882">
        <v>3881</v>
      </c>
      <c r="B3882">
        <v>2954</v>
      </c>
      <c r="C3882">
        <f>1/COUNTIF(B:B,Table1[[#This Row],[order_id]])</f>
        <v>0.33333333333333331</v>
      </c>
      <c r="D3882" t="str">
        <f>TEXT(Table1[[#This Row],[order_date]],"mmmm")</f>
        <v>October</v>
      </c>
      <c r="E3882" s="1">
        <v>45592</v>
      </c>
      <c r="F3882" s="1" t="str">
        <f>TEXT(Table1[[#This Row],[order_date]],"dddd")</f>
        <v>Sunday</v>
      </c>
      <c r="G3882">
        <f>HOUR(Table1[[#This Row],[order_time]])</f>
        <v>16</v>
      </c>
      <c r="H3882" s="2">
        <v>0.67259259259259263</v>
      </c>
      <c r="I3882" t="s">
        <v>11</v>
      </c>
      <c r="J3882" t="s">
        <v>15</v>
      </c>
      <c r="K3882">
        <v>4</v>
      </c>
      <c r="L3882">
        <v>600</v>
      </c>
      <c r="M3882">
        <v>2400</v>
      </c>
      <c r="N3882">
        <f>IF(COUNTIFS($B$2:B3882,B3882)=1,1,0)</f>
        <v>0</v>
      </c>
    </row>
    <row r="3883" spans="1:14" x14ac:dyDescent="0.2">
      <c r="A3883">
        <v>3882</v>
      </c>
      <c r="B3883">
        <v>2954</v>
      </c>
      <c r="C3883">
        <f>1/COUNTIF(B:B,Table1[[#This Row],[order_id]])</f>
        <v>0.33333333333333331</v>
      </c>
      <c r="D3883" t="str">
        <f>TEXT(Table1[[#This Row],[order_date]],"mmmm")</f>
        <v>October</v>
      </c>
      <c r="E3883" s="1">
        <v>45592</v>
      </c>
      <c r="F3883" s="1" t="str">
        <f>TEXT(Table1[[#This Row],[order_date]],"dddd")</f>
        <v>Sunday</v>
      </c>
      <c r="G3883">
        <f>HOUR(Table1[[#This Row],[order_time]])</f>
        <v>9</v>
      </c>
      <c r="H3883" s="2">
        <v>0.39809027777777778</v>
      </c>
      <c r="I3883" t="s">
        <v>18</v>
      </c>
      <c r="J3883" t="s">
        <v>19</v>
      </c>
      <c r="K3883">
        <v>4</v>
      </c>
      <c r="L3883">
        <v>50</v>
      </c>
      <c r="M3883">
        <v>200</v>
      </c>
      <c r="N3883">
        <f>IF(COUNTIFS($B$2:B3883,B3883)=1,1,0)</f>
        <v>0</v>
      </c>
    </row>
    <row r="3884" spans="1:14" x14ac:dyDescent="0.2">
      <c r="A3884">
        <v>3883</v>
      </c>
      <c r="B3884">
        <v>2955</v>
      </c>
      <c r="C3884">
        <f>1/COUNTIF(B:B,Table1[[#This Row],[order_id]])</f>
        <v>0.5</v>
      </c>
      <c r="D3884" t="str">
        <f>TEXT(Table1[[#This Row],[order_date]],"mmmm")</f>
        <v>October</v>
      </c>
      <c r="E3884" s="1">
        <v>45592</v>
      </c>
      <c r="F3884" s="1" t="str">
        <f>TEXT(Table1[[#This Row],[order_date]],"dddd")</f>
        <v>Sunday</v>
      </c>
      <c r="G3884">
        <f>HOUR(Table1[[#This Row],[order_time]])</f>
        <v>18</v>
      </c>
      <c r="H3884" s="2">
        <v>0.75391203703703702</v>
      </c>
      <c r="I3884" t="s">
        <v>18</v>
      </c>
      <c r="J3884" t="s">
        <v>19</v>
      </c>
      <c r="K3884">
        <v>2</v>
      </c>
      <c r="L3884">
        <v>50</v>
      </c>
      <c r="M3884">
        <v>100</v>
      </c>
      <c r="N3884">
        <f>IF(COUNTIFS($B$2:B3884,B3884)=1,1,0)</f>
        <v>1</v>
      </c>
    </row>
    <row r="3885" spans="1:14" x14ac:dyDescent="0.2">
      <c r="A3885">
        <v>3884</v>
      </c>
      <c r="B3885">
        <v>2955</v>
      </c>
      <c r="C3885">
        <f>1/COUNTIF(B:B,Table1[[#This Row],[order_id]])</f>
        <v>0.5</v>
      </c>
      <c r="D3885" t="str">
        <f>TEXT(Table1[[#This Row],[order_date]],"mmmm")</f>
        <v>October</v>
      </c>
      <c r="E3885" s="1">
        <v>45592</v>
      </c>
      <c r="F3885" s="1" t="str">
        <f>TEXT(Table1[[#This Row],[order_date]],"dddd")</f>
        <v>Sunday</v>
      </c>
      <c r="G3885">
        <f>HOUR(Table1[[#This Row],[order_time]])</f>
        <v>20</v>
      </c>
      <c r="H3885" s="2">
        <v>0.85473379629629631</v>
      </c>
      <c r="I3885" t="s">
        <v>16</v>
      </c>
      <c r="J3885" t="s">
        <v>28</v>
      </c>
      <c r="K3885">
        <v>4</v>
      </c>
      <c r="L3885">
        <v>25</v>
      </c>
      <c r="M3885">
        <v>100</v>
      </c>
      <c r="N3885">
        <f>IF(COUNTIFS($B$2:B3885,B3885)=1,1,0)</f>
        <v>0</v>
      </c>
    </row>
    <row r="3886" spans="1:14" x14ac:dyDescent="0.2">
      <c r="A3886">
        <v>3885</v>
      </c>
      <c r="B3886">
        <v>2956</v>
      </c>
      <c r="C3886">
        <f>1/COUNTIF(B:B,Table1[[#This Row],[order_id]])</f>
        <v>0.33333333333333331</v>
      </c>
      <c r="D3886" t="str">
        <f>TEXT(Table1[[#This Row],[order_date]],"mmmm")</f>
        <v>October</v>
      </c>
      <c r="E3886" s="1">
        <v>45592</v>
      </c>
      <c r="F3886" s="1" t="str">
        <f>TEXT(Table1[[#This Row],[order_date]],"dddd")</f>
        <v>Sunday</v>
      </c>
      <c r="G3886">
        <f>HOUR(Table1[[#This Row],[order_time]])</f>
        <v>16</v>
      </c>
      <c r="H3886" s="2">
        <v>0.67844907407407407</v>
      </c>
      <c r="I3886" t="s">
        <v>9</v>
      </c>
      <c r="J3886" t="s">
        <v>22</v>
      </c>
      <c r="K3886">
        <v>5</v>
      </c>
      <c r="L3886">
        <v>15</v>
      </c>
      <c r="M3886">
        <v>75</v>
      </c>
      <c r="N3886">
        <f>IF(COUNTIFS($B$2:B3886,B3886)=1,1,0)</f>
        <v>1</v>
      </c>
    </row>
    <row r="3887" spans="1:14" x14ac:dyDescent="0.2">
      <c r="A3887">
        <v>3886</v>
      </c>
      <c r="B3887">
        <v>2956</v>
      </c>
      <c r="C3887">
        <f>1/COUNTIF(B:B,Table1[[#This Row],[order_id]])</f>
        <v>0.33333333333333331</v>
      </c>
      <c r="D3887" t="str">
        <f>TEXT(Table1[[#This Row],[order_date]],"mmmm")</f>
        <v>October</v>
      </c>
      <c r="E3887" s="1">
        <v>45592</v>
      </c>
      <c r="F3887" s="1" t="str">
        <f>TEXT(Table1[[#This Row],[order_date]],"dddd")</f>
        <v>Sunday</v>
      </c>
      <c r="G3887">
        <f>HOUR(Table1[[#This Row],[order_time]])</f>
        <v>12</v>
      </c>
      <c r="H3887" s="2">
        <v>0.53409722222222222</v>
      </c>
      <c r="I3887" t="s">
        <v>18</v>
      </c>
      <c r="J3887" t="s">
        <v>31</v>
      </c>
      <c r="K3887">
        <v>2</v>
      </c>
      <c r="L3887">
        <v>45</v>
      </c>
      <c r="M3887">
        <v>90</v>
      </c>
      <c r="N3887">
        <f>IF(COUNTIFS($B$2:B3887,B3887)=1,1,0)</f>
        <v>0</v>
      </c>
    </row>
    <row r="3888" spans="1:14" x14ac:dyDescent="0.2">
      <c r="A3888">
        <v>3887</v>
      </c>
      <c r="B3888">
        <v>2956</v>
      </c>
      <c r="C3888">
        <f>1/COUNTIF(B:B,Table1[[#This Row],[order_id]])</f>
        <v>0.33333333333333331</v>
      </c>
      <c r="D3888" t="str">
        <f>TEXT(Table1[[#This Row],[order_date]],"mmmm")</f>
        <v>October</v>
      </c>
      <c r="E3888" s="1">
        <v>45592</v>
      </c>
      <c r="F3888" s="1" t="str">
        <f>TEXT(Table1[[#This Row],[order_date]],"dddd")</f>
        <v>Sunday</v>
      </c>
      <c r="G3888">
        <f>HOUR(Table1[[#This Row],[order_time]])</f>
        <v>16</v>
      </c>
      <c r="H3888" s="2">
        <v>0.70597222222222222</v>
      </c>
      <c r="I3888" t="s">
        <v>18</v>
      </c>
      <c r="J3888" t="s">
        <v>26</v>
      </c>
      <c r="K3888">
        <v>5</v>
      </c>
      <c r="L3888">
        <v>55</v>
      </c>
      <c r="M3888">
        <v>275</v>
      </c>
      <c r="N3888">
        <f>IF(COUNTIFS($B$2:B3888,B3888)=1,1,0)</f>
        <v>0</v>
      </c>
    </row>
    <row r="3889" spans="1:14" x14ac:dyDescent="0.2">
      <c r="A3889">
        <v>3888</v>
      </c>
      <c r="B3889">
        <v>2957</v>
      </c>
      <c r="C3889">
        <f>1/COUNTIF(B:B,Table1[[#This Row],[order_id]])</f>
        <v>0.33333333333333331</v>
      </c>
      <c r="D3889" t="str">
        <f>TEXT(Table1[[#This Row],[order_date]],"mmmm")</f>
        <v>October</v>
      </c>
      <c r="E3889" s="1">
        <v>45592</v>
      </c>
      <c r="F3889" s="1" t="str">
        <f>TEXT(Table1[[#This Row],[order_date]],"dddd")</f>
        <v>Sunday</v>
      </c>
      <c r="G3889">
        <f>HOUR(Table1[[#This Row],[order_time]])</f>
        <v>9</v>
      </c>
      <c r="H3889" s="2">
        <v>0.39421296296296299</v>
      </c>
      <c r="I3889" t="s">
        <v>9</v>
      </c>
      <c r="J3889" t="s">
        <v>22</v>
      </c>
      <c r="K3889">
        <v>2</v>
      </c>
      <c r="L3889">
        <v>15</v>
      </c>
      <c r="M3889">
        <v>30</v>
      </c>
      <c r="N3889">
        <f>IF(COUNTIFS($B$2:B3889,B3889)=1,1,0)</f>
        <v>1</v>
      </c>
    </row>
    <row r="3890" spans="1:14" x14ac:dyDescent="0.2">
      <c r="A3890">
        <v>3889</v>
      </c>
      <c r="B3890">
        <v>2957</v>
      </c>
      <c r="C3890">
        <f>1/COUNTIF(B:B,Table1[[#This Row],[order_id]])</f>
        <v>0.33333333333333331</v>
      </c>
      <c r="D3890" t="str">
        <f>TEXT(Table1[[#This Row],[order_date]],"mmmm")</f>
        <v>October</v>
      </c>
      <c r="E3890" s="1">
        <v>45592</v>
      </c>
      <c r="F3890" s="1" t="str">
        <f>TEXT(Table1[[#This Row],[order_date]],"dddd")</f>
        <v>Sunday</v>
      </c>
      <c r="G3890">
        <f>HOUR(Table1[[#This Row],[order_time]])</f>
        <v>12</v>
      </c>
      <c r="H3890" s="2">
        <v>0.51534722222222218</v>
      </c>
      <c r="I3890" t="s">
        <v>11</v>
      </c>
      <c r="J3890" t="s">
        <v>14</v>
      </c>
      <c r="K3890">
        <v>2</v>
      </c>
      <c r="L3890">
        <v>700</v>
      </c>
      <c r="M3890">
        <v>1400</v>
      </c>
      <c r="N3890">
        <f>IF(COUNTIFS($B$2:B3890,B3890)=1,1,0)</f>
        <v>0</v>
      </c>
    </row>
    <row r="3891" spans="1:14" x14ac:dyDescent="0.2">
      <c r="A3891">
        <v>3890</v>
      </c>
      <c r="B3891">
        <v>2957</v>
      </c>
      <c r="C3891">
        <f>1/COUNTIF(B:B,Table1[[#This Row],[order_id]])</f>
        <v>0.33333333333333331</v>
      </c>
      <c r="D3891" t="str">
        <f>TEXT(Table1[[#This Row],[order_date]],"mmmm")</f>
        <v>October</v>
      </c>
      <c r="E3891" s="1">
        <v>45592</v>
      </c>
      <c r="F3891" s="1" t="str">
        <f>TEXT(Table1[[#This Row],[order_date]],"dddd")</f>
        <v>Sunday</v>
      </c>
      <c r="G3891">
        <f>HOUR(Table1[[#This Row],[order_time]])</f>
        <v>15</v>
      </c>
      <c r="H3891" s="2">
        <v>0.65576388888888892</v>
      </c>
      <c r="I3891" t="s">
        <v>16</v>
      </c>
      <c r="J3891" t="s">
        <v>17</v>
      </c>
      <c r="K3891">
        <v>5</v>
      </c>
      <c r="L3891">
        <v>20</v>
      </c>
      <c r="M3891">
        <v>100</v>
      </c>
      <c r="N3891">
        <f>IF(COUNTIFS($B$2:B3891,B3891)=1,1,0)</f>
        <v>0</v>
      </c>
    </row>
    <row r="3892" spans="1:14" x14ac:dyDescent="0.2">
      <c r="A3892">
        <v>3891</v>
      </c>
      <c r="B3892">
        <v>2958</v>
      </c>
      <c r="C3892">
        <f>1/COUNTIF(B:B,Table1[[#This Row],[order_id]])</f>
        <v>0.5</v>
      </c>
      <c r="D3892" t="str">
        <f>TEXT(Table1[[#This Row],[order_date]],"mmmm")</f>
        <v>October</v>
      </c>
      <c r="E3892" s="1">
        <v>45592</v>
      </c>
      <c r="F3892" s="1" t="str">
        <f>TEXT(Table1[[#This Row],[order_date]],"dddd")</f>
        <v>Sunday</v>
      </c>
      <c r="G3892">
        <f>HOUR(Table1[[#This Row],[order_time]])</f>
        <v>10</v>
      </c>
      <c r="H3892" s="2">
        <v>0.44974537037037038</v>
      </c>
      <c r="I3892" t="s">
        <v>11</v>
      </c>
      <c r="J3892" t="s">
        <v>13</v>
      </c>
      <c r="K3892">
        <v>4</v>
      </c>
      <c r="L3892">
        <v>680</v>
      </c>
      <c r="M3892">
        <v>2720</v>
      </c>
      <c r="N3892">
        <f>IF(COUNTIFS($B$2:B3892,B3892)=1,1,0)</f>
        <v>1</v>
      </c>
    </row>
    <row r="3893" spans="1:14" x14ac:dyDescent="0.2">
      <c r="A3893">
        <v>3892</v>
      </c>
      <c r="B3893">
        <v>2958</v>
      </c>
      <c r="C3893">
        <f>1/COUNTIF(B:B,Table1[[#This Row],[order_id]])</f>
        <v>0.5</v>
      </c>
      <c r="D3893" t="str">
        <f>TEXT(Table1[[#This Row],[order_date]],"mmmm")</f>
        <v>October</v>
      </c>
      <c r="E3893" s="1">
        <v>45592</v>
      </c>
      <c r="F3893" s="1" t="str">
        <f>TEXT(Table1[[#This Row],[order_date]],"dddd")</f>
        <v>Sunday</v>
      </c>
      <c r="G3893">
        <f>HOUR(Table1[[#This Row],[order_time]])</f>
        <v>13</v>
      </c>
      <c r="H3893" s="2">
        <v>0.58280092592592592</v>
      </c>
      <c r="I3893" t="s">
        <v>11</v>
      </c>
      <c r="J3893" t="s">
        <v>13</v>
      </c>
      <c r="K3893">
        <v>1</v>
      </c>
      <c r="L3893">
        <v>680</v>
      </c>
      <c r="M3893">
        <v>680</v>
      </c>
      <c r="N3893">
        <f>IF(COUNTIFS($B$2:B3893,B3893)=1,1,0)</f>
        <v>0</v>
      </c>
    </row>
    <row r="3894" spans="1:14" x14ac:dyDescent="0.2">
      <c r="A3894">
        <v>3893</v>
      </c>
      <c r="B3894">
        <v>2959</v>
      </c>
      <c r="C3894">
        <f>1/COUNTIF(B:B,Table1[[#This Row],[order_id]])</f>
        <v>0.33333333333333331</v>
      </c>
      <c r="D3894" t="str">
        <f>TEXT(Table1[[#This Row],[order_date]],"mmmm")</f>
        <v>October</v>
      </c>
      <c r="E3894" s="1">
        <v>45592</v>
      </c>
      <c r="F3894" s="1" t="str">
        <f>TEXT(Table1[[#This Row],[order_date]],"dddd")</f>
        <v>Sunday</v>
      </c>
      <c r="G3894">
        <f>HOUR(Table1[[#This Row],[order_time]])</f>
        <v>10</v>
      </c>
      <c r="H3894" s="2">
        <v>0.44582175925925926</v>
      </c>
      <c r="I3894" t="s">
        <v>11</v>
      </c>
      <c r="J3894" t="s">
        <v>15</v>
      </c>
      <c r="K3894">
        <v>4</v>
      </c>
      <c r="L3894">
        <v>600</v>
      </c>
      <c r="M3894">
        <v>2400</v>
      </c>
      <c r="N3894">
        <f>IF(COUNTIFS($B$2:B3894,B3894)=1,1,0)</f>
        <v>1</v>
      </c>
    </row>
    <row r="3895" spans="1:14" x14ac:dyDescent="0.2">
      <c r="A3895">
        <v>3894</v>
      </c>
      <c r="B3895">
        <v>2959</v>
      </c>
      <c r="C3895">
        <f>1/COUNTIF(B:B,Table1[[#This Row],[order_id]])</f>
        <v>0.33333333333333331</v>
      </c>
      <c r="D3895" t="str">
        <f>TEXT(Table1[[#This Row],[order_date]],"mmmm")</f>
        <v>October</v>
      </c>
      <c r="E3895" s="1">
        <v>45592</v>
      </c>
      <c r="F3895" s="1" t="str">
        <f>TEXT(Table1[[#This Row],[order_date]],"dddd")</f>
        <v>Sunday</v>
      </c>
      <c r="G3895">
        <f>HOUR(Table1[[#This Row],[order_time]])</f>
        <v>9</v>
      </c>
      <c r="H3895" s="2">
        <v>0.38906249999999998</v>
      </c>
      <c r="I3895" t="s">
        <v>16</v>
      </c>
      <c r="J3895" t="s">
        <v>28</v>
      </c>
      <c r="K3895">
        <v>3</v>
      </c>
      <c r="L3895">
        <v>25</v>
      </c>
      <c r="M3895">
        <v>75</v>
      </c>
      <c r="N3895">
        <f>IF(COUNTIFS($B$2:B3895,B3895)=1,1,0)</f>
        <v>0</v>
      </c>
    </row>
    <row r="3896" spans="1:14" x14ac:dyDescent="0.2">
      <c r="A3896">
        <v>3895</v>
      </c>
      <c r="B3896">
        <v>2959</v>
      </c>
      <c r="C3896">
        <f>1/COUNTIF(B:B,Table1[[#This Row],[order_id]])</f>
        <v>0.33333333333333331</v>
      </c>
      <c r="D3896" t="str">
        <f>TEXT(Table1[[#This Row],[order_date]],"mmmm")</f>
        <v>October</v>
      </c>
      <c r="E3896" s="1">
        <v>45592</v>
      </c>
      <c r="F3896" s="1" t="str">
        <f>TEXT(Table1[[#This Row],[order_date]],"dddd")</f>
        <v>Sunday</v>
      </c>
      <c r="G3896">
        <f>HOUR(Table1[[#This Row],[order_time]])</f>
        <v>11</v>
      </c>
      <c r="H3896" s="2">
        <v>0.48625000000000002</v>
      </c>
      <c r="I3896" t="s">
        <v>11</v>
      </c>
      <c r="J3896" t="s">
        <v>13</v>
      </c>
      <c r="K3896">
        <v>4</v>
      </c>
      <c r="L3896">
        <v>680</v>
      </c>
      <c r="M3896">
        <v>2720</v>
      </c>
      <c r="N3896">
        <f>IF(COUNTIFS($B$2:B3896,B3896)=1,1,0)</f>
        <v>0</v>
      </c>
    </row>
    <row r="3897" spans="1:14" x14ac:dyDescent="0.2">
      <c r="A3897">
        <v>3896</v>
      </c>
      <c r="B3897">
        <v>2960</v>
      </c>
      <c r="C3897">
        <f>1/COUNTIF(B:B,Table1[[#This Row],[order_id]])</f>
        <v>1</v>
      </c>
      <c r="D3897" t="str">
        <f>TEXT(Table1[[#This Row],[order_date]],"mmmm")</f>
        <v>October</v>
      </c>
      <c r="E3897" s="1">
        <v>45593</v>
      </c>
      <c r="F3897" s="1" t="str">
        <f>TEXT(Table1[[#This Row],[order_date]],"dddd")</f>
        <v>Monday</v>
      </c>
      <c r="G3897">
        <f>HOUR(Table1[[#This Row],[order_time]])</f>
        <v>10</v>
      </c>
      <c r="H3897" s="2">
        <v>0.42931712962962965</v>
      </c>
      <c r="I3897" t="s">
        <v>18</v>
      </c>
      <c r="J3897" t="s">
        <v>19</v>
      </c>
      <c r="K3897">
        <v>4</v>
      </c>
      <c r="L3897">
        <v>50</v>
      </c>
      <c r="M3897">
        <v>200</v>
      </c>
      <c r="N3897">
        <f>IF(COUNTIFS($B$2:B3897,B3897)=1,1,0)</f>
        <v>1</v>
      </c>
    </row>
    <row r="3898" spans="1:14" x14ac:dyDescent="0.2">
      <c r="A3898">
        <v>3897</v>
      </c>
      <c r="B3898">
        <v>2961</v>
      </c>
      <c r="C3898">
        <f>1/COUNTIF(B:B,Table1[[#This Row],[order_id]])</f>
        <v>0.5</v>
      </c>
      <c r="D3898" t="str">
        <f>TEXT(Table1[[#This Row],[order_date]],"mmmm")</f>
        <v>October</v>
      </c>
      <c r="E3898" s="1">
        <v>45593</v>
      </c>
      <c r="F3898" s="1" t="str">
        <f>TEXT(Table1[[#This Row],[order_date]],"dddd")</f>
        <v>Monday</v>
      </c>
      <c r="G3898">
        <f>HOUR(Table1[[#This Row],[order_time]])</f>
        <v>17</v>
      </c>
      <c r="H3898" s="2">
        <v>0.74164351851851851</v>
      </c>
      <c r="I3898" t="s">
        <v>11</v>
      </c>
      <c r="J3898" t="s">
        <v>13</v>
      </c>
      <c r="K3898">
        <v>3</v>
      </c>
      <c r="L3898">
        <v>680</v>
      </c>
      <c r="M3898">
        <v>2040</v>
      </c>
      <c r="N3898">
        <f>IF(COUNTIFS($B$2:B3898,B3898)=1,1,0)</f>
        <v>1</v>
      </c>
    </row>
    <row r="3899" spans="1:14" x14ac:dyDescent="0.2">
      <c r="A3899">
        <v>3898</v>
      </c>
      <c r="B3899">
        <v>2961</v>
      </c>
      <c r="C3899">
        <f>1/COUNTIF(B:B,Table1[[#This Row],[order_id]])</f>
        <v>0.5</v>
      </c>
      <c r="D3899" t="str">
        <f>TEXT(Table1[[#This Row],[order_date]],"mmmm")</f>
        <v>October</v>
      </c>
      <c r="E3899" s="1">
        <v>45593</v>
      </c>
      <c r="F3899" s="1" t="str">
        <f>TEXT(Table1[[#This Row],[order_date]],"dddd")</f>
        <v>Monday</v>
      </c>
      <c r="G3899">
        <f>HOUR(Table1[[#This Row],[order_time]])</f>
        <v>19</v>
      </c>
      <c r="H3899" s="2">
        <v>0.79538194444444443</v>
      </c>
      <c r="I3899" t="s">
        <v>16</v>
      </c>
      <c r="J3899" t="s">
        <v>24</v>
      </c>
      <c r="K3899">
        <v>1</v>
      </c>
      <c r="L3899">
        <v>35</v>
      </c>
      <c r="M3899">
        <v>35</v>
      </c>
      <c r="N3899">
        <f>IF(COUNTIFS($B$2:B3899,B3899)=1,1,0)</f>
        <v>0</v>
      </c>
    </row>
    <row r="3900" spans="1:14" x14ac:dyDescent="0.2">
      <c r="A3900">
        <v>3899</v>
      </c>
      <c r="B3900">
        <v>2962</v>
      </c>
      <c r="C3900">
        <f>1/COUNTIF(B:B,Table1[[#This Row],[order_id]])</f>
        <v>1</v>
      </c>
      <c r="D3900" t="str">
        <f>TEXT(Table1[[#This Row],[order_date]],"mmmm")</f>
        <v>October</v>
      </c>
      <c r="E3900" s="1">
        <v>45593</v>
      </c>
      <c r="F3900" s="1" t="str">
        <f>TEXT(Table1[[#This Row],[order_date]],"dddd")</f>
        <v>Monday</v>
      </c>
      <c r="G3900">
        <f>HOUR(Table1[[#This Row],[order_time]])</f>
        <v>20</v>
      </c>
      <c r="H3900" s="2">
        <v>0.83348379629629632</v>
      </c>
      <c r="I3900" t="s">
        <v>11</v>
      </c>
      <c r="J3900" t="s">
        <v>13</v>
      </c>
      <c r="K3900">
        <v>2</v>
      </c>
      <c r="L3900">
        <v>680</v>
      </c>
      <c r="M3900">
        <v>1360</v>
      </c>
      <c r="N3900">
        <f>IF(COUNTIFS($B$2:B3900,B3900)=1,1,0)</f>
        <v>1</v>
      </c>
    </row>
    <row r="3901" spans="1:14" x14ac:dyDescent="0.2">
      <c r="A3901">
        <v>3900</v>
      </c>
      <c r="B3901">
        <v>2963</v>
      </c>
      <c r="C3901">
        <f>1/COUNTIF(B:B,Table1[[#This Row],[order_id]])</f>
        <v>1</v>
      </c>
      <c r="D3901" t="str">
        <f>TEXT(Table1[[#This Row],[order_date]],"mmmm")</f>
        <v>October</v>
      </c>
      <c r="E3901" s="1">
        <v>45593</v>
      </c>
      <c r="F3901" s="1" t="str">
        <f>TEXT(Table1[[#This Row],[order_date]],"dddd")</f>
        <v>Monday</v>
      </c>
      <c r="G3901">
        <f>HOUR(Table1[[#This Row],[order_time]])</f>
        <v>9</v>
      </c>
      <c r="H3901" s="2">
        <v>0.38881944444444444</v>
      </c>
      <c r="I3901" t="s">
        <v>11</v>
      </c>
      <c r="J3901" t="s">
        <v>15</v>
      </c>
      <c r="K3901">
        <v>4</v>
      </c>
      <c r="L3901">
        <v>600</v>
      </c>
      <c r="M3901">
        <v>2400</v>
      </c>
      <c r="N3901">
        <f>IF(COUNTIFS($B$2:B3901,B3901)=1,1,0)</f>
        <v>1</v>
      </c>
    </row>
    <row r="3902" spans="1:14" x14ac:dyDescent="0.2">
      <c r="A3902">
        <v>3901</v>
      </c>
      <c r="B3902">
        <v>2964</v>
      </c>
      <c r="C3902">
        <f>1/COUNTIF(B:B,Table1[[#This Row],[order_id]])</f>
        <v>1</v>
      </c>
      <c r="D3902" t="str">
        <f>TEXT(Table1[[#This Row],[order_date]],"mmmm")</f>
        <v>October</v>
      </c>
      <c r="E3902" s="1">
        <v>45594</v>
      </c>
      <c r="F3902" s="1" t="str">
        <f>TEXT(Table1[[#This Row],[order_date]],"dddd")</f>
        <v>Tuesday</v>
      </c>
      <c r="G3902">
        <f>HOUR(Table1[[#This Row],[order_time]])</f>
        <v>18</v>
      </c>
      <c r="H3902" s="2">
        <v>0.76520833333333338</v>
      </c>
      <c r="I3902" t="s">
        <v>9</v>
      </c>
      <c r="J3902" t="s">
        <v>20</v>
      </c>
      <c r="K3902">
        <v>1</v>
      </c>
      <c r="L3902">
        <v>25</v>
      </c>
      <c r="M3902">
        <v>25</v>
      </c>
      <c r="N3902">
        <f>IF(COUNTIFS($B$2:B3902,B3902)=1,1,0)</f>
        <v>1</v>
      </c>
    </row>
    <row r="3903" spans="1:14" x14ac:dyDescent="0.2">
      <c r="A3903">
        <v>3902</v>
      </c>
      <c r="B3903">
        <v>2965</v>
      </c>
      <c r="C3903">
        <f>1/COUNTIF(B:B,Table1[[#This Row],[order_id]])</f>
        <v>1</v>
      </c>
      <c r="D3903" t="str">
        <f>TEXT(Table1[[#This Row],[order_date]],"mmmm")</f>
        <v>October</v>
      </c>
      <c r="E3903" s="1">
        <v>45594</v>
      </c>
      <c r="F3903" s="1" t="str">
        <f>TEXT(Table1[[#This Row],[order_date]],"dddd")</f>
        <v>Tuesday</v>
      </c>
      <c r="G3903">
        <f>HOUR(Table1[[#This Row],[order_time]])</f>
        <v>16</v>
      </c>
      <c r="H3903" s="2">
        <v>0.68082175925925925</v>
      </c>
      <c r="I3903" t="s">
        <v>9</v>
      </c>
      <c r="J3903" t="s">
        <v>10</v>
      </c>
      <c r="K3903">
        <v>2</v>
      </c>
      <c r="L3903">
        <v>20</v>
      </c>
      <c r="M3903">
        <v>40</v>
      </c>
      <c r="N3903">
        <f>IF(COUNTIFS($B$2:B3903,B3903)=1,1,0)</f>
        <v>1</v>
      </c>
    </row>
    <row r="3904" spans="1:14" x14ac:dyDescent="0.2">
      <c r="A3904">
        <v>3903</v>
      </c>
      <c r="B3904">
        <v>2966</v>
      </c>
      <c r="C3904">
        <f>1/COUNTIF(B:B,Table1[[#This Row],[order_id]])</f>
        <v>0.33333333333333331</v>
      </c>
      <c r="D3904" t="str">
        <f>TEXT(Table1[[#This Row],[order_date]],"mmmm")</f>
        <v>October</v>
      </c>
      <c r="E3904" s="1">
        <v>45594</v>
      </c>
      <c r="F3904" s="1" t="str">
        <f>TEXT(Table1[[#This Row],[order_date]],"dddd")</f>
        <v>Tuesday</v>
      </c>
      <c r="G3904">
        <f>HOUR(Table1[[#This Row],[order_time]])</f>
        <v>14</v>
      </c>
      <c r="H3904" s="2">
        <v>0.59447916666666667</v>
      </c>
      <c r="I3904" t="s">
        <v>18</v>
      </c>
      <c r="J3904" t="s">
        <v>27</v>
      </c>
      <c r="K3904">
        <v>2</v>
      </c>
      <c r="L3904">
        <v>40</v>
      </c>
      <c r="M3904">
        <v>80</v>
      </c>
      <c r="N3904">
        <f>IF(COUNTIFS($B$2:B3904,B3904)=1,1,0)</f>
        <v>1</v>
      </c>
    </row>
    <row r="3905" spans="1:14" x14ac:dyDescent="0.2">
      <c r="A3905">
        <v>3904</v>
      </c>
      <c r="B3905">
        <v>2966</v>
      </c>
      <c r="C3905">
        <f>1/COUNTIF(B:B,Table1[[#This Row],[order_id]])</f>
        <v>0.33333333333333331</v>
      </c>
      <c r="D3905" t="str">
        <f>TEXT(Table1[[#This Row],[order_date]],"mmmm")</f>
        <v>October</v>
      </c>
      <c r="E3905" s="1">
        <v>45594</v>
      </c>
      <c r="F3905" s="1" t="str">
        <f>TEXT(Table1[[#This Row],[order_date]],"dddd")</f>
        <v>Tuesday</v>
      </c>
      <c r="G3905">
        <f>HOUR(Table1[[#This Row],[order_time]])</f>
        <v>10</v>
      </c>
      <c r="H3905" s="2">
        <v>0.44915509259259262</v>
      </c>
      <c r="I3905" t="s">
        <v>11</v>
      </c>
      <c r="J3905" t="s">
        <v>13</v>
      </c>
      <c r="K3905">
        <v>1</v>
      </c>
      <c r="L3905">
        <v>680</v>
      </c>
      <c r="M3905">
        <v>680</v>
      </c>
      <c r="N3905">
        <f>IF(COUNTIFS($B$2:B3905,B3905)=1,1,0)</f>
        <v>0</v>
      </c>
    </row>
    <row r="3906" spans="1:14" x14ac:dyDescent="0.2">
      <c r="A3906">
        <v>3905</v>
      </c>
      <c r="B3906">
        <v>2966</v>
      </c>
      <c r="C3906">
        <f>1/COUNTIF(B:B,Table1[[#This Row],[order_id]])</f>
        <v>0.33333333333333331</v>
      </c>
      <c r="D3906" t="str">
        <f>TEXT(Table1[[#This Row],[order_date]],"mmmm")</f>
        <v>October</v>
      </c>
      <c r="E3906" s="1">
        <v>45594</v>
      </c>
      <c r="F3906" s="1" t="str">
        <f>TEXT(Table1[[#This Row],[order_date]],"dddd")</f>
        <v>Tuesday</v>
      </c>
      <c r="G3906">
        <f>HOUR(Table1[[#This Row],[order_time]])</f>
        <v>11</v>
      </c>
      <c r="H3906" s="2">
        <v>0.46988425925925925</v>
      </c>
      <c r="I3906" t="s">
        <v>18</v>
      </c>
      <c r="J3906" t="s">
        <v>27</v>
      </c>
      <c r="K3906">
        <v>2</v>
      </c>
      <c r="L3906">
        <v>40</v>
      </c>
      <c r="M3906">
        <v>80</v>
      </c>
      <c r="N3906">
        <f>IF(COUNTIFS($B$2:B3906,B3906)=1,1,0)</f>
        <v>0</v>
      </c>
    </row>
    <row r="3907" spans="1:14" x14ac:dyDescent="0.2">
      <c r="A3907">
        <v>3906</v>
      </c>
      <c r="B3907">
        <v>2967</v>
      </c>
      <c r="C3907">
        <f>1/COUNTIF(B:B,Table1[[#This Row],[order_id]])</f>
        <v>1</v>
      </c>
      <c r="D3907" t="str">
        <f>TEXT(Table1[[#This Row],[order_date]],"mmmm")</f>
        <v>October</v>
      </c>
      <c r="E3907" s="1">
        <v>45594</v>
      </c>
      <c r="F3907" s="1" t="str">
        <f>TEXT(Table1[[#This Row],[order_date]],"dddd")</f>
        <v>Tuesday</v>
      </c>
      <c r="G3907">
        <f>HOUR(Table1[[#This Row],[order_time]])</f>
        <v>10</v>
      </c>
      <c r="H3907" s="2">
        <v>0.43306712962962962</v>
      </c>
      <c r="I3907" t="s">
        <v>11</v>
      </c>
      <c r="J3907" t="s">
        <v>14</v>
      </c>
      <c r="K3907">
        <v>4</v>
      </c>
      <c r="L3907">
        <v>700</v>
      </c>
      <c r="M3907">
        <v>2800</v>
      </c>
      <c r="N3907">
        <f>IF(COUNTIFS($B$2:B3907,B3907)=1,1,0)</f>
        <v>1</v>
      </c>
    </row>
    <row r="3908" spans="1:14" x14ac:dyDescent="0.2">
      <c r="A3908">
        <v>3907</v>
      </c>
      <c r="B3908">
        <v>2968</v>
      </c>
      <c r="C3908">
        <f>1/COUNTIF(B:B,Table1[[#This Row],[order_id]])</f>
        <v>0.5</v>
      </c>
      <c r="D3908" t="str">
        <f>TEXT(Table1[[#This Row],[order_date]],"mmmm")</f>
        <v>October</v>
      </c>
      <c r="E3908" s="1">
        <v>45594</v>
      </c>
      <c r="F3908" s="1" t="str">
        <f>TEXT(Table1[[#This Row],[order_date]],"dddd")</f>
        <v>Tuesday</v>
      </c>
      <c r="G3908">
        <f>HOUR(Table1[[#This Row],[order_time]])</f>
        <v>18</v>
      </c>
      <c r="H3908" s="2">
        <v>0.77439814814814811</v>
      </c>
      <c r="I3908" t="s">
        <v>16</v>
      </c>
      <c r="J3908" t="s">
        <v>23</v>
      </c>
      <c r="K3908">
        <v>3</v>
      </c>
      <c r="L3908">
        <v>30</v>
      </c>
      <c r="M3908">
        <v>90</v>
      </c>
      <c r="N3908">
        <f>IF(COUNTIFS($B$2:B3908,B3908)=1,1,0)</f>
        <v>1</v>
      </c>
    </row>
    <row r="3909" spans="1:14" x14ac:dyDescent="0.2">
      <c r="A3909">
        <v>3908</v>
      </c>
      <c r="B3909">
        <v>2968</v>
      </c>
      <c r="C3909">
        <f>1/COUNTIF(B:B,Table1[[#This Row],[order_id]])</f>
        <v>0.5</v>
      </c>
      <c r="D3909" t="str">
        <f>TEXT(Table1[[#This Row],[order_date]],"mmmm")</f>
        <v>October</v>
      </c>
      <c r="E3909" s="1">
        <v>45594</v>
      </c>
      <c r="F3909" s="1" t="str">
        <f>TEXT(Table1[[#This Row],[order_date]],"dddd")</f>
        <v>Tuesday</v>
      </c>
      <c r="G3909">
        <f>HOUR(Table1[[#This Row],[order_time]])</f>
        <v>15</v>
      </c>
      <c r="H3909" s="2">
        <v>0.62876157407407407</v>
      </c>
      <c r="I3909" t="s">
        <v>11</v>
      </c>
      <c r="J3909" t="s">
        <v>15</v>
      </c>
      <c r="K3909">
        <v>3</v>
      </c>
      <c r="L3909">
        <v>600</v>
      </c>
      <c r="M3909">
        <v>1800</v>
      </c>
      <c r="N3909">
        <f>IF(COUNTIFS($B$2:B3909,B3909)=1,1,0)</f>
        <v>0</v>
      </c>
    </row>
    <row r="3910" spans="1:14" x14ac:dyDescent="0.2">
      <c r="A3910">
        <v>3909</v>
      </c>
      <c r="B3910">
        <v>2969</v>
      </c>
      <c r="C3910">
        <f>1/COUNTIF(B:B,Table1[[#This Row],[order_id]])</f>
        <v>1</v>
      </c>
      <c r="D3910" t="str">
        <f>TEXT(Table1[[#This Row],[order_date]],"mmmm")</f>
        <v>October</v>
      </c>
      <c r="E3910" s="1">
        <v>45594</v>
      </c>
      <c r="F3910" s="1" t="str">
        <f>TEXT(Table1[[#This Row],[order_date]],"dddd")</f>
        <v>Tuesday</v>
      </c>
      <c r="G3910">
        <f>HOUR(Table1[[#This Row],[order_time]])</f>
        <v>11</v>
      </c>
      <c r="H3910" s="2">
        <v>0.48049768518518521</v>
      </c>
      <c r="I3910" t="s">
        <v>16</v>
      </c>
      <c r="J3910" t="s">
        <v>23</v>
      </c>
      <c r="K3910">
        <v>2</v>
      </c>
      <c r="L3910">
        <v>30</v>
      </c>
      <c r="M3910">
        <v>60</v>
      </c>
      <c r="N3910">
        <f>IF(COUNTIFS($B$2:B3910,B3910)=1,1,0)</f>
        <v>1</v>
      </c>
    </row>
    <row r="3911" spans="1:14" x14ac:dyDescent="0.2">
      <c r="A3911">
        <v>3910</v>
      </c>
      <c r="B3911">
        <v>2970</v>
      </c>
      <c r="C3911">
        <f>1/COUNTIF(B:B,Table1[[#This Row],[order_id]])</f>
        <v>1</v>
      </c>
      <c r="D3911" t="str">
        <f>TEXT(Table1[[#This Row],[order_date]],"mmmm")</f>
        <v>October</v>
      </c>
      <c r="E3911" s="1">
        <v>45594</v>
      </c>
      <c r="F3911" s="1" t="str">
        <f>TEXT(Table1[[#This Row],[order_date]],"dddd")</f>
        <v>Tuesday</v>
      </c>
      <c r="G3911">
        <f>HOUR(Table1[[#This Row],[order_time]])</f>
        <v>10</v>
      </c>
      <c r="H3911" s="2">
        <v>0.44050925925925927</v>
      </c>
      <c r="I3911" t="s">
        <v>11</v>
      </c>
      <c r="J3911" t="s">
        <v>13</v>
      </c>
      <c r="K3911">
        <v>1</v>
      </c>
      <c r="L3911">
        <v>680</v>
      </c>
      <c r="M3911">
        <v>680</v>
      </c>
      <c r="N3911">
        <f>IF(COUNTIFS($B$2:B3911,B3911)=1,1,0)</f>
        <v>1</v>
      </c>
    </row>
    <row r="3912" spans="1:14" x14ac:dyDescent="0.2">
      <c r="A3912">
        <v>3911</v>
      </c>
      <c r="B3912">
        <v>2971</v>
      </c>
      <c r="C3912">
        <f>1/COUNTIF(B:B,Table1[[#This Row],[order_id]])</f>
        <v>0.5</v>
      </c>
      <c r="D3912" t="str">
        <f>TEXT(Table1[[#This Row],[order_date]],"mmmm")</f>
        <v>October</v>
      </c>
      <c r="E3912" s="1">
        <v>45594</v>
      </c>
      <c r="F3912" s="1" t="str">
        <f>TEXT(Table1[[#This Row],[order_date]],"dddd")</f>
        <v>Tuesday</v>
      </c>
      <c r="G3912">
        <f>HOUR(Table1[[#This Row],[order_time]])</f>
        <v>18</v>
      </c>
      <c r="H3912" s="2">
        <v>0.75238425925925922</v>
      </c>
      <c r="I3912" t="s">
        <v>18</v>
      </c>
      <c r="J3912" t="s">
        <v>26</v>
      </c>
      <c r="K3912">
        <v>4</v>
      </c>
      <c r="L3912">
        <v>55</v>
      </c>
      <c r="M3912">
        <v>220</v>
      </c>
      <c r="N3912">
        <f>IF(COUNTIFS($B$2:B3912,B3912)=1,1,0)</f>
        <v>1</v>
      </c>
    </row>
    <row r="3913" spans="1:14" x14ac:dyDescent="0.2">
      <c r="A3913">
        <v>3912</v>
      </c>
      <c r="B3913">
        <v>2971</v>
      </c>
      <c r="C3913">
        <f>1/COUNTIF(B:B,Table1[[#This Row],[order_id]])</f>
        <v>0.5</v>
      </c>
      <c r="D3913" t="str">
        <f>TEXT(Table1[[#This Row],[order_date]],"mmmm")</f>
        <v>October</v>
      </c>
      <c r="E3913" s="1">
        <v>45594</v>
      </c>
      <c r="F3913" s="1" t="str">
        <f>TEXT(Table1[[#This Row],[order_date]],"dddd")</f>
        <v>Tuesday</v>
      </c>
      <c r="G3913">
        <f>HOUR(Table1[[#This Row],[order_time]])</f>
        <v>10</v>
      </c>
      <c r="H3913" s="2">
        <v>0.4243865740740741</v>
      </c>
      <c r="I3913" t="s">
        <v>16</v>
      </c>
      <c r="J3913" t="s">
        <v>23</v>
      </c>
      <c r="K3913">
        <v>2</v>
      </c>
      <c r="L3913">
        <v>30</v>
      </c>
      <c r="M3913">
        <v>60</v>
      </c>
      <c r="N3913">
        <f>IF(COUNTIFS($B$2:B3913,B3913)=1,1,0)</f>
        <v>0</v>
      </c>
    </row>
    <row r="3914" spans="1:14" x14ac:dyDescent="0.2">
      <c r="A3914">
        <v>3913</v>
      </c>
      <c r="B3914">
        <v>2972</v>
      </c>
      <c r="C3914">
        <f>1/COUNTIF(B:B,Table1[[#This Row],[order_id]])</f>
        <v>1</v>
      </c>
      <c r="D3914" t="str">
        <f>TEXT(Table1[[#This Row],[order_date]],"mmmm")</f>
        <v>October</v>
      </c>
      <c r="E3914" s="1">
        <v>45594</v>
      </c>
      <c r="F3914" s="1" t="str">
        <f>TEXT(Table1[[#This Row],[order_date]],"dddd")</f>
        <v>Tuesday</v>
      </c>
      <c r="G3914">
        <f>HOUR(Table1[[#This Row],[order_time]])</f>
        <v>19</v>
      </c>
      <c r="H3914" s="2">
        <v>0.80895833333333333</v>
      </c>
      <c r="I3914" t="s">
        <v>16</v>
      </c>
      <c r="J3914" t="s">
        <v>17</v>
      </c>
      <c r="K3914">
        <v>4</v>
      </c>
      <c r="L3914">
        <v>20</v>
      </c>
      <c r="M3914">
        <v>80</v>
      </c>
      <c r="N3914">
        <f>IF(COUNTIFS($B$2:B3914,B3914)=1,1,0)</f>
        <v>1</v>
      </c>
    </row>
    <row r="3915" spans="1:14" x14ac:dyDescent="0.2">
      <c r="A3915">
        <v>3914</v>
      </c>
      <c r="B3915">
        <v>2973</v>
      </c>
      <c r="C3915">
        <f>1/COUNTIF(B:B,Table1[[#This Row],[order_id]])</f>
        <v>0.5</v>
      </c>
      <c r="D3915" t="str">
        <f>TEXT(Table1[[#This Row],[order_date]],"mmmm")</f>
        <v>October</v>
      </c>
      <c r="E3915" s="1">
        <v>45595</v>
      </c>
      <c r="F3915" s="1" t="str">
        <f>TEXT(Table1[[#This Row],[order_date]],"dddd")</f>
        <v>Wednesday</v>
      </c>
      <c r="G3915">
        <f>HOUR(Table1[[#This Row],[order_time]])</f>
        <v>11</v>
      </c>
      <c r="H3915" s="2">
        <v>0.49083333333333334</v>
      </c>
      <c r="I3915" t="s">
        <v>9</v>
      </c>
      <c r="J3915" t="s">
        <v>20</v>
      </c>
      <c r="K3915">
        <v>1</v>
      </c>
      <c r="L3915">
        <v>25</v>
      </c>
      <c r="M3915">
        <v>25</v>
      </c>
      <c r="N3915">
        <f>IF(COUNTIFS($B$2:B3915,B3915)=1,1,0)</f>
        <v>1</v>
      </c>
    </row>
    <row r="3916" spans="1:14" x14ac:dyDescent="0.2">
      <c r="A3916">
        <v>3915</v>
      </c>
      <c r="B3916">
        <v>2973</v>
      </c>
      <c r="C3916">
        <f>1/COUNTIF(B:B,Table1[[#This Row],[order_id]])</f>
        <v>0.5</v>
      </c>
      <c r="D3916" t="str">
        <f>TEXT(Table1[[#This Row],[order_date]],"mmmm")</f>
        <v>October</v>
      </c>
      <c r="E3916" s="1">
        <v>45595</v>
      </c>
      <c r="F3916" s="1" t="str">
        <f>TEXT(Table1[[#This Row],[order_date]],"dddd")</f>
        <v>Wednesday</v>
      </c>
      <c r="G3916">
        <f>HOUR(Table1[[#This Row],[order_time]])</f>
        <v>20</v>
      </c>
      <c r="H3916" s="2">
        <v>0.83824074074074073</v>
      </c>
      <c r="I3916" t="s">
        <v>18</v>
      </c>
      <c r="J3916" t="s">
        <v>30</v>
      </c>
      <c r="K3916">
        <v>4</v>
      </c>
      <c r="L3916">
        <v>60</v>
      </c>
      <c r="M3916">
        <v>240</v>
      </c>
      <c r="N3916">
        <f>IF(COUNTIFS($B$2:B3916,B3916)=1,1,0)</f>
        <v>0</v>
      </c>
    </row>
    <row r="3917" spans="1:14" x14ac:dyDescent="0.2">
      <c r="A3917">
        <v>3916</v>
      </c>
      <c r="B3917">
        <v>2974</v>
      </c>
      <c r="C3917">
        <f>1/COUNTIF(B:B,Table1[[#This Row],[order_id]])</f>
        <v>0.33333333333333331</v>
      </c>
      <c r="D3917" t="str">
        <f>TEXT(Table1[[#This Row],[order_date]],"mmmm")</f>
        <v>October</v>
      </c>
      <c r="E3917" s="1">
        <v>45595</v>
      </c>
      <c r="F3917" s="1" t="str">
        <f>TEXT(Table1[[#This Row],[order_date]],"dddd")</f>
        <v>Wednesday</v>
      </c>
      <c r="G3917">
        <f>HOUR(Table1[[#This Row],[order_time]])</f>
        <v>12</v>
      </c>
      <c r="H3917" s="2">
        <v>0.52694444444444444</v>
      </c>
      <c r="I3917" t="s">
        <v>18</v>
      </c>
      <c r="J3917" t="s">
        <v>27</v>
      </c>
      <c r="K3917">
        <v>2</v>
      </c>
      <c r="L3917">
        <v>40</v>
      </c>
      <c r="M3917">
        <v>80</v>
      </c>
      <c r="N3917">
        <f>IF(COUNTIFS($B$2:B3917,B3917)=1,1,0)</f>
        <v>1</v>
      </c>
    </row>
    <row r="3918" spans="1:14" x14ac:dyDescent="0.2">
      <c r="A3918">
        <v>3917</v>
      </c>
      <c r="B3918">
        <v>2974</v>
      </c>
      <c r="C3918">
        <f>1/COUNTIF(B:B,Table1[[#This Row],[order_id]])</f>
        <v>0.33333333333333331</v>
      </c>
      <c r="D3918" t="str">
        <f>TEXT(Table1[[#This Row],[order_date]],"mmmm")</f>
        <v>October</v>
      </c>
      <c r="E3918" s="1">
        <v>45595</v>
      </c>
      <c r="F3918" s="1" t="str">
        <f>TEXT(Table1[[#This Row],[order_date]],"dddd")</f>
        <v>Wednesday</v>
      </c>
      <c r="G3918">
        <f>HOUR(Table1[[#This Row],[order_time]])</f>
        <v>9</v>
      </c>
      <c r="H3918" s="2">
        <v>0.3944097222222222</v>
      </c>
      <c r="I3918" t="s">
        <v>18</v>
      </c>
      <c r="J3918" t="s">
        <v>26</v>
      </c>
      <c r="K3918">
        <v>5</v>
      </c>
      <c r="L3918">
        <v>55</v>
      </c>
      <c r="M3918">
        <v>275</v>
      </c>
      <c r="N3918">
        <f>IF(COUNTIFS($B$2:B3918,B3918)=1,1,0)</f>
        <v>0</v>
      </c>
    </row>
    <row r="3919" spans="1:14" x14ac:dyDescent="0.2">
      <c r="A3919">
        <v>3918</v>
      </c>
      <c r="B3919">
        <v>2974</v>
      </c>
      <c r="C3919">
        <f>1/COUNTIF(B:B,Table1[[#This Row],[order_id]])</f>
        <v>0.33333333333333331</v>
      </c>
      <c r="D3919" t="str">
        <f>TEXT(Table1[[#This Row],[order_date]],"mmmm")</f>
        <v>October</v>
      </c>
      <c r="E3919" s="1">
        <v>45595</v>
      </c>
      <c r="F3919" s="1" t="str">
        <f>TEXT(Table1[[#This Row],[order_date]],"dddd")</f>
        <v>Wednesday</v>
      </c>
      <c r="G3919">
        <f>HOUR(Table1[[#This Row],[order_time]])</f>
        <v>11</v>
      </c>
      <c r="H3919" s="2">
        <v>0.48280092592592594</v>
      </c>
      <c r="I3919" t="s">
        <v>11</v>
      </c>
      <c r="J3919" t="s">
        <v>25</v>
      </c>
      <c r="K3919">
        <v>2</v>
      </c>
      <c r="L3919">
        <v>1000</v>
      </c>
      <c r="M3919">
        <v>2000</v>
      </c>
      <c r="N3919">
        <f>IF(COUNTIFS($B$2:B3919,B3919)=1,1,0)</f>
        <v>0</v>
      </c>
    </row>
    <row r="3920" spans="1:14" x14ac:dyDescent="0.2">
      <c r="A3920">
        <v>3919</v>
      </c>
      <c r="B3920">
        <v>2975</v>
      </c>
      <c r="C3920">
        <f>1/COUNTIF(B:B,Table1[[#This Row],[order_id]])</f>
        <v>1</v>
      </c>
      <c r="D3920" t="str">
        <f>TEXT(Table1[[#This Row],[order_date]],"mmmm")</f>
        <v>October</v>
      </c>
      <c r="E3920" s="1">
        <v>45595</v>
      </c>
      <c r="F3920" s="1" t="str">
        <f>TEXT(Table1[[#This Row],[order_date]],"dddd")</f>
        <v>Wednesday</v>
      </c>
      <c r="G3920">
        <f>HOUR(Table1[[#This Row],[order_time]])</f>
        <v>15</v>
      </c>
      <c r="H3920" s="2">
        <v>0.63494212962962959</v>
      </c>
      <c r="I3920" t="s">
        <v>9</v>
      </c>
      <c r="J3920" t="s">
        <v>21</v>
      </c>
      <c r="K3920">
        <v>3</v>
      </c>
      <c r="L3920">
        <v>10</v>
      </c>
      <c r="M3920">
        <v>30</v>
      </c>
      <c r="N3920">
        <f>IF(COUNTIFS($B$2:B3920,B3920)=1,1,0)</f>
        <v>1</v>
      </c>
    </row>
    <row r="3921" spans="1:14" x14ac:dyDescent="0.2">
      <c r="A3921">
        <v>3920</v>
      </c>
      <c r="B3921">
        <v>2976</v>
      </c>
      <c r="C3921">
        <f>1/COUNTIF(B:B,Table1[[#This Row],[order_id]])</f>
        <v>0.33333333333333331</v>
      </c>
      <c r="D3921" t="str">
        <f>TEXT(Table1[[#This Row],[order_date]],"mmmm")</f>
        <v>October</v>
      </c>
      <c r="E3921" s="1">
        <v>45595</v>
      </c>
      <c r="F3921" s="1" t="str">
        <f>TEXT(Table1[[#This Row],[order_date]],"dddd")</f>
        <v>Wednesday</v>
      </c>
      <c r="G3921">
        <f>HOUR(Table1[[#This Row],[order_time]])</f>
        <v>18</v>
      </c>
      <c r="H3921" s="2">
        <v>0.76550925925925928</v>
      </c>
      <c r="I3921" t="s">
        <v>9</v>
      </c>
      <c r="J3921" t="s">
        <v>21</v>
      </c>
      <c r="K3921">
        <v>4</v>
      </c>
      <c r="L3921">
        <v>10</v>
      </c>
      <c r="M3921">
        <v>40</v>
      </c>
      <c r="N3921">
        <f>IF(COUNTIFS($B$2:B3921,B3921)=1,1,0)</f>
        <v>1</v>
      </c>
    </row>
    <row r="3922" spans="1:14" x14ac:dyDescent="0.2">
      <c r="A3922">
        <v>3921</v>
      </c>
      <c r="B3922">
        <v>2976</v>
      </c>
      <c r="C3922">
        <f>1/COUNTIF(B:B,Table1[[#This Row],[order_id]])</f>
        <v>0.33333333333333331</v>
      </c>
      <c r="D3922" t="str">
        <f>TEXT(Table1[[#This Row],[order_date]],"mmmm")</f>
        <v>October</v>
      </c>
      <c r="E3922" s="1">
        <v>45595</v>
      </c>
      <c r="F3922" s="1" t="str">
        <f>TEXT(Table1[[#This Row],[order_date]],"dddd")</f>
        <v>Wednesday</v>
      </c>
      <c r="G3922">
        <f>HOUR(Table1[[#This Row],[order_time]])</f>
        <v>19</v>
      </c>
      <c r="H3922" s="2">
        <v>0.82902777777777781</v>
      </c>
      <c r="I3922" t="s">
        <v>16</v>
      </c>
      <c r="J3922" t="s">
        <v>23</v>
      </c>
      <c r="K3922">
        <v>4</v>
      </c>
      <c r="L3922">
        <v>30</v>
      </c>
      <c r="M3922">
        <v>120</v>
      </c>
      <c r="N3922">
        <f>IF(COUNTIFS($B$2:B3922,B3922)=1,1,0)</f>
        <v>0</v>
      </c>
    </row>
    <row r="3923" spans="1:14" x14ac:dyDescent="0.2">
      <c r="A3923">
        <v>3922</v>
      </c>
      <c r="B3923">
        <v>2976</v>
      </c>
      <c r="C3923">
        <f>1/COUNTIF(B:B,Table1[[#This Row],[order_id]])</f>
        <v>0.33333333333333331</v>
      </c>
      <c r="D3923" t="str">
        <f>TEXT(Table1[[#This Row],[order_date]],"mmmm")</f>
        <v>October</v>
      </c>
      <c r="E3923" s="1">
        <v>45595</v>
      </c>
      <c r="F3923" s="1" t="str">
        <f>TEXT(Table1[[#This Row],[order_date]],"dddd")</f>
        <v>Wednesday</v>
      </c>
      <c r="G3923">
        <f>HOUR(Table1[[#This Row],[order_time]])</f>
        <v>9</v>
      </c>
      <c r="H3923" s="2">
        <v>0.40596064814814814</v>
      </c>
      <c r="I3923" t="s">
        <v>9</v>
      </c>
      <c r="J3923" t="s">
        <v>10</v>
      </c>
      <c r="K3923">
        <v>5</v>
      </c>
      <c r="L3923">
        <v>20</v>
      </c>
      <c r="M3923">
        <v>100</v>
      </c>
      <c r="N3923">
        <f>IF(COUNTIFS($B$2:B3923,B3923)=1,1,0)</f>
        <v>0</v>
      </c>
    </row>
    <row r="3924" spans="1:14" x14ac:dyDescent="0.2">
      <c r="A3924">
        <v>3923</v>
      </c>
      <c r="B3924">
        <v>2977</v>
      </c>
      <c r="C3924">
        <f>1/COUNTIF(B:B,Table1[[#This Row],[order_id]])</f>
        <v>0.33333333333333331</v>
      </c>
      <c r="D3924" t="str">
        <f>TEXT(Table1[[#This Row],[order_date]],"mmmm")</f>
        <v>October</v>
      </c>
      <c r="E3924" s="1">
        <v>45595</v>
      </c>
      <c r="F3924" s="1" t="str">
        <f>TEXT(Table1[[#This Row],[order_date]],"dddd")</f>
        <v>Wednesday</v>
      </c>
      <c r="G3924">
        <f>HOUR(Table1[[#This Row],[order_time]])</f>
        <v>9</v>
      </c>
      <c r="H3924" s="2">
        <v>0.3838773148148148</v>
      </c>
      <c r="I3924" t="s">
        <v>18</v>
      </c>
      <c r="J3924" t="s">
        <v>26</v>
      </c>
      <c r="K3924">
        <v>2</v>
      </c>
      <c r="L3924">
        <v>55</v>
      </c>
      <c r="M3924">
        <v>110</v>
      </c>
      <c r="N3924">
        <f>IF(COUNTIFS($B$2:B3924,B3924)=1,1,0)</f>
        <v>1</v>
      </c>
    </row>
    <row r="3925" spans="1:14" x14ac:dyDescent="0.2">
      <c r="A3925">
        <v>3924</v>
      </c>
      <c r="B3925">
        <v>2977</v>
      </c>
      <c r="C3925">
        <f>1/COUNTIF(B:B,Table1[[#This Row],[order_id]])</f>
        <v>0.33333333333333331</v>
      </c>
      <c r="D3925" t="str">
        <f>TEXT(Table1[[#This Row],[order_date]],"mmmm")</f>
        <v>October</v>
      </c>
      <c r="E3925" s="1">
        <v>45595</v>
      </c>
      <c r="F3925" s="1" t="str">
        <f>TEXT(Table1[[#This Row],[order_date]],"dddd")</f>
        <v>Wednesday</v>
      </c>
      <c r="G3925">
        <f>HOUR(Table1[[#This Row],[order_time]])</f>
        <v>19</v>
      </c>
      <c r="H3925" s="2">
        <v>0.81195601851851851</v>
      </c>
      <c r="I3925" t="s">
        <v>9</v>
      </c>
      <c r="J3925" t="s">
        <v>21</v>
      </c>
      <c r="K3925">
        <v>2</v>
      </c>
      <c r="L3925">
        <v>10</v>
      </c>
      <c r="M3925">
        <v>20</v>
      </c>
      <c r="N3925">
        <f>IF(COUNTIFS($B$2:B3925,B3925)=1,1,0)</f>
        <v>0</v>
      </c>
    </row>
    <row r="3926" spans="1:14" x14ac:dyDescent="0.2">
      <c r="A3926">
        <v>3925</v>
      </c>
      <c r="B3926">
        <v>2977</v>
      </c>
      <c r="C3926">
        <f>1/COUNTIF(B:B,Table1[[#This Row],[order_id]])</f>
        <v>0.33333333333333331</v>
      </c>
      <c r="D3926" t="str">
        <f>TEXT(Table1[[#This Row],[order_date]],"mmmm")</f>
        <v>October</v>
      </c>
      <c r="E3926" s="1">
        <v>45595</v>
      </c>
      <c r="F3926" s="1" t="str">
        <f>TEXT(Table1[[#This Row],[order_date]],"dddd")</f>
        <v>Wednesday</v>
      </c>
      <c r="G3926">
        <f>HOUR(Table1[[#This Row],[order_time]])</f>
        <v>14</v>
      </c>
      <c r="H3926" s="2">
        <v>0.60173611111111114</v>
      </c>
      <c r="I3926" t="s">
        <v>16</v>
      </c>
      <c r="J3926" t="s">
        <v>28</v>
      </c>
      <c r="K3926">
        <v>4</v>
      </c>
      <c r="L3926">
        <v>25</v>
      </c>
      <c r="M3926">
        <v>100</v>
      </c>
      <c r="N3926">
        <f>IF(COUNTIFS($B$2:B3926,B3926)=1,1,0)</f>
        <v>0</v>
      </c>
    </row>
    <row r="3927" spans="1:14" x14ac:dyDescent="0.2">
      <c r="A3927">
        <v>3926</v>
      </c>
      <c r="B3927">
        <v>2978</v>
      </c>
      <c r="C3927">
        <f>1/COUNTIF(B:B,Table1[[#This Row],[order_id]])</f>
        <v>0.33333333333333331</v>
      </c>
      <c r="D3927" t="str">
        <f>TEXT(Table1[[#This Row],[order_date]],"mmmm")</f>
        <v>October</v>
      </c>
      <c r="E3927" s="1">
        <v>45595</v>
      </c>
      <c r="F3927" s="1" t="str">
        <f>TEXT(Table1[[#This Row],[order_date]],"dddd")</f>
        <v>Wednesday</v>
      </c>
      <c r="G3927">
        <f>HOUR(Table1[[#This Row],[order_time]])</f>
        <v>15</v>
      </c>
      <c r="H3927" s="2">
        <v>0.6408449074074074</v>
      </c>
      <c r="I3927" t="s">
        <v>11</v>
      </c>
      <c r="J3927" t="s">
        <v>13</v>
      </c>
      <c r="K3927">
        <v>5</v>
      </c>
      <c r="L3927">
        <v>680</v>
      </c>
      <c r="M3927">
        <v>3400</v>
      </c>
      <c r="N3927">
        <f>IF(COUNTIFS($B$2:B3927,B3927)=1,1,0)</f>
        <v>1</v>
      </c>
    </row>
    <row r="3928" spans="1:14" x14ac:dyDescent="0.2">
      <c r="A3928">
        <v>3927</v>
      </c>
      <c r="B3928">
        <v>2978</v>
      </c>
      <c r="C3928">
        <f>1/COUNTIF(B:B,Table1[[#This Row],[order_id]])</f>
        <v>0.33333333333333331</v>
      </c>
      <c r="D3928" t="str">
        <f>TEXT(Table1[[#This Row],[order_date]],"mmmm")</f>
        <v>October</v>
      </c>
      <c r="E3928" s="1">
        <v>45595</v>
      </c>
      <c r="F3928" s="1" t="str">
        <f>TEXT(Table1[[#This Row],[order_date]],"dddd")</f>
        <v>Wednesday</v>
      </c>
      <c r="G3928">
        <f>HOUR(Table1[[#This Row],[order_time]])</f>
        <v>18</v>
      </c>
      <c r="H3928" s="2">
        <v>0.79165509259259259</v>
      </c>
      <c r="I3928" t="s">
        <v>11</v>
      </c>
      <c r="J3928" t="s">
        <v>12</v>
      </c>
      <c r="K3928">
        <v>1</v>
      </c>
      <c r="L3928">
        <v>650</v>
      </c>
      <c r="M3928">
        <v>650</v>
      </c>
      <c r="N3928">
        <f>IF(COUNTIFS($B$2:B3928,B3928)=1,1,0)</f>
        <v>0</v>
      </c>
    </row>
    <row r="3929" spans="1:14" x14ac:dyDescent="0.2">
      <c r="A3929">
        <v>3928</v>
      </c>
      <c r="B3929">
        <v>2978</v>
      </c>
      <c r="C3929">
        <f>1/COUNTIF(B:B,Table1[[#This Row],[order_id]])</f>
        <v>0.33333333333333331</v>
      </c>
      <c r="D3929" t="str">
        <f>TEXT(Table1[[#This Row],[order_date]],"mmmm")</f>
        <v>October</v>
      </c>
      <c r="E3929" s="1">
        <v>45595</v>
      </c>
      <c r="F3929" s="1" t="str">
        <f>TEXT(Table1[[#This Row],[order_date]],"dddd")</f>
        <v>Wednesday</v>
      </c>
      <c r="G3929">
        <f>HOUR(Table1[[#This Row],[order_time]])</f>
        <v>11</v>
      </c>
      <c r="H3929" s="2">
        <v>0.47825231481481484</v>
      </c>
      <c r="I3929" t="s">
        <v>11</v>
      </c>
      <c r="J3929" t="s">
        <v>25</v>
      </c>
      <c r="K3929">
        <v>2</v>
      </c>
      <c r="L3929">
        <v>1000</v>
      </c>
      <c r="M3929">
        <v>2000</v>
      </c>
      <c r="N3929">
        <f>IF(COUNTIFS($B$2:B3929,B3929)=1,1,0)</f>
        <v>0</v>
      </c>
    </row>
    <row r="3930" spans="1:14" x14ac:dyDescent="0.2">
      <c r="A3930">
        <v>3929</v>
      </c>
      <c r="B3930">
        <v>2979</v>
      </c>
      <c r="C3930">
        <f>1/COUNTIF(B:B,Table1[[#This Row],[order_id]])</f>
        <v>1</v>
      </c>
      <c r="D3930" t="str">
        <f>TEXT(Table1[[#This Row],[order_date]],"mmmm")</f>
        <v>October</v>
      </c>
      <c r="E3930" s="1">
        <v>45596</v>
      </c>
      <c r="F3930" s="1" t="str">
        <f>TEXT(Table1[[#This Row],[order_date]],"dddd")</f>
        <v>Thursday</v>
      </c>
      <c r="G3930">
        <f>HOUR(Table1[[#This Row],[order_time]])</f>
        <v>14</v>
      </c>
      <c r="H3930" s="2">
        <v>0.61859953703703707</v>
      </c>
      <c r="I3930" t="s">
        <v>11</v>
      </c>
      <c r="J3930" t="s">
        <v>14</v>
      </c>
      <c r="K3930">
        <v>4</v>
      </c>
      <c r="L3930">
        <v>700</v>
      </c>
      <c r="M3930">
        <v>2800</v>
      </c>
      <c r="N3930">
        <f>IF(COUNTIFS($B$2:B3930,B3930)=1,1,0)</f>
        <v>1</v>
      </c>
    </row>
    <row r="3931" spans="1:14" x14ac:dyDescent="0.2">
      <c r="A3931">
        <v>3930</v>
      </c>
      <c r="B3931">
        <v>2980</v>
      </c>
      <c r="C3931">
        <f>1/COUNTIF(B:B,Table1[[#This Row],[order_id]])</f>
        <v>0.5</v>
      </c>
      <c r="D3931" t="str">
        <f>TEXT(Table1[[#This Row],[order_date]],"mmmm")</f>
        <v>October</v>
      </c>
      <c r="E3931" s="1">
        <v>45596</v>
      </c>
      <c r="F3931" s="1" t="str">
        <f>TEXT(Table1[[#This Row],[order_date]],"dddd")</f>
        <v>Thursday</v>
      </c>
      <c r="G3931">
        <f>HOUR(Table1[[#This Row],[order_time]])</f>
        <v>20</v>
      </c>
      <c r="H3931" s="2">
        <v>0.85195601851851854</v>
      </c>
      <c r="I3931" t="s">
        <v>16</v>
      </c>
      <c r="J3931" t="s">
        <v>23</v>
      </c>
      <c r="K3931">
        <v>1</v>
      </c>
      <c r="L3931">
        <v>30</v>
      </c>
      <c r="M3931">
        <v>30</v>
      </c>
      <c r="N3931">
        <f>IF(COUNTIFS($B$2:B3931,B3931)=1,1,0)</f>
        <v>1</v>
      </c>
    </row>
    <row r="3932" spans="1:14" x14ac:dyDescent="0.2">
      <c r="A3932">
        <v>3931</v>
      </c>
      <c r="B3932">
        <v>2980</v>
      </c>
      <c r="C3932">
        <f>1/COUNTIF(B:B,Table1[[#This Row],[order_id]])</f>
        <v>0.5</v>
      </c>
      <c r="D3932" t="str">
        <f>TEXT(Table1[[#This Row],[order_date]],"mmmm")</f>
        <v>October</v>
      </c>
      <c r="E3932" s="1">
        <v>45596</v>
      </c>
      <c r="F3932" s="1" t="str">
        <f>TEXT(Table1[[#This Row],[order_date]],"dddd")</f>
        <v>Thursday</v>
      </c>
      <c r="G3932">
        <f>HOUR(Table1[[#This Row],[order_time]])</f>
        <v>17</v>
      </c>
      <c r="H3932" s="2">
        <v>0.73107638888888893</v>
      </c>
      <c r="I3932" t="s">
        <v>18</v>
      </c>
      <c r="J3932" t="s">
        <v>31</v>
      </c>
      <c r="K3932">
        <v>5</v>
      </c>
      <c r="L3932">
        <v>45</v>
      </c>
      <c r="M3932">
        <v>225</v>
      </c>
      <c r="N3932">
        <f>IF(COUNTIFS($B$2:B3932,B3932)=1,1,0)</f>
        <v>0</v>
      </c>
    </row>
    <row r="3933" spans="1:14" x14ac:dyDescent="0.2">
      <c r="A3933">
        <v>3932</v>
      </c>
      <c r="B3933">
        <v>2981</v>
      </c>
      <c r="C3933">
        <f>1/COUNTIF(B:B,Table1[[#This Row],[order_id]])</f>
        <v>0.33333333333333331</v>
      </c>
      <c r="D3933" t="str">
        <f>TEXT(Table1[[#This Row],[order_date]],"mmmm")</f>
        <v>October</v>
      </c>
      <c r="E3933" s="1">
        <v>45596</v>
      </c>
      <c r="F3933" s="1" t="str">
        <f>TEXT(Table1[[#This Row],[order_date]],"dddd")</f>
        <v>Thursday</v>
      </c>
      <c r="G3933">
        <f>HOUR(Table1[[#This Row],[order_time]])</f>
        <v>18</v>
      </c>
      <c r="H3933" s="2">
        <v>0.77921296296296294</v>
      </c>
      <c r="I3933" t="s">
        <v>11</v>
      </c>
      <c r="J3933" t="s">
        <v>25</v>
      </c>
      <c r="K3933">
        <v>3</v>
      </c>
      <c r="L3933">
        <v>1000</v>
      </c>
      <c r="M3933">
        <v>3000</v>
      </c>
      <c r="N3933">
        <f>IF(COUNTIFS($B$2:B3933,B3933)=1,1,0)</f>
        <v>1</v>
      </c>
    </row>
    <row r="3934" spans="1:14" x14ac:dyDescent="0.2">
      <c r="A3934">
        <v>3933</v>
      </c>
      <c r="B3934">
        <v>2981</v>
      </c>
      <c r="C3934">
        <f>1/COUNTIF(B:B,Table1[[#This Row],[order_id]])</f>
        <v>0.33333333333333331</v>
      </c>
      <c r="D3934" t="str">
        <f>TEXT(Table1[[#This Row],[order_date]],"mmmm")</f>
        <v>October</v>
      </c>
      <c r="E3934" s="1">
        <v>45596</v>
      </c>
      <c r="F3934" s="1" t="str">
        <f>TEXT(Table1[[#This Row],[order_date]],"dddd")</f>
        <v>Thursday</v>
      </c>
      <c r="G3934">
        <f>HOUR(Table1[[#This Row],[order_time]])</f>
        <v>13</v>
      </c>
      <c r="H3934" s="2">
        <v>0.56740740740740736</v>
      </c>
      <c r="I3934" t="s">
        <v>16</v>
      </c>
      <c r="J3934" t="s">
        <v>17</v>
      </c>
      <c r="K3934">
        <v>5</v>
      </c>
      <c r="L3934">
        <v>20</v>
      </c>
      <c r="M3934">
        <v>100</v>
      </c>
      <c r="N3934">
        <f>IF(COUNTIFS($B$2:B3934,B3934)=1,1,0)</f>
        <v>0</v>
      </c>
    </row>
    <row r="3935" spans="1:14" x14ac:dyDescent="0.2">
      <c r="A3935">
        <v>3934</v>
      </c>
      <c r="B3935">
        <v>2981</v>
      </c>
      <c r="C3935">
        <f>1/COUNTIF(B:B,Table1[[#This Row],[order_id]])</f>
        <v>0.33333333333333331</v>
      </c>
      <c r="D3935" t="str">
        <f>TEXT(Table1[[#This Row],[order_date]],"mmmm")</f>
        <v>October</v>
      </c>
      <c r="E3935" s="1">
        <v>45596</v>
      </c>
      <c r="F3935" s="1" t="str">
        <f>TEXT(Table1[[#This Row],[order_date]],"dddd")</f>
        <v>Thursday</v>
      </c>
      <c r="G3935">
        <f>HOUR(Table1[[#This Row],[order_time]])</f>
        <v>15</v>
      </c>
      <c r="H3935" s="2">
        <v>0.64853009259259264</v>
      </c>
      <c r="I3935" t="s">
        <v>11</v>
      </c>
      <c r="J3935" t="s">
        <v>14</v>
      </c>
      <c r="K3935">
        <v>1</v>
      </c>
      <c r="L3935">
        <v>700</v>
      </c>
      <c r="M3935">
        <v>700</v>
      </c>
      <c r="N3935">
        <f>IF(COUNTIFS($B$2:B3935,B3935)=1,1,0)</f>
        <v>0</v>
      </c>
    </row>
    <row r="3936" spans="1:14" x14ac:dyDescent="0.2">
      <c r="A3936">
        <v>3935</v>
      </c>
      <c r="B3936">
        <v>2982</v>
      </c>
      <c r="C3936">
        <f>1/COUNTIF(B:B,Table1[[#This Row],[order_id]])</f>
        <v>0.5</v>
      </c>
      <c r="D3936" t="str">
        <f>TEXT(Table1[[#This Row],[order_date]],"mmmm")</f>
        <v>October</v>
      </c>
      <c r="E3936" s="1">
        <v>45596</v>
      </c>
      <c r="F3936" s="1" t="str">
        <f>TEXT(Table1[[#This Row],[order_date]],"dddd")</f>
        <v>Thursday</v>
      </c>
      <c r="G3936">
        <f>HOUR(Table1[[#This Row],[order_time]])</f>
        <v>14</v>
      </c>
      <c r="H3936" s="2">
        <v>0.62046296296296299</v>
      </c>
      <c r="I3936" t="s">
        <v>9</v>
      </c>
      <c r="J3936" t="s">
        <v>10</v>
      </c>
      <c r="K3936">
        <v>2</v>
      </c>
      <c r="L3936">
        <v>20</v>
      </c>
      <c r="M3936">
        <v>40</v>
      </c>
      <c r="N3936">
        <f>IF(COUNTIFS($B$2:B3936,B3936)=1,1,0)</f>
        <v>1</v>
      </c>
    </row>
    <row r="3937" spans="1:14" x14ac:dyDescent="0.2">
      <c r="A3937">
        <v>3936</v>
      </c>
      <c r="B3937">
        <v>2982</v>
      </c>
      <c r="C3937">
        <f>1/COUNTIF(B:B,Table1[[#This Row],[order_id]])</f>
        <v>0.5</v>
      </c>
      <c r="D3937" t="str">
        <f>TEXT(Table1[[#This Row],[order_date]],"mmmm")</f>
        <v>October</v>
      </c>
      <c r="E3937" s="1">
        <v>45596</v>
      </c>
      <c r="F3937" s="1" t="str">
        <f>TEXT(Table1[[#This Row],[order_date]],"dddd")</f>
        <v>Thursday</v>
      </c>
      <c r="G3937">
        <f>HOUR(Table1[[#This Row],[order_time]])</f>
        <v>18</v>
      </c>
      <c r="H3937" s="2">
        <v>0.78300925925925924</v>
      </c>
      <c r="I3937" t="s">
        <v>18</v>
      </c>
      <c r="J3937" t="s">
        <v>30</v>
      </c>
      <c r="K3937">
        <v>5</v>
      </c>
      <c r="L3937">
        <v>60</v>
      </c>
      <c r="M3937">
        <v>300</v>
      </c>
      <c r="N3937">
        <f>IF(COUNTIFS($B$2:B3937,B3937)=1,1,0)</f>
        <v>0</v>
      </c>
    </row>
    <row r="3938" spans="1:14" x14ac:dyDescent="0.2">
      <c r="A3938">
        <v>3937</v>
      </c>
      <c r="B3938">
        <v>2983</v>
      </c>
      <c r="C3938">
        <f>1/COUNTIF(B:B,Table1[[#This Row],[order_id]])</f>
        <v>0.5</v>
      </c>
      <c r="D3938" t="str">
        <f>TEXT(Table1[[#This Row],[order_date]],"mmmm")</f>
        <v>October</v>
      </c>
      <c r="E3938" s="1">
        <v>45596</v>
      </c>
      <c r="F3938" s="1" t="str">
        <f>TEXT(Table1[[#This Row],[order_date]],"dddd")</f>
        <v>Thursday</v>
      </c>
      <c r="G3938">
        <f>HOUR(Table1[[#This Row],[order_time]])</f>
        <v>17</v>
      </c>
      <c r="H3938" s="2">
        <v>0.71773148148148147</v>
      </c>
      <c r="I3938" t="s">
        <v>9</v>
      </c>
      <c r="J3938" t="s">
        <v>22</v>
      </c>
      <c r="K3938">
        <v>1</v>
      </c>
      <c r="L3938">
        <v>15</v>
      </c>
      <c r="M3938">
        <v>15</v>
      </c>
      <c r="N3938">
        <f>IF(COUNTIFS($B$2:B3938,B3938)=1,1,0)</f>
        <v>1</v>
      </c>
    </row>
    <row r="3939" spans="1:14" x14ac:dyDescent="0.2">
      <c r="A3939">
        <v>3938</v>
      </c>
      <c r="B3939">
        <v>2983</v>
      </c>
      <c r="C3939">
        <f>1/COUNTIF(B:B,Table1[[#This Row],[order_id]])</f>
        <v>0.5</v>
      </c>
      <c r="D3939" t="str">
        <f>TEXT(Table1[[#This Row],[order_date]],"mmmm")</f>
        <v>October</v>
      </c>
      <c r="E3939" s="1">
        <v>45596</v>
      </c>
      <c r="F3939" s="1" t="str">
        <f>TEXT(Table1[[#This Row],[order_date]],"dddd")</f>
        <v>Thursday</v>
      </c>
      <c r="G3939">
        <f>HOUR(Table1[[#This Row],[order_time]])</f>
        <v>20</v>
      </c>
      <c r="H3939" s="2">
        <v>0.85957175925925922</v>
      </c>
      <c r="I3939" t="s">
        <v>18</v>
      </c>
      <c r="J3939" t="s">
        <v>30</v>
      </c>
      <c r="K3939">
        <v>3</v>
      </c>
      <c r="L3939">
        <v>60</v>
      </c>
      <c r="M3939">
        <v>180</v>
      </c>
      <c r="N3939">
        <f>IF(COUNTIFS($B$2:B3939,B3939)=1,1,0)</f>
        <v>0</v>
      </c>
    </row>
    <row r="3940" spans="1:14" x14ac:dyDescent="0.2">
      <c r="A3940">
        <v>3939</v>
      </c>
      <c r="B3940">
        <v>2984</v>
      </c>
      <c r="C3940">
        <f>1/COUNTIF(B:B,Table1[[#This Row],[order_id]])</f>
        <v>1</v>
      </c>
      <c r="D3940" t="str">
        <f>TEXT(Table1[[#This Row],[order_date]],"mmmm")</f>
        <v>October</v>
      </c>
      <c r="E3940" s="1">
        <v>45596</v>
      </c>
      <c r="F3940" s="1" t="str">
        <f>TEXT(Table1[[#This Row],[order_date]],"dddd")</f>
        <v>Thursday</v>
      </c>
      <c r="G3940">
        <f>HOUR(Table1[[#This Row],[order_time]])</f>
        <v>14</v>
      </c>
      <c r="H3940" s="2">
        <v>0.62206018518518513</v>
      </c>
      <c r="I3940" t="s">
        <v>9</v>
      </c>
      <c r="J3940" t="s">
        <v>21</v>
      </c>
      <c r="K3940">
        <v>1</v>
      </c>
      <c r="L3940">
        <v>10</v>
      </c>
      <c r="M3940">
        <v>10</v>
      </c>
      <c r="N3940">
        <f>IF(COUNTIFS($B$2:B3940,B3940)=1,1,0)</f>
        <v>1</v>
      </c>
    </row>
    <row r="3941" spans="1:14" x14ac:dyDescent="0.2">
      <c r="A3941">
        <v>3940</v>
      </c>
      <c r="B3941">
        <v>2985</v>
      </c>
      <c r="C3941">
        <f>1/COUNTIF(B:B,Table1[[#This Row],[order_id]])</f>
        <v>0.5</v>
      </c>
      <c r="D3941" t="str">
        <f>TEXT(Table1[[#This Row],[order_date]],"mmmm")</f>
        <v>October</v>
      </c>
      <c r="E3941" s="1">
        <v>45596</v>
      </c>
      <c r="F3941" s="1" t="str">
        <f>TEXT(Table1[[#This Row],[order_date]],"dddd")</f>
        <v>Thursday</v>
      </c>
      <c r="G3941">
        <f>HOUR(Table1[[#This Row],[order_time]])</f>
        <v>17</v>
      </c>
      <c r="H3941" s="2">
        <v>0.74396990740740743</v>
      </c>
      <c r="I3941" t="s">
        <v>18</v>
      </c>
      <c r="J3941" t="s">
        <v>19</v>
      </c>
      <c r="K3941">
        <v>1</v>
      </c>
      <c r="L3941">
        <v>50</v>
      </c>
      <c r="M3941">
        <v>50</v>
      </c>
      <c r="N3941">
        <f>IF(COUNTIFS($B$2:B3941,B3941)=1,1,0)</f>
        <v>1</v>
      </c>
    </row>
    <row r="3942" spans="1:14" x14ac:dyDescent="0.2">
      <c r="A3942">
        <v>3941</v>
      </c>
      <c r="B3942">
        <v>2985</v>
      </c>
      <c r="C3942">
        <f>1/COUNTIF(B:B,Table1[[#This Row],[order_id]])</f>
        <v>0.5</v>
      </c>
      <c r="D3942" t="str">
        <f>TEXT(Table1[[#This Row],[order_date]],"mmmm")</f>
        <v>October</v>
      </c>
      <c r="E3942" s="1">
        <v>45596</v>
      </c>
      <c r="F3942" s="1" t="str">
        <f>TEXT(Table1[[#This Row],[order_date]],"dddd")</f>
        <v>Thursday</v>
      </c>
      <c r="G3942">
        <f>HOUR(Table1[[#This Row],[order_time]])</f>
        <v>19</v>
      </c>
      <c r="H3942" s="2">
        <v>0.79201388888888891</v>
      </c>
      <c r="I3942" t="s">
        <v>18</v>
      </c>
      <c r="J3942" t="s">
        <v>19</v>
      </c>
      <c r="K3942">
        <v>2</v>
      </c>
      <c r="L3942">
        <v>50</v>
      </c>
      <c r="M3942">
        <v>100</v>
      </c>
      <c r="N3942">
        <f>IF(COUNTIFS($B$2:B3942,B3942)=1,1,0)</f>
        <v>0</v>
      </c>
    </row>
    <row r="3943" spans="1:14" x14ac:dyDescent="0.2">
      <c r="A3943">
        <v>3942</v>
      </c>
      <c r="B3943">
        <v>2986</v>
      </c>
      <c r="C3943">
        <f>1/COUNTIF(B:B,Table1[[#This Row],[order_id]])</f>
        <v>0.5</v>
      </c>
      <c r="D3943" t="str">
        <f>TEXT(Table1[[#This Row],[order_date]],"mmmm")</f>
        <v>October</v>
      </c>
      <c r="E3943" s="1">
        <v>45596</v>
      </c>
      <c r="F3943" s="1" t="str">
        <f>TEXT(Table1[[#This Row],[order_date]],"dddd")</f>
        <v>Thursday</v>
      </c>
      <c r="G3943">
        <f>HOUR(Table1[[#This Row],[order_time]])</f>
        <v>12</v>
      </c>
      <c r="H3943" s="2">
        <v>0.51238425925925923</v>
      </c>
      <c r="I3943" t="s">
        <v>16</v>
      </c>
      <c r="J3943" t="s">
        <v>17</v>
      </c>
      <c r="K3943">
        <v>3</v>
      </c>
      <c r="L3943">
        <v>20</v>
      </c>
      <c r="M3943">
        <v>60</v>
      </c>
      <c r="N3943">
        <f>IF(COUNTIFS($B$2:B3943,B3943)=1,1,0)</f>
        <v>1</v>
      </c>
    </row>
    <row r="3944" spans="1:14" x14ac:dyDescent="0.2">
      <c r="A3944">
        <v>3943</v>
      </c>
      <c r="B3944">
        <v>2986</v>
      </c>
      <c r="C3944">
        <f>1/COUNTIF(B:B,Table1[[#This Row],[order_id]])</f>
        <v>0.5</v>
      </c>
      <c r="D3944" t="str">
        <f>TEXT(Table1[[#This Row],[order_date]],"mmmm")</f>
        <v>October</v>
      </c>
      <c r="E3944" s="1">
        <v>45596</v>
      </c>
      <c r="F3944" s="1" t="str">
        <f>TEXT(Table1[[#This Row],[order_date]],"dddd")</f>
        <v>Thursday</v>
      </c>
      <c r="G3944">
        <f>HOUR(Table1[[#This Row],[order_time]])</f>
        <v>19</v>
      </c>
      <c r="H3944" s="2">
        <v>0.8122800925925926</v>
      </c>
      <c r="I3944" t="s">
        <v>9</v>
      </c>
      <c r="J3944" t="s">
        <v>29</v>
      </c>
      <c r="K3944">
        <v>1</v>
      </c>
      <c r="L3944">
        <v>5</v>
      </c>
      <c r="M3944">
        <v>5</v>
      </c>
      <c r="N3944">
        <f>IF(COUNTIFS($B$2:B3944,B3944)=1,1,0)</f>
        <v>0</v>
      </c>
    </row>
    <row r="3945" spans="1:14" x14ac:dyDescent="0.2">
      <c r="A3945">
        <v>3944</v>
      </c>
      <c r="B3945">
        <v>2987</v>
      </c>
      <c r="C3945">
        <f>1/COUNTIF(B:B,Table1[[#This Row],[order_id]])</f>
        <v>0.33333333333333331</v>
      </c>
      <c r="D3945" t="str">
        <f>TEXT(Table1[[#This Row],[order_date]],"mmmm")</f>
        <v>November</v>
      </c>
      <c r="E3945" s="1">
        <v>45597</v>
      </c>
      <c r="F3945" s="1" t="str">
        <f>TEXT(Table1[[#This Row],[order_date]],"dddd")</f>
        <v>Friday</v>
      </c>
      <c r="G3945">
        <f>HOUR(Table1[[#This Row],[order_time]])</f>
        <v>16</v>
      </c>
      <c r="H3945" s="2">
        <v>0.67550925925925931</v>
      </c>
      <c r="I3945" t="s">
        <v>9</v>
      </c>
      <c r="J3945" t="s">
        <v>22</v>
      </c>
      <c r="K3945">
        <v>3</v>
      </c>
      <c r="L3945">
        <v>15</v>
      </c>
      <c r="M3945">
        <v>45</v>
      </c>
      <c r="N3945">
        <f>IF(COUNTIFS($B$2:B3945,B3945)=1,1,0)</f>
        <v>1</v>
      </c>
    </row>
    <row r="3946" spans="1:14" x14ac:dyDescent="0.2">
      <c r="A3946">
        <v>3945</v>
      </c>
      <c r="B3946">
        <v>2987</v>
      </c>
      <c r="C3946">
        <f>1/COUNTIF(B:B,Table1[[#This Row],[order_id]])</f>
        <v>0.33333333333333331</v>
      </c>
      <c r="D3946" t="str">
        <f>TEXT(Table1[[#This Row],[order_date]],"mmmm")</f>
        <v>November</v>
      </c>
      <c r="E3946" s="1">
        <v>45597</v>
      </c>
      <c r="F3946" s="1" t="str">
        <f>TEXT(Table1[[#This Row],[order_date]],"dddd")</f>
        <v>Friday</v>
      </c>
      <c r="G3946">
        <f>HOUR(Table1[[#This Row],[order_time]])</f>
        <v>19</v>
      </c>
      <c r="H3946" s="2">
        <v>0.79900462962962959</v>
      </c>
      <c r="I3946" t="s">
        <v>11</v>
      </c>
      <c r="J3946" t="s">
        <v>25</v>
      </c>
      <c r="K3946">
        <v>4</v>
      </c>
      <c r="L3946">
        <v>1000</v>
      </c>
      <c r="M3946">
        <v>4000</v>
      </c>
      <c r="N3946">
        <f>IF(COUNTIFS($B$2:B3946,B3946)=1,1,0)</f>
        <v>0</v>
      </c>
    </row>
    <row r="3947" spans="1:14" x14ac:dyDescent="0.2">
      <c r="A3947">
        <v>3946</v>
      </c>
      <c r="B3947">
        <v>2987</v>
      </c>
      <c r="C3947">
        <f>1/COUNTIF(B:B,Table1[[#This Row],[order_id]])</f>
        <v>0.33333333333333331</v>
      </c>
      <c r="D3947" t="str">
        <f>TEXT(Table1[[#This Row],[order_date]],"mmmm")</f>
        <v>November</v>
      </c>
      <c r="E3947" s="1">
        <v>45597</v>
      </c>
      <c r="F3947" s="1" t="str">
        <f>TEXT(Table1[[#This Row],[order_date]],"dddd")</f>
        <v>Friday</v>
      </c>
      <c r="G3947">
        <f>HOUR(Table1[[#This Row],[order_time]])</f>
        <v>15</v>
      </c>
      <c r="H3947" s="2">
        <v>0.64465277777777774</v>
      </c>
      <c r="I3947" t="s">
        <v>9</v>
      </c>
      <c r="J3947" t="s">
        <v>10</v>
      </c>
      <c r="K3947">
        <v>4</v>
      </c>
      <c r="L3947">
        <v>20</v>
      </c>
      <c r="M3947">
        <v>80</v>
      </c>
      <c r="N3947">
        <f>IF(COUNTIFS($B$2:B3947,B3947)=1,1,0)</f>
        <v>0</v>
      </c>
    </row>
    <row r="3948" spans="1:14" x14ac:dyDescent="0.2">
      <c r="A3948">
        <v>3947</v>
      </c>
      <c r="B3948">
        <v>2988</v>
      </c>
      <c r="C3948">
        <f>1/COUNTIF(B:B,Table1[[#This Row],[order_id]])</f>
        <v>0.5</v>
      </c>
      <c r="D3948" t="str">
        <f>TEXT(Table1[[#This Row],[order_date]],"mmmm")</f>
        <v>November</v>
      </c>
      <c r="E3948" s="1">
        <v>45597</v>
      </c>
      <c r="F3948" s="1" t="str">
        <f>TEXT(Table1[[#This Row],[order_date]],"dddd")</f>
        <v>Friday</v>
      </c>
      <c r="G3948">
        <f>HOUR(Table1[[#This Row],[order_time]])</f>
        <v>11</v>
      </c>
      <c r="H3948" s="2">
        <v>0.47368055555555555</v>
      </c>
      <c r="I3948" t="s">
        <v>11</v>
      </c>
      <c r="J3948" t="s">
        <v>25</v>
      </c>
      <c r="K3948">
        <v>2</v>
      </c>
      <c r="L3948">
        <v>1000</v>
      </c>
      <c r="M3948">
        <v>2000</v>
      </c>
      <c r="N3948">
        <f>IF(COUNTIFS($B$2:B3948,B3948)=1,1,0)</f>
        <v>1</v>
      </c>
    </row>
    <row r="3949" spans="1:14" x14ac:dyDescent="0.2">
      <c r="A3949">
        <v>3948</v>
      </c>
      <c r="B3949">
        <v>2988</v>
      </c>
      <c r="C3949">
        <f>1/COUNTIF(B:B,Table1[[#This Row],[order_id]])</f>
        <v>0.5</v>
      </c>
      <c r="D3949" t="str">
        <f>TEXT(Table1[[#This Row],[order_date]],"mmmm")</f>
        <v>November</v>
      </c>
      <c r="E3949" s="1">
        <v>45597</v>
      </c>
      <c r="F3949" s="1" t="str">
        <f>TEXT(Table1[[#This Row],[order_date]],"dddd")</f>
        <v>Friday</v>
      </c>
      <c r="G3949">
        <f>HOUR(Table1[[#This Row],[order_time]])</f>
        <v>18</v>
      </c>
      <c r="H3949" s="2">
        <v>0.77256944444444442</v>
      </c>
      <c r="I3949" t="s">
        <v>16</v>
      </c>
      <c r="J3949" t="s">
        <v>17</v>
      </c>
      <c r="K3949">
        <v>5</v>
      </c>
      <c r="L3949">
        <v>20</v>
      </c>
      <c r="M3949">
        <v>100</v>
      </c>
      <c r="N3949">
        <f>IF(COUNTIFS($B$2:B3949,B3949)=1,1,0)</f>
        <v>0</v>
      </c>
    </row>
    <row r="3950" spans="1:14" x14ac:dyDescent="0.2">
      <c r="A3950">
        <v>3949</v>
      </c>
      <c r="B3950">
        <v>2989</v>
      </c>
      <c r="C3950">
        <f>1/COUNTIF(B:B,Table1[[#This Row],[order_id]])</f>
        <v>0.5</v>
      </c>
      <c r="D3950" t="str">
        <f>TEXT(Table1[[#This Row],[order_date]],"mmmm")</f>
        <v>November</v>
      </c>
      <c r="E3950" s="1">
        <v>45597</v>
      </c>
      <c r="F3950" s="1" t="str">
        <f>TEXT(Table1[[#This Row],[order_date]],"dddd")</f>
        <v>Friday</v>
      </c>
      <c r="G3950">
        <f>HOUR(Table1[[#This Row],[order_time]])</f>
        <v>10</v>
      </c>
      <c r="H3950" s="2">
        <v>0.4475925925925926</v>
      </c>
      <c r="I3950" t="s">
        <v>18</v>
      </c>
      <c r="J3950" t="s">
        <v>27</v>
      </c>
      <c r="K3950">
        <v>1</v>
      </c>
      <c r="L3950">
        <v>40</v>
      </c>
      <c r="M3950">
        <v>40</v>
      </c>
      <c r="N3950">
        <f>IF(COUNTIFS($B$2:B3950,B3950)=1,1,0)</f>
        <v>1</v>
      </c>
    </row>
    <row r="3951" spans="1:14" x14ac:dyDescent="0.2">
      <c r="A3951">
        <v>3950</v>
      </c>
      <c r="B3951">
        <v>2989</v>
      </c>
      <c r="C3951">
        <f>1/COUNTIF(B:B,Table1[[#This Row],[order_id]])</f>
        <v>0.5</v>
      </c>
      <c r="D3951" t="str">
        <f>TEXT(Table1[[#This Row],[order_date]],"mmmm")</f>
        <v>November</v>
      </c>
      <c r="E3951" s="1">
        <v>45597</v>
      </c>
      <c r="F3951" s="1" t="str">
        <f>TEXT(Table1[[#This Row],[order_date]],"dddd")</f>
        <v>Friday</v>
      </c>
      <c r="G3951">
        <f>HOUR(Table1[[#This Row],[order_time]])</f>
        <v>18</v>
      </c>
      <c r="H3951" s="2">
        <v>0.78648148148148145</v>
      </c>
      <c r="I3951" t="s">
        <v>16</v>
      </c>
      <c r="J3951" t="s">
        <v>28</v>
      </c>
      <c r="K3951">
        <v>2</v>
      </c>
      <c r="L3951">
        <v>25</v>
      </c>
      <c r="M3951">
        <v>50</v>
      </c>
      <c r="N3951">
        <f>IF(COUNTIFS($B$2:B3951,B3951)=1,1,0)</f>
        <v>0</v>
      </c>
    </row>
    <row r="3952" spans="1:14" x14ac:dyDescent="0.2">
      <c r="A3952">
        <v>3951</v>
      </c>
      <c r="B3952">
        <v>2990</v>
      </c>
      <c r="C3952">
        <f>1/COUNTIF(B:B,Table1[[#This Row],[order_id]])</f>
        <v>0.33333333333333331</v>
      </c>
      <c r="D3952" t="str">
        <f>TEXT(Table1[[#This Row],[order_date]],"mmmm")</f>
        <v>November</v>
      </c>
      <c r="E3952" s="1">
        <v>45597</v>
      </c>
      <c r="F3952" s="1" t="str">
        <f>TEXT(Table1[[#This Row],[order_date]],"dddd")</f>
        <v>Friday</v>
      </c>
      <c r="G3952">
        <f>HOUR(Table1[[#This Row],[order_time]])</f>
        <v>18</v>
      </c>
      <c r="H3952" s="2">
        <v>0.78995370370370366</v>
      </c>
      <c r="I3952" t="s">
        <v>11</v>
      </c>
      <c r="J3952" t="s">
        <v>25</v>
      </c>
      <c r="K3952">
        <v>4</v>
      </c>
      <c r="L3952">
        <v>1000</v>
      </c>
      <c r="M3952">
        <v>4000</v>
      </c>
      <c r="N3952">
        <f>IF(COUNTIFS($B$2:B3952,B3952)=1,1,0)</f>
        <v>1</v>
      </c>
    </row>
    <row r="3953" spans="1:14" x14ac:dyDescent="0.2">
      <c r="A3953">
        <v>3952</v>
      </c>
      <c r="B3953">
        <v>2990</v>
      </c>
      <c r="C3953">
        <f>1/COUNTIF(B:B,Table1[[#This Row],[order_id]])</f>
        <v>0.33333333333333331</v>
      </c>
      <c r="D3953" t="str">
        <f>TEXT(Table1[[#This Row],[order_date]],"mmmm")</f>
        <v>November</v>
      </c>
      <c r="E3953" s="1">
        <v>45597</v>
      </c>
      <c r="F3953" s="1" t="str">
        <f>TEXT(Table1[[#This Row],[order_date]],"dddd")</f>
        <v>Friday</v>
      </c>
      <c r="G3953">
        <f>HOUR(Table1[[#This Row],[order_time]])</f>
        <v>15</v>
      </c>
      <c r="H3953" s="2">
        <v>0.64050925925925928</v>
      </c>
      <c r="I3953" t="s">
        <v>9</v>
      </c>
      <c r="J3953" t="s">
        <v>20</v>
      </c>
      <c r="K3953">
        <v>4</v>
      </c>
      <c r="L3953">
        <v>25</v>
      </c>
      <c r="M3953">
        <v>100</v>
      </c>
      <c r="N3953">
        <f>IF(COUNTIFS($B$2:B3953,B3953)=1,1,0)</f>
        <v>0</v>
      </c>
    </row>
    <row r="3954" spans="1:14" x14ac:dyDescent="0.2">
      <c r="A3954">
        <v>3953</v>
      </c>
      <c r="B3954">
        <v>2990</v>
      </c>
      <c r="C3954">
        <f>1/COUNTIF(B:B,Table1[[#This Row],[order_id]])</f>
        <v>0.33333333333333331</v>
      </c>
      <c r="D3954" t="str">
        <f>TEXT(Table1[[#This Row],[order_date]],"mmmm")</f>
        <v>November</v>
      </c>
      <c r="E3954" s="1">
        <v>45597</v>
      </c>
      <c r="F3954" s="1" t="str">
        <f>TEXT(Table1[[#This Row],[order_date]],"dddd")</f>
        <v>Friday</v>
      </c>
      <c r="G3954">
        <f>HOUR(Table1[[#This Row],[order_time]])</f>
        <v>17</v>
      </c>
      <c r="H3954" s="2">
        <v>0.72446759259259264</v>
      </c>
      <c r="I3954" t="s">
        <v>18</v>
      </c>
      <c r="J3954" t="s">
        <v>30</v>
      </c>
      <c r="K3954">
        <v>5</v>
      </c>
      <c r="L3954">
        <v>60</v>
      </c>
      <c r="M3954">
        <v>300</v>
      </c>
      <c r="N3954">
        <f>IF(COUNTIFS($B$2:B3954,B3954)=1,1,0)</f>
        <v>0</v>
      </c>
    </row>
    <row r="3955" spans="1:14" x14ac:dyDescent="0.2">
      <c r="A3955">
        <v>3954</v>
      </c>
      <c r="B3955">
        <v>2991</v>
      </c>
      <c r="C3955">
        <f>1/COUNTIF(B:B,Table1[[#This Row],[order_id]])</f>
        <v>1</v>
      </c>
      <c r="D3955" t="str">
        <f>TEXT(Table1[[#This Row],[order_date]],"mmmm")</f>
        <v>November</v>
      </c>
      <c r="E3955" s="1">
        <v>45597</v>
      </c>
      <c r="F3955" s="1" t="str">
        <f>TEXT(Table1[[#This Row],[order_date]],"dddd")</f>
        <v>Friday</v>
      </c>
      <c r="G3955">
        <f>HOUR(Table1[[#This Row],[order_time]])</f>
        <v>17</v>
      </c>
      <c r="H3955" s="2">
        <v>0.74614583333333329</v>
      </c>
      <c r="I3955" t="s">
        <v>18</v>
      </c>
      <c r="J3955" t="s">
        <v>30</v>
      </c>
      <c r="K3955">
        <v>4</v>
      </c>
      <c r="L3955">
        <v>60</v>
      </c>
      <c r="M3955">
        <v>240</v>
      </c>
      <c r="N3955">
        <f>IF(COUNTIFS($B$2:B3955,B3955)=1,1,0)</f>
        <v>1</v>
      </c>
    </row>
    <row r="3956" spans="1:14" x14ac:dyDescent="0.2">
      <c r="A3956">
        <v>3955</v>
      </c>
      <c r="B3956">
        <v>2992</v>
      </c>
      <c r="C3956">
        <f>1/COUNTIF(B:B,Table1[[#This Row],[order_id]])</f>
        <v>0.33333333333333331</v>
      </c>
      <c r="D3956" t="str">
        <f>TEXT(Table1[[#This Row],[order_date]],"mmmm")</f>
        <v>November</v>
      </c>
      <c r="E3956" s="1">
        <v>45597</v>
      </c>
      <c r="F3956" s="1" t="str">
        <f>TEXT(Table1[[#This Row],[order_date]],"dddd")</f>
        <v>Friday</v>
      </c>
      <c r="G3956">
        <f>HOUR(Table1[[#This Row],[order_time]])</f>
        <v>13</v>
      </c>
      <c r="H3956" s="2">
        <v>0.57912037037037034</v>
      </c>
      <c r="I3956" t="s">
        <v>16</v>
      </c>
      <c r="J3956" t="s">
        <v>28</v>
      </c>
      <c r="K3956">
        <v>1</v>
      </c>
      <c r="L3956">
        <v>25</v>
      </c>
      <c r="M3956">
        <v>25</v>
      </c>
      <c r="N3956">
        <f>IF(COUNTIFS($B$2:B3956,B3956)=1,1,0)</f>
        <v>1</v>
      </c>
    </row>
    <row r="3957" spans="1:14" x14ac:dyDescent="0.2">
      <c r="A3957">
        <v>3956</v>
      </c>
      <c r="B3957">
        <v>2992</v>
      </c>
      <c r="C3957">
        <f>1/COUNTIF(B:B,Table1[[#This Row],[order_id]])</f>
        <v>0.33333333333333331</v>
      </c>
      <c r="D3957" t="str">
        <f>TEXT(Table1[[#This Row],[order_date]],"mmmm")</f>
        <v>November</v>
      </c>
      <c r="E3957" s="1">
        <v>45597</v>
      </c>
      <c r="F3957" s="1" t="str">
        <f>TEXT(Table1[[#This Row],[order_date]],"dddd")</f>
        <v>Friday</v>
      </c>
      <c r="G3957">
        <f>HOUR(Table1[[#This Row],[order_time]])</f>
        <v>18</v>
      </c>
      <c r="H3957" s="2">
        <v>0.76612268518518523</v>
      </c>
      <c r="I3957" t="s">
        <v>9</v>
      </c>
      <c r="J3957" t="s">
        <v>29</v>
      </c>
      <c r="K3957">
        <v>1</v>
      </c>
      <c r="L3957">
        <v>5</v>
      </c>
      <c r="M3957">
        <v>5</v>
      </c>
      <c r="N3957">
        <f>IF(COUNTIFS($B$2:B3957,B3957)=1,1,0)</f>
        <v>0</v>
      </c>
    </row>
    <row r="3958" spans="1:14" x14ac:dyDescent="0.2">
      <c r="A3958">
        <v>3957</v>
      </c>
      <c r="B3958">
        <v>2992</v>
      </c>
      <c r="C3958">
        <f>1/COUNTIF(B:B,Table1[[#This Row],[order_id]])</f>
        <v>0.33333333333333331</v>
      </c>
      <c r="D3958" t="str">
        <f>TEXT(Table1[[#This Row],[order_date]],"mmmm")</f>
        <v>November</v>
      </c>
      <c r="E3958" s="1">
        <v>45597</v>
      </c>
      <c r="F3958" s="1" t="str">
        <f>TEXT(Table1[[#This Row],[order_date]],"dddd")</f>
        <v>Friday</v>
      </c>
      <c r="G3958">
        <f>HOUR(Table1[[#This Row],[order_time]])</f>
        <v>16</v>
      </c>
      <c r="H3958" s="2">
        <v>0.67535879629629625</v>
      </c>
      <c r="I3958" t="s">
        <v>16</v>
      </c>
      <c r="J3958" t="s">
        <v>17</v>
      </c>
      <c r="K3958">
        <v>4</v>
      </c>
      <c r="L3958">
        <v>20</v>
      </c>
      <c r="M3958">
        <v>80</v>
      </c>
      <c r="N3958">
        <f>IF(COUNTIFS($B$2:B3958,B3958)=1,1,0)</f>
        <v>0</v>
      </c>
    </row>
    <row r="3959" spans="1:14" x14ac:dyDescent="0.2">
      <c r="A3959">
        <v>3958</v>
      </c>
      <c r="B3959">
        <v>2993</v>
      </c>
      <c r="C3959">
        <f>1/COUNTIF(B:B,Table1[[#This Row],[order_id]])</f>
        <v>1</v>
      </c>
      <c r="D3959" t="str">
        <f>TEXT(Table1[[#This Row],[order_date]],"mmmm")</f>
        <v>November</v>
      </c>
      <c r="E3959" s="1">
        <v>45597</v>
      </c>
      <c r="F3959" s="1" t="str">
        <f>TEXT(Table1[[#This Row],[order_date]],"dddd")</f>
        <v>Friday</v>
      </c>
      <c r="G3959">
        <f>HOUR(Table1[[#This Row],[order_time]])</f>
        <v>16</v>
      </c>
      <c r="H3959" s="2">
        <v>0.68337962962962961</v>
      </c>
      <c r="I3959" t="s">
        <v>18</v>
      </c>
      <c r="J3959" t="s">
        <v>27</v>
      </c>
      <c r="K3959">
        <v>5</v>
      </c>
      <c r="L3959">
        <v>40</v>
      </c>
      <c r="M3959">
        <v>200</v>
      </c>
      <c r="N3959">
        <f>IF(COUNTIFS($B$2:B3959,B3959)=1,1,0)</f>
        <v>1</v>
      </c>
    </row>
    <row r="3960" spans="1:14" x14ac:dyDescent="0.2">
      <c r="A3960">
        <v>3959</v>
      </c>
      <c r="B3960">
        <v>2994</v>
      </c>
      <c r="C3960">
        <f>1/COUNTIF(B:B,Table1[[#This Row],[order_id]])</f>
        <v>0.33333333333333331</v>
      </c>
      <c r="D3960" t="str">
        <f>TEXT(Table1[[#This Row],[order_date]],"mmmm")</f>
        <v>November</v>
      </c>
      <c r="E3960" s="1">
        <v>45598</v>
      </c>
      <c r="F3960" s="1" t="str">
        <f>TEXT(Table1[[#This Row],[order_date]],"dddd")</f>
        <v>Saturday</v>
      </c>
      <c r="G3960">
        <f>HOUR(Table1[[#This Row],[order_time]])</f>
        <v>13</v>
      </c>
      <c r="H3960" s="2">
        <v>0.54748842592592595</v>
      </c>
      <c r="I3960" t="s">
        <v>11</v>
      </c>
      <c r="J3960" t="s">
        <v>14</v>
      </c>
      <c r="K3960">
        <v>1</v>
      </c>
      <c r="L3960">
        <v>700</v>
      </c>
      <c r="M3960">
        <v>700</v>
      </c>
      <c r="N3960">
        <f>IF(COUNTIFS($B$2:B3960,B3960)=1,1,0)</f>
        <v>1</v>
      </c>
    </row>
    <row r="3961" spans="1:14" x14ac:dyDescent="0.2">
      <c r="A3961">
        <v>3960</v>
      </c>
      <c r="B3961">
        <v>2994</v>
      </c>
      <c r="C3961">
        <f>1/COUNTIF(B:B,Table1[[#This Row],[order_id]])</f>
        <v>0.33333333333333331</v>
      </c>
      <c r="D3961" t="str">
        <f>TEXT(Table1[[#This Row],[order_date]],"mmmm")</f>
        <v>November</v>
      </c>
      <c r="E3961" s="1">
        <v>45598</v>
      </c>
      <c r="F3961" s="1" t="str">
        <f>TEXT(Table1[[#This Row],[order_date]],"dddd")</f>
        <v>Saturday</v>
      </c>
      <c r="G3961">
        <f>HOUR(Table1[[#This Row],[order_time]])</f>
        <v>9</v>
      </c>
      <c r="H3961" s="2">
        <v>0.41539351851851852</v>
      </c>
      <c r="I3961" t="s">
        <v>18</v>
      </c>
      <c r="J3961" t="s">
        <v>19</v>
      </c>
      <c r="K3961">
        <v>4</v>
      </c>
      <c r="L3961">
        <v>50</v>
      </c>
      <c r="M3961">
        <v>200</v>
      </c>
      <c r="N3961">
        <f>IF(COUNTIFS($B$2:B3961,B3961)=1,1,0)</f>
        <v>0</v>
      </c>
    </row>
    <row r="3962" spans="1:14" x14ac:dyDescent="0.2">
      <c r="A3962">
        <v>3961</v>
      </c>
      <c r="B3962">
        <v>2994</v>
      </c>
      <c r="C3962">
        <f>1/COUNTIF(B:B,Table1[[#This Row],[order_id]])</f>
        <v>0.33333333333333331</v>
      </c>
      <c r="D3962" t="str">
        <f>TEXT(Table1[[#This Row],[order_date]],"mmmm")</f>
        <v>November</v>
      </c>
      <c r="E3962" s="1">
        <v>45598</v>
      </c>
      <c r="F3962" s="1" t="str">
        <f>TEXT(Table1[[#This Row],[order_date]],"dddd")</f>
        <v>Saturday</v>
      </c>
      <c r="G3962">
        <f>HOUR(Table1[[#This Row],[order_time]])</f>
        <v>17</v>
      </c>
      <c r="H3962" s="2">
        <v>0.73020833333333335</v>
      </c>
      <c r="I3962" t="s">
        <v>16</v>
      </c>
      <c r="J3962" t="s">
        <v>23</v>
      </c>
      <c r="K3962">
        <v>5</v>
      </c>
      <c r="L3962">
        <v>30</v>
      </c>
      <c r="M3962">
        <v>150</v>
      </c>
      <c r="N3962">
        <f>IF(COUNTIFS($B$2:B3962,B3962)=1,1,0)</f>
        <v>0</v>
      </c>
    </row>
    <row r="3963" spans="1:14" x14ac:dyDescent="0.2">
      <c r="A3963">
        <v>3962</v>
      </c>
      <c r="B3963">
        <v>2995</v>
      </c>
      <c r="C3963">
        <f>1/COUNTIF(B:B,Table1[[#This Row],[order_id]])</f>
        <v>0.5</v>
      </c>
      <c r="D3963" t="str">
        <f>TEXT(Table1[[#This Row],[order_date]],"mmmm")</f>
        <v>November</v>
      </c>
      <c r="E3963" s="1">
        <v>45598</v>
      </c>
      <c r="F3963" s="1" t="str">
        <f>TEXT(Table1[[#This Row],[order_date]],"dddd")</f>
        <v>Saturday</v>
      </c>
      <c r="G3963">
        <f>HOUR(Table1[[#This Row],[order_time]])</f>
        <v>14</v>
      </c>
      <c r="H3963" s="2">
        <v>0.60965277777777782</v>
      </c>
      <c r="I3963" t="s">
        <v>16</v>
      </c>
      <c r="J3963" t="s">
        <v>24</v>
      </c>
      <c r="K3963">
        <v>2</v>
      </c>
      <c r="L3963">
        <v>35</v>
      </c>
      <c r="M3963">
        <v>70</v>
      </c>
      <c r="N3963">
        <f>IF(COUNTIFS($B$2:B3963,B3963)=1,1,0)</f>
        <v>1</v>
      </c>
    </row>
    <row r="3964" spans="1:14" x14ac:dyDescent="0.2">
      <c r="A3964">
        <v>3963</v>
      </c>
      <c r="B3964">
        <v>2995</v>
      </c>
      <c r="C3964">
        <f>1/COUNTIF(B:B,Table1[[#This Row],[order_id]])</f>
        <v>0.5</v>
      </c>
      <c r="D3964" t="str">
        <f>TEXT(Table1[[#This Row],[order_date]],"mmmm")</f>
        <v>November</v>
      </c>
      <c r="E3964" s="1">
        <v>45598</v>
      </c>
      <c r="F3964" s="1" t="str">
        <f>TEXT(Table1[[#This Row],[order_date]],"dddd")</f>
        <v>Saturday</v>
      </c>
      <c r="G3964">
        <f>HOUR(Table1[[#This Row],[order_time]])</f>
        <v>12</v>
      </c>
      <c r="H3964" s="2">
        <v>0.51193287037037039</v>
      </c>
      <c r="I3964" t="s">
        <v>11</v>
      </c>
      <c r="J3964" t="s">
        <v>14</v>
      </c>
      <c r="K3964">
        <v>4</v>
      </c>
      <c r="L3964">
        <v>700</v>
      </c>
      <c r="M3964">
        <v>2800</v>
      </c>
      <c r="N3964">
        <f>IF(COUNTIFS($B$2:B3964,B3964)=1,1,0)</f>
        <v>0</v>
      </c>
    </row>
    <row r="3965" spans="1:14" x14ac:dyDescent="0.2">
      <c r="A3965">
        <v>3964</v>
      </c>
      <c r="B3965">
        <v>2996</v>
      </c>
      <c r="C3965">
        <f>1/COUNTIF(B:B,Table1[[#This Row],[order_id]])</f>
        <v>0.33333333333333331</v>
      </c>
      <c r="D3965" t="str">
        <f>TEXT(Table1[[#This Row],[order_date]],"mmmm")</f>
        <v>November</v>
      </c>
      <c r="E3965" s="1">
        <v>45598</v>
      </c>
      <c r="F3965" s="1" t="str">
        <f>TEXT(Table1[[#This Row],[order_date]],"dddd")</f>
        <v>Saturday</v>
      </c>
      <c r="G3965">
        <f>HOUR(Table1[[#This Row],[order_time]])</f>
        <v>16</v>
      </c>
      <c r="H3965" s="2">
        <v>0.68043981481481486</v>
      </c>
      <c r="I3965" t="s">
        <v>11</v>
      </c>
      <c r="J3965" t="s">
        <v>12</v>
      </c>
      <c r="K3965">
        <v>3</v>
      </c>
      <c r="L3965">
        <v>650</v>
      </c>
      <c r="M3965">
        <v>1950</v>
      </c>
      <c r="N3965">
        <f>IF(COUNTIFS($B$2:B3965,B3965)=1,1,0)</f>
        <v>1</v>
      </c>
    </row>
    <row r="3966" spans="1:14" x14ac:dyDescent="0.2">
      <c r="A3966">
        <v>3965</v>
      </c>
      <c r="B3966">
        <v>2996</v>
      </c>
      <c r="C3966">
        <f>1/COUNTIF(B:B,Table1[[#This Row],[order_id]])</f>
        <v>0.33333333333333331</v>
      </c>
      <c r="D3966" t="str">
        <f>TEXT(Table1[[#This Row],[order_date]],"mmmm")</f>
        <v>November</v>
      </c>
      <c r="E3966" s="1">
        <v>45598</v>
      </c>
      <c r="F3966" s="1" t="str">
        <f>TEXT(Table1[[#This Row],[order_date]],"dddd")</f>
        <v>Saturday</v>
      </c>
      <c r="G3966">
        <f>HOUR(Table1[[#This Row],[order_time]])</f>
        <v>15</v>
      </c>
      <c r="H3966" s="2">
        <v>0.66488425925925931</v>
      </c>
      <c r="I3966" t="s">
        <v>16</v>
      </c>
      <c r="J3966" t="s">
        <v>28</v>
      </c>
      <c r="K3966">
        <v>1</v>
      </c>
      <c r="L3966">
        <v>25</v>
      </c>
      <c r="M3966">
        <v>25</v>
      </c>
      <c r="N3966">
        <f>IF(COUNTIFS($B$2:B3966,B3966)=1,1,0)</f>
        <v>0</v>
      </c>
    </row>
    <row r="3967" spans="1:14" x14ac:dyDescent="0.2">
      <c r="A3967">
        <v>3966</v>
      </c>
      <c r="B3967">
        <v>2996</v>
      </c>
      <c r="C3967">
        <f>1/COUNTIF(B:B,Table1[[#This Row],[order_id]])</f>
        <v>0.33333333333333331</v>
      </c>
      <c r="D3967" t="str">
        <f>TEXT(Table1[[#This Row],[order_date]],"mmmm")</f>
        <v>November</v>
      </c>
      <c r="E3967" s="1">
        <v>45598</v>
      </c>
      <c r="F3967" s="1" t="str">
        <f>TEXT(Table1[[#This Row],[order_date]],"dddd")</f>
        <v>Saturday</v>
      </c>
      <c r="G3967">
        <f>HOUR(Table1[[#This Row],[order_time]])</f>
        <v>12</v>
      </c>
      <c r="H3967" s="2">
        <v>0.5151041666666667</v>
      </c>
      <c r="I3967" t="s">
        <v>11</v>
      </c>
      <c r="J3967" t="s">
        <v>12</v>
      </c>
      <c r="K3967">
        <v>4</v>
      </c>
      <c r="L3967">
        <v>650</v>
      </c>
      <c r="M3967">
        <v>2600</v>
      </c>
      <c r="N3967">
        <f>IF(COUNTIFS($B$2:B3967,B3967)=1,1,0)</f>
        <v>0</v>
      </c>
    </row>
    <row r="3968" spans="1:14" x14ac:dyDescent="0.2">
      <c r="A3968">
        <v>3967</v>
      </c>
      <c r="B3968">
        <v>2997</v>
      </c>
      <c r="C3968">
        <f>1/COUNTIF(B:B,Table1[[#This Row],[order_id]])</f>
        <v>0.33333333333333331</v>
      </c>
      <c r="D3968" t="str">
        <f>TEXT(Table1[[#This Row],[order_date]],"mmmm")</f>
        <v>November</v>
      </c>
      <c r="E3968" s="1">
        <v>45598</v>
      </c>
      <c r="F3968" s="1" t="str">
        <f>TEXT(Table1[[#This Row],[order_date]],"dddd")</f>
        <v>Saturday</v>
      </c>
      <c r="G3968">
        <f>HOUR(Table1[[#This Row],[order_time]])</f>
        <v>11</v>
      </c>
      <c r="H3968" s="2">
        <v>0.48166666666666669</v>
      </c>
      <c r="I3968" t="s">
        <v>16</v>
      </c>
      <c r="J3968" t="s">
        <v>17</v>
      </c>
      <c r="K3968">
        <v>3</v>
      </c>
      <c r="L3968">
        <v>20</v>
      </c>
      <c r="M3968">
        <v>60</v>
      </c>
      <c r="N3968">
        <f>IF(COUNTIFS($B$2:B3968,B3968)=1,1,0)</f>
        <v>1</v>
      </c>
    </row>
    <row r="3969" spans="1:14" x14ac:dyDescent="0.2">
      <c r="A3969">
        <v>3968</v>
      </c>
      <c r="B3969">
        <v>2997</v>
      </c>
      <c r="C3969">
        <f>1/COUNTIF(B:B,Table1[[#This Row],[order_id]])</f>
        <v>0.33333333333333331</v>
      </c>
      <c r="D3969" t="str">
        <f>TEXT(Table1[[#This Row],[order_date]],"mmmm")</f>
        <v>November</v>
      </c>
      <c r="E3969" s="1">
        <v>45598</v>
      </c>
      <c r="F3969" s="1" t="str">
        <f>TEXT(Table1[[#This Row],[order_date]],"dddd")</f>
        <v>Saturday</v>
      </c>
      <c r="G3969">
        <f>HOUR(Table1[[#This Row],[order_time]])</f>
        <v>16</v>
      </c>
      <c r="H3969" s="2">
        <v>0.69820601851851849</v>
      </c>
      <c r="I3969" t="s">
        <v>9</v>
      </c>
      <c r="J3969" t="s">
        <v>29</v>
      </c>
      <c r="K3969">
        <v>1</v>
      </c>
      <c r="L3969">
        <v>5</v>
      </c>
      <c r="M3969">
        <v>5</v>
      </c>
      <c r="N3969">
        <f>IF(COUNTIFS($B$2:B3969,B3969)=1,1,0)</f>
        <v>0</v>
      </c>
    </row>
    <row r="3970" spans="1:14" x14ac:dyDescent="0.2">
      <c r="A3970">
        <v>3969</v>
      </c>
      <c r="B3970">
        <v>2997</v>
      </c>
      <c r="C3970">
        <f>1/COUNTIF(B:B,Table1[[#This Row],[order_id]])</f>
        <v>0.33333333333333331</v>
      </c>
      <c r="D3970" t="str">
        <f>TEXT(Table1[[#This Row],[order_date]],"mmmm")</f>
        <v>November</v>
      </c>
      <c r="E3970" s="1">
        <v>45598</v>
      </c>
      <c r="F3970" s="1" t="str">
        <f>TEXT(Table1[[#This Row],[order_date]],"dddd")</f>
        <v>Saturday</v>
      </c>
      <c r="G3970">
        <f>HOUR(Table1[[#This Row],[order_time]])</f>
        <v>19</v>
      </c>
      <c r="H3970" s="2">
        <v>0.81371527777777775</v>
      </c>
      <c r="I3970" t="s">
        <v>16</v>
      </c>
      <c r="J3970" t="s">
        <v>24</v>
      </c>
      <c r="K3970">
        <v>4</v>
      </c>
      <c r="L3970">
        <v>35</v>
      </c>
      <c r="M3970">
        <v>140</v>
      </c>
      <c r="N3970">
        <f>IF(COUNTIFS($B$2:B3970,B3970)=1,1,0)</f>
        <v>0</v>
      </c>
    </row>
    <row r="3971" spans="1:14" x14ac:dyDescent="0.2">
      <c r="A3971">
        <v>3970</v>
      </c>
      <c r="B3971">
        <v>2998</v>
      </c>
      <c r="C3971">
        <f>1/COUNTIF(B:B,Table1[[#This Row],[order_id]])</f>
        <v>1</v>
      </c>
      <c r="D3971" t="str">
        <f>TEXT(Table1[[#This Row],[order_date]],"mmmm")</f>
        <v>November</v>
      </c>
      <c r="E3971" s="1">
        <v>45598</v>
      </c>
      <c r="F3971" s="1" t="str">
        <f>TEXT(Table1[[#This Row],[order_date]],"dddd")</f>
        <v>Saturday</v>
      </c>
      <c r="G3971">
        <f>HOUR(Table1[[#This Row],[order_time]])</f>
        <v>9</v>
      </c>
      <c r="H3971" s="2">
        <v>0.40332175925925928</v>
      </c>
      <c r="I3971" t="s">
        <v>11</v>
      </c>
      <c r="J3971" t="s">
        <v>13</v>
      </c>
      <c r="K3971">
        <v>2</v>
      </c>
      <c r="L3971">
        <v>680</v>
      </c>
      <c r="M3971">
        <v>1360</v>
      </c>
      <c r="N3971">
        <f>IF(COUNTIFS($B$2:B3971,B3971)=1,1,0)</f>
        <v>1</v>
      </c>
    </row>
    <row r="3972" spans="1:14" x14ac:dyDescent="0.2">
      <c r="A3972">
        <v>3971</v>
      </c>
      <c r="B3972">
        <v>2999</v>
      </c>
      <c r="C3972">
        <f>1/COUNTIF(B:B,Table1[[#This Row],[order_id]])</f>
        <v>0.33333333333333331</v>
      </c>
      <c r="D3972" t="str">
        <f>TEXT(Table1[[#This Row],[order_date]],"mmmm")</f>
        <v>November</v>
      </c>
      <c r="E3972" s="1">
        <v>45599</v>
      </c>
      <c r="F3972" s="1" t="str">
        <f>TEXT(Table1[[#This Row],[order_date]],"dddd")</f>
        <v>Sunday</v>
      </c>
      <c r="G3972">
        <f>HOUR(Table1[[#This Row],[order_time]])</f>
        <v>14</v>
      </c>
      <c r="H3972" s="2">
        <v>0.61907407407407411</v>
      </c>
      <c r="I3972" t="s">
        <v>11</v>
      </c>
      <c r="J3972" t="s">
        <v>25</v>
      </c>
      <c r="K3972">
        <v>2</v>
      </c>
      <c r="L3972">
        <v>1000</v>
      </c>
      <c r="M3972">
        <v>2000</v>
      </c>
      <c r="N3972">
        <f>IF(COUNTIFS($B$2:B3972,B3972)=1,1,0)</f>
        <v>1</v>
      </c>
    </row>
    <row r="3973" spans="1:14" x14ac:dyDescent="0.2">
      <c r="A3973">
        <v>3972</v>
      </c>
      <c r="B3973">
        <v>2999</v>
      </c>
      <c r="C3973">
        <f>1/COUNTIF(B:B,Table1[[#This Row],[order_id]])</f>
        <v>0.33333333333333331</v>
      </c>
      <c r="D3973" t="str">
        <f>TEXT(Table1[[#This Row],[order_date]],"mmmm")</f>
        <v>November</v>
      </c>
      <c r="E3973" s="1">
        <v>45599</v>
      </c>
      <c r="F3973" s="1" t="str">
        <f>TEXT(Table1[[#This Row],[order_date]],"dddd")</f>
        <v>Sunday</v>
      </c>
      <c r="G3973">
        <f>HOUR(Table1[[#This Row],[order_time]])</f>
        <v>15</v>
      </c>
      <c r="H3973" s="2">
        <v>0.66290509259259256</v>
      </c>
      <c r="I3973" t="s">
        <v>16</v>
      </c>
      <c r="J3973" t="s">
        <v>24</v>
      </c>
      <c r="K3973">
        <v>4</v>
      </c>
      <c r="L3973">
        <v>35</v>
      </c>
      <c r="M3973">
        <v>140</v>
      </c>
      <c r="N3973">
        <f>IF(COUNTIFS($B$2:B3973,B3973)=1,1,0)</f>
        <v>0</v>
      </c>
    </row>
    <row r="3974" spans="1:14" x14ac:dyDescent="0.2">
      <c r="A3974">
        <v>3973</v>
      </c>
      <c r="B3974">
        <v>2999</v>
      </c>
      <c r="C3974">
        <f>1/COUNTIF(B:B,Table1[[#This Row],[order_id]])</f>
        <v>0.33333333333333331</v>
      </c>
      <c r="D3974" t="str">
        <f>TEXT(Table1[[#This Row],[order_date]],"mmmm")</f>
        <v>November</v>
      </c>
      <c r="E3974" s="1">
        <v>45599</v>
      </c>
      <c r="F3974" s="1" t="str">
        <f>TEXT(Table1[[#This Row],[order_date]],"dddd")</f>
        <v>Sunday</v>
      </c>
      <c r="G3974">
        <f>HOUR(Table1[[#This Row],[order_time]])</f>
        <v>11</v>
      </c>
      <c r="H3974" s="2">
        <v>0.47792824074074075</v>
      </c>
      <c r="I3974" t="s">
        <v>9</v>
      </c>
      <c r="J3974" t="s">
        <v>29</v>
      </c>
      <c r="K3974">
        <v>1</v>
      </c>
      <c r="L3974">
        <v>5</v>
      </c>
      <c r="M3974">
        <v>5</v>
      </c>
      <c r="N3974">
        <f>IF(COUNTIFS($B$2:B3974,B3974)=1,1,0)</f>
        <v>0</v>
      </c>
    </row>
    <row r="3975" spans="1:14" x14ac:dyDescent="0.2">
      <c r="A3975">
        <v>3974</v>
      </c>
      <c r="B3975">
        <v>3000</v>
      </c>
      <c r="C3975">
        <f>1/COUNTIF(B:B,Table1[[#This Row],[order_id]])</f>
        <v>1</v>
      </c>
      <c r="D3975" t="str">
        <f>TEXT(Table1[[#This Row],[order_date]],"mmmm")</f>
        <v>November</v>
      </c>
      <c r="E3975" s="1">
        <v>45599</v>
      </c>
      <c r="F3975" s="1" t="str">
        <f>TEXT(Table1[[#This Row],[order_date]],"dddd")</f>
        <v>Sunday</v>
      </c>
      <c r="G3975">
        <f>HOUR(Table1[[#This Row],[order_time]])</f>
        <v>15</v>
      </c>
      <c r="H3975" s="2">
        <v>0.65857638888888892</v>
      </c>
      <c r="I3975" t="s">
        <v>18</v>
      </c>
      <c r="J3975" t="s">
        <v>27</v>
      </c>
      <c r="K3975">
        <v>2</v>
      </c>
      <c r="L3975">
        <v>40</v>
      </c>
      <c r="M3975">
        <v>80</v>
      </c>
      <c r="N3975">
        <f>IF(COUNTIFS($B$2:B3975,B3975)=1,1,0)</f>
        <v>1</v>
      </c>
    </row>
    <row r="3976" spans="1:14" x14ac:dyDescent="0.2">
      <c r="A3976">
        <v>3975</v>
      </c>
      <c r="B3976">
        <v>3001</v>
      </c>
      <c r="C3976">
        <f>1/COUNTIF(B:B,Table1[[#This Row],[order_id]])</f>
        <v>1</v>
      </c>
      <c r="D3976" t="str">
        <f>TEXT(Table1[[#This Row],[order_date]],"mmmm")</f>
        <v>November</v>
      </c>
      <c r="E3976" s="1">
        <v>45599</v>
      </c>
      <c r="F3976" s="1" t="str">
        <f>TEXT(Table1[[#This Row],[order_date]],"dddd")</f>
        <v>Sunday</v>
      </c>
      <c r="G3976">
        <f>HOUR(Table1[[#This Row],[order_time]])</f>
        <v>17</v>
      </c>
      <c r="H3976" s="2">
        <v>0.72326388888888893</v>
      </c>
      <c r="I3976" t="s">
        <v>18</v>
      </c>
      <c r="J3976" t="s">
        <v>30</v>
      </c>
      <c r="K3976">
        <v>3</v>
      </c>
      <c r="L3976">
        <v>60</v>
      </c>
      <c r="M3976">
        <v>180</v>
      </c>
      <c r="N3976">
        <f>IF(COUNTIFS($B$2:B3976,B3976)=1,1,0)</f>
        <v>1</v>
      </c>
    </row>
    <row r="3977" spans="1:14" x14ac:dyDescent="0.2">
      <c r="A3977">
        <v>3976</v>
      </c>
      <c r="B3977">
        <v>3002</v>
      </c>
      <c r="C3977">
        <f>1/COUNTIF(B:B,Table1[[#This Row],[order_id]])</f>
        <v>0.33333333333333331</v>
      </c>
      <c r="D3977" t="str">
        <f>TEXT(Table1[[#This Row],[order_date]],"mmmm")</f>
        <v>November</v>
      </c>
      <c r="E3977" s="1">
        <v>45599</v>
      </c>
      <c r="F3977" s="1" t="str">
        <f>TEXT(Table1[[#This Row],[order_date]],"dddd")</f>
        <v>Sunday</v>
      </c>
      <c r="G3977">
        <f>HOUR(Table1[[#This Row],[order_time]])</f>
        <v>12</v>
      </c>
      <c r="H3977" s="2">
        <v>0.51157407407407407</v>
      </c>
      <c r="I3977" t="s">
        <v>18</v>
      </c>
      <c r="J3977" t="s">
        <v>30</v>
      </c>
      <c r="K3977">
        <v>2</v>
      </c>
      <c r="L3977">
        <v>60</v>
      </c>
      <c r="M3977">
        <v>120</v>
      </c>
      <c r="N3977">
        <f>IF(COUNTIFS($B$2:B3977,B3977)=1,1,0)</f>
        <v>1</v>
      </c>
    </row>
    <row r="3978" spans="1:14" x14ac:dyDescent="0.2">
      <c r="A3978">
        <v>3977</v>
      </c>
      <c r="B3978">
        <v>3002</v>
      </c>
      <c r="C3978">
        <f>1/COUNTIF(B:B,Table1[[#This Row],[order_id]])</f>
        <v>0.33333333333333331</v>
      </c>
      <c r="D3978" t="str">
        <f>TEXT(Table1[[#This Row],[order_date]],"mmmm")</f>
        <v>November</v>
      </c>
      <c r="E3978" s="1">
        <v>45599</v>
      </c>
      <c r="F3978" s="1" t="str">
        <f>TEXT(Table1[[#This Row],[order_date]],"dddd")</f>
        <v>Sunday</v>
      </c>
      <c r="G3978">
        <f>HOUR(Table1[[#This Row],[order_time]])</f>
        <v>10</v>
      </c>
      <c r="H3978" s="2">
        <v>0.44350694444444444</v>
      </c>
      <c r="I3978" t="s">
        <v>9</v>
      </c>
      <c r="J3978" t="s">
        <v>22</v>
      </c>
      <c r="K3978">
        <v>1</v>
      </c>
      <c r="L3978">
        <v>15</v>
      </c>
      <c r="M3978">
        <v>15</v>
      </c>
      <c r="N3978">
        <f>IF(COUNTIFS($B$2:B3978,B3978)=1,1,0)</f>
        <v>0</v>
      </c>
    </row>
    <row r="3979" spans="1:14" x14ac:dyDescent="0.2">
      <c r="A3979">
        <v>3978</v>
      </c>
      <c r="B3979">
        <v>3002</v>
      </c>
      <c r="C3979">
        <f>1/COUNTIF(B:B,Table1[[#This Row],[order_id]])</f>
        <v>0.33333333333333331</v>
      </c>
      <c r="D3979" t="str">
        <f>TEXT(Table1[[#This Row],[order_date]],"mmmm")</f>
        <v>November</v>
      </c>
      <c r="E3979" s="1">
        <v>45599</v>
      </c>
      <c r="F3979" s="1" t="str">
        <f>TEXT(Table1[[#This Row],[order_date]],"dddd")</f>
        <v>Sunday</v>
      </c>
      <c r="G3979">
        <f>HOUR(Table1[[#This Row],[order_time]])</f>
        <v>12</v>
      </c>
      <c r="H3979" s="2">
        <v>0.53949074074074077</v>
      </c>
      <c r="I3979" t="s">
        <v>9</v>
      </c>
      <c r="J3979" t="s">
        <v>20</v>
      </c>
      <c r="K3979">
        <v>3</v>
      </c>
      <c r="L3979">
        <v>25</v>
      </c>
      <c r="M3979">
        <v>75</v>
      </c>
      <c r="N3979">
        <f>IF(COUNTIFS($B$2:B3979,B3979)=1,1,0)</f>
        <v>0</v>
      </c>
    </row>
    <row r="3980" spans="1:14" x14ac:dyDescent="0.2">
      <c r="A3980">
        <v>3979</v>
      </c>
      <c r="B3980">
        <v>3003</v>
      </c>
      <c r="C3980">
        <f>1/COUNTIF(B:B,Table1[[#This Row],[order_id]])</f>
        <v>0.5</v>
      </c>
      <c r="D3980" t="str">
        <f>TEXT(Table1[[#This Row],[order_date]],"mmmm")</f>
        <v>November</v>
      </c>
      <c r="E3980" s="1">
        <v>45599</v>
      </c>
      <c r="F3980" s="1" t="str">
        <f>TEXT(Table1[[#This Row],[order_date]],"dddd")</f>
        <v>Sunday</v>
      </c>
      <c r="G3980">
        <f>HOUR(Table1[[#This Row],[order_time]])</f>
        <v>13</v>
      </c>
      <c r="H3980" s="2">
        <v>0.55339120370370365</v>
      </c>
      <c r="I3980" t="s">
        <v>16</v>
      </c>
      <c r="J3980" t="s">
        <v>24</v>
      </c>
      <c r="K3980">
        <v>5</v>
      </c>
      <c r="L3980">
        <v>35</v>
      </c>
      <c r="M3980">
        <v>175</v>
      </c>
      <c r="N3980">
        <f>IF(COUNTIFS($B$2:B3980,B3980)=1,1,0)</f>
        <v>1</v>
      </c>
    </row>
    <row r="3981" spans="1:14" x14ac:dyDescent="0.2">
      <c r="A3981">
        <v>3980</v>
      </c>
      <c r="B3981">
        <v>3003</v>
      </c>
      <c r="C3981">
        <f>1/COUNTIF(B:B,Table1[[#This Row],[order_id]])</f>
        <v>0.5</v>
      </c>
      <c r="D3981" t="str">
        <f>TEXT(Table1[[#This Row],[order_date]],"mmmm")</f>
        <v>November</v>
      </c>
      <c r="E3981" s="1">
        <v>45599</v>
      </c>
      <c r="F3981" s="1" t="str">
        <f>TEXT(Table1[[#This Row],[order_date]],"dddd")</f>
        <v>Sunday</v>
      </c>
      <c r="G3981">
        <f>HOUR(Table1[[#This Row],[order_time]])</f>
        <v>18</v>
      </c>
      <c r="H3981" s="2">
        <v>0.75743055555555561</v>
      </c>
      <c r="I3981" t="s">
        <v>16</v>
      </c>
      <c r="J3981" t="s">
        <v>24</v>
      </c>
      <c r="K3981">
        <v>3</v>
      </c>
      <c r="L3981">
        <v>35</v>
      </c>
      <c r="M3981">
        <v>105</v>
      </c>
      <c r="N3981">
        <f>IF(COUNTIFS($B$2:B3981,B3981)=1,1,0)</f>
        <v>0</v>
      </c>
    </row>
    <row r="3982" spans="1:14" x14ac:dyDescent="0.2">
      <c r="A3982">
        <v>3981</v>
      </c>
      <c r="B3982">
        <v>3004</v>
      </c>
      <c r="C3982">
        <f>1/COUNTIF(B:B,Table1[[#This Row],[order_id]])</f>
        <v>1</v>
      </c>
      <c r="D3982" t="str">
        <f>TEXT(Table1[[#This Row],[order_date]],"mmmm")</f>
        <v>November</v>
      </c>
      <c r="E3982" s="1">
        <v>45599</v>
      </c>
      <c r="F3982" s="1" t="str">
        <f>TEXT(Table1[[#This Row],[order_date]],"dddd")</f>
        <v>Sunday</v>
      </c>
      <c r="G3982">
        <f>HOUR(Table1[[#This Row],[order_time]])</f>
        <v>10</v>
      </c>
      <c r="H3982" s="2">
        <v>0.4415277777777778</v>
      </c>
      <c r="I3982" t="s">
        <v>11</v>
      </c>
      <c r="J3982" t="s">
        <v>15</v>
      </c>
      <c r="K3982">
        <v>2</v>
      </c>
      <c r="L3982">
        <v>600</v>
      </c>
      <c r="M3982">
        <v>1200</v>
      </c>
      <c r="N3982">
        <f>IF(COUNTIFS($B$2:B3982,B3982)=1,1,0)</f>
        <v>1</v>
      </c>
    </row>
    <row r="3983" spans="1:14" x14ac:dyDescent="0.2">
      <c r="A3983">
        <v>3982</v>
      </c>
      <c r="B3983">
        <v>3005</v>
      </c>
      <c r="C3983">
        <f>1/COUNTIF(B:B,Table1[[#This Row],[order_id]])</f>
        <v>1</v>
      </c>
      <c r="D3983" t="str">
        <f>TEXT(Table1[[#This Row],[order_date]],"mmmm")</f>
        <v>November</v>
      </c>
      <c r="E3983" s="1">
        <v>45599</v>
      </c>
      <c r="F3983" s="1" t="str">
        <f>TEXT(Table1[[#This Row],[order_date]],"dddd")</f>
        <v>Sunday</v>
      </c>
      <c r="G3983">
        <f>HOUR(Table1[[#This Row],[order_time]])</f>
        <v>18</v>
      </c>
      <c r="H3983" s="2">
        <v>0.7838194444444444</v>
      </c>
      <c r="I3983" t="s">
        <v>16</v>
      </c>
      <c r="J3983" t="s">
        <v>28</v>
      </c>
      <c r="K3983">
        <v>4</v>
      </c>
      <c r="L3983">
        <v>25</v>
      </c>
      <c r="M3983">
        <v>100</v>
      </c>
      <c r="N3983">
        <f>IF(COUNTIFS($B$2:B3983,B3983)=1,1,0)</f>
        <v>1</v>
      </c>
    </row>
    <row r="3984" spans="1:14" x14ac:dyDescent="0.2">
      <c r="A3984">
        <v>3983</v>
      </c>
      <c r="B3984">
        <v>3006</v>
      </c>
      <c r="C3984">
        <f>1/COUNTIF(B:B,Table1[[#This Row],[order_id]])</f>
        <v>0.33333333333333331</v>
      </c>
      <c r="D3984" t="str">
        <f>TEXT(Table1[[#This Row],[order_date]],"mmmm")</f>
        <v>November</v>
      </c>
      <c r="E3984" s="1">
        <v>45599</v>
      </c>
      <c r="F3984" s="1" t="str">
        <f>TEXT(Table1[[#This Row],[order_date]],"dddd")</f>
        <v>Sunday</v>
      </c>
      <c r="G3984">
        <f>HOUR(Table1[[#This Row],[order_time]])</f>
        <v>20</v>
      </c>
      <c r="H3984" s="2">
        <v>0.83800925925925929</v>
      </c>
      <c r="I3984" t="s">
        <v>18</v>
      </c>
      <c r="J3984" t="s">
        <v>26</v>
      </c>
      <c r="K3984">
        <v>5</v>
      </c>
      <c r="L3984">
        <v>55</v>
      </c>
      <c r="M3984">
        <v>275</v>
      </c>
      <c r="N3984">
        <f>IF(COUNTIFS($B$2:B3984,B3984)=1,1,0)</f>
        <v>1</v>
      </c>
    </row>
    <row r="3985" spans="1:14" x14ac:dyDescent="0.2">
      <c r="A3985">
        <v>3984</v>
      </c>
      <c r="B3985">
        <v>3006</v>
      </c>
      <c r="C3985">
        <f>1/COUNTIF(B:B,Table1[[#This Row],[order_id]])</f>
        <v>0.33333333333333331</v>
      </c>
      <c r="D3985" t="str">
        <f>TEXT(Table1[[#This Row],[order_date]],"mmmm")</f>
        <v>November</v>
      </c>
      <c r="E3985" s="1">
        <v>45599</v>
      </c>
      <c r="F3985" s="1" t="str">
        <f>TEXT(Table1[[#This Row],[order_date]],"dddd")</f>
        <v>Sunday</v>
      </c>
      <c r="G3985">
        <f>HOUR(Table1[[#This Row],[order_time]])</f>
        <v>10</v>
      </c>
      <c r="H3985" s="2">
        <v>0.45140046296296299</v>
      </c>
      <c r="I3985" t="s">
        <v>16</v>
      </c>
      <c r="J3985" t="s">
        <v>24</v>
      </c>
      <c r="K3985">
        <v>4</v>
      </c>
      <c r="L3985">
        <v>35</v>
      </c>
      <c r="M3985">
        <v>140</v>
      </c>
      <c r="N3985">
        <f>IF(COUNTIFS($B$2:B3985,B3985)=1,1,0)</f>
        <v>0</v>
      </c>
    </row>
    <row r="3986" spans="1:14" x14ac:dyDescent="0.2">
      <c r="A3986">
        <v>3985</v>
      </c>
      <c r="B3986">
        <v>3006</v>
      </c>
      <c r="C3986">
        <f>1/COUNTIF(B:B,Table1[[#This Row],[order_id]])</f>
        <v>0.33333333333333331</v>
      </c>
      <c r="D3986" t="str">
        <f>TEXT(Table1[[#This Row],[order_date]],"mmmm")</f>
        <v>November</v>
      </c>
      <c r="E3986" s="1">
        <v>45599</v>
      </c>
      <c r="F3986" s="1" t="str">
        <f>TEXT(Table1[[#This Row],[order_date]],"dddd")</f>
        <v>Sunday</v>
      </c>
      <c r="G3986">
        <f>HOUR(Table1[[#This Row],[order_time]])</f>
        <v>13</v>
      </c>
      <c r="H3986" s="2">
        <v>0.56155092592592593</v>
      </c>
      <c r="I3986" t="s">
        <v>16</v>
      </c>
      <c r="J3986" t="s">
        <v>24</v>
      </c>
      <c r="K3986">
        <v>5</v>
      </c>
      <c r="L3986">
        <v>35</v>
      </c>
      <c r="M3986">
        <v>175</v>
      </c>
      <c r="N3986">
        <f>IF(COUNTIFS($B$2:B3986,B3986)=1,1,0)</f>
        <v>0</v>
      </c>
    </row>
    <row r="3987" spans="1:14" x14ac:dyDescent="0.2">
      <c r="A3987">
        <v>3986</v>
      </c>
      <c r="B3987">
        <v>3007</v>
      </c>
      <c r="C3987">
        <f>1/COUNTIF(B:B,Table1[[#This Row],[order_id]])</f>
        <v>1</v>
      </c>
      <c r="D3987" t="str">
        <f>TEXT(Table1[[#This Row],[order_date]],"mmmm")</f>
        <v>November</v>
      </c>
      <c r="E3987" s="1">
        <v>45599</v>
      </c>
      <c r="F3987" s="1" t="str">
        <f>TEXT(Table1[[#This Row],[order_date]],"dddd")</f>
        <v>Sunday</v>
      </c>
      <c r="G3987">
        <f>HOUR(Table1[[#This Row],[order_time]])</f>
        <v>12</v>
      </c>
      <c r="H3987" s="2">
        <v>0.525787037037037</v>
      </c>
      <c r="I3987" t="s">
        <v>9</v>
      </c>
      <c r="J3987" t="s">
        <v>22</v>
      </c>
      <c r="K3987">
        <v>5</v>
      </c>
      <c r="L3987">
        <v>15</v>
      </c>
      <c r="M3987">
        <v>75</v>
      </c>
      <c r="N3987">
        <f>IF(COUNTIFS($B$2:B3987,B3987)=1,1,0)</f>
        <v>1</v>
      </c>
    </row>
    <row r="3988" spans="1:14" x14ac:dyDescent="0.2">
      <c r="A3988">
        <v>3987</v>
      </c>
      <c r="B3988">
        <v>3008</v>
      </c>
      <c r="C3988">
        <f>1/COUNTIF(B:B,Table1[[#This Row],[order_id]])</f>
        <v>0.5</v>
      </c>
      <c r="D3988" t="str">
        <f>TEXT(Table1[[#This Row],[order_date]],"mmmm")</f>
        <v>November</v>
      </c>
      <c r="E3988" s="1">
        <v>45599</v>
      </c>
      <c r="F3988" s="1" t="str">
        <f>TEXT(Table1[[#This Row],[order_date]],"dddd")</f>
        <v>Sunday</v>
      </c>
      <c r="G3988">
        <f>HOUR(Table1[[#This Row],[order_time]])</f>
        <v>18</v>
      </c>
      <c r="H3988" s="2">
        <v>0.78567129629629628</v>
      </c>
      <c r="I3988" t="s">
        <v>9</v>
      </c>
      <c r="J3988" t="s">
        <v>20</v>
      </c>
      <c r="K3988">
        <v>5</v>
      </c>
      <c r="L3988">
        <v>25</v>
      </c>
      <c r="M3988">
        <v>125</v>
      </c>
      <c r="N3988">
        <f>IF(COUNTIFS($B$2:B3988,B3988)=1,1,0)</f>
        <v>1</v>
      </c>
    </row>
    <row r="3989" spans="1:14" x14ac:dyDescent="0.2">
      <c r="A3989">
        <v>3988</v>
      </c>
      <c r="B3989">
        <v>3008</v>
      </c>
      <c r="C3989">
        <f>1/COUNTIF(B:B,Table1[[#This Row],[order_id]])</f>
        <v>0.5</v>
      </c>
      <c r="D3989" t="str">
        <f>TEXT(Table1[[#This Row],[order_date]],"mmmm")</f>
        <v>November</v>
      </c>
      <c r="E3989" s="1">
        <v>45599</v>
      </c>
      <c r="F3989" s="1" t="str">
        <f>TEXT(Table1[[#This Row],[order_date]],"dddd")</f>
        <v>Sunday</v>
      </c>
      <c r="G3989">
        <f>HOUR(Table1[[#This Row],[order_time]])</f>
        <v>15</v>
      </c>
      <c r="H3989" s="2">
        <v>0.66500000000000004</v>
      </c>
      <c r="I3989" t="s">
        <v>18</v>
      </c>
      <c r="J3989" t="s">
        <v>27</v>
      </c>
      <c r="K3989">
        <v>5</v>
      </c>
      <c r="L3989">
        <v>40</v>
      </c>
      <c r="M3989">
        <v>200</v>
      </c>
      <c r="N3989">
        <f>IF(COUNTIFS($B$2:B3989,B3989)=1,1,0)</f>
        <v>0</v>
      </c>
    </row>
    <row r="3990" spans="1:14" x14ac:dyDescent="0.2">
      <c r="A3990">
        <v>3989</v>
      </c>
      <c r="B3990">
        <v>3009</v>
      </c>
      <c r="C3990">
        <f>1/COUNTIF(B:B,Table1[[#This Row],[order_id]])</f>
        <v>0.33333333333333331</v>
      </c>
      <c r="D3990" t="str">
        <f>TEXT(Table1[[#This Row],[order_date]],"mmmm")</f>
        <v>November</v>
      </c>
      <c r="E3990" s="1">
        <v>45600</v>
      </c>
      <c r="F3990" s="1" t="str">
        <f>TEXT(Table1[[#This Row],[order_date]],"dddd")</f>
        <v>Monday</v>
      </c>
      <c r="G3990">
        <f>HOUR(Table1[[#This Row],[order_time]])</f>
        <v>13</v>
      </c>
      <c r="H3990" s="2">
        <v>0.55701388888888892</v>
      </c>
      <c r="I3990" t="s">
        <v>18</v>
      </c>
      <c r="J3990" t="s">
        <v>26</v>
      </c>
      <c r="K3990">
        <v>1</v>
      </c>
      <c r="L3990">
        <v>55</v>
      </c>
      <c r="M3990">
        <v>55</v>
      </c>
      <c r="N3990">
        <f>IF(COUNTIFS($B$2:B3990,B3990)=1,1,0)</f>
        <v>1</v>
      </c>
    </row>
    <row r="3991" spans="1:14" x14ac:dyDescent="0.2">
      <c r="A3991">
        <v>3990</v>
      </c>
      <c r="B3991">
        <v>3009</v>
      </c>
      <c r="C3991">
        <f>1/COUNTIF(B:B,Table1[[#This Row],[order_id]])</f>
        <v>0.33333333333333331</v>
      </c>
      <c r="D3991" t="str">
        <f>TEXT(Table1[[#This Row],[order_date]],"mmmm")</f>
        <v>November</v>
      </c>
      <c r="E3991" s="1">
        <v>45600</v>
      </c>
      <c r="F3991" s="1" t="str">
        <f>TEXT(Table1[[#This Row],[order_date]],"dddd")</f>
        <v>Monday</v>
      </c>
      <c r="G3991">
        <f>HOUR(Table1[[#This Row],[order_time]])</f>
        <v>18</v>
      </c>
      <c r="H3991" s="2">
        <v>0.78030092592592593</v>
      </c>
      <c r="I3991" t="s">
        <v>18</v>
      </c>
      <c r="J3991" t="s">
        <v>31</v>
      </c>
      <c r="K3991">
        <v>4</v>
      </c>
      <c r="L3991">
        <v>45</v>
      </c>
      <c r="M3991">
        <v>180</v>
      </c>
      <c r="N3991">
        <f>IF(COUNTIFS($B$2:B3991,B3991)=1,1,0)</f>
        <v>0</v>
      </c>
    </row>
    <row r="3992" spans="1:14" x14ac:dyDescent="0.2">
      <c r="A3992">
        <v>3991</v>
      </c>
      <c r="B3992">
        <v>3009</v>
      </c>
      <c r="C3992">
        <f>1/COUNTIF(B:B,Table1[[#This Row],[order_id]])</f>
        <v>0.33333333333333331</v>
      </c>
      <c r="D3992" t="str">
        <f>TEXT(Table1[[#This Row],[order_date]],"mmmm")</f>
        <v>November</v>
      </c>
      <c r="E3992" s="1">
        <v>45600</v>
      </c>
      <c r="F3992" s="1" t="str">
        <f>TEXT(Table1[[#This Row],[order_date]],"dddd")</f>
        <v>Monday</v>
      </c>
      <c r="G3992">
        <f>HOUR(Table1[[#This Row],[order_time]])</f>
        <v>10</v>
      </c>
      <c r="H3992" s="2">
        <v>0.43337962962962961</v>
      </c>
      <c r="I3992" t="s">
        <v>9</v>
      </c>
      <c r="J3992" t="s">
        <v>20</v>
      </c>
      <c r="K3992">
        <v>4</v>
      </c>
      <c r="L3992">
        <v>25</v>
      </c>
      <c r="M3992">
        <v>100</v>
      </c>
      <c r="N3992">
        <f>IF(COUNTIFS($B$2:B3992,B3992)=1,1,0)</f>
        <v>0</v>
      </c>
    </row>
    <row r="3993" spans="1:14" x14ac:dyDescent="0.2">
      <c r="A3993">
        <v>3992</v>
      </c>
      <c r="B3993">
        <v>3010</v>
      </c>
      <c r="C3993">
        <f>1/COUNTIF(B:B,Table1[[#This Row],[order_id]])</f>
        <v>1</v>
      </c>
      <c r="D3993" t="str">
        <f>TEXT(Table1[[#This Row],[order_date]],"mmmm")</f>
        <v>November</v>
      </c>
      <c r="E3993" s="1">
        <v>45600</v>
      </c>
      <c r="F3993" s="1" t="str">
        <f>TEXT(Table1[[#This Row],[order_date]],"dddd")</f>
        <v>Monday</v>
      </c>
      <c r="G3993">
        <f>HOUR(Table1[[#This Row],[order_time]])</f>
        <v>17</v>
      </c>
      <c r="H3993" s="2">
        <v>0.73881944444444447</v>
      </c>
      <c r="I3993" t="s">
        <v>16</v>
      </c>
      <c r="J3993" t="s">
        <v>23</v>
      </c>
      <c r="K3993">
        <v>1</v>
      </c>
      <c r="L3993">
        <v>30</v>
      </c>
      <c r="M3993">
        <v>30</v>
      </c>
      <c r="N3993">
        <f>IF(COUNTIFS($B$2:B3993,B3993)=1,1,0)</f>
        <v>1</v>
      </c>
    </row>
    <row r="3994" spans="1:14" x14ac:dyDescent="0.2">
      <c r="A3994">
        <v>3993</v>
      </c>
      <c r="B3994">
        <v>3011</v>
      </c>
      <c r="C3994">
        <f>1/COUNTIF(B:B,Table1[[#This Row],[order_id]])</f>
        <v>1</v>
      </c>
      <c r="D3994" t="str">
        <f>TEXT(Table1[[#This Row],[order_date]],"mmmm")</f>
        <v>November</v>
      </c>
      <c r="E3994" s="1">
        <v>45600</v>
      </c>
      <c r="F3994" s="1" t="str">
        <f>TEXT(Table1[[#This Row],[order_date]],"dddd")</f>
        <v>Monday</v>
      </c>
      <c r="G3994">
        <f>HOUR(Table1[[#This Row],[order_time]])</f>
        <v>12</v>
      </c>
      <c r="H3994" s="2">
        <v>0.53775462962962961</v>
      </c>
      <c r="I3994" t="s">
        <v>9</v>
      </c>
      <c r="J3994" t="s">
        <v>29</v>
      </c>
      <c r="K3994">
        <v>4</v>
      </c>
      <c r="L3994">
        <v>5</v>
      </c>
      <c r="M3994">
        <v>20</v>
      </c>
      <c r="N3994">
        <f>IF(COUNTIFS($B$2:B3994,B3994)=1,1,0)</f>
        <v>1</v>
      </c>
    </row>
    <row r="3995" spans="1:14" x14ac:dyDescent="0.2">
      <c r="A3995">
        <v>3994</v>
      </c>
      <c r="B3995">
        <v>3012</v>
      </c>
      <c r="C3995">
        <f>1/COUNTIF(B:B,Table1[[#This Row],[order_id]])</f>
        <v>1</v>
      </c>
      <c r="D3995" t="str">
        <f>TEXT(Table1[[#This Row],[order_date]],"mmmm")</f>
        <v>November</v>
      </c>
      <c r="E3995" s="1">
        <v>45601</v>
      </c>
      <c r="F3995" s="1" t="str">
        <f>TEXT(Table1[[#This Row],[order_date]],"dddd")</f>
        <v>Tuesday</v>
      </c>
      <c r="G3995">
        <f>HOUR(Table1[[#This Row],[order_time]])</f>
        <v>20</v>
      </c>
      <c r="H3995" s="2">
        <v>0.83829861111111115</v>
      </c>
      <c r="I3995" t="s">
        <v>16</v>
      </c>
      <c r="J3995" t="s">
        <v>17</v>
      </c>
      <c r="K3995">
        <v>3</v>
      </c>
      <c r="L3995">
        <v>20</v>
      </c>
      <c r="M3995">
        <v>60</v>
      </c>
      <c r="N3995">
        <f>IF(COUNTIFS($B$2:B3995,B3995)=1,1,0)</f>
        <v>1</v>
      </c>
    </row>
    <row r="3996" spans="1:14" x14ac:dyDescent="0.2">
      <c r="A3996">
        <v>3995</v>
      </c>
      <c r="B3996">
        <v>3013</v>
      </c>
      <c r="C3996">
        <f>1/COUNTIF(B:B,Table1[[#This Row],[order_id]])</f>
        <v>0.5</v>
      </c>
      <c r="D3996" t="str">
        <f>TEXT(Table1[[#This Row],[order_date]],"mmmm")</f>
        <v>November</v>
      </c>
      <c r="E3996" s="1">
        <v>45601</v>
      </c>
      <c r="F3996" s="1" t="str">
        <f>TEXT(Table1[[#This Row],[order_date]],"dddd")</f>
        <v>Tuesday</v>
      </c>
      <c r="G3996">
        <f>HOUR(Table1[[#This Row],[order_time]])</f>
        <v>19</v>
      </c>
      <c r="H3996" s="2">
        <v>0.82237268518518514</v>
      </c>
      <c r="I3996" t="s">
        <v>9</v>
      </c>
      <c r="J3996" t="s">
        <v>29</v>
      </c>
      <c r="K3996">
        <v>3</v>
      </c>
      <c r="L3996">
        <v>5</v>
      </c>
      <c r="M3996">
        <v>15</v>
      </c>
      <c r="N3996">
        <f>IF(COUNTIFS($B$2:B3996,B3996)=1,1,0)</f>
        <v>1</v>
      </c>
    </row>
    <row r="3997" spans="1:14" x14ac:dyDescent="0.2">
      <c r="A3997">
        <v>3996</v>
      </c>
      <c r="B3997">
        <v>3013</v>
      </c>
      <c r="C3997">
        <f>1/COUNTIF(B:B,Table1[[#This Row],[order_id]])</f>
        <v>0.5</v>
      </c>
      <c r="D3997" t="str">
        <f>TEXT(Table1[[#This Row],[order_date]],"mmmm")</f>
        <v>November</v>
      </c>
      <c r="E3997" s="1">
        <v>45601</v>
      </c>
      <c r="F3997" s="1" t="str">
        <f>TEXT(Table1[[#This Row],[order_date]],"dddd")</f>
        <v>Tuesday</v>
      </c>
      <c r="G3997">
        <f>HOUR(Table1[[#This Row],[order_time]])</f>
        <v>19</v>
      </c>
      <c r="H3997" s="2">
        <v>0.81560185185185186</v>
      </c>
      <c r="I3997" t="s">
        <v>18</v>
      </c>
      <c r="J3997" t="s">
        <v>30</v>
      </c>
      <c r="K3997">
        <v>5</v>
      </c>
      <c r="L3997">
        <v>60</v>
      </c>
      <c r="M3997">
        <v>300</v>
      </c>
      <c r="N3997">
        <f>IF(COUNTIFS($B$2:B3997,B3997)=1,1,0)</f>
        <v>0</v>
      </c>
    </row>
    <row r="3998" spans="1:14" x14ac:dyDescent="0.2">
      <c r="A3998">
        <v>3997</v>
      </c>
      <c r="B3998">
        <v>3014</v>
      </c>
      <c r="C3998">
        <f>1/COUNTIF(B:B,Table1[[#This Row],[order_id]])</f>
        <v>0.33333333333333331</v>
      </c>
      <c r="D3998" t="str">
        <f>TEXT(Table1[[#This Row],[order_date]],"mmmm")</f>
        <v>November</v>
      </c>
      <c r="E3998" s="1">
        <v>45601</v>
      </c>
      <c r="F3998" s="1" t="str">
        <f>TEXT(Table1[[#This Row],[order_date]],"dddd")</f>
        <v>Tuesday</v>
      </c>
      <c r="G3998">
        <f>HOUR(Table1[[#This Row],[order_time]])</f>
        <v>14</v>
      </c>
      <c r="H3998" s="2">
        <v>0.61694444444444441</v>
      </c>
      <c r="I3998" t="s">
        <v>16</v>
      </c>
      <c r="J3998" t="s">
        <v>17</v>
      </c>
      <c r="K3998">
        <v>1</v>
      </c>
      <c r="L3998">
        <v>20</v>
      </c>
      <c r="M3998">
        <v>20</v>
      </c>
      <c r="N3998">
        <f>IF(COUNTIFS($B$2:B3998,B3998)=1,1,0)</f>
        <v>1</v>
      </c>
    </row>
    <row r="3999" spans="1:14" x14ac:dyDescent="0.2">
      <c r="A3999">
        <v>3998</v>
      </c>
      <c r="B3999">
        <v>3014</v>
      </c>
      <c r="C3999">
        <f>1/COUNTIF(B:B,Table1[[#This Row],[order_id]])</f>
        <v>0.33333333333333331</v>
      </c>
      <c r="D3999" t="str">
        <f>TEXT(Table1[[#This Row],[order_date]],"mmmm")</f>
        <v>November</v>
      </c>
      <c r="E3999" s="1">
        <v>45601</v>
      </c>
      <c r="F3999" s="1" t="str">
        <f>TEXT(Table1[[#This Row],[order_date]],"dddd")</f>
        <v>Tuesday</v>
      </c>
      <c r="G3999">
        <f>HOUR(Table1[[#This Row],[order_time]])</f>
        <v>9</v>
      </c>
      <c r="H3999" s="2">
        <v>0.39753472222222225</v>
      </c>
      <c r="I3999" t="s">
        <v>16</v>
      </c>
      <c r="J3999" t="s">
        <v>24</v>
      </c>
      <c r="K3999">
        <v>5</v>
      </c>
      <c r="L3999">
        <v>35</v>
      </c>
      <c r="M3999">
        <v>175</v>
      </c>
      <c r="N3999">
        <f>IF(COUNTIFS($B$2:B3999,B3999)=1,1,0)</f>
        <v>0</v>
      </c>
    </row>
    <row r="4000" spans="1:14" x14ac:dyDescent="0.2">
      <c r="A4000">
        <v>3999</v>
      </c>
      <c r="B4000">
        <v>3014</v>
      </c>
      <c r="C4000">
        <f>1/COUNTIF(B:B,Table1[[#This Row],[order_id]])</f>
        <v>0.33333333333333331</v>
      </c>
      <c r="D4000" t="str">
        <f>TEXT(Table1[[#This Row],[order_date]],"mmmm")</f>
        <v>November</v>
      </c>
      <c r="E4000" s="1">
        <v>45601</v>
      </c>
      <c r="F4000" s="1" t="str">
        <f>TEXT(Table1[[#This Row],[order_date]],"dddd")</f>
        <v>Tuesday</v>
      </c>
      <c r="G4000">
        <f>HOUR(Table1[[#This Row],[order_time]])</f>
        <v>11</v>
      </c>
      <c r="H4000" s="2">
        <v>0.47342592592592592</v>
      </c>
      <c r="I4000" t="s">
        <v>11</v>
      </c>
      <c r="J4000" t="s">
        <v>13</v>
      </c>
      <c r="K4000">
        <v>4</v>
      </c>
      <c r="L4000">
        <v>680</v>
      </c>
      <c r="M4000">
        <v>2720</v>
      </c>
      <c r="N4000">
        <f>IF(COUNTIFS($B$2:B4000,B4000)=1,1,0)</f>
        <v>0</v>
      </c>
    </row>
    <row r="4001" spans="1:14" x14ac:dyDescent="0.2">
      <c r="A4001">
        <v>4000</v>
      </c>
      <c r="B4001">
        <v>3015</v>
      </c>
      <c r="C4001">
        <f>1/COUNTIF(B:B,Table1[[#This Row],[order_id]])</f>
        <v>0.33333333333333331</v>
      </c>
      <c r="D4001" t="str">
        <f>TEXT(Table1[[#This Row],[order_date]],"mmmm")</f>
        <v>November</v>
      </c>
      <c r="E4001" s="1">
        <v>45601</v>
      </c>
      <c r="F4001" s="1" t="str">
        <f>TEXT(Table1[[#This Row],[order_date]],"dddd")</f>
        <v>Tuesday</v>
      </c>
      <c r="G4001">
        <f>HOUR(Table1[[#This Row],[order_time]])</f>
        <v>12</v>
      </c>
      <c r="H4001" s="2">
        <v>0.50855324074074071</v>
      </c>
      <c r="I4001" t="s">
        <v>16</v>
      </c>
      <c r="J4001" t="s">
        <v>24</v>
      </c>
      <c r="K4001">
        <v>2</v>
      </c>
      <c r="L4001">
        <v>35</v>
      </c>
      <c r="M4001">
        <v>70</v>
      </c>
      <c r="N4001">
        <f>IF(COUNTIFS($B$2:B4001,B4001)=1,1,0)</f>
        <v>1</v>
      </c>
    </row>
    <row r="4002" spans="1:14" x14ac:dyDescent="0.2">
      <c r="A4002">
        <v>4001</v>
      </c>
      <c r="B4002">
        <v>3015</v>
      </c>
      <c r="C4002">
        <f>1/COUNTIF(B:B,Table1[[#This Row],[order_id]])</f>
        <v>0.33333333333333331</v>
      </c>
      <c r="D4002" t="str">
        <f>TEXT(Table1[[#This Row],[order_date]],"mmmm")</f>
        <v>November</v>
      </c>
      <c r="E4002" s="1">
        <v>45601</v>
      </c>
      <c r="F4002" s="1" t="str">
        <f>TEXT(Table1[[#This Row],[order_date]],"dddd")</f>
        <v>Tuesday</v>
      </c>
      <c r="G4002">
        <f>HOUR(Table1[[#This Row],[order_time]])</f>
        <v>17</v>
      </c>
      <c r="H4002" s="2">
        <v>0.73340277777777774</v>
      </c>
      <c r="I4002" t="s">
        <v>16</v>
      </c>
      <c r="J4002" t="s">
        <v>23</v>
      </c>
      <c r="K4002">
        <v>4</v>
      </c>
      <c r="L4002">
        <v>30</v>
      </c>
      <c r="M4002">
        <v>120</v>
      </c>
      <c r="N4002">
        <f>IF(COUNTIFS($B$2:B4002,B4002)=1,1,0)</f>
        <v>0</v>
      </c>
    </row>
    <row r="4003" spans="1:14" x14ac:dyDescent="0.2">
      <c r="A4003">
        <v>4002</v>
      </c>
      <c r="B4003">
        <v>3015</v>
      </c>
      <c r="C4003">
        <f>1/COUNTIF(B:B,Table1[[#This Row],[order_id]])</f>
        <v>0.33333333333333331</v>
      </c>
      <c r="D4003" t="str">
        <f>TEXT(Table1[[#This Row],[order_date]],"mmmm")</f>
        <v>November</v>
      </c>
      <c r="E4003" s="1">
        <v>45601</v>
      </c>
      <c r="F4003" s="1" t="str">
        <f>TEXT(Table1[[#This Row],[order_date]],"dddd")</f>
        <v>Tuesday</v>
      </c>
      <c r="G4003">
        <f>HOUR(Table1[[#This Row],[order_time]])</f>
        <v>9</v>
      </c>
      <c r="H4003" s="2">
        <v>0.4129976851851852</v>
      </c>
      <c r="I4003" t="s">
        <v>16</v>
      </c>
      <c r="J4003" t="s">
        <v>24</v>
      </c>
      <c r="K4003">
        <v>1</v>
      </c>
      <c r="L4003">
        <v>35</v>
      </c>
      <c r="M4003">
        <v>35</v>
      </c>
      <c r="N4003">
        <f>IF(COUNTIFS($B$2:B4003,B4003)=1,1,0)</f>
        <v>0</v>
      </c>
    </row>
    <row r="4004" spans="1:14" x14ac:dyDescent="0.2">
      <c r="A4004">
        <v>4003</v>
      </c>
      <c r="B4004">
        <v>3016</v>
      </c>
      <c r="C4004">
        <f>1/COUNTIF(B:B,Table1[[#This Row],[order_id]])</f>
        <v>0.33333333333333331</v>
      </c>
      <c r="D4004" t="str">
        <f>TEXT(Table1[[#This Row],[order_date]],"mmmm")</f>
        <v>November</v>
      </c>
      <c r="E4004" s="1">
        <v>45601</v>
      </c>
      <c r="F4004" s="1" t="str">
        <f>TEXT(Table1[[#This Row],[order_date]],"dddd")</f>
        <v>Tuesday</v>
      </c>
      <c r="G4004">
        <f>HOUR(Table1[[#This Row],[order_time]])</f>
        <v>16</v>
      </c>
      <c r="H4004" s="2">
        <v>0.69059027777777782</v>
      </c>
      <c r="I4004" t="s">
        <v>18</v>
      </c>
      <c r="J4004" t="s">
        <v>26</v>
      </c>
      <c r="K4004">
        <v>2</v>
      </c>
      <c r="L4004">
        <v>55</v>
      </c>
      <c r="M4004">
        <v>110</v>
      </c>
      <c r="N4004">
        <f>IF(COUNTIFS($B$2:B4004,B4004)=1,1,0)</f>
        <v>1</v>
      </c>
    </row>
    <row r="4005" spans="1:14" x14ac:dyDescent="0.2">
      <c r="A4005">
        <v>4004</v>
      </c>
      <c r="B4005">
        <v>3016</v>
      </c>
      <c r="C4005">
        <f>1/COUNTIF(B:B,Table1[[#This Row],[order_id]])</f>
        <v>0.33333333333333331</v>
      </c>
      <c r="D4005" t="str">
        <f>TEXT(Table1[[#This Row],[order_date]],"mmmm")</f>
        <v>November</v>
      </c>
      <c r="E4005" s="1">
        <v>45601</v>
      </c>
      <c r="F4005" s="1" t="str">
        <f>TEXT(Table1[[#This Row],[order_date]],"dddd")</f>
        <v>Tuesday</v>
      </c>
      <c r="G4005">
        <f>HOUR(Table1[[#This Row],[order_time]])</f>
        <v>17</v>
      </c>
      <c r="H4005" s="2">
        <v>0.73591435185185183</v>
      </c>
      <c r="I4005" t="s">
        <v>11</v>
      </c>
      <c r="J4005" t="s">
        <v>15</v>
      </c>
      <c r="K4005">
        <v>1</v>
      </c>
      <c r="L4005">
        <v>600</v>
      </c>
      <c r="M4005">
        <v>600</v>
      </c>
      <c r="N4005">
        <f>IF(COUNTIFS($B$2:B4005,B4005)=1,1,0)</f>
        <v>0</v>
      </c>
    </row>
    <row r="4006" spans="1:14" x14ac:dyDescent="0.2">
      <c r="A4006">
        <v>4005</v>
      </c>
      <c r="B4006">
        <v>3016</v>
      </c>
      <c r="C4006">
        <f>1/COUNTIF(B:B,Table1[[#This Row],[order_id]])</f>
        <v>0.33333333333333331</v>
      </c>
      <c r="D4006" t="str">
        <f>TEXT(Table1[[#This Row],[order_date]],"mmmm")</f>
        <v>November</v>
      </c>
      <c r="E4006" s="1">
        <v>45601</v>
      </c>
      <c r="F4006" s="1" t="str">
        <f>TEXT(Table1[[#This Row],[order_date]],"dddd")</f>
        <v>Tuesday</v>
      </c>
      <c r="G4006">
        <f>HOUR(Table1[[#This Row],[order_time]])</f>
        <v>16</v>
      </c>
      <c r="H4006" s="2">
        <v>0.66978009259259264</v>
      </c>
      <c r="I4006" t="s">
        <v>11</v>
      </c>
      <c r="J4006" t="s">
        <v>13</v>
      </c>
      <c r="K4006">
        <v>3</v>
      </c>
      <c r="L4006">
        <v>680</v>
      </c>
      <c r="M4006">
        <v>2040</v>
      </c>
      <c r="N4006">
        <f>IF(COUNTIFS($B$2:B4006,B4006)=1,1,0)</f>
        <v>0</v>
      </c>
    </row>
    <row r="4007" spans="1:14" x14ac:dyDescent="0.2">
      <c r="A4007">
        <v>4006</v>
      </c>
      <c r="B4007">
        <v>3017</v>
      </c>
      <c r="C4007">
        <f>1/COUNTIF(B:B,Table1[[#This Row],[order_id]])</f>
        <v>0.33333333333333331</v>
      </c>
      <c r="D4007" t="str">
        <f>TEXT(Table1[[#This Row],[order_date]],"mmmm")</f>
        <v>November</v>
      </c>
      <c r="E4007" s="1">
        <v>45601</v>
      </c>
      <c r="F4007" s="1" t="str">
        <f>TEXT(Table1[[#This Row],[order_date]],"dddd")</f>
        <v>Tuesday</v>
      </c>
      <c r="G4007">
        <f>HOUR(Table1[[#This Row],[order_time]])</f>
        <v>15</v>
      </c>
      <c r="H4007" s="2">
        <v>0.64740740740740743</v>
      </c>
      <c r="I4007" t="s">
        <v>18</v>
      </c>
      <c r="J4007" t="s">
        <v>31</v>
      </c>
      <c r="K4007">
        <v>5</v>
      </c>
      <c r="L4007">
        <v>45</v>
      </c>
      <c r="M4007">
        <v>225</v>
      </c>
      <c r="N4007">
        <f>IF(COUNTIFS($B$2:B4007,B4007)=1,1,0)</f>
        <v>1</v>
      </c>
    </row>
    <row r="4008" spans="1:14" x14ac:dyDescent="0.2">
      <c r="A4008">
        <v>4007</v>
      </c>
      <c r="B4008">
        <v>3017</v>
      </c>
      <c r="C4008">
        <f>1/COUNTIF(B:B,Table1[[#This Row],[order_id]])</f>
        <v>0.33333333333333331</v>
      </c>
      <c r="D4008" t="str">
        <f>TEXT(Table1[[#This Row],[order_date]],"mmmm")</f>
        <v>November</v>
      </c>
      <c r="E4008" s="1">
        <v>45601</v>
      </c>
      <c r="F4008" s="1" t="str">
        <f>TEXT(Table1[[#This Row],[order_date]],"dddd")</f>
        <v>Tuesday</v>
      </c>
      <c r="G4008">
        <f>HOUR(Table1[[#This Row],[order_time]])</f>
        <v>17</v>
      </c>
      <c r="H4008" s="2">
        <v>0.71547453703703701</v>
      </c>
      <c r="I4008" t="s">
        <v>16</v>
      </c>
      <c r="J4008" t="s">
        <v>24</v>
      </c>
      <c r="K4008">
        <v>2</v>
      </c>
      <c r="L4008">
        <v>35</v>
      </c>
      <c r="M4008">
        <v>70</v>
      </c>
      <c r="N4008">
        <f>IF(COUNTIFS($B$2:B4008,B4008)=1,1,0)</f>
        <v>0</v>
      </c>
    </row>
    <row r="4009" spans="1:14" x14ac:dyDescent="0.2">
      <c r="A4009">
        <v>4008</v>
      </c>
      <c r="B4009">
        <v>3017</v>
      </c>
      <c r="C4009">
        <f>1/COUNTIF(B:B,Table1[[#This Row],[order_id]])</f>
        <v>0.33333333333333331</v>
      </c>
      <c r="D4009" t="str">
        <f>TEXT(Table1[[#This Row],[order_date]],"mmmm")</f>
        <v>November</v>
      </c>
      <c r="E4009" s="1">
        <v>45601</v>
      </c>
      <c r="F4009" s="1" t="str">
        <f>TEXT(Table1[[#This Row],[order_date]],"dddd")</f>
        <v>Tuesday</v>
      </c>
      <c r="G4009">
        <f>HOUR(Table1[[#This Row],[order_time]])</f>
        <v>19</v>
      </c>
      <c r="H4009" s="2">
        <v>0.81011574074074078</v>
      </c>
      <c r="I4009" t="s">
        <v>16</v>
      </c>
      <c r="J4009" t="s">
        <v>24</v>
      </c>
      <c r="K4009">
        <v>1</v>
      </c>
      <c r="L4009">
        <v>35</v>
      </c>
      <c r="M4009">
        <v>35</v>
      </c>
      <c r="N4009">
        <f>IF(COUNTIFS($B$2:B4009,B4009)=1,1,0)</f>
        <v>0</v>
      </c>
    </row>
    <row r="4010" spans="1:14" x14ac:dyDescent="0.2">
      <c r="A4010">
        <v>4009</v>
      </c>
      <c r="B4010">
        <v>3018</v>
      </c>
      <c r="C4010">
        <f>1/COUNTIF(B:B,Table1[[#This Row],[order_id]])</f>
        <v>0.5</v>
      </c>
      <c r="D4010" t="str">
        <f>TEXT(Table1[[#This Row],[order_date]],"mmmm")</f>
        <v>November</v>
      </c>
      <c r="E4010" s="1">
        <v>45601</v>
      </c>
      <c r="F4010" s="1" t="str">
        <f>TEXT(Table1[[#This Row],[order_date]],"dddd")</f>
        <v>Tuesday</v>
      </c>
      <c r="G4010">
        <f>HOUR(Table1[[#This Row],[order_time]])</f>
        <v>10</v>
      </c>
      <c r="H4010" s="2">
        <v>0.42396990740740742</v>
      </c>
      <c r="I4010" t="s">
        <v>11</v>
      </c>
      <c r="J4010" t="s">
        <v>15</v>
      </c>
      <c r="K4010">
        <v>2</v>
      </c>
      <c r="L4010">
        <v>600</v>
      </c>
      <c r="M4010">
        <v>1200</v>
      </c>
      <c r="N4010">
        <f>IF(COUNTIFS($B$2:B4010,B4010)=1,1,0)</f>
        <v>1</v>
      </c>
    </row>
    <row r="4011" spans="1:14" x14ac:dyDescent="0.2">
      <c r="A4011">
        <v>4010</v>
      </c>
      <c r="B4011">
        <v>3018</v>
      </c>
      <c r="C4011">
        <f>1/COUNTIF(B:B,Table1[[#This Row],[order_id]])</f>
        <v>0.5</v>
      </c>
      <c r="D4011" t="str">
        <f>TEXT(Table1[[#This Row],[order_date]],"mmmm")</f>
        <v>November</v>
      </c>
      <c r="E4011" s="1">
        <v>45601</v>
      </c>
      <c r="F4011" s="1" t="str">
        <f>TEXT(Table1[[#This Row],[order_date]],"dddd")</f>
        <v>Tuesday</v>
      </c>
      <c r="G4011">
        <f>HOUR(Table1[[#This Row],[order_time]])</f>
        <v>14</v>
      </c>
      <c r="H4011" s="2">
        <v>0.62075231481481485</v>
      </c>
      <c r="I4011" t="s">
        <v>16</v>
      </c>
      <c r="J4011" t="s">
        <v>28</v>
      </c>
      <c r="K4011">
        <v>1</v>
      </c>
      <c r="L4011">
        <v>25</v>
      </c>
      <c r="M4011">
        <v>25</v>
      </c>
      <c r="N4011">
        <f>IF(COUNTIFS($B$2:B4011,B4011)=1,1,0)</f>
        <v>0</v>
      </c>
    </row>
    <row r="4012" spans="1:14" x14ac:dyDescent="0.2">
      <c r="A4012">
        <v>4011</v>
      </c>
      <c r="B4012">
        <v>3019</v>
      </c>
      <c r="C4012">
        <f>1/COUNTIF(B:B,Table1[[#This Row],[order_id]])</f>
        <v>1</v>
      </c>
      <c r="D4012" t="str">
        <f>TEXT(Table1[[#This Row],[order_date]],"mmmm")</f>
        <v>November</v>
      </c>
      <c r="E4012" s="1">
        <v>45601</v>
      </c>
      <c r="F4012" s="1" t="str">
        <f>TEXT(Table1[[#This Row],[order_date]],"dddd")</f>
        <v>Tuesday</v>
      </c>
      <c r="G4012">
        <f>HOUR(Table1[[#This Row],[order_time]])</f>
        <v>9</v>
      </c>
      <c r="H4012" s="2">
        <v>0.38741898148148146</v>
      </c>
      <c r="I4012" t="s">
        <v>9</v>
      </c>
      <c r="J4012" t="s">
        <v>10</v>
      </c>
      <c r="K4012">
        <v>5</v>
      </c>
      <c r="L4012">
        <v>20</v>
      </c>
      <c r="M4012">
        <v>100</v>
      </c>
      <c r="N4012">
        <f>IF(COUNTIFS($B$2:B4012,B4012)=1,1,0)</f>
        <v>1</v>
      </c>
    </row>
    <row r="4013" spans="1:14" x14ac:dyDescent="0.2">
      <c r="A4013">
        <v>4012</v>
      </c>
      <c r="B4013">
        <v>3020</v>
      </c>
      <c r="C4013">
        <f>1/COUNTIF(B:B,Table1[[#This Row],[order_id]])</f>
        <v>0.5</v>
      </c>
      <c r="D4013" t="str">
        <f>TEXT(Table1[[#This Row],[order_date]],"mmmm")</f>
        <v>November</v>
      </c>
      <c r="E4013" s="1">
        <v>45602</v>
      </c>
      <c r="F4013" s="1" t="str">
        <f>TEXT(Table1[[#This Row],[order_date]],"dddd")</f>
        <v>Wednesday</v>
      </c>
      <c r="G4013">
        <f>HOUR(Table1[[#This Row],[order_time]])</f>
        <v>10</v>
      </c>
      <c r="H4013" s="2">
        <v>0.44814814814814813</v>
      </c>
      <c r="I4013" t="s">
        <v>9</v>
      </c>
      <c r="J4013" t="s">
        <v>22</v>
      </c>
      <c r="K4013">
        <v>5</v>
      </c>
      <c r="L4013">
        <v>15</v>
      </c>
      <c r="M4013">
        <v>75</v>
      </c>
      <c r="N4013">
        <f>IF(COUNTIFS($B$2:B4013,B4013)=1,1,0)</f>
        <v>1</v>
      </c>
    </row>
    <row r="4014" spans="1:14" x14ac:dyDescent="0.2">
      <c r="A4014">
        <v>4013</v>
      </c>
      <c r="B4014">
        <v>3020</v>
      </c>
      <c r="C4014">
        <f>1/COUNTIF(B:B,Table1[[#This Row],[order_id]])</f>
        <v>0.5</v>
      </c>
      <c r="D4014" t="str">
        <f>TEXT(Table1[[#This Row],[order_date]],"mmmm")</f>
        <v>November</v>
      </c>
      <c r="E4014" s="1">
        <v>45602</v>
      </c>
      <c r="F4014" s="1" t="str">
        <f>TEXT(Table1[[#This Row],[order_date]],"dddd")</f>
        <v>Wednesday</v>
      </c>
      <c r="G4014">
        <f>HOUR(Table1[[#This Row],[order_time]])</f>
        <v>18</v>
      </c>
      <c r="H4014" s="2">
        <v>0.79009259259259257</v>
      </c>
      <c r="I4014" t="s">
        <v>9</v>
      </c>
      <c r="J4014" t="s">
        <v>20</v>
      </c>
      <c r="K4014">
        <v>2</v>
      </c>
      <c r="L4014">
        <v>25</v>
      </c>
      <c r="M4014">
        <v>50</v>
      </c>
      <c r="N4014">
        <f>IF(COUNTIFS($B$2:B4014,B4014)=1,1,0)</f>
        <v>0</v>
      </c>
    </row>
    <row r="4015" spans="1:14" x14ac:dyDescent="0.2">
      <c r="A4015">
        <v>4014</v>
      </c>
      <c r="B4015">
        <v>3021</v>
      </c>
      <c r="C4015">
        <f>1/COUNTIF(B:B,Table1[[#This Row],[order_id]])</f>
        <v>0.5</v>
      </c>
      <c r="D4015" t="str">
        <f>TEXT(Table1[[#This Row],[order_date]],"mmmm")</f>
        <v>November</v>
      </c>
      <c r="E4015" s="1">
        <v>45602</v>
      </c>
      <c r="F4015" s="1" t="str">
        <f>TEXT(Table1[[#This Row],[order_date]],"dddd")</f>
        <v>Wednesday</v>
      </c>
      <c r="G4015">
        <f>HOUR(Table1[[#This Row],[order_time]])</f>
        <v>17</v>
      </c>
      <c r="H4015" s="2">
        <v>0.72342592592592592</v>
      </c>
      <c r="I4015" t="s">
        <v>11</v>
      </c>
      <c r="J4015" t="s">
        <v>15</v>
      </c>
      <c r="K4015">
        <v>2</v>
      </c>
      <c r="L4015">
        <v>600</v>
      </c>
      <c r="M4015">
        <v>1200</v>
      </c>
      <c r="N4015">
        <f>IF(COUNTIFS($B$2:B4015,B4015)=1,1,0)</f>
        <v>1</v>
      </c>
    </row>
    <row r="4016" spans="1:14" x14ac:dyDescent="0.2">
      <c r="A4016">
        <v>4015</v>
      </c>
      <c r="B4016">
        <v>3021</v>
      </c>
      <c r="C4016">
        <f>1/COUNTIF(B:B,Table1[[#This Row],[order_id]])</f>
        <v>0.5</v>
      </c>
      <c r="D4016" t="str">
        <f>TEXT(Table1[[#This Row],[order_date]],"mmmm")</f>
        <v>November</v>
      </c>
      <c r="E4016" s="1">
        <v>45602</v>
      </c>
      <c r="F4016" s="1" t="str">
        <f>TEXT(Table1[[#This Row],[order_date]],"dddd")</f>
        <v>Wednesday</v>
      </c>
      <c r="G4016">
        <f>HOUR(Table1[[#This Row],[order_time]])</f>
        <v>17</v>
      </c>
      <c r="H4016" s="2">
        <v>0.74858796296296293</v>
      </c>
      <c r="I4016" t="s">
        <v>9</v>
      </c>
      <c r="J4016" t="s">
        <v>22</v>
      </c>
      <c r="K4016">
        <v>1</v>
      </c>
      <c r="L4016">
        <v>15</v>
      </c>
      <c r="M4016">
        <v>15</v>
      </c>
      <c r="N4016">
        <f>IF(COUNTIFS($B$2:B4016,B4016)=1,1,0)</f>
        <v>0</v>
      </c>
    </row>
    <row r="4017" spans="1:14" x14ac:dyDescent="0.2">
      <c r="A4017">
        <v>4016</v>
      </c>
      <c r="B4017">
        <v>3022</v>
      </c>
      <c r="C4017">
        <f>1/COUNTIF(B:B,Table1[[#This Row],[order_id]])</f>
        <v>0.33333333333333331</v>
      </c>
      <c r="D4017" t="str">
        <f>TEXT(Table1[[#This Row],[order_date]],"mmmm")</f>
        <v>November</v>
      </c>
      <c r="E4017" s="1">
        <v>45602</v>
      </c>
      <c r="F4017" s="1" t="str">
        <f>TEXT(Table1[[#This Row],[order_date]],"dddd")</f>
        <v>Wednesday</v>
      </c>
      <c r="G4017">
        <f>HOUR(Table1[[#This Row],[order_time]])</f>
        <v>10</v>
      </c>
      <c r="H4017" s="2">
        <v>0.45146990740740739</v>
      </c>
      <c r="I4017" t="s">
        <v>9</v>
      </c>
      <c r="J4017" t="s">
        <v>20</v>
      </c>
      <c r="K4017">
        <v>5</v>
      </c>
      <c r="L4017">
        <v>25</v>
      </c>
      <c r="M4017">
        <v>125</v>
      </c>
      <c r="N4017">
        <f>IF(COUNTIFS($B$2:B4017,B4017)=1,1,0)</f>
        <v>1</v>
      </c>
    </row>
    <row r="4018" spans="1:14" x14ac:dyDescent="0.2">
      <c r="A4018">
        <v>4017</v>
      </c>
      <c r="B4018">
        <v>3022</v>
      </c>
      <c r="C4018">
        <f>1/COUNTIF(B:B,Table1[[#This Row],[order_id]])</f>
        <v>0.33333333333333331</v>
      </c>
      <c r="D4018" t="str">
        <f>TEXT(Table1[[#This Row],[order_date]],"mmmm")</f>
        <v>November</v>
      </c>
      <c r="E4018" s="1">
        <v>45602</v>
      </c>
      <c r="F4018" s="1" t="str">
        <f>TEXT(Table1[[#This Row],[order_date]],"dddd")</f>
        <v>Wednesday</v>
      </c>
      <c r="G4018">
        <f>HOUR(Table1[[#This Row],[order_time]])</f>
        <v>16</v>
      </c>
      <c r="H4018" s="2">
        <v>0.67350694444444448</v>
      </c>
      <c r="I4018" t="s">
        <v>11</v>
      </c>
      <c r="J4018" t="s">
        <v>25</v>
      </c>
      <c r="K4018">
        <v>5</v>
      </c>
      <c r="L4018">
        <v>1000</v>
      </c>
      <c r="M4018">
        <v>5000</v>
      </c>
      <c r="N4018">
        <f>IF(COUNTIFS($B$2:B4018,B4018)=1,1,0)</f>
        <v>0</v>
      </c>
    </row>
    <row r="4019" spans="1:14" x14ac:dyDescent="0.2">
      <c r="A4019">
        <v>4018</v>
      </c>
      <c r="B4019">
        <v>3022</v>
      </c>
      <c r="C4019">
        <f>1/COUNTIF(B:B,Table1[[#This Row],[order_id]])</f>
        <v>0.33333333333333331</v>
      </c>
      <c r="D4019" t="str">
        <f>TEXT(Table1[[#This Row],[order_date]],"mmmm")</f>
        <v>November</v>
      </c>
      <c r="E4019" s="1">
        <v>45602</v>
      </c>
      <c r="F4019" s="1" t="str">
        <f>TEXT(Table1[[#This Row],[order_date]],"dddd")</f>
        <v>Wednesday</v>
      </c>
      <c r="G4019">
        <f>HOUR(Table1[[#This Row],[order_time]])</f>
        <v>13</v>
      </c>
      <c r="H4019" s="2">
        <v>0.5521180555555556</v>
      </c>
      <c r="I4019" t="s">
        <v>11</v>
      </c>
      <c r="J4019" t="s">
        <v>25</v>
      </c>
      <c r="K4019">
        <v>2</v>
      </c>
      <c r="L4019">
        <v>1000</v>
      </c>
      <c r="M4019">
        <v>2000</v>
      </c>
      <c r="N4019">
        <f>IF(COUNTIFS($B$2:B4019,B4019)=1,1,0)</f>
        <v>0</v>
      </c>
    </row>
    <row r="4020" spans="1:14" x14ac:dyDescent="0.2">
      <c r="A4020">
        <v>4019</v>
      </c>
      <c r="B4020">
        <v>3023</v>
      </c>
      <c r="C4020">
        <f>1/COUNTIF(B:B,Table1[[#This Row],[order_id]])</f>
        <v>0.33333333333333331</v>
      </c>
      <c r="D4020" t="str">
        <f>TEXT(Table1[[#This Row],[order_date]],"mmmm")</f>
        <v>November</v>
      </c>
      <c r="E4020" s="1">
        <v>45602</v>
      </c>
      <c r="F4020" s="1" t="str">
        <f>TEXT(Table1[[#This Row],[order_date]],"dddd")</f>
        <v>Wednesday</v>
      </c>
      <c r="G4020">
        <f>HOUR(Table1[[#This Row],[order_time]])</f>
        <v>10</v>
      </c>
      <c r="H4020" s="2">
        <v>0.43471064814814814</v>
      </c>
      <c r="I4020" t="s">
        <v>16</v>
      </c>
      <c r="J4020" t="s">
        <v>24</v>
      </c>
      <c r="K4020">
        <v>3</v>
      </c>
      <c r="L4020">
        <v>35</v>
      </c>
      <c r="M4020">
        <v>105</v>
      </c>
      <c r="N4020">
        <f>IF(COUNTIFS($B$2:B4020,B4020)=1,1,0)</f>
        <v>1</v>
      </c>
    </row>
    <row r="4021" spans="1:14" x14ac:dyDescent="0.2">
      <c r="A4021">
        <v>4020</v>
      </c>
      <c r="B4021">
        <v>3023</v>
      </c>
      <c r="C4021">
        <f>1/COUNTIF(B:B,Table1[[#This Row],[order_id]])</f>
        <v>0.33333333333333331</v>
      </c>
      <c r="D4021" t="str">
        <f>TEXT(Table1[[#This Row],[order_date]],"mmmm")</f>
        <v>November</v>
      </c>
      <c r="E4021" s="1">
        <v>45602</v>
      </c>
      <c r="F4021" s="1" t="str">
        <f>TEXT(Table1[[#This Row],[order_date]],"dddd")</f>
        <v>Wednesday</v>
      </c>
      <c r="G4021">
        <f>HOUR(Table1[[#This Row],[order_time]])</f>
        <v>12</v>
      </c>
      <c r="H4021" s="2">
        <v>0.52607638888888886</v>
      </c>
      <c r="I4021" t="s">
        <v>16</v>
      </c>
      <c r="J4021" t="s">
        <v>23</v>
      </c>
      <c r="K4021">
        <v>2</v>
      </c>
      <c r="L4021">
        <v>30</v>
      </c>
      <c r="M4021">
        <v>60</v>
      </c>
      <c r="N4021">
        <f>IF(COUNTIFS($B$2:B4021,B4021)=1,1,0)</f>
        <v>0</v>
      </c>
    </row>
    <row r="4022" spans="1:14" x14ac:dyDescent="0.2">
      <c r="A4022">
        <v>4021</v>
      </c>
      <c r="B4022">
        <v>3023</v>
      </c>
      <c r="C4022">
        <f>1/COUNTIF(B:B,Table1[[#This Row],[order_id]])</f>
        <v>0.33333333333333331</v>
      </c>
      <c r="D4022" t="str">
        <f>TEXT(Table1[[#This Row],[order_date]],"mmmm")</f>
        <v>November</v>
      </c>
      <c r="E4022" s="1">
        <v>45602</v>
      </c>
      <c r="F4022" s="1" t="str">
        <f>TEXT(Table1[[#This Row],[order_date]],"dddd")</f>
        <v>Wednesday</v>
      </c>
      <c r="G4022">
        <f>HOUR(Table1[[#This Row],[order_time]])</f>
        <v>19</v>
      </c>
      <c r="H4022" s="2">
        <v>0.81771990740740741</v>
      </c>
      <c r="I4022" t="s">
        <v>9</v>
      </c>
      <c r="J4022" t="s">
        <v>22</v>
      </c>
      <c r="K4022">
        <v>5</v>
      </c>
      <c r="L4022">
        <v>15</v>
      </c>
      <c r="M4022">
        <v>75</v>
      </c>
      <c r="N4022">
        <f>IF(COUNTIFS($B$2:B4022,B4022)=1,1,0)</f>
        <v>0</v>
      </c>
    </row>
    <row r="4023" spans="1:14" x14ac:dyDescent="0.2">
      <c r="A4023">
        <v>4022</v>
      </c>
      <c r="B4023">
        <v>3024</v>
      </c>
      <c r="C4023">
        <f>1/COUNTIF(B:B,Table1[[#This Row],[order_id]])</f>
        <v>0.33333333333333331</v>
      </c>
      <c r="D4023" t="str">
        <f>TEXT(Table1[[#This Row],[order_date]],"mmmm")</f>
        <v>November</v>
      </c>
      <c r="E4023" s="1">
        <v>45602</v>
      </c>
      <c r="F4023" s="1" t="str">
        <f>TEXT(Table1[[#This Row],[order_date]],"dddd")</f>
        <v>Wednesday</v>
      </c>
      <c r="G4023">
        <f>HOUR(Table1[[#This Row],[order_time]])</f>
        <v>18</v>
      </c>
      <c r="H4023" s="2">
        <v>0.77674768518518522</v>
      </c>
      <c r="I4023" t="s">
        <v>16</v>
      </c>
      <c r="J4023" t="s">
        <v>24</v>
      </c>
      <c r="K4023">
        <v>5</v>
      </c>
      <c r="L4023">
        <v>35</v>
      </c>
      <c r="M4023">
        <v>175</v>
      </c>
      <c r="N4023">
        <f>IF(COUNTIFS($B$2:B4023,B4023)=1,1,0)</f>
        <v>1</v>
      </c>
    </row>
    <row r="4024" spans="1:14" x14ac:dyDescent="0.2">
      <c r="A4024">
        <v>4023</v>
      </c>
      <c r="B4024">
        <v>3024</v>
      </c>
      <c r="C4024">
        <f>1/COUNTIF(B:B,Table1[[#This Row],[order_id]])</f>
        <v>0.33333333333333331</v>
      </c>
      <c r="D4024" t="str">
        <f>TEXT(Table1[[#This Row],[order_date]],"mmmm")</f>
        <v>November</v>
      </c>
      <c r="E4024" s="1">
        <v>45602</v>
      </c>
      <c r="F4024" s="1" t="str">
        <f>TEXT(Table1[[#This Row],[order_date]],"dddd")</f>
        <v>Wednesday</v>
      </c>
      <c r="G4024">
        <f>HOUR(Table1[[#This Row],[order_time]])</f>
        <v>16</v>
      </c>
      <c r="H4024" s="2">
        <v>0.67244212962962968</v>
      </c>
      <c r="I4024" t="s">
        <v>18</v>
      </c>
      <c r="J4024" t="s">
        <v>30</v>
      </c>
      <c r="K4024">
        <v>2</v>
      </c>
      <c r="L4024">
        <v>60</v>
      </c>
      <c r="M4024">
        <v>120</v>
      </c>
      <c r="N4024">
        <f>IF(COUNTIFS($B$2:B4024,B4024)=1,1,0)</f>
        <v>0</v>
      </c>
    </row>
    <row r="4025" spans="1:14" x14ac:dyDescent="0.2">
      <c r="A4025">
        <v>4024</v>
      </c>
      <c r="B4025">
        <v>3024</v>
      </c>
      <c r="C4025">
        <f>1/COUNTIF(B:B,Table1[[#This Row],[order_id]])</f>
        <v>0.33333333333333331</v>
      </c>
      <c r="D4025" t="str">
        <f>TEXT(Table1[[#This Row],[order_date]],"mmmm")</f>
        <v>November</v>
      </c>
      <c r="E4025" s="1">
        <v>45602</v>
      </c>
      <c r="F4025" s="1" t="str">
        <f>TEXT(Table1[[#This Row],[order_date]],"dddd")</f>
        <v>Wednesday</v>
      </c>
      <c r="G4025">
        <f>HOUR(Table1[[#This Row],[order_time]])</f>
        <v>14</v>
      </c>
      <c r="H4025" s="2">
        <v>0.58902777777777782</v>
      </c>
      <c r="I4025" t="s">
        <v>18</v>
      </c>
      <c r="J4025" t="s">
        <v>27</v>
      </c>
      <c r="K4025">
        <v>4</v>
      </c>
      <c r="L4025">
        <v>40</v>
      </c>
      <c r="M4025">
        <v>160</v>
      </c>
      <c r="N4025">
        <f>IF(COUNTIFS($B$2:B4025,B4025)=1,1,0)</f>
        <v>0</v>
      </c>
    </row>
    <row r="4026" spans="1:14" x14ac:dyDescent="0.2">
      <c r="A4026">
        <v>4025</v>
      </c>
      <c r="B4026">
        <v>3025</v>
      </c>
      <c r="C4026">
        <f>1/COUNTIF(B:B,Table1[[#This Row],[order_id]])</f>
        <v>0.33333333333333331</v>
      </c>
      <c r="D4026" t="str">
        <f>TEXT(Table1[[#This Row],[order_date]],"mmmm")</f>
        <v>November</v>
      </c>
      <c r="E4026" s="1">
        <v>45602</v>
      </c>
      <c r="F4026" s="1" t="str">
        <f>TEXT(Table1[[#This Row],[order_date]],"dddd")</f>
        <v>Wednesday</v>
      </c>
      <c r="G4026">
        <f>HOUR(Table1[[#This Row],[order_time]])</f>
        <v>16</v>
      </c>
      <c r="H4026" s="2">
        <v>0.67084490740740743</v>
      </c>
      <c r="I4026" t="s">
        <v>11</v>
      </c>
      <c r="J4026" t="s">
        <v>13</v>
      </c>
      <c r="K4026">
        <v>2</v>
      </c>
      <c r="L4026">
        <v>680</v>
      </c>
      <c r="M4026">
        <v>1360</v>
      </c>
      <c r="N4026">
        <f>IF(COUNTIFS($B$2:B4026,B4026)=1,1,0)</f>
        <v>1</v>
      </c>
    </row>
    <row r="4027" spans="1:14" x14ac:dyDescent="0.2">
      <c r="A4027">
        <v>4026</v>
      </c>
      <c r="B4027">
        <v>3025</v>
      </c>
      <c r="C4027">
        <f>1/COUNTIF(B:B,Table1[[#This Row],[order_id]])</f>
        <v>0.33333333333333331</v>
      </c>
      <c r="D4027" t="str">
        <f>TEXT(Table1[[#This Row],[order_date]],"mmmm")</f>
        <v>November</v>
      </c>
      <c r="E4027" s="1">
        <v>45602</v>
      </c>
      <c r="F4027" s="1" t="str">
        <f>TEXT(Table1[[#This Row],[order_date]],"dddd")</f>
        <v>Wednesday</v>
      </c>
      <c r="G4027">
        <f>HOUR(Table1[[#This Row],[order_time]])</f>
        <v>14</v>
      </c>
      <c r="H4027" s="2">
        <v>0.61627314814814815</v>
      </c>
      <c r="I4027" t="s">
        <v>16</v>
      </c>
      <c r="J4027" t="s">
        <v>28</v>
      </c>
      <c r="K4027">
        <v>2</v>
      </c>
      <c r="L4027">
        <v>25</v>
      </c>
      <c r="M4027">
        <v>50</v>
      </c>
      <c r="N4027">
        <f>IF(COUNTIFS($B$2:B4027,B4027)=1,1,0)</f>
        <v>0</v>
      </c>
    </row>
    <row r="4028" spans="1:14" x14ac:dyDescent="0.2">
      <c r="A4028">
        <v>4027</v>
      </c>
      <c r="B4028">
        <v>3025</v>
      </c>
      <c r="C4028">
        <f>1/COUNTIF(B:B,Table1[[#This Row],[order_id]])</f>
        <v>0.33333333333333331</v>
      </c>
      <c r="D4028" t="str">
        <f>TEXT(Table1[[#This Row],[order_date]],"mmmm")</f>
        <v>November</v>
      </c>
      <c r="E4028" s="1">
        <v>45602</v>
      </c>
      <c r="F4028" s="1" t="str">
        <f>TEXT(Table1[[#This Row],[order_date]],"dddd")</f>
        <v>Wednesday</v>
      </c>
      <c r="G4028">
        <f>HOUR(Table1[[#This Row],[order_time]])</f>
        <v>17</v>
      </c>
      <c r="H4028" s="2">
        <v>0.72302083333333333</v>
      </c>
      <c r="I4028" t="s">
        <v>9</v>
      </c>
      <c r="J4028" t="s">
        <v>22</v>
      </c>
      <c r="K4028">
        <v>1</v>
      </c>
      <c r="L4028">
        <v>15</v>
      </c>
      <c r="M4028">
        <v>15</v>
      </c>
      <c r="N4028">
        <f>IF(COUNTIFS($B$2:B4028,B4028)=1,1,0)</f>
        <v>0</v>
      </c>
    </row>
    <row r="4029" spans="1:14" x14ac:dyDescent="0.2">
      <c r="A4029">
        <v>4028</v>
      </c>
      <c r="B4029">
        <v>3026</v>
      </c>
      <c r="C4029">
        <f>1/COUNTIF(B:B,Table1[[#This Row],[order_id]])</f>
        <v>0.5</v>
      </c>
      <c r="D4029" t="str">
        <f>TEXT(Table1[[#This Row],[order_date]],"mmmm")</f>
        <v>November</v>
      </c>
      <c r="E4029" s="1">
        <v>45603</v>
      </c>
      <c r="F4029" s="1" t="str">
        <f>TEXT(Table1[[#This Row],[order_date]],"dddd")</f>
        <v>Thursday</v>
      </c>
      <c r="G4029">
        <f>HOUR(Table1[[#This Row],[order_time]])</f>
        <v>12</v>
      </c>
      <c r="H4029" s="2">
        <v>0.51542824074074078</v>
      </c>
      <c r="I4029" t="s">
        <v>9</v>
      </c>
      <c r="J4029" t="s">
        <v>21</v>
      </c>
      <c r="K4029">
        <v>3</v>
      </c>
      <c r="L4029">
        <v>10</v>
      </c>
      <c r="M4029">
        <v>30</v>
      </c>
      <c r="N4029">
        <f>IF(COUNTIFS($B$2:B4029,B4029)=1,1,0)</f>
        <v>1</v>
      </c>
    </row>
    <row r="4030" spans="1:14" x14ac:dyDescent="0.2">
      <c r="A4030">
        <v>4029</v>
      </c>
      <c r="B4030">
        <v>3026</v>
      </c>
      <c r="C4030">
        <f>1/COUNTIF(B:B,Table1[[#This Row],[order_id]])</f>
        <v>0.5</v>
      </c>
      <c r="D4030" t="str">
        <f>TEXT(Table1[[#This Row],[order_date]],"mmmm")</f>
        <v>November</v>
      </c>
      <c r="E4030" s="1">
        <v>45603</v>
      </c>
      <c r="F4030" s="1" t="str">
        <f>TEXT(Table1[[#This Row],[order_date]],"dddd")</f>
        <v>Thursday</v>
      </c>
      <c r="G4030">
        <f>HOUR(Table1[[#This Row],[order_time]])</f>
        <v>11</v>
      </c>
      <c r="H4030" s="2">
        <v>0.49506944444444445</v>
      </c>
      <c r="I4030" t="s">
        <v>9</v>
      </c>
      <c r="J4030" t="s">
        <v>20</v>
      </c>
      <c r="K4030">
        <v>4</v>
      </c>
      <c r="L4030">
        <v>25</v>
      </c>
      <c r="M4030">
        <v>100</v>
      </c>
      <c r="N4030">
        <f>IF(COUNTIFS($B$2:B4030,B4030)=1,1,0)</f>
        <v>0</v>
      </c>
    </row>
    <row r="4031" spans="1:14" x14ac:dyDescent="0.2">
      <c r="A4031">
        <v>4030</v>
      </c>
      <c r="B4031">
        <v>3027</v>
      </c>
      <c r="C4031">
        <f>1/COUNTIF(B:B,Table1[[#This Row],[order_id]])</f>
        <v>1</v>
      </c>
      <c r="D4031" t="str">
        <f>TEXT(Table1[[#This Row],[order_date]],"mmmm")</f>
        <v>November</v>
      </c>
      <c r="E4031" s="1">
        <v>45603</v>
      </c>
      <c r="F4031" s="1" t="str">
        <f>TEXT(Table1[[#This Row],[order_date]],"dddd")</f>
        <v>Thursday</v>
      </c>
      <c r="G4031">
        <f>HOUR(Table1[[#This Row],[order_time]])</f>
        <v>19</v>
      </c>
      <c r="H4031" s="2">
        <v>0.8002083333333333</v>
      </c>
      <c r="I4031" t="s">
        <v>16</v>
      </c>
      <c r="J4031" t="s">
        <v>23</v>
      </c>
      <c r="K4031">
        <v>4</v>
      </c>
      <c r="L4031">
        <v>30</v>
      </c>
      <c r="M4031">
        <v>120</v>
      </c>
      <c r="N4031">
        <f>IF(COUNTIFS($B$2:B4031,B4031)=1,1,0)</f>
        <v>1</v>
      </c>
    </row>
    <row r="4032" spans="1:14" x14ac:dyDescent="0.2">
      <c r="A4032">
        <v>4031</v>
      </c>
      <c r="B4032">
        <v>3028</v>
      </c>
      <c r="C4032">
        <f>1/COUNTIF(B:B,Table1[[#This Row],[order_id]])</f>
        <v>0.5</v>
      </c>
      <c r="D4032" t="str">
        <f>TEXT(Table1[[#This Row],[order_date]],"mmmm")</f>
        <v>November</v>
      </c>
      <c r="E4032" s="1">
        <v>45603</v>
      </c>
      <c r="F4032" s="1" t="str">
        <f>TEXT(Table1[[#This Row],[order_date]],"dddd")</f>
        <v>Thursday</v>
      </c>
      <c r="G4032">
        <f>HOUR(Table1[[#This Row],[order_time]])</f>
        <v>12</v>
      </c>
      <c r="H4032" s="2">
        <v>0.52541666666666664</v>
      </c>
      <c r="I4032" t="s">
        <v>16</v>
      </c>
      <c r="J4032" t="s">
        <v>17</v>
      </c>
      <c r="K4032">
        <v>5</v>
      </c>
      <c r="L4032">
        <v>20</v>
      </c>
      <c r="M4032">
        <v>100</v>
      </c>
      <c r="N4032">
        <f>IF(COUNTIFS($B$2:B4032,B4032)=1,1,0)</f>
        <v>1</v>
      </c>
    </row>
    <row r="4033" spans="1:14" x14ac:dyDescent="0.2">
      <c r="A4033">
        <v>4032</v>
      </c>
      <c r="B4033">
        <v>3028</v>
      </c>
      <c r="C4033">
        <f>1/COUNTIF(B:B,Table1[[#This Row],[order_id]])</f>
        <v>0.5</v>
      </c>
      <c r="D4033" t="str">
        <f>TEXT(Table1[[#This Row],[order_date]],"mmmm")</f>
        <v>November</v>
      </c>
      <c r="E4033" s="1">
        <v>45603</v>
      </c>
      <c r="F4033" s="1" t="str">
        <f>TEXT(Table1[[#This Row],[order_date]],"dddd")</f>
        <v>Thursday</v>
      </c>
      <c r="G4033">
        <f>HOUR(Table1[[#This Row],[order_time]])</f>
        <v>12</v>
      </c>
      <c r="H4033" s="2">
        <v>0.51613425925925926</v>
      </c>
      <c r="I4033" t="s">
        <v>16</v>
      </c>
      <c r="J4033" t="s">
        <v>17</v>
      </c>
      <c r="K4033">
        <v>1</v>
      </c>
      <c r="L4033">
        <v>20</v>
      </c>
      <c r="M4033">
        <v>20</v>
      </c>
      <c r="N4033">
        <f>IF(COUNTIFS($B$2:B4033,B4033)=1,1,0)</f>
        <v>0</v>
      </c>
    </row>
    <row r="4034" spans="1:14" x14ac:dyDescent="0.2">
      <c r="A4034">
        <v>4033</v>
      </c>
      <c r="B4034">
        <v>3029</v>
      </c>
      <c r="C4034">
        <f>1/COUNTIF(B:B,Table1[[#This Row],[order_id]])</f>
        <v>1</v>
      </c>
      <c r="D4034" t="str">
        <f>TEXT(Table1[[#This Row],[order_date]],"mmmm")</f>
        <v>November</v>
      </c>
      <c r="E4034" s="1">
        <v>45603</v>
      </c>
      <c r="F4034" s="1" t="str">
        <f>TEXT(Table1[[#This Row],[order_date]],"dddd")</f>
        <v>Thursday</v>
      </c>
      <c r="G4034">
        <f>HOUR(Table1[[#This Row],[order_time]])</f>
        <v>15</v>
      </c>
      <c r="H4034" s="2">
        <v>0.6532175925925926</v>
      </c>
      <c r="I4034" t="s">
        <v>18</v>
      </c>
      <c r="J4034" t="s">
        <v>19</v>
      </c>
      <c r="K4034">
        <v>3</v>
      </c>
      <c r="L4034">
        <v>50</v>
      </c>
      <c r="M4034">
        <v>150</v>
      </c>
      <c r="N4034">
        <f>IF(COUNTIFS($B$2:B4034,B4034)=1,1,0)</f>
        <v>1</v>
      </c>
    </row>
    <row r="4035" spans="1:14" x14ac:dyDescent="0.2">
      <c r="A4035">
        <v>4034</v>
      </c>
      <c r="B4035">
        <v>3030</v>
      </c>
      <c r="C4035">
        <f>1/COUNTIF(B:B,Table1[[#This Row],[order_id]])</f>
        <v>1</v>
      </c>
      <c r="D4035" t="str">
        <f>TEXT(Table1[[#This Row],[order_date]],"mmmm")</f>
        <v>November</v>
      </c>
      <c r="E4035" s="1">
        <v>45603</v>
      </c>
      <c r="F4035" s="1" t="str">
        <f>TEXT(Table1[[#This Row],[order_date]],"dddd")</f>
        <v>Thursday</v>
      </c>
      <c r="G4035">
        <f>HOUR(Table1[[#This Row],[order_time]])</f>
        <v>9</v>
      </c>
      <c r="H4035" s="2">
        <v>0.41462962962962963</v>
      </c>
      <c r="I4035" t="s">
        <v>16</v>
      </c>
      <c r="J4035" t="s">
        <v>28</v>
      </c>
      <c r="K4035">
        <v>4</v>
      </c>
      <c r="L4035">
        <v>25</v>
      </c>
      <c r="M4035">
        <v>100</v>
      </c>
      <c r="N4035">
        <f>IF(COUNTIFS($B$2:B4035,B4035)=1,1,0)</f>
        <v>1</v>
      </c>
    </row>
    <row r="4036" spans="1:14" x14ac:dyDescent="0.2">
      <c r="A4036">
        <v>4035</v>
      </c>
      <c r="B4036">
        <v>3031</v>
      </c>
      <c r="C4036">
        <f>1/COUNTIF(B:B,Table1[[#This Row],[order_id]])</f>
        <v>1</v>
      </c>
      <c r="D4036" t="str">
        <f>TEXT(Table1[[#This Row],[order_date]],"mmmm")</f>
        <v>November</v>
      </c>
      <c r="E4036" s="1">
        <v>45603</v>
      </c>
      <c r="F4036" s="1" t="str">
        <f>TEXT(Table1[[#This Row],[order_date]],"dddd")</f>
        <v>Thursday</v>
      </c>
      <c r="G4036">
        <f>HOUR(Table1[[#This Row],[order_time]])</f>
        <v>9</v>
      </c>
      <c r="H4036" s="2">
        <v>0.41244212962962962</v>
      </c>
      <c r="I4036" t="s">
        <v>11</v>
      </c>
      <c r="J4036" t="s">
        <v>13</v>
      </c>
      <c r="K4036">
        <v>1</v>
      </c>
      <c r="L4036">
        <v>680</v>
      </c>
      <c r="M4036">
        <v>680</v>
      </c>
      <c r="N4036">
        <f>IF(COUNTIFS($B$2:B4036,B4036)=1,1,0)</f>
        <v>1</v>
      </c>
    </row>
    <row r="4037" spans="1:14" x14ac:dyDescent="0.2">
      <c r="A4037">
        <v>4036</v>
      </c>
      <c r="B4037">
        <v>3032</v>
      </c>
      <c r="C4037">
        <f>1/COUNTIF(B:B,Table1[[#This Row],[order_id]])</f>
        <v>1</v>
      </c>
      <c r="D4037" t="str">
        <f>TEXT(Table1[[#This Row],[order_date]],"mmmm")</f>
        <v>November</v>
      </c>
      <c r="E4037" s="1">
        <v>45603</v>
      </c>
      <c r="F4037" s="1" t="str">
        <f>TEXT(Table1[[#This Row],[order_date]],"dddd")</f>
        <v>Thursday</v>
      </c>
      <c r="G4037">
        <f>HOUR(Table1[[#This Row],[order_time]])</f>
        <v>12</v>
      </c>
      <c r="H4037" s="2">
        <v>0.52907407407407403</v>
      </c>
      <c r="I4037" t="s">
        <v>9</v>
      </c>
      <c r="J4037" t="s">
        <v>22</v>
      </c>
      <c r="K4037">
        <v>5</v>
      </c>
      <c r="L4037">
        <v>15</v>
      </c>
      <c r="M4037">
        <v>75</v>
      </c>
      <c r="N4037">
        <f>IF(COUNTIFS($B$2:B4037,B4037)=1,1,0)</f>
        <v>1</v>
      </c>
    </row>
    <row r="4038" spans="1:14" x14ac:dyDescent="0.2">
      <c r="A4038">
        <v>4037</v>
      </c>
      <c r="B4038">
        <v>3033</v>
      </c>
      <c r="C4038">
        <f>1/COUNTIF(B:B,Table1[[#This Row],[order_id]])</f>
        <v>1</v>
      </c>
      <c r="D4038" t="str">
        <f>TEXT(Table1[[#This Row],[order_date]],"mmmm")</f>
        <v>November</v>
      </c>
      <c r="E4038" s="1">
        <v>45604</v>
      </c>
      <c r="F4038" s="1" t="str">
        <f>TEXT(Table1[[#This Row],[order_date]],"dddd")</f>
        <v>Friday</v>
      </c>
      <c r="G4038">
        <f>HOUR(Table1[[#This Row],[order_time]])</f>
        <v>18</v>
      </c>
      <c r="H4038" s="2">
        <v>0.7701041666666667</v>
      </c>
      <c r="I4038" t="s">
        <v>9</v>
      </c>
      <c r="J4038" t="s">
        <v>29</v>
      </c>
      <c r="K4038">
        <v>2</v>
      </c>
      <c r="L4038">
        <v>5</v>
      </c>
      <c r="M4038">
        <v>10</v>
      </c>
      <c r="N4038">
        <f>IF(COUNTIFS($B$2:B4038,B4038)=1,1,0)</f>
        <v>1</v>
      </c>
    </row>
    <row r="4039" spans="1:14" x14ac:dyDescent="0.2">
      <c r="A4039">
        <v>4038</v>
      </c>
      <c r="B4039">
        <v>3034</v>
      </c>
      <c r="C4039">
        <f>1/COUNTIF(B:B,Table1[[#This Row],[order_id]])</f>
        <v>0.33333333333333331</v>
      </c>
      <c r="D4039" t="str">
        <f>TEXT(Table1[[#This Row],[order_date]],"mmmm")</f>
        <v>November</v>
      </c>
      <c r="E4039" s="1">
        <v>45604</v>
      </c>
      <c r="F4039" s="1" t="str">
        <f>TEXT(Table1[[#This Row],[order_date]],"dddd")</f>
        <v>Friday</v>
      </c>
      <c r="G4039">
        <f>HOUR(Table1[[#This Row],[order_time]])</f>
        <v>14</v>
      </c>
      <c r="H4039" s="2">
        <v>0.59133101851851855</v>
      </c>
      <c r="I4039" t="s">
        <v>16</v>
      </c>
      <c r="J4039" t="s">
        <v>17</v>
      </c>
      <c r="K4039">
        <v>3</v>
      </c>
      <c r="L4039">
        <v>20</v>
      </c>
      <c r="M4039">
        <v>60</v>
      </c>
      <c r="N4039">
        <f>IF(COUNTIFS($B$2:B4039,B4039)=1,1,0)</f>
        <v>1</v>
      </c>
    </row>
    <row r="4040" spans="1:14" x14ac:dyDescent="0.2">
      <c r="A4040">
        <v>4039</v>
      </c>
      <c r="B4040">
        <v>3034</v>
      </c>
      <c r="C4040">
        <f>1/COUNTIF(B:B,Table1[[#This Row],[order_id]])</f>
        <v>0.33333333333333331</v>
      </c>
      <c r="D4040" t="str">
        <f>TEXT(Table1[[#This Row],[order_date]],"mmmm")</f>
        <v>November</v>
      </c>
      <c r="E4040" s="1">
        <v>45604</v>
      </c>
      <c r="F4040" s="1" t="str">
        <f>TEXT(Table1[[#This Row],[order_date]],"dddd")</f>
        <v>Friday</v>
      </c>
      <c r="G4040">
        <f>HOUR(Table1[[#This Row],[order_time]])</f>
        <v>19</v>
      </c>
      <c r="H4040" s="2">
        <v>0.79978009259259264</v>
      </c>
      <c r="I4040" t="s">
        <v>16</v>
      </c>
      <c r="J4040" t="s">
        <v>24</v>
      </c>
      <c r="K4040">
        <v>4</v>
      </c>
      <c r="L4040">
        <v>35</v>
      </c>
      <c r="M4040">
        <v>140</v>
      </c>
      <c r="N4040">
        <f>IF(COUNTIFS($B$2:B4040,B4040)=1,1,0)</f>
        <v>0</v>
      </c>
    </row>
    <row r="4041" spans="1:14" x14ac:dyDescent="0.2">
      <c r="A4041">
        <v>4040</v>
      </c>
      <c r="B4041">
        <v>3034</v>
      </c>
      <c r="C4041">
        <f>1/COUNTIF(B:B,Table1[[#This Row],[order_id]])</f>
        <v>0.33333333333333331</v>
      </c>
      <c r="D4041" t="str">
        <f>TEXT(Table1[[#This Row],[order_date]],"mmmm")</f>
        <v>November</v>
      </c>
      <c r="E4041" s="1">
        <v>45604</v>
      </c>
      <c r="F4041" s="1" t="str">
        <f>TEXT(Table1[[#This Row],[order_date]],"dddd")</f>
        <v>Friday</v>
      </c>
      <c r="G4041">
        <f>HOUR(Table1[[#This Row],[order_time]])</f>
        <v>11</v>
      </c>
      <c r="H4041" s="2">
        <v>0.46702546296296299</v>
      </c>
      <c r="I4041" t="s">
        <v>11</v>
      </c>
      <c r="J4041" t="s">
        <v>12</v>
      </c>
      <c r="K4041">
        <v>5</v>
      </c>
      <c r="L4041">
        <v>650</v>
      </c>
      <c r="M4041">
        <v>3250</v>
      </c>
      <c r="N4041">
        <f>IF(COUNTIFS($B$2:B4041,B4041)=1,1,0)</f>
        <v>0</v>
      </c>
    </row>
    <row r="4042" spans="1:14" x14ac:dyDescent="0.2">
      <c r="A4042">
        <v>4041</v>
      </c>
      <c r="B4042">
        <v>3035</v>
      </c>
      <c r="C4042">
        <f>1/COUNTIF(B:B,Table1[[#This Row],[order_id]])</f>
        <v>0.5</v>
      </c>
      <c r="D4042" t="str">
        <f>TEXT(Table1[[#This Row],[order_date]],"mmmm")</f>
        <v>November</v>
      </c>
      <c r="E4042" s="1">
        <v>45604</v>
      </c>
      <c r="F4042" s="1" t="str">
        <f>TEXT(Table1[[#This Row],[order_date]],"dddd")</f>
        <v>Friday</v>
      </c>
      <c r="G4042">
        <f>HOUR(Table1[[#This Row],[order_time]])</f>
        <v>17</v>
      </c>
      <c r="H4042" s="2">
        <v>0.73248842592592589</v>
      </c>
      <c r="I4042" t="s">
        <v>16</v>
      </c>
      <c r="J4042" t="s">
        <v>28</v>
      </c>
      <c r="K4042">
        <v>4</v>
      </c>
      <c r="L4042">
        <v>25</v>
      </c>
      <c r="M4042">
        <v>100</v>
      </c>
      <c r="N4042">
        <f>IF(COUNTIFS($B$2:B4042,B4042)=1,1,0)</f>
        <v>1</v>
      </c>
    </row>
    <row r="4043" spans="1:14" x14ac:dyDescent="0.2">
      <c r="A4043">
        <v>4042</v>
      </c>
      <c r="B4043">
        <v>3035</v>
      </c>
      <c r="C4043">
        <f>1/COUNTIF(B:B,Table1[[#This Row],[order_id]])</f>
        <v>0.5</v>
      </c>
      <c r="D4043" t="str">
        <f>TEXT(Table1[[#This Row],[order_date]],"mmmm")</f>
        <v>November</v>
      </c>
      <c r="E4043" s="1">
        <v>45604</v>
      </c>
      <c r="F4043" s="1" t="str">
        <f>TEXT(Table1[[#This Row],[order_date]],"dddd")</f>
        <v>Friday</v>
      </c>
      <c r="G4043">
        <f>HOUR(Table1[[#This Row],[order_time]])</f>
        <v>9</v>
      </c>
      <c r="H4043" s="2">
        <v>0.41142361111111109</v>
      </c>
      <c r="I4043" t="s">
        <v>18</v>
      </c>
      <c r="J4043" t="s">
        <v>26</v>
      </c>
      <c r="K4043">
        <v>2</v>
      </c>
      <c r="L4043">
        <v>55</v>
      </c>
      <c r="M4043">
        <v>110</v>
      </c>
      <c r="N4043">
        <f>IF(COUNTIFS($B$2:B4043,B4043)=1,1,0)</f>
        <v>0</v>
      </c>
    </row>
    <row r="4044" spans="1:14" x14ac:dyDescent="0.2">
      <c r="A4044">
        <v>4043</v>
      </c>
      <c r="B4044">
        <v>3036</v>
      </c>
      <c r="C4044">
        <f>1/COUNTIF(B:B,Table1[[#This Row],[order_id]])</f>
        <v>0.5</v>
      </c>
      <c r="D4044" t="str">
        <f>TEXT(Table1[[#This Row],[order_date]],"mmmm")</f>
        <v>November</v>
      </c>
      <c r="E4044" s="1">
        <v>45604</v>
      </c>
      <c r="F4044" s="1" t="str">
        <f>TEXT(Table1[[#This Row],[order_date]],"dddd")</f>
        <v>Friday</v>
      </c>
      <c r="G4044">
        <f>HOUR(Table1[[#This Row],[order_time]])</f>
        <v>19</v>
      </c>
      <c r="H4044" s="2">
        <v>0.80120370370370375</v>
      </c>
      <c r="I4044" t="s">
        <v>16</v>
      </c>
      <c r="J4044" t="s">
        <v>23</v>
      </c>
      <c r="K4044">
        <v>2</v>
      </c>
      <c r="L4044">
        <v>30</v>
      </c>
      <c r="M4044">
        <v>60</v>
      </c>
      <c r="N4044">
        <f>IF(COUNTIFS($B$2:B4044,B4044)=1,1,0)</f>
        <v>1</v>
      </c>
    </row>
    <row r="4045" spans="1:14" x14ac:dyDescent="0.2">
      <c r="A4045">
        <v>4044</v>
      </c>
      <c r="B4045">
        <v>3036</v>
      </c>
      <c r="C4045">
        <f>1/COUNTIF(B:B,Table1[[#This Row],[order_id]])</f>
        <v>0.5</v>
      </c>
      <c r="D4045" t="str">
        <f>TEXT(Table1[[#This Row],[order_date]],"mmmm")</f>
        <v>November</v>
      </c>
      <c r="E4045" s="1">
        <v>45604</v>
      </c>
      <c r="F4045" s="1" t="str">
        <f>TEXT(Table1[[#This Row],[order_date]],"dddd")</f>
        <v>Friday</v>
      </c>
      <c r="G4045">
        <f>HOUR(Table1[[#This Row],[order_time]])</f>
        <v>18</v>
      </c>
      <c r="H4045" s="2">
        <v>0.76175925925925925</v>
      </c>
      <c r="I4045" t="s">
        <v>16</v>
      </c>
      <c r="J4045" t="s">
        <v>24</v>
      </c>
      <c r="K4045">
        <v>5</v>
      </c>
      <c r="L4045">
        <v>35</v>
      </c>
      <c r="M4045">
        <v>175</v>
      </c>
      <c r="N4045">
        <f>IF(COUNTIFS($B$2:B4045,B4045)=1,1,0)</f>
        <v>0</v>
      </c>
    </row>
    <row r="4046" spans="1:14" x14ac:dyDescent="0.2">
      <c r="A4046">
        <v>4045</v>
      </c>
      <c r="B4046">
        <v>3037</v>
      </c>
      <c r="C4046">
        <f>1/COUNTIF(B:B,Table1[[#This Row],[order_id]])</f>
        <v>1</v>
      </c>
      <c r="D4046" t="str">
        <f>TEXT(Table1[[#This Row],[order_date]],"mmmm")</f>
        <v>November</v>
      </c>
      <c r="E4046" s="1">
        <v>45604</v>
      </c>
      <c r="F4046" s="1" t="str">
        <f>TEXT(Table1[[#This Row],[order_date]],"dddd")</f>
        <v>Friday</v>
      </c>
      <c r="G4046">
        <f>HOUR(Table1[[#This Row],[order_time]])</f>
        <v>20</v>
      </c>
      <c r="H4046" s="2">
        <v>0.8526273148148148</v>
      </c>
      <c r="I4046" t="s">
        <v>18</v>
      </c>
      <c r="J4046" t="s">
        <v>31</v>
      </c>
      <c r="K4046">
        <v>2</v>
      </c>
      <c r="L4046">
        <v>45</v>
      </c>
      <c r="M4046">
        <v>90</v>
      </c>
      <c r="N4046">
        <f>IF(COUNTIFS($B$2:B4046,B4046)=1,1,0)</f>
        <v>1</v>
      </c>
    </row>
    <row r="4047" spans="1:14" x14ac:dyDescent="0.2">
      <c r="A4047">
        <v>4046</v>
      </c>
      <c r="B4047">
        <v>3038</v>
      </c>
      <c r="C4047">
        <f>1/COUNTIF(B:B,Table1[[#This Row],[order_id]])</f>
        <v>0.33333333333333331</v>
      </c>
      <c r="D4047" t="str">
        <f>TEXT(Table1[[#This Row],[order_date]],"mmmm")</f>
        <v>November</v>
      </c>
      <c r="E4047" s="1">
        <v>45604</v>
      </c>
      <c r="F4047" s="1" t="str">
        <f>TEXT(Table1[[#This Row],[order_date]],"dddd")</f>
        <v>Friday</v>
      </c>
      <c r="G4047">
        <f>HOUR(Table1[[#This Row],[order_time]])</f>
        <v>20</v>
      </c>
      <c r="H4047" s="2">
        <v>0.87053240740740745</v>
      </c>
      <c r="I4047" t="s">
        <v>11</v>
      </c>
      <c r="J4047" t="s">
        <v>14</v>
      </c>
      <c r="K4047">
        <v>3</v>
      </c>
      <c r="L4047">
        <v>700</v>
      </c>
      <c r="M4047">
        <v>2100</v>
      </c>
      <c r="N4047">
        <f>IF(COUNTIFS($B$2:B4047,B4047)=1,1,0)</f>
        <v>1</v>
      </c>
    </row>
    <row r="4048" spans="1:14" x14ac:dyDescent="0.2">
      <c r="A4048">
        <v>4047</v>
      </c>
      <c r="B4048">
        <v>3038</v>
      </c>
      <c r="C4048">
        <f>1/COUNTIF(B:B,Table1[[#This Row],[order_id]])</f>
        <v>0.33333333333333331</v>
      </c>
      <c r="D4048" t="str">
        <f>TEXT(Table1[[#This Row],[order_date]],"mmmm")</f>
        <v>November</v>
      </c>
      <c r="E4048" s="1">
        <v>45604</v>
      </c>
      <c r="F4048" s="1" t="str">
        <f>TEXT(Table1[[#This Row],[order_date]],"dddd")</f>
        <v>Friday</v>
      </c>
      <c r="G4048">
        <f>HOUR(Table1[[#This Row],[order_time]])</f>
        <v>19</v>
      </c>
      <c r="H4048" s="2">
        <v>0.81832175925925921</v>
      </c>
      <c r="I4048" t="s">
        <v>18</v>
      </c>
      <c r="J4048" t="s">
        <v>27</v>
      </c>
      <c r="K4048">
        <v>2</v>
      </c>
      <c r="L4048">
        <v>40</v>
      </c>
      <c r="M4048">
        <v>80</v>
      </c>
      <c r="N4048">
        <f>IF(COUNTIFS($B$2:B4048,B4048)=1,1,0)</f>
        <v>0</v>
      </c>
    </row>
    <row r="4049" spans="1:14" x14ac:dyDescent="0.2">
      <c r="A4049">
        <v>4048</v>
      </c>
      <c r="B4049">
        <v>3038</v>
      </c>
      <c r="C4049">
        <f>1/COUNTIF(B:B,Table1[[#This Row],[order_id]])</f>
        <v>0.33333333333333331</v>
      </c>
      <c r="D4049" t="str">
        <f>TEXT(Table1[[#This Row],[order_date]],"mmmm")</f>
        <v>November</v>
      </c>
      <c r="E4049" s="1">
        <v>45604</v>
      </c>
      <c r="F4049" s="1" t="str">
        <f>TEXT(Table1[[#This Row],[order_date]],"dddd")</f>
        <v>Friday</v>
      </c>
      <c r="G4049">
        <f>HOUR(Table1[[#This Row],[order_time]])</f>
        <v>15</v>
      </c>
      <c r="H4049" s="2">
        <v>0.6424305555555555</v>
      </c>
      <c r="I4049" t="s">
        <v>11</v>
      </c>
      <c r="J4049" t="s">
        <v>25</v>
      </c>
      <c r="K4049">
        <v>1</v>
      </c>
      <c r="L4049">
        <v>1000</v>
      </c>
      <c r="M4049">
        <v>1000</v>
      </c>
      <c r="N4049">
        <f>IF(COUNTIFS($B$2:B4049,B4049)=1,1,0)</f>
        <v>0</v>
      </c>
    </row>
    <row r="4050" spans="1:14" x14ac:dyDescent="0.2">
      <c r="A4050">
        <v>4049</v>
      </c>
      <c r="B4050">
        <v>3039</v>
      </c>
      <c r="C4050">
        <f>1/COUNTIF(B:B,Table1[[#This Row],[order_id]])</f>
        <v>0.33333333333333331</v>
      </c>
      <c r="D4050" t="str">
        <f>TEXT(Table1[[#This Row],[order_date]],"mmmm")</f>
        <v>November</v>
      </c>
      <c r="E4050" s="1">
        <v>45605</v>
      </c>
      <c r="F4050" s="1" t="str">
        <f>TEXT(Table1[[#This Row],[order_date]],"dddd")</f>
        <v>Saturday</v>
      </c>
      <c r="G4050">
        <f>HOUR(Table1[[#This Row],[order_time]])</f>
        <v>17</v>
      </c>
      <c r="H4050" s="2">
        <v>0.74152777777777779</v>
      </c>
      <c r="I4050" t="s">
        <v>16</v>
      </c>
      <c r="J4050" t="s">
        <v>23</v>
      </c>
      <c r="K4050">
        <v>1</v>
      </c>
      <c r="L4050">
        <v>30</v>
      </c>
      <c r="M4050">
        <v>30</v>
      </c>
      <c r="N4050">
        <f>IF(COUNTIFS($B$2:B4050,B4050)=1,1,0)</f>
        <v>1</v>
      </c>
    </row>
    <row r="4051" spans="1:14" x14ac:dyDescent="0.2">
      <c r="A4051">
        <v>4050</v>
      </c>
      <c r="B4051">
        <v>3039</v>
      </c>
      <c r="C4051">
        <f>1/COUNTIF(B:B,Table1[[#This Row],[order_id]])</f>
        <v>0.33333333333333331</v>
      </c>
      <c r="D4051" t="str">
        <f>TEXT(Table1[[#This Row],[order_date]],"mmmm")</f>
        <v>November</v>
      </c>
      <c r="E4051" s="1">
        <v>45605</v>
      </c>
      <c r="F4051" s="1" t="str">
        <f>TEXT(Table1[[#This Row],[order_date]],"dddd")</f>
        <v>Saturday</v>
      </c>
      <c r="G4051">
        <f>HOUR(Table1[[#This Row],[order_time]])</f>
        <v>17</v>
      </c>
      <c r="H4051" s="2">
        <v>0.73621527777777773</v>
      </c>
      <c r="I4051" t="s">
        <v>18</v>
      </c>
      <c r="J4051" t="s">
        <v>31</v>
      </c>
      <c r="K4051">
        <v>4</v>
      </c>
      <c r="L4051">
        <v>45</v>
      </c>
      <c r="M4051">
        <v>180</v>
      </c>
      <c r="N4051">
        <f>IF(COUNTIFS($B$2:B4051,B4051)=1,1,0)</f>
        <v>0</v>
      </c>
    </row>
    <row r="4052" spans="1:14" x14ac:dyDescent="0.2">
      <c r="A4052">
        <v>4051</v>
      </c>
      <c r="B4052">
        <v>3039</v>
      </c>
      <c r="C4052">
        <f>1/COUNTIF(B:B,Table1[[#This Row],[order_id]])</f>
        <v>0.33333333333333331</v>
      </c>
      <c r="D4052" t="str">
        <f>TEXT(Table1[[#This Row],[order_date]],"mmmm")</f>
        <v>November</v>
      </c>
      <c r="E4052" s="1">
        <v>45605</v>
      </c>
      <c r="F4052" s="1" t="str">
        <f>TEXT(Table1[[#This Row],[order_date]],"dddd")</f>
        <v>Saturday</v>
      </c>
      <c r="G4052">
        <f>HOUR(Table1[[#This Row],[order_time]])</f>
        <v>18</v>
      </c>
      <c r="H4052" s="2">
        <v>0.7525115740740741</v>
      </c>
      <c r="I4052" t="s">
        <v>18</v>
      </c>
      <c r="J4052" t="s">
        <v>30</v>
      </c>
      <c r="K4052">
        <v>3</v>
      </c>
      <c r="L4052">
        <v>60</v>
      </c>
      <c r="M4052">
        <v>180</v>
      </c>
      <c r="N4052">
        <f>IF(COUNTIFS($B$2:B4052,B4052)=1,1,0)</f>
        <v>0</v>
      </c>
    </row>
    <row r="4053" spans="1:14" x14ac:dyDescent="0.2">
      <c r="A4053">
        <v>4052</v>
      </c>
      <c r="B4053">
        <v>3040</v>
      </c>
      <c r="C4053">
        <f>1/COUNTIF(B:B,Table1[[#This Row],[order_id]])</f>
        <v>0.5</v>
      </c>
      <c r="D4053" t="str">
        <f>TEXT(Table1[[#This Row],[order_date]],"mmmm")</f>
        <v>November</v>
      </c>
      <c r="E4053" s="1">
        <v>45605</v>
      </c>
      <c r="F4053" s="1" t="str">
        <f>TEXT(Table1[[#This Row],[order_date]],"dddd")</f>
        <v>Saturday</v>
      </c>
      <c r="G4053">
        <f>HOUR(Table1[[#This Row],[order_time]])</f>
        <v>14</v>
      </c>
      <c r="H4053" s="2">
        <v>0.62149305555555556</v>
      </c>
      <c r="I4053" t="s">
        <v>16</v>
      </c>
      <c r="J4053" t="s">
        <v>28</v>
      </c>
      <c r="K4053">
        <v>1</v>
      </c>
      <c r="L4053">
        <v>25</v>
      </c>
      <c r="M4053">
        <v>25</v>
      </c>
      <c r="N4053">
        <f>IF(COUNTIFS($B$2:B4053,B4053)=1,1,0)</f>
        <v>1</v>
      </c>
    </row>
    <row r="4054" spans="1:14" x14ac:dyDescent="0.2">
      <c r="A4054">
        <v>4053</v>
      </c>
      <c r="B4054">
        <v>3040</v>
      </c>
      <c r="C4054">
        <f>1/COUNTIF(B:B,Table1[[#This Row],[order_id]])</f>
        <v>0.5</v>
      </c>
      <c r="D4054" t="str">
        <f>TEXT(Table1[[#This Row],[order_date]],"mmmm")</f>
        <v>November</v>
      </c>
      <c r="E4054" s="1">
        <v>45605</v>
      </c>
      <c r="F4054" s="1" t="str">
        <f>TEXT(Table1[[#This Row],[order_date]],"dddd")</f>
        <v>Saturday</v>
      </c>
      <c r="G4054">
        <f>HOUR(Table1[[#This Row],[order_time]])</f>
        <v>11</v>
      </c>
      <c r="H4054" s="2">
        <v>0.49642361111111111</v>
      </c>
      <c r="I4054" t="s">
        <v>11</v>
      </c>
      <c r="J4054" t="s">
        <v>13</v>
      </c>
      <c r="K4054">
        <v>2</v>
      </c>
      <c r="L4054">
        <v>680</v>
      </c>
      <c r="M4054">
        <v>1360</v>
      </c>
      <c r="N4054">
        <f>IF(COUNTIFS($B$2:B4054,B4054)=1,1,0)</f>
        <v>0</v>
      </c>
    </row>
    <row r="4055" spans="1:14" x14ac:dyDescent="0.2">
      <c r="A4055">
        <v>4054</v>
      </c>
      <c r="B4055">
        <v>3041</v>
      </c>
      <c r="C4055">
        <f>1/COUNTIF(B:B,Table1[[#This Row],[order_id]])</f>
        <v>0.33333333333333331</v>
      </c>
      <c r="D4055" t="str">
        <f>TEXT(Table1[[#This Row],[order_date]],"mmmm")</f>
        <v>November</v>
      </c>
      <c r="E4055" s="1">
        <v>45605</v>
      </c>
      <c r="F4055" s="1" t="str">
        <f>TEXT(Table1[[#This Row],[order_date]],"dddd")</f>
        <v>Saturday</v>
      </c>
      <c r="G4055">
        <f>HOUR(Table1[[#This Row],[order_time]])</f>
        <v>17</v>
      </c>
      <c r="H4055" s="2">
        <v>0.74008101851851849</v>
      </c>
      <c r="I4055" t="s">
        <v>11</v>
      </c>
      <c r="J4055" t="s">
        <v>12</v>
      </c>
      <c r="K4055">
        <v>3</v>
      </c>
      <c r="L4055">
        <v>650</v>
      </c>
      <c r="M4055">
        <v>1950</v>
      </c>
      <c r="N4055">
        <f>IF(COUNTIFS($B$2:B4055,B4055)=1,1,0)</f>
        <v>1</v>
      </c>
    </row>
    <row r="4056" spans="1:14" x14ac:dyDescent="0.2">
      <c r="A4056">
        <v>4055</v>
      </c>
      <c r="B4056">
        <v>3041</v>
      </c>
      <c r="C4056">
        <f>1/COUNTIF(B:B,Table1[[#This Row],[order_id]])</f>
        <v>0.33333333333333331</v>
      </c>
      <c r="D4056" t="str">
        <f>TEXT(Table1[[#This Row],[order_date]],"mmmm")</f>
        <v>November</v>
      </c>
      <c r="E4056" s="1">
        <v>45605</v>
      </c>
      <c r="F4056" s="1" t="str">
        <f>TEXT(Table1[[#This Row],[order_date]],"dddd")</f>
        <v>Saturday</v>
      </c>
      <c r="G4056">
        <f>HOUR(Table1[[#This Row],[order_time]])</f>
        <v>10</v>
      </c>
      <c r="H4056" s="2">
        <v>0.45704861111111111</v>
      </c>
      <c r="I4056" t="s">
        <v>11</v>
      </c>
      <c r="J4056" t="s">
        <v>25</v>
      </c>
      <c r="K4056">
        <v>2</v>
      </c>
      <c r="L4056">
        <v>1000</v>
      </c>
      <c r="M4056">
        <v>2000</v>
      </c>
      <c r="N4056">
        <f>IF(COUNTIFS($B$2:B4056,B4056)=1,1,0)</f>
        <v>0</v>
      </c>
    </row>
    <row r="4057" spans="1:14" x14ac:dyDescent="0.2">
      <c r="A4057">
        <v>4056</v>
      </c>
      <c r="B4057">
        <v>3041</v>
      </c>
      <c r="C4057">
        <f>1/COUNTIF(B:B,Table1[[#This Row],[order_id]])</f>
        <v>0.33333333333333331</v>
      </c>
      <c r="D4057" t="str">
        <f>TEXT(Table1[[#This Row],[order_date]],"mmmm")</f>
        <v>November</v>
      </c>
      <c r="E4057" s="1">
        <v>45605</v>
      </c>
      <c r="F4057" s="1" t="str">
        <f>TEXT(Table1[[#This Row],[order_date]],"dddd")</f>
        <v>Saturday</v>
      </c>
      <c r="G4057">
        <f>HOUR(Table1[[#This Row],[order_time]])</f>
        <v>12</v>
      </c>
      <c r="H4057" s="2">
        <v>0.52230324074074075</v>
      </c>
      <c r="I4057" t="s">
        <v>11</v>
      </c>
      <c r="J4057" t="s">
        <v>15</v>
      </c>
      <c r="K4057">
        <v>2</v>
      </c>
      <c r="L4057">
        <v>600</v>
      </c>
      <c r="M4057">
        <v>1200</v>
      </c>
      <c r="N4057">
        <f>IF(COUNTIFS($B$2:B4057,B4057)=1,1,0)</f>
        <v>0</v>
      </c>
    </row>
    <row r="4058" spans="1:14" x14ac:dyDescent="0.2">
      <c r="A4058">
        <v>4057</v>
      </c>
      <c r="B4058">
        <v>3042</v>
      </c>
      <c r="C4058">
        <f>1/COUNTIF(B:B,Table1[[#This Row],[order_id]])</f>
        <v>0.5</v>
      </c>
      <c r="D4058" t="str">
        <f>TEXT(Table1[[#This Row],[order_date]],"mmmm")</f>
        <v>November</v>
      </c>
      <c r="E4058" s="1">
        <v>45605</v>
      </c>
      <c r="F4058" s="1" t="str">
        <f>TEXT(Table1[[#This Row],[order_date]],"dddd")</f>
        <v>Saturday</v>
      </c>
      <c r="G4058">
        <f>HOUR(Table1[[#This Row],[order_time]])</f>
        <v>20</v>
      </c>
      <c r="H4058" s="2">
        <v>0.83585648148148151</v>
      </c>
      <c r="I4058" t="s">
        <v>9</v>
      </c>
      <c r="J4058" t="s">
        <v>10</v>
      </c>
      <c r="K4058">
        <v>5</v>
      </c>
      <c r="L4058">
        <v>20</v>
      </c>
      <c r="M4058">
        <v>100</v>
      </c>
      <c r="N4058">
        <f>IF(COUNTIFS($B$2:B4058,B4058)=1,1,0)</f>
        <v>1</v>
      </c>
    </row>
    <row r="4059" spans="1:14" x14ac:dyDescent="0.2">
      <c r="A4059">
        <v>4058</v>
      </c>
      <c r="B4059">
        <v>3042</v>
      </c>
      <c r="C4059">
        <f>1/COUNTIF(B:B,Table1[[#This Row],[order_id]])</f>
        <v>0.5</v>
      </c>
      <c r="D4059" t="str">
        <f>TEXT(Table1[[#This Row],[order_date]],"mmmm")</f>
        <v>November</v>
      </c>
      <c r="E4059" s="1">
        <v>45605</v>
      </c>
      <c r="F4059" s="1" t="str">
        <f>TEXT(Table1[[#This Row],[order_date]],"dddd")</f>
        <v>Saturday</v>
      </c>
      <c r="G4059">
        <f>HOUR(Table1[[#This Row],[order_time]])</f>
        <v>12</v>
      </c>
      <c r="H4059" s="2">
        <v>0.50840277777777776</v>
      </c>
      <c r="I4059" t="s">
        <v>16</v>
      </c>
      <c r="J4059" t="s">
        <v>28</v>
      </c>
      <c r="K4059">
        <v>1</v>
      </c>
      <c r="L4059">
        <v>25</v>
      </c>
      <c r="M4059">
        <v>25</v>
      </c>
      <c r="N4059">
        <f>IF(COUNTIFS($B$2:B4059,B4059)=1,1,0)</f>
        <v>0</v>
      </c>
    </row>
    <row r="4060" spans="1:14" x14ac:dyDescent="0.2">
      <c r="A4060">
        <v>4059</v>
      </c>
      <c r="B4060">
        <v>3043</v>
      </c>
      <c r="C4060">
        <f>1/COUNTIF(B:B,Table1[[#This Row],[order_id]])</f>
        <v>0.33333333333333331</v>
      </c>
      <c r="D4060" t="str">
        <f>TEXT(Table1[[#This Row],[order_date]],"mmmm")</f>
        <v>November</v>
      </c>
      <c r="E4060" s="1">
        <v>45605</v>
      </c>
      <c r="F4060" s="1" t="str">
        <f>TEXT(Table1[[#This Row],[order_date]],"dddd")</f>
        <v>Saturday</v>
      </c>
      <c r="G4060">
        <f>HOUR(Table1[[#This Row],[order_time]])</f>
        <v>20</v>
      </c>
      <c r="H4060" s="2">
        <v>0.85763888888888884</v>
      </c>
      <c r="I4060" t="s">
        <v>18</v>
      </c>
      <c r="J4060" t="s">
        <v>30</v>
      </c>
      <c r="K4060">
        <v>4</v>
      </c>
      <c r="L4060">
        <v>60</v>
      </c>
      <c r="M4060">
        <v>240</v>
      </c>
      <c r="N4060">
        <f>IF(COUNTIFS($B$2:B4060,B4060)=1,1,0)</f>
        <v>1</v>
      </c>
    </row>
    <row r="4061" spans="1:14" x14ac:dyDescent="0.2">
      <c r="A4061">
        <v>4060</v>
      </c>
      <c r="B4061">
        <v>3043</v>
      </c>
      <c r="C4061">
        <f>1/COUNTIF(B:B,Table1[[#This Row],[order_id]])</f>
        <v>0.33333333333333331</v>
      </c>
      <c r="D4061" t="str">
        <f>TEXT(Table1[[#This Row],[order_date]],"mmmm")</f>
        <v>November</v>
      </c>
      <c r="E4061" s="1">
        <v>45605</v>
      </c>
      <c r="F4061" s="1" t="str">
        <f>TEXT(Table1[[#This Row],[order_date]],"dddd")</f>
        <v>Saturday</v>
      </c>
      <c r="G4061">
        <f>HOUR(Table1[[#This Row],[order_time]])</f>
        <v>17</v>
      </c>
      <c r="H4061" s="2">
        <v>0.7348958333333333</v>
      </c>
      <c r="I4061" t="s">
        <v>16</v>
      </c>
      <c r="J4061" t="s">
        <v>28</v>
      </c>
      <c r="K4061">
        <v>3</v>
      </c>
      <c r="L4061">
        <v>25</v>
      </c>
      <c r="M4061">
        <v>75</v>
      </c>
      <c r="N4061">
        <f>IF(COUNTIFS($B$2:B4061,B4061)=1,1,0)</f>
        <v>0</v>
      </c>
    </row>
    <row r="4062" spans="1:14" x14ac:dyDescent="0.2">
      <c r="A4062">
        <v>4061</v>
      </c>
      <c r="B4062">
        <v>3043</v>
      </c>
      <c r="C4062">
        <f>1/COUNTIF(B:B,Table1[[#This Row],[order_id]])</f>
        <v>0.33333333333333331</v>
      </c>
      <c r="D4062" t="str">
        <f>TEXT(Table1[[#This Row],[order_date]],"mmmm")</f>
        <v>November</v>
      </c>
      <c r="E4062" s="1">
        <v>45605</v>
      </c>
      <c r="F4062" s="1" t="str">
        <f>TEXT(Table1[[#This Row],[order_date]],"dddd")</f>
        <v>Saturday</v>
      </c>
      <c r="G4062">
        <f>HOUR(Table1[[#This Row],[order_time]])</f>
        <v>13</v>
      </c>
      <c r="H4062" s="2">
        <v>0.5581018518518519</v>
      </c>
      <c r="I4062" t="s">
        <v>16</v>
      </c>
      <c r="J4062" t="s">
        <v>17</v>
      </c>
      <c r="K4062">
        <v>5</v>
      </c>
      <c r="L4062">
        <v>20</v>
      </c>
      <c r="M4062">
        <v>100</v>
      </c>
      <c r="N4062">
        <f>IF(COUNTIFS($B$2:B4062,B4062)=1,1,0)</f>
        <v>0</v>
      </c>
    </row>
    <row r="4063" spans="1:14" x14ac:dyDescent="0.2">
      <c r="A4063">
        <v>4062</v>
      </c>
      <c r="B4063">
        <v>3044</v>
      </c>
      <c r="C4063">
        <f>1/COUNTIF(B:B,Table1[[#This Row],[order_id]])</f>
        <v>0.33333333333333331</v>
      </c>
      <c r="D4063" t="str">
        <f>TEXT(Table1[[#This Row],[order_date]],"mmmm")</f>
        <v>November</v>
      </c>
      <c r="E4063" s="1">
        <v>45605</v>
      </c>
      <c r="F4063" s="1" t="str">
        <f>TEXT(Table1[[#This Row],[order_date]],"dddd")</f>
        <v>Saturday</v>
      </c>
      <c r="G4063">
        <f>HOUR(Table1[[#This Row],[order_time]])</f>
        <v>10</v>
      </c>
      <c r="H4063" s="2">
        <v>0.44848379629629631</v>
      </c>
      <c r="I4063" t="s">
        <v>11</v>
      </c>
      <c r="J4063" t="s">
        <v>13</v>
      </c>
      <c r="K4063">
        <v>1</v>
      </c>
      <c r="L4063">
        <v>680</v>
      </c>
      <c r="M4063">
        <v>680</v>
      </c>
      <c r="N4063">
        <f>IF(COUNTIFS($B$2:B4063,B4063)=1,1,0)</f>
        <v>1</v>
      </c>
    </row>
    <row r="4064" spans="1:14" x14ac:dyDescent="0.2">
      <c r="A4064">
        <v>4063</v>
      </c>
      <c r="B4064">
        <v>3044</v>
      </c>
      <c r="C4064">
        <f>1/COUNTIF(B:B,Table1[[#This Row],[order_id]])</f>
        <v>0.33333333333333331</v>
      </c>
      <c r="D4064" t="str">
        <f>TEXT(Table1[[#This Row],[order_date]],"mmmm")</f>
        <v>November</v>
      </c>
      <c r="E4064" s="1">
        <v>45605</v>
      </c>
      <c r="F4064" s="1" t="str">
        <f>TEXT(Table1[[#This Row],[order_date]],"dddd")</f>
        <v>Saturday</v>
      </c>
      <c r="G4064">
        <f>HOUR(Table1[[#This Row],[order_time]])</f>
        <v>17</v>
      </c>
      <c r="H4064" s="2">
        <v>0.74539351851851854</v>
      </c>
      <c r="I4064" t="s">
        <v>16</v>
      </c>
      <c r="J4064" t="s">
        <v>28</v>
      </c>
      <c r="K4064">
        <v>4</v>
      </c>
      <c r="L4064">
        <v>25</v>
      </c>
      <c r="M4064">
        <v>100</v>
      </c>
      <c r="N4064">
        <f>IF(COUNTIFS($B$2:B4064,B4064)=1,1,0)</f>
        <v>0</v>
      </c>
    </row>
    <row r="4065" spans="1:14" x14ac:dyDescent="0.2">
      <c r="A4065">
        <v>4064</v>
      </c>
      <c r="B4065">
        <v>3044</v>
      </c>
      <c r="C4065">
        <f>1/COUNTIF(B:B,Table1[[#This Row],[order_id]])</f>
        <v>0.33333333333333331</v>
      </c>
      <c r="D4065" t="str">
        <f>TEXT(Table1[[#This Row],[order_date]],"mmmm")</f>
        <v>November</v>
      </c>
      <c r="E4065" s="1">
        <v>45605</v>
      </c>
      <c r="F4065" s="1" t="str">
        <f>TEXT(Table1[[#This Row],[order_date]],"dddd")</f>
        <v>Saturday</v>
      </c>
      <c r="G4065">
        <f>HOUR(Table1[[#This Row],[order_time]])</f>
        <v>20</v>
      </c>
      <c r="H4065" s="2">
        <v>0.86561342592592594</v>
      </c>
      <c r="I4065" t="s">
        <v>18</v>
      </c>
      <c r="J4065" t="s">
        <v>31</v>
      </c>
      <c r="K4065">
        <v>5</v>
      </c>
      <c r="L4065">
        <v>45</v>
      </c>
      <c r="M4065">
        <v>225</v>
      </c>
      <c r="N4065">
        <f>IF(COUNTIFS($B$2:B4065,B4065)=1,1,0)</f>
        <v>0</v>
      </c>
    </row>
    <row r="4066" spans="1:14" x14ac:dyDescent="0.2">
      <c r="A4066">
        <v>4065</v>
      </c>
      <c r="B4066">
        <v>3045</v>
      </c>
      <c r="C4066">
        <f>1/COUNTIF(B:B,Table1[[#This Row],[order_id]])</f>
        <v>0.5</v>
      </c>
      <c r="D4066" t="str">
        <f>TEXT(Table1[[#This Row],[order_date]],"mmmm")</f>
        <v>November</v>
      </c>
      <c r="E4066" s="1">
        <v>45605</v>
      </c>
      <c r="F4066" s="1" t="str">
        <f>TEXT(Table1[[#This Row],[order_date]],"dddd")</f>
        <v>Saturday</v>
      </c>
      <c r="G4066">
        <f>HOUR(Table1[[#This Row],[order_time]])</f>
        <v>15</v>
      </c>
      <c r="H4066" s="2">
        <v>0.63688657407407412</v>
      </c>
      <c r="I4066" t="s">
        <v>11</v>
      </c>
      <c r="J4066" t="s">
        <v>13</v>
      </c>
      <c r="K4066">
        <v>2</v>
      </c>
      <c r="L4066">
        <v>680</v>
      </c>
      <c r="M4066">
        <v>1360</v>
      </c>
      <c r="N4066">
        <f>IF(COUNTIFS($B$2:B4066,B4066)=1,1,0)</f>
        <v>1</v>
      </c>
    </row>
    <row r="4067" spans="1:14" x14ac:dyDescent="0.2">
      <c r="A4067">
        <v>4066</v>
      </c>
      <c r="B4067">
        <v>3045</v>
      </c>
      <c r="C4067">
        <f>1/COUNTIF(B:B,Table1[[#This Row],[order_id]])</f>
        <v>0.5</v>
      </c>
      <c r="D4067" t="str">
        <f>TEXT(Table1[[#This Row],[order_date]],"mmmm")</f>
        <v>November</v>
      </c>
      <c r="E4067" s="1">
        <v>45605</v>
      </c>
      <c r="F4067" s="1" t="str">
        <f>TEXT(Table1[[#This Row],[order_date]],"dddd")</f>
        <v>Saturday</v>
      </c>
      <c r="G4067">
        <f>HOUR(Table1[[#This Row],[order_time]])</f>
        <v>17</v>
      </c>
      <c r="H4067" s="2">
        <v>0.72590277777777779</v>
      </c>
      <c r="I4067" t="s">
        <v>11</v>
      </c>
      <c r="J4067" t="s">
        <v>25</v>
      </c>
      <c r="K4067">
        <v>2</v>
      </c>
      <c r="L4067">
        <v>1000</v>
      </c>
      <c r="M4067">
        <v>2000</v>
      </c>
      <c r="N4067">
        <f>IF(COUNTIFS($B$2:B4067,B4067)=1,1,0)</f>
        <v>0</v>
      </c>
    </row>
    <row r="4068" spans="1:14" x14ac:dyDescent="0.2">
      <c r="A4068">
        <v>4067</v>
      </c>
      <c r="B4068">
        <v>3046</v>
      </c>
      <c r="C4068">
        <f>1/COUNTIF(B:B,Table1[[#This Row],[order_id]])</f>
        <v>1</v>
      </c>
      <c r="D4068" t="str">
        <f>TEXT(Table1[[#This Row],[order_date]],"mmmm")</f>
        <v>November</v>
      </c>
      <c r="E4068" s="1">
        <v>45606</v>
      </c>
      <c r="F4068" s="1" t="str">
        <f>TEXT(Table1[[#This Row],[order_date]],"dddd")</f>
        <v>Sunday</v>
      </c>
      <c r="G4068">
        <f>HOUR(Table1[[#This Row],[order_time]])</f>
        <v>19</v>
      </c>
      <c r="H4068" s="2">
        <v>0.79903935185185182</v>
      </c>
      <c r="I4068" t="s">
        <v>9</v>
      </c>
      <c r="J4068" t="s">
        <v>29</v>
      </c>
      <c r="K4068">
        <v>1</v>
      </c>
      <c r="L4068">
        <v>5</v>
      </c>
      <c r="M4068">
        <v>5</v>
      </c>
      <c r="N4068">
        <f>IF(COUNTIFS($B$2:B4068,B4068)=1,1,0)</f>
        <v>1</v>
      </c>
    </row>
    <row r="4069" spans="1:14" x14ac:dyDescent="0.2">
      <c r="A4069">
        <v>4068</v>
      </c>
      <c r="B4069">
        <v>3047</v>
      </c>
      <c r="C4069">
        <f>1/COUNTIF(B:B,Table1[[#This Row],[order_id]])</f>
        <v>1</v>
      </c>
      <c r="D4069" t="str">
        <f>TEXT(Table1[[#This Row],[order_date]],"mmmm")</f>
        <v>November</v>
      </c>
      <c r="E4069" s="1">
        <v>45606</v>
      </c>
      <c r="F4069" s="1" t="str">
        <f>TEXT(Table1[[#This Row],[order_date]],"dddd")</f>
        <v>Sunday</v>
      </c>
      <c r="G4069">
        <f>HOUR(Table1[[#This Row],[order_time]])</f>
        <v>9</v>
      </c>
      <c r="H4069" s="2">
        <v>0.39486111111111111</v>
      </c>
      <c r="I4069" t="s">
        <v>9</v>
      </c>
      <c r="J4069" t="s">
        <v>22</v>
      </c>
      <c r="K4069">
        <v>1</v>
      </c>
      <c r="L4069">
        <v>15</v>
      </c>
      <c r="M4069">
        <v>15</v>
      </c>
      <c r="N4069">
        <f>IF(COUNTIFS($B$2:B4069,B4069)=1,1,0)</f>
        <v>1</v>
      </c>
    </row>
    <row r="4070" spans="1:14" x14ac:dyDescent="0.2">
      <c r="A4070">
        <v>4069</v>
      </c>
      <c r="B4070">
        <v>3048</v>
      </c>
      <c r="C4070">
        <f>1/COUNTIF(B:B,Table1[[#This Row],[order_id]])</f>
        <v>0.5</v>
      </c>
      <c r="D4070" t="str">
        <f>TEXT(Table1[[#This Row],[order_date]],"mmmm")</f>
        <v>November</v>
      </c>
      <c r="E4070" s="1">
        <v>45606</v>
      </c>
      <c r="F4070" s="1" t="str">
        <f>TEXT(Table1[[#This Row],[order_date]],"dddd")</f>
        <v>Sunday</v>
      </c>
      <c r="G4070">
        <f>HOUR(Table1[[#This Row],[order_time]])</f>
        <v>18</v>
      </c>
      <c r="H4070" s="2">
        <v>0.75009259259259264</v>
      </c>
      <c r="I4070" t="s">
        <v>18</v>
      </c>
      <c r="J4070" t="s">
        <v>27</v>
      </c>
      <c r="K4070">
        <v>4</v>
      </c>
      <c r="L4070">
        <v>40</v>
      </c>
      <c r="M4070">
        <v>160</v>
      </c>
      <c r="N4070">
        <f>IF(COUNTIFS($B$2:B4070,B4070)=1,1,0)</f>
        <v>1</v>
      </c>
    </row>
    <row r="4071" spans="1:14" x14ac:dyDescent="0.2">
      <c r="A4071">
        <v>4070</v>
      </c>
      <c r="B4071">
        <v>3048</v>
      </c>
      <c r="C4071">
        <f>1/COUNTIF(B:B,Table1[[#This Row],[order_id]])</f>
        <v>0.5</v>
      </c>
      <c r="D4071" t="str">
        <f>TEXT(Table1[[#This Row],[order_date]],"mmmm")</f>
        <v>November</v>
      </c>
      <c r="E4071" s="1">
        <v>45606</v>
      </c>
      <c r="F4071" s="1" t="str">
        <f>TEXT(Table1[[#This Row],[order_date]],"dddd")</f>
        <v>Sunday</v>
      </c>
      <c r="G4071">
        <f>HOUR(Table1[[#This Row],[order_time]])</f>
        <v>9</v>
      </c>
      <c r="H4071" s="2">
        <v>0.40196759259259257</v>
      </c>
      <c r="I4071" t="s">
        <v>9</v>
      </c>
      <c r="J4071" t="s">
        <v>10</v>
      </c>
      <c r="K4071">
        <v>1</v>
      </c>
      <c r="L4071">
        <v>20</v>
      </c>
      <c r="M4071">
        <v>20</v>
      </c>
      <c r="N4071">
        <f>IF(COUNTIFS($B$2:B4071,B4071)=1,1,0)</f>
        <v>0</v>
      </c>
    </row>
    <row r="4072" spans="1:14" x14ac:dyDescent="0.2">
      <c r="A4072">
        <v>4071</v>
      </c>
      <c r="B4072">
        <v>3049</v>
      </c>
      <c r="C4072">
        <f>1/COUNTIF(B:B,Table1[[#This Row],[order_id]])</f>
        <v>1</v>
      </c>
      <c r="D4072" t="str">
        <f>TEXT(Table1[[#This Row],[order_date]],"mmmm")</f>
        <v>November</v>
      </c>
      <c r="E4072" s="1">
        <v>45607</v>
      </c>
      <c r="F4072" s="1" t="str">
        <f>TEXT(Table1[[#This Row],[order_date]],"dddd")</f>
        <v>Monday</v>
      </c>
      <c r="G4072">
        <f>HOUR(Table1[[#This Row],[order_time]])</f>
        <v>20</v>
      </c>
      <c r="H4072" s="2">
        <v>0.84870370370370374</v>
      </c>
      <c r="I4072" t="s">
        <v>18</v>
      </c>
      <c r="J4072" t="s">
        <v>26</v>
      </c>
      <c r="K4072">
        <v>2</v>
      </c>
      <c r="L4072">
        <v>55</v>
      </c>
      <c r="M4072">
        <v>110</v>
      </c>
      <c r="N4072">
        <f>IF(COUNTIFS($B$2:B4072,B4072)=1,1,0)</f>
        <v>1</v>
      </c>
    </row>
    <row r="4073" spans="1:14" x14ac:dyDescent="0.2">
      <c r="A4073">
        <v>4072</v>
      </c>
      <c r="B4073">
        <v>3050</v>
      </c>
      <c r="C4073">
        <f>1/COUNTIF(B:B,Table1[[#This Row],[order_id]])</f>
        <v>0.33333333333333331</v>
      </c>
      <c r="D4073" t="str">
        <f>TEXT(Table1[[#This Row],[order_date]],"mmmm")</f>
        <v>November</v>
      </c>
      <c r="E4073" s="1">
        <v>45607</v>
      </c>
      <c r="F4073" s="1" t="str">
        <f>TEXT(Table1[[#This Row],[order_date]],"dddd")</f>
        <v>Monday</v>
      </c>
      <c r="G4073">
        <f>HOUR(Table1[[#This Row],[order_time]])</f>
        <v>20</v>
      </c>
      <c r="H4073" s="2">
        <v>0.87223379629629627</v>
      </c>
      <c r="I4073" t="s">
        <v>11</v>
      </c>
      <c r="J4073" t="s">
        <v>14</v>
      </c>
      <c r="K4073">
        <v>2</v>
      </c>
      <c r="L4073">
        <v>700</v>
      </c>
      <c r="M4073">
        <v>1400</v>
      </c>
      <c r="N4073">
        <f>IF(COUNTIFS($B$2:B4073,B4073)=1,1,0)</f>
        <v>1</v>
      </c>
    </row>
    <row r="4074" spans="1:14" x14ac:dyDescent="0.2">
      <c r="A4074">
        <v>4073</v>
      </c>
      <c r="B4074">
        <v>3050</v>
      </c>
      <c r="C4074">
        <f>1/COUNTIF(B:B,Table1[[#This Row],[order_id]])</f>
        <v>0.33333333333333331</v>
      </c>
      <c r="D4074" t="str">
        <f>TEXT(Table1[[#This Row],[order_date]],"mmmm")</f>
        <v>November</v>
      </c>
      <c r="E4074" s="1">
        <v>45607</v>
      </c>
      <c r="F4074" s="1" t="str">
        <f>TEXT(Table1[[#This Row],[order_date]],"dddd")</f>
        <v>Monday</v>
      </c>
      <c r="G4074">
        <f>HOUR(Table1[[#This Row],[order_time]])</f>
        <v>10</v>
      </c>
      <c r="H4074" s="2">
        <v>0.45153935185185184</v>
      </c>
      <c r="I4074" t="s">
        <v>18</v>
      </c>
      <c r="J4074" t="s">
        <v>31</v>
      </c>
      <c r="K4074">
        <v>5</v>
      </c>
      <c r="L4074">
        <v>45</v>
      </c>
      <c r="M4074">
        <v>225</v>
      </c>
      <c r="N4074">
        <f>IF(COUNTIFS($B$2:B4074,B4074)=1,1,0)</f>
        <v>0</v>
      </c>
    </row>
    <row r="4075" spans="1:14" x14ac:dyDescent="0.2">
      <c r="A4075">
        <v>4074</v>
      </c>
      <c r="B4075">
        <v>3050</v>
      </c>
      <c r="C4075">
        <f>1/COUNTIF(B:B,Table1[[#This Row],[order_id]])</f>
        <v>0.33333333333333331</v>
      </c>
      <c r="D4075" t="str">
        <f>TEXT(Table1[[#This Row],[order_date]],"mmmm")</f>
        <v>November</v>
      </c>
      <c r="E4075" s="1">
        <v>45607</v>
      </c>
      <c r="F4075" s="1" t="str">
        <f>TEXT(Table1[[#This Row],[order_date]],"dddd")</f>
        <v>Monday</v>
      </c>
      <c r="G4075">
        <f>HOUR(Table1[[#This Row],[order_time]])</f>
        <v>19</v>
      </c>
      <c r="H4075" s="2">
        <v>0.8022569444444444</v>
      </c>
      <c r="I4075" t="s">
        <v>11</v>
      </c>
      <c r="J4075" t="s">
        <v>12</v>
      </c>
      <c r="K4075">
        <v>5</v>
      </c>
      <c r="L4075">
        <v>650</v>
      </c>
      <c r="M4075">
        <v>3250</v>
      </c>
      <c r="N4075">
        <f>IF(COUNTIFS($B$2:B4075,B4075)=1,1,0)</f>
        <v>0</v>
      </c>
    </row>
    <row r="4076" spans="1:14" x14ac:dyDescent="0.2">
      <c r="A4076">
        <v>4075</v>
      </c>
      <c r="B4076">
        <v>3051</v>
      </c>
      <c r="C4076">
        <f>1/COUNTIF(B:B,Table1[[#This Row],[order_id]])</f>
        <v>0.33333333333333331</v>
      </c>
      <c r="D4076" t="str">
        <f>TEXT(Table1[[#This Row],[order_date]],"mmmm")</f>
        <v>November</v>
      </c>
      <c r="E4076" s="1">
        <v>45607</v>
      </c>
      <c r="F4076" s="1" t="str">
        <f>TEXT(Table1[[#This Row],[order_date]],"dddd")</f>
        <v>Monday</v>
      </c>
      <c r="G4076">
        <f>HOUR(Table1[[#This Row],[order_time]])</f>
        <v>14</v>
      </c>
      <c r="H4076" s="2">
        <v>0.61371527777777779</v>
      </c>
      <c r="I4076" t="s">
        <v>18</v>
      </c>
      <c r="J4076" t="s">
        <v>31</v>
      </c>
      <c r="K4076">
        <v>3</v>
      </c>
      <c r="L4076">
        <v>45</v>
      </c>
      <c r="M4076">
        <v>135</v>
      </c>
      <c r="N4076">
        <f>IF(COUNTIFS($B$2:B4076,B4076)=1,1,0)</f>
        <v>1</v>
      </c>
    </row>
    <row r="4077" spans="1:14" x14ac:dyDescent="0.2">
      <c r="A4077">
        <v>4076</v>
      </c>
      <c r="B4077">
        <v>3051</v>
      </c>
      <c r="C4077">
        <f>1/COUNTIF(B:B,Table1[[#This Row],[order_id]])</f>
        <v>0.33333333333333331</v>
      </c>
      <c r="D4077" t="str">
        <f>TEXT(Table1[[#This Row],[order_date]],"mmmm")</f>
        <v>November</v>
      </c>
      <c r="E4077" s="1">
        <v>45607</v>
      </c>
      <c r="F4077" s="1" t="str">
        <f>TEXT(Table1[[#This Row],[order_date]],"dddd")</f>
        <v>Monday</v>
      </c>
      <c r="G4077">
        <f>HOUR(Table1[[#This Row],[order_time]])</f>
        <v>18</v>
      </c>
      <c r="H4077" s="2">
        <v>0.76718750000000002</v>
      </c>
      <c r="I4077" t="s">
        <v>16</v>
      </c>
      <c r="J4077" t="s">
        <v>24</v>
      </c>
      <c r="K4077">
        <v>4</v>
      </c>
      <c r="L4077">
        <v>35</v>
      </c>
      <c r="M4077">
        <v>140</v>
      </c>
      <c r="N4077">
        <f>IF(COUNTIFS($B$2:B4077,B4077)=1,1,0)</f>
        <v>0</v>
      </c>
    </row>
    <row r="4078" spans="1:14" x14ac:dyDescent="0.2">
      <c r="A4078">
        <v>4077</v>
      </c>
      <c r="B4078">
        <v>3051</v>
      </c>
      <c r="C4078">
        <f>1/COUNTIF(B:B,Table1[[#This Row],[order_id]])</f>
        <v>0.33333333333333331</v>
      </c>
      <c r="D4078" t="str">
        <f>TEXT(Table1[[#This Row],[order_date]],"mmmm")</f>
        <v>November</v>
      </c>
      <c r="E4078" s="1">
        <v>45607</v>
      </c>
      <c r="F4078" s="1" t="str">
        <f>TEXT(Table1[[#This Row],[order_date]],"dddd")</f>
        <v>Monday</v>
      </c>
      <c r="G4078">
        <f>HOUR(Table1[[#This Row],[order_time]])</f>
        <v>12</v>
      </c>
      <c r="H4078" s="2">
        <v>0.53739583333333329</v>
      </c>
      <c r="I4078" t="s">
        <v>18</v>
      </c>
      <c r="J4078" t="s">
        <v>26</v>
      </c>
      <c r="K4078">
        <v>2</v>
      </c>
      <c r="L4078">
        <v>55</v>
      </c>
      <c r="M4078">
        <v>110</v>
      </c>
      <c r="N4078">
        <f>IF(COUNTIFS($B$2:B4078,B4078)=1,1,0)</f>
        <v>0</v>
      </c>
    </row>
    <row r="4079" spans="1:14" x14ac:dyDescent="0.2">
      <c r="A4079">
        <v>4078</v>
      </c>
      <c r="B4079">
        <v>3052</v>
      </c>
      <c r="C4079">
        <f>1/COUNTIF(B:B,Table1[[#This Row],[order_id]])</f>
        <v>0.5</v>
      </c>
      <c r="D4079" t="str">
        <f>TEXT(Table1[[#This Row],[order_date]],"mmmm")</f>
        <v>November</v>
      </c>
      <c r="E4079" s="1">
        <v>45607</v>
      </c>
      <c r="F4079" s="1" t="str">
        <f>TEXT(Table1[[#This Row],[order_date]],"dddd")</f>
        <v>Monday</v>
      </c>
      <c r="G4079">
        <f>HOUR(Table1[[#This Row],[order_time]])</f>
        <v>9</v>
      </c>
      <c r="H4079" s="2">
        <v>0.37501157407407409</v>
      </c>
      <c r="I4079" t="s">
        <v>16</v>
      </c>
      <c r="J4079" t="s">
        <v>23</v>
      </c>
      <c r="K4079">
        <v>1</v>
      </c>
      <c r="L4079">
        <v>30</v>
      </c>
      <c r="M4079">
        <v>30</v>
      </c>
      <c r="N4079">
        <f>IF(COUNTIFS($B$2:B4079,B4079)=1,1,0)</f>
        <v>1</v>
      </c>
    </row>
    <row r="4080" spans="1:14" x14ac:dyDescent="0.2">
      <c r="A4080">
        <v>4079</v>
      </c>
      <c r="B4080">
        <v>3052</v>
      </c>
      <c r="C4080">
        <f>1/COUNTIF(B:B,Table1[[#This Row],[order_id]])</f>
        <v>0.5</v>
      </c>
      <c r="D4080" t="str">
        <f>TEXT(Table1[[#This Row],[order_date]],"mmmm")</f>
        <v>November</v>
      </c>
      <c r="E4080" s="1">
        <v>45607</v>
      </c>
      <c r="F4080" s="1" t="str">
        <f>TEXT(Table1[[#This Row],[order_date]],"dddd")</f>
        <v>Monday</v>
      </c>
      <c r="G4080">
        <f>HOUR(Table1[[#This Row],[order_time]])</f>
        <v>12</v>
      </c>
      <c r="H4080" s="2">
        <v>0.51538194444444441</v>
      </c>
      <c r="I4080" t="s">
        <v>11</v>
      </c>
      <c r="J4080" t="s">
        <v>13</v>
      </c>
      <c r="K4080">
        <v>5</v>
      </c>
      <c r="L4080">
        <v>680</v>
      </c>
      <c r="M4080">
        <v>3400</v>
      </c>
      <c r="N4080">
        <f>IF(COUNTIFS($B$2:B4080,B4080)=1,1,0)</f>
        <v>0</v>
      </c>
    </row>
    <row r="4081" spans="1:14" x14ac:dyDescent="0.2">
      <c r="A4081">
        <v>4080</v>
      </c>
      <c r="B4081">
        <v>3053</v>
      </c>
      <c r="C4081">
        <f>1/COUNTIF(B:B,Table1[[#This Row],[order_id]])</f>
        <v>0.33333333333333331</v>
      </c>
      <c r="D4081" t="str">
        <f>TEXT(Table1[[#This Row],[order_date]],"mmmm")</f>
        <v>November</v>
      </c>
      <c r="E4081" s="1">
        <v>45607</v>
      </c>
      <c r="F4081" s="1" t="str">
        <f>TEXT(Table1[[#This Row],[order_date]],"dddd")</f>
        <v>Monday</v>
      </c>
      <c r="G4081">
        <f>HOUR(Table1[[#This Row],[order_time]])</f>
        <v>9</v>
      </c>
      <c r="H4081" s="2">
        <v>0.39543981481481483</v>
      </c>
      <c r="I4081" t="s">
        <v>11</v>
      </c>
      <c r="J4081" t="s">
        <v>15</v>
      </c>
      <c r="K4081">
        <v>3</v>
      </c>
      <c r="L4081">
        <v>600</v>
      </c>
      <c r="M4081">
        <v>1800</v>
      </c>
      <c r="N4081">
        <f>IF(COUNTIFS($B$2:B4081,B4081)=1,1,0)</f>
        <v>1</v>
      </c>
    </row>
    <row r="4082" spans="1:14" x14ac:dyDescent="0.2">
      <c r="A4082">
        <v>4081</v>
      </c>
      <c r="B4082">
        <v>3053</v>
      </c>
      <c r="C4082">
        <f>1/COUNTIF(B:B,Table1[[#This Row],[order_id]])</f>
        <v>0.33333333333333331</v>
      </c>
      <c r="D4082" t="str">
        <f>TEXT(Table1[[#This Row],[order_date]],"mmmm")</f>
        <v>November</v>
      </c>
      <c r="E4082" s="1">
        <v>45607</v>
      </c>
      <c r="F4082" s="1" t="str">
        <f>TEXT(Table1[[#This Row],[order_date]],"dddd")</f>
        <v>Monday</v>
      </c>
      <c r="G4082">
        <f>HOUR(Table1[[#This Row],[order_time]])</f>
        <v>20</v>
      </c>
      <c r="H4082" s="2">
        <v>0.84189814814814812</v>
      </c>
      <c r="I4082" t="s">
        <v>11</v>
      </c>
      <c r="J4082" t="s">
        <v>12</v>
      </c>
      <c r="K4082">
        <v>2</v>
      </c>
      <c r="L4082">
        <v>650</v>
      </c>
      <c r="M4082">
        <v>1300</v>
      </c>
      <c r="N4082">
        <f>IF(COUNTIFS($B$2:B4082,B4082)=1,1,0)</f>
        <v>0</v>
      </c>
    </row>
    <row r="4083" spans="1:14" x14ac:dyDescent="0.2">
      <c r="A4083">
        <v>4082</v>
      </c>
      <c r="B4083">
        <v>3053</v>
      </c>
      <c r="C4083">
        <f>1/COUNTIF(B:B,Table1[[#This Row],[order_id]])</f>
        <v>0.33333333333333331</v>
      </c>
      <c r="D4083" t="str">
        <f>TEXT(Table1[[#This Row],[order_date]],"mmmm")</f>
        <v>November</v>
      </c>
      <c r="E4083" s="1">
        <v>45607</v>
      </c>
      <c r="F4083" s="1" t="str">
        <f>TEXT(Table1[[#This Row],[order_date]],"dddd")</f>
        <v>Monday</v>
      </c>
      <c r="G4083">
        <f>HOUR(Table1[[#This Row],[order_time]])</f>
        <v>18</v>
      </c>
      <c r="H4083" s="2">
        <v>0.75446759259259255</v>
      </c>
      <c r="I4083" t="s">
        <v>16</v>
      </c>
      <c r="J4083" t="s">
        <v>23</v>
      </c>
      <c r="K4083">
        <v>1</v>
      </c>
      <c r="L4083">
        <v>30</v>
      </c>
      <c r="M4083">
        <v>30</v>
      </c>
      <c r="N4083">
        <f>IF(COUNTIFS($B$2:B4083,B4083)=1,1,0)</f>
        <v>0</v>
      </c>
    </row>
    <row r="4084" spans="1:14" x14ac:dyDescent="0.2">
      <c r="A4084">
        <v>4083</v>
      </c>
      <c r="B4084">
        <v>3054</v>
      </c>
      <c r="C4084">
        <f>1/COUNTIF(B:B,Table1[[#This Row],[order_id]])</f>
        <v>0.5</v>
      </c>
      <c r="D4084" t="str">
        <f>TEXT(Table1[[#This Row],[order_date]],"mmmm")</f>
        <v>November</v>
      </c>
      <c r="E4084" s="1">
        <v>45607</v>
      </c>
      <c r="F4084" s="1" t="str">
        <f>TEXT(Table1[[#This Row],[order_date]],"dddd")</f>
        <v>Monday</v>
      </c>
      <c r="G4084">
        <f>HOUR(Table1[[#This Row],[order_time]])</f>
        <v>18</v>
      </c>
      <c r="H4084" s="2">
        <v>0.77356481481481476</v>
      </c>
      <c r="I4084" t="s">
        <v>9</v>
      </c>
      <c r="J4084" t="s">
        <v>21</v>
      </c>
      <c r="K4084">
        <v>2</v>
      </c>
      <c r="L4084">
        <v>10</v>
      </c>
      <c r="M4084">
        <v>20</v>
      </c>
      <c r="N4084">
        <f>IF(COUNTIFS($B$2:B4084,B4084)=1,1,0)</f>
        <v>1</v>
      </c>
    </row>
    <row r="4085" spans="1:14" x14ac:dyDescent="0.2">
      <c r="A4085">
        <v>4084</v>
      </c>
      <c r="B4085">
        <v>3054</v>
      </c>
      <c r="C4085">
        <f>1/COUNTIF(B:B,Table1[[#This Row],[order_id]])</f>
        <v>0.5</v>
      </c>
      <c r="D4085" t="str">
        <f>TEXT(Table1[[#This Row],[order_date]],"mmmm")</f>
        <v>November</v>
      </c>
      <c r="E4085" s="1">
        <v>45607</v>
      </c>
      <c r="F4085" s="1" t="str">
        <f>TEXT(Table1[[#This Row],[order_date]],"dddd")</f>
        <v>Monday</v>
      </c>
      <c r="G4085">
        <f>HOUR(Table1[[#This Row],[order_time]])</f>
        <v>10</v>
      </c>
      <c r="H4085" s="2">
        <v>0.43203703703703705</v>
      </c>
      <c r="I4085" t="s">
        <v>9</v>
      </c>
      <c r="J4085" t="s">
        <v>20</v>
      </c>
      <c r="K4085">
        <v>3</v>
      </c>
      <c r="L4085">
        <v>25</v>
      </c>
      <c r="M4085">
        <v>75</v>
      </c>
      <c r="N4085">
        <f>IF(COUNTIFS($B$2:B4085,B4085)=1,1,0)</f>
        <v>0</v>
      </c>
    </row>
    <row r="4086" spans="1:14" x14ac:dyDescent="0.2">
      <c r="A4086">
        <v>4085</v>
      </c>
      <c r="B4086">
        <v>3055</v>
      </c>
      <c r="C4086">
        <f>1/COUNTIF(B:B,Table1[[#This Row],[order_id]])</f>
        <v>1</v>
      </c>
      <c r="D4086" t="str">
        <f>TEXT(Table1[[#This Row],[order_date]],"mmmm")</f>
        <v>November</v>
      </c>
      <c r="E4086" s="1">
        <v>45608</v>
      </c>
      <c r="F4086" s="1" t="str">
        <f>TEXT(Table1[[#This Row],[order_date]],"dddd")</f>
        <v>Tuesday</v>
      </c>
      <c r="G4086">
        <f>HOUR(Table1[[#This Row],[order_time]])</f>
        <v>13</v>
      </c>
      <c r="H4086" s="2">
        <v>0.54219907407407408</v>
      </c>
      <c r="I4086" t="s">
        <v>9</v>
      </c>
      <c r="J4086" t="s">
        <v>22</v>
      </c>
      <c r="K4086">
        <v>4</v>
      </c>
      <c r="L4086">
        <v>15</v>
      </c>
      <c r="M4086">
        <v>60</v>
      </c>
      <c r="N4086">
        <f>IF(COUNTIFS($B$2:B4086,B4086)=1,1,0)</f>
        <v>1</v>
      </c>
    </row>
    <row r="4087" spans="1:14" x14ac:dyDescent="0.2">
      <c r="A4087">
        <v>4086</v>
      </c>
      <c r="B4087">
        <v>3056</v>
      </c>
      <c r="C4087">
        <f>1/COUNTIF(B:B,Table1[[#This Row],[order_id]])</f>
        <v>1</v>
      </c>
      <c r="D4087" t="str">
        <f>TEXT(Table1[[#This Row],[order_date]],"mmmm")</f>
        <v>November</v>
      </c>
      <c r="E4087" s="1">
        <v>45608</v>
      </c>
      <c r="F4087" s="1" t="str">
        <f>TEXT(Table1[[#This Row],[order_date]],"dddd")</f>
        <v>Tuesday</v>
      </c>
      <c r="G4087">
        <f>HOUR(Table1[[#This Row],[order_time]])</f>
        <v>19</v>
      </c>
      <c r="H4087" s="2">
        <v>0.82603009259259264</v>
      </c>
      <c r="I4087" t="s">
        <v>18</v>
      </c>
      <c r="J4087" t="s">
        <v>31</v>
      </c>
      <c r="K4087">
        <v>4</v>
      </c>
      <c r="L4087">
        <v>45</v>
      </c>
      <c r="M4087">
        <v>180</v>
      </c>
      <c r="N4087">
        <f>IF(COUNTIFS($B$2:B4087,B4087)=1,1,0)</f>
        <v>1</v>
      </c>
    </row>
    <row r="4088" spans="1:14" x14ac:dyDescent="0.2">
      <c r="A4088">
        <v>4087</v>
      </c>
      <c r="B4088">
        <v>3057</v>
      </c>
      <c r="C4088">
        <f>1/COUNTIF(B:B,Table1[[#This Row],[order_id]])</f>
        <v>0.5</v>
      </c>
      <c r="D4088" t="str">
        <f>TEXT(Table1[[#This Row],[order_date]],"mmmm")</f>
        <v>November</v>
      </c>
      <c r="E4088" s="1">
        <v>45608</v>
      </c>
      <c r="F4088" s="1" t="str">
        <f>TEXT(Table1[[#This Row],[order_date]],"dddd")</f>
        <v>Tuesday</v>
      </c>
      <c r="G4088">
        <f>HOUR(Table1[[#This Row],[order_time]])</f>
        <v>18</v>
      </c>
      <c r="H4088" s="2">
        <v>0.78179398148148149</v>
      </c>
      <c r="I4088" t="s">
        <v>11</v>
      </c>
      <c r="J4088" t="s">
        <v>12</v>
      </c>
      <c r="K4088">
        <v>3</v>
      </c>
      <c r="L4088">
        <v>650</v>
      </c>
      <c r="M4088">
        <v>1950</v>
      </c>
      <c r="N4088">
        <f>IF(COUNTIFS($B$2:B4088,B4088)=1,1,0)</f>
        <v>1</v>
      </c>
    </row>
    <row r="4089" spans="1:14" x14ac:dyDescent="0.2">
      <c r="A4089">
        <v>4088</v>
      </c>
      <c r="B4089">
        <v>3057</v>
      </c>
      <c r="C4089">
        <f>1/COUNTIF(B:B,Table1[[#This Row],[order_id]])</f>
        <v>0.5</v>
      </c>
      <c r="D4089" t="str">
        <f>TEXT(Table1[[#This Row],[order_date]],"mmmm")</f>
        <v>November</v>
      </c>
      <c r="E4089" s="1">
        <v>45608</v>
      </c>
      <c r="F4089" s="1" t="str">
        <f>TEXT(Table1[[#This Row],[order_date]],"dddd")</f>
        <v>Tuesday</v>
      </c>
      <c r="G4089">
        <f>HOUR(Table1[[#This Row],[order_time]])</f>
        <v>15</v>
      </c>
      <c r="H4089" s="2">
        <v>0.64658564814814812</v>
      </c>
      <c r="I4089" t="s">
        <v>11</v>
      </c>
      <c r="J4089" t="s">
        <v>14</v>
      </c>
      <c r="K4089">
        <v>4</v>
      </c>
      <c r="L4089">
        <v>700</v>
      </c>
      <c r="M4089">
        <v>2800</v>
      </c>
      <c r="N4089">
        <f>IF(COUNTIFS($B$2:B4089,B4089)=1,1,0)</f>
        <v>0</v>
      </c>
    </row>
    <row r="4090" spans="1:14" x14ac:dyDescent="0.2">
      <c r="A4090">
        <v>4089</v>
      </c>
      <c r="B4090">
        <v>3058</v>
      </c>
      <c r="C4090">
        <f>1/COUNTIF(B:B,Table1[[#This Row],[order_id]])</f>
        <v>0.33333333333333331</v>
      </c>
      <c r="D4090" t="str">
        <f>TEXT(Table1[[#This Row],[order_date]],"mmmm")</f>
        <v>November</v>
      </c>
      <c r="E4090" s="1">
        <v>45608</v>
      </c>
      <c r="F4090" s="1" t="str">
        <f>TEXT(Table1[[#This Row],[order_date]],"dddd")</f>
        <v>Tuesday</v>
      </c>
      <c r="G4090">
        <f>HOUR(Table1[[#This Row],[order_time]])</f>
        <v>16</v>
      </c>
      <c r="H4090" s="2">
        <v>0.69084490740740745</v>
      </c>
      <c r="I4090" t="s">
        <v>18</v>
      </c>
      <c r="J4090" t="s">
        <v>19</v>
      </c>
      <c r="K4090">
        <v>3</v>
      </c>
      <c r="L4090">
        <v>50</v>
      </c>
      <c r="M4090">
        <v>150</v>
      </c>
      <c r="N4090">
        <f>IF(COUNTIFS($B$2:B4090,B4090)=1,1,0)</f>
        <v>1</v>
      </c>
    </row>
    <row r="4091" spans="1:14" x14ac:dyDescent="0.2">
      <c r="A4091">
        <v>4090</v>
      </c>
      <c r="B4091">
        <v>3058</v>
      </c>
      <c r="C4091">
        <f>1/COUNTIF(B:B,Table1[[#This Row],[order_id]])</f>
        <v>0.33333333333333331</v>
      </c>
      <c r="D4091" t="str">
        <f>TEXT(Table1[[#This Row],[order_date]],"mmmm")</f>
        <v>November</v>
      </c>
      <c r="E4091" s="1">
        <v>45608</v>
      </c>
      <c r="F4091" s="1" t="str">
        <f>TEXT(Table1[[#This Row],[order_date]],"dddd")</f>
        <v>Tuesday</v>
      </c>
      <c r="G4091">
        <f>HOUR(Table1[[#This Row],[order_time]])</f>
        <v>20</v>
      </c>
      <c r="H4091" s="2">
        <v>0.86267361111111107</v>
      </c>
      <c r="I4091" t="s">
        <v>18</v>
      </c>
      <c r="J4091" t="s">
        <v>19</v>
      </c>
      <c r="K4091">
        <v>1</v>
      </c>
      <c r="L4091">
        <v>50</v>
      </c>
      <c r="M4091">
        <v>50</v>
      </c>
      <c r="N4091">
        <f>IF(COUNTIFS($B$2:B4091,B4091)=1,1,0)</f>
        <v>0</v>
      </c>
    </row>
    <row r="4092" spans="1:14" x14ac:dyDescent="0.2">
      <c r="A4092">
        <v>4091</v>
      </c>
      <c r="B4092">
        <v>3058</v>
      </c>
      <c r="C4092">
        <f>1/COUNTIF(B:B,Table1[[#This Row],[order_id]])</f>
        <v>0.33333333333333331</v>
      </c>
      <c r="D4092" t="str">
        <f>TEXT(Table1[[#This Row],[order_date]],"mmmm")</f>
        <v>November</v>
      </c>
      <c r="E4092" s="1">
        <v>45608</v>
      </c>
      <c r="F4092" s="1" t="str">
        <f>TEXT(Table1[[#This Row],[order_date]],"dddd")</f>
        <v>Tuesday</v>
      </c>
      <c r="G4092">
        <f>HOUR(Table1[[#This Row],[order_time]])</f>
        <v>17</v>
      </c>
      <c r="H4092" s="2">
        <v>0.74237268518518518</v>
      </c>
      <c r="I4092" t="s">
        <v>18</v>
      </c>
      <c r="J4092" t="s">
        <v>30</v>
      </c>
      <c r="K4092">
        <v>5</v>
      </c>
      <c r="L4092">
        <v>60</v>
      </c>
      <c r="M4092">
        <v>300</v>
      </c>
      <c r="N4092">
        <f>IF(COUNTIFS($B$2:B4092,B4092)=1,1,0)</f>
        <v>0</v>
      </c>
    </row>
    <row r="4093" spans="1:14" x14ac:dyDescent="0.2">
      <c r="A4093">
        <v>4092</v>
      </c>
      <c r="B4093">
        <v>3059</v>
      </c>
      <c r="C4093">
        <f>1/COUNTIF(B:B,Table1[[#This Row],[order_id]])</f>
        <v>0.5</v>
      </c>
      <c r="D4093" t="str">
        <f>TEXT(Table1[[#This Row],[order_date]],"mmmm")</f>
        <v>November</v>
      </c>
      <c r="E4093" s="1">
        <v>45608</v>
      </c>
      <c r="F4093" s="1" t="str">
        <f>TEXT(Table1[[#This Row],[order_date]],"dddd")</f>
        <v>Tuesday</v>
      </c>
      <c r="G4093">
        <f>HOUR(Table1[[#This Row],[order_time]])</f>
        <v>18</v>
      </c>
      <c r="H4093" s="2">
        <v>0.78273148148148153</v>
      </c>
      <c r="I4093" t="s">
        <v>16</v>
      </c>
      <c r="J4093" t="s">
        <v>23</v>
      </c>
      <c r="K4093">
        <v>2</v>
      </c>
      <c r="L4093">
        <v>30</v>
      </c>
      <c r="M4093">
        <v>60</v>
      </c>
      <c r="N4093">
        <f>IF(COUNTIFS($B$2:B4093,B4093)=1,1,0)</f>
        <v>1</v>
      </c>
    </row>
    <row r="4094" spans="1:14" x14ac:dyDescent="0.2">
      <c r="A4094">
        <v>4093</v>
      </c>
      <c r="B4094">
        <v>3059</v>
      </c>
      <c r="C4094">
        <f>1/COUNTIF(B:B,Table1[[#This Row],[order_id]])</f>
        <v>0.5</v>
      </c>
      <c r="D4094" t="str">
        <f>TEXT(Table1[[#This Row],[order_date]],"mmmm")</f>
        <v>November</v>
      </c>
      <c r="E4094" s="1">
        <v>45608</v>
      </c>
      <c r="F4094" s="1" t="str">
        <f>TEXT(Table1[[#This Row],[order_date]],"dddd")</f>
        <v>Tuesday</v>
      </c>
      <c r="G4094">
        <f>HOUR(Table1[[#This Row],[order_time]])</f>
        <v>19</v>
      </c>
      <c r="H4094" s="2">
        <v>0.80820601851851848</v>
      </c>
      <c r="I4094" t="s">
        <v>16</v>
      </c>
      <c r="J4094" t="s">
        <v>23</v>
      </c>
      <c r="K4094">
        <v>4</v>
      </c>
      <c r="L4094">
        <v>30</v>
      </c>
      <c r="M4094">
        <v>120</v>
      </c>
      <c r="N4094">
        <f>IF(COUNTIFS($B$2:B4094,B4094)=1,1,0)</f>
        <v>0</v>
      </c>
    </row>
    <row r="4095" spans="1:14" x14ac:dyDescent="0.2">
      <c r="A4095">
        <v>4094</v>
      </c>
      <c r="B4095">
        <v>3060</v>
      </c>
      <c r="C4095">
        <f>1/COUNTIF(B:B,Table1[[#This Row],[order_id]])</f>
        <v>1</v>
      </c>
      <c r="D4095" t="str">
        <f>TEXT(Table1[[#This Row],[order_date]],"mmmm")</f>
        <v>November</v>
      </c>
      <c r="E4095" s="1">
        <v>45608</v>
      </c>
      <c r="F4095" s="1" t="str">
        <f>TEXT(Table1[[#This Row],[order_date]],"dddd")</f>
        <v>Tuesday</v>
      </c>
      <c r="G4095">
        <f>HOUR(Table1[[#This Row],[order_time]])</f>
        <v>11</v>
      </c>
      <c r="H4095" s="2">
        <v>0.49217592592592591</v>
      </c>
      <c r="I4095" t="s">
        <v>16</v>
      </c>
      <c r="J4095" t="s">
        <v>24</v>
      </c>
      <c r="K4095">
        <v>1</v>
      </c>
      <c r="L4095">
        <v>35</v>
      </c>
      <c r="M4095">
        <v>35</v>
      </c>
      <c r="N4095">
        <f>IF(COUNTIFS($B$2:B4095,B4095)=1,1,0)</f>
        <v>1</v>
      </c>
    </row>
    <row r="4096" spans="1:14" x14ac:dyDescent="0.2">
      <c r="A4096">
        <v>4095</v>
      </c>
      <c r="B4096">
        <v>3061</v>
      </c>
      <c r="C4096">
        <f>1/COUNTIF(B:B,Table1[[#This Row],[order_id]])</f>
        <v>1</v>
      </c>
      <c r="D4096" t="str">
        <f>TEXT(Table1[[#This Row],[order_date]],"mmmm")</f>
        <v>November</v>
      </c>
      <c r="E4096" s="1">
        <v>45608</v>
      </c>
      <c r="F4096" s="1" t="str">
        <f>TEXT(Table1[[#This Row],[order_date]],"dddd")</f>
        <v>Tuesday</v>
      </c>
      <c r="G4096">
        <f>HOUR(Table1[[#This Row],[order_time]])</f>
        <v>16</v>
      </c>
      <c r="H4096" s="2">
        <v>0.70668981481481485</v>
      </c>
      <c r="I4096" t="s">
        <v>9</v>
      </c>
      <c r="J4096" t="s">
        <v>22</v>
      </c>
      <c r="K4096">
        <v>2</v>
      </c>
      <c r="L4096">
        <v>15</v>
      </c>
      <c r="M4096">
        <v>30</v>
      </c>
      <c r="N4096">
        <f>IF(COUNTIFS($B$2:B4096,B4096)=1,1,0)</f>
        <v>1</v>
      </c>
    </row>
    <row r="4097" spans="1:14" x14ac:dyDescent="0.2">
      <c r="A4097">
        <v>4096</v>
      </c>
      <c r="B4097">
        <v>3062</v>
      </c>
      <c r="C4097">
        <f>1/COUNTIF(B:B,Table1[[#This Row],[order_id]])</f>
        <v>1</v>
      </c>
      <c r="D4097" t="str">
        <f>TEXT(Table1[[#This Row],[order_date]],"mmmm")</f>
        <v>November</v>
      </c>
      <c r="E4097" s="1">
        <v>45608</v>
      </c>
      <c r="F4097" s="1" t="str">
        <f>TEXT(Table1[[#This Row],[order_date]],"dddd")</f>
        <v>Tuesday</v>
      </c>
      <c r="G4097">
        <f>HOUR(Table1[[#This Row],[order_time]])</f>
        <v>9</v>
      </c>
      <c r="H4097" s="2">
        <v>0.38136574074074076</v>
      </c>
      <c r="I4097" t="s">
        <v>9</v>
      </c>
      <c r="J4097" t="s">
        <v>10</v>
      </c>
      <c r="K4097">
        <v>5</v>
      </c>
      <c r="L4097">
        <v>20</v>
      </c>
      <c r="M4097">
        <v>100</v>
      </c>
      <c r="N4097">
        <f>IF(COUNTIFS($B$2:B4097,B4097)=1,1,0)</f>
        <v>1</v>
      </c>
    </row>
    <row r="4098" spans="1:14" x14ac:dyDescent="0.2">
      <c r="A4098">
        <v>4097</v>
      </c>
      <c r="B4098">
        <v>3063</v>
      </c>
      <c r="C4098">
        <f>1/COUNTIF(B:B,Table1[[#This Row],[order_id]])</f>
        <v>0.33333333333333331</v>
      </c>
      <c r="D4098" t="str">
        <f>TEXT(Table1[[#This Row],[order_date]],"mmmm")</f>
        <v>November</v>
      </c>
      <c r="E4098" s="1">
        <v>45608</v>
      </c>
      <c r="F4098" s="1" t="str">
        <f>TEXT(Table1[[#This Row],[order_date]],"dddd")</f>
        <v>Tuesday</v>
      </c>
      <c r="G4098">
        <f>HOUR(Table1[[#This Row],[order_time]])</f>
        <v>16</v>
      </c>
      <c r="H4098" s="2">
        <v>0.67811342592592594</v>
      </c>
      <c r="I4098" t="s">
        <v>18</v>
      </c>
      <c r="J4098" t="s">
        <v>30</v>
      </c>
      <c r="K4098">
        <v>5</v>
      </c>
      <c r="L4098">
        <v>60</v>
      </c>
      <c r="M4098">
        <v>300</v>
      </c>
      <c r="N4098">
        <f>IF(COUNTIFS($B$2:B4098,B4098)=1,1,0)</f>
        <v>1</v>
      </c>
    </row>
    <row r="4099" spans="1:14" x14ac:dyDescent="0.2">
      <c r="A4099">
        <v>4098</v>
      </c>
      <c r="B4099">
        <v>3063</v>
      </c>
      <c r="C4099">
        <f>1/COUNTIF(B:B,Table1[[#This Row],[order_id]])</f>
        <v>0.33333333333333331</v>
      </c>
      <c r="D4099" t="str">
        <f>TEXT(Table1[[#This Row],[order_date]],"mmmm")</f>
        <v>November</v>
      </c>
      <c r="E4099" s="1">
        <v>45608</v>
      </c>
      <c r="F4099" s="1" t="str">
        <f>TEXT(Table1[[#This Row],[order_date]],"dddd")</f>
        <v>Tuesday</v>
      </c>
      <c r="G4099">
        <f>HOUR(Table1[[#This Row],[order_time]])</f>
        <v>19</v>
      </c>
      <c r="H4099" s="2">
        <v>0.79783564814814811</v>
      </c>
      <c r="I4099" t="s">
        <v>11</v>
      </c>
      <c r="J4099" t="s">
        <v>14</v>
      </c>
      <c r="K4099">
        <v>1</v>
      </c>
      <c r="L4099">
        <v>700</v>
      </c>
      <c r="M4099">
        <v>700</v>
      </c>
      <c r="N4099">
        <f>IF(COUNTIFS($B$2:B4099,B4099)=1,1,0)</f>
        <v>0</v>
      </c>
    </row>
    <row r="4100" spans="1:14" x14ac:dyDescent="0.2">
      <c r="A4100">
        <v>4099</v>
      </c>
      <c r="B4100">
        <v>3063</v>
      </c>
      <c r="C4100">
        <f>1/COUNTIF(B:B,Table1[[#This Row],[order_id]])</f>
        <v>0.33333333333333331</v>
      </c>
      <c r="D4100" t="str">
        <f>TEXT(Table1[[#This Row],[order_date]],"mmmm")</f>
        <v>November</v>
      </c>
      <c r="E4100" s="1">
        <v>45608</v>
      </c>
      <c r="F4100" s="1" t="str">
        <f>TEXT(Table1[[#This Row],[order_date]],"dddd")</f>
        <v>Tuesday</v>
      </c>
      <c r="G4100">
        <f>HOUR(Table1[[#This Row],[order_time]])</f>
        <v>12</v>
      </c>
      <c r="H4100" s="2">
        <v>0.52379629629629632</v>
      </c>
      <c r="I4100" t="s">
        <v>11</v>
      </c>
      <c r="J4100" t="s">
        <v>15</v>
      </c>
      <c r="K4100">
        <v>3</v>
      </c>
      <c r="L4100">
        <v>600</v>
      </c>
      <c r="M4100">
        <v>1800</v>
      </c>
      <c r="N4100">
        <f>IF(COUNTIFS($B$2:B4100,B4100)=1,1,0)</f>
        <v>0</v>
      </c>
    </row>
    <row r="4101" spans="1:14" x14ac:dyDescent="0.2">
      <c r="A4101">
        <v>4100</v>
      </c>
      <c r="B4101">
        <v>3064</v>
      </c>
      <c r="C4101">
        <f>1/COUNTIF(B:B,Table1[[#This Row],[order_id]])</f>
        <v>1</v>
      </c>
      <c r="D4101" t="str">
        <f>TEXT(Table1[[#This Row],[order_date]],"mmmm")</f>
        <v>November</v>
      </c>
      <c r="E4101" s="1">
        <v>45608</v>
      </c>
      <c r="F4101" s="1" t="str">
        <f>TEXT(Table1[[#This Row],[order_date]],"dddd")</f>
        <v>Tuesday</v>
      </c>
      <c r="G4101">
        <f>HOUR(Table1[[#This Row],[order_time]])</f>
        <v>20</v>
      </c>
      <c r="H4101" s="2">
        <v>0.86576388888888889</v>
      </c>
      <c r="I4101" t="s">
        <v>18</v>
      </c>
      <c r="J4101" t="s">
        <v>19</v>
      </c>
      <c r="K4101">
        <v>3</v>
      </c>
      <c r="L4101">
        <v>50</v>
      </c>
      <c r="M4101">
        <v>150</v>
      </c>
      <c r="N4101">
        <f>IF(COUNTIFS($B$2:B4101,B4101)=1,1,0)</f>
        <v>1</v>
      </c>
    </row>
    <row r="4102" spans="1:14" x14ac:dyDescent="0.2">
      <c r="A4102">
        <v>4101</v>
      </c>
      <c r="B4102">
        <v>3065</v>
      </c>
      <c r="C4102">
        <f>1/COUNTIF(B:B,Table1[[#This Row],[order_id]])</f>
        <v>1</v>
      </c>
      <c r="D4102" t="str">
        <f>TEXT(Table1[[#This Row],[order_date]],"mmmm")</f>
        <v>November</v>
      </c>
      <c r="E4102" s="1">
        <v>45609</v>
      </c>
      <c r="F4102" s="1" t="str">
        <f>TEXT(Table1[[#This Row],[order_date]],"dddd")</f>
        <v>Wednesday</v>
      </c>
      <c r="G4102">
        <f>HOUR(Table1[[#This Row],[order_time]])</f>
        <v>16</v>
      </c>
      <c r="H4102" s="2">
        <v>0.69930555555555551</v>
      </c>
      <c r="I4102" t="s">
        <v>11</v>
      </c>
      <c r="J4102" t="s">
        <v>25</v>
      </c>
      <c r="K4102">
        <v>2</v>
      </c>
      <c r="L4102">
        <v>1000</v>
      </c>
      <c r="M4102">
        <v>2000</v>
      </c>
      <c r="N4102">
        <f>IF(COUNTIFS($B$2:B4102,B4102)=1,1,0)</f>
        <v>1</v>
      </c>
    </row>
    <row r="4103" spans="1:14" x14ac:dyDescent="0.2">
      <c r="A4103">
        <v>4102</v>
      </c>
      <c r="B4103">
        <v>3066</v>
      </c>
      <c r="C4103">
        <f>1/COUNTIF(B:B,Table1[[#This Row],[order_id]])</f>
        <v>1</v>
      </c>
      <c r="D4103" t="str">
        <f>TEXT(Table1[[#This Row],[order_date]],"mmmm")</f>
        <v>November</v>
      </c>
      <c r="E4103" s="1">
        <v>45609</v>
      </c>
      <c r="F4103" s="1" t="str">
        <f>TEXT(Table1[[#This Row],[order_date]],"dddd")</f>
        <v>Wednesday</v>
      </c>
      <c r="G4103">
        <f>HOUR(Table1[[#This Row],[order_time]])</f>
        <v>17</v>
      </c>
      <c r="H4103" s="2">
        <v>0.72472222222222227</v>
      </c>
      <c r="I4103" t="s">
        <v>11</v>
      </c>
      <c r="J4103" t="s">
        <v>14</v>
      </c>
      <c r="K4103">
        <v>2</v>
      </c>
      <c r="L4103">
        <v>700</v>
      </c>
      <c r="M4103">
        <v>1400</v>
      </c>
      <c r="N4103">
        <f>IF(COUNTIFS($B$2:B4103,B4103)=1,1,0)</f>
        <v>1</v>
      </c>
    </row>
    <row r="4104" spans="1:14" x14ac:dyDescent="0.2">
      <c r="A4104">
        <v>4103</v>
      </c>
      <c r="B4104">
        <v>3067</v>
      </c>
      <c r="C4104">
        <f>1/COUNTIF(B:B,Table1[[#This Row],[order_id]])</f>
        <v>1</v>
      </c>
      <c r="D4104" t="str">
        <f>TEXT(Table1[[#This Row],[order_date]],"mmmm")</f>
        <v>November</v>
      </c>
      <c r="E4104" s="1">
        <v>45609</v>
      </c>
      <c r="F4104" s="1" t="str">
        <f>TEXT(Table1[[#This Row],[order_date]],"dddd")</f>
        <v>Wednesday</v>
      </c>
      <c r="G4104">
        <f>HOUR(Table1[[#This Row],[order_time]])</f>
        <v>15</v>
      </c>
      <c r="H4104" s="2">
        <v>0.66057870370370375</v>
      </c>
      <c r="I4104" t="s">
        <v>18</v>
      </c>
      <c r="J4104" t="s">
        <v>30</v>
      </c>
      <c r="K4104">
        <v>3</v>
      </c>
      <c r="L4104">
        <v>60</v>
      </c>
      <c r="M4104">
        <v>180</v>
      </c>
      <c r="N4104">
        <f>IF(COUNTIFS($B$2:B4104,B4104)=1,1,0)</f>
        <v>1</v>
      </c>
    </row>
    <row r="4105" spans="1:14" x14ac:dyDescent="0.2">
      <c r="A4105">
        <v>4104</v>
      </c>
      <c r="B4105">
        <v>3068</v>
      </c>
      <c r="C4105">
        <f>1/COUNTIF(B:B,Table1[[#This Row],[order_id]])</f>
        <v>0.33333333333333331</v>
      </c>
      <c r="D4105" t="str">
        <f>TEXT(Table1[[#This Row],[order_date]],"mmmm")</f>
        <v>November</v>
      </c>
      <c r="E4105" s="1">
        <v>45609</v>
      </c>
      <c r="F4105" s="1" t="str">
        <f>TEXT(Table1[[#This Row],[order_date]],"dddd")</f>
        <v>Wednesday</v>
      </c>
      <c r="G4105">
        <f>HOUR(Table1[[#This Row],[order_time]])</f>
        <v>10</v>
      </c>
      <c r="H4105" s="2">
        <v>0.41989583333333336</v>
      </c>
      <c r="I4105" t="s">
        <v>18</v>
      </c>
      <c r="J4105" t="s">
        <v>19</v>
      </c>
      <c r="K4105">
        <v>1</v>
      </c>
      <c r="L4105">
        <v>50</v>
      </c>
      <c r="M4105">
        <v>50</v>
      </c>
      <c r="N4105">
        <f>IF(COUNTIFS($B$2:B4105,B4105)=1,1,0)</f>
        <v>1</v>
      </c>
    </row>
    <row r="4106" spans="1:14" x14ac:dyDescent="0.2">
      <c r="A4106">
        <v>4105</v>
      </c>
      <c r="B4106">
        <v>3068</v>
      </c>
      <c r="C4106">
        <f>1/COUNTIF(B:B,Table1[[#This Row],[order_id]])</f>
        <v>0.33333333333333331</v>
      </c>
      <c r="D4106" t="str">
        <f>TEXT(Table1[[#This Row],[order_date]],"mmmm")</f>
        <v>November</v>
      </c>
      <c r="E4106" s="1">
        <v>45609</v>
      </c>
      <c r="F4106" s="1" t="str">
        <f>TEXT(Table1[[#This Row],[order_date]],"dddd")</f>
        <v>Wednesday</v>
      </c>
      <c r="G4106">
        <f>HOUR(Table1[[#This Row],[order_time]])</f>
        <v>10</v>
      </c>
      <c r="H4106" s="2">
        <v>0.45548611111111109</v>
      </c>
      <c r="I4106" t="s">
        <v>11</v>
      </c>
      <c r="J4106" t="s">
        <v>13</v>
      </c>
      <c r="K4106">
        <v>1</v>
      </c>
      <c r="L4106">
        <v>680</v>
      </c>
      <c r="M4106">
        <v>680</v>
      </c>
      <c r="N4106">
        <f>IF(COUNTIFS($B$2:B4106,B4106)=1,1,0)</f>
        <v>0</v>
      </c>
    </row>
    <row r="4107" spans="1:14" x14ac:dyDescent="0.2">
      <c r="A4107">
        <v>4106</v>
      </c>
      <c r="B4107">
        <v>3068</v>
      </c>
      <c r="C4107">
        <f>1/COUNTIF(B:B,Table1[[#This Row],[order_id]])</f>
        <v>0.33333333333333331</v>
      </c>
      <c r="D4107" t="str">
        <f>TEXT(Table1[[#This Row],[order_date]],"mmmm")</f>
        <v>November</v>
      </c>
      <c r="E4107" s="1">
        <v>45609</v>
      </c>
      <c r="F4107" s="1" t="str">
        <f>TEXT(Table1[[#This Row],[order_date]],"dddd")</f>
        <v>Wednesday</v>
      </c>
      <c r="G4107">
        <f>HOUR(Table1[[#This Row],[order_time]])</f>
        <v>19</v>
      </c>
      <c r="H4107" s="2">
        <v>0.83142361111111107</v>
      </c>
      <c r="I4107" t="s">
        <v>9</v>
      </c>
      <c r="J4107" t="s">
        <v>20</v>
      </c>
      <c r="K4107">
        <v>2</v>
      </c>
      <c r="L4107">
        <v>25</v>
      </c>
      <c r="M4107">
        <v>50</v>
      </c>
      <c r="N4107">
        <f>IF(COUNTIFS($B$2:B4107,B4107)=1,1,0)</f>
        <v>0</v>
      </c>
    </row>
    <row r="4108" spans="1:14" x14ac:dyDescent="0.2">
      <c r="A4108">
        <v>4107</v>
      </c>
      <c r="B4108">
        <v>3069</v>
      </c>
      <c r="C4108">
        <f>1/COUNTIF(B:B,Table1[[#This Row],[order_id]])</f>
        <v>1</v>
      </c>
      <c r="D4108" t="str">
        <f>TEXT(Table1[[#This Row],[order_date]],"mmmm")</f>
        <v>November</v>
      </c>
      <c r="E4108" s="1">
        <v>45610</v>
      </c>
      <c r="F4108" s="1" t="str">
        <f>TEXT(Table1[[#This Row],[order_date]],"dddd")</f>
        <v>Thursday</v>
      </c>
      <c r="G4108">
        <f>HOUR(Table1[[#This Row],[order_time]])</f>
        <v>19</v>
      </c>
      <c r="H4108" s="2">
        <v>0.82090277777777776</v>
      </c>
      <c r="I4108" t="s">
        <v>9</v>
      </c>
      <c r="J4108" t="s">
        <v>21</v>
      </c>
      <c r="K4108">
        <v>1</v>
      </c>
      <c r="L4108">
        <v>10</v>
      </c>
      <c r="M4108">
        <v>10</v>
      </c>
      <c r="N4108">
        <f>IF(COUNTIFS($B$2:B4108,B4108)=1,1,0)</f>
        <v>1</v>
      </c>
    </row>
    <row r="4109" spans="1:14" x14ac:dyDescent="0.2">
      <c r="A4109">
        <v>4108</v>
      </c>
      <c r="B4109">
        <v>3070</v>
      </c>
      <c r="C4109">
        <f>1/COUNTIF(B:B,Table1[[#This Row],[order_id]])</f>
        <v>0.33333333333333331</v>
      </c>
      <c r="D4109" t="str">
        <f>TEXT(Table1[[#This Row],[order_date]],"mmmm")</f>
        <v>November</v>
      </c>
      <c r="E4109" s="1">
        <v>45610</v>
      </c>
      <c r="F4109" s="1" t="str">
        <f>TEXT(Table1[[#This Row],[order_date]],"dddd")</f>
        <v>Thursday</v>
      </c>
      <c r="G4109">
        <f>HOUR(Table1[[#This Row],[order_time]])</f>
        <v>11</v>
      </c>
      <c r="H4109" s="2">
        <v>0.46910879629629632</v>
      </c>
      <c r="I4109" t="s">
        <v>9</v>
      </c>
      <c r="J4109" t="s">
        <v>20</v>
      </c>
      <c r="K4109">
        <v>4</v>
      </c>
      <c r="L4109">
        <v>25</v>
      </c>
      <c r="M4109">
        <v>100</v>
      </c>
      <c r="N4109">
        <f>IF(COUNTIFS($B$2:B4109,B4109)=1,1,0)</f>
        <v>1</v>
      </c>
    </row>
    <row r="4110" spans="1:14" x14ac:dyDescent="0.2">
      <c r="A4110">
        <v>4109</v>
      </c>
      <c r="B4110">
        <v>3070</v>
      </c>
      <c r="C4110">
        <f>1/COUNTIF(B:B,Table1[[#This Row],[order_id]])</f>
        <v>0.33333333333333331</v>
      </c>
      <c r="D4110" t="str">
        <f>TEXT(Table1[[#This Row],[order_date]],"mmmm")</f>
        <v>November</v>
      </c>
      <c r="E4110" s="1">
        <v>45610</v>
      </c>
      <c r="F4110" s="1" t="str">
        <f>TEXT(Table1[[#This Row],[order_date]],"dddd")</f>
        <v>Thursday</v>
      </c>
      <c r="G4110">
        <f>HOUR(Table1[[#This Row],[order_time]])</f>
        <v>16</v>
      </c>
      <c r="H4110" s="2">
        <v>0.67164351851851856</v>
      </c>
      <c r="I4110" t="s">
        <v>11</v>
      </c>
      <c r="J4110" t="s">
        <v>14</v>
      </c>
      <c r="K4110">
        <v>4</v>
      </c>
      <c r="L4110">
        <v>700</v>
      </c>
      <c r="M4110">
        <v>2800</v>
      </c>
      <c r="N4110">
        <f>IF(COUNTIFS($B$2:B4110,B4110)=1,1,0)</f>
        <v>0</v>
      </c>
    </row>
    <row r="4111" spans="1:14" x14ac:dyDescent="0.2">
      <c r="A4111">
        <v>4110</v>
      </c>
      <c r="B4111">
        <v>3070</v>
      </c>
      <c r="C4111">
        <f>1/COUNTIF(B:B,Table1[[#This Row],[order_id]])</f>
        <v>0.33333333333333331</v>
      </c>
      <c r="D4111" t="str">
        <f>TEXT(Table1[[#This Row],[order_date]],"mmmm")</f>
        <v>November</v>
      </c>
      <c r="E4111" s="1">
        <v>45610</v>
      </c>
      <c r="F4111" s="1" t="str">
        <f>TEXT(Table1[[#This Row],[order_date]],"dddd")</f>
        <v>Thursday</v>
      </c>
      <c r="G4111">
        <f>HOUR(Table1[[#This Row],[order_time]])</f>
        <v>15</v>
      </c>
      <c r="H4111" s="2">
        <v>0.64674768518518522</v>
      </c>
      <c r="I4111" t="s">
        <v>18</v>
      </c>
      <c r="J4111" t="s">
        <v>26</v>
      </c>
      <c r="K4111">
        <v>1</v>
      </c>
      <c r="L4111">
        <v>55</v>
      </c>
      <c r="M4111">
        <v>55</v>
      </c>
      <c r="N4111">
        <f>IF(COUNTIFS($B$2:B4111,B4111)=1,1,0)</f>
        <v>0</v>
      </c>
    </row>
    <row r="4112" spans="1:14" x14ac:dyDescent="0.2">
      <c r="A4112">
        <v>4111</v>
      </c>
      <c r="B4112">
        <v>3071</v>
      </c>
      <c r="C4112">
        <f>1/COUNTIF(B:B,Table1[[#This Row],[order_id]])</f>
        <v>1</v>
      </c>
      <c r="D4112" t="str">
        <f>TEXT(Table1[[#This Row],[order_date]],"mmmm")</f>
        <v>November</v>
      </c>
      <c r="E4112" s="1">
        <v>45610</v>
      </c>
      <c r="F4112" s="1" t="str">
        <f>TEXT(Table1[[#This Row],[order_date]],"dddd")</f>
        <v>Thursday</v>
      </c>
      <c r="G4112">
        <f>HOUR(Table1[[#This Row],[order_time]])</f>
        <v>11</v>
      </c>
      <c r="H4112" s="2">
        <v>0.4596412037037037</v>
      </c>
      <c r="I4112" t="s">
        <v>9</v>
      </c>
      <c r="J4112" t="s">
        <v>22</v>
      </c>
      <c r="K4112">
        <v>1</v>
      </c>
      <c r="L4112">
        <v>15</v>
      </c>
      <c r="M4112">
        <v>15</v>
      </c>
      <c r="N4112">
        <f>IF(COUNTIFS($B$2:B4112,B4112)=1,1,0)</f>
        <v>1</v>
      </c>
    </row>
    <row r="4113" spans="1:14" x14ac:dyDescent="0.2">
      <c r="A4113">
        <v>4112</v>
      </c>
      <c r="B4113">
        <v>3072</v>
      </c>
      <c r="C4113">
        <f>1/COUNTIF(B:B,Table1[[#This Row],[order_id]])</f>
        <v>0.5</v>
      </c>
      <c r="D4113" t="str">
        <f>TEXT(Table1[[#This Row],[order_date]],"mmmm")</f>
        <v>November</v>
      </c>
      <c r="E4113" s="1">
        <v>45610</v>
      </c>
      <c r="F4113" s="1" t="str">
        <f>TEXT(Table1[[#This Row],[order_date]],"dddd")</f>
        <v>Thursday</v>
      </c>
      <c r="G4113">
        <f>HOUR(Table1[[#This Row],[order_time]])</f>
        <v>20</v>
      </c>
      <c r="H4113" s="2">
        <v>0.85240740740740739</v>
      </c>
      <c r="I4113" t="s">
        <v>16</v>
      </c>
      <c r="J4113" t="s">
        <v>28</v>
      </c>
      <c r="K4113">
        <v>2</v>
      </c>
      <c r="L4113">
        <v>25</v>
      </c>
      <c r="M4113">
        <v>50</v>
      </c>
      <c r="N4113">
        <f>IF(COUNTIFS($B$2:B4113,B4113)=1,1,0)</f>
        <v>1</v>
      </c>
    </row>
    <row r="4114" spans="1:14" x14ac:dyDescent="0.2">
      <c r="A4114">
        <v>4113</v>
      </c>
      <c r="B4114">
        <v>3072</v>
      </c>
      <c r="C4114">
        <f>1/COUNTIF(B:B,Table1[[#This Row],[order_id]])</f>
        <v>0.5</v>
      </c>
      <c r="D4114" t="str">
        <f>TEXT(Table1[[#This Row],[order_date]],"mmmm")</f>
        <v>November</v>
      </c>
      <c r="E4114" s="1">
        <v>45610</v>
      </c>
      <c r="F4114" s="1" t="str">
        <f>TEXT(Table1[[#This Row],[order_date]],"dddd")</f>
        <v>Thursday</v>
      </c>
      <c r="G4114">
        <f>HOUR(Table1[[#This Row],[order_time]])</f>
        <v>17</v>
      </c>
      <c r="H4114" s="2">
        <v>0.73562499999999997</v>
      </c>
      <c r="I4114" t="s">
        <v>18</v>
      </c>
      <c r="J4114" t="s">
        <v>31</v>
      </c>
      <c r="K4114">
        <v>3</v>
      </c>
      <c r="L4114">
        <v>45</v>
      </c>
      <c r="M4114">
        <v>135</v>
      </c>
      <c r="N4114">
        <f>IF(COUNTIFS($B$2:B4114,B4114)=1,1,0)</f>
        <v>0</v>
      </c>
    </row>
    <row r="4115" spans="1:14" x14ac:dyDescent="0.2">
      <c r="A4115">
        <v>4114</v>
      </c>
      <c r="B4115">
        <v>3073</v>
      </c>
      <c r="C4115">
        <f>1/COUNTIF(B:B,Table1[[#This Row],[order_id]])</f>
        <v>0.33333333333333331</v>
      </c>
      <c r="D4115" t="str">
        <f>TEXT(Table1[[#This Row],[order_date]],"mmmm")</f>
        <v>November</v>
      </c>
      <c r="E4115" s="1">
        <v>45610</v>
      </c>
      <c r="F4115" s="1" t="str">
        <f>TEXT(Table1[[#This Row],[order_date]],"dddd")</f>
        <v>Thursday</v>
      </c>
      <c r="G4115">
        <f>HOUR(Table1[[#This Row],[order_time]])</f>
        <v>20</v>
      </c>
      <c r="H4115" s="2">
        <v>0.85021990740740738</v>
      </c>
      <c r="I4115" t="s">
        <v>18</v>
      </c>
      <c r="J4115" t="s">
        <v>19</v>
      </c>
      <c r="K4115">
        <v>5</v>
      </c>
      <c r="L4115">
        <v>50</v>
      </c>
      <c r="M4115">
        <v>250</v>
      </c>
      <c r="N4115">
        <f>IF(COUNTIFS($B$2:B4115,B4115)=1,1,0)</f>
        <v>1</v>
      </c>
    </row>
    <row r="4116" spans="1:14" x14ac:dyDescent="0.2">
      <c r="A4116">
        <v>4115</v>
      </c>
      <c r="B4116">
        <v>3073</v>
      </c>
      <c r="C4116">
        <f>1/COUNTIF(B:B,Table1[[#This Row],[order_id]])</f>
        <v>0.33333333333333331</v>
      </c>
      <c r="D4116" t="str">
        <f>TEXT(Table1[[#This Row],[order_date]],"mmmm")</f>
        <v>November</v>
      </c>
      <c r="E4116" s="1">
        <v>45610</v>
      </c>
      <c r="F4116" s="1" t="str">
        <f>TEXT(Table1[[#This Row],[order_date]],"dddd")</f>
        <v>Thursday</v>
      </c>
      <c r="G4116">
        <f>HOUR(Table1[[#This Row],[order_time]])</f>
        <v>11</v>
      </c>
      <c r="H4116" s="2">
        <v>0.47530092592592593</v>
      </c>
      <c r="I4116" t="s">
        <v>16</v>
      </c>
      <c r="J4116" t="s">
        <v>17</v>
      </c>
      <c r="K4116">
        <v>1</v>
      </c>
      <c r="L4116">
        <v>20</v>
      </c>
      <c r="M4116">
        <v>20</v>
      </c>
      <c r="N4116">
        <f>IF(COUNTIFS($B$2:B4116,B4116)=1,1,0)</f>
        <v>0</v>
      </c>
    </row>
    <row r="4117" spans="1:14" x14ac:dyDescent="0.2">
      <c r="A4117">
        <v>4116</v>
      </c>
      <c r="B4117">
        <v>3073</v>
      </c>
      <c r="C4117">
        <f>1/COUNTIF(B:B,Table1[[#This Row],[order_id]])</f>
        <v>0.33333333333333331</v>
      </c>
      <c r="D4117" t="str">
        <f>TEXT(Table1[[#This Row],[order_date]],"mmmm")</f>
        <v>November</v>
      </c>
      <c r="E4117" s="1">
        <v>45610</v>
      </c>
      <c r="F4117" s="1" t="str">
        <f>TEXT(Table1[[#This Row],[order_date]],"dddd")</f>
        <v>Thursday</v>
      </c>
      <c r="G4117">
        <f>HOUR(Table1[[#This Row],[order_time]])</f>
        <v>18</v>
      </c>
      <c r="H4117" s="2">
        <v>0.76842592592592596</v>
      </c>
      <c r="I4117" t="s">
        <v>18</v>
      </c>
      <c r="J4117" t="s">
        <v>26</v>
      </c>
      <c r="K4117">
        <v>3</v>
      </c>
      <c r="L4117">
        <v>55</v>
      </c>
      <c r="M4117">
        <v>165</v>
      </c>
      <c r="N4117">
        <f>IF(COUNTIFS($B$2:B4117,B4117)=1,1,0)</f>
        <v>0</v>
      </c>
    </row>
    <row r="4118" spans="1:14" x14ac:dyDescent="0.2">
      <c r="A4118">
        <v>4117</v>
      </c>
      <c r="B4118">
        <v>3074</v>
      </c>
      <c r="C4118">
        <f>1/COUNTIF(B:B,Table1[[#This Row],[order_id]])</f>
        <v>0.33333333333333331</v>
      </c>
      <c r="D4118" t="str">
        <f>TEXT(Table1[[#This Row],[order_date]],"mmmm")</f>
        <v>November</v>
      </c>
      <c r="E4118" s="1">
        <v>45610</v>
      </c>
      <c r="F4118" s="1" t="str">
        <f>TEXT(Table1[[#This Row],[order_date]],"dddd")</f>
        <v>Thursday</v>
      </c>
      <c r="G4118">
        <f>HOUR(Table1[[#This Row],[order_time]])</f>
        <v>11</v>
      </c>
      <c r="H4118" s="2">
        <v>0.4682175925925926</v>
      </c>
      <c r="I4118" t="s">
        <v>18</v>
      </c>
      <c r="J4118" t="s">
        <v>19</v>
      </c>
      <c r="K4118">
        <v>5</v>
      </c>
      <c r="L4118">
        <v>50</v>
      </c>
      <c r="M4118">
        <v>250</v>
      </c>
      <c r="N4118">
        <f>IF(COUNTIFS($B$2:B4118,B4118)=1,1,0)</f>
        <v>1</v>
      </c>
    </row>
    <row r="4119" spans="1:14" x14ac:dyDescent="0.2">
      <c r="A4119">
        <v>4118</v>
      </c>
      <c r="B4119">
        <v>3074</v>
      </c>
      <c r="C4119">
        <f>1/COUNTIF(B:B,Table1[[#This Row],[order_id]])</f>
        <v>0.33333333333333331</v>
      </c>
      <c r="D4119" t="str">
        <f>TEXT(Table1[[#This Row],[order_date]],"mmmm")</f>
        <v>November</v>
      </c>
      <c r="E4119" s="1">
        <v>45610</v>
      </c>
      <c r="F4119" s="1" t="str">
        <f>TEXT(Table1[[#This Row],[order_date]],"dddd")</f>
        <v>Thursday</v>
      </c>
      <c r="G4119">
        <f>HOUR(Table1[[#This Row],[order_time]])</f>
        <v>16</v>
      </c>
      <c r="H4119" s="2">
        <v>0.70502314814814815</v>
      </c>
      <c r="I4119" t="s">
        <v>9</v>
      </c>
      <c r="J4119" t="s">
        <v>20</v>
      </c>
      <c r="K4119">
        <v>4</v>
      </c>
      <c r="L4119">
        <v>25</v>
      </c>
      <c r="M4119">
        <v>100</v>
      </c>
      <c r="N4119">
        <f>IF(COUNTIFS($B$2:B4119,B4119)=1,1,0)</f>
        <v>0</v>
      </c>
    </row>
    <row r="4120" spans="1:14" x14ac:dyDescent="0.2">
      <c r="A4120">
        <v>4119</v>
      </c>
      <c r="B4120">
        <v>3074</v>
      </c>
      <c r="C4120">
        <f>1/COUNTIF(B:B,Table1[[#This Row],[order_id]])</f>
        <v>0.33333333333333331</v>
      </c>
      <c r="D4120" t="str">
        <f>TEXT(Table1[[#This Row],[order_date]],"mmmm")</f>
        <v>November</v>
      </c>
      <c r="E4120" s="1">
        <v>45610</v>
      </c>
      <c r="F4120" s="1" t="str">
        <f>TEXT(Table1[[#This Row],[order_date]],"dddd")</f>
        <v>Thursday</v>
      </c>
      <c r="G4120">
        <f>HOUR(Table1[[#This Row],[order_time]])</f>
        <v>19</v>
      </c>
      <c r="H4120" s="2">
        <v>0.83327546296296295</v>
      </c>
      <c r="I4120" t="s">
        <v>16</v>
      </c>
      <c r="J4120" t="s">
        <v>17</v>
      </c>
      <c r="K4120">
        <v>5</v>
      </c>
      <c r="L4120">
        <v>20</v>
      </c>
      <c r="M4120">
        <v>100</v>
      </c>
      <c r="N4120">
        <f>IF(COUNTIFS($B$2:B4120,B4120)=1,1,0)</f>
        <v>0</v>
      </c>
    </row>
    <row r="4121" spans="1:14" x14ac:dyDescent="0.2">
      <c r="A4121">
        <v>4120</v>
      </c>
      <c r="B4121">
        <v>3075</v>
      </c>
      <c r="C4121">
        <f>1/COUNTIF(B:B,Table1[[#This Row],[order_id]])</f>
        <v>1</v>
      </c>
      <c r="D4121" t="str">
        <f>TEXT(Table1[[#This Row],[order_date]],"mmmm")</f>
        <v>November</v>
      </c>
      <c r="E4121" s="1">
        <v>45610</v>
      </c>
      <c r="F4121" s="1" t="str">
        <f>TEXT(Table1[[#This Row],[order_date]],"dddd")</f>
        <v>Thursday</v>
      </c>
      <c r="G4121">
        <f>HOUR(Table1[[#This Row],[order_time]])</f>
        <v>15</v>
      </c>
      <c r="H4121" s="2">
        <v>0.64936342592592589</v>
      </c>
      <c r="I4121" t="s">
        <v>18</v>
      </c>
      <c r="J4121" t="s">
        <v>30</v>
      </c>
      <c r="K4121">
        <v>3</v>
      </c>
      <c r="L4121">
        <v>60</v>
      </c>
      <c r="M4121">
        <v>180</v>
      </c>
      <c r="N4121">
        <f>IF(COUNTIFS($B$2:B4121,B4121)=1,1,0)</f>
        <v>1</v>
      </c>
    </row>
    <row r="4122" spans="1:14" x14ac:dyDescent="0.2">
      <c r="A4122">
        <v>4121</v>
      </c>
      <c r="B4122">
        <v>3076</v>
      </c>
      <c r="C4122">
        <f>1/COUNTIF(B:B,Table1[[#This Row],[order_id]])</f>
        <v>0.5</v>
      </c>
      <c r="D4122" t="str">
        <f>TEXT(Table1[[#This Row],[order_date]],"mmmm")</f>
        <v>November</v>
      </c>
      <c r="E4122" s="1">
        <v>45610</v>
      </c>
      <c r="F4122" s="1" t="str">
        <f>TEXT(Table1[[#This Row],[order_date]],"dddd")</f>
        <v>Thursday</v>
      </c>
      <c r="G4122">
        <f>HOUR(Table1[[#This Row],[order_time]])</f>
        <v>18</v>
      </c>
      <c r="H4122" s="2">
        <v>0.76429398148148153</v>
      </c>
      <c r="I4122" t="s">
        <v>11</v>
      </c>
      <c r="J4122" t="s">
        <v>14</v>
      </c>
      <c r="K4122">
        <v>4</v>
      </c>
      <c r="L4122">
        <v>700</v>
      </c>
      <c r="M4122">
        <v>2800</v>
      </c>
      <c r="N4122">
        <f>IF(COUNTIFS($B$2:B4122,B4122)=1,1,0)</f>
        <v>1</v>
      </c>
    </row>
    <row r="4123" spans="1:14" x14ac:dyDescent="0.2">
      <c r="A4123">
        <v>4122</v>
      </c>
      <c r="B4123">
        <v>3076</v>
      </c>
      <c r="C4123">
        <f>1/COUNTIF(B:B,Table1[[#This Row],[order_id]])</f>
        <v>0.5</v>
      </c>
      <c r="D4123" t="str">
        <f>TEXT(Table1[[#This Row],[order_date]],"mmmm")</f>
        <v>November</v>
      </c>
      <c r="E4123" s="1">
        <v>45610</v>
      </c>
      <c r="F4123" s="1" t="str">
        <f>TEXT(Table1[[#This Row],[order_date]],"dddd")</f>
        <v>Thursday</v>
      </c>
      <c r="G4123">
        <f>HOUR(Table1[[#This Row],[order_time]])</f>
        <v>15</v>
      </c>
      <c r="H4123" s="2">
        <v>0.64769675925925929</v>
      </c>
      <c r="I4123" t="s">
        <v>16</v>
      </c>
      <c r="J4123" t="s">
        <v>23</v>
      </c>
      <c r="K4123">
        <v>4</v>
      </c>
      <c r="L4123">
        <v>30</v>
      </c>
      <c r="M4123">
        <v>120</v>
      </c>
      <c r="N4123">
        <f>IF(COUNTIFS($B$2:B4123,B4123)=1,1,0)</f>
        <v>0</v>
      </c>
    </row>
    <row r="4124" spans="1:14" x14ac:dyDescent="0.2">
      <c r="A4124">
        <v>4123</v>
      </c>
      <c r="B4124">
        <v>3077</v>
      </c>
      <c r="C4124">
        <f>1/COUNTIF(B:B,Table1[[#This Row],[order_id]])</f>
        <v>0.5</v>
      </c>
      <c r="D4124" t="str">
        <f>TEXT(Table1[[#This Row],[order_date]],"mmmm")</f>
        <v>November</v>
      </c>
      <c r="E4124" s="1">
        <v>45610</v>
      </c>
      <c r="F4124" s="1" t="str">
        <f>TEXT(Table1[[#This Row],[order_date]],"dddd")</f>
        <v>Thursday</v>
      </c>
      <c r="G4124">
        <f>HOUR(Table1[[#This Row],[order_time]])</f>
        <v>15</v>
      </c>
      <c r="H4124" s="2">
        <v>0.65387731481481481</v>
      </c>
      <c r="I4124" t="s">
        <v>16</v>
      </c>
      <c r="J4124" t="s">
        <v>23</v>
      </c>
      <c r="K4124">
        <v>5</v>
      </c>
      <c r="L4124">
        <v>30</v>
      </c>
      <c r="M4124">
        <v>150</v>
      </c>
      <c r="N4124">
        <f>IF(COUNTIFS($B$2:B4124,B4124)=1,1,0)</f>
        <v>1</v>
      </c>
    </row>
    <row r="4125" spans="1:14" x14ac:dyDescent="0.2">
      <c r="A4125">
        <v>4124</v>
      </c>
      <c r="B4125">
        <v>3077</v>
      </c>
      <c r="C4125">
        <f>1/COUNTIF(B:B,Table1[[#This Row],[order_id]])</f>
        <v>0.5</v>
      </c>
      <c r="D4125" t="str">
        <f>TEXT(Table1[[#This Row],[order_date]],"mmmm")</f>
        <v>November</v>
      </c>
      <c r="E4125" s="1">
        <v>45610</v>
      </c>
      <c r="F4125" s="1" t="str">
        <f>TEXT(Table1[[#This Row],[order_date]],"dddd")</f>
        <v>Thursday</v>
      </c>
      <c r="G4125">
        <f>HOUR(Table1[[#This Row],[order_time]])</f>
        <v>14</v>
      </c>
      <c r="H4125" s="2">
        <v>0.60064814814814815</v>
      </c>
      <c r="I4125" t="s">
        <v>11</v>
      </c>
      <c r="J4125" t="s">
        <v>15</v>
      </c>
      <c r="K4125">
        <v>4</v>
      </c>
      <c r="L4125">
        <v>600</v>
      </c>
      <c r="M4125">
        <v>2400</v>
      </c>
      <c r="N4125">
        <f>IF(COUNTIFS($B$2:B4125,B4125)=1,1,0)</f>
        <v>0</v>
      </c>
    </row>
    <row r="4126" spans="1:14" x14ac:dyDescent="0.2">
      <c r="A4126">
        <v>4125</v>
      </c>
      <c r="B4126">
        <v>3078</v>
      </c>
      <c r="C4126">
        <f>1/COUNTIF(B:B,Table1[[#This Row],[order_id]])</f>
        <v>1</v>
      </c>
      <c r="D4126" t="str">
        <f>TEXT(Table1[[#This Row],[order_date]],"mmmm")</f>
        <v>November</v>
      </c>
      <c r="E4126" s="1">
        <v>45611</v>
      </c>
      <c r="F4126" s="1" t="str">
        <f>TEXT(Table1[[#This Row],[order_date]],"dddd")</f>
        <v>Friday</v>
      </c>
      <c r="G4126">
        <f>HOUR(Table1[[#This Row],[order_time]])</f>
        <v>12</v>
      </c>
      <c r="H4126" s="2">
        <v>0.52401620370370372</v>
      </c>
      <c r="I4126" t="s">
        <v>16</v>
      </c>
      <c r="J4126" t="s">
        <v>28</v>
      </c>
      <c r="K4126">
        <v>2</v>
      </c>
      <c r="L4126">
        <v>25</v>
      </c>
      <c r="M4126">
        <v>50</v>
      </c>
      <c r="N4126">
        <f>IF(COUNTIFS($B$2:B4126,B4126)=1,1,0)</f>
        <v>1</v>
      </c>
    </row>
    <row r="4127" spans="1:14" x14ac:dyDescent="0.2">
      <c r="A4127">
        <v>4126</v>
      </c>
      <c r="B4127">
        <v>3079</v>
      </c>
      <c r="C4127">
        <f>1/COUNTIF(B:B,Table1[[#This Row],[order_id]])</f>
        <v>0.5</v>
      </c>
      <c r="D4127" t="str">
        <f>TEXT(Table1[[#This Row],[order_date]],"mmmm")</f>
        <v>November</v>
      </c>
      <c r="E4127" s="1">
        <v>45611</v>
      </c>
      <c r="F4127" s="1" t="str">
        <f>TEXT(Table1[[#This Row],[order_date]],"dddd")</f>
        <v>Friday</v>
      </c>
      <c r="G4127">
        <f>HOUR(Table1[[#This Row],[order_time]])</f>
        <v>16</v>
      </c>
      <c r="H4127" s="2">
        <v>0.69234953703703705</v>
      </c>
      <c r="I4127" t="s">
        <v>9</v>
      </c>
      <c r="J4127" t="s">
        <v>29</v>
      </c>
      <c r="K4127">
        <v>1</v>
      </c>
      <c r="L4127">
        <v>5</v>
      </c>
      <c r="M4127">
        <v>5</v>
      </c>
      <c r="N4127">
        <f>IF(COUNTIFS($B$2:B4127,B4127)=1,1,0)</f>
        <v>1</v>
      </c>
    </row>
    <row r="4128" spans="1:14" x14ac:dyDescent="0.2">
      <c r="A4128">
        <v>4127</v>
      </c>
      <c r="B4128">
        <v>3079</v>
      </c>
      <c r="C4128">
        <f>1/COUNTIF(B:B,Table1[[#This Row],[order_id]])</f>
        <v>0.5</v>
      </c>
      <c r="D4128" t="str">
        <f>TEXT(Table1[[#This Row],[order_date]],"mmmm")</f>
        <v>November</v>
      </c>
      <c r="E4128" s="1">
        <v>45611</v>
      </c>
      <c r="F4128" s="1" t="str">
        <f>TEXT(Table1[[#This Row],[order_date]],"dddd")</f>
        <v>Friday</v>
      </c>
      <c r="G4128">
        <f>HOUR(Table1[[#This Row],[order_time]])</f>
        <v>20</v>
      </c>
      <c r="H4128" s="2">
        <v>0.84557870370370369</v>
      </c>
      <c r="I4128" t="s">
        <v>11</v>
      </c>
      <c r="J4128" t="s">
        <v>25</v>
      </c>
      <c r="K4128">
        <v>1</v>
      </c>
      <c r="L4128">
        <v>1000</v>
      </c>
      <c r="M4128">
        <v>1000</v>
      </c>
      <c r="N4128">
        <f>IF(COUNTIFS($B$2:B4128,B4128)=1,1,0)</f>
        <v>0</v>
      </c>
    </row>
    <row r="4129" spans="1:14" x14ac:dyDescent="0.2">
      <c r="A4129">
        <v>4128</v>
      </c>
      <c r="B4129">
        <v>3080</v>
      </c>
      <c r="C4129">
        <f>1/COUNTIF(B:B,Table1[[#This Row],[order_id]])</f>
        <v>0.5</v>
      </c>
      <c r="D4129" t="str">
        <f>TEXT(Table1[[#This Row],[order_date]],"mmmm")</f>
        <v>November</v>
      </c>
      <c r="E4129" s="1">
        <v>45611</v>
      </c>
      <c r="F4129" s="1" t="str">
        <f>TEXT(Table1[[#This Row],[order_date]],"dddd")</f>
        <v>Friday</v>
      </c>
      <c r="G4129">
        <f>HOUR(Table1[[#This Row],[order_time]])</f>
        <v>12</v>
      </c>
      <c r="H4129" s="2">
        <v>0.51420138888888889</v>
      </c>
      <c r="I4129" t="s">
        <v>16</v>
      </c>
      <c r="J4129" t="s">
        <v>24</v>
      </c>
      <c r="K4129">
        <v>1</v>
      </c>
      <c r="L4129">
        <v>35</v>
      </c>
      <c r="M4129">
        <v>35</v>
      </c>
      <c r="N4129">
        <f>IF(COUNTIFS($B$2:B4129,B4129)=1,1,0)</f>
        <v>1</v>
      </c>
    </row>
    <row r="4130" spans="1:14" x14ac:dyDescent="0.2">
      <c r="A4130">
        <v>4129</v>
      </c>
      <c r="B4130">
        <v>3080</v>
      </c>
      <c r="C4130">
        <f>1/COUNTIF(B:B,Table1[[#This Row],[order_id]])</f>
        <v>0.5</v>
      </c>
      <c r="D4130" t="str">
        <f>TEXT(Table1[[#This Row],[order_date]],"mmmm")</f>
        <v>November</v>
      </c>
      <c r="E4130" s="1">
        <v>45611</v>
      </c>
      <c r="F4130" s="1" t="str">
        <f>TEXT(Table1[[#This Row],[order_date]],"dddd")</f>
        <v>Friday</v>
      </c>
      <c r="G4130">
        <f>HOUR(Table1[[#This Row],[order_time]])</f>
        <v>9</v>
      </c>
      <c r="H4130" s="2">
        <v>0.38149305555555557</v>
      </c>
      <c r="I4130" t="s">
        <v>18</v>
      </c>
      <c r="J4130" t="s">
        <v>19</v>
      </c>
      <c r="K4130">
        <v>5</v>
      </c>
      <c r="L4130">
        <v>50</v>
      </c>
      <c r="M4130">
        <v>250</v>
      </c>
      <c r="N4130">
        <f>IF(COUNTIFS($B$2:B4130,B4130)=1,1,0)</f>
        <v>0</v>
      </c>
    </row>
    <row r="4131" spans="1:14" x14ac:dyDescent="0.2">
      <c r="A4131">
        <v>4130</v>
      </c>
      <c r="B4131">
        <v>3081</v>
      </c>
      <c r="C4131">
        <f>1/COUNTIF(B:B,Table1[[#This Row],[order_id]])</f>
        <v>0.5</v>
      </c>
      <c r="D4131" t="str">
        <f>TEXT(Table1[[#This Row],[order_date]],"mmmm")</f>
        <v>November</v>
      </c>
      <c r="E4131" s="1">
        <v>45611</v>
      </c>
      <c r="F4131" s="1" t="str">
        <f>TEXT(Table1[[#This Row],[order_date]],"dddd")</f>
        <v>Friday</v>
      </c>
      <c r="G4131">
        <f>HOUR(Table1[[#This Row],[order_time]])</f>
        <v>10</v>
      </c>
      <c r="H4131" s="2">
        <v>0.43792824074074072</v>
      </c>
      <c r="I4131" t="s">
        <v>11</v>
      </c>
      <c r="J4131" t="s">
        <v>13</v>
      </c>
      <c r="K4131">
        <v>5</v>
      </c>
      <c r="L4131">
        <v>680</v>
      </c>
      <c r="M4131">
        <v>3400</v>
      </c>
      <c r="N4131">
        <f>IF(COUNTIFS($B$2:B4131,B4131)=1,1,0)</f>
        <v>1</v>
      </c>
    </row>
    <row r="4132" spans="1:14" x14ac:dyDescent="0.2">
      <c r="A4132">
        <v>4131</v>
      </c>
      <c r="B4132">
        <v>3081</v>
      </c>
      <c r="C4132">
        <f>1/COUNTIF(B:B,Table1[[#This Row],[order_id]])</f>
        <v>0.5</v>
      </c>
      <c r="D4132" t="str">
        <f>TEXT(Table1[[#This Row],[order_date]],"mmmm")</f>
        <v>November</v>
      </c>
      <c r="E4132" s="1">
        <v>45611</v>
      </c>
      <c r="F4132" s="1" t="str">
        <f>TEXT(Table1[[#This Row],[order_date]],"dddd")</f>
        <v>Friday</v>
      </c>
      <c r="G4132">
        <f>HOUR(Table1[[#This Row],[order_time]])</f>
        <v>11</v>
      </c>
      <c r="H4132" s="2">
        <v>0.48795138888888889</v>
      </c>
      <c r="I4132" t="s">
        <v>11</v>
      </c>
      <c r="J4132" t="s">
        <v>13</v>
      </c>
      <c r="K4132">
        <v>2</v>
      </c>
      <c r="L4132">
        <v>680</v>
      </c>
      <c r="M4132">
        <v>1360</v>
      </c>
      <c r="N4132">
        <f>IF(COUNTIFS($B$2:B4132,B4132)=1,1,0)</f>
        <v>0</v>
      </c>
    </row>
    <row r="4133" spans="1:14" x14ac:dyDescent="0.2">
      <c r="A4133">
        <v>4132</v>
      </c>
      <c r="B4133">
        <v>3082</v>
      </c>
      <c r="C4133">
        <f>1/COUNTIF(B:B,Table1[[#This Row],[order_id]])</f>
        <v>0.5</v>
      </c>
      <c r="D4133" t="str">
        <f>TEXT(Table1[[#This Row],[order_date]],"mmmm")</f>
        <v>November</v>
      </c>
      <c r="E4133" s="1">
        <v>45611</v>
      </c>
      <c r="F4133" s="1" t="str">
        <f>TEXT(Table1[[#This Row],[order_date]],"dddd")</f>
        <v>Friday</v>
      </c>
      <c r="G4133">
        <f>HOUR(Table1[[#This Row],[order_time]])</f>
        <v>16</v>
      </c>
      <c r="H4133" s="2">
        <v>0.68019675925925926</v>
      </c>
      <c r="I4133" t="s">
        <v>9</v>
      </c>
      <c r="J4133" t="s">
        <v>10</v>
      </c>
      <c r="K4133">
        <v>4</v>
      </c>
      <c r="L4133">
        <v>20</v>
      </c>
      <c r="M4133">
        <v>80</v>
      </c>
      <c r="N4133">
        <f>IF(COUNTIFS($B$2:B4133,B4133)=1,1,0)</f>
        <v>1</v>
      </c>
    </row>
    <row r="4134" spans="1:14" x14ac:dyDescent="0.2">
      <c r="A4134">
        <v>4133</v>
      </c>
      <c r="B4134">
        <v>3082</v>
      </c>
      <c r="C4134">
        <f>1/COUNTIF(B:B,Table1[[#This Row],[order_id]])</f>
        <v>0.5</v>
      </c>
      <c r="D4134" t="str">
        <f>TEXT(Table1[[#This Row],[order_date]],"mmmm")</f>
        <v>November</v>
      </c>
      <c r="E4134" s="1">
        <v>45611</v>
      </c>
      <c r="F4134" s="1" t="str">
        <f>TEXT(Table1[[#This Row],[order_date]],"dddd")</f>
        <v>Friday</v>
      </c>
      <c r="G4134">
        <f>HOUR(Table1[[#This Row],[order_time]])</f>
        <v>16</v>
      </c>
      <c r="H4134" s="2">
        <v>0.68329861111111112</v>
      </c>
      <c r="I4134" t="s">
        <v>9</v>
      </c>
      <c r="J4134" t="s">
        <v>22</v>
      </c>
      <c r="K4134">
        <v>2</v>
      </c>
      <c r="L4134">
        <v>15</v>
      </c>
      <c r="M4134">
        <v>30</v>
      </c>
      <c r="N4134">
        <f>IF(COUNTIFS($B$2:B4134,B4134)=1,1,0)</f>
        <v>0</v>
      </c>
    </row>
    <row r="4135" spans="1:14" x14ac:dyDescent="0.2">
      <c r="A4135">
        <v>4134</v>
      </c>
      <c r="B4135">
        <v>3083</v>
      </c>
      <c r="C4135">
        <f>1/COUNTIF(B:B,Table1[[#This Row],[order_id]])</f>
        <v>0.5</v>
      </c>
      <c r="D4135" t="str">
        <f>TEXT(Table1[[#This Row],[order_date]],"mmmm")</f>
        <v>November</v>
      </c>
      <c r="E4135" s="1">
        <v>45611</v>
      </c>
      <c r="F4135" s="1" t="str">
        <f>TEXT(Table1[[#This Row],[order_date]],"dddd")</f>
        <v>Friday</v>
      </c>
      <c r="G4135">
        <f>HOUR(Table1[[#This Row],[order_time]])</f>
        <v>13</v>
      </c>
      <c r="H4135" s="2">
        <v>0.54950231481481482</v>
      </c>
      <c r="I4135" t="s">
        <v>9</v>
      </c>
      <c r="J4135" t="s">
        <v>21</v>
      </c>
      <c r="K4135">
        <v>1</v>
      </c>
      <c r="L4135">
        <v>10</v>
      </c>
      <c r="M4135">
        <v>10</v>
      </c>
      <c r="N4135">
        <f>IF(COUNTIFS($B$2:B4135,B4135)=1,1,0)</f>
        <v>1</v>
      </c>
    </row>
    <row r="4136" spans="1:14" x14ac:dyDescent="0.2">
      <c r="A4136">
        <v>4135</v>
      </c>
      <c r="B4136">
        <v>3083</v>
      </c>
      <c r="C4136">
        <f>1/COUNTIF(B:B,Table1[[#This Row],[order_id]])</f>
        <v>0.5</v>
      </c>
      <c r="D4136" t="str">
        <f>TEXT(Table1[[#This Row],[order_date]],"mmmm")</f>
        <v>November</v>
      </c>
      <c r="E4136" s="1">
        <v>45611</v>
      </c>
      <c r="F4136" s="1" t="str">
        <f>TEXT(Table1[[#This Row],[order_date]],"dddd")</f>
        <v>Friday</v>
      </c>
      <c r="G4136">
        <f>HOUR(Table1[[#This Row],[order_time]])</f>
        <v>20</v>
      </c>
      <c r="H4136" s="2">
        <v>0.8668865740740741</v>
      </c>
      <c r="I4136" t="s">
        <v>11</v>
      </c>
      <c r="J4136" t="s">
        <v>13</v>
      </c>
      <c r="K4136">
        <v>2</v>
      </c>
      <c r="L4136">
        <v>680</v>
      </c>
      <c r="M4136">
        <v>1360</v>
      </c>
      <c r="N4136">
        <f>IF(COUNTIFS($B$2:B4136,B4136)=1,1,0)</f>
        <v>0</v>
      </c>
    </row>
    <row r="4137" spans="1:14" x14ac:dyDescent="0.2">
      <c r="A4137">
        <v>4136</v>
      </c>
      <c r="B4137">
        <v>3084</v>
      </c>
      <c r="C4137">
        <f>1/COUNTIF(B:B,Table1[[#This Row],[order_id]])</f>
        <v>0.33333333333333331</v>
      </c>
      <c r="D4137" t="str">
        <f>TEXT(Table1[[#This Row],[order_date]],"mmmm")</f>
        <v>November</v>
      </c>
      <c r="E4137" s="1">
        <v>45611</v>
      </c>
      <c r="F4137" s="1" t="str">
        <f>TEXT(Table1[[#This Row],[order_date]],"dddd")</f>
        <v>Friday</v>
      </c>
      <c r="G4137">
        <f>HOUR(Table1[[#This Row],[order_time]])</f>
        <v>13</v>
      </c>
      <c r="H4137" s="2">
        <v>0.56700231481481478</v>
      </c>
      <c r="I4137" t="s">
        <v>9</v>
      </c>
      <c r="J4137" t="s">
        <v>20</v>
      </c>
      <c r="K4137">
        <v>4</v>
      </c>
      <c r="L4137">
        <v>25</v>
      </c>
      <c r="M4137">
        <v>100</v>
      </c>
      <c r="N4137">
        <f>IF(COUNTIFS($B$2:B4137,B4137)=1,1,0)</f>
        <v>1</v>
      </c>
    </row>
    <row r="4138" spans="1:14" x14ac:dyDescent="0.2">
      <c r="A4138">
        <v>4137</v>
      </c>
      <c r="B4138">
        <v>3084</v>
      </c>
      <c r="C4138">
        <f>1/COUNTIF(B:B,Table1[[#This Row],[order_id]])</f>
        <v>0.33333333333333331</v>
      </c>
      <c r="D4138" t="str">
        <f>TEXT(Table1[[#This Row],[order_date]],"mmmm")</f>
        <v>November</v>
      </c>
      <c r="E4138" s="1">
        <v>45611</v>
      </c>
      <c r="F4138" s="1" t="str">
        <f>TEXT(Table1[[#This Row],[order_date]],"dddd")</f>
        <v>Friday</v>
      </c>
      <c r="G4138">
        <f>HOUR(Table1[[#This Row],[order_time]])</f>
        <v>18</v>
      </c>
      <c r="H4138" s="2">
        <v>0.76585648148148144</v>
      </c>
      <c r="I4138" t="s">
        <v>11</v>
      </c>
      <c r="J4138" t="s">
        <v>25</v>
      </c>
      <c r="K4138">
        <v>5</v>
      </c>
      <c r="L4138">
        <v>1000</v>
      </c>
      <c r="M4138">
        <v>5000</v>
      </c>
      <c r="N4138">
        <f>IF(COUNTIFS($B$2:B4138,B4138)=1,1,0)</f>
        <v>0</v>
      </c>
    </row>
    <row r="4139" spans="1:14" x14ac:dyDescent="0.2">
      <c r="A4139">
        <v>4138</v>
      </c>
      <c r="B4139">
        <v>3084</v>
      </c>
      <c r="C4139">
        <f>1/COUNTIF(B:B,Table1[[#This Row],[order_id]])</f>
        <v>0.33333333333333331</v>
      </c>
      <c r="D4139" t="str">
        <f>TEXT(Table1[[#This Row],[order_date]],"mmmm")</f>
        <v>November</v>
      </c>
      <c r="E4139" s="1">
        <v>45611</v>
      </c>
      <c r="F4139" s="1" t="str">
        <f>TEXT(Table1[[#This Row],[order_date]],"dddd")</f>
        <v>Friday</v>
      </c>
      <c r="G4139">
        <f>HOUR(Table1[[#This Row],[order_time]])</f>
        <v>9</v>
      </c>
      <c r="H4139" s="2">
        <v>0.40990740740740739</v>
      </c>
      <c r="I4139" t="s">
        <v>18</v>
      </c>
      <c r="J4139" t="s">
        <v>31</v>
      </c>
      <c r="K4139">
        <v>4</v>
      </c>
      <c r="L4139">
        <v>45</v>
      </c>
      <c r="M4139">
        <v>180</v>
      </c>
      <c r="N4139">
        <f>IF(COUNTIFS($B$2:B4139,B4139)=1,1,0)</f>
        <v>0</v>
      </c>
    </row>
    <row r="4140" spans="1:14" x14ac:dyDescent="0.2">
      <c r="A4140">
        <v>4139</v>
      </c>
      <c r="B4140">
        <v>3085</v>
      </c>
      <c r="C4140">
        <f>1/COUNTIF(B:B,Table1[[#This Row],[order_id]])</f>
        <v>0.33333333333333331</v>
      </c>
      <c r="D4140" t="str">
        <f>TEXT(Table1[[#This Row],[order_date]],"mmmm")</f>
        <v>November</v>
      </c>
      <c r="E4140" s="1">
        <v>45611</v>
      </c>
      <c r="F4140" s="1" t="str">
        <f>TEXT(Table1[[#This Row],[order_date]],"dddd")</f>
        <v>Friday</v>
      </c>
      <c r="G4140">
        <f>HOUR(Table1[[#This Row],[order_time]])</f>
        <v>11</v>
      </c>
      <c r="H4140" s="2">
        <v>0.49916666666666665</v>
      </c>
      <c r="I4140" t="s">
        <v>18</v>
      </c>
      <c r="J4140" t="s">
        <v>26</v>
      </c>
      <c r="K4140">
        <v>5</v>
      </c>
      <c r="L4140">
        <v>55</v>
      </c>
      <c r="M4140">
        <v>275</v>
      </c>
      <c r="N4140">
        <f>IF(COUNTIFS($B$2:B4140,B4140)=1,1,0)</f>
        <v>1</v>
      </c>
    </row>
    <row r="4141" spans="1:14" x14ac:dyDescent="0.2">
      <c r="A4141">
        <v>4140</v>
      </c>
      <c r="B4141">
        <v>3085</v>
      </c>
      <c r="C4141">
        <f>1/COUNTIF(B:B,Table1[[#This Row],[order_id]])</f>
        <v>0.33333333333333331</v>
      </c>
      <c r="D4141" t="str">
        <f>TEXT(Table1[[#This Row],[order_date]],"mmmm")</f>
        <v>November</v>
      </c>
      <c r="E4141" s="1">
        <v>45611</v>
      </c>
      <c r="F4141" s="1" t="str">
        <f>TEXT(Table1[[#This Row],[order_date]],"dddd")</f>
        <v>Friday</v>
      </c>
      <c r="G4141">
        <f>HOUR(Table1[[#This Row],[order_time]])</f>
        <v>10</v>
      </c>
      <c r="H4141" s="2">
        <v>0.43024305555555553</v>
      </c>
      <c r="I4141" t="s">
        <v>9</v>
      </c>
      <c r="J4141" t="s">
        <v>29</v>
      </c>
      <c r="K4141">
        <v>5</v>
      </c>
      <c r="L4141">
        <v>5</v>
      </c>
      <c r="M4141">
        <v>25</v>
      </c>
      <c r="N4141">
        <f>IF(COUNTIFS($B$2:B4141,B4141)=1,1,0)</f>
        <v>0</v>
      </c>
    </row>
    <row r="4142" spans="1:14" x14ac:dyDescent="0.2">
      <c r="A4142">
        <v>4141</v>
      </c>
      <c r="B4142">
        <v>3085</v>
      </c>
      <c r="C4142">
        <f>1/COUNTIF(B:B,Table1[[#This Row],[order_id]])</f>
        <v>0.33333333333333331</v>
      </c>
      <c r="D4142" t="str">
        <f>TEXT(Table1[[#This Row],[order_date]],"mmmm")</f>
        <v>November</v>
      </c>
      <c r="E4142" s="1">
        <v>45611</v>
      </c>
      <c r="F4142" s="1" t="str">
        <f>TEXT(Table1[[#This Row],[order_date]],"dddd")</f>
        <v>Friday</v>
      </c>
      <c r="G4142">
        <f>HOUR(Table1[[#This Row],[order_time]])</f>
        <v>10</v>
      </c>
      <c r="H4142" s="2">
        <v>0.45457175925925924</v>
      </c>
      <c r="I4142" t="s">
        <v>11</v>
      </c>
      <c r="J4142" t="s">
        <v>15</v>
      </c>
      <c r="K4142">
        <v>4</v>
      </c>
      <c r="L4142">
        <v>600</v>
      </c>
      <c r="M4142">
        <v>2400</v>
      </c>
      <c r="N4142">
        <f>IF(COUNTIFS($B$2:B4142,B4142)=1,1,0)</f>
        <v>0</v>
      </c>
    </row>
    <row r="4143" spans="1:14" x14ac:dyDescent="0.2">
      <c r="A4143">
        <v>4142</v>
      </c>
      <c r="B4143">
        <v>3086</v>
      </c>
      <c r="C4143">
        <f>1/COUNTIF(B:B,Table1[[#This Row],[order_id]])</f>
        <v>0.5</v>
      </c>
      <c r="D4143" t="str">
        <f>TEXT(Table1[[#This Row],[order_date]],"mmmm")</f>
        <v>November</v>
      </c>
      <c r="E4143" s="1">
        <v>45611</v>
      </c>
      <c r="F4143" s="1" t="str">
        <f>TEXT(Table1[[#This Row],[order_date]],"dddd")</f>
        <v>Friday</v>
      </c>
      <c r="G4143">
        <f>HOUR(Table1[[#This Row],[order_time]])</f>
        <v>19</v>
      </c>
      <c r="H4143" s="2">
        <v>0.83119212962962963</v>
      </c>
      <c r="I4143" t="s">
        <v>16</v>
      </c>
      <c r="J4143" t="s">
        <v>28</v>
      </c>
      <c r="K4143">
        <v>3</v>
      </c>
      <c r="L4143">
        <v>25</v>
      </c>
      <c r="M4143">
        <v>75</v>
      </c>
      <c r="N4143">
        <f>IF(COUNTIFS($B$2:B4143,B4143)=1,1,0)</f>
        <v>1</v>
      </c>
    </row>
    <row r="4144" spans="1:14" x14ac:dyDescent="0.2">
      <c r="A4144">
        <v>4143</v>
      </c>
      <c r="B4144">
        <v>3086</v>
      </c>
      <c r="C4144">
        <f>1/COUNTIF(B:B,Table1[[#This Row],[order_id]])</f>
        <v>0.5</v>
      </c>
      <c r="D4144" t="str">
        <f>TEXT(Table1[[#This Row],[order_date]],"mmmm")</f>
        <v>November</v>
      </c>
      <c r="E4144" s="1">
        <v>45611</v>
      </c>
      <c r="F4144" s="1" t="str">
        <f>TEXT(Table1[[#This Row],[order_date]],"dddd")</f>
        <v>Friday</v>
      </c>
      <c r="G4144">
        <f>HOUR(Table1[[#This Row],[order_time]])</f>
        <v>20</v>
      </c>
      <c r="H4144" s="2">
        <v>0.83526620370370375</v>
      </c>
      <c r="I4144" t="s">
        <v>11</v>
      </c>
      <c r="J4144" t="s">
        <v>15</v>
      </c>
      <c r="K4144">
        <v>4</v>
      </c>
      <c r="L4144">
        <v>600</v>
      </c>
      <c r="M4144">
        <v>2400</v>
      </c>
      <c r="N4144">
        <f>IF(COUNTIFS($B$2:B4144,B4144)=1,1,0)</f>
        <v>0</v>
      </c>
    </row>
    <row r="4145" spans="1:14" x14ac:dyDescent="0.2">
      <c r="A4145">
        <v>4144</v>
      </c>
      <c r="B4145">
        <v>3087</v>
      </c>
      <c r="C4145">
        <f>1/COUNTIF(B:B,Table1[[#This Row],[order_id]])</f>
        <v>0.5</v>
      </c>
      <c r="D4145" t="str">
        <f>TEXT(Table1[[#This Row],[order_date]],"mmmm")</f>
        <v>November</v>
      </c>
      <c r="E4145" s="1">
        <v>45612</v>
      </c>
      <c r="F4145" s="1" t="str">
        <f>TEXT(Table1[[#This Row],[order_date]],"dddd")</f>
        <v>Saturday</v>
      </c>
      <c r="G4145">
        <f>HOUR(Table1[[#This Row],[order_time]])</f>
        <v>11</v>
      </c>
      <c r="H4145" s="2">
        <v>0.48606481481481484</v>
      </c>
      <c r="I4145" t="s">
        <v>16</v>
      </c>
      <c r="J4145" t="s">
        <v>28</v>
      </c>
      <c r="K4145">
        <v>2</v>
      </c>
      <c r="L4145">
        <v>25</v>
      </c>
      <c r="M4145">
        <v>50</v>
      </c>
      <c r="N4145">
        <f>IF(COUNTIFS($B$2:B4145,B4145)=1,1,0)</f>
        <v>1</v>
      </c>
    </row>
    <row r="4146" spans="1:14" x14ac:dyDescent="0.2">
      <c r="A4146">
        <v>4145</v>
      </c>
      <c r="B4146">
        <v>3087</v>
      </c>
      <c r="C4146">
        <f>1/COUNTIF(B:B,Table1[[#This Row],[order_id]])</f>
        <v>0.5</v>
      </c>
      <c r="D4146" t="str">
        <f>TEXT(Table1[[#This Row],[order_date]],"mmmm")</f>
        <v>November</v>
      </c>
      <c r="E4146" s="1">
        <v>45612</v>
      </c>
      <c r="F4146" s="1" t="str">
        <f>TEXT(Table1[[#This Row],[order_date]],"dddd")</f>
        <v>Saturday</v>
      </c>
      <c r="G4146">
        <f>HOUR(Table1[[#This Row],[order_time]])</f>
        <v>19</v>
      </c>
      <c r="H4146" s="2">
        <v>0.8270601851851852</v>
      </c>
      <c r="I4146" t="s">
        <v>16</v>
      </c>
      <c r="J4146" t="s">
        <v>28</v>
      </c>
      <c r="K4146">
        <v>1</v>
      </c>
      <c r="L4146">
        <v>25</v>
      </c>
      <c r="M4146">
        <v>25</v>
      </c>
      <c r="N4146">
        <f>IF(COUNTIFS($B$2:B4146,B4146)=1,1,0)</f>
        <v>0</v>
      </c>
    </row>
    <row r="4147" spans="1:14" x14ac:dyDescent="0.2">
      <c r="A4147">
        <v>4146</v>
      </c>
      <c r="B4147">
        <v>3088</v>
      </c>
      <c r="C4147">
        <f>1/COUNTIF(B:B,Table1[[#This Row],[order_id]])</f>
        <v>0.33333333333333331</v>
      </c>
      <c r="D4147" t="str">
        <f>TEXT(Table1[[#This Row],[order_date]],"mmmm")</f>
        <v>November</v>
      </c>
      <c r="E4147" s="1">
        <v>45612</v>
      </c>
      <c r="F4147" s="1" t="str">
        <f>TEXT(Table1[[#This Row],[order_date]],"dddd")</f>
        <v>Saturday</v>
      </c>
      <c r="G4147">
        <f>HOUR(Table1[[#This Row],[order_time]])</f>
        <v>11</v>
      </c>
      <c r="H4147" s="2">
        <v>0.48832175925925925</v>
      </c>
      <c r="I4147" t="s">
        <v>9</v>
      </c>
      <c r="J4147" t="s">
        <v>20</v>
      </c>
      <c r="K4147">
        <v>5</v>
      </c>
      <c r="L4147">
        <v>25</v>
      </c>
      <c r="M4147">
        <v>125</v>
      </c>
      <c r="N4147">
        <f>IF(COUNTIFS($B$2:B4147,B4147)=1,1,0)</f>
        <v>1</v>
      </c>
    </row>
    <row r="4148" spans="1:14" x14ac:dyDescent="0.2">
      <c r="A4148">
        <v>4147</v>
      </c>
      <c r="B4148">
        <v>3088</v>
      </c>
      <c r="C4148">
        <f>1/COUNTIF(B:B,Table1[[#This Row],[order_id]])</f>
        <v>0.33333333333333331</v>
      </c>
      <c r="D4148" t="str">
        <f>TEXT(Table1[[#This Row],[order_date]],"mmmm")</f>
        <v>November</v>
      </c>
      <c r="E4148" s="1">
        <v>45612</v>
      </c>
      <c r="F4148" s="1" t="str">
        <f>TEXT(Table1[[#This Row],[order_date]],"dddd")</f>
        <v>Saturday</v>
      </c>
      <c r="G4148">
        <f>HOUR(Table1[[#This Row],[order_time]])</f>
        <v>18</v>
      </c>
      <c r="H4148" s="2">
        <v>0.78871527777777772</v>
      </c>
      <c r="I4148" t="s">
        <v>18</v>
      </c>
      <c r="J4148" t="s">
        <v>31</v>
      </c>
      <c r="K4148">
        <v>5</v>
      </c>
      <c r="L4148">
        <v>45</v>
      </c>
      <c r="M4148">
        <v>225</v>
      </c>
      <c r="N4148">
        <f>IF(COUNTIFS($B$2:B4148,B4148)=1,1,0)</f>
        <v>0</v>
      </c>
    </row>
    <row r="4149" spans="1:14" x14ac:dyDescent="0.2">
      <c r="A4149">
        <v>4148</v>
      </c>
      <c r="B4149">
        <v>3088</v>
      </c>
      <c r="C4149">
        <f>1/COUNTIF(B:B,Table1[[#This Row],[order_id]])</f>
        <v>0.33333333333333331</v>
      </c>
      <c r="D4149" t="str">
        <f>TEXT(Table1[[#This Row],[order_date]],"mmmm")</f>
        <v>November</v>
      </c>
      <c r="E4149" s="1">
        <v>45612</v>
      </c>
      <c r="F4149" s="1" t="str">
        <f>TEXT(Table1[[#This Row],[order_date]],"dddd")</f>
        <v>Saturday</v>
      </c>
      <c r="G4149">
        <f>HOUR(Table1[[#This Row],[order_time]])</f>
        <v>14</v>
      </c>
      <c r="H4149" s="2">
        <v>0.62099537037037034</v>
      </c>
      <c r="I4149" t="s">
        <v>9</v>
      </c>
      <c r="J4149" t="s">
        <v>21</v>
      </c>
      <c r="K4149">
        <v>3</v>
      </c>
      <c r="L4149">
        <v>10</v>
      </c>
      <c r="M4149">
        <v>30</v>
      </c>
      <c r="N4149">
        <f>IF(COUNTIFS($B$2:B4149,B4149)=1,1,0)</f>
        <v>0</v>
      </c>
    </row>
    <row r="4150" spans="1:14" x14ac:dyDescent="0.2">
      <c r="A4150">
        <v>4149</v>
      </c>
      <c r="B4150">
        <v>3089</v>
      </c>
      <c r="C4150">
        <f>1/COUNTIF(B:B,Table1[[#This Row],[order_id]])</f>
        <v>1</v>
      </c>
      <c r="D4150" t="str">
        <f>TEXT(Table1[[#This Row],[order_date]],"mmmm")</f>
        <v>November</v>
      </c>
      <c r="E4150" s="1">
        <v>45612</v>
      </c>
      <c r="F4150" s="1" t="str">
        <f>TEXT(Table1[[#This Row],[order_date]],"dddd")</f>
        <v>Saturday</v>
      </c>
      <c r="G4150">
        <f>HOUR(Table1[[#This Row],[order_time]])</f>
        <v>16</v>
      </c>
      <c r="H4150" s="2">
        <v>0.66831018518518515</v>
      </c>
      <c r="I4150" t="s">
        <v>16</v>
      </c>
      <c r="J4150" t="s">
        <v>24</v>
      </c>
      <c r="K4150">
        <v>4</v>
      </c>
      <c r="L4150">
        <v>35</v>
      </c>
      <c r="M4150">
        <v>140</v>
      </c>
      <c r="N4150">
        <f>IF(COUNTIFS($B$2:B4150,B4150)=1,1,0)</f>
        <v>1</v>
      </c>
    </row>
    <row r="4151" spans="1:14" x14ac:dyDescent="0.2">
      <c r="A4151">
        <v>4150</v>
      </c>
      <c r="B4151">
        <v>3090</v>
      </c>
      <c r="C4151">
        <f>1/COUNTIF(B:B,Table1[[#This Row],[order_id]])</f>
        <v>0.5</v>
      </c>
      <c r="D4151" t="str">
        <f>TEXT(Table1[[#This Row],[order_date]],"mmmm")</f>
        <v>November</v>
      </c>
      <c r="E4151" s="1">
        <v>45612</v>
      </c>
      <c r="F4151" s="1" t="str">
        <f>TEXT(Table1[[#This Row],[order_date]],"dddd")</f>
        <v>Saturday</v>
      </c>
      <c r="G4151">
        <f>HOUR(Table1[[#This Row],[order_time]])</f>
        <v>10</v>
      </c>
      <c r="H4151" s="2">
        <v>0.45733796296296297</v>
      </c>
      <c r="I4151" t="s">
        <v>9</v>
      </c>
      <c r="J4151" t="s">
        <v>22</v>
      </c>
      <c r="K4151">
        <v>4</v>
      </c>
      <c r="L4151">
        <v>15</v>
      </c>
      <c r="M4151">
        <v>60</v>
      </c>
      <c r="N4151">
        <f>IF(COUNTIFS($B$2:B4151,B4151)=1,1,0)</f>
        <v>1</v>
      </c>
    </row>
    <row r="4152" spans="1:14" x14ac:dyDescent="0.2">
      <c r="A4152">
        <v>4151</v>
      </c>
      <c r="B4152">
        <v>3090</v>
      </c>
      <c r="C4152">
        <f>1/COUNTIF(B:B,Table1[[#This Row],[order_id]])</f>
        <v>0.5</v>
      </c>
      <c r="D4152" t="str">
        <f>TEXT(Table1[[#This Row],[order_date]],"mmmm")</f>
        <v>November</v>
      </c>
      <c r="E4152" s="1">
        <v>45612</v>
      </c>
      <c r="F4152" s="1" t="str">
        <f>TEXT(Table1[[#This Row],[order_date]],"dddd")</f>
        <v>Saturday</v>
      </c>
      <c r="G4152">
        <f>HOUR(Table1[[#This Row],[order_time]])</f>
        <v>11</v>
      </c>
      <c r="H4152" s="2">
        <v>0.47218749999999998</v>
      </c>
      <c r="I4152" t="s">
        <v>9</v>
      </c>
      <c r="J4152" t="s">
        <v>21</v>
      </c>
      <c r="K4152">
        <v>4</v>
      </c>
      <c r="L4152">
        <v>10</v>
      </c>
      <c r="M4152">
        <v>40</v>
      </c>
      <c r="N4152">
        <f>IF(COUNTIFS($B$2:B4152,B4152)=1,1,0)</f>
        <v>0</v>
      </c>
    </row>
    <row r="4153" spans="1:14" x14ac:dyDescent="0.2">
      <c r="A4153">
        <v>4152</v>
      </c>
      <c r="B4153">
        <v>3091</v>
      </c>
      <c r="C4153">
        <f>1/COUNTIF(B:B,Table1[[#This Row],[order_id]])</f>
        <v>0.33333333333333331</v>
      </c>
      <c r="D4153" t="str">
        <f>TEXT(Table1[[#This Row],[order_date]],"mmmm")</f>
        <v>November</v>
      </c>
      <c r="E4153" s="1">
        <v>45612</v>
      </c>
      <c r="F4153" s="1" t="str">
        <f>TEXT(Table1[[#This Row],[order_date]],"dddd")</f>
        <v>Saturday</v>
      </c>
      <c r="G4153">
        <f>HOUR(Table1[[#This Row],[order_time]])</f>
        <v>19</v>
      </c>
      <c r="H4153" s="2">
        <v>0.80607638888888888</v>
      </c>
      <c r="I4153" t="s">
        <v>16</v>
      </c>
      <c r="J4153" t="s">
        <v>24</v>
      </c>
      <c r="K4153">
        <v>4</v>
      </c>
      <c r="L4153">
        <v>35</v>
      </c>
      <c r="M4153">
        <v>140</v>
      </c>
      <c r="N4153">
        <f>IF(COUNTIFS($B$2:B4153,B4153)=1,1,0)</f>
        <v>1</v>
      </c>
    </row>
    <row r="4154" spans="1:14" x14ac:dyDescent="0.2">
      <c r="A4154">
        <v>4153</v>
      </c>
      <c r="B4154">
        <v>3091</v>
      </c>
      <c r="C4154">
        <f>1/COUNTIF(B:B,Table1[[#This Row],[order_id]])</f>
        <v>0.33333333333333331</v>
      </c>
      <c r="D4154" t="str">
        <f>TEXT(Table1[[#This Row],[order_date]],"mmmm")</f>
        <v>November</v>
      </c>
      <c r="E4154" s="1">
        <v>45612</v>
      </c>
      <c r="F4154" s="1" t="str">
        <f>TEXT(Table1[[#This Row],[order_date]],"dddd")</f>
        <v>Saturday</v>
      </c>
      <c r="G4154">
        <f>HOUR(Table1[[#This Row],[order_time]])</f>
        <v>13</v>
      </c>
      <c r="H4154" s="2">
        <v>0.57543981481481477</v>
      </c>
      <c r="I4154" t="s">
        <v>9</v>
      </c>
      <c r="J4154" t="s">
        <v>10</v>
      </c>
      <c r="K4154">
        <v>2</v>
      </c>
      <c r="L4154">
        <v>20</v>
      </c>
      <c r="M4154">
        <v>40</v>
      </c>
      <c r="N4154">
        <f>IF(COUNTIFS($B$2:B4154,B4154)=1,1,0)</f>
        <v>0</v>
      </c>
    </row>
    <row r="4155" spans="1:14" x14ac:dyDescent="0.2">
      <c r="A4155">
        <v>4154</v>
      </c>
      <c r="B4155">
        <v>3091</v>
      </c>
      <c r="C4155">
        <f>1/COUNTIF(B:B,Table1[[#This Row],[order_id]])</f>
        <v>0.33333333333333331</v>
      </c>
      <c r="D4155" t="str">
        <f>TEXT(Table1[[#This Row],[order_date]],"mmmm")</f>
        <v>November</v>
      </c>
      <c r="E4155" s="1">
        <v>45612</v>
      </c>
      <c r="F4155" s="1" t="str">
        <f>TEXT(Table1[[#This Row],[order_date]],"dddd")</f>
        <v>Saturday</v>
      </c>
      <c r="G4155">
        <f>HOUR(Table1[[#This Row],[order_time]])</f>
        <v>13</v>
      </c>
      <c r="H4155" s="2">
        <v>0.55439814814814814</v>
      </c>
      <c r="I4155" t="s">
        <v>16</v>
      </c>
      <c r="J4155" t="s">
        <v>17</v>
      </c>
      <c r="K4155">
        <v>4</v>
      </c>
      <c r="L4155">
        <v>20</v>
      </c>
      <c r="M4155">
        <v>80</v>
      </c>
      <c r="N4155">
        <f>IF(COUNTIFS($B$2:B4155,B4155)=1,1,0)</f>
        <v>0</v>
      </c>
    </row>
    <row r="4156" spans="1:14" x14ac:dyDescent="0.2">
      <c r="A4156">
        <v>4155</v>
      </c>
      <c r="B4156">
        <v>3092</v>
      </c>
      <c r="C4156">
        <f>1/COUNTIF(B:B,Table1[[#This Row],[order_id]])</f>
        <v>1</v>
      </c>
      <c r="D4156" t="str">
        <f>TEXT(Table1[[#This Row],[order_date]],"mmmm")</f>
        <v>November</v>
      </c>
      <c r="E4156" s="1">
        <v>45613</v>
      </c>
      <c r="F4156" s="1" t="str">
        <f>TEXT(Table1[[#This Row],[order_date]],"dddd")</f>
        <v>Sunday</v>
      </c>
      <c r="G4156">
        <f>HOUR(Table1[[#This Row],[order_time]])</f>
        <v>17</v>
      </c>
      <c r="H4156" s="2">
        <v>0.71968750000000004</v>
      </c>
      <c r="I4156" t="s">
        <v>9</v>
      </c>
      <c r="J4156" t="s">
        <v>10</v>
      </c>
      <c r="K4156">
        <v>5</v>
      </c>
      <c r="L4156">
        <v>20</v>
      </c>
      <c r="M4156">
        <v>100</v>
      </c>
      <c r="N4156">
        <f>IF(COUNTIFS($B$2:B4156,B4156)=1,1,0)</f>
        <v>1</v>
      </c>
    </row>
    <row r="4157" spans="1:14" x14ac:dyDescent="0.2">
      <c r="A4157">
        <v>4156</v>
      </c>
      <c r="B4157">
        <v>3093</v>
      </c>
      <c r="C4157">
        <f>1/COUNTIF(B:B,Table1[[#This Row],[order_id]])</f>
        <v>0.5</v>
      </c>
      <c r="D4157" t="str">
        <f>TEXT(Table1[[#This Row],[order_date]],"mmmm")</f>
        <v>November</v>
      </c>
      <c r="E4157" s="1">
        <v>45613</v>
      </c>
      <c r="F4157" s="1" t="str">
        <f>TEXT(Table1[[#This Row],[order_date]],"dddd")</f>
        <v>Sunday</v>
      </c>
      <c r="G4157">
        <f>HOUR(Table1[[#This Row],[order_time]])</f>
        <v>15</v>
      </c>
      <c r="H4157" s="2">
        <v>0.63070601851851849</v>
      </c>
      <c r="I4157" t="s">
        <v>11</v>
      </c>
      <c r="J4157" t="s">
        <v>14</v>
      </c>
      <c r="K4157">
        <v>3</v>
      </c>
      <c r="L4157">
        <v>700</v>
      </c>
      <c r="M4157">
        <v>2100</v>
      </c>
      <c r="N4157">
        <f>IF(COUNTIFS($B$2:B4157,B4157)=1,1,0)</f>
        <v>1</v>
      </c>
    </row>
    <row r="4158" spans="1:14" x14ac:dyDescent="0.2">
      <c r="A4158">
        <v>4157</v>
      </c>
      <c r="B4158">
        <v>3093</v>
      </c>
      <c r="C4158">
        <f>1/COUNTIF(B:B,Table1[[#This Row],[order_id]])</f>
        <v>0.5</v>
      </c>
      <c r="D4158" t="str">
        <f>TEXT(Table1[[#This Row],[order_date]],"mmmm")</f>
        <v>November</v>
      </c>
      <c r="E4158" s="1">
        <v>45613</v>
      </c>
      <c r="F4158" s="1" t="str">
        <f>TEXT(Table1[[#This Row],[order_date]],"dddd")</f>
        <v>Sunday</v>
      </c>
      <c r="G4158">
        <f>HOUR(Table1[[#This Row],[order_time]])</f>
        <v>18</v>
      </c>
      <c r="H4158" s="2">
        <v>0.75436342592592598</v>
      </c>
      <c r="I4158" t="s">
        <v>18</v>
      </c>
      <c r="J4158" t="s">
        <v>26</v>
      </c>
      <c r="K4158">
        <v>4</v>
      </c>
      <c r="L4158">
        <v>55</v>
      </c>
      <c r="M4158">
        <v>220</v>
      </c>
      <c r="N4158">
        <f>IF(COUNTIFS($B$2:B4158,B4158)=1,1,0)</f>
        <v>0</v>
      </c>
    </row>
    <row r="4159" spans="1:14" x14ac:dyDescent="0.2">
      <c r="A4159">
        <v>4158</v>
      </c>
      <c r="B4159">
        <v>3094</v>
      </c>
      <c r="C4159">
        <f>1/COUNTIF(B:B,Table1[[#This Row],[order_id]])</f>
        <v>0.33333333333333331</v>
      </c>
      <c r="D4159" t="str">
        <f>TEXT(Table1[[#This Row],[order_date]],"mmmm")</f>
        <v>November</v>
      </c>
      <c r="E4159" s="1">
        <v>45613</v>
      </c>
      <c r="F4159" s="1" t="str">
        <f>TEXT(Table1[[#This Row],[order_date]],"dddd")</f>
        <v>Sunday</v>
      </c>
      <c r="G4159">
        <f>HOUR(Table1[[#This Row],[order_time]])</f>
        <v>19</v>
      </c>
      <c r="H4159" s="2">
        <v>0.80851851851851853</v>
      </c>
      <c r="I4159" t="s">
        <v>9</v>
      </c>
      <c r="J4159" t="s">
        <v>29</v>
      </c>
      <c r="K4159">
        <v>5</v>
      </c>
      <c r="L4159">
        <v>5</v>
      </c>
      <c r="M4159">
        <v>25</v>
      </c>
      <c r="N4159">
        <f>IF(COUNTIFS($B$2:B4159,B4159)=1,1,0)</f>
        <v>1</v>
      </c>
    </row>
    <row r="4160" spans="1:14" x14ac:dyDescent="0.2">
      <c r="A4160">
        <v>4159</v>
      </c>
      <c r="B4160">
        <v>3094</v>
      </c>
      <c r="C4160">
        <f>1/COUNTIF(B:B,Table1[[#This Row],[order_id]])</f>
        <v>0.33333333333333331</v>
      </c>
      <c r="D4160" t="str">
        <f>TEXT(Table1[[#This Row],[order_date]],"mmmm")</f>
        <v>November</v>
      </c>
      <c r="E4160" s="1">
        <v>45613</v>
      </c>
      <c r="F4160" s="1" t="str">
        <f>TEXT(Table1[[#This Row],[order_date]],"dddd")</f>
        <v>Sunday</v>
      </c>
      <c r="G4160">
        <f>HOUR(Table1[[#This Row],[order_time]])</f>
        <v>10</v>
      </c>
      <c r="H4160" s="2">
        <v>0.4347685185185185</v>
      </c>
      <c r="I4160" t="s">
        <v>18</v>
      </c>
      <c r="J4160" t="s">
        <v>30</v>
      </c>
      <c r="K4160">
        <v>4</v>
      </c>
      <c r="L4160">
        <v>60</v>
      </c>
      <c r="M4160">
        <v>240</v>
      </c>
      <c r="N4160">
        <f>IF(COUNTIFS($B$2:B4160,B4160)=1,1,0)</f>
        <v>0</v>
      </c>
    </row>
    <row r="4161" spans="1:14" x14ac:dyDescent="0.2">
      <c r="A4161">
        <v>4160</v>
      </c>
      <c r="B4161">
        <v>3094</v>
      </c>
      <c r="C4161">
        <f>1/COUNTIF(B:B,Table1[[#This Row],[order_id]])</f>
        <v>0.33333333333333331</v>
      </c>
      <c r="D4161" t="str">
        <f>TEXT(Table1[[#This Row],[order_date]],"mmmm")</f>
        <v>November</v>
      </c>
      <c r="E4161" s="1">
        <v>45613</v>
      </c>
      <c r="F4161" s="1" t="str">
        <f>TEXT(Table1[[#This Row],[order_date]],"dddd")</f>
        <v>Sunday</v>
      </c>
      <c r="G4161">
        <f>HOUR(Table1[[#This Row],[order_time]])</f>
        <v>18</v>
      </c>
      <c r="H4161" s="2">
        <v>0.77140046296296294</v>
      </c>
      <c r="I4161" t="s">
        <v>16</v>
      </c>
      <c r="J4161" t="s">
        <v>23</v>
      </c>
      <c r="K4161">
        <v>2</v>
      </c>
      <c r="L4161">
        <v>30</v>
      </c>
      <c r="M4161">
        <v>60</v>
      </c>
      <c r="N4161">
        <f>IF(COUNTIFS($B$2:B4161,B4161)=1,1,0)</f>
        <v>0</v>
      </c>
    </row>
    <row r="4162" spans="1:14" x14ac:dyDescent="0.2">
      <c r="A4162">
        <v>4161</v>
      </c>
      <c r="B4162">
        <v>3095</v>
      </c>
      <c r="C4162">
        <f>1/COUNTIF(B:B,Table1[[#This Row],[order_id]])</f>
        <v>1</v>
      </c>
      <c r="D4162" t="str">
        <f>TEXT(Table1[[#This Row],[order_date]],"mmmm")</f>
        <v>November</v>
      </c>
      <c r="E4162" s="1">
        <v>45613</v>
      </c>
      <c r="F4162" s="1" t="str">
        <f>TEXT(Table1[[#This Row],[order_date]],"dddd")</f>
        <v>Sunday</v>
      </c>
      <c r="G4162">
        <f>HOUR(Table1[[#This Row],[order_time]])</f>
        <v>11</v>
      </c>
      <c r="H4162" s="2">
        <v>0.48351851851851851</v>
      </c>
      <c r="I4162" t="s">
        <v>16</v>
      </c>
      <c r="J4162" t="s">
        <v>28</v>
      </c>
      <c r="K4162">
        <v>1</v>
      </c>
      <c r="L4162">
        <v>25</v>
      </c>
      <c r="M4162">
        <v>25</v>
      </c>
      <c r="N4162">
        <f>IF(COUNTIFS($B$2:B4162,B4162)=1,1,0)</f>
        <v>1</v>
      </c>
    </row>
    <row r="4163" spans="1:14" x14ac:dyDescent="0.2">
      <c r="A4163">
        <v>4162</v>
      </c>
      <c r="B4163">
        <v>3096</v>
      </c>
      <c r="C4163">
        <f>1/COUNTIF(B:B,Table1[[#This Row],[order_id]])</f>
        <v>0.5</v>
      </c>
      <c r="D4163" t="str">
        <f>TEXT(Table1[[#This Row],[order_date]],"mmmm")</f>
        <v>November</v>
      </c>
      <c r="E4163" s="1">
        <v>45614</v>
      </c>
      <c r="F4163" s="1" t="str">
        <f>TEXT(Table1[[#This Row],[order_date]],"dddd")</f>
        <v>Monday</v>
      </c>
      <c r="G4163">
        <f>HOUR(Table1[[#This Row],[order_time]])</f>
        <v>20</v>
      </c>
      <c r="H4163" s="2">
        <v>0.8542939814814815</v>
      </c>
      <c r="I4163" t="s">
        <v>11</v>
      </c>
      <c r="J4163" t="s">
        <v>13</v>
      </c>
      <c r="K4163">
        <v>5</v>
      </c>
      <c r="L4163">
        <v>680</v>
      </c>
      <c r="M4163">
        <v>3400</v>
      </c>
      <c r="N4163">
        <f>IF(COUNTIFS($B$2:B4163,B4163)=1,1,0)</f>
        <v>1</v>
      </c>
    </row>
    <row r="4164" spans="1:14" x14ac:dyDescent="0.2">
      <c r="A4164">
        <v>4163</v>
      </c>
      <c r="B4164">
        <v>3096</v>
      </c>
      <c r="C4164">
        <f>1/COUNTIF(B:B,Table1[[#This Row],[order_id]])</f>
        <v>0.5</v>
      </c>
      <c r="D4164" t="str">
        <f>TEXT(Table1[[#This Row],[order_date]],"mmmm")</f>
        <v>November</v>
      </c>
      <c r="E4164" s="1">
        <v>45614</v>
      </c>
      <c r="F4164" s="1" t="str">
        <f>TEXT(Table1[[#This Row],[order_date]],"dddd")</f>
        <v>Monday</v>
      </c>
      <c r="G4164">
        <f>HOUR(Table1[[#This Row],[order_time]])</f>
        <v>11</v>
      </c>
      <c r="H4164" s="2">
        <v>0.47035879629629629</v>
      </c>
      <c r="I4164" t="s">
        <v>16</v>
      </c>
      <c r="J4164" t="s">
        <v>23</v>
      </c>
      <c r="K4164">
        <v>3</v>
      </c>
      <c r="L4164">
        <v>30</v>
      </c>
      <c r="M4164">
        <v>90</v>
      </c>
      <c r="N4164">
        <f>IF(COUNTIFS($B$2:B4164,B4164)=1,1,0)</f>
        <v>0</v>
      </c>
    </row>
    <row r="4165" spans="1:14" x14ac:dyDescent="0.2">
      <c r="A4165">
        <v>4164</v>
      </c>
      <c r="B4165">
        <v>3097</v>
      </c>
      <c r="C4165">
        <f>1/COUNTIF(B:B,Table1[[#This Row],[order_id]])</f>
        <v>0.33333333333333331</v>
      </c>
      <c r="D4165" t="str">
        <f>TEXT(Table1[[#This Row],[order_date]],"mmmm")</f>
        <v>November</v>
      </c>
      <c r="E4165" s="1">
        <v>45614</v>
      </c>
      <c r="F4165" s="1" t="str">
        <f>TEXT(Table1[[#This Row],[order_date]],"dddd")</f>
        <v>Monday</v>
      </c>
      <c r="G4165">
        <f>HOUR(Table1[[#This Row],[order_time]])</f>
        <v>10</v>
      </c>
      <c r="H4165" s="2">
        <v>0.44962962962962966</v>
      </c>
      <c r="I4165" t="s">
        <v>18</v>
      </c>
      <c r="J4165" t="s">
        <v>31</v>
      </c>
      <c r="K4165">
        <v>3</v>
      </c>
      <c r="L4165">
        <v>45</v>
      </c>
      <c r="M4165">
        <v>135</v>
      </c>
      <c r="N4165">
        <f>IF(COUNTIFS($B$2:B4165,B4165)=1,1,0)</f>
        <v>1</v>
      </c>
    </row>
    <row r="4166" spans="1:14" x14ac:dyDescent="0.2">
      <c r="A4166">
        <v>4165</v>
      </c>
      <c r="B4166">
        <v>3097</v>
      </c>
      <c r="C4166">
        <f>1/COUNTIF(B:B,Table1[[#This Row],[order_id]])</f>
        <v>0.33333333333333331</v>
      </c>
      <c r="D4166" t="str">
        <f>TEXT(Table1[[#This Row],[order_date]],"mmmm")</f>
        <v>November</v>
      </c>
      <c r="E4166" s="1">
        <v>45614</v>
      </c>
      <c r="F4166" s="1" t="str">
        <f>TEXT(Table1[[#This Row],[order_date]],"dddd")</f>
        <v>Monday</v>
      </c>
      <c r="G4166">
        <f>HOUR(Table1[[#This Row],[order_time]])</f>
        <v>12</v>
      </c>
      <c r="H4166" s="2">
        <v>0.50248842592592591</v>
      </c>
      <c r="I4166" t="s">
        <v>11</v>
      </c>
      <c r="J4166" t="s">
        <v>13</v>
      </c>
      <c r="K4166">
        <v>2</v>
      </c>
      <c r="L4166">
        <v>680</v>
      </c>
      <c r="M4166">
        <v>1360</v>
      </c>
      <c r="N4166">
        <f>IF(COUNTIFS($B$2:B4166,B4166)=1,1,0)</f>
        <v>0</v>
      </c>
    </row>
    <row r="4167" spans="1:14" x14ac:dyDescent="0.2">
      <c r="A4167">
        <v>4166</v>
      </c>
      <c r="B4167">
        <v>3097</v>
      </c>
      <c r="C4167">
        <f>1/COUNTIF(B:B,Table1[[#This Row],[order_id]])</f>
        <v>0.33333333333333331</v>
      </c>
      <c r="D4167" t="str">
        <f>TEXT(Table1[[#This Row],[order_date]],"mmmm")</f>
        <v>November</v>
      </c>
      <c r="E4167" s="1">
        <v>45614</v>
      </c>
      <c r="F4167" s="1" t="str">
        <f>TEXT(Table1[[#This Row],[order_date]],"dddd")</f>
        <v>Monday</v>
      </c>
      <c r="G4167">
        <f>HOUR(Table1[[#This Row],[order_time]])</f>
        <v>19</v>
      </c>
      <c r="H4167" s="2">
        <v>0.81039351851851849</v>
      </c>
      <c r="I4167" t="s">
        <v>16</v>
      </c>
      <c r="J4167" t="s">
        <v>23</v>
      </c>
      <c r="K4167">
        <v>2</v>
      </c>
      <c r="L4167">
        <v>30</v>
      </c>
      <c r="M4167">
        <v>60</v>
      </c>
      <c r="N4167">
        <f>IF(COUNTIFS($B$2:B4167,B4167)=1,1,0)</f>
        <v>0</v>
      </c>
    </row>
    <row r="4168" spans="1:14" x14ac:dyDescent="0.2">
      <c r="A4168">
        <v>4167</v>
      </c>
      <c r="B4168">
        <v>3098</v>
      </c>
      <c r="C4168">
        <f>1/COUNTIF(B:B,Table1[[#This Row],[order_id]])</f>
        <v>0.33333333333333331</v>
      </c>
      <c r="D4168" t="str">
        <f>TEXT(Table1[[#This Row],[order_date]],"mmmm")</f>
        <v>November</v>
      </c>
      <c r="E4168" s="1">
        <v>45614</v>
      </c>
      <c r="F4168" s="1" t="str">
        <f>TEXT(Table1[[#This Row],[order_date]],"dddd")</f>
        <v>Monday</v>
      </c>
      <c r="G4168">
        <f>HOUR(Table1[[#This Row],[order_time]])</f>
        <v>14</v>
      </c>
      <c r="H4168" s="2">
        <v>0.62487268518518524</v>
      </c>
      <c r="I4168" t="s">
        <v>11</v>
      </c>
      <c r="J4168" t="s">
        <v>14</v>
      </c>
      <c r="K4168">
        <v>4</v>
      </c>
      <c r="L4168">
        <v>700</v>
      </c>
      <c r="M4168">
        <v>2800</v>
      </c>
      <c r="N4168">
        <f>IF(COUNTIFS($B$2:B4168,B4168)=1,1,0)</f>
        <v>1</v>
      </c>
    </row>
    <row r="4169" spans="1:14" x14ac:dyDescent="0.2">
      <c r="A4169">
        <v>4168</v>
      </c>
      <c r="B4169">
        <v>3098</v>
      </c>
      <c r="C4169">
        <f>1/COUNTIF(B:B,Table1[[#This Row],[order_id]])</f>
        <v>0.33333333333333331</v>
      </c>
      <c r="D4169" t="str">
        <f>TEXT(Table1[[#This Row],[order_date]],"mmmm")</f>
        <v>November</v>
      </c>
      <c r="E4169" s="1">
        <v>45614</v>
      </c>
      <c r="F4169" s="1" t="str">
        <f>TEXT(Table1[[#This Row],[order_date]],"dddd")</f>
        <v>Monday</v>
      </c>
      <c r="G4169">
        <f>HOUR(Table1[[#This Row],[order_time]])</f>
        <v>20</v>
      </c>
      <c r="H4169" s="2">
        <v>0.84270833333333328</v>
      </c>
      <c r="I4169" t="s">
        <v>11</v>
      </c>
      <c r="J4169" t="s">
        <v>15</v>
      </c>
      <c r="K4169">
        <v>4</v>
      </c>
      <c r="L4169">
        <v>600</v>
      </c>
      <c r="M4169">
        <v>2400</v>
      </c>
      <c r="N4169">
        <f>IF(COUNTIFS($B$2:B4169,B4169)=1,1,0)</f>
        <v>0</v>
      </c>
    </row>
    <row r="4170" spans="1:14" x14ac:dyDescent="0.2">
      <c r="A4170">
        <v>4169</v>
      </c>
      <c r="B4170">
        <v>3098</v>
      </c>
      <c r="C4170">
        <f>1/COUNTIF(B:B,Table1[[#This Row],[order_id]])</f>
        <v>0.33333333333333331</v>
      </c>
      <c r="D4170" t="str">
        <f>TEXT(Table1[[#This Row],[order_date]],"mmmm")</f>
        <v>November</v>
      </c>
      <c r="E4170" s="1">
        <v>45614</v>
      </c>
      <c r="F4170" s="1" t="str">
        <f>TEXT(Table1[[#This Row],[order_date]],"dddd")</f>
        <v>Monday</v>
      </c>
      <c r="G4170">
        <f>HOUR(Table1[[#This Row],[order_time]])</f>
        <v>11</v>
      </c>
      <c r="H4170" s="2">
        <v>0.48835648148148147</v>
      </c>
      <c r="I4170" t="s">
        <v>18</v>
      </c>
      <c r="J4170" t="s">
        <v>19</v>
      </c>
      <c r="K4170">
        <v>3</v>
      </c>
      <c r="L4170">
        <v>50</v>
      </c>
      <c r="M4170">
        <v>150</v>
      </c>
      <c r="N4170">
        <f>IF(COUNTIFS($B$2:B4170,B4170)=1,1,0)</f>
        <v>0</v>
      </c>
    </row>
    <row r="4171" spans="1:14" x14ac:dyDescent="0.2">
      <c r="A4171">
        <v>4170</v>
      </c>
      <c r="B4171">
        <v>3099</v>
      </c>
      <c r="C4171">
        <f>1/COUNTIF(B:B,Table1[[#This Row],[order_id]])</f>
        <v>0.33333333333333331</v>
      </c>
      <c r="D4171" t="str">
        <f>TEXT(Table1[[#This Row],[order_date]],"mmmm")</f>
        <v>November</v>
      </c>
      <c r="E4171" s="1">
        <v>45614</v>
      </c>
      <c r="F4171" s="1" t="str">
        <f>TEXT(Table1[[#This Row],[order_date]],"dddd")</f>
        <v>Monday</v>
      </c>
      <c r="G4171">
        <f>HOUR(Table1[[#This Row],[order_time]])</f>
        <v>18</v>
      </c>
      <c r="H4171" s="2">
        <v>0.75649305555555557</v>
      </c>
      <c r="I4171" t="s">
        <v>18</v>
      </c>
      <c r="J4171" t="s">
        <v>19</v>
      </c>
      <c r="K4171">
        <v>5</v>
      </c>
      <c r="L4171">
        <v>50</v>
      </c>
      <c r="M4171">
        <v>250</v>
      </c>
      <c r="N4171">
        <f>IF(COUNTIFS($B$2:B4171,B4171)=1,1,0)</f>
        <v>1</v>
      </c>
    </row>
    <row r="4172" spans="1:14" x14ac:dyDescent="0.2">
      <c r="A4172">
        <v>4171</v>
      </c>
      <c r="B4172">
        <v>3099</v>
      </c>
      <c r="C4172">
        <f>1/COUNTIF(B:B,Table1[[#This Row],[order_id]])</f>
        <v>0.33333333333333331</v>
      </c>
      <c r="D4172" t="str">
        <f>TEXT(Table1[[#This Row],[order_date]],"mmmm")</f>
        <v>November</v>
      </c>
      <c r="E4172" s="1">
        <v>45614</v>
      </c>
      <c r="F4172" s="1" t="str">
        <f>TEXT(Table1[[#This Row],[order_date]],"dddd")</f>
        <v>Monday</v>
      </c>
      <c r="G4172">
        <f>HOUR(Table1[[#This Row],[order_time]])</f>
        <v>13</v>
      </c>
      <c r="H4172" s="2">
        <v>0.5606944444444445</v>
      </c>
      <c r="I4172" t="s">
        <v>16</v>
      </c>
      <c r="J4172" t="s">
        <v>17</v>
      </c>
      <c r="K4172">
        <v>5</v>
      </c>
      <c r="L4172">
        <v>20</v>
      </c>
      <c r="M4172">
        <v>100</v>
      </c>
      <c r="N4172">
        <f>IF(COUNTIFS($B$2:B4172,B4172)=1,1,0)</f>
        <v>0</v>
      </c>
    </row>
    <row r="4173" spans="1:14" x14ac:dyDescent="0.2">
      <c r="A4173">
        <v>4172</v>
      </c>
      <c r="B4173">
        <v>3099</v>
      </c>
      <c r="C4173">
        <f>1/COUNTIF(B:B,Table1[[#This Row],[order_id]])</f>
        <v>0.33333333333333331</v>
      </c>
      <c r="D4173" t="str">
        <f>TEXT(Table1[[#This Row],[order_date]],"mmmm")</f>
        <v>November</v>
      </c>
      <c r="E4173" s="1">
        <v>45614</v>
      </c>
      <c r="F4173" s="1" t="str">
        <f>TEXT(Table1[[#This Row],[order_date]],"dddd")</f>
        <v>Monday</v>
      </c>
      <c r="G4173">
        <f>HOUR(Table1[[#This Row],[order_time]])</f>
        <v>20</v>
      </c>
      <c r="H4173" s="2">
        <v>0.85613425925925923</v>
      </c>
      <c r="I4173" t="s">
        <v>18</v>
      </c>
      <c r="J4173" t="s">
        <v>27</v>
      </c>
      <c r="K4173">
        <v>4</v>
      </c>
      <c r="L4173">
        <v>40</v>
      </c>
      <c r="M4173">
        <v>160</v>
      </c>
      <c r="N4173">
        <f>IF(COUNTIFS($B$2:B4173,B4173)=1,1,0)</f>
        <v>0</v>
      </c>
    </row>
    <row r="4174" spans="1:14" x14ac:dyDescent="0.2">
      <c r="A4174">
        <v>4173</v>
      </c>
      <c r="B4174">
        <v>3100</v>
      </c>
      <c r="C4174">
        <f>1/COUNTIF(B:B,Table1[[#This Row],[order_id]])</f>
        <v>1</v>
      </c>
      <c r="D4174" t="str">
        <f>TEXT(Table1[[#This Row],[order_date]],"mmmm")</f>
        <v>November</v>
      </c>
      <c r="E4174" s="1">
        <v>45614</v>
      </c>
      <c r="F4174" s="1" t="str">
        <f>TEXT(Table1[[#This Row],[order_date]],"dddd")</f>
        <v>Monday</v>
      </c>
      <c r="G4174">
        <f>HOUR(Table1[[#This Row],[order_time]])</f>
        <v>19</v>
      </c>
      <c r="H4174" s="2">
        <v>0.80622685185185183</v>
      </c>
      <c r="I4174" t="s">
        <v>16</v>
      </c>
      <c r="J4174" t="s">
        <v>17</v>
      </c>
      <c r="K4174">
        <v>2</v>
      </c>
      <c r="L4174">
        <v>20</v>
      </c>
      <c r="M4174">
        <v>40</v>
      </c>
      <c r="N4174">
        <f>IF(COUNTIFS($B$2:B4174,B4174)=1,1,0)</f>
        <v>1</v>
      </c>
    </row>
    <row r="4175" spans="1:14" x14ac:dyDescent="0.2">
      <c r="A4175">
        <v>4174</v>
      </c>
      <c r="B4175">
        <v>3101</v>
      </c>
      <c r="C4175">
        <f>1/COUNTIF(B:B,Table1[[#This Row],[order_id]])</f>
        <v>0.33333333333333331</v>
      </c>
      <c r="D4175" t="str">
        <f>TEXT(Table1[[#This Row],[order_date]],"mmmm")</f>
        <v>November</v>
      </c>
      <c r="E4175" s="1">
        <v>45614</v>
      </c>
      <c r="F4175" s="1" t="str">
        <f>TEXT(Table1[[#This Row],[order_date]],"dddd")</f>
        <v>Monday</v>
      </c>
      <c r="G4175">
        <f>HOUR(Table1[[#This Row],[order_time]])</f>
        <v>12</v>
      </c>
      <c r="H4175" s="2">
        <v>0.53290509259259256</v>
      </c>
      <c r="I4175" t="s">
        <v>11</v>
      </c>
      <c r="J4175" t="s">
        <v>12</v>
      </c>
      <c r="K4175">
        <v>4</v>
      </c>
      <c r="L4175">
        <v>650</v>
      </c>
      <c r="M4175">
        <v>2600</v>
      </c>
      <c r="N4175">
        <f>IF(COUNTIFS($B$2:B4175,B4175)=1,1,0)</f>
        <v>1</v>
      </c>
    </row>
    <row r="4176" spans="1:14" x14ac:dyDescent="0.2">
      <c r="A4176">
        <v>4175</v>
      </c>
      <c r="B4176">
        <v>3101</v>
      </c>
      <c r="C4176">
        <f>1/COUNTIF(B:B,Table1[[#This Row],[order_id]])</f>
        <v>0.33333333333333331</v>
      </c>
      <c r="D4176" t="str">
        <f>TEXT(Table1[[#This Row],[order_date]],"mmmm")</f>
        <v>November</v>
      </c>
      <c r="E4176" s="1">
        <v>45614</v>
      </c>
      <c r="F4176" s="1" t="str">
        <f>TEXT(Table1[[#This Row],[order_date]],"dddd")</f>
        <v>Monday</v>
      </c>
      <c r="G4176">
        <f>HOUR(Table1[[#This Row],[order_time]])</f>
        <v>14</v>
      </c>
      <c r="H4176" s="2">
        <v>0.60555555555555551</v>
      </c>
      <c r="I4176" t="s">
        <v>9</v>
      </c>
      <c r="J4176" t="s">
        <v>21</v>
      </c>
      <c r="K4176">
        <v>1</v>
      </c>
      <c r="L4176">
        <v>10</v>
      </c>
      <c r="M4176">
        <v>10</v>
      </c>
      <c r="N4176">
        <f>IF(COUNTIFS($B$2:B4176,B4176)=1,1,0)</f>
        <v>0</v>
      </c>
    </row>
    <row r="4177" spans="1:14" x14ac:dyDescent="0.2">
      <c r="A4177">
        <v>4176</v>
      </c>
      <c r="B4177">
        <v>3101</v>
      </c>
      <c r="C4177">
        <f>1/COUNTIF(B:B,Table1[[#This Row],[order_id]])</f>
        <v>0.33333333333333331</v>
      </c>
      <c r="D4177" t="str">
        <f>TEXT(Table1[[#This Row],[order_date]],"mmmm")</f>
        <v>November</v>
      </c>
      <c r="E4177" s="1">
        <v>45614</v>
      </c>
      <c r="F4177" s="1" t="str">
        <f>TEXT(Table1[[#This Row],[order_date]],"dddd")</f>
        <v>Monday</v>
      </c>
      <c r="G4177">
        <f>HOUR(Table1[[#This Row],[order_time]])</f>
        <v>13</v>
      </c>
      <c r="H4177" s="2">
        <v>0.56350694444444449</v>
      </c>
      <c r="I4177" t="s">
        <v>11</v>
      </c>
      <c r="J4177" t="s">
        <v>25</v>
      </c>
      <c r="K4177">
        <v>5</v>
      </c>
      <c r="L4177">
        <v>1000</v>
      </c>
      <c r="M4177">
        <v>5000</v>
      </c>
      <c r="N4177">
        <f>IF(COUNTIFS($B$2:B4177,B4177)=1,1,0)</f>
        <v>0</v>
      </c>
    </row>
    <row r="4178" spans="1:14" x14ac:dyDescent="0.2">
      <c r="A4178">
        <v>4177</v>
      </c>
      <c r="B4178">
        <v>3102</v>
      </c>
      <c r="C4178">
        <f>1/COUNTIF(B:B,Table1[[#This Row],[order_id]])</f>
        <v>0.33333333333333331</v>
      </c>
      <c r="D4178" t="str">
        <f>TEXT(Table1[[#This Row],[order_date]],"mmmm")</f>
        <v>November</v>
      </c>
      <c r="E4178" s="1">
        <v>45614</v>
      </c>
      <c r="F4178" s="1" t="str">
        <f>TEXT(Table1[[#This Row],[order_date]],"dddd")</f>
        <v>Monday</v>
      </c>
      <c r="G4178">
        <f>HOUR(Table1[[#This Row],[order_time]])</f>
        <v>12</v>
      </c>
      <c r="H4178" s="2">
        <v>0.52394675925925926</v>
      </c>
      <c r="I4178" t="s">
        <v>16</v>
      </c>
      <c r="J4178" t="s">
        <v>28</v>
      </c>
      <c r="K4178">
        <v>4</v>
      </c>
      <c r="L4178">
        <v>25</v>
      </c>
      <c r="M4178">
        <v>100</v>
      </c>
      <c r="N4178">
        <f>IF(COUNTIFS($B$2:B4178,B4178)=1,1,0)</f>
        <v>1</v>
      </c>
    </row>
    <row r="4179" spans="1:14" x14ac:dyDescent="0.2">
      <c r="A4179">
        <v>4178</v>
      </c>
      <c r="B4179">
        <v>3102</v>
      </c>
      <c r="C4179">
        <f>1/COUNTIF(B:B,Table1[[#This Row],[order_id]])</f>
        <v>0.33333333333333331</v>
      </c>
      <c r="D4179" t="str">
        <f>TEXT(Table1[[#This Row],[order_date]],"mmmm")</f>
        <v>November</v>
      </c>
      <c r="E4179" s="1">
        <v>45614</v>
      </c>
      <c r="F4179" s="1" t="str">
        <f>TEXT(Table1[[#This Row],[order_date]],"dddd")</f>
        <v>Monday</v>
      </c>
      <c r="G4179">
        <f>HOUR(Table1[[#This Row],[order_time]])</f>
        <v>17</v>
      </c>
      <c r="H4179" s="2">
        <v>0.72652777777777777</v>
      </c>
      <c r="I4179" t="s">
        <v>18</v>
      </c>
      <c r="J4179" t="s">
        <v>30</v>
      </c>
      <c r="K4179">
        <v>5</v>
      </c>
      <c r="L4179">
        <v>60</v>
      </c>
      <c r="M4179">
        <v>300</v>
      </c>
      <c r="N4179">
        <f>IF(COUNTIFS($B$2:B4179,B4179)=1,1,0)</f>
        <v>0</v>
      </c>
    </row>
    <row r="4180" spans="1:14" x14ac:dyDescent="0.2">
      <c r="A4180">
        <v>4179</v>
      </c>
      <c r="B4180">
        <v>3102</v>
      </c>
      <c r="C4180">
        <f>1/COUNTIF(B:B,Table1[[#This Row],[order_id]])</f>
        <v>0.33333333333333331</v>
      </c>
      <c r="D4180" t="str">
        <f>TEXT(Table1[[#This Row],[order_date]],"mmmm")</f>
        <v>November</v>
      </c>
      <c r="E4180" s="1">
        <v>45614</v>
      </c>
      <c r="F4180" s="1" t="str">
        <f>TEXT(Table1[[#This Row],[order_date]],"dddd")</f>
        <v>Monday</v>
      </c>
      <c r="G4180">
        <f>HOUR(Table1[[#This Row],[order_time]])</f>
        <v>11</v>
      </c>
      <c r="H4180" s="2">
        <v>0.46380787037037036</v>
      </c>
      <c r="I4180" t="s">
        <v>11</v>
      </c>
      <c r="J4180" t="s">
        <v>25</v>
      </c>
      <c r="K4180">
        <v>2</v>
      </c>
      <c r="L4180">
        <v>1000</v>
      </c>
      <c r="M4180">
        <v>2000</v>
      </c>
      <c r="N4180">
        <f>IF(COUNTIFS($B$2:B4180,B4180)=1,1,0)</f>
        <v>0</v>
      </c>
    </row>
    <row r="4181" spans="1:14" x14ac:dyDescent="0.2">
      <c r="A4181">
        <v>4180</v>
      </c>
      <c r="B4181">
        <v>3103</v>
      </c>
      <c r="C4181">
        <f>1/COUNTIF(B:B,Table1[[#This Row],[order_id]])</f>
        <v>0.5</v>
      </c>
      <c r="D4181" t="str">
        <f>TEXT(Table1[[#This Row],[order_date]],"mmmm")</f>
        <v>November</v>
      </c>
      <c r="E4181" s="1">
        <v>45614</v>
      </c>
      <c r="F4181" s="1" t="str">
        <f>TEXT(Table1[[#This Row],[order_date]],"dddd")</f>
        <v>Monday</v>
      </c>
      <c r="G4181">
        <f>HOUR(Table1[[#This Row],[order_time]])</f>
        <v>14</v>
      </c>
      <c r="H4181" s="2">
        <v>0.61296296296296293</v>
      </c>
      <c r="I4181" t="s">
        <v>18</v>
      </c>
      <c r="J4181" t="s">
        <v>19</v>
      </c>
      <c r="K4181">
        <v>4</v>
      </c>
      <c r="L4181">
        <v>50</v>
      </c>
      <c r="M4181">
        <v>200</v>
      </c>
      <c r="N4181">
        <f>IF(COUNTIFS($B$2:B4181,B4181)=1,1,0)</f>
        <v>1</v>
      </c>
    </row>
    <row r="4182" spans="1:14" x14ac:dyDescent="0.2">
      <c r="A4182">
        <v>4181</v>
      </c>
      <c r="B4182">
        <v>3103</v>
      </c>
      <c r="C4182">
        <f>1/COUNTIF(B:B,Table1[[#This Row],[order_id]])</f>
        <v>0.5</v>
      </c>
      <c r="D4182" t="str">
        <f>TEXT(Table1[[#This Row],[order_date]],"mmmm")</f>
        <v>November</v>
      </c>
      <c r="E4182" s="1">
        <v>45614</v>
      </c>
      <c r="F4182" s="1" t="str">
        <f>TEXT(Table1[[#This Row],[order_date]],"dddd")</f>
        <v>Monday</v>
      </c>
      <c r="G4182">
        <f>HOUR(Table1[[#This Row],[order_time]])</f>
        <v>13</v>
      </c>
      <c r="H4182" s="2">
        <v>0.55081018518518521</v>
      </c>
      <c r="I4182" t="s">
        <v>18</v>
      </c>
      <c r="J4182" t="s">
        <v>27</v>
      </c>
      <c r="K4182">
        <v>1</v>
      </c>
      <c r="L4182">
        <v>40</v>
      </c>
      <c r="M4182">
        <v>40</v>
      </c>
      <c r="N4182">
        <f>IF(COUNTIFS($B$2:B4182,B4182)=1,1,0)</f>
        <v>0</v>
      </c>
    </row>
    <row r="4183" spans="1:14" x14ac:dyDescent="0.2">
      <c r="A4183">
        <v>4182</v>
      </c>
      <c r="B4183">
        <v>3104</v>
      </c>
      <c r="C4183">
        <f>1/COUNTIF(B:B,Table1[[#This Row],[order_id]])</f>
        <v>0.33333333333333331</v>
      </c>
      <c r="D4183" t="str">
        <f>TEXT(Table1[[#This Row],[order_date]],"mmmm")</f>
        <v>November</v>
      </c>
      <c r="E4183" s="1">
        <v>45615</v>
      </c>
      <c r="F4183" s="1" t="str">
        <f>TEXT(Table1[[#This Row],[order_date]],"dddd")</f>
        <v>Tuesday</v>
      </c>
      <c r="G4183">
        <f>HOUR(Table1[[#This Row],[order_time]])</f>
        <v>15</v>
      </c>
      <c r="H4183" s="2">
        <v>0.64761574074074069</v>
      </c>
      <c r="I4183" t="s">
        <v>11</v>
      </c>
      <c r="J4183" t="s">
        <v>12</v>
      </c>
      <c r="K4183">
        <v>4</v>
      </c>
      <c r="L4183">
        <v>650</v>
      </c>
      <c r="M4183">
        <v>2600</v>
      </c>
      <c r="N4183">
        <f>IF(COUNTIFS($B$2:B4183,B4183)=1,1,0)</f>
        <v>1</v>
      </c>
    </row>
    <row r="4184" spans="1:14" x14ac:dyDescent="0.2">
      <c r="A4184">
        <v>4183</v>
      </c>
      <c r="B4184">
        <v>3104</v>
      </c>
      <c r="C4184">
        <f>1/COUNTIF(B:B,Table1[[#This Row],[order_id]])</f>
        <v>0.33333333333333331</v>
      </c>
      <c r="D4184" t="str">
        <f>TEXT(Table1[[#This Row],[order_date]],"mmmm")</f>
        <v>November</v>
      </c>
      <c r="E4184" s="1">
        <v>45615</v>
      </c>
      <c r="F4184" s="1" t="str">
        <f>TEXT(Table1[[#This Row],[order_date]],"dddd")</f>
        <v>Tuesday</v>
      </c>
      <c r="G4184">
        <f>HOUR(Table1[[#This Row],[order_time]])</f>
        <v>18</v>
      </c>
      <c r="H4184" s="2">
        <v>0.78313657407407411</v>
      </c>
      <c r="I4184" t="s">
        <v>18</v>
      </c>
      <c r="J4184" t="s">
        <v>30</v>
      </c>
      <c r="K4184">
        <v>1</v>
      </c>
      <c r="L4184">
        <v>60</v>
      </c>
      <c r="M4184">
        <v>60</v>
      </c>
      <c r="N4184">
        <f>IF(COUNTIFS($B$2:B4184,B4184)=1,1,0)</f>
        <v>0</v>
      </c>
    </row>
    <row r="4185" spans="1:14" x14ac:dyDescent="0.2">
      <c r="A4185">
        <v>4184</v>
      </c>
      <c r="B4185">
        <v>3104</v>
      </c>
      <c r="C4185">
        <f>1/COUNTIF(B:B,Table1[[#This Row],[order_id]])</f>
        <v>0.33333333333333331</v>
      </c>
      <c r="D4185" t="str">
        <f>TEXT(Table1[[#This Row],[order_date]],"mmmm")</f>
        <v>November</v>
      </c>
      <c r="E4185" s="1">
        <v>45615</v>
      </c>
      <c r="F4185" s="1" t="str">
        <f>TEXT(Table1[[#This Row],[order_date]],"dddd")</f>
        <v>Tuesday</v>
      </c>
      <c r="G4185">
        <f>HOUR(Table1[[#This Row],[order_time]])</f>
        <v>19</v>
      </c>
      <c r="H4185" s="2">
        <v>0.82646990740740744</v>
      </c>
      <c r="I4185" t="s">
        <v>9</v>
      </c>
      <c r="J4185" t="s">
        <v>21</v>
      </c>
      <c r="K4185">
        <v>3</v>
      </c>
      <c r="L4185">
        <v>10</v>
      </c>
      <c r="M4185">
        <v>30</v>
      </c>
      <c r="N4185">
        <f>IF(COUNTIFS($B$2:B4185,B4185)=1,1,0)</f>
        <v>0</v>
      </c>
    </row>
    <row r="4186" spans="1:14" x14ac:dyDescent="0.2">
      <c r="A4186">
        <v>4185</v>
      </c>
      <c r="B4186">
        <v>3105</v>
      </c>
      <c r="C4186">
        <f>1/COUNTIF(B:B,Table1[[#This Row],[order_id]])</f>
        <v>1</v>
      </c>
      <c r="D4186" t="str">
        <f>TEXT(Table1[[#This Row],[order_date]],"mmmm")</f>
        <v>November</v>
      </c>
      <c r="E4186" s="1">
        <v>45615</v>
      </c>
      <c r="F4186" s="1" t="str">
        <f>TEXT(Table1[[#This Row],[order_date]],"dddd")</f>
        <v>Tuesday</v>
      </c>
      <c r="G4186">
        <f>HOUR(Table1[[#This Row],[order_time]])</f>
        <v>20</v>
      </c>
      <c r="H4186" s="2">
        <v>0.84616898148148145</v>
      </c>
      <c r="I4186" t="s">
        <v>18</v>
      </c>
      <c r="J4186" t="s">
        <v>31</v>
      </c>
      <c r="K4186">
        <v>3</v>
      </c>
      <c r="L4186">
        <v>45</v>
      </c>
      <c r="M4186">
        <v>135</v>
      </c>
      <c r="N4186">
        <f>IF(COUNTIFS($B$2:B4186,B4186)=1,1,0)</f>
        <v>1</v>
      </c>
    </row>
    <row r="4187" spans="1:14" x14ac:dyDescent="0.2">
      <c r="A4187">
        <v>4186</v>
      </c>
      <c r="B4187">
        <v>3106</v>
      </c>
      <c r="C4187">
        <f>1/COUNTIF(B:B,Table1[[#This Row],[order_id]])</f>
        <v>1</v>
      </c>
      <c r="D4187" t="str">
        <f>TEXT(Table1[[#This Row],[order_date]],"mmmm")</f>
        <v>November</v>
      </c>
      <c r="E4187" s="1">
        <v>45615</v>
      </c>
      <c r="F4187" s="1" t="str">
        <f>TEXT(Table1[[#This Row],[order_date]],"dddd")</f>
        <v>Tuesday</v>
      </c>
      <c r="G4187">
        <f>HOUR(Table1[[#This Row],[order_time]])</f>
        <v>18</v>
      </c>
      <c r="H4187" s="2">
        <v>0.77690972222222221</v>
      </c>
      <c r="I4187" t="s">
        <v>18</v>
      </c>
      <c r="J4187" t="s">
        <v>30</v>
      </c>
      <c r="K4187">
        <v>5</v>
      </c>
      <c r="L4187">
        <v>60</v>
      </c>
      <c r="M4187">
        <v>300</v>
      </c>
      <c r="N4187">
        <f>IF(COUNTIFS($B$2:B4187,B4187)=1,1,0)</f>
        <v>1</v>
      </c>
    </row>
    <row r="4188" spans="1:14" x14ac:dyDescent="0.2">
      <c r="A4188">
        <v>4187</v>
      </c>
      <c r="B4188">
        <v>3107</v>
      </c>
      <c r="C4188">
        <f>1/COUNTIF(B:B,Table1[[#This Row],[order_id]])</f>
        <v>1</v>
      </c>
      <c r="D4188" t="str">
        <f>TEXT(Table1[[#This Row],[order_date]],"mmmm")</f>
        <v>November</v>
      </c>
      <c r="E4188" s="1">
        <v>45615</v>
      </c>
      <c r="F4188" s="1" t="str">
        <f>TEXT(Table1[[#This Row],[order_date]],"dddd")</f>
        <v>Tuesday</v>
      </c>
      <c r="G4188">
        <f>HOUR(Table1[[#This Row],[order_time]])</f>
        <v>15</v>
      </c>
      <c r="H4188" s="2">
        <v>0.65577546296296296</v>
      </c>
      <c r="I4188" t="s">
        <v>9</v>
      </c>
      <c r="J4188" t="s">
        <v>21</v>
      </c>
      <c r="K4188">
        <v>2</v>
      </c>
      <c r="L4188">
        <v>10</v>
      </c>
      <c r="M4188">
        <v>20</v>
      </c>
      <c r="N4188">
        <f>IF(COUNTIFS($B$2:B4188,B4188)=1,1,0)</f>
        <v>1</v>
      </c>
    </row>
    <row r="4189" spans="1:14" x14ac:dyDescent="0.2">
      <c r="A4189">
        <v>4188</v>
      </c>
      <c r="B4189">
        <v>3108</v>
      </c>
      <c r="C4189">
        <f>1/COUNTIF(B:B,Table1[[#This Row],[order_id]])</f>
        <v>0.33333333333333331</v>
      </c>
      <c r="D4189" t="str">
        <f>TEXT(Table1[[#This Row],[order_date]],"mmmm")</f>
        <v>November</v>
      </c>
      <c r="E4189" s="1">
        <v>45615</v>
      </c>
      <c r="F4189" s="1" t="str">
        <f>TEXT(Table1[[#This Row],[order_date]],"dddd")</f>
        <v>Tuesday</v>
      </c>
      <c r="G4189">
        <f>HOUR(Table1[[#This Row],[order_time]])</f>
        <v>17</v>
      </c>
      <c r="H4189" s="2">
        <v>0.71592592592592597</v>
      </c>
      <c r="I4189" t="s">
        <v>18</v>
      </c>
      <c r="J4189" t="s">
        <v>31</v>
      </c>
      <c r="K4189">
        <v>5</v>
      </c>
      <c r="L4189">
        <v>45</v>
      </c>
      <c r="M4189">
        <v>225</v>
      </c>
      <c r="N4189">
        <f>IF(COUNTIFS($B$2:B4189,B4189)=1,1,0)</f>
        <v>1</v>
      </c>
    </row>
    <row r="4190" spans="1:14" x14ac:dyDescent="0.2">
      <c r="A4190">
        <v>4189</v>
      </c>
      <c r="B4190">
        <v>3108</v>
      </c>
      <c r="C4190">
        <f>1/COUNTIF(B:B,Table1[[#This Row],[order_id]])</f>
        <v>0.33333333333333331</v>
      </c>
      <c r="D4190" t="str">
        <f>TEXT(Table1[[#This Row],[order_date]],"mmmm")</f>
        <v>November</v>
      </c>
      <c r="E4190" s="1">
        <v>45615</v>
      </c>
      <c r="F4190" s="1" t="str">
        <f>TEXT(Table1[[#This Row],[order_date]],"dddd")</f>
        <v>Tuesday</v>
      </c>
      <c r="G4190">
        <f>HOUR(Table1[[#This Row],[order_time]])</f>
        <v>13</v>
      </c>
      <c r="H4190" s="2">
        <v>0.56893518518518515</v>
      </c>
      <c r="I4190" t="s">
        <v>9</v>
      </c>
      <c r="J4190" t="s">
        <v>20</v>
      </c>
      <c r="K4190">
        <v>3</v>
      </c>
      <c r="L4190">
        <v>25</v>
      </c>
      <c r="M4190">
        <v>75</v>
      </c>
      <c r="N4190">
        <f>IF(COUNTIFS($B$2:B4190,B4190)=1,1,0)</f>
        <v>0</v>
      </c>
    </row>
    <row r="4191" spans="1:14" x14ac:dyDescent="0.2">
      <c r="A4191">
        <v>4190</v>
      </c>
      <c r="B4191">
        <v>3108</v>
      </c>
      <c r="C4191">
        <f>1/COUNTIF(B:B,Table1[[#This Row],[order_id]])</f>
        <v>0.33333333333333331</v>
      </c>
      <c r="D4191" t="str">
        <f>TEXT(Table1[[#This Row],[order_date]],"mmmm")</f>
        <v>November</v>
      </c>
      <c r="E4191" s="1">
        <v>45615</v>
      </c>
      <c r="F4191" s="1" t="str">
        <f>TEXT(Table1[[#This Row],[order_date]],"dddd")</f>
        <v>Tuesday</v>
      </c>
      <c r="G4191">
        <f>HOUR(Table1[[#This Row],[order_time]])</f>
        <v>15</v>
      </c>
      <c r="H4191" s="2">
        <v>0.64598379629629632</v>
      </c>
      <c r="I4191" t="s">
        <v>11</v>
      </c>
      <c r="J4191" t="s">
        <v>25</v>
      </c>
      <c r="K4191">
        <v>5</v>
      </c>
      <c r="L4191">
        <v>1000</v>
      </c>
      <c r="M4191">
        <v>5000</v>
      </c>
      <c r="N4191">
        <f>IF(COUNTIFS($B$2:B4191,B4191)=1,1,0)</f>
        <v>0</v>
      </c>
    </row>
    <row r="4192" spans="1:14" x14ac:dyDescent="0.2">
      <c r="A4192">
        <v>4191</v>
      </c>
      <c r="B4192">
        <v>3109</v>
      </c>
      <c r="C4192">
        <f>1/COUNTIF(B:B,Table1[[#This Row],[order_id]])</f>
        <v>0.33333333333333331</v>
      </c>
      <c r="D4192" t="str">
        <f>TEXT(Table1[[#This Row],[order_date]],"mmmm")</f>
        <v>November</v>
      </c>
      <c r="E4192" s="1">
        <v>45615</v>
      </c>
      <c r="F4192" s="1" t="str">
        <f>TEXT(Table1[[#This Row],[order_date]],"dddd")</f>
        <v>Tuesday</v>
      </c>
      <c r="G4192">
        <f>HOUR(Table1[[#This Row],[order_time]])</f>
        <v>11</v>
      </c>
      <c r="H4192" s="2">
        <v>0.46361111111111108</v>
      </c>
      <c r="I4192" t="s">
        <v>18</v>
      </c>
      <c r="J4192" t="s">
        <v>26</v>
      </c>
      <c r="K4192">
        <v>1</v>
      </c>
      <c r="L4192">
        <v>55</v>
      </c>
      <c r="M4192">
        <v>55</v>
      </c>
      <c r="N4192">
        <f>IF(COUNTIFS($B$2:B4192,B4192)=1,1,0)</f>
        <v>1</v>
      </c>
    </row>
    <row r="4193" spans="1:14" x14ac:dyDescent="0.2">
      <c r="A4193">
        <v>4192</v>
      </c>
      <c r="B4193">
        <v>3109</v>
      </c>
      <c r="C4193">
        <f>1/COUNTIF(B:B,Table1[[#This Row],[order_id]])</f>
        <v>0.33333333333333331</v>
      </c>
      <c r="D4193" t="str">
        <f>TEXT(Table1[[#This Row],[order_date]],"mmmm")</f>
        <v>November</v>
      </c>
      <c r="E4193" s="1">
        <v>45615</v>
      </c>
      <c r="F4193" s="1" t="str">
        <f>TEXT(Table1[[#This Row],[order_date]],"dddd")</f>
        <v>Tuesday</v>
      </c>
      <c r="G4193">
        <f>HOUR(Table1[[#This Row],[order_time]])</f>
        <v>16</v>
      </c>
      <c r="H4193" s="2">
        <v>0.67484953703703698</v>
      </c>
      <c r="I4193" t="s">
        <v>16</v>
      </c>
      <c r="J4193" t="s">
        <v>23</v>
      </c>
      <c r="K4193">
        <v>5</v>
      </c>
      <c r="L4193">
        <v>30</v>
      </c>
      <c r="M4193">
        <v>150</v>
      </c>
      <c r="N4193">
        <f>IF(COUNTIFS($B$2:B4193,B4193)=1,1,0)</f>
        <v>0</v>
      </c>
    </row>
    <row r="4194" spans="1:14" x14ac:dyDescent="0.2">
      <c r="A4194">
        <v>4193</v>
      </c>
      <c r="B4194">
        <v>3109</v>
      </c>
      <c r="C4194">
        <f>1/COUNTIF(B:B,Table1[[#This Row],[order_id]])</f>
        <v>0.33333333333333331</v>
      </c>
      <c r="D4194" t="str">
        <f>TEXT(Table1[[#This Row],[order_date]],"mmmm")</f>
        <v>November</v>
      </c>
      <c r="E4194" s="1">
        <v>45615</v>
      </c>
      <c r="F4194" s="1" t="str">
        <f>TEXT(Table1[[#This Row],[order_date]],"dddd")</f>
        <v>Tuesday</v>
      </c>
      <c r="G4194">
        <f>HOUR(Table1[[#This Row],[order_time]])</f>
        <v>9</v>
      </c>
      <c r="H4194" s="2">
        <v>0.38099537037037035</v>
      </c>
      <c r="I4194" t="s">
        <v>9</v>
      </c>
      <c r="J4194" t="s">
        <v>29</v>
      </c>
      <c r="K4194">
        <v>1</v>
      </c>
      <c r="L4194">
        <v>5</v>
      </c>
      <c r="M4194">
        <v>5</v>
      </c>
      <c r="N4194">
        <f>IF(COUNTIFS($B$2:B4194,B4194)=1,1,0)</f>
        <v>0</v>
      </c>
    </row>
    <row r="4195" spans="1:14" x14ac:dyDescent="0.2">
      <c r="A4195">
        <v>4194</v>
      </c>
      <c r="B4195">
        <v>3110</v>
      </c>
      <c r="C4195">
        <f>1/COUNTIF(B:B,Table1[[#This Row],[order_id]])</f>
        <v>1</v>
      </c>
      <c r="D4195" t="str">
        <f>TEXT(Table1[[#This Row],[order_date]],"mmmm")</f>
        <v>November</v>
      </c>
      <c r="E4195" s="1">
        <v>45615</v>
      </c>
      <c r="F4195" s="1" t="str">
        <f>TEXT(Table1[[#This Row],[order_date]],"dddd")</f>
        <v>Tuesday</v>
      </c>
      <c r="G4195">
        <f>HOUR(Table1[[#This Row],[order_time]])</f>
        <v>11</v>
      </c>
      <c r="H4195" s="2">
        <v>0.46439814814814817</v>
      </c>
      <c r="I4195" t="s">
        <v>16</v>
      </c>
      <c r="J4195" t="s">
        <v>23</v>
      </c>
      <c r="K4195">
        <v>5</v>
      </c>
      <c r="L4195">
        <v>30</v>
      </c>
      <c r="M4195">
        <v>150</v>
      </c>
      <c r="N4195">
        <f>IF(COUNTIFS($B$2:B4195,B4195)=1,1,0)</f>
        <v>1</v>
      </c>
    </row>
    <row r="4196" spans="1:14" x14ac:dyDescent="0.2">
      <c r="A4196">
        <v>4195</v>
      </c>
      <c r="B4196">
        <v>3111</v>
      </c>
      <c r="C4196">
        <f>1/COUNTIF(B:B,Table1[[#This Row],[order_id]])</f>
        <v>0.33333333333333331</v>
      </c>
      <c r="D4196" t="str">
        <f>TEXT(Table1[[#This Row],[order_date]],"mmmm")</f>
        <v>November</v>
      </c>
      <c r="E4196" s="1">
        <v>45615</v>
      </c>
      <c r="F4196" s="1" t="str">
        <f>TEXT(Table1[[#This Row],[order_date]],"dddd")</f>
        <v>Tuesday</v>
      </c>
      <c r="G4196">
        <f>HOUR(Table1[[#This Row],[order_time]])</f>
        <v>13</v>
      </c>
      <c r="H4196" s="2">
        <v>0.55887731481481484</v>
      </c>
      <c r="I4196" t="s">
        <v>9</v>
      </c>
      <c r="J4196" t="s">
        <v>21</v>
      </c>
      <c r="K4196">
        <v>3</v>
      </c>
      <c r="L4196">
        <v>10</v>
      </c>
      <c r="M4196">
        <v>30</v>
      </c>
      <c r="N4196">
        <f>IF(COUNTIFS($B$2:B4196,B4196)=1,1,0)</f>
        <v>1</v>
      </c>
    </row>
    <row r="4197" spans="1:14" x14ac:dyDescent="0.2">
      <c r="A4197">
        <v>4196</v>
      </c>
      <c r="B4197">
        <v>3111</v>
      </c>
      <c r="C4197">
        <f>1/COUNTIF(B:B,Table1[[#This Row],[order_id]])</f>
        <v>0.33333333333333331</v>
      </c>
      <c r="D4197" t="str">
        <f>TEXT(Table1[[#This Row],[order_date]],"mmmm")</f>
        <v>November</v>
      </c>
      <c r="E4197" s="1">
        <v>45615</v>
      </c>
      <c r="F4197" s="1" t="str">
        <f>TEXT(Table1[[#This Row],[order_date]],"dddd")</f>
        <v>Tuesday</v>
      </c>
      <c r="G4197">
        <f>HOUR(Table1[[#This Row],[order_time]])</f>
        <v>16</v>
      </c>
      <c r="H4197" s="2">
        <v>0.68265046296296295</v>
      </c>
      <c r="I4197" t="s">
        <v>16</v>
      </c>
      <c r="J4197" t="s">
        <v>17</v>
      </c>
      <c r="K4197">
        <v>1</v>
      </c>
      <c r="L4197">
        <v>20</v>
      </c>
      <c r="M4197">
        <v>20</v>
      </c>
      <c r="N4197">
        <f>IF(COUNTIFS($B$2:B4197,B4197)=1,1,0)</f>
        <v>0</v>
      </c>
    </row>
    <row r="4198" spans="1:14" x14ac:dyDescent="0.2">
      <c r="A4198">
        <v>4197</v>
      </c>
      <c r="B4198">
        <v>3111</v>
      </c>
      <c r="C4198">
        <f>1/COUNTIF(B:B,Table1[[#This Row],[order_id]])</f>
        <v>0.33333333333333331</v>
      </c>
      <c r="D4198" t="str">
        <f>TEXT(Table1[[#This Row],[order_date]],"mmmm")</f>
        <v>November</v>
      </c>
      <c r="E4198" s="1">
        <v>45615</v>
      </c>
      <c r="F4198" s="1" t="str">
        <f>TEXT(Table1[[#This Row],[order_date]],"dddd")</f>
        <v>Tuesday</v>
      </c>
      <c r="G4198">
        <f>HOUR(Table1[[#This Row],[order_time]])</f>
        <v>20</v>
      </c>
      <c r="H4198" s="2">
        <v>0.83957175925925931</v>
      </c>
      <c r="I4198" t="s">
        <v>11</v>
      </c>
      <c r="J4198" t="s">
        <v>13</v>
      </c>
      <c r="K4198">
        <v>1</v>
      </c>
      <c r="L4198">
        <v>680</v>
      </c>
      <c r="M4198">
        <v>680</v>
      </c>
      <c r="N4198">
        <f>IF(COUNTIFS($B$2:B4198,B4198)=1,1,0)</f>
        <v>0</v>
      </c>
    </row>
    <row r="4199" spans="1:14" x14ac:dyDescent="0.2">
      <c r="A4199">
        <v>4198</v>
      </c>
      <c r="B4199">
        <v>3112</v>
      </c>
      <c r="C4199">
        <f>1/COUNTIF(B:B,Table1[[#This Row],[order_id]])</f>
        <v>0.33333333333333331</v>
      </c>
      <c r="D4199" t="str">
        <f>TEXT(Table1[[#This Row],[order_date]],"mmmm")</f>
        <v>November</v>
      </c>
      <c r="E4199" s="1">
        <v>45615</v>
      </c>
      <c r="F4199" s="1" t="str">
        <f>TEXT(Table1[[#This Row],[order_date]],"dddd")</f>
        <v>Tuesday</v>
      </c>
      <c r="G4199">
        <f>HOUR(Table1[[#This Row],[order_time]])</f>
        <v>10</v>
      </c>
      <c r="H4199" s="2">
        <v>0.42853009259259262</v>
      </c>
      <c r="I4199" t="s">
        <v>18</v>
      </c>
      <c r="J4199" t="s">
        <v>30</v>
      </c>
      <c r="K4199">
        <v>4</v>
      </c>
      <c r="L4199">
        <v>60</v>
      </c>
      <c r="M4199">
        <v>240</v>
      </c>
      <c r="N4199">
        <f>IF(COUNTIFS($B$2:B4199,B4199)=1,1,0)</f>
        <v>1</v>
      </c>
    </row>
    <row r="4200" spans="1:14" x14ac:dyDescent="0.2">
      <c r="A4200">
        <v>4199</v>
      </c>
      <c r="B4200">
        <v>3112</v>
      </c>
      <c r="C4200">
        <f>1/COUNTIF(B:B,Table1[[#This Row],[order_id]])</f>
        <v>0.33333333333333331</v>
      </c>
      <c r="D4200" t="str">
        <f>TEXT(Table1[[#This Row],[order_date]],"mmmm")</f>
        <v>November</v>
      </c>
      <c r="E4200" s="1">
        <v>45615</v>
      </c>
      <c r="F4200" s="1" t="str">
        <f>TEXT(Table1[[#This Row],[order_date]],"dddd")</f>
        <v>Tuesday</v>
      </c>
      <c r="G4200">
        <f>HOUR(Table1[[#This Row],[order_time]])</f>
        <v>12</v>
      </c>
      <c r="H4200" s="2">
        <v>0.53606481481481483</v>
      </c>
      <c r="I4200" t="s">
        <v>9</v>
      </c>
      <c r="J4200" t="s">
        <v>20</v>
      </c>
      <c r="K4200">
        <v>4</v>
      </c>
      <c r="L4200">
        <v>25</v>
      </c>
      <c r="M4200">
        <v>100</v>
      </c>
      <c r="N4200">
        <f>IF(COUNTIFS($B$2:B4200,B4200)=1,1,0)</f>
        <v>0</v>
      </c>
    </row>
    <row r="4201" spans="1:14" x14ac:dyDescent="0.2">
      <c r="A4201">
        <v>4200</v>
      </c>
      <c r="B4201">
        <v>3112</v>
      </c>
      <c r="C4201">
        <f>1/COUNTIF(B:B,Table1[[#This Row],[order_id]])</f>
        <v>0.33333333333333331</v>
      </c>
      <c r="D4201" t="str">
        <f>TEXT(Table1[[#This Row],[order_date]],"mmmm")</f>
        <v>November</v>
      </c>
      <c r="E4201" s="1">
        <v>45615</v>
      </c>
      <c r="F4201" s="1" t="str">
        <f>TEXT(Table1[[#This Row],[order_date]],"dddd")</f>
        <v>Tuesday</v>
      </c>
      <c r="G4201">
        <f>HOUR(Table1[[#This Row],[order_time]])</f>
        <v>9</v>
      </c>
      <c r="H4201" s="2">
        <v>0.39271990740740742</v>
      </c>
      <c r="I4201" t="s">
        <v>16</v>
      </c>
      <c r="J4201" t="s">
        <v>17</v>
      </c>
      <c r="K4201">
        <v>3</v>
      </c>
      <c r="L4201">
        <v>20</v>
      </c>
      <c r="M4201">
        <v>60</v>
      </c>
      <c r="N4201">
        <f>IF(COUNTIFS($B$2:B4201,B4201)=1,1,0)</f>
        <v>0</v>
      </c>
    </row>
    <row r="4202" spans="1:14" x14ac:dyDescent="0.2">
      <c r="A4202">
        <v>4201</v>
      </c>
      <c r="B4202">
        <v>3113</v>
      </c>
      <c r="C4202">
        <f>1/COUNTIF(B:B,Table1[[#This Row],[order_id]])</f>
        <v>1</v>
      </c>
      <c r="D4202" t="str">
        <f>TEXT(Table1[[#This Row],[order_date]],"mmmm")</f>
        <v>November</v>
      </c>
      <c r="E4202" s="1">
        <v>45616</v>
      </c>
      <c r="F4202" s="1" t="str">
        <f>TEXT(Table1[[#This Row],[order_date]],"dddd")</f>
        <v>Wednesday</v>
      </c>
      <c r="G4202">
        <f>HOUR(Table1[[#This Row],[order_time]])</f>
        <v>10</v>
      </c>
      <c r="H4202" s="2">
        <v>0.43737268518518518</v>
      </c>
      <c r="I4202" t="s">
        <v>11</v>
      </c>
      <c r="J4202" t="s">
        <v>13</v>
      </c>
      <c r="K4202">
        <v>1</v>
      </c>
      <c r="L4202">
        <v>680</v>
      </c>
      <c r="M4202">
        <v>680</v>
      </c>
      <c r="N4202">
        <f>IF(COUNTIFS($B$2:B4202,B4202)=1,1,0)</f>
        <v>1</v>
      </c>
    </row>
    <row r="4203" spans="1:14" x14ac:dyDescent="0.2">
      <c r="A4203">
        <v>4202</v>
      </c>
      <c r="B4203">
        <v>3114</v>
      </c>
      <c r="C4203">
        <f>1/COUNTIF(B:B,Table1[[#This Row],[order_id]])</f>
        <v>0.5</v>
      </c>
      <c r="D4203" t="str">
        <f>TEXT(Table1[[#This Row],[order_date]],"mmmm")</f>
        <v>November</v>
      </c>
      <c r="E4203" s="1">
        <v>45616</v>
      </c>
      <c r="F4203" s="1" t="str">
        <f>TEXT(Table1[[#This Row],[order_date]],"dddd")</f>
        <v>Wednesday</v>
      </c>
      <c r="G4203">
        <f>HOUR(Table1[[#This Row],[order_time]])</f>
        <v>12</v>
      </c>
      <c r="H4203" s="2">
        <v>0.52714120370370365</v>
      </c>
      <c r="I4203" t="s">
        <v>16</v>
      </c>
      <c r="J4203" t="s">
        <v>24</v>
      </c>
      <c r="K4203">
        <v>5</v>
      </c>
      <c r="L4203">
        <v>35</v>
      </c>
      <c r="M4203">
        <v>175</v>
      </c>
      <c r="N4203">
        <f>IF(COUNTIFS($B$2:B4203,B4203)=1,1,0)</f>
        <v>1</v>
      </c>
    </row>
    <row r="4204" spans="1:14" x14ac:dyDescent="0.2">
      <c r="A4204">
        <v>4203</v>
      </c>
      <c r="B4204">
        <v>3114</v>
      </c>
      <c r="C4204">
        <f>1/COUNTIF(B:B,Table1[[#This Row],[order_id]])</f>
        <v>0.5</v>
      </c>
      <c r="D4204" t="str">
        <f>TEXT(Table1[[#This Row],[order_date]],"mmmm")</f>
        <v>November</v>
      </c>
      <c r="E4204" s="1">
        <v>45616</v>
      </c>
      <c r="F4204" s="1" t="str">
        <f>TEXT(Table1[[#This Row],[order_date]],"dddd")</f>
        <v>Wednesday</v>
      </c>
      <c r="G4204">
        <f>HOUR(Table1[[#This Row],[order_time]])</f>
        <v>17</v>
      </c>
      <c r="H4204" s="2">
        <v>0.74282407407407403</v>
      </c>
      <c r="I4204" t="s">
        <v>9</v>
      </c>
      <c r="J4204" t="s">
        <v>29</v>
      </c>
      <c r="K4204">
        <v>5</v>
      </c>
      <c r="L4204">
        <v>5</v>
      </c>
      <c r="M4204">
        <v>25</v>
      </c>
      <c r="N4204">
        <f>IF(COUNTIFS($B$2:B4204,B4204)=1,1,0)</f>
        <v>0</v>
      </c>
    </row>
    <row r="4205" spans="1:14" x14ac:dyDescent="0.2">
      <c r="A4205">
        <v>4204</v>
      </c>
      <c r="B4205">
        <v>3115</v>
      </c>
      <c r="C4205">
        <f>1/COUNTIF(B:B,Table1[[#This Row],[order_id]])</f>
        <v>0.33333333333333331</v>
      </c>
      <c r="D4205" t="str">
        <f>TEXT(Table1[[#This Row],[order_date]],"mmmm")</f>
        <v>November</v>
      </c>
      <c r="E4205" s="1">
        <v>45616</v>
      </c>
      <c r="F4205" s="1" t="str">
        <f>TEXT(Table1[[#This Row],[order_date]],"dddd")</f>
        <v>Wednesday</v>
      </c>
      <c r="G4205">
        <f>HOUR(Table1[[#This Row],[order_time]])</f>
        <v>20</v>
      </c>
      <c r="H4205" s="2">
        <v>0.84208333333333329</v>
      </c>
      <c r="I4205" t="s">
        <v>18</v>
      </c>
      <c r="J4205" t="s">
        <v>31</v>
      </c>
      <c r="K4205">
        <v>4</v>
      </c>
      <c r="L4205">
        <v>45</v>
      </c>
      <c r="M4205">
        <v>180</v>
      </c>
      <c r="N4205">
        <f>IF(COUNTIFS($B$2:B4205,B4205)=1,1,0)</f>
        <v>1</v>
      </c>
    </row>
    <row r="4206" spans="1:14" x14ac:dyDescent="0.2">
      <c r="A4206">
        <v>4205</v>
      </c>
      <c r="B4206">
        <v>3115</v>
      </c>
      <c r="C4206">
        <f>1/COUNTIF(B:B,Table1[[#This Row],[order_id]])</f>
        <v>0.33333333333333331</v>
      </c>
      <c r="D4206" t="str">
        <f>TEXT(Table1[[#This Row],[order_date]],"mmmm")</f>
        <v>November</v>
      </c>
      <c r="E4206" s="1">
        <v>45616</v>
      </c>
      <c r="F4206" s="1" t="str">
        <f>TEXT(Table1[[#This Row],[order_date]],"dddd")</f>
        <v>Wednesday</v>
      </c>
      <c r="G4206">
        <f>HOUR(Table1[[#This Row],[order_time]])</f>
        <v>12</v>
      </c>
      <c r="H4206" s="2">
        <v>0.53293981481481478</v>
      </c>
      <c r="I4206" t="s">
        <v>11</v>
      </c>
      <c r="J4206" t="s">
        <v>12</v>
      </c>
      <c r="K4206">
        <v>4</v>
      </c>
      <c r="L4206">
        <v>650</v>
      </c>
      <c r="M4206">
        <v>2600</v>
      </c>
      <c r="N4206">
        <f>IF(COUNTIFS($B$2:B4206,B4206)=1,1,0)</f>
        <v>0</v>
      </c>
    </row>
    <row r="4207" spans="1:14" x14ac:dyDescent="0.2">
      <c r="A4207">
        <v>4206</v>
      </c>
      <c r="B4207">
        <v>3115</v>
      </c>
      <c r="C4207">
        <f>1/COUNTIF(B:B,Table1[[#This Row],[order_id]])</f>
        <v>0.33333333333333331</v>
      </c>
      <c r="D4207" t="str">
        <f>TEXT(Table1[[#This Row],[order_date]],"mmmm")</f>
        <v>November</v>
      </c>
      <c r="E4207" s="1">
        <v>45616</v>
      </c>
      <c r="F4207" s="1" t="str">
        <f>TEXT(Table1[[#This Row],[order_date]],"dddd")</f>
        <v>Wednesday</v>
      </c>
      <c r="G4207">
        <f>HOUR(Table1[[#This Row],[order_time]])</f>
        <v>12</v>
      </c>
      <c r="H4207" s="2">
        <v>0.50190972222222219</v>
      </c>
      <c r="I4207" t="s">
        <v>16</v>
      </c>
      <c r="J4207" t="s">
        <v>17</v>
      </c>
      <c r="K4207">
        <v>1</v>
      </c>
      <c r="L4207">
        <v>20</v>
      </c>
      <c r="M4207">
        <v>20</v>
      </c>
      <c r="N4207">
        <f>IF(COUNTIFS($B$2:B4207,B4207)=1,1,0)</f>
        <v>0</v>
      </c>
    </row>
    <row r="4208" spans="1:14" x14ac:dyDescent="0.2">
      <c r="A4208">
        <v>4207</v>
      </c>
      <c r="B4208">
        <v>3116</v>
      </c>
      <c r="C4208">
        <f>1/COUNTIF(B:B,Table1[[#This Row],[order_id]])</f>
        <v>0.5</v>
      </c>
      <c r="D4208" t="str">
        <f>TEXT(Table1[[#This Row],[order_date]],"mmmm")</f>
        <v>November</v>
      </c>
      <c r="E4208" s="1">
        <v>45616</v>
      </c>
      <c r="F4208" s="1" t="str">
        <f>TEXT(Table1[[#This Row],[order_date]],"dddd")</f>
        <v>Wednesday</v>
      </c>
      <c r="G4208">
        <f>HOUR(Table1[[#This Row],[order_time]])</f>
        <v>16</v>
      </c>
      <c r="H4208" s="2">
        <v>0.6783217592592593</v>
      </c>
      <c r="I4208" t="s">
        <v>11</v>
      </c>
      <c r="J4208" t="s">
        <v>15</v>
      </c>
      <c r="K4208">
        <v>3</v>
      </c>
      <c r="L4208">
        <v>600</v>
      </c>
      <c r="M4208">
        <v>1800</v>
      </c>
      <c r="N4208">
        <f>IF(COUNTIFS($B$2:B4208,B4208)=1,1,0)</f>
        <v>1</v>
      </c>
    </row>
    <row r="4209" spans="1:14" x14ac:dyDescent="0.2">
      <c r="A4209">
        <v>4208</v>
      </c>
      <c r="B4209">
        <v>3116</v>
      </c>
      <c r="C4209">
        <f>1/COUNTIF(B:B,Table1[[#This Row],[order_id]])</f>
        <v>0.5</v>
      </c>
      <c r="D4209" t="str">
        <f>TEXT(Table1[[#This Row],[order_date]],"mmmm")</f>
        <v>November</v>
      </c>
      <c r="E4209" s="1">
        <v>45616</v>
      </c>
      <c r="F4209" s="1" t="str">
        <f>TEXT(Table1[[#This Row],[order_date]],"dddd")</f>
        <v>Wednesday</v>
      </c>
      <c r="G4209">
        <f>HOUR(Table1[[#This Row],[order_time]])</f>
        <v>12</v>
      </c>
      <c r="H4209" s="2">
        <v>0.52307870370370368</v>
      </c>
      <c r="I4209" t="s">
        <v>11</v>
      </c>
      <c r="J4209" t="s">
        <v>12</v>
      </c>
      <c r="K4209">
        <v>3</v>
      </c>
      <c r="L4209">
        <v>650</v>
      </c>
      <c r="M4209">
        <v>1950</v>
      </c>
      <c r="N4209">
        <f>IF(COUNTIFS($B$2:B4209,B4209)=1,1,0)</f>
        <v>0</v>
      </c>
    </row>
    <row r="4210" spans="1:14" x14ac:dyDescent="0.2">
      <c r="A4210">
        <v>4209</v>
      </c>
      <c r="B4210">
        <v>3117</v>
      </c>
      <c r="C4210">
        <f>1/COUNTIF(B:B,Table1[[#This Row],[order_id]])</f>
        <v>0.5</v>
      </c>
      <c r="D4210" t="str">
        <f>TEXT(Table1[[#This Row],[order_date]],"mmmm")</f>
        <v>November</v>
      </c>
      <c r="E4210" s="1">
        <v>45616</v>
      </c>
      <c r="F4210" s="1" t="str">
        <f>TEXT(Table1[[#This Row],[order_date]],"dddd")</f>
        <v>Wednesday</v>
      </c>
      <c r="G4210">
        <f>HOUR(Table1[[#This Row],[order_time]])</f>
        <v>20</v>
      </c>
      <c r="H4210" s="2">
        <v>0.86458333333333337</v>
      </c>
      <c r="I4210" t="s">
        <v>18</v>
      </c>
      <c r="J4210" t="s">
        <v>31</v>
      </c>
      <c r="K4210">
        <v>1</v>
      </c>
      <c r="L4210">
        <v>45</v>
      </c>
      <c r="M4210">
        <v>45</v>
      </c>
      <c r="N4210">
        <f>IF(COUNTIFS($B$2:B4210,B4210)=1,1,0)</f>
        <v>1</v>
      </c>
    </row>
    <row r="4211" spans="1:14" x14ac:dyDescent="0.2">
      <c r="A4211">
        <v>4210</v>
      </c>
      <c r="B4211">
        <v>3117</v>
      </c>
      <c r="C4211">
        <f>1/COUNTIF(B:B,Table1[[#This Row],[order_id]])</f>
        <v>0.5</v>
      </c>
      <c r="D4211" t="str">
        <f>TEXT(Table1[[#This Row],[order_date]],"mmmm")</f>
        <v>November</v>
      </c>
      <c r="E4211" s="1">
        <v>45616</v>
      </c>
      <c r="F4211" s="1" t="str">
        <f>TEXT(Table1[[#This Row],[order_date]],"dddd")</f>
        <v>Wednesday</v>
      </c>
      <c r="G4211">
        <f>HOUR(Table1[[#This Row],[order_time]])</f>
        <v>15</v>
      </c>
      <c r="H4211" s="2">
        <v>0.655787037037037</v>
      </c>
      <c r="I4211" t="s">
        <v>16</v>
      </c>
      <c r="J4211" t="s">
        <v>23</v>
      </c>
      <c r="K4211">
        <v>2</v>
      </c>
      <c r="L4211">
        <v>30</v>
      </c>
      <c r="M4211">
        <v>60</v>
      </c>
      <c r="N4211">
        <f>IF(COUNTIFS($B$2:B4211,B4211)=1,1,0)</f>
        <v>0</v>
      </c>
    </row>
    <row r="4212" spans="1:14" x14ac:dyDescent="0.2">
      <c r="A4212">
        <v>4211</v>
      </c>
      <c r="B4212">
        <v>3118</v>
      </c>
      <c r="C4212">
        <f>1/COUNTIF(B:B,Table1[[#This Row],[order_id]])</f>
        <v>0.33333333333333331</v>
      </c>
      <c r="D4212" t="str">
        <f>TEXT(Table1[[#This Row],[order_date]],"mmmm")</f>
        <v>November</v>
      </c>
      <c r="E4212" s="1">
        <v>45616</v>
      </c>
      <c r="F4212" s="1" t="str">
        <f>TEXT(Table1[[#This Row],[order_date]],"dddd")</f>
        <v>Wednesday</v>
      </c>
      <c r="G4212">
        <f>HOUR(Table1[[#This Row],[order_time]])</f>
        <v>10</v>
      </c>
      <c r="H4212" s="2">
        <v>0.43973379629629628</v>
      </c>
      <c r="I4212" t="s">
        <v>9</v>
      </c>
      <c r="J4212" t="s">
        <v>29</v>
      </c>
      <c r="K4212">
        <v>4</v>
      </c>
      <c r="L4212">
        <v>5</v>
      </c>
      <c r="M4212">
        <v>20</v>
      </c>
      <c r="N4212">
        <f>IF(COUNTIFS($B$2:B4212,B4212)=1,1,0)</f>
        <v>1</v>
      </c>
    </row>
    <row r="4213" spans="1:14" x14ac:dyDescent="0.2">
      <c r="A4213">
        <v>4212</v>
      </c>
      <c r="B4213">
        <v>3118</v>
      </c>
      <c r="C4213">
        <f>1/COUNTIF(B:B,Table1[[#This Row],[order_id]])</f>
        <v>0.33333333333333331</v>
      </c>
      <c r="D4213" t="str">
        <f>TEXT(Table1[[#This Row],[order_date]],"mmmm")</f>
        <v>November</v>
      </c>
      <c r="E4213" s="1">
        <v>45616</v>
      </c>
      <c r="F4213" s="1" t="str">
        <f>TEXT(Table1[[#This Row],[order_date]],"dddd")</f>
        <v>Wednesday</v>
      </c>
      <c r="G4213">
        <f>HOUR(Table1[[#This Row],[order_time]])</f>
        <v>18</v>
      </c>
      <c r="H4213" s="2">
        <v>0.76938657407407407</v>
      </c>
      <c r="I4213" t="s">
        <v>11</v>
      </c>
      <c r="J4213" t="s">
        <v>14</v>
      </c>
      <c r="K4213">
        <v>3</v>
      </c>
      <c r="L4213">
        <v>700</v>
      </c>
      <c r="M4213">
        <v>2100</v>
      </c>
      <c r="N4213">
        <f>IF(COUNTIFS($B$2:B4213,B4213)=1,1,0)</f>
        <v>0</v>
      </c>
    </row>
    <row r="4214" spans="1:14" x14ac:dyDescent="0.2">
      <c r="A4214">
        <v>4213</v>
      </c>
      <c r="B4214">
        <v>3118</v>
      </c>
      <c r="C4214">
        <f>1/COUNTIF(B:B,Table1[[#This Row],[order_id]])</f>
        <v>0.33333333333333331</v>
      </c>
      <c r="D4214" t="str">
        <f>TEXT(Table1[[#This Row],[order_date]],"mmmm")</f>
        <v>November</v>
      </c>
      <c r="E4214" s="1">
        <v>45616</v>
      </c>
      <c r="F4214" s="1" t="str">
        <f>TEXT(Table1[[#This Row],[order_date]],"dddd")</f>
        <v>Wednesday</v>
      </c>
      <c r="G4214">
        <f>HOUR(Table1[[#This Row],[order_time]])</f>
        <v>10</v>
      </c>
      <c r="H4214" s="2">
        <v>0.41701388888888891</v>
      </c>
      <c r="I4214" t="s">
        <v>11</v>
      </c>
      <c r="J4214" t="s">
        <v>14</v>
      </c>
      <c r="K4214">
        <v>4</v>
      </c>
      <c r="L4214">
        <v>700</v>
      </c>
      <c r="M4214">
        <v>2800</v>
      </c>
      <c r="N4214">
        <f>IF(COUNTIFS($B$2:B4214,B4214)=1,1,0)</f>
        <v>0</v>
      </c>
    </row>
    <row r="4215" spans="1:14" x14ac:dyDescent="0.2">
      <c r="A4215">
        <v>4214</v>
      </c>
      <c r="B4215">
        <v>3119</v>
      </c>
      <c r="C4215">
        <f>1/COUNTIF(B:B,Table1[[#This Row],[order_id]])</f>
        <v>0.33333333333333331</v>
      </c>
      <c r="D4215" t="str">
        <f>TEXT(Table1[[#This Row],[order_date]],"mmmm")</f>
        <v>November</v>
      </c>
      <c r="E4215" s="1">
        <v>45616</v>
      </c>
      <c r="F4215" s="1" t="str">
        <f>TEXT(Table1[[#This Row],[order_date]],"dddd")</f>
        <v>Wednesday</v>
      </c>
      <c r="G4215">
        <f>HOUR(Table1[[#This Row],[order_time]])</f>
        <v>18</v>
      </c>
      <c r="H4215" s="2">
        <v>0.76481481481481484</v>
      </c>
      <c r="I4215" t="s">
        <v>18</v>
      </c>
      <c r="J4215" t="s">
        <v>19</v>
      </c>
      <c r="K4215">
        <v>3</v>
      </c>
      <c r="L4215">
        <v>50</v>
      </c>
      <c r="M4215">
        <v>150</v>
      </c>
      <c r="N4215">
        <f>IF(COUNTIFS($B$2:B4215,B4215)=1,1,0)</f>
        <v>1</v>
      </c>
    </row>
    <row r="4216" spans="1:14" x14ac:dyDescent="0.2">
      <c r="A4216">
        <v>4215</v>
      </c>
      <c r="B4216">
        <v>3119</v>
      </c>
      <c r="C4216">
        <f>1/COUNTIF(B:B,Table1[[#This Row],[order_id]])</f>
        <v>0.33333333333333331</v>
      </c>
      <c r="D4216" t="str">
        <f>TEXT(Table1[[#This Row],[order_date]],"mmmm")</f>
        <v>November</v>
      </c>
      <c r="E4216" s="1">
        <v>45616</v>
      </c>
      <c r="F4216" s="1" t="str">
        <f>TEXT(Table1[[#This Row],[order_date]],"dddd")</f>
        <v>Wednesday</v>
      </c>
      <c r="G4216">
        <f>HOUR(Table1[[#This Row],[order_time]])</f>
        <v>11</v>
      </c>
      <c r="H4216" s="2">
        <v>0.47343750000000001</v>
      </c>
      <c r="I4216" t="s">
        <v>9</v>
      </c>
      <c r="J4216" t="s">
        <v>29</v>
      </c>
      <c r="K4216">
        <v>4</v>
      </c>
      <c r="L4216">
        <v>5</v>
      </c>
      <c r="M4216">
        <v>20</v>
      </c>
      <c r="N4216">
        <f>IF(COUNTIFS($B$2:B4216,B4216)=1,1,0)</f>
        <v>0</v>
      </c>
    </row>
    <row r="4217" spans="1:14" x14ac:dyDescent="0.2">
      <c r="A4217">
        <v>4216</v>
      </c>
      <c r="B4217">
        <v>3119</v>
      </c>
      <c r="C4217">
        <f>1/COUNTIF(B:B,Table1[[#This Row],[order_id]])</f>
        <v>0.33333333333333331</v>
      </c>
      <c r="D4217" t="str">
        <f>TEXT(Table1[[#This Row],[order_date]],"mmmm")</f>
        <v>November</v>
      </c>
      <c r="E4217" s="1">
        <v>45616</v>
      </c>
      <c r="F4217" s="1" t="str">
        <f>TEXT(Table1[[#This Row],[order_date]],"dddd")</f>
        <v>Wednesday</v>
      </c>
      <c r="G4217">
        <f>HOUR(Table1[[#This Row],[order_time]])</f>
        <v>9</v>
      </c>
      <c r="H4217" s="2">
        <v>0.38230324074074074</v>
      </c>
      <c r="I4217" t="s">
        <v>11</v>
      </c>
      <c r="J4217" t="s">
        <v>14</v>
      </c>
      <c r="K4217">
        <v>4</v>
      </c>
      <c r="L4217">
        <v>700</v>
      </c>
      <c r="M4217">
        <v>2800</v>
      </c>
      <c r="N4217">
        <f>IF(COUNTIFS($B$2:B4217,B4217)=1,1,0)</f>
        <v>0</v>
      </c>
    </row>
    <row r="4218" spans="1:14" x14ac:dyDescent="0.2">
      <c r="A4218">
        <v>4217</v>
      </c>
      <c r="B4218">
        <v>3120</v>
      </c>
      <c r="C4218">
        <f>1/COUNTIF(B:B,Table1[[#This Row],[order_id]])</f>
        <v>0.33333333333333331</v>
      </c>
      <c r="D4218" t="str">
        <f>TEXT(Table1[[#This Row],[order_date]],"mmmm")</f>
        <v>November</v>
      </c>
      <c r="E4218" s="1">
        <v>45616</v>
      </c>
      <c r="F4218" s="1" t="str">
        <f>TEXT(Table1[[#This Row],[order_date]],"dddd")</f>
        <v>Wednesday</v>
      </c>
      <c r="G4218">
        <f>HOUR(Table1[[#This Row],[order_time]])</f>
        <v>10</v>
      </c>
      <c r="H4218" s="2">
        <v>0.43019675925925926</v>
      </c>
      <c r="I4218" t="s">
        <v>18</v>
      </c>
      <c r="J4218" t="s">
        <v>31</v>
      </c>
      <c r="K4218">
        <v>2</v>
      </c>
      <c r="L4218">
        <v>45</v>
      </c>
      <c r="M4218">
        <v>90</v>
      </c>
      <c r="N4218">
        <f>IF(COUNTIFS($B$2:B4218,B4218)=1,1,0)</f>
        <v>1</v>
      </c>
    </row>
    <row r="4219" spans="1:14" x14ac:dyDescent="0.2">
      <c r="A4219">
        <v>4218</v>
      </c>
      <c r="B4219">
        <v>3120</v>
      </c>
      <c r="C4219">
        <f>1/COUNTIF(B:B,Table1[[#This Row],[order_id]])</f>
        <v>0.33333333333333331</v>
      </c>
      <c r="D4219" t="str">
        <f>TEXT(Table1[[#This Row],[order_date]],"mmmm")</f>
        <v>November</v>
      </c>
      <c r="E4219" s="1">
        <v>45616</v>
      </c>
      <c r="F4219" s="1" t="str">
        <f>TEXT(Table1[[#This Row],[order_date]],"dddd")</f>
        <v>Wednesday</v>
      </c>
      <c r="G4219">
        <f>HOUR(Table1[[#This Row],[order_time]])</f>
        <v>17</v>
      </c>
      <c r="H4219" s="2">
        <v>0.73590277777777779</v>
      </c>
      <c r="I4219" t="s">
        <v>16</v>
      </c>
      <c r="J4219" t="s">
        <v>28</v>
      </c>
      <c r="K4219">
        <v>2</v>
      </c>
      <c r="L4219">
        <v>25</v>
      </c>
      <c r="M4219">
        <v>50</v>
      </c>
      <c r="N4219">
        <f>IF(COUNTIFS($B$2:B4219,B4219)=1,1,0)</f>
        <v>0</v>
      </c>
    </row>
    <row r="4220" spans="1:14" x14ac:dyDescent="0.2">
      <c r="A4220">
        <v>4219</v>
      </c>
      <c r="B4220">
        <v>3120</v>
      </c>
      <c r="C4220">
        <f>1/COUNTIF(B:B,Table1[[#This Row],[order_id]])</f>
        <v>0.33333333333333331</v>
      </c>
      <c r="D4220" t="str">
        <f>TEXT(Table1[[#This Row],[order_date]],"mmmm")</f>
        <v>November</v>
      </c>
      <c r="E4220" s="1">
        <v>45616</v>
      </c>
      <c r="F4220" s="1" t="str">
        <f>TEXT(Table1[[#This Row],[order_date]],"dddd")</f>
        <v>Wednesday</v>
      </c>
      <c r="G4220">
        <f>HOUR(Table1[[#This Row],[order_time]])</f>
        <v>17</v>
      </c>
      <c r="H4220" s="2">
        <v>0.70847222222222217</v>
      </c>
      <c r="I4220" t="s">
        <v>18</v>
      </c>
      <c r="J4220" t="s">
        <v>30</v>
      </c>
      <c r="K4220">
        <v>2</v>
      </c>
      <c r="L4220">
        <v>60</v>
      </c>
      <c r="M4220">
        <v>120</v>
      </c>
      <c r="N4220">
        <f>IF(COUNTIFS($B$2:B4220,B4220)=1,1,0)</f>
        <v>0</v>
      </c>
    </row>
    <row r="4221" spans="1:14" x14ac:dyDescent="0.2">
      <c r="A4221">
        <v>4220</v>
      </c>
      <c r="B4221">
        <v>3121</v>
      </c>
      <c r="C4221">
        <f>1/COUNTIF(B:B,Table1[[#This Row],[order_id]])</f>
        <v>1</v>
      </c>
      <c r="D4221" t="str">
        <f>TEXT(Table1[[#This Row],[order_date]],"mmmm")</f>
        <v>November</v>
      </c>
      <c r="E4221" s="1">
        <v>45616</v>
      </c>
      <c r="F4221" s="1" t="str">
        <f>TEXT(Table1[[#This Row],[order_date]],"dddd")</f>
        <v>Wednesday</v>
      </c>
      <c r="G4221">
        <f>HOUR(Table1[[#This Row],[order_time]])</f>
        <v>15</v>
      </c>
      <c r="H4221" s="2">
        <v>0.63018518518518518</v>
      </c>
      <c r="I4221" t="s">
        <v>9</v>
      </c>
      <c r="J4221" t="s">
        <v>21</v>
      </c>
      <c r="K4221">
        <v>3</v>
      </c>
      <c r="L4221">
        <v>10</v>
      </c>
      <c r="M4221">
        <v>30</v>
      </c>
      <c r="N4221">
        <f>IF(COUNTIFS($B$2:B4221,B4221)=1,1,0)</f>
        <v>1</v>
      </c>
    </row>
    <row r="4222" spans="1:14" x14ac:dyDescent="0.2">
      <c r="A4222">
        <v>4221</v>
      </c>
      <c r="B4222">
        <v>3122</v>
      </c>
      <c r="C4222">
        <f>1/COUNTIF(B:B,Table1[[#This Row],[order_id]])</f>
        <v>0.33333333333333331</v>
      </c>
      <c r="D4222" t="str">
        <f>TEXT(Table1[[#This Row],[order_date]],"mmmm")</f>
        <v>November</v>
      </c>
      <c r="E4222" s="1">
        <v>45617</v>
      </c>
      <c r="F4222" s="1" t="str">
        <f>TEXT(Table1[[#This Row],[order_date]],"dddd")</f>
        <v>Thursday</v>
      </c>
      <c r="G4222">
        <f>HOUR(Table1[[#This Row],[order_time]])</f>
        <v>18</v>
      </c>
      <c r="H4222" s="2">
        <v>0.77584490740740741</v>
      </c>
      <c r="I4222" t="s">
        <v>18</v>
      </c>
      <c r="J4222" t="s">
        <v>27</v>
      </c>
      <c r="K4222">
        <v>3</v>
      </c>
      <c r="L4222">
        <v>40</v>
      </c>
      <c r="M4222">
        <v>120</v>
      </c>
      <c r="N4222">
        <f>IF(COUNTIFS($B$2:B4222,B4222)=1,1,0)</f>
        <v>1</v>
      </c>
    </row>
    <row r="4223" spans="1:14" x14ac:dyDescent="0.2">
      <c r="A4223">
        <v>4222</v>
      </c>
      <c r="B4223">
        <v>3122</v>
      </c>
      <c r="C4223">
        <f>1/COUNTIF(B:B,Table1[[#This Row],[order_id]])</f>
        <v>0.33333333333333331</v>
      </c>
      <c r="D4223" t="str">
        <f>TEXT(Table1[[#This Row],[order_date]],"mmmm")</f>
        <v>November</v>
      </c>
      <c r="E4223" s="1">
        <v>45617</v>
      </c>
      <c r="F4223" s="1" t="str">
        <f>TEXT(Table1[[#This Row],[order_date]],"dddd")</f>
        <v>Thursday</v>
      </c>
      <c r="G4223">
        <f>HOUR(Table1[[#This Row],[order_time]])</f>
        <v>17</v>
      </c>
      <c r="H4223" s="2">
        <v>0.74769675925925927</v>
      </c>
      <c r="I4223" t="s">
        <v>16</v>
      </c>
      <c r="J4223" t="s">
        <v>17</v>
      </c>
      <c r="K4223">
        <v>5</v>
      </c>
      <c r="L4223">
        <v>20</v>
      </c>
      <c r="M4223">
        <v>100</v>
      </c>
      <c r="N4223">
        <f>IF(COUNTIFS($B$2:B4223,B4223)=1,1,0)</f>
        <v>0</v>
      </c>
    </row>
    <row r="4224" spans="1:14" x14ac:dyDescent="0.2">
      <c r="A4224">
        <v>4223</v>
      </c>
      <c r="B4224">
        <v>3122</v>
      </c>
      <c r="C4224">
        <f>1/COUNTIF(B:B,Table1[[#This Row],[order_id]])</f>
        <v>0.33333333333333331</v>
      </c>
      <c r="D4224" t="str">
        <f>TEXT(Table1[[#This Row],[order_date]],"mmmm")</f>
        <v>November</v>
      </c>
      <c r="E4224" s="1">
        <v>45617</v>
      </c>
      <c r="F4224" s="1" t="str">
        <f>TEXT(Table1[[#This Row],[order_date]],"dddd")</f>
        <v>Thursday</v>
      </c>
      <c r="G4224">
        <f>HOUR(Table1[[#This Row],[order_time]])</f>
        <v>17</v>
      </c>
      <c r="H4224" s="2">
        <v>0.73306712962962961</v>
      </c>
      <c r="I4224" t="s">
        <v>18</v>
      </c>
      <c r="J4224" t="s">
        <v>31</v>
      </c>
      <c r="K4224">
        <v>1</v>
      </c>
      <c r="L4224">
        <v>45</v>
      </c>
      <c r="M4224">
        <v>45</v>
      </c>
      <c r="N4224">
        <f>IF(COUNTIFS($B$2:B4224,B4224)=1,1,0)</f>
        <v>0</v>
      </c>
    </row>
    <row r="4225" spans="1:14" x14ac:dyDescent="0.2">
      <c r="A4225">
        <v>4224</v>
      </c>
      <c r="B4225">
        <v>3123</v>
      </c>
      <c r="C4225">
        <f>1/COUNTIF(B:B,Table1[[#This Row],[order_id]])</f>
        <v>0.5</v>
      </c>
      <c r="D4225" t="str">
        <f>TEXT(Table1[[#This Row],[order_date]],"mmmm")</f>
        <v>November</v>
      </c>
      <c r="E4225" s="1">
        <v>45617</v>
      </c>
      <c r="F4225" s="1" t="str">
        <f>TEXT(Table1[[#This Row],[order_date]],"dddd")</f>
        <v>Thursday</v>
      </c>
      <c r="G4225">
        <f>HOUR(Table1[[#This Row],[order_time]])</f>
        <v>16</v>
      </c>
      <c r="H4225" s="2">
        <v>0.67190972222222223</v>
      </c>
      <c r="I4225" t="s">
        <v>16</v>
      </c>
      <c r="J4225" t="s">
        <v>24</v>
      </c>
      <c r="K4225">
        <v>2</v>
      </c>
      <c r="L4225">
        <v>35</v>
      </c>
      <c r="M4225">
        <v>70</v>
      </c>
      <c r="N4225">
        <f>IF(COUNTIFS($B$2:B4225,B4225)=1,1,0)</f>
        <v>1</v>
      </c>
    </row>
    <row r="4226" spans="1:14" x14ac:dyDescent="0.2">
      <c r="A4226">
        <v>4225</v>
      </c>
      <c r="B4226">
        <v>3123</v>
      </c>
      <c r="C4226">
        <f>1/COUNTIF(B:B,Table1[[#This Row],[order_id]])</f>
        <v>0.5</v>
      </c>
      <c r="D4226" t="str">
        <f>TEXT(Table1[[#This Row],[order_date]],"mmmm")</f>
        <v>November</v>
      </c>
      <c r="E4226" s="1">
        <v>45617</v>
      </c>
      <c r="F4226" s="1" t="str">
        <f>TEXT(Table1[[#This Row],[order_date]],"dddd")</f>
        <v>Thursday</v>
      </c>
      <c r="G4226">
        <f>HOUR(Table1[[#This Row],[order_time]])</f>
        <v>20</v>
      </c>
      <c r="H4226" s="2">
        <v>0.83702546296296299</v>
      </c>
      <c r="I4226" t="s">
        <v>11</v>
      </c>
      <c r="J4226" t="s">
        <v>15</v>
      </c>
      <c r="K4226">
        <v>5</v>
      </c>
      <c r="L4226">
        <v>600</v>
      </c>
      <c r="M4226">
        <v>3000</v>
      </c>
      <c r="N4226">
        <f>IF(COUNTIFS($B$2:B4226,B4226)=1,1,0)</f>
        <v>0</v>
      </c>
    </row>
    <row r="4227" spans="1:14" x14ac:dyDescent="0.2">
      <c r="A4227">
        <v>4226</v>
      </c>
      <c r="B4227">
        <v>3124</v>
      </c>
      <c r="C4227">
        <f>1/COUNTIF(B:B,Table1[[#This Row],[order_id]])</f>
        <v>0.5</v>
      </c>
      <c r="D4227" t="str">
        <f>TEXT(Table1[[#This Row],[order_date]],"mmmm")</f>
        <v>November</v>
      </c>
      <c r="E4227" s="1">
        <v>45617</v>
      </c>
      <c r="F4227" s="1" t="str">
        <f>TEXT(Table1[[#This Row],[order_date]],"dddd")</f>
        <v>Thursday</v>
      </c>
      <c r="G4227">
        <f>HOUR(Table1[[#This Row],[order_time]])</f>
        <v>9</v>
      </c>
      <c r="H4227" s="2">
        <v>0.39993055555555557</v>
      </c>
      <c r="I4227" t="s">
        <v>18</v>
      </c>
      <c r="J4227" t="s">
        <v>30</v>
      </c>
      <c r="K4227">
        <v>5</v>
      </c>
      <c r="L4227">
        <v>60</v>
      </c>
      <c r="M4227">
        <v>300</v>
      </c>
      <c r="N4227">
        <f>IF(COUNTIFS($B$2:B4227,B4227)=1,1,0)</f>
        <v>1</v>
      </c>
    </row>
    <row r="4228" spans="1:14" x14ac:dyDescent="0.2">
      <c r="A4228">
        <v>4227</v>
      </c>
      <c r="B4228">
        <v>3124</v>
      </c>
      <c r="C4228">
        <f>1/COUNTIF(B:B,Table1[[#This Row],[order_id]])</f>
        <v>0.5</v>
      </c>
      <c r="D4228" t="str">
        <f>TEXT(Table1[[#This Row],[order_date]],"mmmm")</f>
        <v>November</v>
      </c>
      <c r="E4228" s="1">
        <v>45617</v>
      </c>
      <c r="F4228" s="1" t="str">
        <f>TEXT(Table1[[#This Row],[order_date]],"dddd")</f>
        <v>Thursday</v>
      </c>
      <c r="G4228">
        <f>HOUR(Table1[[#This Row],[order_time]])</f>
        <v>18</v>
      </c>
      <c r="H4228" s="2">
        <v>0.75309027777777782</v>
      </c>
      <c r="I4228" t="s">
        <v>9</v>
      </c>
      <c r="J4228" t="s">
        <v>10</v>
      </c>
      <c r="K4228">
        <v>4</v>
      </c>
      <c r="L4228">
        <v>20</v>
      </c>
      <c r="M4228">
        <v>80</v>
      </c>
      <c r="N4228">
        <f>IF(COUNTIFS($B$2:B4228,B4228)=1,1,0)</f>
        <v>0</v>
      </c>
    </row>
    <row r="4229" spans="1:14" x14ac:dyDescent="0.2">
      <c r="A4229">
        <v>4228</v>
      </c>
      <c r="B4229">
        <v>3125</v>
      </c>
      <c r="C4229">
        <f>1/COUNTIF(B:B,Table1[[#This Row],[order_id]])</f>
        <v>1</v>
      </c>
      <c r="D4229" t="str">
        <f>TEXT(Table1[[#This Row],[order_date]],"mmmm")</f>
        <v>November</v>
      </c>
      <c r="E4229" s="1">
        <v>45617</v>
      </c>
      <c r="F4229" s="1" t="str">
        <f>TEXT(Table1[[#This Row],[order_date]],"dddd")</f>
        <v>Thursday</v>
      </c>
      <c r="G4229">
        <f>HOUR(Table1[[#This Row],[order_time]])</f>
        <v>19</v>
      </c>
      <c r="H4229" s="2">
        <v>0.82011574074074078</v>
      </c>
      <c r="I4229" t="s">
        <v>18</v>
      </c>
      <c r="J4229" t="s">
        <v>31</v>
      </c>
      <c r="K4229">
        <v>2</v>
      </c>
      <c r="L4229">
        <v>45</v>
      </c>
      <c r="M4229">
        <v>90</v>
      </c>
      <c r="N4229">
        <f>IF(COUNTIFS($B$2:B4229,B4229)=1,1,0)</f>
        <v>1</v>
      </c>
    </row>
    <row r="4230" spans="1:14" x14ac:dyDescent="0.2">
      <c r="A4230">
        <v>4229</v>
      </c>
      <c r="B4230">
        <v>3126</v>
      </c>
      <c r="C4230">
        <f>1/COUNTIF(B:B,Table1[[#This Row],[order_id]])</f>
        <v>0.33333333333333331</v>
      </c>
      <c r="D4230" t="str">
        <f>TEXT(Table1[[#This Row],[order_date]],"mmmm")</f>
        <v>November</v>
      </c>
      <c r="E4230" s="1">
        <v>45617</v>
      </c>
      <c r="F4230" s="1" t="str">
        <f>TEXT(Table1[[#This Row],[order_date]],"dddd")</f>
        <v>Thursday</v>
      </c>
      <c r="G4230">
        <f>HOUR(Table1[[#This Row],[order_time]])</f>
        <v>10</v>
      </c>
      <c r="H4230" s="2">
        <v>0.4198263888888889</v>
      </c>
      <c r="I4230" t="s">
        <v>18</v>
      </c>
      <c r="J4230" t="s">
        <v>31</v>
      </c>
      <c r="K4230">
        <v>5</v>
      </c>
      <c r="L4230">
        <v>45</v>
      </c>
      <c r="M4230">
        <v>225</v>
      </c>
      <c r="N4230">
        <f>IF(COUNTIFS($B$2:B4230,B4230)=1,1,0)</f>
        <v>1</v>
      </c>
    </row>
    <row r="4231" spans="1:14" x14ac:dyDescent="0.2">
      <c r="A4231">
        <v>4230</v>
      </c>
      <c r="B4231">
        <v>3126</v>
      </c>
      <c r="C4231">
        <f>1/COUNTIF(B:B,Table1[[#This Row],[order_id]])</f>
        <v>0.33333333333333331</v>
      </c>
      <c r="D4231" t="str">
        <f>TEXT(Table1[[#This Row],[order_date]],"mmmm")</f>
        <v>November</v>
      </c>
      <c r="E4231" s="1">
        <v>45617</v>
      </c>
      <c r="F4231" s="1" t="str">
        <f>TEXT(Table1[[#This Row],[order_date]],"dddd")</f>
        <v>Thursday</v>
      </c>
      <c r="G4231">
        <f>HOUR(Table1[[#This Row],[order_time]])</f>
        <v>20</v>
      </c>
      <c r="H4231" s="2">
        <v>0.84275462962962966</v>
      </c>
      <c r="I4231" t="s">
        <v>16</v>
      </c>
      <c r="J4231" t="s">
        <v>28</v>
      </c>
      <c r="K4231">
        <v>3</v>
      </c>
      <c r="L4231">
        <v>25</v>
      </c>
      <c r="M4231">
        <v>75</v>
      </c>
      <c r="N4231">
        <f>IF(COUNTIFS($B$2:B4231,B4231)=1,1,0)</f>
        <v>0</v>
      </c>
    </row>
    <row r="4232" spans="1:14" x14ac:dyDescent="0.2">
      <c r="A4232">
        <v>4231</v>
      </c>
      <c r="B4232">
        <v>3126</v>
      </c>
      <c r="C4232">
        <f>1/COUNTIF(B:B,Table1[[#This Row],[order_id]])</f>
        <v>0.33333333333333331</v>
      </c>
      <c r="D4232" t="str">
        <f>TEXT(Table1[[#This Row],[order_date]],"mmmm")</f>
        <v>November</v>
      </c>
      <c r="E4232" s="1">
        <v>45617</v>
      </c>
      <c r="F4232" s="1" t="str">
        <f>TEXT(Table1[[#This Row],[order_date]],"dddd")</f>
        <v>Thursday</v>
      </c>
      <c r="G4232">
        <f>HOUR(Table1[[#This Row],[order_time]])</f>
        <v>20</v>
      </c>
      <c r="H4232" s="2">
        <v>0.85559027777777774</v>
      </c>
      <c r="I4232" t="s">
        <v>9</v>
      </c>
      <c r="J4232" t="s">
        <v>29</v>
      </c>
      <c r="K4232">
        <v>1</v>
      </c>
      <c r="L4232">
        <v>5</v>
      </c>
      <c r="M4232">
        <v>5</v>
      </c>
      <c r="N4232">
        <f>IF(COUNTIFS($B$2:B4232,B4232)=1,1,0)</f>
        <v>0</v>
      </c>
    </row>
    <row r="4233" spans="1:14" x14ac:dyDescent="0.2">
      <c r="A4233">
        <v>4232</v>
      </c>
      <c r="B4233">
        <v>3127</v>
      </c>
      <c r="C4233">
        <f>1/COUNTIF(B:B,Table1[[#This Row],[order_id]])</f>
        <v>0.33333333333333331</v>
      </c>
      <c r="D4233" t="str">
        <f>TEXT(Table1[[#This Row],[order_date]],"mmmm")</f>
        <v>November</v>
      </c>
      <c r="E4233" s="1">
        <v>45617</v>
      </c>
      <c r="F4233" s="1" t="str">
        <f>TEXT(Table1[[#This Row],[order_date]],"dddd")</f>
        <v>Thursday</v>
      </c>
      <c r="G4233">
        <f>HOUR(Table1[[#This Row],[order_time]])</f>
        <v>14</v>
      </c>
      <c r="H4233" s="2">
        <v>0.5848726851851852</v>
      </c>
      <c r="I4233" t="s">
        <v>18</v>
      </c>
      <c r="J4233" t="s">
        <v>31</v>
      </c>
      <c r="K4233">
        <v>4</v>
      </c>
      <c r="L4233">
        <v>45</v>
      </c>
      <c r="M4233">
        <v>180</v>
      </c>
      <c r="N4233">
        <f>IF(COUNTIFS($B$2:B4233,B4233)=1,1,0)</f>
        <v>1</v>
      </c>
    </row>
    <row r="4234" spans="1:14" x14ac:dyDescent="0.2">
      <c r="A4234">
        <v>4233</v>
      </c>
      <c r="B4234">
        <v>3127</v>
      </c>
      <c r="C4234">
        <f>1/COUNTIF(B:B,Table1[[#This Row],[order_id]])</f>
        <v>0.33333333333333331</v>
      </c>
      <c r="D4234" t="str">
        <f>TEXT(Table1[[#This Row],[order_date]],"mmmm")</f>
        <v>November</v>
      </c>
      <c r="E4234" s="1">
        <v>45617</v>
      </c>
      <c r="F4234" s="1" t="str">
        <f>TEXT(Table1[[#This Row],[order_date]],"dddd")</f>
        <v>Thursday</v>
      </c>
      <c r="G4234">
        <f>HOUR(Table1[[#This Row],[order_time]])</f>
        <v>15</v>
      </c>
      <c r="H4234" s="2">
        <v>0.65371527777777783</v>
      </c>
      <c r="I4234" t="s">
        <v>9</v>
      </c>
      <c r="J4234" t="s">
        <v>20</v>
      </c>
      <c r="K4234">
        <v>4</v>
      </c>
      <c r="L4234">
        <v>25</v>
      </c>
      <c r="M4234">
        <v>100</v>
      </c>
      <c r="N4234">
        <f>IF(COUNTIFS($B$2:B4234,B4234)=1,1,0)</f>
        <v>0</v>
      </c>
    </row>
    <row r="4235" spans="1:14" x14ac:dyDescent="0.2">
      <c r="A4235">
        <v>4234</v>
      </c>
      <c r="B4235">
        <v>3127</v>
      </c>
      <c r="C4235">
        <f>1/COUNTIF(B:B,Table1[[#This Row],[order_id]])</f>
        <v>0.33333333333333331</v>
      </c>
      <c r="D4235" t="str">
        <f>TEXT(Table1[[#This Row],[order_date]],"mmmm")</f>
        <v>November</v>
      </c>
      <c r="E4235" s="1">
        <v>45617</v>
      </c>
      <c r="F4235" s="1" t="str">
        <f>TEXT(Table1[[#This Row],[order_date]],"dddd")</f>
        <v>Thursday</v>
      </c>
      <c r="G4235">
        <f>HOUR(Table1[[#This Row],[order_time]])</f>
        <v>10</v>
      </c>
      <c r="H4235" s="2">
        <v>0.44165509259259261</v>
      </c>
      <c r="I4235" t="s">
        <v>11</v>
      </c>
      <c r="J4235" t="s">
        <v>13</v>
      </c>
      <c r="K4235">
        <v>3</v>
      </c>
      <c r="L4235">
        <v>680</v>
      </c>
      <c r="M4235">
        <v>2040</v>
      </c>
      <c r="N4235">
        <f>IF(COUNTIFS($B$2:B4235,B4235)=1,1,0)</f>
        <v>0</v>
      </c>
    </row>
    <row r="4236" spans="1:14" x14ac:dyDescent="0.2">
      <c r="A4236">
        <v>4235</v>
      </c>
      <c r="B4236">
        <v>3128</v>
      </c>
      <c r="C4236">
        <f>1/COUNTIF(B:B,Table1[[#This Row],[order_id]])</f>
        <v>0.5</v>
      </c>
      <c r="D4236" t="str">
        <f>TEXT(Table1[[#This Row],[order_date]],"mmmm")</f>
        <v>November</v>
      </c>
      <c r="E4236" s="1">
        <v>45617</v>
      </c>
      <c r="F4236" s="1" t="str">
        <f>TEXT(Table1[[#This Row],[order_date]],"dddd")</f>
        <v>Thursday</v>
      </c>
      <c r="G4236">
        <f>HOUR(Table1[[#This Row],[order_time]])</f>
        <v>19</v>
      </c>
      <c r="H4236" s="2">
        <v>0.82853009259259258</v>
      </c>
      <c r="I4236" t="s">
        <v>18</v>
      </c>
      <c r="J4236" t="s">
        <v>19</v>
      </c>
      <c r="K4236">
        <v>5</v>
      </c>
      <c r="L4236">
        <v>50</v>
      </c>
      <c r="M4236">
        <v>250</v>
      </c>
      <c r="N4236">
        <f>IF(COUNTIFS($B$2:B4236,B4236)=1,1,0)</f>
        <v>1</v>
      </c>
    </row>
    <row r="4237" spans="1:14" x14ac:dyDescent="0.2">
      <c r="A4237">
        <v>4236</v>
      </c>
      <c r="B4237">
        <v>3128</v>
      </c>
      <c r="C4237">
        <f>1/COUNTIF(B:B,Table1[[#This Row],[order_id]])</f>
        <v>0.5</v>
      </c>
      <c r="D4237" t="str">
        <f>TEXT(Table1[[#This Row],[order_date]],"mmmm")</f>
        <v>November</v>
      </c>
      <c r="E4237" s="1">
        <v>45617</v>
      </c>
      <c r="F4237" s="1" t="str">
        <f>TEXT(Table1[[#This Row],[order_date]],"dddd")</f>
        <v>Thursday</v>
      </c>
      <c r="G4237">
        <f>HOUR(Table1[[#This Row],[order_time]])</f>
        <v>9</v>
      </c>
      <c r="H4237" s="2">
        <v>0.39265046296296297</v>
      </c>
      <c r="I4237" t="s">
        <v>11</v>
      </c>
      <c r="J4237" t="s">
        <v>25</v>
      </c>
      <c r="K4237">
        <v>1</v>
      </c>
      <c r="L4237">
        <v>1000</v>
      </c>
      <c r="M4237">
        <v>1000</v>
      </c>
      <c r="N4237">
        <f>IF(COUNTIFS($B$2:B4237,B4237)=1,1,0)</f>
        <v>0</v>
      </c>
    </row>
    <row r="4238" spans="1:14" x14ac:dyDescent="0.2">
      <c r="A4238">
        <v>4237</v>
      </c>
      <c r="B4238">
        <v>3129</v>
      </c>
      <c r="C4238">
        <f>1/COUNTIF(B:B,Table1[[#This Row],[order_id]])</f>
        <v>0.5</v>
      </c>
      <c r="D4238" t="str">
        <f>TEXT(Table1[[#This Row],[order_date]],"mmmm")</f>
        <v>November</v>
      </c>
      <c r="E4238" s="1">
        <v>45617</v>
      </c>
      <c r="F4238" s="1" t="str">
        <f>TEXT(Table1[[#This Row],[order_date]],"dddd")</f>
        <v>Thursday</v>
      </c>
      <c r="G4238">
        <f>HOUR(Table1[[#This Row],[order_time]])</f>
        <v>14</v>
      </c>
      <c r="H4238" s="2">
        <v>0.607025462962963</v>
      </c>
      <c r="I4238" t="s">
        <v>18</v>
      </c>
      <c r="J4238" t="s">
        <v>19</v>
      </c>
      <c r="K4238">
        <v>2</v>
      </c>
      <c r="L4238">
        <v>50</v>
      </c>
      <c r="M4238">
        <v>100</v>
      </c>
      <c r="N4238">
        <f>IF(COUNTIFS($B$2:B4238,B4238)=1,1,0)</f>
        <v>1</v>
      </c>
    </row>
    <row r="4239" spans="1:14" x14ac:dyDescent="0.2">
      <c r="A4239">
        <v>4238</v>
      </c>
      <c r="B4239">
        <v>3129</v>
      </c>
      <c r="C4239">
        <f>1/COUNTIF(B:B,Table1[[#This Row],[order_id]])</f>
        <v>0.5</v>
      </c>
      <c r="D4239" t="str">
        <f>TEXT(Table1[[#This Row],[order_date]],"mmmm")</f>
        <v>November</v>
      </c>
      <c r="E4239" s="1">
        <v>45617</v>
      </c>
      <c r="F4239" s="1" t="str">
        <f>TEXT(Table1[[#This Row],[order_date]],"dddd")</f>
        <v>Thursday</v>
      </c>
      <c r="G4239">
        <f>HOUR(Table1[[#This Row],[order_time]])</f>
        <v>11</v>
      </c>
      <c r="H4239" s="2">
        <v>0.4679976851851852</v>
      </c>
      <c r="I4239" t="s">
        <v>16</v>
      </c>
      <c r="J4239" t="s">
        <v>23</v>
      </c>
      <c r="K4239">
        <v>2</v>
      </c>
      <c r="L4239">
        <v>30</v>
      </c>
      <c r="M4239">
        <v>60</v>
      </c>
      <c r="N4239">
        <f>IF(COUNTIFS($B$2:B4239,B4239)=1,1,0)</f>
        <v>0</v>
      </c>
    </row>
    <row r="4240" spans="1:14" x14ac:dyDescent="0.2">
      <c r="A4240">
        <v>4239</v>
      </c>
      <c r="B4240">
        <v>3130</v>
      </c>
      <c r="C4240">
        <f>1/COUNTIF(B:B,Table1[[#This Row],[order_id]])</f>
        <v>0.33333333333333331</v>
      </c>
      <c r="D4240" t="str">
        <f>TEXT(Table1[[#This Row],[order_date]],"mmmm")</f>
        <v>November</v>
      </c>
      <c r="E4240" s="1">
        <v>45618</v>
      </c>
      <c r="F4240" s="1" t="str">
        <f>TEXT(Table1[[#This Row],[order_date]],"dddd")</f>
        <v>Friday</v>
      </c>
      <c r="G4240">
        <f>HOUR(Table1[[#This Row],[order_time]])</f>
        <v>9</v>
      </c>
      <c r="H4240" s="2">
        <v>0.39156249999999998</v>
      </c>
      <c r="I4240" t="s">
        <v>16</v>
      </c>
      <c r="J4240" t="s">
        <v>17</v>
      </c>
      <c r="K4240">
        <v>3</v>
      </c>
      <c r="L4240">
        <v>20</v>
      </c>
      <c r="M4240">
        <v>60</v>
      </c>
      <c r="N4240">
        <f>IF(COUNTIFS($B$2:B4240,B4240)=1,1,0)</f>
        <v>1</v>
      </c>
    </row>
    <row r="4241" spans="1:14" x14ac:dyDescent="0.2">
      <c r="A4241">
        <v>4240</v>
      </c>
      <c r="B4241">
        <v>3130</v>
      </c>
      <c r="C4241">
        <f>1/COUNTIF(B:B,Table1[[#This Row],[order_id]])</f>
        <v>0.33333333333333331</v>
      </c>
      <c r="D4241" t="str">
        <f>TEXT(Table1[[#This Row],[order_date]],"mmmm")</f>
        <v>November</v>
      </c>
      <c r="E4241" s="1">
        <v>45618</v>
      </c>
      <c r="F4241" s="1" t="str">
        <f>TEXT(Table1[[#This Row],[order_date]],"dddd")</f>
        <v>Friday</v>
      </c>
      <c r="G4241">
        <f>HOUR(Table1[[#This Row],[order_time]])</f>
        <v>11</v>
      </c>
      <c r="H4241" s="2">
        <v>0.4896875</v>
      </c>
      <c r="I4241" t="s">
        <v>11</v>
      </c>
      <c r="J4241" t="s">
        <v>25</v>
      </c>
      <c r="K4241">
        <v>3</v>
      </c>
      <c r="L4241">
        <v>1000</v>
      </c>
      <c r="M4241">
        <v>3000</v>
      </c>
      <c r="N4241">
        <f>IF(COUNTIFS($B$2:B4241,B4241)=1,1,0)</f>
        <v>0</v>
      </c>
    </row>
    <row r="4242" spans="1:14" x14ac:dyDescent="0.2">
      <c r="A4242">
        <v>4241</v>
      </c>
      <c r="B4242">
        <v>3130</v>
      </c>
      <c r="C4242">
        <f>1/COUNTIF(B:B,Table1[[#This Row],[order_id]])</f>
        <v>0.33333333333333331</v>
      </c>
      <c r="D4242" t="str">
        <f>TEXT(Table1[[#This Row],[order_date]],"mmmm")</f>
        <v>November</v>
      </c>
      <c r="E4242" s="1">
        <v>45618</v>
      </c>
      <c r="F4242" s="1" t="str">
        <f>TEXT(Table1[[#This Row],[order_date]],"dddd")</f>
        <v>Friday</v>
      </c>
      <c r="G4242">
        <f>HOUR(Table1[[#This Row],[order_time]])</f>
        <v>17</v>
      </c>
      <c r="H4242" s="2">
        <v>0.74770833333333331</v>
      </c>
      <c r="I4242" t="s">
        <v>18</v>
      </c>
      <c r="J4242" t="s">
        <v>30</v>
      </c>
      <c r="K4242">
        <v>5</v>
      </c>
      <c r="L4242">
        <v>60</v>
      </c>
      <c r="M4242">
        <v>300</v>
      </c>
      <c r="N4242">
        <f>IF(COUNTIFS($B$2:B4242,B4242)=1,1,0)</f>
        <v>0</v>
      </c>
    </row>
    <row r="4243" spans="1:14" x14ac:dyDescent="0.2">
      <c r="A4243">
        <v>4242</v>
      </c>
      <c r="B4243">
        <v>3131</v>
      </c>
      <c r="C4243">
        <f>1/COUNTIF(B:B,Table1[[#This Row],[order_id]])</f>
        <v>0.5</v>
      </c>
      <c r="D4243" t="str">
        <f>TEXT(Table1[[#This Row],[order_date]],"mmmm")</f>
        <v>November</v>
      </c>
      <c r="E4243" s="1">
        <v>45618</v>
      </c>
      <c r="F4243" s="1" t="str">
        <f>TEXT(Table1[[#This Row],[order_date]],"dddd")</f>
        <v>Friday</v>
      </c>
      <c r="G4243">
        <f>HOUR(Table1[[#This Row],[order_time]])</f>
        <v>11</v>
      </c>
      <c r="H4243" s="2">
        <v>0.45859953703703704</v>
      </c>
      <c r="I4243" t="s">
        <v>16</v>
      </c>
      <c r="J4243" t="s">
        <v>17</v>
      </c>
      <c r="K4243">
        <v>2</v>
      </c>
      <c r="L4243">
        <v>20</v>
      </c>
      <c r="M4243">
        <v>40</v>
      </c>
      <c r="N4243">
        <f>IF(COUNTIFS($B$2:B4243,B4243)=1,1,0)</f>
        <v>1</v>
      </c>
    </row>
    <row r="4244" spans="1:14" x14ac:dyDescent="0.2">
      <c r="A4244">
        <v>4243</v>
      </c>
      <c r="B4244">
        <v>3131</v>
      </c>
      <c r="C4244">
        <f>1/COUNTIF(B:B,Table1[[#This Row],[order_id]])</f>
        <v>0.5</v>
      </c>
      <c r="D4244" t="str">
        <f>TEXT(Table1[[#This Row],[order_date]],"mmmm")</f>
        <v>November</v>
      </c>
      <c r="E4244" s="1">
        <v>45618</v>
      </c>
      <c r="F4244" s="1" t="str">
        <f>TEXT(Table1[[#This Row],[order_date]],"dddd")</f>
        <v>Friday</v>
      </c>
      <c r="G4244">
        <f>HOUR(Table1[[#This Row],[order_time]])</f>
        <v>16</v>
      </c>
      <c r="H4244" s="2">
        <v>0.68806712962962968</v>
      </c>
      <c r="I4244" t="s">
        <v>11</v>
      </c>
      <c r="J4244" t="s">
        <v>25</v>
      </c>
      <c r="K4244">
        <v>2</v>
      </c>
      <c r="L4244">
        <v>1000</v>
      </c>
      <c r="M4244">
        <v>2000</v>
      </c>
      <c r="N4244">
        <f>IF(COUNTIFS($B$2:B4244,B4244)=1,1,0)</f>
        <v>0</v>
      </c>
    </row>
    <row r="4245" spans="1:14" x14ac:dyDescent="0.2">
      <c r="A4245">
        <v>4244</v>
      </c>
      <c r="B4245">
        <v>3132</v>
      </c>
      <c r="C4245">
        <f>1/COUNTIF(B:B,Table1[[#This Row],[order_id]])</f>
        <v>0.5</v>
      </c>
      <c r="D4245" t="str">
        <f>TEXT(Table1[[#This Row],[order_date]],"mmmm")</f>
        <v>November</v>
      </c>
      <c r="E4245" s="1">
        <v>45618</v>
      </c>
      <c r="F4245" s="1" t="str">
        <f>TEXT(Table1[[#This Row],[order_date]],"dddd")</f>
        <v>Friday</v>
      </c>
      <c r="G4245">
        <f>HOUR(Table1[[#This Row],[order_time]])</f>
        <v>19</v>
      </c>
      <c r="H4245" s="2">
        <v>0.81784722222222217</v>
      </c>
      <c r="I4245" t="s">
        <v>9</v>
      </c>
      <c r="J4245" t="s">
        <v>22</v>
      </c>
      <c r="K4245">
        <v>1</v>
      </c>
      <c r="L4245">
        <v>15</v>
      </c>
      <c r="M4245">
        <v>15</v>
      </c>
      <c r="N4245">
        <f>IF(COUNTIFS($B$2:B4245,B4245)=1,1,0)</f>
        <v>1</v>
      </c>
    </row>
    <row r="4246" spans="1:14" x14ac:dyDescent="0.2">
      <c r="A4246">
        <v>4245</v>
      </c>
      <c r="B4246">
        <v>3132</v>
      </c>
      <c r="C4246">
        <f>1/COUNTIF(B:B,Table1[[#This Row],[order_id]])</f>
        <v>0.5</v>
      </c>
      <c r="D4246" t="str">
        <f>TEXT(Table1[[#This Row],[order_date]],"mmmm")</f>
        <v>November</v>
      </c>
      <c r="E4246" s="1">
        <v>45618</v>
      </c>
      <c r="F4246" s="1" t="str">
        <f>TEXT(Table1[[#This Row],[order_date]],"dddd")</f>
        <v>Friday</v>
      </c>
      <c r="G4246">
        <f>HOUR(Table1[[#This Row],[order_time]])</f>
        <v>11</v>
      </c>
      <c r="H4246" s="2">
        <v>0.49486111111111108</v>
      </c>
      <c r="I4246" t="s">
        <v>18</v>
      </c>
      <c r="J4246" t="s">
        <v>27</v>
      </c>
      <c r="K4246">
        <v>2</v>
      </c>
      <c r="L4246">
        <v>40</v>
      </c>
      <c r="M4246">
        <v>80</v>
      </c>
      <c r="N4246">
        <f>IF(COUNTIFS($B$2:B4246,B4246)=1,1,0)</f>
        <v>0</v>
      </c>
    </row>
    <row r="4247" spans="1:14" x14ac:dyDescent="0.2">
      <c r="A4247">
        <v>4246</v>
      </c>
      <c r="B4247">
        <v>3133</v>
      </c>
      <c r="C4247">
        <f>1/COUNTIF(B:B,Table1[[#This Row],[order_id]])</f>
        <v>0.5</v>
      </c>
      <c r="D4247" t="str">
        <f>TEXT(Table1[[#This Row],[order_date]],"mmmm")</f>
        <v>November</v>
      </c>
      <c r="E4247" s="1">
        <v>45618</v>
      </c>
      <c r="F4247" s="1" t="str">
        <f>TEXT(Table1[[#This Row],[order_date]],"dddd")</f>
        <v>Friday</v>
      </c>
      <c r="G4247">
        <f>HOUR(Table1[[#This Row],[order_time]])</f>
        <v>20</v>
      </c>
      <c r="H4247" s="2">
        <v>0.87383101851851852</v>
      </c>
      <c r="I4247" t="s">
        <v>18</v>
      </c>
      <c r="J4247" t="s">
        <v>31</v>
      </c>
      <c r="K4247">
        <v>1</v>
      </c>
      <c r="L4247">
        <v>45</v>
      </c>
      <c r="M4247">
        <v>45</v>
      </c>
      <c r="N4247">
        <f>IF(COUNTIFS($B$2:B4247,B4247)=1,1,0)</f>
        <v>1</v>
      </c>
    </row>
    <row r="4248" spans="1:14" x14ac:dyDescent="0.2">
      <c r="A4248">
        <v>4247</v>
      </c>
      <c r="B4248">
        <v>3133</v>
      </c>
      <c r="C4248">
        <f>1/COUNTIF(B:B,Table1[[#This Row],[order_id]])</f>
        <v>0.5</v>
      </c>
      <c r="D4248" t="str">
        <f>TEXT(Table1[[#This Row],[order_date]],"mmmm")</f>
        <v>November</v>
      </c>
      <c r="E4248" s="1">
        <v>45618</v>
      </c>
      <c r="F4248" s="1" t="str">
        <f>TEXT(Table1[[#This Row],[order_date]],"dddd")</f>
        <v>Friday</v>
      </c>
      <c r="G4248">
        <f>HOUR(Table1[[#This Row],[order_time]])</f>
        <v>15</v>
      </c>
      <c r="H4248" s="2">
        <v>0.66217592592592589</v>
      </c>
      <c r="I4248" t="s">
        <v>9</v>
      </c>
      <c r="J4248" t="s">
        <v>22</v>
      </c>
      <c r="K4248">
        <v>2</v>
      </c>
      <c r="L4248">
        <v>15</v>
      </c>
      <c r="M4248">
        <v>30</v>
      </c>
      <c r="N4248">
        <f>IF(COUNTIFS($B$2:B4248,B4248)=1,1,0)</f>
        <v>0</v>
      </c>
    </row>
    <row r="4249" spans="1:14" x14ac:dyDescent="0.2">
      <c r="A4249">
        <v>4248</v>
      </c>
      <c r="B4249">
        <v>3134</v>
      </c>
      <c r="C4249">
        <f>1/COUNTIF(B:B,Table1[[#This Row],[order_id]])</f>
        <v>1</v>
      </c>
      <c r="D4249" t="str">
        <f>TEXT(Table1[[#This Row],[order_date]],"mmmm")</f>
        <v>November</v>
      </c>
      <c r="E4249" s="1">
        <v>45618</v>
      </c>
      <c r="F4249" s="1" t="str">
        <f>TEXT(Table1[[#This Row],[order_date]],"dddd")</f>
        <v>Friday</v>
      </c>
      <c r="G4249">
        <f>HOUR(Table1[[#This Row],[order_time]])</f>
        <v>20</v>
      </c>
      <c r="H4249" s="2">
        <v>0.86584490740740738</v>
      </c>
      <c r="I4249" t="s">
        <v>9</v>
      </c>
      <c r="J4249" t="s">
        <v>10</v>
      </c>
      <c r="K4249">
        <v>4</v>
      </c>
      <c r="L4249">
        <v>20</v>
      </c>
      <c r="M4249">
        <v>80</v>
      </c>
      <c r="N4249">
        <f>IF(COUNTIFS($B$2:B4249,B4249)=1,1,0)</f>
        <v>1</v>
      </c>
    </row>
    <row r="4250" spans="1:14" x14ac:dyDescent="0.2">
      <c r="A4250">
        <v>4249</v>
      </c>
      <c r="B4250">
        <v>3135</v>
      </c>
      <c r="C4250">
        <f>1/COUNTIF(B:B,Table1[[#This Row],[order_id]])</f>
        <v>1</v>
      </c>
      <c r="D4250" t="str">
        <f>TEXT(Table1[[#This Row],[order_date]],"mmmm")</f>
        <v>November</v>
      </c>
      <c r="E4250" s="1">
        <v>45618</v>
      </c>
      <c r="F4250" s="1" t="str">
        <f>TEXT(Table1[[#This Row],[order_date]],"dddd")</f>
        <v>Friday</v>
      </c>
      <c r="G4250">
        <f>HOUR(Table1[[#This Row],[order_time]])</f>
        <v>15</v>
      </c>
      <c r="H4250" s="2">
        <v>0.65412037037037041</v>
      </c>
      <c r="I4250" t="s">
        <v>11</v>
      </c>
      <c r="J4250" t="s">
        <v>14</v>
      </c>
      <c r="K4250">
        <v>1</v>
      </c>
      <c r="L4250">
        <v>700</v>
      </c>
      <c r="M4250">
        <v>700</v>
      </c>
      <c r="N4250">
        <f>IF(COUNTIFS($B$2:B4250,B4250)=1,1,0)</f>
        <v>1</v>
      </c>
    </row>
    <row r="4251" spans="1:14" x14ac:dyDescent="0.2">
      <c r="A4251">
        <v>4250</v>
      </c>
      <c r="B4251">
        <v>3136</v>
      </c>
      <c r="C4251">
        <f>1/COUNTIF(B:B,Table1[[#This Row],[order_id]])</f>
        <v>0.5</v>
      </c>
      <c r="D4251" t="str">
        <f>TEXT(Table1[[#This Row],[order_date]],"mmmm")</f>
        <v>November</v>
      </c>
      <c r="E4251" s="1">
        <v>45618</v>
      </c>
      <c r="F4251" s="1" t="str">
        <f>TEXT(Table1[[#This Row],[order_date]],"dddd")</f>
        <v>Friday</v>
      </c>
      <c r="G4251">
        <f>HOUR(Table1[[#This Row],[order_time]])</f>
        <v>9</v>
      </c>
      <c r="H4251" s="2">
        <v>0.41100694444444447</v>
      </c>
      <c r="I4251" t="s">
        <v>16</v>
      </c>
      <c r="J4251" t="s">
        <v>17</v>
      </c>
      <c r="K4251">
        <v>3</v>
      </c>
      <c r="L4251">
        <v>20</v>
      </c>
      <c r="M4251">
        <v>60</v>
      </c>
      <c r="N4251">
        <f>IF(COUNTIFS($B$2:B4251,B4251)=1,1,0)</f>
        <v>1</v>
      </c>
    </row>
    <row r="4252" spans="1:14" x14ac:dyDescent="0.2">
      <c r="A4252">
        <v>4251</v>
      </c>
      <c r="B4252">
        <v>3136</v>
      </c>
      <c r="C4252">
        <f>1/COUNTIF(B:B,Table1[[#This Row],[order_id]])</f>
        <v>0.5</v>
      </c>
      <c r="D4252" t="str">
        <f>TEXT(Table1[[#This Row],[order_date]],"mmmm")</f>
        <v>November</v>
      </c>
      <c r="E4252" s="1">
        <v>45618</v>
      </c>
      <c r="F4252" s="1" t="str">
        <f>TEXT(Table1[[#This Row],[order_date]],"dddd")</f>
        <v>Friday</v>
      </c>
      <c r="G4252">
        <f>HOUR(Table1[[#This Row],[order_time]])</f>
        <v>19</v>
      </c>
      <c r="H4252" s="2">
        <v>0.8288078703703704</v>
      </c>
      <c r="I4252" t="s">
        <v>16</v>
      </c>
      <c r="J4252" t="s">
        <v>23</v>
      </c>
      <c r="K4252">
        <v>2</v>
      </c>
      <c r="L4252">
        <v>30</v>
      </c>
      <c r="M4252">
        <v>60</v>
      </c>
      <c r="N4252">
        <f>IF(COUNTIFS($B$2:B4252,B4252)=1,1,0)</f>
        <v>0</v>
      </c>
    </row>
    <row r="4253" spans="1:14" x14ac:dyDescent="0.2">
      <c r="A4253">
        <v>4252</v>
      </c>
      <c r="B4253">
        <v>3137</v>
      </c>
      <c r="C4253">
        <f>1/COUNTIF(B:B,Table1[[#This Row],[order_id]])</f>
        <v>1</v>
      </c>
      <c r="D4253" t="str">
        <f>TEXT(Table1[[#This Row],[order_date]],"mmmm")</f>
        <v>November</v>
      </c>
      <c r="E4253" s="1">
        <v>45618</v>
      </c>
      <c r="F4253" s="1" t="str">
        <f>TEXT(Table1[[#This Row],[order_date]],"dddd")</f>
        <v>Friday</v>
      </c>
      <c r="G4253">
        <f>HOUR(Table1[[#This Row],[order_time]])</f>
        <v>10</v>
      </c>
      <c r="H4253" s="2">
        <v>0.4508564814814815</v>
      </c>
      <c r="I4253" t="s">
        <v>11</v>
      </c>
      <c r="J4253" t="s">
        <v>13</v>
      </c>
      <c r="K4253">
        <v>1</v>
      </c>
      <c r="L4253">
        <v>680</v>
      </c>
      <c r="M4253">
        <v>680</v>
      </c>
      <c r="N4253">
        <f>IF(COUNTIFS($B$2:B4253,B4253)=1,1,0)</f>
        <v>1</v>
      </c>
    </row>
    <row r="4254" spans="1:14" x14ac:dyDescent="0.2">
      <c r="A4254">
        <v>4253</v>
      </c>
      <c r="B4254">
        <v>3138</v>
      </c>
      <c r="C4254">
        <f>1/COUNTIF(B:B,Table1[[#This Row],[order_id]])</f>
        <v>1</v>
      </c>
      <c r="D4254" t="str">
        <f>TEXT(Table1[[#This Row],[order_date]],"mmmm")</f>
        <v>November</v>
      </c>
      <c r="E4254" s="1">
        <v>45618</v>
      </c>
      <c r="F4254" s="1" t="str">
        <f>TEXT(Table1[[#This Row],[order_date]],"dddd")</f>
        <v>Friday</v>
      </c>
      <c r="G4254">
        <f>HOUR(Table1[[#This Row],[order_time]])</f>
        <v>14</v>
      </c>
      <c r="H4254" s="2">
        <v>0.62392361111111116</v>
      </c>
      <c r="I4254" t="s">
        <v>16</v>
      </c>
      <c r="J4254" t="s">
        <v>28</v>
      </c>
      <c r="K4254">
        <v>2</v>
      </c>
      <c r="L4254">
        <v>25</v>
      </c>
      <c r="M4254">
        <v>50</v>
      </c>
      <c r="N4254">
        <f>IF(COUNTIFS($B$2:B4254,B4254)=1,1,0)</f>
        <v>1</v>
      </c>
    </row>
    <row r="4255" spans="1:14" x14ac:dyDescent="0.2">
      <c r="A4255">
        <v>4254</v>
      </c>
      <c r="B4255">
        <v>3139</v>
      </c>
      <c r="C4255">
        <f>1/COUNTIF(B:B,Table1[[#This Row],[order_id]])</f>
        <v>0.5</v>
      </c>
      <c r="D4255" t="str">
        <f>TEXT(Table1[[#This Row],[order_date]],"mmmm")</f>
        <v>November</v>
      </c>
      <c r="E4255" s="1">
        <v>45618</v>
      </c>
      <c r="F4255" s="1" t="str">
        <f>TEXT(Table1[[#This Row],[order_date]],"dddd")</f>
        <v>Friday</v>
      </c>
      <c r="G4255">
        <f>HOUR(Table1[[#This Row],[order_time]])</f>
        <v>17</v>
      </c>
      <c r="H4255" s="2">
        <v>0.71748842592592588</v>
      </c>
      <c r="I4255" t="s">
        <v>18</v>
      </c>
      <c r="J4255" t="s">
        <v>30</v>
      </c>
      <c r="K4255">
        <v>4</v>
      </c>
      <c r="L4255">
        <v>60</v>
      </c>
      <c r="M4255">
        <v>240</v>
      </c>
      <c r="N4255">
        <f>IF(COUNTIFS($B$2:B4255,B4255)=1,1,0)</f>
        <v>1</v>
      </c>
    </row>
    <row r="4256" spans="1:14" x14ac:dyDescent="0.2">
      <c r="A4256">
        <v>4255</v>
      </c>
      <c r="B4256">
        <v>3139</v>
      </c>
      <c r="C4256">
        <f>1/COUNTIF(B:B,Table1[[#This Row],[order_id]])</f>
        <v>0.5</v>
      </c>
      <c r="D4256" t="str">
        <f>TEXT(Table1[[#This Row],[order_date]],"mmmm")</f>
        <v>November</v>
      </c>
      <c r="E4256" s="1">
        <v>45618</v>
      </c>
      <c r="F4256" s="1" t="str">
        <f>TEXT(Table1[[#This Row],[order_date]],"dddd")</f>
        <v>Friday</v>
      </c>
      <c r="G4256">
        <f>HOUR(Table1[[#This Row],[order_time]])</f>
        <v>13</v>
      </c>
      <c r="H4256" s="2">
        <v>0.55442129629629633</v>
      </c>
      <c r="I4256" t="s">
        <v>9</v>
      </c>
      <c r="J4256" t="s">
        <v>20</v>
      </c>
      <c r="K4256">
        <v>5</v>
      </c>
      <c r="L4256">
        <v>25</v>
      </c>
      <c r="M4256">
        <v>125</v>
      </c>
      <c r="N4256">
        <f>IF(COUNTIFS($B$2:B4256,B4256)=1,1,0)</f>
        <v>0</v>
      </c>
    </row>
    <row r="4257" spans="1:14" x14ac:dyDescent="0.2">
      <c r="A4257">
        <v>4256</v>
      </c>
      <c r="B4257">
        <v>3140</v>
      </c>
      <c r="C4257">
        <f>1/COUNTIF(B:B,Table1[[#This Row],[order_id]])</f>
        <v>0.5</v>
      </c>
      <c r="D4257" t="str">
        <f>TEXT(Table1[[#This Row],[order_date]],"mmmm")</f>
        <v>November</v>
      </c>
      <c r="E4257" s="1">
        <v>45619</v>
      </c>
      <c r="F4257" s="1" t="str">
        <f>TEXT(Table1[[#This Row],[order_date]],"dddd")</f>
        <v>Saturday</v>
      </c>
      <c r="G4257">
        <f>HOUR(Table1[[#This Row],[order_time]])</f>
        <v>10</v>
      </c>
      <c r="H4257" s="2">
        <v>0.4251388888888889</v>
      </c>
      <c r="I4257" t="s">
        <v>11</v>
      </c>
      <c r="J4257" t="s">
        <v>12</v>
      </c>
      <c r="K4257">
        <v>1</v>
      </c>
      <c r="L4257">
        <v>650</v>
      </c>
      <c r="M4257">
        <v>650</v>
      </c>
      <c r="N4257">
        <f>IF(COUNTIFS($B$2:B4257,B4257)=1,1,0)</f>
        <v>1</v>
      </c>
    </row>
    <row r="4258" spans="1:14" x14ac:dyDescent="0.2">
      <c r="A4258">
        <v>4257</v>
      </c>
      <c r="B4258">
        <v>3140</v>
      </c>
      <c r="C4258">
        <f>1/COUNTIF(B:B,Table1[[#This Row],[order_id]])</f>
        <v>0.5</v>
      </c>
      <c r="D4258" t="str">
        <f>TEXT(Table1[[#This Row],[order_date]],"mmmm")</f>
        <v>November</v>
      </c>
      <c r="E4258" s="1">
        <v>45619</v>
      </c>
      <c r="F4258" s="1" t="str">
        <f>TEXT(Table1[[#This Row],[order_date]],"dddd")</f>
        <v>Saturday</v>
      </c>
      <c r="G4258">
        <f>HOUR(Table1[[#This Row],[order_time]])</f>
        <v>16</v>
      </c>
      <c r="H4258" s="2">
        <v>0.70128472222222227</v>
      </c>
      <c r="I4258" t="s">
        <v>18</v>
      </c>
      <c r="J4258" t="s">
        <v>26</v>
      </c>
      <c r="K4258">
        <v>3</v>
      </c>
      <c r="L4258">
        <v>55</v>
      </c>
      <c r="M4258">
        <v>165</v>
      </c>
      <c r="N4258">
        <f>IF(COUNTIFS($B$2:B4258,B4258)=1,1,0)</f>
        <v>0</v>
      </c>
    </row>
    <row r="4259" spans="1:14" x14ac:dyDescent="0.2">
      <c r="A4259">
        <v>4258</v>
      </c>
      <c r="B4259">
        <v>3141</v>
      </c>
      <c r="C4259">
        <f>1/COUNTIF(B:B,Table1[[#This Row],[order_id]])</f>
        <v>0.33333333333333331</v>
      </c>
      <c r="D4259" t="str">
        <f>TEXT(Table1[[#This Row],[order_date]],"mmmm")</f>
        <v>November</v>
      </c>
      <c r="E4259" s="1">
        <v>45619</v>
      </c>
      <c r="F4259" s="1" t="str">
        <f>TEXT(Table1[[#This Row],[order_date]],"dddd")</f>
        <v>Saturday</v>
      </c>
      <c r="G4259">
        <f>HOUR(Table1[[#This Row],[order_time]])</f>
        <v>20</v>
      </c>
      <c r="H4259" s="2">
        <v>0.86986111111111108</v>
      </c>
      <c r="I4259" t="s">
        <v>18</v>
      </c>
      <c r="J4259" t="s">
        <v>27</v>
      </c>
      <c r="K4259">
        <v>1</v>
      </c>
      <c r="L4259">
        <v>40</v>
      </c>
      <c r="M4259">
        <v>40</v>
      </c>
      <c r="N4259">
        <f>IF(COUNTIFS($B$2:B4259,B4259)=1,1,0)</f>
        <v>1</v>
      </c>
    </row>
    <row r="4260" spans="1:14" x14ac:dyDescent="0.2">
      <c r="A4260">
        <v>4259</v>
      </c>
      <c r="B4260">
        <v>3141</v>
      </c>
      <c r="C4260">
        <f>1/COUNTIF(B:B,Table1[[#This Row],[order_id]])</f>
        <v>0.33333333333333331</v>
      </c>
      <c r="D4260" t="str">
        <f>TEXT(Table1[[#This Row],[order_date]],"mmmm")</f>
        <v>November</v>
      </c>
      <c r="E4260" s="1">
        <v>45619</v>
      </c>
      <c r="F4260" s="1" t="str">
        <f>TEXT(Table1[[#This Row],[order_date]],"dddd")</f>
        <v>Saturday</v>
      </c>
      <c r="G4260">
        <f>HOUR(Table1[[#This Row],[order_time]])</f>
        <v>20</v>
      </c>
      <c r="H4260" s="2">
        <v>0.83537037037037032</v>
      </c>
      <c r="I4260" t="s">
        <v>11</v>
      </c>
      <c r="J4260" t="s">
        <v>15</v>
      </c>
      <c r="K4260">
        <v>2</v>
      </c>
      <c r="L4260">
        <v>600</v>
      </c>
      <c r="M4260">
        <v>1200</v>
      </c>
      <c r="N4260">
        <f>IF(COUNTIFS($B$2:B4260,B4260)=1,1,0)</f>
        <v>0</v>
      </c>
    </row>
    <row r="4261" spans="1:14" x14ac:dyDescent="0.2">
      <c r="A4261">
        <v>4260</v>
      </c>
      <c r="B4261">
        <v>3141</v>
      </c>
      <c r="C4261">
        <f>1/COUNTIF(B:B,Table1[[#This Row],[order_id]])</f>
        <v>0.33333333333333331</v>
      </c>
      <c r="D4261" t="str">
        <f>TEXT(Table1[[#This Row],[order_date]],"mmmm")</f>
        <v>November</v>
      </c>
      <c r="E4261" s="1">
        <v>45619</v>
      </c>
      <c r="F4261" s="1" t="str">
        <f>TEXT(Table1[[#This Row],[order_date]],"dddd")</f>
        <v>Saturday</v>
      </c>
      <c r="G4261">
        <f>HOUR(Table1[[#This Row],[order_time]])</f>
        <v>16</v>
      </c>
      <c r="H4261" s="2">
        <v>0.7041087962962963</v>
      </c>
      <c r="I4261" t="s">
        <v>16</v>
      </c>
      <c r="J4261" t="s">
        <v>23</v>
      </c>
      <c r="K4261">
        <v>2</v>
      </c>
      <c r="L4261">
        <v>30</v>
      </c>
      <c r="M4261">
        <v>60</v>
      </c>
      <c r="N4261">
        <f>IF(COUNTIFS($B$2:B4261,B4261)=1,1,0)</f>
        <v>0</v>
      </c>
    </row>
    <row r="4262" spans="1:14" x14ac:dyDescent="0.2">
      <c r="A4262">
        <v>4261</v>
      </c>
      <c r="B4262">
        <v>3142</v>
      </c>
      <c r="C4262">
        <f>1/COUNTIF(B:B,Table1[[#This Row],[order_id]])</f>
        <v>0.5</v>
      </c>
      <c r="D4262" t="str">
        <f>TEXT(Table1[[#This Row],[order_date]],"mmmm")</f>
        <v>November</v>
      </c>
      <c r="E4262" s="1">
        <v>45619</v>
      </c>
      <c r="F4262" s="1" t="str">
        <f>TEXT(Table1[[#This Row],[order_date]],"dddd")</f>
        <v>Saturday</v>
      </c>
      <c r="G4262">
        <f>HOUR(Table1[[#This Row],[order_time]])</f>
        <v>10</v>
      </c>
      <c r="H4262" s="2">
        <v>0.41881944444444447</v>
      </c>
      <c r="I4262" t="s">
        <v>16</v>
      </c>
      <c r="J4262" t="s">
        <v>23</v>
      </c>
      <c r="K4262">
        <v>5</v>
      </c>
      <c r="L4262">
        <v>30</v>
      </c>
      <c r="M4262">
        <v>150</v>
      </c>
      <c r="N4262">
        <f>IF(COUNTIFS($B$2:B4262,B4262)=1,1,0)</f>
        <v>1</v>
      </c>
    </row>
    <row r="4263" spans="1:14" x14ac:dyDescent="0.2">
      <c r="A4263">
        <v>4262</v>
      </c>
      <c r="B4263">
        <v>3142</v>
      </c>
      <c r="C4263">
        <f>1/COUNTIF(B:B,Table1[[#This Row],[order_id]])</f>
        <v>0.5</v>
      </c>
      <c r="D4263" t="str">
        <f>TEXT(Table1[[#This Row],[order_date]],"mmmm")</f>
        <v>November</v>
      </c>
      <c r="E4263" s="1">
        <v>45619</v>
      </c>
      <c r="F4263" s="1" t="str">
        <f>TEXT(Table1[[#This Row],[order_date]],"dddd")</f>
        <v>Saturday</v>
      </c>
      <c r="G4263">
        <f>HOUR(Table1[[#This Row],[order_time]])</f>
        <v>9</v>
      </c>
      <c r="H4263" s="2">
        <v>0.39802083333333332</v>
      </c>
      <c r="I4263" t="s">
        <v>16</v>
      </c>
      <c r="J4263" t="s">
        <v>17</v>
      </c>
      <c r="K4263">
        <v>4</v>
      </c>
      <c r="L4263">
        <v>20</v>
      </c>
      <c r="M4263">
        <v>80</v>
      </c>
      <c r="N4263">
        <f>IF(COUNTIFS($B$2:B4263,B4263)=1,1,0)</f>
        <v>0</v>
      </c>
    </row>
    <row r="4264" spans="1:14" x14ac:dyDescent="0.2">
      <c r="A4264">
        <v>4263</v>
      </c>
      <c r="B4264">
        <v>3143</v>
      </c>
      <c r="C4264">
        <f>1/COUNTIF(B:B,Table1[[#This Row],[order_id]])</f>
        <v>0.33333333333333331</v>
      </c>
      <c r="D4264" t="str">
        <f>TEXT(Table1[[#This Row],[order_date]],"mmmm")</f>
        <v>November</v>
      </c>
      <c r="E4264" s="1">
        <v>45619</v>
      </c>
      <c r="F4264" s="1" t="str">
        <f>TEXT(Table1[[#This Row],[order_date]],"dddd")</f>
        <v>Saturday</v>
      </c>
      <c r="G4264">
        <f>HOUR(Table1[[#This Row],[order_time]])</f>
        <v>11</v>
      </c>
      <c r="H4264" s="2">
        <v>0.47787037037037039</v>
      </c>
      <c r="I4264" t="s">
        <v>18</v>
      </c>
      <c r="J4264" t="s">
        <v>26</v>
      </c>
      <c r="K4264">
        <v>5</v>
      </c>
      <c r="L4264">
        <v>55</v>
      </c>
      <c r="M4264">
        <v>275</v>
      </c>
      <c r="N4264">
        <f>IF(COUNTIFS($B$2:B4264,B4264)=1,1,0)</f>
        <v>1</v>
      </c>
    </row>
    <row r="4265" spans="1:14" x14ac:dyDescent="0.2">
      <c r="A4265">
        <v>4264</v>
      </c>
      <c r="B4265">
        <v>3143</v>
      </c>
      <c r="C4265">
        <f>1/COUNTIF(B:B,Table1[[#This Row],[order_id]])</f>
        <v>0.33333333333333331</v>
      </c>
      <c r="D4265" t="str">
        <f>TEXT(Table1[[#This Row],[order_date]],"mmmm")</f>
        <v>November</v>
      </c>
      <c r="E4265" s="1">
        <v>45619</v>
      </c>
      <c r="F4265" s="1" t="str">
        <f>TEXT(Table1[[#This Row],[order_date]],"dddd")</f>
        <v>Saturday</v>
      </c>
      <c r="G4265">
        <f>HOUR(Table1[[#This Row],[order_time]])</f>
        <v>14</v>
      </c>
      <c r="H4265" s="2">
        <v>0.61861111111111111</v>
      </c>
      <c r="I4265" t="s">
        <v>16</v>
      </c>
      <c r="J4265" t="s">
        <v>17</v>
      </c>
      <c r="K4265">
        <v>4</v>
      </c>
      <c r="L4265">
        <v>20</v>
      </c>
      <c r="M4265">
        <v>80</v>
      </c>
      <c r="N4265">
        <f>IF(COUNTIFS($B$2:B4265,B4265)=1,1,0)</f>
        <v>0</v>
      </c>
    </row>
    <row r="4266" spans="1:14" x14ac:dyDescent="0.2">
      <c r="A4266">
        <v>4265</v>
      </c>
      <c r="B4266">
        <v>3143</v>
      </c>
      <c r="C4266">
        <f>1/COUNTIF(B:B,Table1[[#This Row],[order_id]])</f>
        <v>0.33333333333333331</v>
      </c>
      <c r="D4266" t="str">
        <f>TEXT(Table1[[#This Row],[order_date]],"mmmm")</f>
        <v>November</v>
      </c>
      <c r="E4266" s="1">
        <v>45619</v>
      </c>
      <c r="F4266" s="1" t="str">
        <f>TEXT(Table1[[#This Row],[order_date]],"dddd")</f>
        <v>Saturday</v>
      </c>
      <c r="G4266">
        <f>HOUR(Table1[[#This Row],[order_time]])</f>
        <v>12</v>
      </c>
      <c r="H4266" s="2">
        <v>0.52832175925925928</v>
      </c>
      <c r="I4266" t="s">
        <v>11</v>
      </c>
      <c r="J4266" t="s">
        <v>12</v>
      </c>
      <c r="K4266">
        <v>5</v>
      </c>
      <c r="L4266">
        <v>650</v>
      </c>
      <c r="M4266">
        <v>3250</v>
      </c>
      <c r="N4266">
        <f>IF(COUNTIFS($B$2:B4266,B4266)=1,1,0)</f>
        <v>0</v>
      </c>
    </row>
    <row r="4267" spans="1:14" x14ac:dyDescent="0.2">
      <c r="A4267">
        <v>4266</v>
      </c>
      <c r="B4267">
        <v>3144</v>
      </c>
      <c r="C4267">
        <f>1/COUNTIF(B:B,Table1[[#This Row],[order_id]])</f>
        <v>1</v>
      </c>
      <c r="D4267" t="str">
        <f>TEXT(Table1[[#This Row],[order_date]],"mmmm")</f>
        <v>November</v>
      </c>
      <c r="E4267" s="1">
        <v>45619</v>
      </c>
      <c r="F4267" s="1" t="str">
        <f>TEXT(Table1[[#This Row],[order_date]],"dddd")</f>
        <v>Saturday</v>
      </c>
      <c r="G4267">
        <f>HOUR(Table1[[#This Row],[order_time]])</f>
        <v>12</v>
      </c>
      <c r="H4267" s="2">
        <v>0.50949074074074074</v>
      </c>
      <c r="I4267" t="s">
        <v>16</v>
      </c>
      <c r="J4267" t="s">
        <v>24</v>
      </c>
      <c r="K4267">
        <v>4</v>
      </c>
      <c r="L4267">
        <v>35</v>
      </c>
      <c r="M4267">
        <v>140</v>
      </c>
      <c r="N4267">
        <f>IF(COUNTIFS($B$2:B4267,B4267)=1,1,0)</f>
        <v>1</v>
      </c>
    </row>
    <row r="4268" spans="1:14" x14ac:dyDescent="0.2">
      <c r="A4268">
        <v>4267</v>
      </c>
      <c r="B4268">
        <v>3145</v>
      </c>
      <c r="C4268">
        <f>1/COUNTIF(B:B,Table1[[#This Row],[order_id]])</f>
        <v>1</v>
      </c>
      <c r="D4268" t="str">
        <f>TEXT(Table1[[#This Row],[order_date]],"mmmm")</f>
        <v>November</v>
      </c>
      <c r="E4268" s="1">
        <v>45619</v>
      </c>
      <c r="F4268" s="1" t="str">
        <f>TEXT(Table1[[#This Row],[order_date]],"dddd")</f>
        <v>Saturday</v>
      </c>
      <c r="G4268">
        <f>HOUR(Table1[[#This Row],[order_time]])</f>
        <v>12</v>
      </c>
      <c r="H4268" s="2">
        <v>0.53611111111111109</v>
      </c>
      <c r="I4268" t="s">
        <v>18</v>
      </c>
      <c r="J4268" t="s">
        <v>19</v>
      </c>
      <c r="K4268">
        <v>5</v>
      </c>
      <c r="L4268">
        <v>50</v>
      </c>
      <c r="M4268">
        <v>250</v>
      </c>
      <c r="N4268">
        <f>IF(COUNTIFS($B$2:B4268,B4268)=1,1,0)</f>
        <v>1</v>
      </c>
    </row>
    <row r="4269" spans="1:14" x14ac:dyDescent="0.2">
      <c r="A4269">
        <v>4268</v>
      </c>
      <c r="B4269">
        <v>3146</v>
      </c>
      <c r="C4269">
        <f>1/COUNTIF(B:B,Table1[[#This Row],[order_id]])</f>
        <v>0.33333333333333331</v>
      </c>
      <c r="D4269" t="str">
        <f>TEXT(Table1[[#This Row],[order_date]],"mmmm")</f>
        <v>November</v>
      </c>
      <c r="E4269" s="1">
        <v>45619</v>
      </c>
      <c r="F4269" s="1" t="str">
        <f>TEXT(Table1[[#This Row],[order_date]],"dddd")</f>
        <v>Saturday</v>
      </c>
      <c r="G4269">
        <f>HOUR(Table1[[#This Row],[order_time]])</f>
        <v>10</v>
      </c>
      <c r="H4269" s="2">
        <v>0.44658564814814816</v>
      </c>
      <c r="I4269" t="s">
        <v>11</v>
      </c>
      <c r="J4269" t="s">
        <v>25</v>
      </c>
      <c r="K4269">
        <v>3</v>
      </c>
      <c r="L4269">
        <v>1000</v>
      </c>
      <c r="M4269">
        <v>3000</v>
      </c>
      <c r="N4269">
        <f>IF(COUNTIFS($B$2:B4269,B4269)=1,1,0)</f>
        <v>1</v>
      </c>
    </row>
    <row r="4270" spans="1:14" x14ac:dyDescent="0.2">
      <c r="A4270">
        <v>4269</v>
      </c>
      <c r="B4270">
        <v>3146</v>
      </c>
      <c r="C4270">
        <f>1/COUNTIF(B:B,Table1[[#This Row],[order_id]])</f>
        <v>0.33333333333333331</v>
      </c>
      <c r="D4270" t="str">
        <f>TEXT(Table1[[#This Row],[order_date]],"mmmm")</f>
        <v>November</v>
      </c>
      <c r="E4270" s="1">
        <v>45619</v>
      </c>
      <c r="F4270" s="1" t="str">
        <f>TEXT(Table1[[#This Row],[order_date]],"dddd")</f>
        <v>Saturday</v>
      </c>
      <c r="G4270">
        <f>HOUR(Table1[[#This Row],[order_time]])</f>
        <v>17</v>
      </c>
      <c r="H4270" s="2">
        <v>0.74135416666666665</v>
      </c>
      <c r="I4270" t="s">
        <v>9</v>
      </c>
      <c r="J4270" t="s">
        <v>20</v>
      </c>
      <c r="K4270">
        <v>1</v>
      </c>
      <c r="L4270">
        <v>25</v>
      </c>
      <c r="M4270">
        <v>25</v>
      </c>
      <c r="N4270">
        <f>IF(COUNTIFS($B$2:B4270,B4270)=1,1,0)</f>
        <v>0</v>
      </c>
    </row>
    <row r="4271" spans="1:14" x14ac:dyDescent="0.2">
      <c r="A4271">
        <v>4270</v>
      </c>
      <c r="B4271">
        <v>3146</v>
      </c>
      <c r="C4271">
        <f>1/COUNTIF(B:B,Table1[[#This Row],[order_id]])</f>
        <v>0.33333333333333331</v>
      </c>
      <c r="D4271" t="str">
        <f>TEXT(Table1[[#This Row],[order_date]],"mmmm")</f>
        <v>November</v>
      </c>
      <c r="E4271" s="1">
        <v>45619</v>
      </c>
      <c r="F4271" s="1" t="str">
        <f>TEXT(Table1[[#This Row],[order_date]],"dddd")</f>
        <v>Saturday</v>
      </c>
      <c r="G4271">
        <f>HOUR(Table1[[#This Row],[order_time]])</f>
        <v>15</v>
      </c>
      <c r="H4271" s="2">
        <v>0.63795138888888892</v>
      </c>
      <c r="I4271" t="s">
        <v>16</v>
      </c>
      <c r="J4271" t="s">
        <v>28</v>
      </c>
      <c r="K4271">
        <v>1</v>
      </c>
      <c r="L4271">
        <v>25</v>
      </c>
      <c r="M4271">
        <v>25</v>
      </c>
      <c r="N4271">
        <f>IF(COUNTIFS($B$2:B4271,B4271)=1,1,0)</f>
        <v>0</v>
      </c>
    </row>
    <row r="4272" spans="1:14" x14ac:dyDescent="0.2">
      <c r="A4272">
        <v>4271</v>
      </c>
      <c r="B4272">
        <v>3147</v>
      </c>
      <c r="C4272">
        <f>1/COUNTIF(B:B,Table1[[#This Row],[order_id]])</f>
        <v>0.5</v>
      </c>
      <c r="D4272" t="str">
        <f>TEXT(Table1[[#This Row],[order_date]],"mmmm")</f>
        <v>November</v>
      </c>
      <c r="E4272" s="1">
        <v>45619</v>
      </c>
      <c r="F4272" s="1" t="str">
        <f>TEXT(Table1[[#This Row],[order_date]],"dddd")</f>
        <v>Saturday</v>
      </c>
      <c r="G4272">
        <f>HOUR(Table1[[#This Row],[order_time]])</f>
        <v>16</v>
      </c>
      <c r="H4272" s="2">
        <v>0.70385416666666667</v>
      </c>
      <c r="I4272" t="s">
        <v>18</v>
      </c>
      <c r="J4272" t="s">
        <v>26</v>
      </c>
      <c r="K4272">
        <v>2</v>
      </c>
      <c r="L4272">
        <v>55</v>
      </c>
      <c r="M4272">
        <v>110</v>
      </c>
      <c r="N4272">
        <f>IF(COUNTIFS($B$2:B4272,B4272)=1,1,0)</f>
        <v>1</v>
      </c>
    </row>
    <row r="4273" spans="1:14" x14ac:dyDescent="0.2">
      <c r="A4273">
        <v>4272</v>
      </c>
      <c r="B4273">
        <v>3147</v>
      </c>
      <c r="C4273">
        <f>1/COUNTIF(B:B,Table1[[#This Row],[order_id]])</f>
        <v>0.5</v>
      </c>
      <c r="D4273" t="str">
        <f>TEXT(Table1[[#This Row],[order_date]],"mmmm")</f>
        <v>November</v>
      </c>
      <c r="E4273" s="1">
        <v>45619</v>
      </c>
      <c r="F4273" s="1" t="str">
        <f>TEXT(Table1[[#This Row],[order_date]],"dddd")</f>
        <v>Saturday</v>
      </c>
      <c r="G4273">
        <f>HOUR(Table1[[#This Row],[order_time]])</f>
        <v>11</v>
      </c>
      <c r="H4273" s="2">
        <v>0.47234953703703703</v>
      </c>
      <c r="I4273" t="s">
        <v>9</v>
      </c>
      <c r="J4273" t="s">
        <v>21</v>
      </c>
      <c r="K4273">
        <v>2</v>
      </c>
      <c r="L4273">
        <v>10</v>
      </c>
      <c r="M4273">
        <v>20</v>
      </c>
      <c r="N4273">
        <f>IF(COUNTIFS($B$2:B4273,B4273)=1,1,0)</f>
        <v>0</v>
      </c>
    </row>
    <row r="4274" spans="1:14" x14ac:dyDescent="0.2">
      <c r="A4274">
        <v>4273</v>
      </c>
      <c r="B4274">
        <v>3148</v>
      </c>
      <c r="C4274">
        <f>1/COUNTIF(B:B,Table1[[#This Row],[order_id]])</f>
        <v>0.5</v>
      </c>
      <c r="D4274" t="str">
        <f>TEXT(Table1[[#This Row],[order_date]],"mmmm")</f>
        <v>November</v>
      </c>
      <c r="E4274" s="1">
        <v>45619</v>
      </c>
      <c r="F4274" s="1" t="str">
        <f>TEXT(Table1[[#This Row],[order_date]],"dddd")</f>
        <v>Saturday</v>
      </c>
      <c r="G4274">
        <f>HOUR(Table1[[#This Row],[order_time]])</f>
        <v>12</v>
      </c>
      <c r="H4274" s="2">
        <v>0.50452546296296297</v>
      </c>
      <c r="I4274" t="s">
        <v>11</v>
      </c>
      <c r="J4274" t="s">
        <v>25</v>
      </c>
      <c r="K4274">
        <v>3</v>
      </c>
      <c r="L4274">
        <v>1000</v>
      </c>
      <c r="M4274">
        <v>3000</v>
      </c>
      <c r="N4274">
        <f>IF(COUNTIFS($B$2:B4274,B4274)=1,1,0)</f>
        <v>1</v>
      </c>
    </row>
    <row r="4275" spans="1:14" x14ac:dyDescent="0.2">
      <c r="A4275">
        <v>4274</v>
      </c>
      <c r="B4275">
        <v>3148</v>
      </c>
      <c r="C4275">
        <f>1/COUNTIF(B:B,Table1[[#This Row],[order_id]])</f>
        <v>0.5</v>
      </c>
      <c r="D4275" t="str">
        <f>TEXT(Table1[[#This Row],[order_date]],"mmmm")</f>
        <v>November</v>
      </c>
      <c r="E4275" s="1">
        <v>45619</v>
      </c>
      <c r="F4275" s="1" t="str">
        <f>TEXT(Table1[[#This Row],[order_date]],"dddd")</f>
        <v>Saturday</v>
      </c>
      <c r="G4275">
        <f>HOUR(Table1[[#This Row],[order_time]])</f>
        <v>11</v>
      </c>
      <c r="H4275" s="2">
        <v>0.49780092592592595</v>
      </c>
      <c r="I4275" t="s">
        <v>18</v>
      </c>
      <c r="J4275" t="s">
        <v>27</v>
      </c>
      <c r="K4275">
        <v>5</v>
      </c>
      <c r="L4275">
        <v>40</v>
      </c>
      <c r="M4275">
        <v>200</v>
      </c>
      <c r="N4275">
        <f>IF(COUNTIFS($B$2:B4275,B4275)=1,1,0)</f>
        <v>0</v>
      </c>
    </row>
    <row r="4276" spans="1:14" x14ac:dyDescent="0.2">
      <c r="A4276">
        <v>4275</v>
      </c>
      <c r="B4276">
        <v>3149</v>
      </c>
      <c r="C4276">
        <f>1/COUNTIF(B:B,Table1[[#This Row],[order_id]])</f>
        <v>0.5</v>
      </c>
      <c r="D4276" t="str">
        <f>TEXT(Table1[[#This Row],[order_date]],"mmmm")</f>
        <v>November</v>
      </c>
      <c r="E4276" s="1">
        <v>45620</v>
      </c>
      <c r="F4276" s="1" t="str">
        <f>TEXT(Table1[[#This Row],[order_date]],"dddd")</f>
        <v>Sunday</v>
      </c>
      <c r="G4276">
        <f>HOUR(Table1[[#This Row],[order_time]])</f>
        <v>19</v>
      </c>
      <c r="H4276" s="2">
        <v>0.79556712962962961</v>
      </c>
      <c r="I4276" t="s">
        <v>11</v>
      </c>
      <c r="J4276" t="s">
        <v>13</v>
      </c>
      <c r="K4276">
        <v>4</v>
      </c>
      <c r="L4276">
        <v>680</v>
      </c>
      <c r="M4276">
        <v>2720</v>
      </c>
      <c r="N4276">
        <f>IF(COUNTIFS($B$2:B4276,B4276)=1,1,0)</f>
        <v>1</v>
      </c>
    </row>
    <row r="4277" spans="1:14" x14ac:dyDescent="0.2">
      <c r="A4277">
        <v>4276</v>
      </c>
      <c r="B4277">
        <v>3149</v>
      </c>
      <c r="C4277">
        <f>1/COUNTIF(B:B,Table1[[#This Row],[order_id]])</f>
        <v>0.5</v>
      </c>
      <c r="D4277" t="str">
        <f>TEXT(Table1[[#This Row],[order_date]],"mmmm")</f>
        <v>November</v>
      </c>
      <c r="E4277" s="1">
        <v>45620</v>
      </c>
      <c r="F4277" s="1" t="str">
        <f>TEXT(Table1[[#This Row],[order_date]],"dddd")</f>
        <v>Sunday</v>
      </c>
      <c r="G4277">
        <f>HOUR(Table1[[#This Row],[order_time]])</f>
        <v>11</v>
      </c>
      <c r="H4277" s="2">
        <v>0.4698148148148148</v>
      </c>
      <c r="I4277" t="s">
        <v>18</v>
      </c>
      <c r="J4277" t="s">
        <v>26</v>
      </c>
      <c r="K4277">
        <v>1</v>
      </c>
      <c r="L4277">
        <v>55</v>
      </c>
      <c r="M4277">
        <v>55</v>
      </c>
      <c r="N4277">
        <f>IF(COUNTIFS($B$2:B4277,B4277)=1,1,0)</f>
        <v>0</v>
      </c>
    </row>
    <row r="4278" spans="1:14" x14ac:dyDescent="0.2">
      <c r="A4278">
        <v>4277</v>
      </c>
      <c r="B4278">
        <v>3150</v>
      </c>
      <c r="C4278">
        <f>1/COUNTIF(B:B,Table1[[#This Row],[order_id]])</f>
        <v>0.5</v>
      </c>
      <c r="D4278" t="str">
        <f>TEXT(Table1[[#This Row],[order_date]],"mmmm")</f>
        <v>November</v>
      </c>
      <c r="E4278" s="1">
        <v>45620</v>
      </c>
      <c r="F4278" s="1" t="str">
        <f>TEXT(Table1[[#This Row],[order_date]],"dddd")</f>
        <v>Sunday</v>
      </c>
      <c r="G4278">
        <f>HOUR(Table1[[#This Row],[order_time]])</f>
        <v>10</v>
      </c>
      <c r="H4278" s="2">
        <v>0.45811342592592591</v>
      </c>
      <c r="I4278" t="s">
        <v>11</v>
      </c>
      <c r="J4278" t="s">
        <v>15</v>
      </c>
      <c r="K4278">
        <v>4</v>
      </c>
      <c r="L4278">
        <v>600</v>
      </c>
      <c r="M4278">
        <v>2400</v>
      </c>
      <c r="N4278">
        <f>IF(COUNTIFS($B$2:B4278,B4278)=1,1,0)</f>
        <v>1</v>
      </c>
    </row>
    <row r="4279" spans="1:14" x14ac:dyDescent="0.2">
      <c r="A4279">
        <v>4278</v>
      </c>
      <c r="B4279">
        <v>3150</v>
      </c>
      <c r="C4279">
        <f>1/COUNTIF(B:B,Table1[[#This Row],[order_id]])</f>
        <v>0.5</v>
      </c>
      <c r="D4279" t="str">
        <f>TEXT(Table1[[#This Row],[order_date]],"mmmm")</f>
        <v>November</v>
      </c>
      <c r="E4279" s="1">
        <v>45620</v>
      </c>
      <c r="F4279" s="1" t="str">
        <f>TEXT(Table1[[#This Row],[order_date]],"dddd")</f>
        <v>Sunday</v>
      </c>
      <c r="G4279">
        <f>HOUR(Table1[[#This Row],[order_time]])</f>
        <v>12</v>
      </c>
      <c r="H4279" s="2">
        <v>0.53792824074074075</v>
      </c>
      <c r="I4279" t="s">
        <v>11</v>
      </c>
      <c r="J4279" t="s">
        <v>14</v>
      </c>
      <c r="K4279">
        <v>3</v>
      </c>
      <c r="L4279">
        <v>700</v>
      </c>
      <c r="M4279">
        <v>2100</v>
      </c>
      <c r="N4279">
        <f>IF(COUNTIFS($B$2:B4279,B4279)=1,1,0)</f>
        <v>0</v>
      </c>
    </row>
    <row r="4280" spans="1:14" x14ac:dyDescent="0.2">
      <c r="A4280">
        <v>4279</v>
      </c>
      <c r="B4280">
        <v>3151</v>
      </c>
      <c r="C4280">
        <f>1/COUNTIF(B:B,Table1[[#This Row],[order_id]])</f>
        <v>0.5</v>
      </c>
      <c r="D4280" t="str">
        <f>TEXT(Table1[[#This Row],[order_date]],"mmmm")</f>
        <v>November</v>
      </c>
      <c r="E4280" s="1">
        <v>45620</v>
      </c>
      <c r="F4280" s="1" t="str">
        <f>TEXT(Table1[[#This Row],[order_date]],"dddd")</f>
        <v>Sunday</v>
      </c>
      <c r="G4280">
        <f>HOUR(Table1[[#This Row],[order_time]])</f>
        <v>9</v>
      </c>
      <c r="H4280" s="2">
        <v>0.39703703703703702</v>
      </c>
      <c r="I4280" t="s">
        <v>9</v>
      </c>
      <c r="J4280" t="s">
        <v>21</v>
      </c>
      <c r="K4280">
        <v>5</v>
      </c>
      <c r="L4280">
        <v>10</v>
      </c>
      <c r="M4280">
        <v>50</v>
      </c>
      <c r="N4280">
        <f>IF(COUNTIFS($B$2:B4280,B4280)=1,1,0)</f>
        <v>1</v>
      </c>
    </row>
    <row r="4281" spans="1:14" x14ac:dyDescent="0.2">
      <c r="A4281">
        <v>4280</v>
      </c>
      <c r="B4281">
        <v>3151</v>
      </c>
      <c r="C4281">
        <f>1/COUNTIF(B:B,Table1[[#This Row],[order_id]])</f>
        <v>0.5</v>
      </c>
      <c r="D4281" t="str">
        <f>TEXT(Table1[[#This Row],[order_date]],"mmmm")</f>
        <v>November</v>
      </c>
      <c r="E4281" s="1">
        <v>45620</v>
      </c>
      <c r="F4281" s="1" t="str">
        <f>TEXT(Table1[[#This Row],[order_date]],"dddd")</f>
        <v>Sunday</v>
      </c>
      <c r="G4281">
        <f>HOUR(Table1[[#This Row],[order_time]])</f>
        <v>11</v>
      </c>
      <c r="H4281" s="2">
        <v>0.46893518518518518</v>
      </c>
      <c r="I4281" t="s">
        <v>18</v>
      </c>
      <c r="J4281" t="s">
        <v>26</v>
      </c>
      <c r="K4281">
        <v>3</v>
      </c>
      <c r="L4281">
        <v>55</v>
      </c>
      <c r="M4281">
        <v>165</v>
      </c>
      <c r="N4281">
        <f>IF(COUNTIFS($B$2:B4281,B4281)=1,1,0)</f>
        <v>0</v>
      </c>
    </row>
    <row r="4282" spans="1:14" x14ac:dyDescent="0.2">
      <c r="A4282">
        <v>4281</v>
      </c>
      <c r="B4282">
        <v>3152</v>
      </c>
      <c r="C4282">
        <f>1/COUNTIF(B:B,Table1[[#This Row],[order_id]])</f>
        <v>0.33333333333333331</v>
      </c>
      <c r="D4282" t="str">
        <f>TEXT(Table1[[#This Row],[order_date]],"mmmm")</f>
        <v>November</v>
      </c>
      <c r="E4282" s="1">
        <v>45620</v>
      </c>
      <c r="F4282" s="1" t="str">
        <f>TEXT(Table1[[#This Row],[order_date]],"dddd")</f>
        <v>Sunday</v>
      </c>
      <c r="G4282">
        <f>HOUR(Table1[[#This Row],[order_time]])</f>
        <v>15</v>
      </c>
      <c r="H4282" s="2">
        <v>0.65113425925925927</v>
      </c>
      <c r="I4282" t="s">
        <v>18</v>
      </c>
      <c r="J4282" t="s">
        <v>27</v>
      </c>
      <c r="K4282">
        <v>2</v>
      </c>
      <c r="L4282">
        <v>40</v>
      </c>
      <c r="M4282">
        <v>80</v>
      </c>
      <c r="N4282">
        <f>IF(COUNTIFS($B$2:B4282,B4282)=1,1,0)</f>
        <v>1</v>
      </c>
    </row>
    <row r="4283" spans="1:14" x14ac:dyDescent="0.2">
      <c r="A4283">
        <v>4282</v>
      </c>
      <c r="B4283">
        <v>3152</v>
      </c>
      <c r="C4283">
        <f>1/COUNTIF(B:B,Table1[[#This Row],[order_id]])</f>
        <v>0.33333333333333331</v>
      </c>
      <c r="D4283" t="str">
        <f>TEXT(Table1[[#This Row],[order_date]],"mmmm")</f>
        <v>November</v>
      </c>
      <c r="E4283" s="1">
        <v>45620</v>
      </c>
      <c r="F4283" s="1" t="str">
        <f>TEXT(Table1[[#This Row],[order_date]],"dddd")</f>
        <v>Sunday</v>
      </c>
      <c r="G4283">
        <f>HOUR(Table1[[#This Row],[order_time]])</f>
        <v>19</v>
      </c>
      <c r="H4283" s="2">
        <v>0.82855324074074077</v>
      </c>
      <c r="I4283" t="s">
        <v>11</v>
      </c>
      <c r="J4283" t="s">
        <v>15</v>
      </c>
      <c r="K4283">
        <v>5</v>
      </c>
      <c r="L4283">
        <v>600</v>
      </c>
      <c r="M4283">
        <v>3000</v>
      </c>
      <c r="N4283">
        <f>IF(COUNTIFS($B$2:B4283,B4283)=1,1,0)</f>
        <v>0</v>
      </c>
    </row>
    <row r="4284" spans="1:14" x14ac:dyDescent="0.2">
      <c r="A4284">
        <v>4283</v>
      </c>
      <c r="B4284">
        <v>3152</v>
      </c>
      <c r="C4284">
        <f>1/COUNTIF(B:B,Table1[[#This Row],[order_id]])</f>
        <v>0.33333333333333331</v>
      </c>
      <c r="D4284" t="str">
        <f>TEXT(Table1[[#This Row],[order_date]],"mmmm")</f>
        <v>November</v>
      </c>
      <c r="E4284" s="1">
        <v>45620</v>
      </c>
      <c r="F4284" s="1" t="str">
        <f>TEXT(Table1[[#This Row],[order_date]],"dddd")</f>
        <v>Sunday</v>
      </c>
      <c r="G4284">
        <f>HOUR(Table1[[#This Row],[order_time]])</f>
        <v>14</v>
      </c>
      <c r="H4284" s="2">
        <v>0.60648148148148151</v>
      </c>
      <c r="I4284" t="s">
        <v>18</v>
      </c>
      <c r="J4284" t="s">
        <v>19</v>
      </c>
      <c r="K4284">
        <v>1</v>
      </c>
      <c r="L4284">
        <v>50</v>
      </c>
      <c r="M4284">
        <v>50</v>
      </c>
      <c r="N4284">
        <f>IF(COUNTIFS($B$2:B4284,B4284)=1,1,0)</f>
        <v>0</v>
      </c>
    </row>
    <row r="4285" spans="1:14" x14ac:dyDescent="0.2">
      <c r="A4285">
        <v>4284</v>
      </c>
      <c r="B4285">
        <v>3153</v>
      </c>
      <c r="C4285">
        <f>1/COUNTIF(B:B,Table1[[#This Row],[order_id]])</f>
        <v>0.5</v>
      </c>
      <c r="D4285" t="str">
        <f>TEXT(Table1[[#This Row],[order_date]],"mmmm")</f>
        <v>November</v>
      </c>
      <c r="E4285" s="1">
        <v>45621</v>
      </c>
      <c r="F4285" s="1" t="str">
        <f>TEXT(Table1[[#This Row],[order_date]],"dddd")</f>
        <v>Monday</v>
      </c>
      <c r="G4285">
        <f>HOUR(Table1[[#This Row],[order_time]])</f>
        <v>17</v>
      </c>
      <c r="H4285" s="2">
        <v>0.71060185185185187</v>
      </c>
      <c r="I4285" t="s">
        <v>11</v>
      </c>
      <c r="J4285" t="s">
        <v>25</v>
      </c>
      <c r="K4285">
        <v>3</v>
      </c>
      <c r="L4285">
        <v>1000</v>
      </c>
      <c r="M4285">
        <v>3000</v>
      </c>
      <c r="N4285">
        <f>IF(COUNTIFS($B$2:B4285,B4285)=1,1,0)</f>
        <v>1</v>
      </c>
    </row>
    <row r="4286" spans="1:14" x14ac:dyDescent="0.2">
      <c r="A4286">
        <v>4285</v>
      </c>
      <c r="B4286">
        <v>3153</v>
      </c>
      <c r="C4286">
        <f>1/COUNTIF(B:B,Table1[[#This Row],[order_id]])</f>
        <v>0.5</v>
      </c>
      <c r="D4286" t="str">
        <f>TEXT(Table1[[#This Row],[order_date]],"mmmm")</f>
        <v>November</v>
      </c>
      <c r="E4286" s="1">
        <v>45621</v>
      </c>
      <c r="F4286" s="1" t="str">
        <f>TEXT(Table1[[#This Row],[order_date]],"dddd")</f>
        <v>Monday</v>
      </c>
      <c r="G4286">
        <f>HOUR(Table1[[#This Row],[order_time]])</f>
        <v>19</v>
      </c>
      <c r="H4286" s="2">
        <v>0.80427083333333338</v>
      </c>
      <c r="I4286" t="s">
        <v>18</v>
      </c>
      <c r="J4286" t="s">
        <v>27</v>
      </c>
      <c r="K4286">
        <v>4</v>
      </c>
      <c r="L4286">
        <v>40</v>
      </c>
      <c r="M4286">
        <v>160</v>
      </c>
      <c r="N4286">
        <f>IF(COUNTIFS($B$2:B4286,B4286)=1,1,0)</f>
        <v>0</v>
      </c>
    </row>
    <row r="4287" spans="1:14" x14ac:dyDescent="0.2">
      <c r="A4287">
        <v>4286</v>
      </c>
      <c r="B4287">
        <v>3154</v>
      </c>
      <c r="C4287">
        <f>1/COUNTIF(B:B,Table1[[#This Row],[order_id]])</f>
        <v>1</v>
      </c>
      <c r="D4287" t="str">
        <f>TEXT(Table1[[#This Row],[order_date]],"mmmm")</f>
        <v>November</v>
      </c>
      <c r="E4287" s="1">
        <v>45621</v>
      </c>
      <c r="F4287" s="1" t="str">
        <f>TEXT(Table1[[#This Row],[order_date]],"dddd")</f>
        <v>Monday</v>
      </c>
      <c r="G4287">
        <f>HOUR(Table1[[#This Row],[order_time]])</f>
        <v>12</v>
      </c>
      <c r="H4287" s="2">
        <v>0.52500000000000002</v>
      </c>
      <c r="I4287" t="s">
        <v>18</v>
      </c>
      <c r="J4287" t="s">
        <v>27</v>
      </c>
      <c r="K4287">
        <v>5</v>
      </c>
      <c r="L4287">
        <v>40</v>
      </c>
      <c r="M4287">
        <v>200</v>
      </c>
      <c r="N4287">
        <f>IF(COUNTIFS($B$2:B4287,B4287)=1,1,0)</f>
        <v>1</v>
      </c>
    </row>
    <row r="4288" spans="1:14" x14ac:dyDescent="0.2">
      <c r="A4288">
        <v>4287</v>
      </c>
      <c r="B4288">
        <v>3155</v>
      </c>
      <c r="C4288">
        <f>1/COUNTIF(B:B,Table1[[#This Row],[order_id]])</f>
        <v>0.33333333333333331</v>
      </c>
      <c r="D4288" t="str">
        <f>TEXT(Table1[[#This Row],[order_date]],"mmmm")</f>
        <v>November</v>
      </c>
      <c r="E4288" s="1">
        <v>45621</v>
      </c>
      <c r="F4288" s="1" t="str">
        <f>TEXT(Table1[[#This Row],[order_date]],"dddd")</f>
        <v>Monday</v>
      </c>
      <c r="G4288">
        <f>HOUR(Table1[[#This Row],[order_time]])</f>
        <v>11</v>
      </c>
      <c r="H4288" s="2">
        <v>0.45902777777777776</v>
      </c>
      <c r="I4288" t="s">
        <v>9</v>
      </c>
      <c r="J4288" t="s">
        <v>10</v>
      </c>
      <c r="K4288">
        <v>4</v>
      </c>
      <c r="L4288">
        <v>20</v>
      </c>
      <c r="M4288">
        <v>80</v>
      </c>
      <c r="N4288">
        <f>IF(COUNTIFS($B$2:B4288,B4288)=1,1,0)</f>
        <v>1</v>
      </c>
    </row>
    <row r="4289" spans="1:14" x14ac:dyDescent="0.2">
      <c r="A4289">
        <v>4288</v>
      </c>
      <c r="B4289">
        <v>3155</v>
      </c>
      <c r="C4289">
        <f>1/COUNTIF(B:B,Table1[[#This Row],[order_id]])</f>
        <v>0.33333333333333331</v>
      </c>
      <c r="D4289" t="str">
        <f>TEXT(Table1[[#This Row],[order_date]],"mmmm")</f>
        <v>November</v>
      </c>
      <c r="E4289" s="1">
        <v>45621</v>
      </c>
      <c r="F4289" s="1" t="str">
        <f>TEXT(Table1[[#This Row],[order_date]],"dddd")</f>
        <v>Monday</v>
      </c>
      <c r="G4289">
        <f>HOUR(Table1[[#This Row],[order_time]])</f>
        <v>11</v>
      </c>
      <c r="H4289" s="2">
        <v>0.47464120370370372</v>
      </c>
      <c r="I4289" t="s">
        <v>9</v>
      </c>
      <c r="J4289" t="s">
        <v>21</v>
      </c>
      <c r="K4289">
        <v>1</v>
      </c>
      <c r="L4289">
        <v>10</v>
      </c>
      <c r="M4289">
        <v>10</v>
      </c>
      <c r="N4289">
        <f>IF(COUNTIFS($B$2:B4289,B4289)=1,1,0)</f>
        <v>0</v>
      </c>
    </row>
    <row r="4290" spans="1:14" x14ac:dyDescent="0.2">
      <c r="A4290">
        <v>4289</v>
      </c>
      <c r="B4290">
        <v>3155</v>
      </c>
      <c r="C4290">
        <f>1/COUNTIF(B:B,Table1[[#This Row],[order_id]])</f>
        <v>0.33333333333333331</v>
      </c>
      <c r="D4290" t="str">
        <f>TEXT(Table1[[#This Row],[order_date]],"mmmm")</f>
        <v>November</v>
      </c>
      <c r="E4290" s="1">
        <v>45621</v>
      </c>
      <c r="F4290" s="1" t="str">
        <f>TEXT(Table1[[#This Row],[order_date]],"dddd")</f>
        <v>Monday</v>
      </c>
      <c r="G4290">
        <f>HOUR(Table1[[#This Row],[order_time]])</f>
        <v>11</v>
      </c>
      <c r="H4290" s="2">
        <v>0.4632175925925926</v>
      </c>
      <c r="I4290" t="s">
        <v>18</v>
      </c>
      <c r="J4290" t="s">
        <v>27</v>
      </c>
      <c r="K4290">
        <v>5</v>
      </c>
      <c r="L4290">
        <v>40</v>
      </c>
      <c r="M4290">
        <v>200</v>
      </c>
      <c r="N4290">
        <f>IF(COUNTIFS($B$2:B4290,B4290)=1,1,0)</f>
        <v>0</v>
      </c>
    </row>
    <row r="4291" spans="1:14" x14ac:dyDescent="0.2">
      <c r="A4291">
        <v>4290</v>
      </c>
      <c r="B4291">
        <v>3156</v>
      </c>
      <c r="C4291">
        <f>1/COUNTIF(B:B,Table1[[#This Row],[order_id]])</f>
        <v>0.5</v>
      </c>
      <c r="D4291" t="str">
        <f>TEXT(Table1[[#This Row],[order_date]],"mmmm")</f>
        <v>November</v>
      </c>
      <c r="E4291" s="1">
        <v>45621</v>
      </c>
      <c r="F4291" s="1" t="str">
        <f>TEXT(Table1[[#This Row],[order_date]],"dddd")</f>
        <v>Monday</v>
      </c>
      <c r="G4291">
        <f>HOUR(Table1[[#This Row],[order_time]])</f>
        <v>12</v>
      </c>
      <c r="H4291" s="2">
        <v>0.52288194444444447</v>
      </c>
      <c r="I4291" t="s">
        <v>16</v>
      </c>
      <c r="J4291" t="s">
        <v>24</v>
      </c>
      <c r="K4291">
        <v>2</v>
      </c>
      <c r="L4291">
        <v>35</v>
      </c>
      <c r="M4291">
        <v>70</v>
      </c>
      <c r="N4291">
        <f>IF(COUNTIFS($B$2:B4291,B4291)=1,1,0)</f>
        <v>1</v>
      </c>
    </row>
    <row r="4292" spans="1:14" x14ac:dyDescent="0.2">
      <c r="A4292">
        <v>4291</v>
      </c>
      <c r="B4292">
        <v>3156</v>
      </c>
      <c r="C4292">
        <f>1/COUNTIF(B:B,Table1[[#This Row],[order_id]])</f>
        <v>0.5</v>
      </c>
      <c r="D4292" t="str">
        <f>TEXT(Table1[[#This Row],[order_date]],"mmmm")</f>
        <v>November</v>
      </c>
      <c r="E4292" s="1">
        <v>45621</v>
      </c>
      <c r="F4292" s="1" t="str">
        <f>TEXT(Table1[[#This Row],[order_date]],"dddd")</f>
        <v>Monday</v>
      </c>
      <c r="G4292">
        <f>HOUR(Table1[[#This Row],[order_time]])</f>
        <v>14</v>
      </c>
      <c r="H4292" s="2">
        <v>0.58914351851851854</v>
      </c>
      <c r="I4292" t="s">
        <v>9</v>
      </c>
      <c r="J4292" t="s">
        <v>20</v>
      </c>
      <c r="K4292">
        <v>4</v>
      </c>
      <c r="L4292">
        <v>25</v>
      </c>
      <c r="M4292">
        <v>100</v>
      </c>
      <c r="N4292">
        <f>IF(COUNTIFS($B$2:B4292,B4292)=1,1,0)</f>
        <v>0</v>
      </c>
    </row>
    <row r="4293" spans="1:14" x14ac:dyDescent="0.2">
      <c r="A4293">
        <v>4292</v>
      </c>
      <c r="B4293">
        <v>3157</v>
      </c>
      <c r="C4293">
        <f>1/COUNTIF(B:B,Table1[[#This Row],[order_id]])</f>
        <v>0.5</v>
      </c>
      <c r="D4293" t="str">
        <f>TEXT(Table1[[#This Row],[order_date]],"mmmm")</f>
        <v>November</v>
      </c>
      <c r="E4293" s="1">
        <v>45621</v>
      </c>
      <c r="F4293" s="1" t="str">
        <f>TEXT(Table1[[#This Row],[order_date]],"dddd")</f>
        <v>Monday</v>
      </c>
      <c r="G4293">
        <f>HOUR(Table1[[#This Row],[order_time]])</f>
        <v>20</v>
      </c>
      <c r="H4293" s="2">
        <v>0.87040509259259258</v>
      </c>
      <c r="I4293" t="s">
        <v>16</v>
      </c>
      <c r="J4293" t="s">
        <v>23</v>
      </c>
      <c r="K4293">
        <v>3</v>
      </c>
      <c r="L4293">
        <v>30</v>
      </c>
      <c r="M4293">
        <v>90</v>
      </c>
      <c r="N4293">
        <f>IF(COUNTIFS($B$2:B4293,B4293)=1,1,0)</f>
        <v>1</v>
      </c>
    </row>
    <row r="4294" spans="1:14" x14ac:dyDescent="0.2">
      <c r="A4294">
        <v>4293</v>
      </c>
      <c r="B4294">
        <v>3157</v>
      </c>
      <c r="C4294">
        <f>1/COUNTIF(B:B,Table1[[#This Row],[order_id]])</f>
        <v>0.5</v>
      </c>
      <c r="D4294" t="str">
        <f>TEXT(Table1[[#This Row],[order_date]],"mmmm")</f>
        <v>November</v>
      </c>
      <c r="E4294" s="1">
        <v>45621</v>
      </c>
      <c r="F4294" s="1" t="str">
        <f>TEXT(Table1[[#This Row],[order_date]],"dddd")</f>
        <v>Monday</v>
      </c>
      <c r="G4294">
        <f>HOUR(Table1[[#This Row],[order_time]])</f>
        <v>14</v>
      </c>
      <c r="H4294" s="2">
        <v>0.59401620370370367</v>
      </c>
      <c r="I4294" t="s">
        <v>18</v>
      </c>
      <c r="J4294" t="s">
        <v>30</v>
      </c>
      <c r="K4294">
        <v>2</v>
      </c>
      <c r="L4294">
        <v>60</v>
      </c>
      <c r="M4294">
        <v>120</v>
      </c>
      <c r="N4294">
        <f>IF(COUNTIFS($B$2:B4294,B4294)=1,1,0)</f>
        <v>0</v>
      </c>
    </row>
    <row r="4295" spans="1:14" x14ac:dyDescent="0.2">
      <c r="A4295">
        <v>4294</v>
      </c>
      <c r="B4295">
        <v>3158</v>
      </c>
      <c r="C4295">
        <f>1/COUNTIF(B:B,Table1[[#This Row],[order_id]])</f>
        <v>0.5</v>
      </c>
      <c r="D4295" t="str">
        <f>TEXT(Table1[[#This Row],[order_date]],"mmmm")</f>
        <v>November</v>
      </c>
      <c r="E4295" s="1">
        <v>45621</v>
      </c>
      <c r="F4295" s="1" t="str">
        <f>TEXT(Table1[[#This Row],[order_date]],"dddd")</f>
        <v>Monday</v>
      </c>
      <c r="G4295">
        <f>HOUR(Table1[[#This Row],[order_time]])</f>
        <v>15</v>
      </c>
      <c r="H4295" s="2">
        <v>0.64589120370370368</v>
      </c>
      <c r="I4295" t="s">
        <v>11</v>
      </c>
      <c r="J4295" t="s">
        <v>15</v>
      </c>
      <c r="K4295">
        <v>2</v>
      </c>
      <c r="L4295">
        <v>600</v>
      </c>
      <c r="M4295">
        <v>1200</v>
      </c>
      <c r="N4295">
        <f>IF(COUNTIFS($B$2:B4295,B4295)=1,1,0)</f>
        <v>1</v>
      </c>
    </row>
    <row r="4296" spans="1:14" x14ac:dyDescent="0.2">
      <c r="A4296">
        <v>4295</v>
      </c>
      <c r="B4296">
        <v>3158</v>
      </c>
      <c r="C4296">
        <f>1/COUNTIF(B:B,Table1[[#This Row],[order_id]])</f>
        <v>0.5</v>
      </c>
      <c r="D4296" t="str">
        <f>TEXT(Table1[[#This Row],[order_date]],"mmmm")</f>
        <v>November</v>
      </c>
      <c r="E4296" s="1">
        <v>45621</v>
      </c>
      <c r="F4296" s="1" t="str">
        <f>TEXT(Table1[[#This Row],[order_date]],"dddd")</f>
        <v>Monday</v>
      </c>
      <c r="G4296">
        <f>HOUR(Table1[[#This Row],[order_time]])</f>
        <v>20</v>
      </c>
      <c r="H4296" s="2">
        <v>0.8474652777777778</v>
      </c>
      <c r="I4296" t="s">
        <v>11</v>
      </c>
      <c r="J4296" t="s">
        <v>12</v>
      </c>
      <c r="K4296">
        <v>3</v>
      </c>
      <c r="L4296">
        <v>650</v>
      </c>
      <c r="M4296">
        <v>1950</v>
      </c>
      <c r="N4296">
        <f>IF(COUNTIFS($B$2:B4296,B4296)=1,1,0)</f>
        <v>0</v>
      </c>
    </row>
    <row r="4297" spans="1:14" x14ac:dyDescent="0.2">
      <c r="A4297">
        <v>4296</v>
      </c>
      <c r="B4297">
        <v>3159</v>
      </c>
      <c r="C4297">
        <f>1/COUNTIF(B:B,Table1[[#This Row],[order_id]])</f>
        <v>0.33333333333333331</v>
      </c>
      <c r="D4297" t="str">
        <f>TEXT(Table1[[#This Row],[order_date]],"mmmm")</f>
        <v>November</v>
      </c>
      <c r="E4297" s="1">
        <v>45622</v>
      </c>
      <c r="F4297" s="1" t="str">
        <f>TEXT(Table1[[#This Row],[order_date]],"dddd")</f>
        <v>Tuesday</v>
      </c>
      <c r="G4297">
        <f>HOUR(Table1[[#This Row],[order_time]])</f>
        <v>13</v>
      </c>
      <c r="H4297" s="2">
        <v>0.5671180555555555</v>
      </c>
      <c r="I4297" t="s">
        <v>11</v>
      </c>
      <c r="J4297" t="s">
        <v>15</v>
      </c>
      <c r="K4297">
        <v>3</v>
      </c>
      <c r="L4297">
        <v>600</v>
      </c>
      <c r="M4297">
        <v>1800</v>
      </c>
      <c r="N4297">
        <f>IF(COUNTIFS($B$2:B4297,B4297)=1,1,0)</f>
        <v>1</v>
      </c>
    </row>
    <row r="4298" spans="1:14" x14ac:dyDescent="0.2">
      <c r="A4298">
        <v>4297</v>
      </c>
      <c r="B4298">
        <v>3159</v>
      </c>
      <c r="C4298">
        <f>1/COUNTIF(B:B,Table1[[#This Row],[order_id]])</f>
        <v>0.33333333333333331</v>
      </c>
      <c r="D4298" t="str">
        <f>TEXT(Table1[[#This Row],[order_date]],"mmmm")</f>
        <v>November</v>
      </c>
      <c r="E4298" s="1">
        <v>45622</v>
      </c>
      <c r="F4298" s="1" t="str">
        <f>TEXT(Table1[[#This Row],[order_date]],"dddd")</f>
        <v>Tuesday</v>
      </c>
      <c r="G4298">
        <f>HOUR(Table1[[#This Row],[order_time]])</f>
        <v>10</v>
      </c>
      <c r="H4298" s="2">
        <v>0.41854166666666665</v>
      </c>
      <c r="I4298" t="s">
        <v>18</v>
      </c>
      <c r="J4298" t="s">
        <v>27</v>
      </c>
      <c r="K4298">
        <v>1</v>
      </c>
      <c r="L4298">
        <v>40</v>
      </c>
      <c r="M4298">
        <v>40</v>
      </c>
      <c r="N4298">
        <f>IF(COUNTIFS($B$2:B4298,B4298)=1,1,0)</f>
        <v>0</v>
      </c>
    </row>
    <row r="4299" spans="1:14" x14ac:dyDescent="0.2">
      <c r="A4299">
        <v>4298</v>
      </c>
      <c r="B4299">
        <v>3159</v>
      </c>
      <c r="C4299">
        <f>1/COUNTIF(B:B,Table1[[#This Row],[order_id]])</f>
        <v>0.33333333333333331</v>
      </c>
      <c r="D4299" t="str">
        <f>TEXT(Table1[[#This Row],[order_date]],"mmmm")</f>
        <v>November</v>
      </c>
      <c r="E4299" s="1">
        <v>45622</v>
      </c>
      <c r="F4299" s="1" t="str">
        <f>TEXT(Table1[[#This Row],[order_date]],"dddd")</f>
        <v>Tuesday</v>
      </c>
      <c r="G4299">
        <f>HOUR(Table1[[#This Row],[order_time]])</f>
        <v>9</v>
      </c>
      <c r="H4299" s="2">
        <v>0.39824074074074073</v>
      </c>
      <c r="I4299" t="s">
        <v>18</v>
      </c>
      <c r="J4299" t="s">
        <v>27</v>
      </c>
      <c r="K4299">
        <v>5</v>
      </c>
      <c r="L4299">
        <v>40</v>
      </c>
      <c r="M4299">
        <v>200</v>
      </c>
      <c r="N4299">
        <f>IF(COUNTIFS($B$2:B4299,B4299)=1,1,0)</f>
        <v>0</v>
      </c>
    </row>
    <row r="4300" spans="1:14" x14ac:dyDescent="0.2">
      <c r="A4300">
        <v>4299</v>
      </c>
      <c r="B4300">
        <v>3160</v>
      </c>
      <c r="C4300">
        <f>1/COUNTIF(B:B,Table1[[#This Row],[order_id]])</f>
        <v>0.33333333333333331</v>
      </c>
      <c r="D4300" t="str">
        <f>TEXT(Table1[[#This Row],[order_date]],"mmmm")</f>
        <v>November</v>
      </c>
      <c r="E4300" s="1">
        <v>45622</v>
      </c>
      <c r="F4300" s="1" t="str">
        <f>TEXT(Table1[[#This Row],[order_date]],"dddd")</f>
        <v>Tuesday</v>
      </c>
      <c r="G4300">
        <f>HOUR(Table1[[#This Row],[order_time]])</f>
        <v>19</v>
      </c>
      <c r="H4300" s="2">
        <v>0.82538194444444446</v>
      </c>
      <c r="I4300" t="s">
        <v>9</v>
      </c>
      <c r="J4300" t="s">
        <v>10</v>
      </c>
      <c r="K4300">
        <v>1</v>
      </c>
      <c r="L4300">
        <v>20</v>
      </c>
      <c r="M4300">
        <v>20</v>
      </c>
      <c r="N4300">
        <f>IF(COUNTIFS($B$2:B4300,B4300)=1,1,0)</f>
        <v>1</v>
      </c>
    </row>
    <row r="4301" spans="1:14" x14ac:dyDescent="0.2">
      <c r="A4301">
        <v>4300</v>
      </c>
      <c r="B4301">
        <v>3160</v>
      </c>
      <c r="C4301">
        <f>1/COUNTIF(B:B,Table1[[#This Row],[order_id]])</f>
        <v>0.33333333333333331</v>
      </c>
      <c r="D4301" t="str">
        <f>TEXT(Table1[[#This Row],[order_date]],"mmmm")</f>
        <v>November</v>
      </c>
      <c r="E4301" s="1">
        <v>45622</v>
      </c>
      <c r="F4301" s="1" t="str">
        <f>TEXT(Table1[[#This Row],[order_date]],"dddd")</f>
        <v>Tuesday</v>
      </c>
      <c r="G4301">
        <f>HOUR(Table1[[#This Row],[order_time]])</f>
        <v>16</v>
      </c>
      <c r="H4301" s="2">
        <v>0.67540509259259263</v>
      </c>
      <c r="I4301" t="s">
        <v>16</v>
      </c>
      <c r="J4301" t="s">
        <v>17</v>
      </c>
      <c r="K4301">
        <v>4</v>
      </c>
      <c r="L4301">
        <v>20</v>
      </c>
      <c r="M4301">
        <v>80</v>
      </c>
      <c r="N4301">
        <f>IF(COUNTIFS($B$2:B4301,B4301)=1,1,0)</f>
        <v>0</v>
      </c>
    </row>
    <row r="4302" spans="1:14" x14ac:dyDescent="0.2">
      <c r="A4302">
        <v>4301</v>
      </c>
      <c r="B4302">
        <v>3160</v>
      </c>
      <c r="C4302">
        <f>1/COUNTIF(B:B,Table1[[#This Row],[order_id]])</f>
        <v>0.33333333333333331</v>
      </c>
      <c r="D4302" t="str">
        <f>TEXT(Table1[[#This Row],[order_date]],"mmmm")</f>
        <v>November</v>
      </c>
      <c r="E4302" s="1">
        <v>45622</v>
      </c>
      <c r="F4302" s="1" t="str">
        <f>TEXT(Table1[[#This Row],[order_date]],"dddd")</f>
        <v>Tuesday</v>
      </c>
      <c r="G4302">
        <f>HOUR(Table1[[#This Row],[order_time]])</f>
        <v>19</v>
      </c>
      <c r="H4302" s="2">
        <v>0.81498842592592591</v>
      </c>
      <c r="I4302" t="s">
        <v>11</v>
      </c>
      <c r="J4302" t="s">
        <v>13</v>
      </c>
      <c r="K4302">
        <v>3</v>
      </c>
      <c r="L4302">
        <v>680</v>
      </c>
      <c r="M4302">
        <v>2040</v>
      </c>
      <c r="N4302">
        <f>IF(COUNTIFS($B$2:B4302,B4302)=1,1,0)</f>
        <v>0</v>
      </c>
    </row>
    <row r="4303" spans="1:14" x14ac:dyDescent="0.2">
      <c r="A4303">
        <v>4302</v>
      </c>
      <c r="B4303">
        <v>3161</v>
      </c>
      <c r="C4303">
        <f>1/COUNTIF(B:B,Table1[[#This Row],[order_id]])</f>
        <v>1</v>
      </c>
      <c r="D4303" t="str">
        <f>TEXT(Table1[[#This Row],[order_date]],"mmmm")</f>
        <v>November</v>
      </c>
      <c r="E4303" s="1">
        <v>45622</v>
      </c>
      <c r="F4303" s="1" t="str">
        <f>TEXT(Table1[[#This Row],[order_date]],"dddd")</f>
        <v>Tuesday</v>
      </c>
      <c r="G4303">
        <f>HOUR(Table1[[#This Row],[order_time]])</f>
        <v>14</v>
      </c>
      <c r="H4303" s="2">
        <v>0.61545138888888884</v>
      </c>
      <c r="I4303" t="s">
        <v>9</v>
      </c>
      <c r="J4303" t="s">
        <v>29</v>
      </c>
      <c r="K4303">
        <v>2</v>
      </c>
      <c r="L4303">
        <v>5</v>
      </c>
      <c r="M4303">
        <v>10</v>
      </c>
      <c r="N4303">
        <f>IF(COUNTIFS($B$2:B4303,B4303)=1,1,0)</f>
        <v>1</v>
      </c>
    </row>
    <row r="4304" spans="1:14" x14ac:dyDescent="0.2">
      <c r="A4304">
        <v>4303</v>
      </c>
      <c r="B4304">
        <v>3162</v>
      </c>
      <c r="C4304">
        <f>1/COUNTIF(B:B,Table1[[#This Row],[order_id]])</f>
        <v>0.33333333333333331</v>
      </c>
      <c r="D4304" t="str">
        <f>TEXT(Table1[[#This Row],[order_date]],"mmmm")</f>
        <v>November</v>
      </c>
      <c r="E4304" s="1">
        <v>45622</v>
      </c>
      <c r="F4304" s="1" t="str">
        <f>TEXT(Table1[[#This Row],[order_date]],"dddd")</f>
        <v>Tuesday</v>
      </c>
      <c r="G4304">
        <f>HOUR(Table1[[#This Row],[order_time]])</f>
        <v>11</v>
      </c>
      <c r="H4304" s="2">
        <v>0.49785879629629631</v>
      </c>
      <c r="I4304" t="s">
        <v>9</v>
      </c>
      <c r="J4304" t="s">
        <v>10</v>
      </c>
      <c r="K4304">
        <v>2</v>
      </c>
      <c r="L4304">
        <v>20</v>
      </c>
      <c r="M4304">
        <v>40</v>
      </c>
      <c r="N4304">
        <f>IF(COUNTIFS($B$2:B4304,B4304)=1,1,0)</f>
        <v>1</v>
      </c>
    </row>
    <row r="4305" spans="1:14" x14ac:dyDescent="0.2">
      <c r="A4305">
        <v>4304</v>
      </c>
      <c r="B4305">
        <v>3162</v>
      </c>
      <c r="C4305">
        <f>1/COUNTIF(B:B,Table1[[#This Row],[order_id]])</f>
        <v>0.33333333333333331</v>
      </c>
      <c r="D4305" t="str">
        <f>TEXT(Table1[[#This Row],[order_date]],"mmmm")</f>
        <v>November</v>
      </c>
      <c r="E4305" s="1">
        <v>45622</v>
      </c>
      <c r="F4305" s="1" t="str">
        <f>TEXT(Table1[[#This Row],[order_date]],"dddd")</f>
        <v>Tuesday</v>
      </c>
      <c r="G4305">
        <f>HOUR(Table1[[#This Row],[order_time]])</f>
        <v>15</v>
      </c>
      <c r="H4305" s="2">
        <v>0.63393518518518521</v>
      </c>
      <c r="I4305" t="s">
        <v>9</v>
      </c>
      <c r="J4305" t="s">
        <v>10</v>
      </c>
      <c r="K4305">
        <v>5</v>
      </c>
      <c r="L4305">
        <v>20</v>
      </c>
      <c r="M4305">
        <v>100</v>
      </c>
      <c r="N4305">
        <f>IF(COUNTIFS($B$2:B4305,B4305)=1,1,0)</f>
        <v>0</v>
      </c>
    </row>
    <row r="4306" spans="1:14" x14ac:dyDescent="0.2">
      <c r="A4306">
        <v>4305</v>
      </c>
      <c r="B4306">
        <v>3162</v>
      </c>
      <c r="C4306">
        <f>1/COUNTIF(B:B,Table1[[#This Row],[order_id]])</f>
        <v>0.33333333333333331</v>
      </c>
      <c r="D4306" t="str">
        <f>TEXT(Table1[[#This Row],[order_date]],"mmmm")</f>
        <v>November</v>
      </c>
      <c r="E4306" s="1">
        <v>45622</v>
      </c>
      <c r="F4306" s="1" t="str">
        <f>TEXT(Table1[[#This Row],[order_date]],"dddd")</f>
        <v>Tuesday</v>
      </c>
      <c r="G4306">
        <f>HOUR(Table1[[#This Row],[order_time]])</f>
        <v>9</v>
      </c>
      <c r="H4306" s="2">
        <v>0.40607638888888886</v>
      </c>
      <c r="I4306" t="s">
        <v>16</v>
      </c>
      <c r="J4306" t="s">
        <v>23</v>
      </c>
      <c r="K4306">
        <v>3</v>
      </c>
      <c r="L4306">
        <v>30</v>
      </c>
      <c r="M4306">
        <v>90</v>
      </c>
      <c r="N4306">
        <f>IF(COUNTIFS($B$2:B4306,B4306)=1,1,0)</f>
        <v>0</v>
      </c>
    </row>
    <row r="4307" spans="1:14" x14ac:dyDescent="0.2">
      <c r="A4307">
        <v>4306</v>
      </c>
      <c r="B4307">
        <v>3163</v>
      </c>
      <c r="C4307">
        <f>1/COUNTIF(B:B,Table1[[#This Row],[order_id]])</f>
        <v>1</v>
      </c>
      <c r="D4307" t="str">
        <f>TEXT(Table1[[#This Row],[order_date]],"mmmm")</f>
        <v>November</v>
      </c>
      <c r="E4307" s="1">
        <v>45622</v>
      </c>
      <c r="F4307" s="1" t="str">
        <f>TEXT(Table1[[#This Row],[order_date]],"dddd")</f>
        <v>Tuesday</v>
      </c>
      <c r="G4307">
        <f>HOUR(Table1[[#This Row],[order_time]])</f>
        <v>16</v>
      </c>
      <c r="H4307" s="2">
        <v>0.70630787037037035</v>
      </c>
      <c r="I4307" t="s">
        <v>11</v>
      </c>
      <c r="J4307" t="s">
        <v>14</v>
      </c>
      <c r="K4307">
        <v>1</v>
      </c>
      <c r="L4307">
        <v>700</v>
      </c>
      <c r="M4307">
        <v>700</v>
      </c>
      <c r="N4307">
        <f>IF(COUNTIFS($B$2:B4307,B4307)=1,1,0)</f>
        <v>1</v>
      </c>
    </row>
    <row r="4308" spans="1:14" x14ac:dyDescent="0.2">
      <c r="A4308">
        <v>4307</v>
      </c>
      <c r="B4308">
        <v>3164</v>
      </c>
      <c r="C4308">
        <f>1/COUNTIF(B:B,Table1[[#This Row],[order_id]])</f>
        <v>0.33333333333333331</v>
      </c>
      <c r="D4308" t="str">
        <f>TEXT(Table1[[#This Row],[order_date]],"mmmm")</f>
        <v>November</v>
      </c>
      <c r="E4308" s="1">
        <v>45622</v>
      </c>
      <c r="F4308" s="1" t="str">
        <f>TEXT(Table1[[#This Row],[order_date]],"dddd")</f>
        <v>Tuesday</v>
      </c>
      <c r="G4308">
        <f>HOUR(Table1[[#This Row],[order_time]])</f>
        <v>14</v>
      </c>
      <c r="H4308" s="2">
        <v>0.58925925925925926</v>
      </c>
      <c r="I4308" t="s">
        <v>11</v>
      </c>
      <c r="J4308" t="s">
        <v>25</v>
      </c>
      <c r="K4308">
        <v>3</v>
      </c>
      <c r="L4308">
        <v>1000</v>
      </c>
      <c r="M4308">
        <v>3000</v>
      </c>
      <c r="N4308">
        <f>IF(COUNTIFS($B$2:B4308,B4308)=1,1,0)</f>
        <v>1</v>
      </c>
    </row>
    <row r="4309" spans="1:14" x14ac:dyDescent="0.2">
      <c r="A4309">
        <v>4308</v>
      </c>
      <c r="B4309">
        <v>3164</v>
      </c>
      <c r="C4309">
        <f>1/COUNTIF(B:B,Table1[[#This Row],[order_id]])</f>
        <v>0.33333333333333331</v>
      </c>
      <c r="D4309" t="str">
        <f>TEXT(Table1[[#This Row],[order_date]],"mmmm")</f>
        <v>November</v>
      </c>
      <c r="E4309" s="1">
        <v>45622</v>
      </c>
      <c r="F4309" s="1" t="str">
        <f>TEXT(Table1[[#This Row],[order_date]],"dddd")</f>
        <v>Tuesday</v>
      </c>
      <c r="G4309">
        <f>HOUR(Table1[[#This Row],[order_time]])</f>
        <v>12</v>
      </c>
      <c r="H4309" s="2">
        <v>0.5390625</v>
      </c>
      <c r="I4309" t="s">
        <v>18</v>
      </c>
      <c r="J4309" t="s">
        <v>26</v>
      </c>
      <c r="K4309">
        <v>3</v>
      </c>
      <c r="L4309">
        <v>55</v>
      </c>
      <c r="M4309">
        <v>165</v>
      </c>
      <c r="N4309">
        <f>IF(COUNTIFS($B$2:B4309,B4309)=1,1,0)</f>
        <v>0</v>
      </c>
    </row>
    <row r="4310" spans="1:14" x14ac:dyDescent="0.2">
      <c r="A4310">
        <v>4309</v>
      </c>
      <c r="B4310">
        <v>3164</v>
      </c>
      <c r="C4310">
        <f>1/COUNTIF(B:B,Table1[[#This Row],[order_id]])</f>
        <v>0.33333333333333331</v>
      </c>
      <c r="D4310" t="str">
        <f>TEXT(Table1[[#This Row],[order_date]],"mmmm")</f>
        <v>November</v>
      </c>
      <c r="E4310" s="1">
        <v>45622</v>
      </c>
      <c r="F4310" s="1" t="str">
        <f>TEXT(Table1[[#This Row],[order_date]],"dddd")</f>
        <v>Tuesday</v>
      </c>
      <c r="G4310">
        <f>HOUR(Table1[[#This Row],[order_time]])</f>
        <v>19</v>
      </c>
      <c r="H4310" s="2">
        <v>0.7933217592592593</v>
      </c>
      <c r="I4310" t="s">
        <v>16</v>
      </c>
      <c r="J4310" t="s">
        <v>23</v>
      </c>
      <c r="K4310">
        <v>1</v>
      </c>
      <c r="L4310">
        <v>30</v>
      </c>
      <c r="M4310">
        <v>30</v>
      </c>
      <c r="N4310">
        <f>IF(COUNTIFS($B$2:B4310,B4310)=1,1,0)</f>
        <v>0</v>
      </c>
    </row>
    <row r="4311" spans="1:14" x14ac:dyDescent="0.2">
      <c r="A4311">
        <v>4310</v>
      </c>
      <c r="B4311">
        <v>3165</v>
      </c>
      <c r="C4311">
        <f>1/COUNTIF(B:B,Table1[[#This Row],[order_id]])</f>
        <v>1</v>
      </c>
      <c r="D4311" t="str">
        <f>TEXT(Table1[[#This Row],[order_date]],"mmmm")</f>
        <v>November</v>
      </c>
      <c r="E4311" s="1">
        <v>45622</v>
      </c>
      <c r="F4311" s="1" t="str">
        <f>TEXT(Table1[[#This Row],[order_date]],"dddd")</f>
        <v>Tuesday</v>
      </c>
      <c r="G4311">
        <f>HOUR(Table1[[#This Row],[order_time]])</f>
        <v>19</v>
      </c>
      <c r="H4311" s="2">
        <v>0.80569444444444449</v>
      </c>
      <c r="I4311" t="s">
        <v>18</v>
      </c>
      <c r="J4311" t="s">
        <v>19</v>
      </c>
      <c r="K4311">
        <v>4</v>
      </c>
      <c r="L4311">
        <v>50</v>
      </c>
      <c r="M4311">
        <v>200</v>
      </c>
      <c r="N4311">
        <f>IF(COUNTIFS($B$2:B4311,B4311)=1,1,0)</f>
        <v>1</v>
      </c>
    </row>
    <row r="4312" spans="1:14" x14ac:dyDescent="0.2">
      <c r="A4312">
        <v>4311</v>
      </c>
      <c r="B4312">
        <v>3166</v>
      </c>
      <c r="C4312">
        <f>1/COUNTIF(B:B,Table1[[#This Row],[order_id]])</f>
        <v>0.5</v>
      </c>
      <c r="D4312" t="str">
        <f>TEXT(Table1[[#This Row],[order_date]],"mmmm")</f>
        <v>November</v>
      </c>
      <c r="E4312" s="1">
        <v>45622</v>
      </c>
      <c r="F4312" s="1" t="str">
        <f>TEXT(Table1[[#This Row],[order_date]],"dddd")</f>
        <v>Tuesday</v>
      </c>
      <c r="G4312">
        <f>HOUR(Table1[[#This Row],[order_time]])</f>
        <v>14</v>
      </c>
      <c r="H4312" s="2">
        <v>0.60172453703703699</v>
      </c>
      <c r="I4312" t="s">
        <v>11</v>
      </c>
      <c r="J4312" t="s">
        <v>25</v>
      </c>
      <c r="K4312">
        <v>4</v>
      </c>
      <c r="L4312">
        <v>1000</v>
      </c>
      <c r="M4312">
        <v>4000</v>
      </c>
      <c r="N4312">
        <f>IF(COUNTIFS($B$2:B4312,B4312)=1,1,0)</f>
        <v>1</v>
      </c>
    </row>
    <row r="4313" spans="1:14" x14ac:dyDescent="0.2">
      <c r="A4313">
        <v>4312</v>
      </c>
      <c r="B4313">
        <v>3166</v>
      </c>
      <c r="C4313">
        <f>1/COUNTIF(B:B,Table1[[#This Row],[order_id]])</f>
        <v>0.5</v>
      </c>
      <c r="D4313" t="str">
        <f>TEXT(Table1[[#This Row],[order_date]],"mmmm")</f>
        <v>November</v>
      </c>
      <c r="E4313" s="1">
        <v>45622</v>
      </c>
      <c r="F4313" s="1" t="str">
        <f>TEXT(Table1[[#This Row],[order_date]],"dddd")</f>
        <v>Tuesday</v>
      </c>
      <c r="G4313">
        <f>HOUR(Table1[[#This Row],[order_time]])</f>
        <v>15</v>
      </c>
      <c r="H4313" s="2">
        <v>0.63414351851851847</v>
      </c>
      <c r="I4313" t="s">
        <v>11</v>
      </c>
      <c r="J4313" t="s">
        <v>14</v>
      </c>
      <c r="K4313">
        <v>2</v>
      </c>
      <c r="L4313">
        <v>700</v>
      </c>
      <c r="M4313">
        <v>1400</v>
      </c>
      <c r="N4313">
        <f>IF(COUNTIFS($B$2:B4313,B4313)=1,1,0)</f>
        <v>0</v>
      </c>
    </row>
    <row r="4314" spans="1:14" x14ac:dyDescent="0.2">
      <c r="A4314">
        <v>4313</v>
      </c>
      <c r="B4314">
        <v>3167</v>
      </c>
      <c r="C4314">
        <f>1/COUNTIF(B:B,Table1[[#This Row],[order_id]])</f>
        <v>1</v>
      </c>
      <c r="D4314" t="str">
        <f>TEXT(Table1[[#This Row],[order_date]],"mmmm")</f>
        <v>November</v>
      </c>
      <c r="E4314" s="1">
        <v>45622</v>
      </c>
      <c r="F4314" s="1" t="str">
        <f>TEXT(Table1[[#This Row],[order_date]],"dddd")</f>
        <v>Tuesday</v>
      </c>
      <c r="G4314">
        <f>HOUR(Table1[[#This Row],[order_time]])</f>
        <v>11</v>
      </c>
      <c r="H4314" s="2">
        <v>0.48951388888888892</v>
      </c>
      <c r="I4314" t="s">
        <v>11</v>
      </c>
      <c r="J4314" t="s">
        <v>15</v>
      </c>
      <c r="K4314">
        <v>2</v>
      </c>
      <c r="L4314">
        <v>600</v>
      </c>
      <c r="M4314">
        <v>1200</v>
      </c>
      <c r="N4314">
        <f>IF(COUNTIFS($B$2:B4314,B4314)=1,1,0)</f>
        <v>1</v>
      </c>
    </row>
    <row r="4315" spans="1:14" x14ac:dyDescent="0.2">
      <c r="A4315">
        <v>4314</v>
      </c>
      <c r="B4315">
        <v>3168</v>
      </c>
      <c r="C4315">
        <f>1/COUNTIF(B:B,Table1[[#This Row],[order_id]])</f>
        <v>0.5</v>
      </c>
      <c r="D4315" t="str">
        <f>TEXT(Table1[[#This Row],[order_date]],"mmmm")</f>
        <v>November</v>
      </c>
      <c r="E4315" s="1">
        <v>45622</v>
      </c>
      <c r="F4315" s="1" t="str">
        <f>TEXT(Table1[[#This Row],[order_date]],"dddd")</f>
        <v>Tuesday</v>
      </c>
      <c r="G4315">
        <f>HOUR(Table1[[#This Row],[order_time]])</f>
        <v>17</v>
      </c>
      <c r="H4315" s="2">
        <v>0.74913194444444442</v>
      </c>
      <c r="I4315" t="s">
        <v>16</v>
      </c>
      <c r="J4315" t="s">
        <v>24</v>
      </c>
      <c r="K4315">
        <v>4</v>
      </c>
      <c r="L4315">
        <v>35</v>
      </c>
      <c r="M4315">
        <v>140</v>
      </c>
      <c r="N4315">
        <f>IF(COUNTIFS($B$2:B4315,B4315)=1,1,0)</f>
        <v>1</v>
      </c>
    </row>
    <row r="4316" spans="1:14" x14ac:dyDescent="0.2">
      <c r="A4316">
        <v>4315</v>
      </c>
      <c r="B4316">
        <v>3168</v>
      </c>
      <c r="C4316">
        <f>1/COUNTIF(B:B,Table1[[#This Row],[order_id]])</f>
        <v>0.5</v>
      </c>
      <c r="D4316" t="str">
        <f>TEXT(Table1[[#This Row],[order_date]],"mmmm")</f>
        <v>November</v>
      </c>
      <c r="E4316" s="1">
        <v>45622</v>
      </c>
      <c r="F4316" s="1" t="str">
        <f>TEXT(Table1[[#This Row],[order_date]],"dddd")</f>
        <v>Tuesday</v>
      </c>
      <c r="G4316">
        <f>HOUR(Table1[[#This Row],[order_time]])</f>
        <v>20</v>
      </c>
      <c r="H4316" s="2">
        <v>0.83898148148148144</v>
      </c>
      <c r="I4316" t="s">
        <v>9</v>
      </c>
      <c r="J4316" t="s">
        <v>20</v>
      </c>
      <c r="K4316">
        <v>2</v>
      </c>
      <c r="L4316">
        <v>25</v>
      </c>
      <c r="M4316">
        <v>50</v>
      </c>
      <c r="N4316">
        <f>IF(COUNTIFS($B$2:B4316,B4316)=1,1,0)</f>
        <v>0</v>
      </c>
    </row>
    <row r="4317" spans="1:14" x14ac:dyDescent="0.2">
      <c r="A4317">
        <v>4316</v>
      </c>
      <c r="B4317">
        <v>3169</v>
      </c>
      <c r="C4317">
        <f>1/COUNTIF(B:B,Table1[[#This Row],[order_id]])</f>
        <v>0.5</v>
      </c>
      <c r="D4317" t="str">
        <f>TEXT(Table1[[#This Row],[order_date]],"mmmm")</f>
        <v>November</v>
      </c>
      <c r="E4317" s="1">
        <v>45623</v>
      </c>
      <c r="F4317" s="1" t="str">
        <f>TEXT(Table1[[#This Row],[order_date]],"dddd")</f>
        <v>Wednesday</v>
      </c>
      <c r="G4317">
        <f>HOUR(Table1[[#This Row],[order_time]])</f>
        <v>13</v>
      </c>
      <c r="H4317" s="2">
        <v>0.5455092592592593</v>
      </c>
      <c r="I4317" t="s">
        <v>16</v>
      </c>
      <c r="J4317" t="s">
        <v>23</v>
      </c>
      <c r="K4317">
        <v>1</v>
      </c>
      <c r="L4317">
        <v>30</v>
      </c>
      <c r="M4317">
        <v>30</v>
      </c>
      <c r="N4317">
        <f>IF(COUNTIFS($B$2:B4317,B4317)=1,1,0)</f>
        <v>1</v>
      </c>
    </row>
    <row r="4318" spans="1:14" x14ac:dyDescent="0.2">
      <c r="A4318">
        <v>4317</v>
      </c>
      <c r="B4318">
        <v>3169</v>
      </c>
      <c r="C4318">
        <f>1/COUNTIF(B:B,Table1[[#This Row],[order_id]])</f>
        <v>0.5</v>
      </c>
      <c r="D4318" t="str">
        <f>TEXT(Table1[[#This Row],[order_date]],"mmmm")</f>
        <v>November</v>
      </c>
      <c r="E4318" s="1">
        <v>45623</v>
      </c>
      <c r="F4318" s="1" t="str">
        <f>TEXT(Table1[[#This Row],[order_date]],"dddd")</f>
        <v>Wednesday</v>
      </c>
      <c r="G4318">
        <f>HOUR(Table1[[#This Row],[order_time]])</f>
        <v>20</v>
      </c>
      <c r="H4318" s="2">
        <v>0.87134259259259261</v>
      </c>
      <c r="I4318" t="s">
        <v>16</v>
      </c>
      <c r="J4318" t="s">
        <v>28</v>
      </c>
      <c r="K4318">
        <v>3</v>
      </c>
      <c r="L4318">
        <v>25</v>
      </c>
      <c r="M4318">
        <v>75</v>
      </c>
      <c r="N4318">
        <f>IF(COUNTIFS($B$2:B4318,B4318)=1,1,0)</f>
        <v>0</v>
      </c>
    </row>
    <row r="4319" spans="1:14" x14ac:dyDescent="0.2">
      <c r="A4319">
        <v>4318</v>
      </c>
      <c r="B4319">
        <v>3170</v>
      </c>
      <c r="C4319">
        <f>1/COUNTIF(B:B,Table1[[#This Row],[order_id]])</f>
        <v>0.5</v>
      </c>
      <c r="D4319" t="str">
        <f>TEXT(Table1[[#This Row],[order_date]],"mmmm")</f>
        <v>November</v>
      </c>
      <c r="E4319" s="1">
        <v>45623</v>
      </c>
      <c r="F4319" s="1" t="str">
        <f>TEXT(Table1[[#This Row],[order_date]],"dddd")</f>
        <v>Wednesday</v>
      </c>
      <c r="G4319">
        <f>HOUR(Table1[[#This Row],[order_time]])</f>
        <v>13</v>
      </c>
      <c r="H4319" s="2">
        <v>0.54819444444444443</v>
      </c>
      <c r="I4319" t="s">
        <v>16</v>
      </c>
      <c r="J4319" t="s">
        <v>24</v>
      </c>
      <c r="K4319">
        <v>5</v>
      </c>
      <c r="L4319">
        <v>35</v>
      </c>
      <c r="M4319">
        <v>175</v>
      </c>
      <c r="N4319">
        <f>IF(COUNTIFS($B$2:B4319,B4319)=1,1,0)</f>
        <v>1</v>
      </c>
    </row>
    <row r="4320" spans="1:14" x14ac:dyDescent="0.2">
      <c r="A4320">
        <v>4319</v>
      </c>
      <c r="B4320">
        <v>3170</v>
      </c>
      <c r="C4320">
        <f>1/COUNTIF(B:B,Table1[[#This Row],[order_id]])</f>
        <v>0.5</v>
      </c>
      <c r="D4320" t="str">
        <f>TEXT(Table1[[#This Row],[order_date]],"mmmm")</f>
        <v>November</v>
      </c>
      <c r="E4320" s="1">
        <v>45623</v>
      </c>
      <c r="F4320" s="1" t="str">
        <f>TEXT(Table1[[#This Row],[order_date]],"dddd")</f>
        <v>Wednesday</v>
      </c>
      <c r="G4320">
        <f>HOUR(Table1[[#This Row],[order_time]])</f>
        <v>18</v>
      </c>
      <c r="H4320" s="2">
        <v>0.77355324074074072</v>
      </c>
      <c r="I4320" t="s">
        <v>11</v>
      </c>
      <c r="J4320" t="s">
        <v>25</v>
      </c>
      <c r="K4320">
        <v>4</v>
      </c>
      <c r="L4320">
        <v>1000</v>
      </c>
      <c r="M4320">
        <v>4000</v>
      </c>
      <c r="N4320">
        <f>IF(COUNTIFS($B$2:B4320,B4320)=1,1,0)</f>
        <v>0</v>
      </c>
    </row>
    <row r="4321" spans="1:14" x14ac:dyDescent="0.2">
      <c r="A4321">
        <v>4320</v>
      </c>
      <c r="B4321">
        <v>3171</v>
      </c>
      <c r="C4321">
        <f>1/COUNTIF(B:B,Table1[[#This Row],[order_id]])</f>
        <v>0.5</v>
      </c>
      <c r="D4321" t="str">
        <f>TEXT(Table1[[#This Row],[order_date]],"mmmm")</f>
        <v>November</v>
      </c>
      <c r="E4321" s="1">
        <v>45623</v>
      </c>
      <c r="F4321" s="1" t="str">
        <f>TEXT(Table1[[#This Row],[order_date]],"dddd")</f>
        <v>Wednesday</v>
      </c>
      <c r="G4321">
        <f>HOUR(Table1[[#This Row],[order_time]])</f>
        <v>9</v>
      </c>
      <c r="H4321" s="2">
        <v>0.37812499999999999</v>
      </c>
      <c r="I4321" t="s">
        <v>18</v>
      </c>
      <c r="J4321" t="s">
        <v>27</v>
      </c>
      <c r="K4321">
        <v>2</v>
      </c>
      <c r="L4321">
        <v>40</v>
      </c>
      <c r="M4321">
        <v>80</v>
      </c>
      <c r="N4321">
        <f>IF(COUNTIFS($B$2:B4321,B4321)=1,1,0)</f>
        <v>1</v>
      </c>
    </row>
    <row r="4322" spans="1:14" x14ac:dyDescent="0.2">
      <c r="A4322">
        <v>4321</v>
      </c>
      <c r="B4322">
        <v>3171</v>
      </c>
      <c r="C4322">
        <f>1/COUNTIF(B:B,Table1[[#This Row],[order_id]])</f>
        <v>0.5</v>
      </c>
      <c r="D4322" t="str">
        <f>TEXT(Table1[[#This Row],[order_date]],"mmmm")</f>
        <v>November</v>
      </c>
      <c r="E4322" s="1">
        <v>45623</v>
      </c>
      <c r="F4322" s="1" t="str">
        <f>TEXT(Table1[[#This Row],[order_date]],"dddd")</f>
        <v>Wednesday</v>
      </c>
      <c r="G4322">
        <f>HOUR(Table1[[#This Row],[order_time]])</f>
        <v>13</v>
      </c>
      <c r="H4322" s="2">
        <v>0.54947916666666663</v>
      </c>
      <c r="I4322" t="s">
        <v>9</v>
      </c>
      <c r="J4322" t="s">
        <v>29</v>
      </c>
      <c r="K4322">
        <v>1</v>
      </c>
      <c r="L4322">
        <v>5</v>
      </c>
      <c r="M4322">
        <v>5</v>
      </c>
      <c r="N4322">
        <f>IF(COUNTIFS($B$2:B4322,B4322)=1,1,0)</f>
        <v>0</v>
      </c>
    </row>
    <row r="4323" spans="1:14" x14ac:dyDescent="0.2">
      <c r="A4323">
        <v>4322</v>
      </c>
      <c r="B4323">
        <v>3172</v>
      </c>
      <c r="C4323">
        <f>1/COUNTIF(B:B,Table1[[#This Row],[order_id]])</f>
        <v>1</v>
      </c>
      <c r="D4323" t="str">
        <f>TEXT(Table1[[#This Row],[order_date]],"mmmm")</f>
        <v>November</v>
      </c>
      <c r="E4323" s="1">
        <v>45623</v>
      </c>
      <c r="F4323" s="1" t="str">
        <f>TEXT(Table1[[#This Row],[order_date]],"dddd")</f>
        <v>Wednesday</v>
      </c>
      <c r="G4323">
        <f>HOUR(Table1[[#This Row],[order_time]])</f>
        <v>20</v>
      </c>
      <c r="H4323" s="2">
        <v>0.86723379629629627</v>
      </c>
      <c r="I4323" t="s">
        <v>9</v>
      </c>
      <c r="J4323" t="s">
        <v>21</v>
      </c>
      <c r="K4323">
        <v>2</v>
      </c>
      <c r="L4323">
        <v>10</v>
      </c>
      <c r="M4323">
        <v>20</v>
      </c>
      <c r="N4323">
        <f>IF(COUNTIFS($B$2:B4323,B4323)=1,1,0)</f>
        <v>1</v>
      </c>
    </row>
    <row r="4324" spans="1:14" x14ac:dyDescent="0.2">
      <c r="A4324">
        <v>4323</v>
      </c>
      <c r="B4324">
        <v>3173</v>
      </c>
      <c r="C4324">
        <f>1/COUNTIF(B:B,Table1[[#This Row],[order_id]])</f>
        <v>0.33333333333333331</v>
      </c>
      <c r="D4324" t="str">
        <f>TEXT(Table1[[#This Row],[order_date]],"mmmm")</f>
        <v>November</v>
      </c>
      <c r="E4324" s="1">
        <v>45623</v>
      </c>
      <c r="F4324" s="1" t="str">
        <f>TEXT(Table1[[#This Row],[order_date]],"dddd")</f>
        <v>Wednesday</v>
      </c>
      <c r="G4324">
        <f>HOUR(Table1[[#This Row],[order_time]])</f>
        <v>9</v>
      </c>
      <c r="H4324" s="2">
        <v>0.40811342592592592</v>
      </c>
      <c r="I4324" t="s">
        <v>16</v>
      </c>
      <c r="J4324" t="s">
        <v>28</v>
      </c>
      <c r="K4324">
        <v>4</v>
      </c>
      <c r="L4324">
        <v>25</v>
      </c>
      <c r="M4324">
        <v>100</v>
      </c>
      <c r="N4324">
        <f>IF(COUNTIFS($B$2:B4324,B4324)=1,1,0)</f>
        <v>1</v>
      </c>
    </row>
    <row r="4325" spans="1:14" x14ac:dyDescent="0.2">
      <c r="A4325">
        <v>4324</v>
      </c>
      <c r="B4325">
        <v>3173</v>
      </c>
      <c r="C4325">
        <f>1/COUNTIF(B:B,Table1[[#This Row],[order_id]])</f>
        <v>0.33333333333333331</v>
      </c>
      <c r="D4325" t="str">
        <f>TEXT(Table1[[#This Row],[order_date]],"mmmm")</f>
        <v>November</v>
      </c>
      <c r="E4325" s="1">
        <v>45623</v>
      </c>
      <c r="F4325" s="1" t="str">
        <f>TEXT(Table1[[#This Row],[order_date]],"dddd")</f>
        <v>Wednesday</v>
      </c>
      <c r="G4325">
        <f>HOUR(Table1[[#This Row],[order_time]])</f>
        <v>12</v>
      </c>
      <c r="H4325" s="2">
        <v>0.54155092592592591</v>
      </c>
      <c r="I4325" t="s">
        <v>18</v>
      </c>
      <c r="J4325" t="s">
        <v>30</v>
      </c>
      <c r="K4325">
        <v>4</v>
      </c>
      <c r="L4325">
        <v>60</v>
      </c>
      <c r="M4325">
        <v>240</v>
      </c>
      <c r="N4325">
        <f>IF(COUNTIFS($B$2:B4325,B4325)=1,1,0)</f>
        <v>0</v>
      </c>
    </row>
    <row r="4326" spans="1:14" x14ac:dyDescent="0.2">
      <c r="A4326">
        <v>4325</v>
      </c>
      <c r="B4326">
        <v>3173</v>
      </c>
      <c r="C4326">
        <f>1/COUNTIF(B:B,Table1[[#This Row],[order_id]])</f>
        <v>0.33333333333333331</v>
      </c>
      <c r="D4326" t="str">
        <f>TEXT(Table1[[#This Row],[order_date]],"mmmm")</f>
        <v>November</v>
      </c>
      <c r="E4326" s="1">
        <v>45623</v>
      </c>
      <c r="F4326" s="1" t="str">
        <f>TEXT(Table1[[#This Row],[order_date]],"dddd")</f>
        <v>Wednesday</v>
      </c>
      <c r="G4326">
        <f>HOUR(Table1[[#This Row],[order_time]])</f>
        <v>18</v>
      </c>
      <c r="H4326" s="2">
        <v>0.75012731481481476</v>
      </c>
      <c r="I4326" t="s">
        <v>9</v>
      </c>
      <c r="J4326" t="s">
        <v>20</v>
      </c>
      <c r="K4326">
        <v>5</v>
      </c>
      <c r="L4326">
        <v>25</v>
      </c>
      <c r="M4326">
        <v>125</v>
      </c>
      <c r="N4326">
        <f>IF(COUNTIFS($B$2:B4326,B4326)=1,1,0)</f>
        <v>0</v>
      </c>
    </row>
    <row r="4327" spans="1:14" x14ac:dyDescent="0.2">
      <c r="A4327">
        <v>4326</v>
      </c>
      <c r="B4327">
        <v>3174</v>
      </c>
      <c r="C4327">
        <f>1/COUNTIF(B:B,Table1[[#This Row],[order_id]])</f>
        <v>1</v>
      </c>
      <c r="D4327" t="str">
        <f>TEXT(Table1[[#This Row],[order_date]],"mmmm")</f>
        <v>November</v>
      </c>
      <c r="E4327" s="1">
        <v>45623</v>
      </c>
      <c r="F4327" s="1" t="str">
        <f>TEXT(Table1[[#This Row],[order_date]],"dddd")</f>
        <v>Wednesday</v>
      </c>
      <c r="G4327">
        <f>HOUR(Table1[[#This Row],[order_time]])</f>
        <v>19</v>
      </c>
      <c r="H4327" s="2">
        <v>0.81797453703703704</v>
      </c>
      <c r="I4327" t="s">
        <v>16</v>
      </c>
      <c r="J4327" t="s">
        <v>24</v>
      </c>
      <c r="K4327">
        <v>2</v>
      </c>
      <c r="L4327">
        <v>35</v>
      </c>
      <c r="M4327">
        <v>70</v>
      </c>
      <c r="N4327">
        <f>IF(COUNTIFS($B$2:B4327,B4327)=1,1,0)</f>
        <v>1</v>
      </c>
    </row>
    <row r="4328" spans="1:14" x14ac:dyDescent="0.2">
      <c r="A4328">
        <v>4327</v>
      </c>
      <c r="B4328">
        <v>3175</v>
      </c>
      <c r="C4328">
        <f>1/COUNTIF(B:B,Table1[[#This Row],[order_id]])</f>
        <v>0.5</v>
      </c>
      <c r="D4328" t="str">
        <f>TEXT(Table1[[#This Row],[order_date]],"mmmm")</f>
        <v>November</v>
      </c>
      <c r="E4328" s="1">
        <v>45623</v>
      </c>
      <c r="F4328" s="1" t="str">
        <f>TEXT(Table1[[#This Row],[order_date]],"dddd")</f>
        <v>Wednesday</v>
      </c>
      <c r="G4328">
        <f>HOUR(Table1[[#This Row],[order_time]])</f>
        <v>18</v>
      </c>
      <c r="H4328" s="2">
        <v>0.76918981481481485</v>
      </c>
      <c r="I4328" t="s">
        <v>18</v>
      </c>
      <c r="J4328" t="s">
        <v>27</v>
      </c>
      <c r="K4328">
        <v>5</v>
      </c>
      <c r="L4328">
        <v>40</v>
      </c>
      <c r="M4328">
        <v>200</v>
      </c>
      <c r="N4328">
        <f>IF(COUNTIFS($B$2:B4328,B4328)=1,1,0)</f>
        <v>1</v>
      </c>
    </row>
    <row r="4329" spans="1:14" x14ac:dyDescent="0.2">
      <c r="A4329">
        <v>4328</v>
      </c>
      <c r="B4329">
        <v>3175</v>
      </c>
      <c r="C4329">
        <f>1/COUNTIF(B:B,Table1[[#This Row],[order_id]])</f>
        <v>0.5</v>
      </c>
      <c r="D4329" t="str">
        <f>TEXT(Table1[[#This Row],[order_date]],"mmmm")</f>
        <v>November</v>
      </c>
      <c r="E4329" s="1">
        <v>45623</v>
      </c>
      <c r="F4329" s="1" t="str">
        <f>TEXT(Table1[[#This Row],[order_date]],"dddd")</f>
        <v>Wednesday</v>
      </c>
      <c r="G4329">
        <f>HOUR(Table1[[#This Row],[order_time]])</f>
        <v>16</v>
      </c>
      <c r="H4329" s="2">
        <v>0.6993287037037037</v>
      </c>
      <c r="I4329" t="s">
        <v>9</v>
      </c>
      <c r="J4329" t="s">
        <v>20</v>
      </c>
      <c r="K4329">
        <v>5</v>
      </c>
      <c r="L4329">
        <v>25</v>
      </c>
      <c r="M4329">
        <v>125</v>
      </c>
      <c r="N4329">
        <f>IF(COUNTIFS($B$2:B4329,B4329)=1,1,0)</f>
        <v>0</v>
      </c>
    </row>
    <row r="4330" spans="1:14" x14ac:dyDescent="0.2">
      <c r="A4330">
        <v>4329</v>
      </c>
      <c r="B4330">
        <v>3176</v>
      </c>
      <c r="C4330">
        <f>1/COUNTIF(B:B,Table1[[#This Row],[order_id]])</f>
        <v>1</v>
      </c>
      <c r="D4330" t="str">
        <f>TEXT(Table1[[#This Row],[order_date]],"mmmm")</f>
        <v>November</v>
      </c>
      <c r="E4330" s="1">
        <v>45623</v>
      </c>
      <c r="F4330" s="1" t="str">
        <f>TEXT(Table1[[#This Row],[order_date]],"dddd")</f>
        <v>Wednesday</v>
      </c>
      <c r="G4330">
        <f>HOUR(Table1[[#This Row],[order_time]])</f>
        <v>14</v>
      </c>
      <c r="H4330" s="2">
        <v>0.59206018518518522</v>
      </c>
      <c r="I4330" t="s">
        <v>9</v>
      </c>
      <c r="J4330" t="s">
        <v>20</v>
      </c>
      <c r="K4330">
        <v>3</v>
      </c>
      <c r="L4330">
        <v>25</v>
      </c>
      <c r="M4330">
        <v>75</v>
      </c>
      <c r="N4330">
        <f>IF(COUNTIFS($B$2:B4330,B4330)=1,1,0)</f>
        <v>1</v>
      </c>
    </row>
    <row r="4331" spans="1:14" x14ac:dyDescent="0.2">
      <c r="A4331">
        <v>4330</v>
      </c>
      <c r="B4331">
        <v>3177</v>
      </c>
      <c r="C4331">
        <f>1/COUNTIF(B:B,Table1[[#This Row],[order_id]])</f>
        <v>0.33333333333333331</v>
      </c>
      <c r="D4331" t="str">
        <f>TEXT(Table1[[#This Row],[order_date]],"mmmm")</f>
        <v>November</v>
      </c>
      <c r="E4331" s="1">
        <v>45623</v>
      </c>
      <c r="F4331" s="1" t="str">
        <f>TEXT(Table1[[#This Row],[order_date]],"dddd")</f>
        <v>Wednesday</v>
      </c>
      <c r="G4331">
        <f>HOUR(Table1[[#This Row],[order_time]])</f>
        <v>10</v>
      </c>
      <c r="H4331" s="2">
        <v>0.4440972222222222</v>
      </c>
      <c r="I4331" t="s">
        <v>18</v>
      </c>
      <c r="J4331" t="s">
        <v>19</v>
      </c>
      <c r="K4331">
        <v>2</v>
      </c>
      <c r="L4331">
        <v>50</v>
      </c>
      <c r="M4331">
        <v>100</v>
      </c>
      <c r="N4331">
        <f>IF(COUNTIFS($B$2:B4331,B4331)=1,1,0)</f>
        <v>1</v>
      </c>
    </row>
    <row r="4332" spans="1:14" x14ac:dyDescent="0.2">
      <c r="A4332">
        <v>4331</v>
      </c>
      <c r="B4332">
        <v>3177</v>
      </c>
      <c r="C4332">
        <f>1/COUNTIF(B:B,Table1[[#This Row],[order_id]])</f>
        <v>0.33333333333333331</v>
      </c>
      <c r="D4332" t="str">
        <f>TEXT(Table1[[#This Row],[order_date]],"mmmm")</f>
        <v>November</v>
      </c>
      <c r="E4332" s="1">
        <v>45623</v>
      </c>
      <c r="F4332" s="1" t="str">
        <f>TEXT(Table1[[#This Row],[order_date]],"dddd")</f>
        <v>Wednesday</v>
      </c>
      <c r="G4332">
        <f>HOUR(Table1[[#This Row],[order_time]])</f>
        <v>17</v>
      </c>
      <c r="H4332" s="2">
        <v>0.71475694444444449</v>
      </c>
      <c r="I4332" t="s">
        <v>11</v>
      </c>
      <c r="J4332" t="s">
        <v>15</v>
      </c>
      <c r="K4332">
        <v>2</v>
      </c>
      <c r="L4332">
        <v>600</v>
      </c>
      <c r="M4332">
        <v>1200</v>
      </c>
      <c r="N4332">
        <f>IF(COUNTIFS($B$2:B4332,B4332)=1,1,0)</f>
        <v>0</v>
      </c>
    </row>
    <row r="4333" spans="1:14" x14ac:dyDescent="0.2">
      <c r="A4333">
        <v>4332</v>
      </c>
      <c r="B4333">
        <v>3177</v>
      </c>
      <c r="C4333">
        <f>1/COUNTIF(B:B,Table1[[#This Row],[order_id]])</f>
        <v>0.33333333333333331</v>
      </c>
      <c r="D4333" t="str">
        <f>TEXT(Table1[[#This Row],[order_date]],"mmmm")</f>
        <v>November</v>
      </c>
      <c r="E4333" s="1">
        <v>45623</v>
      </c>
      <c r="F4333" s="1" t="str">
        <f>TEXT(Table1[[#This Row],[order_date]],"dddd")</f>
        <v>Wednesday</v>
      </c>
      <c r="G4333">
        <f>HOUR(Table1[[#This Row],[order_time]])</f>
        <v>12</v>
      </c>
      <c r="H4333" s="2">
        <v>0.50085648148148143</v>
      </c>
      <c r="I4333" t="s">
        <v>9</v>
      </c>
      <c r="J4333" t="s">
        <v>20</v>
      </c>
      <c r="K4333">
        <v>3</v>
      </c>
      <c r="L4333">
        <v>25</v>
      </c>
      <c r="M4333">
        <v>75</v>
      </c>
      <c r="N4333">
        <f>IF(COUNTIFS($B$2:B4333,B4333)=1,1,0)</f>
        <v>0</v>
      </c>
    </row>
    <row r="4334" spans="1:14" x14ac:dyDescent="0.2">
      <c r="A4334">
        <v>4333</v>
      </c>
      <c r="B4334">
        <v>3178</v>
      </c>
      <c r="C4334">
        <f>1/COUNTIF(B:B,Table1[[#This Row],[order_id]])</f>
        <v>0.33333333333333331</v>
      </c>
      <c r="D4334" t="str">
        <f>TEXT(Table1[[#This Row],[order_date]],"mmmm")</f>
        <v>November</v>
      </c>
      <c r="E4334" s="1">
        <v>45624</v>
      </c>
      <c r="F4334" s="1" t="str">
        <f>TEXT(Table1[[#This Row],[order_date]],"dddd")</f>
        <v>Thursday</v>
      </c>
      <c r="G4334">
        <f>HOUR(Table1[[#This Row],[order_time]])</f>
        <v>10</v>
      </c>
      <c r="H4334" s="2">
        <v>0.43893518518518521</v>
      </c>
      <c r="I4334" t="s">
        <v>9</v>
      </c>
      <c r="J4334" t="s">
        <v>29</v>
      </c>
      <c r="K4334">
        <v>5</v>
      </c>
      <c r="L4334">
        <v>5</v>
      </c>
      <c r="M4334">
        <v>25</v>
      </c>
      <c r="N4334">
        <f>IF(COUNTIFS($B$2:B4334,B4334)=1,1,0)</f>
        <v>1</v>
      </c>
    </row>
    <row r="4335" spans="1:14" x14ac:dyDescent="0.2">
      <c r="A4335">
        <v>4334</v>
      </c>
      <c r="B4335">
        <v>3178</v>
      </c>
      <c r="C4335">
        <f>1/COUNTIF(B:B,Table1[[#This Row],[order_id]])</f>
        <v>0.33333333333333331</v>
      </c>
      <c r="D4335" t="str">
        <f>TEXT(Table1[[#This Row],[order_date]],"mmmm")</f>
        <v>November</v>
      </c>
      <c r="E4335" s="1">
        <v>45624</v>
      </c>
      <c r="F4335" s="1" t="str">
        <f>TEXT(Table1[[#This Row],[order_date]],"dddd")</f>
        <v>Thursday</v>
      </c>
      <c r="G4335">
        <f>HOUR(Table1[[#This Row],[order_time]])</f>
        <v>19</v>
      </c>
      <c r="H4335" s="2">
        <v>0.79400462962962959</v>
      </c>
      <c r="I4335" t="s">
        <v>9</v>
      </c>
      <c r="J4335" t="s">
        <v>22</v>
      </c>
      <c r="K4335">
        <v>1</v>
      </c>
      <c r="L4335">
        <v>15</v>
      </c>
      <c r="M4335">
        <v>15</v>
      </c>
      <c r="N4335">
        <f>IF(COUNTIFS($B$2:B4335,B4335)=1,1,0)</f>
        <v>0</v>
      </c>
    </row>
    <row r="4336" spans="1:14" x14ac:dyDescent="0.2">
      <c r="A4336">
        <v>4335</v>
      </c>
      <c r="B4336">
        <v>3178</v>
      </c>
      <c r="C4336">
        <f>1/COUNTIF(B:B,Table1[[#This Row],[order_id]])</f>
        <v>0.33333333333333331</v>
      </c>
      <c r="D4336" t="str">
        <f>TEXT(Table1[[#This Row],[order_date]],"mmmm")</f>
        <v>November</v>
      </c>
      <c r="E4336" s="1">
        <v>45624</v>
      </c>
      <c r="F4336" s="1" t="str">
        <f>TEXT(Table1[[#This Row],[order_date]],"dddd")</f>
        <v>Thursday</v>
      </c>
      <c r="G4336">
        <f>HOUR(Table1[[#This Row],[order_time]])</f>
        <v>12</v>
      </c>
      <c r="H4336" s="2">
        <v>0.52435185185185185</v>
      </c>
      <c r="I4336" t="s">
        <v>9</v>
      </c>
      <c r="J4336" t="s">
        <v>22</v>
      </c>
      <c r="K4336">
        <v>3</v>
      </c>
      <c r="L4336">
        <v>15</v>
      </c>
      <c r="M4336">
        <v>45</v>
      </c>
      <c r="N4336">
        <f>IF(COUNTIFS($B$2:B4336,B4336)=1,1,0)</f>
        <v>0</v>
      </c>
    </row>
    <row r="4337" spans="1:14" x14ac:dyDescent="0.2">
      <c r="A4337">
        <v>4336</v>
      </c>
      <c r="B4337">
        <v>3179</v>
      </c>
      <c r="C4337">
        <f>1/COUNTIF(B:B,Table1[[#This Row],[order_id]])</f>
        <v>1</v>
      </c>
      <c r="D4337" t="str">
        <f>TEXT(Table1[[#This Row],[order_date]],"mmmm")</f>
        <v>November</v>
      </c>
      <c r="E4337" s="1">
        <v>45624</v>
      </c>
      <c r="F4337" s="1" t="str">
        <f>TEXT(Table1[[#This Row],[order_date]],"dddd")</f>
        <v>Thursday</v>
      </c>
      <c r="G4337">
        <f>HOUR(Table1[[#This Row],[order_time]])</f>
        <v>15</v>
      </c>
      <c r="H4337" s="2">
        <v>0.65319444444444441</v>
      </c>
      <c r="I4337" t="s">
        <v>9</v>
      </c>
      <c r="J4337" t="s">
        <v>10</v>
      </c>
      <c r="K4337">
        <v>3</v>
      </c>
      <c r="L4337">
        <v>20</v>
      </c>
      <c r="M4337">
        <v>60</v>
      </c>
      <c r="N4337">
        <f>IF(COUNTIFS($B$2:B4337,B4337)=1,1,0)</f>
        <v>1</v>
      </c>
    </row>
    <row r="4338" spans="1:14" x14ac:dyDescent="0.2">
      <c r="A4338">
        <v>4337</v>
      </c>
      <c r="B4338">
        <v>3180</v>
      </c>
      <c r="C4338">
        <f>1/COUNTIF(B:B,Table1[[#This Row],[order_id]])</f>
        <v>0.5</v>
      </c>
      <c r="D4338" t="str">
        <f>TEXT(Table1[[#This Row],[order_date]],"mmmm")</f>
        <v>November</v>
      </c>
      <c r="E4338" s="1">
        <v>45624</v>
      </c>
      <c r="F4338" s="1" t="str">
        <f>TEXT(Table1[[#This Row],[order_date]],"dddd")</f>
        <v>Thursday</v>
      </c>
      <c r="G4338">
        <f>HOUR(Table1[[#This Row],[order_time]])</f>
        <v>12</v>
      </c>
      <c r="H4338" s="2">
        <v>0.53084490740740742</v>
      </c>
      <c r="I4338" t="s">
        <v>11</v>
      </c>
      <c r="J4338" t="s">
        <v>14</v>
      </c>
      <c r="K4338">
        <v>5</v>
      </c>
      <c r="L4338">
        <v>700</v>
      </c>
      <c r="M4338">
        <v>3500</v>
      </c>
      <c r="N4338">
        <f>IF(COUNTIFS($B$2:B4338,B4338)=1,1,0)</f>
        <v>1</v>
      </c>
    </row>
    <row r="4339" spans="1:14" x14ac:dyDescent="0.2">
      <c r="A4339">
        <v>4338</v>
      </c>
      <c r="B4339">
        <v>3180</v>
      </c>
      <c r="C4339">
        <f>1/COUNTIF(B:B,Table1[[#This Row],[order_id]])</f>
        <v>0.5</v>
      </c>
      <c r="D4339" t="str">
        <f>TEXT(Table1[[#This Row],[order_date]],"mmmm")</f>
        <v>November</v>
      </c>
      <c r="E4339" s="1">
        <v>45624</v>
      </c>
      <c r="F4339" s="1" t="str">
        <f>TEXT(Table1[[#This Row],[order_date]],"dddd")</f>
        <v>Thursday</v>
      </c>
      <c r="G4339">
        <f>HOUR(Table1[[#This Row],[order_time]])</f>
        <v>14</v>
      </c>
      <c r="H4339" s="2">
        <v>0.59788194444444442</v>
      </c>
      <c r="I4339" t="s">
        <v>16</v>
      </c>
      <c r="J4339" t="s">
        <v>17</v>
      </c>
      <c r="K4339">
        <v>3</v>
      </c>
      <c r="L4339">
        <v>20</v>
      </c>
      <c r="M4339">
        <v>60</v>
      </c>
      <c r="N4339">
        <f>IF(COUNTIFS($B$2:B4339,B4339)=1,1,0)</f>
        <v>0</v>
      </c>
    </row>
    <row r="4340" spans="1:14" x14ac:dyDescent="0.2">
      <c r="A4340">
        <v>4339</v>
      </c>
      <c r="B4340">
        <v>3181</v>
      </c>
      <c r="C4340">
        <f>1/COUNTIF(B:B,Table1[[#This Row],[order_id]])</f>
        <v>1</v>
      </c>
      <c r="D4340" t="str">
        <f>TEXT(Table1[[#This Row],[order_date]],"mmmm")</f>
        <v>November</v>
      </c>
      <c r="E4340" s="1">
        <v>45624</v>
      </c>
      <c r="F4340" s="1" t="str">
        <f>TEXT(Table1[[#This Row],[order_date]],"dddd")</f>
        <v>Thursday</v>
      </c>
      <c r="G4340">
        <f>HOUR(Table1[[#This Row],[order_time]])</f>
        <v>17</v>
      </c>
      <c r="H4340" s="2">
        <v>0.74023148148148143</v>
      </c>
      <c r="I4340" t="s">
        <v>9</v>
      </c>
      <c r="J4340" t="s">
        <v>21</v>
      </c>
      <c r="K4340">
        <v>1</v>
      </c>
      <c r="L4340">
        <v>10</v>
      </c>
      <c r="M4340">
        <v>10</v>
      </c>
      <c r="N4340">
        <f>IF(COUNTIFS($B$2:B4340,B4340)=1,1,0)</f>
        <v>1</v>
      </c>
    </row>
    <row r="4341" spans="1:14" x14ac:dyDescent="0.2">
      <c r="A4341">
        <v>4340</v>
      </c>
      <c r="B4341">
        <v>3182</v>
      </c>
      <c r="C4341">
        <f>1/COUNTIF(B:B,Table1[[#This Row],[order_id]])</f>
        <v>0.5</v>
      </c>
      <c r="D4341" t="str">
        <f>TEXT(Table1[[#This Row],[order_date]],"mmmm")</f>
        <v>November</v>
      </c>
      <c r="E4341" s="1">
        <v>45624</v>
      </c>
      <c r="F4341" s="1" t="str">
        <f>TEXT(Table1[[#This Row],[order_date]],"dddd")</f>
        <v>Thursday</v>
      </c>
      <c r="G4341">
        <f>HOUR(Table1[[#This Row],[order_time]])</f>
        <v>17</v>
      </c>
      <c r="H4341" s="2">
        <v>0.72725694444444444</v>
      </c>
      <c r="I4341" t="s">
        <v>11</v>
      </c>
      <c r="J4341" t="s">
        <v>14</v>
      </c>
      <c r="K4341">
        <v>3</v>
      </c>
      <c r="L4341">
        <v>700</v>
      </c>
      <c r="M4341">
        <v>2100</v>
      </c>
      <c r="N4341">
        <f>IF(COUNTIFS($B$2:B4341,B4341)=1,1,0)</f>
        <v>1</v>
      </c>
    </row>
    <row r="4342" spans="1:14" x14ac:dyDescent="0.2">
      <c r="A4342">
        <v>4341</v>
      </c>
      <c r="B4342">
        <v>3182</v>
      </c>
      <c r="C4342">
        <f>1/COUNTIF(B:B,Table1[[#This Row],[order_id]])</f>
        <v>0.5</v>
      </c>
      <c r="D4342" t="str">
        <f>TEXT(Table1[[#This Row],[order_date]],"mmmm")</f>
        <v>November</v>
      </c>
      <c r="E4342" s="1">
        <v>45624</v>
      </c>
      <c r="F4342" s="1" t="str">
        <f>TEXT(Table1[[#This Row],[order_date]],"dddd")</f>
        <v>Thursday</v>
      </c>
      <c r="G4342">
        <f>HOUR(Table1[[#This Row],[order_time]])</f>
        <v>10</v>
      </c>
      <c r="H4342" s="2">
        <v>0.43905092592592593</v>
      </c>
      <c r="I4342" t="s">
        <v>11</v>
      </c>
      <c r="J4342" t="s">
        <v>25</v>
      </c>
      <c r="K4342">
        <v>4</v>
      </c>
      <c r="L4342">
        <v>1000</v>
      </c>
      <c r="M4342">
        <v>4000</v>
      </c>
      <c r="N4342">
        <f>IF(COUNTIFS($B$2:B4342,B4342)=1,1,0)</f>
        <v>0</v>
      </c>
    </row>
    <row r="4343" spans="1:14" x14ac:dyDescent="0.2">
      <c r="A4343">
        <v>4342</v>
      </c>
      <c r="B4343">
        <v>3183</v>
      </c>
      <c r="C4343">
        <f>1/COUNTIF(B:B,Table1[[#This Row],[order_id]])</f>
        <v>1</v>
      </c>
      <c r="D4343" t="str">
        <f>TEXT(Table1[[#This Row],[order_date]],"mmmm")</f>
        <v>November</v>
      </c>
      <c r="E4343" s="1">
        <v>45624</v>
      </c>
      <c r="F4343" s="1" t="str">
        <f>TEXT(Table1[[#This Row],[order_date]],"dddd")</f>
        <v>Thursday</v>
      </c>
      <c r="G4343">
        <f>HOUR(Table1[[#This Row],[order_time]])</f>
        <v>19</v>
      </c>
      <c r="H4343" s="2">
        <v>0.79304398148148147</v>
      </c>
      <c r="I4343" t="s">
        <v>11</v>
      </c>
      <c r="J4343" t="s">
        <v>15</v>
      </c>
      <c r="K4343">
        <v>4</v>
      </c>
      <c r="L4343">
        <v>600</v>
      </c>
      <c r="M4343">
        <v>2400</v>
      </c>
      <c r="N4343">
        <f>IF(COUNTIFS($B$2:B4343,B4343)=1,1,0)</f>
        <v>1</v>
      </c>
    </row>
    <row r="4344" spans="1:14" x14ac:dyDescent="0.2">
      <c r="A4344">
        <v>4343</v>
      </c>
      <c r="B4344">
        <v>3184</v>
      </c>
      <c r="C4344">
        <f>1/COUNTIF(B:B,Table1[[#This Row],[order_id]])</f>
        <v>0.33333333333333331</v>
      </c>
      <c r="D4344" t="str">
        <f>TEXT(Table1[[#This Row],[order_date]],"mmmm")</f>
        <v>November</v>
      </c>
      <c r="E4344" s="1">
        <v>45624</v>
      </c>
      <c r="F4344" s="1" t="str">
        <f>TEXT(Table1[[#This Row],[order_date]],"dddd")</f>
        <v>Thursday</v>
      </c>
      <c r="G4344">
        <f>HOUR(Table1[[#This Row],[order_time]])</f>
        <v>18</v>
      </c>
      <c r="H4344" s="2">
        <v>0.77244212962962966</v>
      </c>
      <c r="I4344" t="s">
        <v>9</v>
      </c>
      <c r="J4344" t="s">
        <v>29</v>
      </c>
      <c r="K4344">
        <v>5</v>
      </c>
      <c r="L4344">
        <v>5</v>
      </c>
      <c r="M4344">
        <v>25</v>
      </c>
      <c r="N4344">
        <f>IF(COUNTIFS($B$2:B4344,B4344)=1,1,0)</f>
        <v>1</v>
      </c>
    </row>
    <row r="4345" spans="1:14" x14ac:dyDescent="0.2">
      <c r="A4345">
        <v>4344</v>
      </c>
      <c r="B4345">
        <v>3184</v>
      </c>
      <c r="C4345">
        <f>1/COUNTIF(B:B,Table1[[#This Row],[order_id]])</f>
        <v>0.33333333333333331</v>
      </c>
      <c r="D4345" t="str">
        <f>TEXT(Table1[[#This Row],[order_date]],"mmmm")</f>
        <v>November</v>
      </c>
      <c r="E4345" s="1">
        <v>45624</v>
      </c>
      <c r="F4345" s="1" t="str">
        <f>TEXT(Table1[[#This Row],[order_date]],"dddd")</f>
        <v>Thursday</v>
      </c>
      <c r="G4345">
        <f>HOUR(Table1[[#This Row],[order_time]])</f>
        <v>15</v>
      </c>
      <c r="H4345" s="2">
        <v>0.62891203703703702</v>
      </c>
      <c r="I4345" t="s">
        <v>11</v>
      </c>
      <c r="J4345" t="s">
        <v>12</v>
      </c>
      <c r="K4345">
        <v>4</v>
      </c>
      <c r="L4345">
        <v>650</v>
      </c>
      <c r="M4345">
        <v>2600</v>
      </c>
      <c r="N4345">
        <f>IF(COUNTIFS($B$2:B4345,B4345)=1,1,0)</f>
        <v>0</v>
      </c>
    </row>
    <row r="4346" spans="1:14" x14ac:dyDescent="0.2">
      <c r="A4346">
        <v>4345</v>
      </c>
      <c r="B4346">
        <v>3184</v>
      </c>
      <c r="C4346">
        <f>1/COUNTIF(B:B,Table1[[#This Row],[order_id]])</f>
        <v>0.33333333333333331</v>
      </c>
      <c r="D4346" t="str">
        <f>TEXT(Table1[[#This Row],[order_date]],"mmmm")</f>
        <v>November</v>
      </c>
      <c r="E4346" s="1">
        <v>45624</v>
      </c>
      <c r="F4346" s="1" t="str">
        <f>TEXT(Table1[[#This Row],[order_date]],"dddd")</f>
        <v>Thursday</v>
      </c>
      <c r="G4346">
        <f>HOUR(Table1[[#This Row],[order_time]])</f>
        <v>11</v>
      </c>
      <c r="H4346" s="2">
        <v>0.49895833333333334</v>
      </c>
      <c r="I4346" t="s">
        <v>9</v>
      </c>
      <c r="J4346" t="s">
        <v>22</v>
      </c>
      <c r="K4346">
        <v>3</v>
      </c>
      <c r="L4346">
        <v>15</v>
      </c>
      <c r="M4346">
        <v>45</v>
      </c>
      <c r="N4346">
        <f>IF(COUNTIFS($B$2:B4346,B4346)=1,1,0)</f>
        <v>0</v>
      </c>
    </row>
    <row r="4347" spans="1:14" x14ac:dyDescent="0.2">
      <c r="A4347">
        <v>4346</v>
      </c>
      <c r="B4347">
        <v>3185</v>
      </c>
      <c r="C4347">
        <f>1/COUNTIF(B:B,Table1[[#This Row],[order_id]])</f>
        <v>0.5</v>
      </c>
      <c r="D4347" t="str">
        <f>TEXT(Table1[[#This Row],[order_date]],"mmmm")</f>
        <v>November</v>
      </c>
      <c r="E4347" s="1">
        <v>45624</v>
      </c>
      <c r="F4347" s="1" t="str">
        <f>TEXT(Table1[[#This Row],[order_date]],"dddd")</f>
        <v>Thursday</v>
      </c>
      <c r="G4347">
        <f>HOUR(Table1[[#This Row],[order_time]])</f>
        <v>20</v>
      </c>
      <c r="H4347" s="2">
        <v>0.85688657407407409</v>
      </c>
      <c r="I4347" t="s">
        <v>18</v>
      </c>
      <c r="J4347" t="s">
        <v>30</v>
      </c>
      <c r="K4347">
        <v>1</v>
      </c>
      <c r="L4347">
        <v>60</v>
      </c>
      <c r="M4347">
        <v>60</v>
      </c>
      <c r="N4347">
        <f>IF(COUNTIFS($B$2:B4347,B4347)=1,1,0)</f>
        <v>1</v>
      </c>
    </row>
    <row r="4348" spans="1:14" x14ac:dyDescent="0.2">
      <c r="A4348">
        <v>4347</v>
      </c>
      <c r="B4348">
        <v>3185</v>
      </c>
      <c r="C4348">
        <f>1/COUNTIF(B:B,Table1[[#This Row],[order_id]])</f>
        <v>0.5</v>
      </c>
      <c r="D4348" t="str">
        <f>TEXT(Table1[[#This Row],[order_date]],"mmmm")</f>
        <v>November</v>
      </c>
      <c r="E4348" s="1">
        <v>45624</v>
      </c>
      <c r="F4348" s="1" t="str">
        <f>TEXT(Table1[[#This Row],[order_date]],"dddd")</f>
        <v>Thursday</v>
      </c>
      <c r="G4348">
        <f>HOUR(Table1[[#This Row],[order_time]])</f>
        <v>12</v>
      </c>
      <c r="H4348" s="2">
        <v>0.54120370370370374</v>
      </c>
      <c r="I4348" t="s">
        <v>11</v>
      </c>
      <c r="J4348" t="s">
        <v>12</v>
      </c>
      <c r="K4348">
        <v>3</v>
      </c>
      <c r="L4348">
        <v>650</v>
      </c>
      <c r="M4348">
        <v>1950</v>
      </c>
      <c r="N4348">
        <f>IF(COUNTIFS($B$2:B4348,B4348)=1,1,0)</f>
        <v>0</v>
      </c>
    </row>
    <row r="4349" spans="1:14" x14ac:dyDescent="0.2">
      <c r="A4349">
        <v>4348</v>
      </c>
      <c r="B4349">
        <v>3186</v>
      </c>
      <c r="C4349">
        <f>1/COUNTIF(B:B,Table1[[#This Row],[order_id]])</f>
        <v>0.5</v>
      </c>
      <c r="D4349" t="str">
        <f>TEXT(Table1[[#This Row],[order_date]],"mmmm")</f>
        <v>November</v>
      </c>
      <c r="E4349" s="1">
        <v>45625</v>
      </c>
      <c r="F4349" s="1" t="str">
        <f>TEXT(Table1[[#This Row],[order_date]],"dddd")</f>
        <v>Friday</v>
      </c>
      <c r="G4349">
        <f>HOUR(Table1[[#This Row],[order_time]])</f>
        <v>14</v>
      </c>
      <c r="H4349" s="2">
        <v>0.59349537037037037</v>
      </c>
      <c r="I4349" t="s">
        <v>9</v>
      </c>
      <c r="J4349" t="s">
        <v>10</v>
      </c>
      <c r="K4349">
        <v>5</v>
      </c>
      <c r="L4349">
        <v>20</v>
      </c>
      <c r="M4349">
        <v>100</v>
      </c>
      <c r="N4349">
        <f>IF(COUNTIFS($B$2:B4349,B4349)=1,1,0)</f>
        <v>1</v>
      </c>
    </row>
    <row r="4350" spans="1:14" x14ac:dyDescent="0.2">
      <c r="A4350">
        <v>4349</v>
      </c>
      <c r="B4350">
        <v>3186</v>
      </c>
      <c r="C4350">
        <f>1/COUNTIF(B:B,Table1[[#This Row],[order_id]])</f>
        <v>0.5</v>
      </c>
      <c r="D4350" t="str">
        <f>TEXT(Table1[[#This Row],[order_date]],"mmmm")</f>
        <v>November</v>
      </c>
      <c r="E4350" s="1">
        <v>45625</v>
      </c>
      <c r="F4350" s="1" t="str">
        <f>TEXT(Table1[[#This Row],[order_date]],"dddd")</f>
        <v>Friday</v>
      </c>
      <c r="G4350">
        <f>HOUR(Table1[[#This Row],[order_time]])</f>
        <v>17</v>
      </c>
      <c r="H4350" s="2">
        <v>0.72473379629629631</v>
      </c>
      <c r="I4350" t="s">
        <v>16</v>
      </c>
      <c r="J4350" t="s">
        <v>28</v>
      </c>
      <c r="K4350">
        <v>1</v>
      </c>
      <c r="L4350">
        <v>25</v>
      </c>
      <c r="M4350">
        <v>25</v>
      </c>
      <c r="N4350">
        <f>IF(COUNTIFS($B$2:B4350,B4350)=1,1,0)</f>
        <v>0</v>
      </c>
    </row>
    <row r="4351" spans="1:14" x14ac:dyDescent="0.2">
      <c r="A4351">
        <v>4350</v>
      </c>
      <c r="B4351">
        <v>3187</v>
      </c>
      <c r="C4351">
        <f>1/COUNTIF(B:B,Table1[[#This Row],[order_id]])</f>
        <v>1</v>
      </c>
      <c r="D4351" t="str">
        <f>TEXT(Table1[[#This Row],[order_date]],"mmmm")</f>
        <v>November</v>
      </c>
      <c r="E4351" s="1">
        <v>45625</v>
      </c>
      <c r="F4351" s="1" t="str">
        <f>TEXT(Table1[[#This Row],[order_date]],"dddd")</f>
        <v>Friday</v>
      </c>
      <c r="G4351">
        <f>HOUR(Table1[[#This Row],[order_time]])</f>
        <v>13</v>
      </c>
      <c r="H4351" s="2">
        <v>0.56196759259259255</v>
      </c>
      <c r="I4351" t="s">
        <v>11</v>
      </c>
      <c r="J4351" t="s">
        <v>25</v>
      </c>
      <c r="K4351">
        <v>2</v>
      </c>
      <c r="L4351">
        <v>1000</v>
      </c>
      <c r="M4351">
        <v>2000</v>
      </c>
      <c r="N4351">
        <f>IF(COUNTIFS($B$2:B4351,B4351)=1,1,0)</f>
        <v>1</v>
      </c>
    </row>
    <row r="4352" spans="1:14" x14ac:dyDescent="0.2">
      <c r="A4352">
        <v>4351</v>
      </c>
      <c r="B4352">
        <v>3188</v>
      </c>
      <c r="C4352">
        <f>1/COUNTIF(B:B,Table1[[#This Row],[order_id]])</f>
        <v>0.5</v>
      </c>
      <c r="D4352" t="str">
        <f>TEXT(Table1[[#This Row],[order_date]],"mmmm")</f>
        <v>November</v>
      </c>
      <c r="E4352" s="1">
        <v>45625</v>
      </c>
      <c r="F4352" s="1" t="str">
        <f>TEXT(Table1[[#This Row],[order_date]],"dddd")</f>
        <v>Friday</v>
      </c>
      <c r="G4352">
        <f>HOUR(Table1[[#This Row],[order_time]])</f>
        <v>16</v>
      </c>
      <c r="H4352" s="2">
        <v>0.67501157407407408</v>
      </c>
      <c r="I4352" t="s">
        <v>18</v>
      </c>
      <c r="J4352" t="s">
        <v>30</v>
      </c>
      <c r="K4352">
        <v>4</v>
      </c>
      <c r="L4352">
        <v>60</v>
      </c>
      <c r="M4352">
        <v>240</v>
      </c>
      <c r="N4352">
        <f>IF(COUNTIFS($B$2:B4352,B4352)=1,1,0)</f>
        <v>1</v>
      </c>
    </row>
    <row r="4353" spans="1:14" x14ac:dyDescent="0.2">
      <c r="A4353">
        <v>4352</v>
      </c>
      <c r="B4353">
        <v>3188</v>
      </c>
      <c r="C4353">
        <f>1/COUNTIF(B:B,Table1[[#This Row],[order_id]])</f>
        <v>0.5</v>
      </c>
      <c r="D4353" t="str">
        <f>TEXT(Table1[[#This Row],[order_date]],"mmmm")</f>
        <v>November</v>
      </c>
      <c r="E4353" s="1">
        <v>45625</v>
      </c>
      <c r="F4353" s="1" t="str">
        <f>TEXT(Table1[[#This Row],[order_date]],"dddd")</f>
        <v>Friday</v>
      </c>
      <c r="G4353">
        <f>HOUR(Table1[[#This Row],[order_time]])</f>
        <v>14</v>
      </c>
      <c r="H4353" s="2">
        <v>0.59976851851851853</v>
      </c>
      <c r="I4353" t="s">
        <v>16</v>
      </c>
      <c r="J4353" t="s">
        <v>28</v>
      </c>
      <c r="K4353">
        <v>5</v>
      </c>
      <c r="L4353">
        <v>25</v>
      </c>
      <c r="M4353">
        <v>125</v>
      </c>
      <c r="N4353">
        <f>IF(COUNTIFS($B$2:B4353,B4353)=1,1,0)</f>
        <v>0</v>
      </c>
    </row>
    <row r="4354" spans="1:14" x14ac:dyDescent="0.2">
      <c r="A4354">
        <v>4353</v>
      </c>
      <c r="B4354">
        <v>3189</v>
      </c>
      <c r="C4354">
        <f>1/COUNTIF(B:B,Table1[[#This Row],[order_id]])</f>
        <v>1</v>
      </c>
      <c r="D4354" t="str">
        <f>TEXT(Table1[[#This Row],[order_date]],"mmmm")</f>
        <v>November</v>
      </c>
      <c r="E4354" s="1">
        <v>45626</v>
      </c>
      <c r="F4354" s="1" t="str">
        <f>TEXT(Table1[[#This Row],[order_date]],"dddd")</f>
        <v>Saturday</v>
      </c>
      <c r="G4354">
        <f>HOUR(Table1[[#This Row],[order_time]])</f>
        <v>15</v>
      </c>
      <c r="H4354" s="2">
        <v>0.63587962962962963</v>
      </c>
      <c r="I4354" t="s">
        <v>9</v>
      </c>
      <c r="J4354" t="s">
        <v>21</v>
      </c>
      <c r="K4354">
        <v>1</v>
      </c>
      <c r="L4354">
        <v>10</v>
      </c>
      <c r="M4354">
        <v>10</v>
      </c>
      <c r="N4354">
        <f>IF(COUNTIFS($B$2:B4354,B4354)=1,1,0)</f>
        <v>1</v>
      </c>
    </row>
    <row r="4355" spans="1:14" x14ac:dyDescent="0.2">
      <c r="A4355">
        <v>4354</v>
      </c>
      <c r="B4355">
        <v>3190</v>
      </c>
      <c r="C4355">
        <f>1/COUNTIF(B:B,Table1[[#This Row],[order_id]])</f>
        <v>0.5</v>
      </c>
      <c r="D4355" t="str">
        <f>TEXT(Table1[[#This Row],[order_date]],"mmmm")</f>
        <v>November</v>
      </c>
      <c r="E4355" s="1">
        <v>45626</v>
      </c>
      <c r="F4355" s="1" t="str">
        <f>TEXT(Table1[[#This Row],[order_date]],"dddd")</f>
        <v>Saturday</v>
      </c>
      <c r="G4355">
        <f>HOUR(Table1[[#This Row],[order_time]])</f>
        <v>16</v>
      </c>
      <c r="H4355" s="2">
        <v>0.70460648148148153</v>
      </c>
      <c r="I4355" t="s">
        <v>18</v>
      </c>
      <c r="J4355" t="s">
        <v>30</v>
      </c>
      <c r="K4355">
        <v>5</v>
      </c>
      <c r="L4355">
        <v>60</v>
      </c>
      <c r="M4355">
        <v>300</v>
      </c>
      <c r="N4355">
        <f>IF(COUNTIFS($B$2:B4355,B4355)=1,1,0)</f>
        <v>1</v>
      </c>
    </row>
    <row r="4356" spans="1:14" x14ac:dyDescent="0.2">
      <c r="A4356">
        <v>4355</v>
      </c>
      <c r="B4356">
        <v>3190</v>
      </c>
      <c r="C4356">
        <f>1/COUNTIF(B:B,Table1[[#This Row],[order_id]])</f>
        <v>0.5</v>
      </c>
      <c r="D4356" t="str">
        <f>TEXT(Table1[[#This Row],[order_date]],"mmmm")</f>
        <v>November</v>
      </c>
      <c r="E4356" s="1">
        <v>45626</v>
      </c>
      <c r="F4356" s="1" t="str">
        <f>TEXT(Table1[[#This Row],[order_date]],"dddd")</f>
        <v>Saturday</v>
      </c>
      <c r="G4356">
        <f>HOUR(Table1[[#This Row],[order_time]])</f>
        <v>15</v>
      </c>
      <c r="H4356" s="2">
        <v>0.63288194444444446</v>
      </c>
      <c r="I4356" t="s">
        <v>16</v>
      </c>
      <c r="J4356" t="s">
        <v>24</v>
      </c>
      <c r="K4356">
        <v>2</v>
      </c>
      <c r="L4356">
        <v>35</v>
      </c>
      <c r="M4356">
        <v>70</v>
      </c>
      <c r="N4356">
        <f>IF(COUNTIFS($B$2:B4356,B4356)=1,1,0)</f>
        <v>0</v>
      </c>
    </row>
    <row r="4357" spans="1:14" x14ac:dyDescent="0.2">
      <c r="A4357">
        <v>4356</v>
      </c>
      <c r="B4357">
        <v>3191</v>
      </c>
      <c r="C4357">
        <f>1/COUNTIF(B:B,Table1[[#This Row],[order_id]])</f>
        <v>0.33333333333333331</v>
      </c>
      <c r="D4357" t="str">
        <f>TEXT(Table1[[#This Row],[order_date]],"mmmm")</f>
        <v>November</v>
      </c>
      <c r="E4357" s="1">
        <v>45626</v>
      </c>
      <c r="F4357" s="1" t="str">
        <f>TEXT(Table1[[#This Row],[order_date]],"dddd")</f>
        <v>Saturday</v>
      </c>
      <c r="G4357">
        <f>HOUR(Table1[[#This Row],[order_time]])</f>
        <v>11</v>
      </c>
      <c r="H4357" s="2">
        <v>0.48400462962962965</v>
      </c>
      <c r="I4357" t="s">
        <v>16</v>
      </c>
      <c r="J4357" t="s">
        <v>24</v>
      </c>
      <c r="K4357">
        <v>2</v>
      </c>
      <c r="L4357">
        <v>35</v>
      </c>
      <c r="M4357">
        <v>70</v>
      </c>
      <c r="N4357">
        <f>IF(COUNTIFS($B$2:B4357,B4357)=1,1,0)</f>
        <v>1</v>
      </c>
    </row>
    <row r="4358" spans="1:14" x14ac:dyDescent="0.2">
      <c r="A4358">
        <v>4357</v>
      </c>
      <c r="B4358">
        <v>3191</v>
      </c>
      <c r="C4358">
        <f>1/COUNTIF(B:B,Table1[[#This Row],[order_id]])</f>
        <v>0.33333333333333331</v>
      </c>
      <c r="D4358" t="str">
        <f>TEXT(Table1[[#This Row],[order_date]],"mmmm")</f>
        <v>November</v>
      </c>
      <c r="E4358" s="1">
        <v>45626</v>
      </c>
      <c r="F4358" s="1" t="str">
        <f>TEXT(Table1[[#This Row],[order_date]],"dddd")</f>
        <v>Saturday</v>
      </c>
      <c r="G4358">
        <f>HOUR(Table1[[#This Row],[order_time]])</f>
        <v>17</v>
      </c>
      <c r="H4358" s="2">
        <v>0.73532407407407407</v>
      </c>
      <c r="I4358" t="s">
        <v>16</v>
      </c>
      <c r="J4358" t="s">
        <v>28</v>
      </c>
      <c r="K4358">
        <v>3</v>
      </c>
      <c r="L4358">
        <v>25</v>
      </c>
      <c r="M4358">
        <v>75</v>
      </c>
      <c r="N4358">
        <f>IF(COUNTIFS($B$2:B4358,B4358)=1,1,0)</f>
        <v>0</v>
      </c>
    </row>
    <row r="4359" spans="1:14" x14ac:dyDescent="0.2">
      <c r="A4359">
        <v>4358</v>
      </c>
      <c r="B4359">
        <v>3191</v>
      </c>
      <c r="C4359">
        <f>1/COUNTIF(B:B,Table1[[#This Row],[order_id]])</f>
        <v>0.33333333333333331</v>
      </c>
      <c r="D4359" t="str">
        <f>TEXT(Table1[[#This Row],[order_date]],"mmmm")</f>
        <v>November</v>
      </c>
      <c r="E4359" s="1">
        <v>45626</v>
      </c>
      <c r="F4359" s="1" t="str">
        <f>TEXT(Table1[[#This Row],[order_date]],"dddd")</f>
        <v>Saturday</v>
      </c>
      <c r="G4359">
        <f>HOUR(Table1[[#This Row],[order_time]])</f>
        <v>13</v>
      </c>
      <c r="H4359" s="2">
        <v>0.55582175925925925</v>
      </c>
      <c r="I4359" t="s">
        <v>9</v>
      </c>
      <c r="J4359" t="s">
        <v>21</v>
      </c>
      <c r="K4359">
        <v>2</v>
      </c>
      <c r="L4359">
        <v>10</v>
      </c>
      <c r="M4359">
        <v>20</v>
      </c>
      <c r="N4359">
        <f>IF(COUNTIFS($B$2:B4359,B4359)=1,1,0)</f>
        <v>0</v>
      </c>
    </row>
    <row r="4360" spans="1:14" x14ac:dyDescent="0.2">
      <c r="A4360">
        <v>4359</v>
      </c>
      <c r="B4360">
        <v>3192</v>
      </c>
      <c r="C4360">
        <f>1/COUNTIF(B:B,Table1[[#This Row],[order_id]])</f>
        <v>1</v>
      </c>
      <c r="D4360" t="str">
        <f>TEXT(Table1[[#This Row],[order_date]],"mmmm")</f>
        <v>November</v>
      </c>
      <c r="E4360" s="1">
        <v>45626</v>
      </c>
      <c r="F4360" s="1" t="str">
        <f>TEXT(Table1[[#This Row],[order_date]],"dddd")</f>
        <v>Saturday</v>
      </c>
      <c r="G4360">
        <f>HOUR(Table1[[#This Row],[order_time]])</f>
        <v>11</v>
      </c>
      <c r="H4360" s="2">
        <v>0.45975694444444443</v>
      </c>
      <c r="I4360" t="s">
        <v>16</v>
      </c>
      <c r="J4360" t="s">
        <v>28</v>
      </c>
      <c r="K4360">
        <v>3</v>
      </c>
      <c r="L4360">
        <v>25</v>
      </c>
      <c r="M4360">
        <v>75</v>
      </c>
      <c r="N4360">
        <f>IF(COUNTIFS($B$2:B4360,B4360)=1,1,0)</f>
        <v>1</v>
      </c>
    </row>
    <row r="4361" spans="1:14" x14ac:dyDescent="0.2">
      <c r="A4361">
        <v>4360</v>
      </c>
      <c r="B4361">
        <v>3193</v>
      </c>
      <c r="C4361">
        <f>1/COUNTIF(B:B,Table1[[#This Row],[order_id]])</f>
        <v>0.33333333333333331</v>
      </c>
      <c r="D4361" t="str">
        <f>TEXT(Table1[[#This Row],[order_date]],"mmmm")</f>
        <v>November</v>
      </c>
      <c r="E4361" s="1">
        <v>45626</v>
      </c>
      <c r="F4361" s="1" t="str">
        <f>TEXT(Table1[[#This Row],[order_date]],"dddd")</f>
        <v>Saturday</v>
      </c>
      <c r="G4361">
        <f>HOUR(Table1[[#This Row],[order_time]])</f>
        <v>15</v>
      </c>
      <c r="H4361" s="2">
        <v>0.65325231481481483</v>
      </c>
      <c r="I4361" t="s">
        <v>18</v>
      </c>
      <c r="J4361" t="s">
        <v>31</v>
      </c>
      <c r="K4361">
        <v>5</v>
      </c>
      <c r="L4361">
        <v>45</v>
      </c>
      <c r="M4361">
        <v>225</v>
      </c>
      <c r="N4361">
        <f>IF(COUNTIFS($B$2:B4361,B4361)=1,1,0)</f>
        <v>1</v>
      </c>
    </row>
    <row r="4362" spans="1:14" x14ac:dyDescent="0.2">
      <c r="A4362">
        <v>4361</v>
      </c>
      <c r="B4362">
        <v>3193</v>
      </c>
      <c r="C4362">
        <f>1/COUNTIF(B:B,Table1[[#This Row],[order_id]])</f>
        <v>0.33333333333333331</v>
      </c>
      <c r="D4362" t="str">
        <f>TEXT(Table1[[#This Row],[order_date]],"mmmm")</f>
        <v>November</v>
      </c>
      <c r="E4362" s="1">
        <v>45626</v>
      </c>
      <c r="F4362" s="1" t="str">
        <f>TEXT(Table1[[#This Row],[order_date]],"dddd")</f>
        <v>Saturday</v>
      </c>
      <c r="G4362">
        <f>HOUR(Table1[[#This Row],[order_time]])</f>
        <v>9</v>
      </c>
      <c r="H4362" s="2">
        <v>0.39655092592592595</v>
      </c>
      <c r="I4362" t="s">
        <v>11</v>
      </c>
      <c r="J4362" t="s">
        <v>12</v>
      </c>
      <c r="K4362">
        <v>5</v>
      </c>
      <c r="L4362">
        <v>650</v>
      </c>
      <c r="M4362">
        <v>3250</v>
      </c>
      <c r="N4362">
        <f>IF(COUNTIFS($B$2:B4362,B4362)=1,1,0)</f>
        <v>0</v>
      </c>
    </row>
    <row r="4363" spans="1:14" x14ac:dyDescent="0.2">
      <c r="A4363">
        <v>4362</v>
      </c>
      <c r="B4363">
        <v>3193</v>
      </c>
      <c r="C4363">
        <f>1/COUNTIF(B:B,Table1[[#This Row],[order_id]])</f>
        <v>0.33333333333333331</v>
      </c>
      <c r="D4363" t="str">
        <f>TEXT(Table1[[#This Row],[order_date]],"mmmm")</f>
        <v>November</v>
      </c>
      <c r="E4363" s="1">
        <v>45626</v>
      </c>
      <c r="F4363" s="1" t="str">
        <f>TEXT(Table1[[#This Row],[order_date]],"dddd")</f>
        <v>Saturday</v>
      </c>
      <c r="G4363">
        <f>HOUR(Table1[[#This Row],[order_time]])</f>
        <v>17</v>
      </c>
      <c r="H4363" s="2">
        <v>0.73130787037037037</v>
      </c>
      <c r="I4363" t="s">
        <v>16</v>
      </c>
      <c r="J4363" t="s">
        <v>24</v>
      </c>
      <c r="K4363">
        <v>1</v>
      </c>
      <c r="L4363">
        <v>35</v>
      </c>
      <c r="M4363">
        <v>35</v>
      </c>
      <c r="N4363">
        <f>IF(COUNTIFS($B$2:B4363,B4363)=1,1,0)</f>
        <v>0</v>
      </c>
    </row>
    <row r="4364" spans="1:14" x14ac:dyDescent="0.2">
      <c r="A4364">
        <v>4363</v>
      </c>
      <c r="B4364">
        <v>3194</v>
      </c>
      <c r="C4364">
        <f>1/COUNTIF(B:B,Table1[[#This Row],[order_id]])</f>
        <v>0.5</v>
      </c>
      <c r="D4364" t="str">
        <f>TEXT(Table1[[#This Row],[order_date]],"mmmm")</f>
        <v>November</v>
      </c>
      <c r="E4364" s="1">
        <v>45626</v>
      </c>
      <c r="F4364" s="1" t="str">
        <f>TEXT(Table1[[#This Row],[order_date]],"dddd")</f>
        <v>Saturday</v>
      </c>
      <c r="G4364">
        <f>HOUR(Table1[[#This Row],[order_time]])</f>
        <v>11</v>
      </c>
      <c r="H4364" s="2">
        <v>0.47890046296296296</v>
      </c>
      <c r="I4364" t="s">
        <v>11</v>
      </c>
      <c r="J4364" t="s">
        <v>25</v>
      </c>
      <c r="K4364">
        <v>2</v>
      </c>
      <c r="L4364">
        <v>1000</v>
      </c>
      <c r="M4364">
        <v>2000</v>
      </c>
      <c r="N4364">
        <f>IF(COUNTIFS($B$2:B4364,B4364)=1,1,0)</f>
        <v>1</v>
      </c>
    </row>
    <row r="4365" spans="1:14" x14ac:dyDescent="0.2">
      <c r="A4365">
        <v>4364</v>
      </c>
      <c r="B4365">
        <v>3194</v>
      </c>
      <c r="C4365">
        <f>1/COUNTIF(B:B,Table1[[#This Row],[order_id]])</f>
        <v>0.5</v>
      </c>
      <c r="D4365" t="str">
        <f>TEXT(Table1[[#This Row],[order_date]],"mmmm")</f>
        <v>November</v>
      </c>
      <c r="E4365" s="1">
        <v>45626</v>
      </c>
      <c r="F4365" s="1" t="str">
        <f>TEXT(Table1[[#This Row],[order_date]],"dddd")</f>
        <v>Saturday</v>
      </c>
      <c r="G4365">
        <f>HOUR(Table1[[#This Row],[order_time]])</f>
        <v>11</v>
      </c>
      <c r="H4365" s="2">
        <v>0.47317129629629628</v>
      </c>
      <c r="I4365" t="s">
        <v>18</v>
      </c>
      <c r="J4365" t="s">
        <v>30</v>
      </c>
      <c r="K4365">
        <v>4</v>
      </c>
      <c r="L4365">
        <v>60</v>
      </c>
      <c r="M4365">
        <v>240</v>
      </c>
      <c r="N4365">
        <f>IF(COUNTIFS($B$2:B4365,B4365)=1,1,0)</f>
        <v>0</v>
      </c>
    </row>
    <row r="4366" spans="1:14" x14ac:dyDescent="0.2">
      <c r="A4366">
        <v>4365</v>
      </c>
      <c r="B4366">
        <v>3195</v>
      </c>
      <c r="C4366">
        <f>1/COUNTIF(B:B,Table1[[#This Row],[order_id]])</f>
        <v>0.33333333333333331</v>
      </c>
      <c r="D4366" t="str">
        <f>TEXT(Table1[[#This Row],[order_date]],"mmmm")</f>
        <v>November</v>
      </c>
      <c r="E4366" s="1">
        <v>45626</v>
      </c>
      <c r="F4366" s="1" t="str">
        <f>TEXT(Table1[[#This Row],[order_date]],"dddd")</f>
        <v>Saturday</v>
      </c>
      <c r="G4366">
        <f>HOUR(Table1[[#This Row],[order_time]])</f>
        <v>13</v>
      </c>
      <c r="H4366" s="2">
        <v>0.55018518518518522</v>
      </c>
      <c r="I4366" t="s">
        <v>9</v>
      </c>
      <c r="J4366" t="s">
        <v>20</v>
      </c>
      <c r="K4366">
        <v>3</v>
      </c>
      <c r="L4366">
        <v>25</v>
      </c>
      <c r="M4366">
        <v>75</v>
      </c>
      <c r="N4366">
        <f>IF(COUNTIFS($B$2:B4366,B4366)=1,1,0)</f>
        <v>1</v>
      </c>
    </row>
    <row r="4367" spans="1:14" x14ac:dyDescent="0.2">
      <c r="A4367">
        <v>4366</v>
      </c>
      <c r="B4367">
        <v>3195</v>
      </c>
      <c r="C4367">
        <f>1/COUNTIF(B:B,Table1[[#This Row],[order_id]])</f>
        <v>0.33333333333333331</v>
      </c>
      <c r="D4367" t="str">
        <f>TEXT(Table1[[#This Row],[order_date]],"mmmm")</f>
        <v>November</v>
      </c>
      <c r="E4367" s="1">
        <v>45626</v>
      </c>
      <c r="F4367" s="1" t="str">
        <f>TEXT(Table1[[#This Row],[order_date]],"dddd")</f>
        <v>Saturday</v>
      </c>
      <c r="G4367">
        <f>HOUR(Table1[[#This Row],[order_time]])</f>
        <v>18</v>
      </c>
      <c r="H4367" s="2">
        <v>0.78729166666666661</v>
      </c>
      <c r="I4367" t="s">
        <v>16</v>
      </c>
      <c r="J4367" t="s">
        <v>24</v>
      </c>
      <c r="K4367">
        <v>1</v>
      </c>
      <c r="L4367">
        <v>35</v>
      </c>
      <c r="M4367">
        <v>35</v>
      </c>
      <c r="N4367">
        <f>IF(COUNTIFS($B$2:B4367,B4367)=1,1,0)</f>
        <v>0</v>
      </c>
    </row>
    <row r="4368" spans="1:14" x14ac:dyDescent="0.2">
      <c r="A4368">
        <v>4367</v>
      </c>
      <c r="B4368">
        <v>3195</v>
      </c>
      <c r="C4368">
        <f>1/COUNTIF(B:B,Table1[[#This Row],[order_id]])</f>
        <v>0.33333333333333331</v>
      </c>
      <c r="D4368" t="str">
        <f>TEXT(Table1[[#This Row],[order_date]],"mmmm")</f>
        <v>November</v>
      </c>
      <c r="E4368" s="1">
        <v>45626</v>
      </c>
      <c r="F4368" s="1" t="str">
        <f>TEXT(Table1[[#This Row],[order_date]],"dddd")</f>
        <v>Saturday</v>
      </c>
      <c r="G4368">
        <f>HOUR(Table1[[#This Row],[order_time]])</f>
        <v>18</v>
      </c>
      <c r="H4368" s="2">
        <v>0.75949074074074074</v>
      </c>
      <c r="I4368" t="s">
        <v>16</v>
      </c>
      <c r="J4368" t="s">
        <v>28</v>
      </c>
      <c r="K4368">
        <v>5</v>
      </c>
      <c r="L4368">
        <v>25</v>
      </c>
      <c r="M4368">
        <v>125</v>
      </c>
      <c r="N4368">
        <f>IF(COUNTIFS($B$2:B4368,B4368)=1,1,0)</f>
        <v>0</v>
      </c>
    </row>
    <row r="4369" spans="1:14" x14ac:dyDescent="0.2">
      <c r="A4369">
        <v>4368</v>
      </c>
      <c r="B4369">
        <v>3196</v>
      </c>
      <c r="C4369">
        <f>1/COUNTIF(B:B,Table1[[#This Row],[order_id]])</f>
        <v>0.33333333333333331</v>
      </c>
      <c r="D4369" t="str">
        <f>TEXT(Table1[[#This Row],[order_date]],"mmmm")</f>
        <v>November</v>
      </c>
      <c r="E4369" s="1">
        <v>45626</v>
      </c>
      <c r="F4369" s="1" t="str">
        <f>TEXT(Table1[[#This Row],[order_date]],"dddd")</f>
        <v>Saturday</v>
      </c>
      <c r="G4369">
        <f>HOUR(Table1[[#This Row],[order_time]])</f>
        <v>17</v>
      </c>
      <c r="H4369" s="2">
        <v>0.71187500000000004</v>
      </c>
      <c r="I4369" t="s">
        <v>9</v>
      </c>
      <c r="J4369" t="s">
        <v>29</v>
      </c>
      <c r="K4369">
        <v>2</v>
      </c>
      <c r="L4369">
        <v>5</v>
      </c>
      <c r="M4369">
        <v>10</v>
      </c>
      <c r="N4369">
        <f>IF(COUNTIFS($B$2:B4369,B4369)=1,1,0)</f>
        <v>1</v>
      </c>
    </row>
    <row r="4370" spans="1:14" x14ac:dyDescent="0.2">
      <c r="A4370">
        <v>4369</v>
      </c>
      <c r="B4370">
        <v>3196</v>
      </c>
      <c r="C4370">
        <f>1/COUNTIF(B:B,Table1[[#This Row],[order_id]])</f>
        <v>0.33333333333333331</v>
      </c>
      <c r="D4370" t="str">
        <f>TEXT(Table1[[#This Row],[order_date]],"mmmm")</f>
        <v>November</v>
      </c>
      <c r="E4370" s="1">
        <v>45626</v>
      </c>
      <c r="F4370" s="1" t="str">
        <f>TEXT(Table1[[#This Row],[order_date]],"dddd")</f>
        <v>Saturday</v>
      </c>
      <c r="G4370">
        <f>HOUR(Table1[[#This Row],[order_time]])</f>
        <v>9</v>
      </c>
      <c r="H4370" s="2">
        <v>0.41047453703703701</v>
      </c>
      <c r="I4370" t="s">
        <v>9</v>
      </c>
      <c r="J4370" t="s">
        <v>29</v>
      </c>
      <c r="K4370">
        <v>5</v>
      </c>
      <c r="L4370">
        <v>5</v>
      </c>
      <c r="M4370">
        <v>25</v>
      </c>
      <c r="N4370">
        <f>IF(COUNTIFS($B$2:B4370,B4370)=1,1,0)</f>
        <v>0</v>
      </c>
    </row>
    <row r="4371" spans="1:14" x14ac:dyDescent="0.2">
      <c r="A4371">
        <v>4370</v>
      </c>
      <c r="B4371">
        <v>3196</v>
      </c>
      <c r="C4371">
        <f>1/COUNTIF(B:B,Table1[[#This Row],[order_id]])</f>
        <v>0.33333333333333331</v>
      </c>
      <c r="D4371" t="str">
        <f>TEXT(Table1[[#This Row],[order_date]],"mmmm")</f>
        <v>November</v>
      </c>
      <c r="E4371" s="1">
        <v>45626</v>
      </c>
      <c r="F4371" s="1" t="str">
        <f>TEXT(Table1[[#This Row],[order_date]],"dddd")</f>
        <v>Saturday</v>
      </c>
      <c r="G4371">
        <f>HOUR(Table1[[#This Row],[order_time]])</f>
        <v>14</v>
      </c>
      <c r="H4371" s="2">
        <v>0.61190972222222217</v>
      </c>
      <c r="I4371" t="s">
        <v>18</v>
      </c>
      <c r="J4371" t="s">
        <v>31</v>
      </c>
      <c r="K4371">
        <v>1</v>
      </c>
      <c r="L4371">
        <v>45</v>
      </c>
      <c r="M4371">
        <v>45</v>
      </c>
      <c r="N4371">
        <f>IF(COUNTIFS($B$2:B4371,B4371)=1,1,0)</f>
        <v>0</v>
      </c>
    </row>
    <row r="4372" spans="1:14" x14ac:dyDescent="0.2">
      <c r="A4372">
        <v>4371</v>
      </c>
      <c r="B4372">
        <v>3197</v>
      </c>
      <c r="C4372">
        <f>1/COUNTIF(B:B,Table1[[#This Row],[order_id]])</f>
        <v>1</v>
      </c>
      <c r="D4372" t="str">
        <f>TEXT(Table1[[#This Row],[order_date]],"mmmm")</f>
        <v>November</v>
      </c>
      <c r="E4372" s="1">
        <v>45626</v>
      </c>
      <c r="F4372" s="1" t="str">
        <f>TEXT(Table1[[#This Row],[order_date]],"dddd")</f>
        <v>Saturday</v>
      </c>
      <c r="G4372">
        <f>HOUR(Table1[[#This Row],[order_time]])</f>
        <v>16</v>
      </c>
      <c r="H4372" s="2">
        <v>0.67270833333333335</v>
      </c>
      <c r="I4372" t="s">
        <v>16</v>
      </c>
      <c r="J4372" t="s">
        <v>28</v>
      </c>
      <c r="K4372">
        <v>3</v>
      </c>
      <c r="L4372">
        <v>25</v>
      </c>
      <c r="M4372">
        <v>75</v>
      </c>
      <c r="N4372">
        <f>IF(COUNTIFS($B$2:B4372,B4372)=1,1,0)</f>
        <v>1</v>
      </c>
    </row>
    <row r="4373" spans="1:14" x14ac:dyDescent="0.2">
      <c r="A4373">
        <v>4372</v>
      </c>
      <c r="B4373">
        <v>3198</v>
      </c>
      <c r="C4373">
        <f>1/COUNTIF(B:B,Table1[[#This Row],[order_id]])</f>
        <v>1</v>
      </c>
      <c r="D4373" t="str">
        <f>TEXT(Table1[[#This Row],[order_date]],"mmmm")</f>
        <v>December</v>
      </c>
      <c r="E4373" s="1">
        <v>45627</v>
      </c>
      <c r="F4373" s="1" t="str">
        <f>TEXT(Table1[[#This Row],[order_date]],"dddd")</f>
        <v>Sunday</v>
      </c>
      <c r="G4373">
        <f>HOUR(Table1[[#This Row],[order_time]])</f>
        <v>13</v>
      </c>
      <c r="H4373" s="2">
        <v>0.57968750000000002</v>
      </c>
      <c r="I4373" t="s">
        <v>11</v>
      </c>
      <c r="J4373" t="s">
        <v>14</v>
      </c>
      <c r="K4373">
        <v>1</v>
      </c>
      <c r="L4373">
        <v>700</v>
      </c>
      <c r="M4373">
        <v>700</v>
      </c>
      <c r="N4373">
        <f>IF(COUNTIFS($B$2:B4373,B4373)=1,1,0)</f>
        <v>1</v>
      </c>
    </row>
    <row r="4374" spans="1:14" x14ac:dyDescent="0.2">
      <c r="A4374">
        <v>4373</v>
      </c>
      <c r="B4374">
        <v>3199</v>
      </c>
      <c r="C4374">
        <f>1/COUNTIF(B:B,Table1[[#This Row],[order_id]])</f>
        <v>0.33333333333333331</v>
      </c>
      <c r="D4374" t="str">
        <f>TEXT(Table1[[#This Row],[order_date]],"mmmm")</f>
        <v>December</v>
      </c>
      <c r="E4374" s="1">
        <v>45627</v>
      </c>
      <c r="F4374" s="1" t="str">
        <f>TEXT(Table1[[#This Row],[order_date]],"dddd")</f>
        <v>Sunday</v>
      </c>
      <c r="G4374">
        <f>HOUR(Table1[[#This Row],[order_time]])</f>
        <v>16</v>
      </c>
      <c r="H4374" s="2">
        <v>0.70405092592592589</v>
      </c>
      <c r="I4374" t="s">
        <v>9</v>
      </c>
      <c r="J4374" t="s">
        <v>22</v>
      </c>
      <c r="K4374">
        <v>1</v>
      </c>
      <c r="L4374">
        <v>15</v>
      </c>
      <c r="M4374">
        <v>15</v>
      </c>
      <c r="N4374">
        <f>IF(COUNTIFS($B$2:B4374,B4374)=1,1,0)</f>
        <v>1</v>
      </c>
    </row>
    <row r="4375" spans="1:14" x14ac:dyDescent="0.2">
      <c r="A4375">
        <v>4374</v>
      </c>
      <c r="B4375">
        <v>3199</v>
      </c>
      <c r="C4375">
        <f>1/COUNTIF(B:B,Table1[[#This Row],[order_id]])</f>
        <v>0.33333333333333331</v>
      </c>
      <c r="D4375" t="str">
        <f>TEXT(Table1[[#This Row],[order_date]],"mmmm")</f>
        <v>December</v>
      </c>
      <c r="E4375" s="1">
        <v>45627</v>
      </c>
      <c r="F4375" s="1" t="str">
        <f>TEXT(Table1[[#This Row],[order_date]],"dddd")</f>
        <v>Sunday</v>
      </c>
      <c r="G4375">
        <f>HOUR(Table1[[#This Row],[order_time]])</f>
        <v>16</v>
      </c>
      <c r="H4375" s="2">
        <v>0.67979166666666668</v>
      </c>
      <c r="I4375" t="s">
        <v>16</v>
      </c>
      <c r="J4375" t="s">
        <v>28</v>
      </c>
      <c r="K4375">
        <v>1</v>
      </c>
      <c r="L4375">
        <v>25</v>
      </c>
      <c r="M4375">
        <v>25</v>
      </c>
      <c r="N4375">
        <f>IF(COUNTIFS($B$2:B4375,B4375)=1,1,0)</f>
        <v>0</v>
      </c>
    </row>
    <row r="4376" spans="1:14" x14ac:dyDescent="0.2">
      <c r="A4376">
        <v>4375</v>
      </c>
      <c r="B4376">
        <v>3199</v>
      </c>
      <c r="C4376">
        <f>1/COUNTIF(B:B,Table1[[#This Row],[order_id]])</f>
        <v>0.33333333333333331</v>
      </c>
      <c r="D4376" t="str">
        <f>TEXT(Table1[[#This Row],[order_date]],"mmmm")</f>
        <v>December</v>
      </c>
      <c r="E4376" s="1">
        <v>45627</v>
      </c>
      <c r="F4376" s="1" t="str">
        <f>TEXT(Table1[[#This Row],[order_date]],"dddd")</f>
        <v>Sunday</v>
      </c>
      <c r="G4376">
        <f>HOUR(Table1[[#This Row],[order_time]])</f>
        <v>19</v>
      </c>
      <c r="H4376" s="2">
        <v>0.82439814814814816</v>
      </c>
      <c r="I4376" t="s">
        <v>11</v>
      </c>
      <c r="J4376" t="s">
        <v>13</v>
      </c>
      <c r="K4376">
        <v>2</v>
      </c>
      <c r="L4376">
        <v>680</v>
      </c>
      <c r="M4376">
        <v>1360</v>
      </c>
      <c r="N4376">
        <f>IF(COUNTIFS($B$2:B4376,B4376)=1,1,0)</f>
        <v>0</v>
      </c>
    </row>
    <row r="4377" spans="1:14" x14ac:dyDescent="0.2">
      <c r="A4377">
        <v>4376</v>
      </c>
      <c r="B4377">
        <v>3200</v>
      </c>
      <c r="C4377">
        <f>1/COUNTIF(B:B,Table1[[#This Row],[order_id]])</f>
        <v>0.5</v>
      </c>
      <c r="D4377" t="str">
        <f>TEXT(Table1[[#This Row],[order_date]],"mmmm")</f>
        <v>December</v>
      </c>
      <c r="E4377" s="1">
        <v>45627</v>
      </c>
      <c r="F4377" s="1" t="str">
        <f>TEXT(Table1[[#This Row],[order_date]],"dddd")</f>
        <v>Sunday</v>
      </c>
      <c r="G4377">
        <f>HOUR(Table1[[#This Row],[order_time]])</f>
        <v>18</v>
      </c>
      <c r="H4377" s="2">
        <v>0.75285879629629626</v>
      </c>
      <c r="I4377" t="s">
        <v>16</v>
      </c>
      <c r="J4377" t="s">
        <v>17</v>
      </c>
      <c r="K4377">
        <v>2</v>
      </c>
      <c r="L4377">
        <v>20</v>
      </c>
      <c r="M4377">
        <v>40</v>
      </c>
      <c r="N4377">
        <f>IF(COUNTIFS($B$2:B4377,B4377)=1,1,0)</f>
        <v>1</v>
      </c>
    </row>
    <row r="4378" spans="1:14" x14ac:dyDescent="0.2">
      <c r="A4378">
        <v>4377</v>
      </c>
      <c r="B4378">
        <v>3200</v>
      </c>
      <c r="C4378">
        <f>1/COUNTIF(B:B,Table1[[#This Row],[order_id]])</f>
        <v>0.5</v>
      </c>
      <c r="D4378" t="str">
        <f>TEXT(Table1[[#This Row],[order_date]],"mmmm")</f>
        <v>December</v>
      </c>
      <c r="E4378" s="1">
        <v>45627</v>
      </c>
      <c r="F4378" s="1" t="str">
        <f>TEXT(Table1[[#This Row],[order_date]],"dddd")</f>
        <v>Sunday</v>
      </c>
      <c r="G4378">
        <f>HOUR(Table1[[#This Row],[order_time]])</f>
        <v>17</v>
      </c>
      <c r="H4378" s="2">
        <v>0.71862268518518524</v>
      </c>
      <c r="I4378" t="s">
        <v>16</v>
      </c>
      <c r="J4378" t="s">
        <v>28</v>
      </c>
      <c r="K4378">
        <v>2</v>
      </c>
      <c r="L4378">
        <v>25</v>
      </c>
      <c r="M4378">
        <v>50</v>
      </c>
      <c r="N4378">
        <f>IF(COUNTIFS($B$2:B4378,B4378)=1,1,0)</f>
        <v>0</v>
      </c>
    </row>
    <row r="4379" spans="1:14" x14ac:dyDescent="0.2">
      <c r="A4379">
        <v>4378</v>
      </c>
      <c r="B4379">
        <v>3201</v>
      </c>
      <c r="C4379">
        <f>1/COUNTIF(B:B,Table1[[#This Row],[order_id]])</f>
        <v>0.33333333333333331</v>
      </c>
      <c r="D4379" t="str">
        <f>TEXT(Table1[[#This Row],[order_date]],"mmmm")</f>
        <v>December</v>
      </c>
      <c r="E4379" s="1">
        <v>45627</v>
      </c>
      <c r="F4379" s="1" t="str">
        <f>TEXT(Table1[[#This Row],[order_date]],"dddd")</f>
        <v>Sunday</v>
      </c>
      <c r="G4379">
        <f>HOUR(Table1[[#This Row],[order_time]])</f>
        <v>18</v>
      </c>
      <c r="H4379" s="2">
        <v>0.7741203703703704</v>
      </c>
      <c r="I4379" t="s">
        <v>16</v>
      </c>
      <c r="J4379" t="s">
        <v>17</v>
      </c>
      <c r="K4379">
        <v>1</v>
      </c>
      <c r="L4379">
        <v>20</v>
      </c>
      <c r="M4379">
        <v>20</v>
      </c>
      <c r="N4379">
        <f>IF(COUNTIFS($B$2:B4379,B4379)=1,1,0)</f>
        <v>1</v>
      </c>
    </row>
    <row r="4380" spans="1:14" x14ac:dyDescent="0.2">
      <c r="A4380">
        <v>4379</v>
      </c>
      <c r="B4380">
        <v>3201</v>
      </c>
      <c r="C4380">
        <f>1/COUNTIF(B:B,Table1[[#This Row],[order_id]])</f>
        <v>0.33333333333333331</v>
      </c>
      <c r="D4380" t="str">
        <f>TEXT(Table1[[#This Row],[order_date]],"mmmm")</f>
        <v>December</v>
      </c>
      <c r="E4380" s="1">
        <v>45627</v>
      </c>
      <c r="F4380" s="1" t="str">
        <f>TEXT(Table1[[#This Row],[order_date]],"dddd")</f>
        <v>Sunday</v>
      </c>
      <c r="G4380">
        <f>HOUR(Table1[[#This Row],[order_time]])</f>
        <v>9</v>
      </c>
      <c r="H4380" s="2">
        <v>0.40967592592592594</v>
      </c>
      <c r="I4380" t="s">
        <v>18</v>
      </c>
      <c r="J4380" t="s">
        <v>31</v>
      </c>
      <c r="K4380">
        <v>4</v>
      </c>
      <c r="L4380">
        <v>45</v>
      </c>
      <c r="M4380">
        <v>180</v>
      </c>
      <c r="N4380">
        <f>IF(COUNTIFS($B$2:B4380,B4380)=1,1,0)</f>
        <v>0</v>
      </c>
    </row>
    <row r="4381" spans="1:14" x14ac:dyDescent="0.2">
      <c r="A4381">
        <v>4380</v>
      </c>
      <c r="B4381">
        <v>3201</v>
      </c>
      <c r="C4381">
        <f>1/COUNTIF(B:B,Table1[[#This Row],[order_id]])</f>
        <v>0.33333333333333331</v>
      </c>
      <c r="D4381" t="str">
        <f>TEXT(Table1[[#This Row],[order_date]],"mmmm")</f>
        <v>December</v>
      </c>
      <c r="E4381" s="1">
        <v>45627</v>
      </c>
      <c r="F4381" s="1" t="str">
        <f>TEXT(Table1[[#This Row],[order_date]],"dddd")</f>
        <v>Sunday</v>
      </c>
      <c r="G4381">
        <f>HOUR(Table1[[#This Row],[order_time]])</f>
        <v>18</v>
      </c>
      <c r="H4381" s="2">
        <v>0.76571759259259264</v>
      </c>
      <c r="I4381" t="s">
        <v>11</v>
      </c>
      <c r="J4381" t="s">
        <v>25</v>
      </c>
      <c r="K4381">
        <v>3</v>
      </c>
      <c r="L4381">
        <v>1000</v>
      </c>
      <c r="M4381">
        <v>3000</v>
      </c>
      <c r="N4381">
        <f>IF(COUNTIFS($B$2:B4381,B4381)=1,1,0)</f>
        <v>0</v>
      </c>
    </row>
    <row r="4382" spans="1:14" x14ac:dyDescent="0.2">
      <c r="A4382">
        <v>4381</v>
      </c>
      <c r="B4382">
        <v>3202</v>
      </c>
      <c r="C4382">
        <f>1/COUNTIF(B:B,Table1[[#This Row],[order_id]])</f>
        <v>1</v>
      </c>
      <c r="D4382" t="str">
        <f>TEXT(Table1[[#This Row],[order_date]],"mmmm")</f>
        <v>December</v>
      </c>
      <c r="E4382" s="1">
        <v>45627</v>
      </c>
      <c r="F4382" s="1" t="str">
        <f>TEXT(Table1[[#This Row],[order_date]],"dddd")</f>
        <v>Sunday</v>
      </c>
      <c r="G4382">
        <f>HOUR(Table1[[#This Row],[order_time]])</f>
        <v>15</v>
      </c>
      <c r="H4382" s="2">
        <v>0.62960648148148146</v>
      </c>
      <c r="I4382" t="s">
        <v>16</v>
      </c>
      <c r="J4382" t="s">
        <v>24</v>
      </c>
      <c r="K4382">
        <v>2</v>
      </c>
      <c r="L4382">
        <v>35</v>
      </c>
      <c r="M4382">
        <v>70</v>
      </c>
      <c r="N4382">
        <f>IF(COUNTIFS($B$2:B4382,B4382)=1,1,0)</f>
        <v>1</v>
      </c>
    </row>
    <row r="4383" spans="1:14" x14ac:dyDescent="0.2">
      <c r="A4383">
        <v>4382</v>
      </c>
      <c r="B4383">
        <v>3203</v>
      </c>
      <c r="C4383">
        <f>1/COUNTIF(B:B,Table1[[#This Row],[order_id]])</f>
        <v>0.5</v>
      </c>
      <c r="D4383" t="str">
        <f>TEXT(Table1[[#This Row],[order_date]],"mmmm")</f>
        <v>December</v>
      </c>
      <c r="E4383" s="1">
        <v>45627</v>
      </c>
      <c r="F4383" s="1" t="str">
        <f>TEXT(Table1[[#This Row],[order_date]],"dddd")</f>
        <v>Sunday</v>
      </c>
      <c r="G4383">
        <f>HOUR(Table1[[#This Row],[order_time]])</f>
        <v>17</v>
      </c>
      <c r="H4383" s="2">
        <v>0.74824074074074076</v>
      </c>
      <c r="I4383" t="s">
        <v>16</v>
      </c>
      <c r="J4383" t="s">
        <v>23</v>
      </c>
      <c r="K4383">
        <v>4</v>
      </c>
      <c r="L4383">
        <v>30</v>
      </c>
      <c r="M4383">
        <v>120</v>
      </c>
      <c r="N4383">
        <f>IF(COUNTIFS($B$2:B4383,B4383)=1,1,0)</f>
        <v>1</v>
      </c>
    </row>
    <row r="4384" spans="1:14" x14ac:dyDescent="0.2">
      <c r="A4384">
        <v>4383</v>
      </c>
      <c r="B4384">
        <v>3203</v>
      </c>
      <c r="C4384">
        <f>1/COUNTIF(B:B,Table1[[#This Row],[order_id]])</f>
        <v>0.5</v>
      </c>
      <c r="D4384" t="str">
        <f>TEXT(Table1[[#This Row],[order_date]],"mmmm")</f>
        <v>December</v>
      </c>
      <c r="E4384" s="1">
        <v>45627</v>
      </c>
      <c r="F4384" s="1" t="str">
        <f>TEXT(Table1[[#This Row],[order_date]],"dddd")</f>
        <v>Sunday</v>
      </c>
      <c r="G4384">
        <f>HOUR(Table1[[#This Row],[order_time]])</f>
        <v>20</v>
      </c>
      <c r="H4384" s="2">
        <v>0.83825231481481477</v>
      </c>
      <c r="I4384" t="s">
        <v>16</v>
      </c>
      <c r="J4384" t="s">
        <v>17</v>
      </c>
      <c r="K4384">
        <v>3</v>
      </c>
      <c r="L4384">
        <v>20</v>
      </c>
      <c r="M4384">
        <v>60</v>
      </c>
      <c r="N4384">
        <f>IF(COUNTIFS($B$2:B4384,B4384)=1,1,0)</f>
        <v>0</v>
      </c>
    </row>
    <row r="4385" spans="1:14" x14ac:dyDescent="0.2">
      <c r="A4385">
        <v>4384</v>
      </c>
      <c r="B4385">
        <v>3204</v>
      </c>
      <c r="C4385">
        <f>1/COUNTIF(B:B,Table1[[#This Row],[order_id]])</f>
        <v>0.33333333333333331</v>
      </c>
      <c r="D4385" t="str">
        <f>TEXT(Table1[[#This Row],[order_date]],"mmmm")</f>
        <v>December</v>
      </c>
      <c r="E4385" s="1">
        <v>45627</v>
      </c>
      <c r="F4385" s="1" t="str">
        <f>TEXT(Table1[[#This Row],[order_date]],"dddd")</f>
        <v>Sunday</v>
      </c>
      <c r="G4385">
        <f>HOUR(Table1[[#This Row],[order_time]])</f>
        <v>11</v>
      </c>
      <c r="H4385" s="2">
        <v>0.48435185185185187</v>
      </c>
      <c r="I4385" t="s">
        <v>11</v>
      </c>
      <c r="J4385" t="s">
        <v>13</v>
      </c>
      <c r="K4385">
        <v>4</v>
      </c>
      <c r="L4385">
        <v>680</v>
      </c>
      <c r="M4385">
        <v>2720</v>
      </c>
      <c r="N4385">
        <f>IF(COUNTIFS($B$2:B4385,B4385)=1,1,0)</f>
        <v>1</v>
      </c>
    </row>
    <row r="4386" spans="1:14" x14ac:dyDescent="0.2">
      <c r="A4386">
        <v>4385</v>
      </c>
      <c r="B4386">
        <v>3204</v>
      </c>
      <c r="C4386">
        <f>1/COUNTIF(B:B,Table1[[#This Row],[order_id]])</f>
        <v>0.33333333333333331</v>
      </c>
      <c r="D4386" t="str">
        <f>TEXT(Table1[[#This Row],[order_date]],"mmmm")</f>
        <v>December</v>
      </c>
      <c r="E4386" s="1">
        <v>45627</v>
      </c>
      <c r="F4386" s="1" t="str">
        <f>TEXT(Table1[[#This Row],[order_date]],"dddd")</f>
        <v>Sunday</v>
      </c>
      <c r="G4386">
        <f>HOUR(Table1[[#This Row],[order_time]])</f>
        <v>18</v>
      </c>
      <c r="H4386" s="2">
        <v>0.76998842592592598</v>
      </c>
      <c r="I4386" t="s">
        <v>11</v>
      </c>
      <c r="J4386" t="s">
        <v>25</v>
      </c>
      <c r="K4386">
        <v>3</v>
      </c>
      <c r="L4386">
        <v>1000</v>
      </c>
      <c r="M4386">
        <v>3000</v>
      </c>
      <c r="N4386">
        <f>IF(COUNTIFS($B$2:B4386,B4386)=1,1,0)</f>
        <v>0</v>
      </c>
    </row>
    <row r="4387" spans="1:14" x14ac:dyDescent="0.2">
      <c r="A4387">
        <v>4386</v>
      </c>
      <c r="B4387">
        <v>3204</v>
      </c>
      <c r="C4387">
        <f>1/COUNTIF(B:B,Table1[[#This Row],[order_id]])</f>
        <v>0.33333333333333331</v>
      </c>
      <c r="D4387" t="str">
        <f>TEXT(Table1[[#This Row],[order_date]],"mmmm")</f>
        <v>December</v>
      </c>
      <c r="E4387" s="1">
        <v>45627</v>
      </c>
      <c r="F4387" s="1" t="str">
        <f>TEXT(Table1[[#This Row],[order_date]],"dddd")</f>
        <v>Sunday</v>
      </c>
      <c r="G4387">
        <f>HOUR(Table1[[#This Row],[order_time]])</f>
        <v>16</v>
      </c>
      <c r="H4387" s="2">
        <v>0.7021412037037037</v>
      </c>
      <c r="I4387" t="s">
        <v>9</v>
      </c>
      <c r="J4387" t="s">
        <v>20</v>
      </c>
      <c r="K4387">
        <v>1</v>
      </c>
      <c r="L4387">
        <v>25</v>
      </c>
      <c r="M4387">
        <v>25</v>
      </c>
      <c r="N4387">
        <f>IF(COUNTIFS($B$2:B4387,B4387)=1,1,0)</f>
        <v>0</v>
      </c>
    </row>
    <row r="4388" spans="1:14" x14ac:dyDescent="0.2">
      <c r="A4388">
        <v>4387</v>
      </c>
      <c r="B4388">
        <v>3205</v>
      </c>
      <c r="C4388">
        <f>1/COUNTIF(B:B,Table1[[#This Row],[order_id]])</f>
        <v>1</v>
      </c>
      <c r="D4388" t="str">
        <f>TEXT(Table1[[#This Row],[order_date]],"mmmm")</f>
        <v>December</v>
      </c>
      <c r="E4388" s="1">
        <v>45628</v>
      </c>
      <c r="F4388" s="1" t="str">
        <f>TEXT(Table1[[#This Row],[order_date]],"dddd")</f>
        <v>Monday</v>
      </c>
      <c r="G4388">
        <f>HOUR(Table1[[#This Row],[order_time]])</f>
        <v>9</v>
      </c>
      <c r="H4388" s="2">
        <v>0.40128472222222222</v>
      </c>
      <c r="I4388" t="s">
        <v>16</v>
      </c>
      <c r="J4388" t="s">
        <v>24</v>
      </c>
      <c r="K4388">
        <v>2</v>
      </c>
      <c r="L4388">
        <v>35</v>
      </c>
      <c r="M4388">
        <v>70</v>
      </c>
      <c r="N4388">
        <f>IF(COUNTIFS($B$2:B4388,B4388)=1,1,0)</f>
        <v>1</v>
      </c>
    </row>
    <row r="4389" spans="1:14" x14ac:dyDescent="0.2">
      <c r="A4389">
        <v>4388</v>
      </c>
      <c r="B4389">
        <v>3206</v>
      </c>
      <c r="C4389">
        <f>1/COUNTIF(B:B,Table1[[#This Row],[order_id]])</f>
        <v>1</v>
      </c>
      <c r="D4389" t="str">
        <f>TEXT(Table1[[#This Row],[order_date]],"mmmm")</f>
        <v>December</v>
      </c>
      <c r="E4389" s="1">
        <v>45628</v>
      </c>
      <c r="F4389" s="1" t="str">
        <f>TEXT(Table1[[#This Row],[order_date]],"dddd")</f>
        <v>Monday</v>
      </c>
      <c r="G4389">
        <f>HOUR(Table1[[#This Row],[order_time]])</f>
        <v>12</v>
      </c>
      <c r="H4389" s="2">
        <v>0.53194444444444444</v>
      </c>
      <c r="I4389" t="s">
        <v>9</v>
      </c>
      <c r="J4389" t="s">
        <v>10</v>
      </c>
      <c r="K4389">
        <v>4</v>
      </c>
      <c r="L4389">
        <v>20</v>
      </c>
      <c r="M4389">
        <v>80</v>
      </c>
      <c r="N4389">
        <f>IF(COUNTIFS($B$2:B4389,B4389)=1,1,0)</f>
        <v>1</v>
      </c>
    </row>
    <row r="4390" spans="1:14" x14ac:dyDescent="0.2">
      <c r="A4390">
        <v>4389</v>
      </c>
      <c r="B4390">
        <v>3207</v>
      </c>
      <c r="C4390">
        <f>1/COUNTIF(B:B,Table1[[#This Row],[order_id]])</f>
        <v>0.5</v>
      </c>
      <c r="D4390" t="str">
        <f>TEXT(Table1[[#This Row],[order_date]],"mmmm")</f>
        <v>December</v>
      </c>
      <c r="E4390" s="1">
        <v>45628</v>
      </c>
      <c r="F4390" s="1" t="str">
        <f>TEXT(Table1[[#This Row],[order_date]],"dddd")</f>
        <v>Monday</v>
      </c>
      <c r="G4390">
        <f>HOUR(Table1[[#This Row],[order_time]])</f>
        <v>10</v>
      </c>
      <c r="H4390" s="2">
        <v>0.44243055555555555</v>
      </c>
      <c r="I4390" t="s">
        <v>11</v>
      </c>
      <c r="J4390" t="s">
        <v>12</v>
      </c>
      <c r="K4390">
        <v>2</v>
      </c>
      <c r="L4390">
        <v>650</v>
      </c>
      <c r="M4390">
        <v>1300</v>
      </c>
      <c r="N4390">
        <f>IF(COUNTIFS($B$2:B4390,B4390)=1,1,0)</f>
        <v>1</v>
      </c>
    </row>
    <row r="4391" spans="1:14" x14ac:dyDescent="0.2">
      <c r="A4391">
        <v>4390</v>
      </c>
      <c r="B4391">
        <v>3207</v>
      </c>
      <c r="C4391">
        <f>1/COUNTIF(B:B,Table1[[#This Row],[order_id]])</f>
        <v>0.5</v>
      </c>
      <c r="D4391" t="str">
        <f>TEXT(Table1[[#This Row],[order_date]],"mmmm")</f>
        <v>December</v>
      </c>
      <c r="E4391" s="1">
        <v>45628</v>
      </c>
      <c r="F4391" s="1" t="str">
        <f>TEXT(Table1[[#This Row],[order_date]],"dddd")</f>
        <v>Monday</v>
      </c>
      <c r="G4391">
        <f>HOUR(Table1[[#This Row],[order_time]])</f>
        <v>20</v>
      </c>
      <c r="H4391" s="2">
        <v>0.85509259259259263</v>
      </c>
      <c r="I4391" t="s">
        <v>18</v>
      </c>
      <c r="J4391" t="s">
        <v>30</v>
      </c>
      <c r="K4391">
        <v>2</v>
      </c>
      <c r="L4391">
        <v>60</v>
      </c>
      <c r="M4391">
        <v>120</v>
      </c>
      <c r="N4391">
        <f>IF(COUNTIFS($B$2:B4391,B4391)=1,1,0)</f>
        <v>0</v>
      </c>
    </row>
    <row r="4392" spans="1:14" x14ac:dyDescent="0.2">
      <c r="A4392">
        <v>4391</v>
      </c>
      <c r="B4392">
        <v>3208</v>
      </c>
      <c r="C4392">
        <f>1/COUNTIF(B:B,Table1[[#This Row],[order_id]])</f>
        <v>0.5</v>
      </c>
      <c r="D4392" t="str">
        <f>TEXT(Table1[[#This Row],[order_date]],"mmmm")</f>
        <v>December</v>
      </c>
      <c r="E4392" s="1">
        <v>45629</v>
      </c>
      <c r="F4392" s="1" t="str">
        <f>TEXT(Table1[[#This Row],[order_date]],"dddd")</f>
        <v>Tuesday</v>
      </c>
      <c r="G4392">
        <f>HOUR(Table1[[#This Row],[order_time]])</f>
        <v>15</v>
      </c>
      <c r="H4392" s="2">
        <v>0.63957175925925924</v>
      </c>
      <c r="I4392" t="s">
        <v>16</v>
      </c>
      <c r="J4392" t="s">
        <v>24</v>
      </c>
      <c r="K4392">
        <v>4</v>
      </c>
      <c r="L4392">
        <v>35</v>
      </c>
      <c r="M4392">
        <v>140</v>
      </c>
      <c r="N4392">
        <f>IF(COUNTIFS($B$2:B4392,B4392)=1,1,0)</f>
        <v>1</v>
      </c>
    </row>
    <row r="4393" spans="1:14" x14ac:dyDescent="0.2">
      <c r="A4393">
        <v>4392</v>
      </c>
      <c r="B4393">
        <v>3208</v>
      </c>
      <c r="C4393">
        <f>1/COUNTIF(B:B,Table1[[#This Row],[order_id]])</f>
        <v>0.5</v>
      </c>
      <c r="D4393" t="str">
        <f>TEXT(Table1[[#This Row],[order_date]],"mmmm")</f>
        <v>December</v>
      </c>
      <c r="E4393" s="1">
        <v>45629</v>
      </c>
      <c r="F4393" s="1" t="str">
        <f>TEXT(Table1[[#This Row],[order_date]],"dddd")</f>
        <v>Tuesday</v>
      </c>
      <c r="G4393">
        <f>HOUR(Table1[[#This Row],[order_time]])</f>
        <v>18</v>
      </c>
      <c r="H4393" s="2">
        <v>0.773900462962963</v>
      </c>
      <c r="I4393" t="s">
        <v>11</v>
      </c>
      <c r="J4393" t="s">
        <v>12</v>
      </c>
      <c r="K4393">
        <v>1</v>
      </c>
      <c r="L4393">
        <v>650</v>
      </c>
      <c r="M4393">
        <v>650</v>
      </c>
      <c r="N4393">
        <f>IF(COUNTIFS($B$2:B4393,B4393)=1,1,0)</f>
        <v>0</v>
      </c>
    </row>
    <row r="4394" spans="1:14" x14ac:dyDescent="0.2">
      <c r="A4394">
        <v>4393</v>
      </c>
      <c r="B4394">
        <v>3209</v>
      </c>
      <c r="C4394">
        <f>1/COUNTIF(B:B,Table1[[#This Row],[order_id]])</f>
        <v>0.5</v>
      </c>
      <c r="D4394" t="str">
        <f>TEXT(Table1[[#This Row],[order_date]],"mmmm")</f>
        <v>December</v>
      </c>
      <c r="E4394" s="1">
        <v>45629</v>
      </c>
      <c r="F4394" s="1" t="str">
        <f>TEXT(Table1[[#This Row],[order_date]],"dddd")</f>
        <v>Tuesday</v>
      </c>
      <c r="G4394">
        <f>HOUR(Table1[[#This Row],[order_time]])</f>
        <v>9</v>
      </c>
      <c r="H4394" s="2">
        <v>0.39446759259259262</v>
      </c>
      <c r="I4394" t="s">
        <v>16</v>
      </c>
      <c r="J4394" t="s">
        <v>17</v>
      </c>
      <c r="K4394">
        <v>3</v>
      </c>
      <c r="L4394">
        <v>20</v>
      </c>
      <c r="M4394">
        <v>60</v>
      </c>
      <c r="N4394">
        <f>IF(COUNTIFS($B$2:B4394,B4394)=1,1,0)</f>
        <v>1</v>
      </c>
    </row>
    <row r="4395" spans="1:14" x14ac:dyDescent="0.2">
      <c r="A4395">
        <v>4394</v>
      </c>
      <c r="B4395">
        <v>3209</v>
      </c>
      <c r="C4395">
        <f>1/COUNTIF(B:B,Table1[[#This Row],[order_id]])</f>
        <v>0.5</v>
      </c>
      <c r="D4395" t="str">
        <f>TEXT(Table1[[#This Row],[order_date]],"mmmm")</f>
        <v>December</v>
      </c>
      <c r="E4395" s="1">
        <v>45629</v>
      </c>
      <c r="F4395" s="1" t="str">
        <f>TEXT(Table1[[#This Row],[order_date]],"dddd")</f>
        <v>Tuesday</v>
      </c>
      <c r="G4395">
        <f>HOUR(Table1[[#This Row],[order_time]])</f>
        <v>17</v>
      </c>
      <c r="H4395" s="2">
        <v>0.71133101851851854</v>
      </c>
      <c r="I4395" t="s">
        <v>16</v>
      </c>
      <c r="J4395" t="s">
        <v>28</v>
      </c>
      <c r="K4395">
        <v>1</v>
      </c>
      <c r="L4395">
        <v>25</v>
      </c>
      <c r="M4395">
        <v>25</v>
      </c>
      <c r="N4395">
        <f>IF(COUNTIFS($B$2:B4395,B4395)=1,1,0)</f>
        <v>0</v>
      </c>
    </row>
    <row r="4396" spans="1:14" x14ac:dyDescent="0.2">
      <c r="A4396">
        <v>4395</v>
      </c>
      <c r="B4396">
        <v>3210</v>
      </c>
      <c r="C4396">
        <f>1/COUNTIF(B:B,Table1[[#This Row],[order_id]])</f>
        <v>0.5</v>
      </c>
      <c r="D4396" t="str">
        <f>TEXT(Table1[[#This Row],[order_date]],"mmmm")</f>
        <v>December</v>
      </c>
      <c r="E4396" s="1">
        <v>45629</v>
      </c>
      <c r="F4396" s="1" t="str">
        <f>TEXT(Table1[[#This Row],[order_date]],"dddd")</f>
        <v>Tuesday</v>
      </c>
      <c r="G4396">
        <f>HOUR(Table1[[#This Row],[order_time]])</f>
        <v>11</v>
      </c>
      <c r="H4396" s="2">
        <v>0.48819444444444443</v>
      </c>
      <c r="I4396" t="s">
        <v>18</v>
      </c>
      <c r="J4396" t="s">
        <v>26</v>
      </c>
      <c r="K4396">
        <v>1</v>
      </c>
      <c r="L4396">
        <v>55</v>
      </c>
      <c r="M4396">
        <v>55</v>
      </c>
      <c r="N4396">
        <f>IF(COUNTIFS($B$2:B4396,B4396)=1,1,0)</f>
        <v>1</v>
      </c>
    </row>
    <row r="4397" spans="1:14" x14ac:dyDescent="0.2">
      <c r="A4397">
        <v>4396</v>
      </c>
      <c r="B4397">
        <v>3210</v>
      </c>
      <c r="C4397">
        <f>1/COUNTIF(B:B,Table1[[#This Row],[order_id]])</f>
        <v>0.5</v>
      </c>
      <c r="D4397" t="str">
        <f>TEXT(Table1[[#This Row],[order_date]],"mmmm")</f>
        <v>December</v>
      </c>
      <c r="E4397" s="1">
        <v>45629</v>
      </c>
      <c r="F4397" s="1" t="str">
        <f>TEXT(Table1[[#This Row],[order_date]],"dddd")</f>
        <v>Tuesday</v>
      </c>
      <c r="G4397">
        <f>HOUR(Table1[[#This Row],[order_time]])</f>
        <v>16</v>
      </c>
      <c r="H4397" s="2">
        <v>0.67976851851851849</v>
      </c>
      <c r="I4397" t="s">
        <v>9</v>
      </c>
      <c r="J4397" t="s">
        <v>29</v>
      </c>
      <c r="K4397">
        <v>4</v>
      </c>
      <c r="L4397">
        <v>5</v>
      </c>
      <c r="M4397">
        <v>20</v>
      </c>
      <c r="N4397">
        <f>IF(COUNTIFS($B$2:B4397,B4397)=1,1,0)</f>
        <v>0</v>
      </c>
    </row>
    <row r="4398" spans="1:14" x14ac:dyDescent="0.2">
      <c r="A4398">
        <v>4397</v>
      </c>
      <c r="B4398">
        <v>3211</v>
      </c>
      <c r="C4398">
        <f>1/COUNTIF(B:B,Table1[[#This Row],[order_id]])</f>
        <v>0.5</v>
      </c>
      <c r="D4398" t="str">
        <f>TEXT(Table1[[#This Row],[order_date]],"mmmm")</f>
        <v>December</v>
      </c>
      <c r="E4398" s="1">
        <v>45629</v>
      </c>
      <c r="F4398" s="1" t="str">
        <f>TEXT(Table1[[#This Row],[order_date]],"dddd")</f>
        <v>Tuesday</v>
      </c>
      <c r="G4398">
        <f>HOUR(Table1[[#This Row],[order_time]])</f>
        <v>18</v>
      </c>
      <c r="H4398" s="2">
        <v>0.75995370370370374</v>
      </c>
      <c r="I4398" t="s">
        <v>18</v>
      </c>
      <c r="J4398" t="s">
        <v>27</v>
      </c>
      <c r="K4398">
        <v>1</v>
      </c>
      <c r="L4398">
        <v>40</v>
      </c>
      <c r="M4398">
        <v>40</v>
      </c>
      <c r="N4398">
        <f>IF(COUNTIFS($B$2:B4398,B4398)=1,1,0)</f>
        <v>1</v>
      </c>
    </row>
    <row r="4399" spans="1:14" x14ac:dyDescent="0.2">
      <c r="A4399">
        <v>4398</v>
      </c>
      <c r="B4399">
        <v>3211</v>
      </c>
      <c r="C4399">
        <f>1/COUNTIF(B:B,Table1[[#This Row],[order_id]])</f>
        <v>0.5</v>
      </c>
      <c r="D4399" t="str">
        <f>TEXT(Table1[[#This Row],[order_date]],"mmmm")</f>
        <v>December</v>
      </c>
      <c r="E4399" s="1">
        <v>45629</v>
      </c>
      <c r="F4399" s="1" t="str">
        <f>TEXT(Table1[[#This Row],[order_date]],"dddd")</f>
        <v>Tuesday</v>
      </c>
      <c r="G4399">
        <f>HOUR(Table1[[#This Row],[order_time]])</f>
        <v>17</v>
      </c>
      <c r="H4399" s="2">
        <v>0.74175925925925923</v>
      </c>
      <c r="I4399" t="s">
        <v>18</v>
      </c>
      <c r="J4399" t="s">
        <v>31</v>
      </c>
      <c r="K4399">
        <v>3</v>
      </c>
      <c r="L4399">
        <v>45</v>
      </c>
      <c r="M4399">
        <v>135</v>
      </c>
      <c r="N4399">
        <f>IF(COUNTIFS($B$2:B4399,B4399)=1,1,0)</f>
        <v>0</v>
      </c>
    </row>
    <row r="4400" spans="1:14" x14ac:dyDescent="0.2">
      <c r="A4400">
        <v>4399</v>
      </c>
      <c r="B4400">
        <v>3212</v>
      </c>
      <c r="C4400">
        <f>1/COUNTIF(B:B,Table1[[#This Row],[order_id]])</f>
        <v>0.5</v>
      </c>
      <c r="D4400" t="str">
        <f>TEXT(Table1[[#This Row],[order_date]],"mmmm")</f>
        <v>December</v>
      </c>
      <c r="E4400" s="1">
        <v>45629</v>
      </c>
      <c r="F4400" s="1" t="str">
        <f>TEXT(Table1[[#This Row],[order_date]],"dddd")</f>
        <v>Tuesday</v>
      </c>
      <c r="G4400">
        <f>HOUR(Table1[[#This Row],[order_time]])</f>
        <v>14</v>
      </c>
      <c r="H4400" s="2">
        <v>0.60804398148148153</v>
      </c>
      <c r="I4400" t="s">
        <v>9</v>
      </c>
      <c r="J4400" t="s">
        <v>20</v>
      </c>
      <c r="K4400">
        <v>5</v>
      </c>
      <c r="L4400">
        <v>25</v>
      </c>
      <c r="M4400">
        <v>125</v>
      </c>
      <c r="N4400">
        <f>IF(COUNTIFS($B$2:B4400,B4400)=1,1,0)</f>
        <v>1</v>
      </c>
    </row>
    <row r="4401" spans="1:14" x14ac:dyDescent="0.2">
      <c r="A4401">
        <v>4400</v>
      </c>
      <c r="B4401">
        <v>3212</v>
      </c>
      <c r="C4401">
        <f>1/COUNTIF(B:B,Table1[[#This Row],[order_id]])</f>
        <v>0.5</v>
      </c>
      <c r="D4401" t="str">
        <f>TEXT(Table1[[#This Row],[order_date]],"mmmm")</f>
        <v>December</v>
      </c>
      <c r="E4401" s="1">
        <v>45629</v>
      </c>
      <c r="F4401" s="1" t="str">
        <f>TEXT(Table1[[#This Row],[order_date]],"dddd")</f>
        <v>Tuesday</v>
      </c>
      <c r="G4401">
        <f>HOUR(Table1[[#This Row],[order_time]])</f>
        <v>19</v>
      </c>
      <c r="H4401" s="2">
        <v>0.80024305555555553</v>
      </c>
      <c r="I4401" t="s">
        <v>18</v>
      </c>
      <c r="J4401" t="s">
        <v>31</v>
      </c>
      <c r="K4401">
        <v>1</v>
      </c>
      <c r="L4401">
        <v>45</v>
      </c>
      <c r="M4401">
        <v>45</v>
      </c>
      <c r="N4401">
        <f>IF(COUNTIFS($B$2:B4401,B4401)=1,1,0)</f>
        <v>0</v>
      </c>
    </row>
    <row r="4402" spans="1:14" x14ac:dyDescent="0.2">
      <c r="A4402">
        <v>4401</v>
      </c>
      <c r="B4402">
        <v>3213</v>
      </c>
      <c r="C4402">
        <f>1/COUNTIF(B:B,Table1[[#This Row],[order_id]])</f>
        <v>1</v>
      </c>
      <c r="D4402" t="str">
        <f>TEXT(Table1[[#This Row],[order_date]],"mmmm")</f>
        <v>December</v>
      </c>
      <c r="E4402" s="1">
        <v>45629</v>
      </c>
      <c r="F4402" s="1" t="str">
        <f>TEXT(Table1[[#This Row],[order_date]],"dddd")</f>
        <v>Tuesday</v>
      </c>
      <c r="G4402">
        <f>HOUR(Table1[[#This Row],[order_time]])</f>
        <v>20</v>
      </c>
      <c r="H4402" s="2">
        <v>0.84546296296296297</v>
      </c>
      <c r="I4402" t="s">
        <v>11</v>
      </c>
      <c r="J4402" t="s">
        <v>13</v>
      </c>
      <c r="K4402">
        <v>2</v>
      </c>
      <c r="L4402">
        <v>680</v>
      </c>
      <c r="M4402">
        <v>1360</v>
      </c>
      <c r="N4402">
        <f>IF(COUNTIFS($B$2:B4402,B4402)=1,1,0)</f>
        <v>1</v>
      </c>
    </row>
    <row r="4403" spans="1:14" x14ac:dyDescent="0.2">
      <c r="A4403">
        <v>4402</v>
      </c>
      <c r="B4403">
        <v>3214</v>
      </c>
      <c r="C4403">
        <f>1/COUNTIF(B:B,Table1[[#This Row],[order_id]])</f>
        <v>1</v>
      </c>
      <c r="D4403" t="str">
        <f>TEXT(Table1[[#This Row],[order_date]],"mmmm")</f>
        <v>December</v>
      </c>
      <c r="E4403" s="1">
        <v>45629</v>
      </c>
      <c r="F4403" s="1" t="str">
        <f>TEXT(Table1[[#This Row],[order_date]],"dddd")</f>
        <v>Tuesday</v>
      </c>
      <c r="G4403">
        <f>HOUR(Table1[[#This Row],[order_time]])</f>
        <v>16</v>
      </c>
      <c r="H4403" s="2">
        <v>0.6688425925925926</v>
      </c>
      <c r="I4403" t="s">
        <v>18</v>
      </c>
      <c r="J4403" t="s">
        <v>26</v>
      </c>
      <c r="K4403">
        <v>4</v>
      </c>
      <c r="L4403">
        <v>55</v>
      </c>
      <c r="M4403">
        <v>220</v>
      </c>
      <c r="N4403">
        <f>IF(COUNTIFS($B$2:B4403,B4403)=1,1,0)</f>
        <v>1</v>
      </c>
    </row>
    <row r="4404" spans="1:14" x14ac:dyDescent="0.2">
      <c r="A4404">
        <v>4403</v>
      </c>
      <c r="B4404">
        <v>3215</v>
      </c>
      <c r="C4404">
        <f>1/COUNTIF(B:B,Table1[[#This Row],[order_id]])</f>
        <v>0.5</v>
      </c>
      <c r="D4404" t="str">
        <f>TEXT(Table1[[#This Row],[order_date]],"mmmm")</f>
        <v>December</v>
      </c>
      <c r="E4404" s="1">
        <v>45629</v>
      </c>
      <c r="F4404" s="1" t="str">
        <f>TEXT(Table1[[#This Row],[order_date]],"dddd")</f>
        <v>Tuesday</v>
      </c>
      <c r="G4404">
        <f>HOUR(Table1[[#This Row],[order_time]])</f>
        <v>19</v>
      </c>
      <c r="H4404" s="2">
        <v>0.81101851851851847</v>
      </c>
      <c r="I4404" t="s">
        <v>18</v>
      </c>
      <c r="J4404" t="s">
        <v>31</v>
      </c>
      <c r="K4404">
        <v>2</v>
      </c>
      <c r="L4404">
        <v>45</v>
      </c>
      <c r="M4404">
        <v>90</v>
      </c>
      <c r="N4404">
        <f>IF(COUNTIFS($B$2:B4404,B4404)=1,1,0)</f>
        <v>1</v>
      </c>
    </row>
    <row r="4405" spans="1:14" x14ac:dyDescent="0.2">
      <c r="A4405">
        <v>4404</v>
      </c>
      <c r="B4405">
        <v>3215</v>
      </c>
      <c r="C4405">
        <f>1/COUNTIF(B:B,Table1[[#This Row],[order_id]])</f>
        <v>0.5</v>
      </c>
      <c r="D4405" t="str">
        <f>TEXT(Table1[[#This Row],[order_date]],"mmmm")</f>
        <v>December</v>
      </c>
      <c r="E4405" s="1">
        <v>45629</v>
      </c>
      <c r="F4405" s="1" t="str">
        <f>TEXT(Table1[[#This Row],[order_date]],"dddd")</f>
        <v>Tuesday</v>
      </c>
      <c r="G4405">
        <f>HOUR(Table1[[#This Row],[order_time]])</f>
        <v>10</v>
      </c>
      <c r="H4405" s="2">
        <v>0.45417824074074076</v>
      </c>
      <c r="I4405" t="s">
        <v>16</v>
      </c>
      <c r="J4405" t="s">
        <v>24</v>
      </c>
      <c r="K4405">
        <v>5</v>
      </c>
      <c r="L4405">
        <v>35</v>
      </c>
      <c r="M4405">
        <v>175</v>
      </c>
      <c r="N4405">
        <f>IF(COUNTIFS($B$2:B4405,B4405)=1,1,0)</f>
        <v>0</v>
      </c>
    </row>
    <row r="4406" spans="1:14" x14ac:dyDescent="0.2">
      <c r="A4406">
        <v>4405</v>
      </c>
      <c r="B4406">
        <v>3216</v>
      </c>
      <c r="C4406">
        <f>1/COUNTIF(B:B,Table1[[#This Row],[order_id]])</f>
        <v>0.33333333333333331</v>
      </c>
      <c r="D4406" t="str">
        <f>TEXT(Table1[[#This Row],[order_date]],"mmmm")</f>
        <v>December</v>
      </c>
      <c r="E4406" s="1">
        <v>45629</v>
      </c>
      <c r="F4406" s="1" t="str">
        <f>TEXT(Table1[[#This Row],[order_date]],"dddd")</f>
        <v>Tuesday</v>
      </c>
      <c r="G4406">
        <f>HOUR(Table1[[#This Row],[order_time]])</f>
        <v>17</v>
      </c>
      <c r="H4406" s="2">
        <v>0.73501157407407403</v>
      </c>
      <c r="I4406" t="s">
        <v>18</v>
      </c>
      <c r="J4406" t="s">
        <v>19</v>
      </c>
      <c r="K4406">
        <v>1</v>
      </c>
      <c r="L4406">
        <v>50</v>
      </c>
      <c r="M4406">
        <v>50</v>
      </c>
      <c r="N4406">
        <f>IF(COUNTIFS($B$2:B4406,B4406)=1,1,0)</f>
        <v>1</v>
      </c>
    </row>
    <row r="4407" spans="1:14" x14ac:dyDescent="0.2">
      <c r="A4407">
        <v>4406</v>
      </c>
      <c r="B4407">
        <v>3216</v>
      </c>
      <c r="C4407">
        <f>1/COUNTIF(B:B,Table1[[#This Row],[order_id]])</f>
        <v>0.33333333333333331</v>
      </c>
      <c r="D4407" t="str">
        <f>TEXT(Table1[[#This Row],[order_date]],"mmmm")</f>
        <v>December</v>
      </c>
      <c r="E4407" s="1">
        <v>45629</v>
      </c>
      <c r="F4407" s="1" t="str">
        <f>TEXT(Table1[[#This Row],[order_date]],"dddd")</f>
        <v>Tuesday</v>
      </c>
      <c r="G4407">
        <f>HOUR(Table1[[#This Row],[order_time]])</f>
        <v>19</v>
      </c>
      <c r="H4407" s="2">
        <v>0.80768518518518517</v>
      </c>
      <c r="I4407" t="s">
        <v>11</v>
      </c>
      <c r="J4407" t="s">
        <v>25</v>
      </c>
      <c r="K4407">
        <v>2</v>
      </c>
      <c r="L4407">
        <v>1000</v>
      </c>
      <c r="M4407">
        <v>2000</v>
      </c>
      <c r="N4407">
        <f>IF(COUNTIFS($B$2:B4407,B4407)=1,1,0)</f>
        <v>0</v>
      </c>
    </row>
    <row r="4408" spans="1:14" x14ac:dyDescent="0.2">
      <c r="A4408">
        <v>4407</v>
      </c>
      <c r="B4408">
        <v>3216</v>
      </c>
      <c r="C4408">
        <f>1/COUNTIF(B:B,Table1[[#This Row],[order_id]])</f>
        <v>0.33333333333333331</v>
      </c>
      <c r="D4408" t="str">
        <f>TEXT(Table1[[#This Row],[order_date]],"mmmm")</f>
        <v>December</v>
      </c>
      <c r="E4408" s="1">
        <v>45629</v>
      </c>
      <c r="F4408" s="1" t="str">
        <f>TEXT(Table1[[#This Row],[order_date]],"dddd")</f>
        <v>Tuesday</v>
      </c>
      <c r="G4408">
        <f>HOUR(Table1[[#This Row],[order_time]])</f>
        <v>10</v>
      </c>
      <c r="H4408" s="2">
        <v>0.42873842592592593</v>
      </c>
      <c r="I4408" t="s">
        <v>16</v>
      </c>
      <c r="J4408" t="s">
        <v>17</v>
      </c>
      <c r="K4408">
        <v>5</v>
      </c>
      <c r="L4408">
        <v>20</v>
      </c>
      <c r="M4408">
        <v>100</v>
      </c>
      <c r="N4408">
        <f>IF(COUNTIFS($B$2:B4408,B4408)=1,1,0)</f>
        <v>0</v>
      </c>
    </row>
    <row r="4409" spans="1:14" x14ac:dyDescent="0.2">
      <c r="A4409">
        <v>4408</v>
      </c>
      <c r="B4409">
        <v>3217</v>
      </c>
      <c r="C4409">
        <f>1/COUNTIF(B:B,Table1[[#This Row],[order_id]])</f>
        <v>0.5</v>
      </c>
      <c r="D4409" t="str">
        <f>TEXT(Table1[[#This Row],[order_date]],"mmmm")</f>
        <v>December</v>
      </c>
      <c r="E4409" s="1">
        <v>45629</v>
      </c>
      <c r="F4409" s="1" t="str">
        <f>TEXT(Table1[[#This Row],[order_date]],"dddd")</f>
        <v>Tuesday</v>
      </c>
      <c r="G4409">
        <f>HOUR(Table1[[#This Row],[order_time]])</f>
        <v>20</v>
      </c>
      <c r="H4409" s="2">
        <v>0.84682870370370367</v>
      </c>
      <c r="I4409" t="s">
        <v>18</v>
      </c>
      <c r="J4409" t="s">
        <v>30</v>
      </c>
      <c r="K4409">
        <v>2</v>
      </c>
      <c r="L4409">
        <v>60</v>
      </c>
      <c r="M4409">
        <v>120</v>
      </c>
      <c r="N4409">
        <f>IF(COUNTIFS($B$2:B4409,B4409)=1,1,0)</f>
        <v>1</v>
      </c>
    </row>
    <row r="4410" spans="1:14" x14ac:dyDescent="0.2">
      <c r="A4410">
        <v>4409</v>
      </c>
      <c r="B4410">
        <v>3217</v>
      </c>
      <c r="C4410">
        <f>1/COUNTIF(B:B,Table1[[#This Row],[order_id]])</f>
        <v>0.5</v>
      </c>
      <c r="D4410" t="str">
        <f>TEXT(Table1[[#This Row],[order_date]],"mmmm")</f>
        <v>December</v>
      </c>
      <c r="E4410" s="1">
        <v>45629</v>
      </c>
      <c r="F4410" s="1" t="str">
        <f>TEXT(Table1[[#This Row],[order_date]],"dddd")</f>
        <v>Tuesday</v>
      </c>
      <c r="G4410">
        <f>HOUR(Table1[[#This Row],[order_time]])</f>
        <v>20</v>
      </c>
      <c r="H4410" s="2">
        <v>0.87409722222222219</v>
      </c>
      <c r="I4410" t="s">
        <v>9</v>
      </c>
      <c r="J4410" t="s">
        <v>10</v>
      </c>
      <c r="K4410">
        <v>5</v>
      </c>
      <c r="L4410">
        <v>20</v>
      </c>
      <c r="M4410">
        <v>100</v>
      </c>
      <c r="N4410">
        <f>IF(COUNTIFS($B$2:B4410,B4410)=1,1,0)</f>
        <v>0</v>
      </c>
    </row>
    <row r="4411" spans="1:14" x14ac:dyDescent="0.2">
      <c r="A4411">
        <v>4410</v>
      </c>
      <c r="B4411">
        <v>3218</v>
      </c>
      <c r="C4411">
        <f>1/COUNTIF(B:B,Table1[[#This Row],[order_id]])</f>
        <v>1</v>
      </c>
      <c r="D4411" t="str">
        <f>TEXT(Table1[[#This Row],[order_date]],"mmmm")</f>
        <v>December</v>
      </c>
      <c r="E4411" s="1">
        <v>45630</v>
      </c>
      <c r="F4411" s="1" t="str">
        <f>TEXT(Table1[[#This Row],[order_date]],"dddd")</f>
        <v>Wednesday</v>
      </c>
      <c r="G4411">
        <f>HOUR(Table1[[#This Row],[order_time]])</f>
        <v>20</v>
      </c>
      <c r="H4411" s="2">
        <v>0.85145833333333332</v>
      </c>
      <c r="I4411" t="s">
        <v>11</v>
      </c>
      <c r="J4411" t="s">
        <v>12</v>
      </c>
      <c r="K4411">
        <v>2</v>
      </c>
      <c r="L4411">
        <v>650</v>
      </c>
      <c r="M4411">
        <v>1300</v>
      </c>
      <c r="N4411">
        <f>IF(COUNTIFS($B$2:B4411,B4411)=1,1,0)</f>
        <v>1</v>
      </c>
    </row>
    <row r="4412" spans="1:14" x14ac:dyDescent="0.2">
      <c r="A4412">
        <v>4411</v>
      </c>
      <c r="B4412">
        <v>3219</v>
      </c>
      <c r="C4412">
        <f>1/COUNTIF(B:B,Table1[[#This Row],[order_id]])</f>
        <v>1</v>
      </c>
      <c r="D4412" t="str">
        <f>TEXT(Table1[[#This Row],[order_date]],"mmmm")</f>
        <v>December</v>
      </c>
      <c r="E4412" s="1">
        <v>45630</v>
      </c>
      <c r="F4412" s="1" t="str">
        <f>TEXT(Table1[[#This Row],[order_date]],"dddd")</f>
        <v>Wednesday</v>
      </c>
      <c r="G4412">
        <f>HOUR(Table1[[#This Row],[order_time]])</f>
        <v>12</v>
      </c>
      <c r="H4412" s="2">
        <v>0.51332175925925927</v>
      </c>
      <c r="I4412" t="s">
        <v>16</v>
      </c>
      <c r="J4412" t="s">
        <v>24</v>
      </c>
      <c r="K4412">
        <v>3</v>
      </c>
      <c r="L4412">
        <v>35</v>
      </c>
      <c r="M4412">
        <v>105</v>
      </c>
      <c r="N4412">
        <f>IF(COUNTIFS($B$2:B4412,B4412)=1,1,0)</f>
        <v>1</v>
      </c>
    </row>
    <row r="4413" spans="1:14" x14ac:dyDescent="0.2">
      <c r="A4413">
        <v>4412</v>
      </c>
      <c r="B4413">
        <v>3220</v>
      </c>
      <c r="C4413">
        <f>1/COUNTIF(B:B,Table1[[#This Row],[order_id]])</f>
        <v>0.5</v>
      </c>
      <c r="D4413" t="str">
        <f>TEXT(Table1[[#This Row],[order_date]],"mmmm")</f>
        <v>December</v>
      </c>
      <c r="E4413" s="1">
        <v>45630</v>
      </c>
      <c r="F4413" s="1" t="str">
        <f>TEXT(Table1[[#This Row],[order_date]],"dddd")</f>
        <v>Wednesday</v>
      </c>
      <c r="G4413">
        <f>HOUR(Table1[[#This Row],[order_time]])</f>
        <v>11</v>
      </c>
      <c r="H4413" s="2">
        <v>0.49747685185185186</v>
      </c>
      <c r="I4413" t="s">
        <v>11</v>
      </c>
      <c r="J4413" t="s">
        <v>25</v>
      </c>
      <c r="K4413">
        <v>1</v>
      </c>
      <c r="L4413">
        <v>1000</v>
      </c>
      <c r="M4413">
        <v>1000</v>
      </c>
      <c r="N4413">
        <f>IF(COUNTIFS($B$2:B4413,B4413)=1,1,0)</f>
        <v>1</v>
      </c>
    </row>
    <row r="4414" spans="1:14" x14ac:dyDescent="0.2">
      <c r="A4414">
        <v>4413</v>
      </c>
      <c r="B4414">
        <v>3220</v>
      </c>
      <c r="C4414">
        <f>1/COUNTIF(B:B,Table1[[#This Row],[order_id]])</f>
        <v>0.5</v>
      </c>
      <c r="D4414" t="str">
        <f>TEXT(Table1[[#This Row],[order_date]],"mmmm")</f>
        <v>December</v>
      </c>
      <c r="E4414" s="1">
        <v>45630</v>
      </c>
      <c r="F4414" s="1" t="str">
        <f>TEXT(Table1[[#This Row],[order_date]],"dddd")</f>
        <v>Wednesday</v>
      </c>
      <c r="G4414">
        <f>HOUR(Table1[[#This Row],[order_time]])</f>
        <v>14</v>
      </c>
      <c r="H4414" s="2">
        <v>0.6083101851851852</v>
      </c>
      <c r="I4414" t="s">
        <v>18</v>
      </c>
      <c r="J4414" t="s">
        <v>27</v>
      </c>
      <c r="K4414">
        <v>5</v>
      </c>
      <c r="L4414">
        <v>40</v>
      </c>
      <c r="M4414">
        <v>200</v>
      </c>
      <c r="N4414">
        <f>IF(COUNTIFS($B$2:B4414,B4414)=1,1,0)</f>
        <v>0</v>
      </c>
    </row>
    <row r="4415" spans="1:14" x14ac:dyDescent="0.2">
      <c r="A4415">
        <v>4414</v>
      </c>
      <c r="B4415">
        <v>3221</v>
      </c>
      <c r="C4415">
        <f>1/COUNTIF(B:B,Table1[[#This Row],[order_id]])</f>
        <v>0.5</v>
      </c>
      <c r="D4415" t="str">
        <f>TEXT(Table1[[#This Row],[order_date]],"mmmm")</f>
        <v>December</v>
      </c>
      <c r="E4415" s="1">
        <v>45630</v>
      </c>
      <c r="F4415" s="1" t="str">
        <f>TEXT(Table1[[#This Row],[order_date]],"dddd")</f>
        <v>Wednesday</v>
      </c>
      <c r="G4415">
        <f>HOUR(Table1[[#This Row],[order_time]])</f>
        <v>10</v>
      </c>
      <c r="H4415" s="2">
        <v>0.42172453703703705</v>
      </c>
      <c r="I4415" t="s">
        <v>11</v>
      </c>
      <c r="J4415" t="s">
        <v>12</v>
      </c>
      <c r="K4415">
        <v>2</v>
      </c>
      <c r="L4415">
        <v>650</v>
      </c>
      <c r="M4415">
        <v>1300</v>
      </c>
      <c r="N4415">
        <f>IF(COUNTIFS($B$2:B4415,B4415)=1,1,0)</f>
        <v>1</v>
      </c>
    </row>
    <row r="4416" spans="1:14" x14ac:dyDescent="0.2">
      <c r="A4416">
        <v>4415</v>
      </c>
      <c r="B4416">
        <v>3221</v>
      </c>
      <c r="C4416">
        <f>1/COUNTIF(B:B,Table1[[#This Row],[order_id]])</f>
        <v>0.5</v>
      </c>
      <c r="D4416" t="str">
        <f>TEXT(Table1[[#This Row],[order_date]],"mmmm")</f>
        <v>December</v>
      </c>
      <c r="E4416" s="1">
        <v>45630</v>
      </c>
      <c r="F4416" s="1" t="str">
        <f>TEXT(Table1[[#This Row],[order_date]],"dddd")</f>
        <v>Wednesday</v>
      </c>
      <c r="G4416">
        <f>HOUR(Table1[[#This Row],[order_time]])</f>
        <v>18</v>
      </c>
      <c r="H4416" s="2">
        <v>0.78065972222222224</v>
      </c>
      <c r="I4416" t="s">
        <v>11</v>
      </c>
      <c r="J4416" t="s">
        <v>25</v>
      </c>
      <c r="K4416">
        <v>2</v>
      </c>
      <c r="L4416">
        <v>1000</v>
      </c>
      <c r="M4416">
        <v>2000</v>
      </c>
      <c r="N4416">
        <f>IF(COUNTIFS($B$2:B4416,B4416)=1,1,0)</f>
        <v>0</v>
      </c>
    </row>
    <row r="4417" spans="1:14" x14ac:dyDescent="0.2">
      <c r="A4417">
        <v>4416</v>
      </c>
      <c r="B4417">
        <v>3222</v>
      </c>
      <c r="C4417">
        <f>1/COUNTIF(B:B,Table1[[#This Row],[order_id]])</f>
        <v>0.33333333333333331</v>
      </c>
      <c r="D4417" t="str">
        <f>TEXT(Table1[[#This Row],[order_date]],"mmmm")</f>
        <v>December</v>
      </c>
      <c r="E4417" s="1">
        <v>45631</v>
      </c>
      <c r="F4417" s="1" t="str">
        <f>TEXT(Table1[[#This Row],[order_date]],"dddd")</f>
        <v>Thursday</v>
      </c>
      <c r="G4417">
        <f>HOUR(Table1[[#This Row],[order_time]])</f>
        <v>17</v>
      </c>
      <c r="H4417" s="2">
        <v>0.74319444444444449</v>
      </c>
      <c r="I4417" t="s">
        <v>16</v>
      </c>
      <c r="J4417" t="s">
        <v>24</v>
      </c>
      <c r="K4417">
        <v>1</v>
      </c>
      <c r="L4417">
        <v>35</v>
      </c>
      <c r="M4417">
        <v>35</v>
      </c>
      <c r="N4417">
        <f>IF(COUNTIFS($B$2:B4417,B4417)=1,1,0)</f>
        <v>1</v>
      </c>
    </row>
    <row r="4418" spans="1:14" x14ac:dyDescent="0.2">
      <c r="A4418">
        <v>4417</v>
      </c>
      <c r="B4418">
        <v>3222</v>
      </c>
      <c r="C4418">
        <f>1/COUNTIF(B:B,Table1[[#This Row],[order_id]])</f>
        <v>0.33333333333333331</v>
      </c>
      <c r="D4418" t="str">
        <f>TEXT(Table1[[#This Row],[order_date]],"mmmm")</f>
        <v>December</v>
      </c>
      <c r="E4418" s="1">
        <v>45631</v>
      </c>
      <c r="F4418" s="1" t="str">
        <f>TEXT(Table1[[#This Row],[order_date]],"dddd")</f>
        <v>Thursday</v>
      </c>
      <c r="G4418">
        <f>HOUR(Table1[[#This Row],[order_time]])</f>
        <v>15</v>
      </c>
      <c r="H4418" s="2">
        <v>0.63564814814814818</v>
      </c>
      <c r="I4418" t="s">
        <v>11</v>
      </c>
      <c r="J4418" t="s">
        <v>14</v>
      </c>
      <c r="K4418">
        <v>1</v>
      </c>
      <c r="L4418">
        <v>700</v>
      </c>
      <c r="M4418">
        <v>700</v>
      </c>
      <c r="N4418">
        <f>IF(COUNTIFS($B$2:B4418,B4418)=1,1,0)</f>
        <v>0</v>
      </c>
    </row>
    <row r="4419" spans="1:14" x14ac:dyDescent="0.2">
      <c r="A4419">
        <v>4418</v>
      </c>
      <c r="B4419">
        <v>3222</v>
      </c>
      <c r="C4419">
        <f>1/COUNTIF(B:B,Table1[[#This Row],[order_id]])</f>
        <v>0.33333333333333331</v>
      </c>
      <c r="D4419" t="str">
        <f>TEXT(Table1[[#This Row],[order_date]],"mmmm")</f>
        <v>December</v>
      </c>
      <c r="E4419" s="1">
        <v>45631</v>
      </c>
      <c r="F4419" s="1" t="str">
        <f>TEXT(Table1[[#This Row],[order_date]],"dddd")</f>
        <v>Thursday</v>
      </c>
      <c r="G4419">
        <f>HOUR(Table1[[#This Row],[order_time]])</f>
        <v>18</v>
      </c>
      <c r="H4419" s="2">
        <v>0.77289351851851851</v>
      </c>
      <c r="I4419" t="s">
        <v>9</v>
      </c>
      <c r="J4419" t="s">
        <v>20</v>
      </c>
      <c r="K4419">
        <v>1</v>
      </c>
      <c r="L4419">
        <v>25</v>
      </c>
      <c r="M4419">
        <v>25</v>
      </c>
      <c r="N4419">
        <f>IF(COUNTIFS($B$2:B4419,B4419)=1,1,0)</f>
        <v>0</v>
      </c>
    </row>
    <row r="4420" spans="1:14" x14ac:dyDescent="0.2">
      <c r="A4420">
        <v>4419</v>
      </c>
      <c r="B4420">
        <v>3223</v>
      </c>
      <c r="C4420">
        <f>1/COUNTIF(B:B,Table1[[#This Row],[order_id]])</f>
        <v>0.5</v>
      </c>
      <c r="D4420" t="str">
        <f>TEXT(Table1[[#This Row],[order_date]],"mmmm")</f>
        <v>December</v>
      </c>
      <c r="E4420" s="1">
        <v>45631</v>
      </c>
      <c r="F4420" s="1" t="str">
        <f>TEXT(Table1[[#This Row],[order_date]],"dddd")</f>
        <v>Thursday</v>
      </c>
      <c r="G4420">
        <f>HOUR(Table1[[#This Row],[order_time]])</f>
        <v>20</v>
      </c>
      <c r="H4420" s="2">
        <v>0.84484953703703702</v>
      </c>
      <c r="I4420" t="s">
        <v>9</v>
      </c>
      <c r="J4420" t="s">
        <v>10</v>
      </c>
      <c r="K4420">
        <v>3</v>
      </c>
      <c r="L4420">
        <v>20</v>
      </c>
      <c r="M4420">
        <v>60</v>
      </c>
      <c r="N4420">
        <f>IF(COUNTIFS($B$2:B4420,B4420)=1,1,0)</f>
        <v>1</v>
      </c>
    </row>
    <row r="4421" spans="1:14" x14ac:dyDescent="0.2">
      <c r="A4421">
        <v>4420</v>
      </c>
      <c r="B4421">
        <v>3223</v>
      </c>
      <c r="C4421">
        <f>1/COUNTIF(B:B,Table1[[#This Row],[order_id]])</f>
        <v>0.5</v>
      </c>
      <c r="D4421" t="str">
        <f>TEXT(Table1[[#This Row],[order_date]],"mmmm")</f>
        <v>December</v>
      </c>
      <c r="E4421" s="1">
        <v>45631</v>
      </c>
      <c r="F4421" s="1" t="str">
        <f>TEXT(Table1[[#This Row],[order_date]],"dddd")</f>
        <v>Thursday</v>
      </c>
      <c r="G4421">
        <f>HOUR(Table1[[#This Row],[order_time]])</f>
        <v>17</v>
      </c>
      <c r="H4421" s="2">
        <v>0.72711805555555553</v>
      </c>
      <c r="I4421" t="s">
        <v>18</v>
      </c>
      <c r="J4421" t="s">
        <v>26</v>
      </c>
      <c r="K4421">
        <v>2</v>
      </c>
      <c r="L4421">
        <v>55</v>
      </c>
      <c r="M4421">
        <v>110</v>
      </c>
      <c r="N4421">
        <f>IF(COUNTIFS($B$2:B4421,B4421)=1,1,0)</f>
        <v>0</v>
      </c>
    </row>
    <row r="4422" spans="1:14" x14ac:dyDescent="0.2">
      <c r="A4422">
        <v>4421</v>
      </c>
      <c r="B4422">
        <v>3224</v>
      </c>
      <c r="C4422">
        <f>1/COUNTIF(B:B,Table1[[#This Row],[order_id]])</f>
        <v>0.33333333333333331</v>
      </c>
      <c r="D4422" t="str">
        <f>TEXT(Table1[[#This Row],[order_date]],"mmmm")</f>
        <v>December</v>
      </c>
      <c r="E4422" s="1">
        <v>45631</v>
      </c>
      <c r="F4422" s="1" t="str">
        <f>TEXT(Table1[[#This Row],[order_date]],"dddd")</f>
        <v>Thursday</v>
      </c>
      <c r="G4422">
        <f>HOUR(Table1[[#This Row],[order_time]])</f>
        <v>10</v>
      </c>
      <c r="H4422" s="2">
        <v>0.42331018518518521</v>
      </c>
      <c r="I4422" t="s">
        <v>16</v>
      </c>
      <c r="J4422" t="s">
        <v>17</v>
      </c>
      <c r="K4422">
        <v>3</v>
      </c>
      <c r="L4422">
        <v>20</v>
      </c>
      <c r="M4422">
        <v>60</v>
      </c>
      <c r="N4422">
        <f>IF(COUNTIFS($B$2:B4422,B4422)=1,1,0)</f>
        <v>1</v>
      </c>
    </row>
    <row r="4423" spans="1:14" x14ac:dyDescent="0.2">
      <c r="A4423">
        <v>4422</v>
      </c>
      <c r="B4423">
        <v>3224</v>
      </c>
      <c r="C4423">
        <f>1/COUNTIF(B:B,Table1[[#This Row],[order_id]])</f>
        <v>0.33333333333333331</v>
      </c>
      <c r="D4423" t="str">
        <f>TEXT(Table1[[#This Row],[order_date]],"mmmm")</f>
        <v>December</v>
      </c>
      <c r="E4423" s="1">
        <v>45631</v>
      </c>
      <c r="F4423" s="1" t="str">
        <f>TEXT(Table1[[#This Row],[order_date]],"dddd")</f>
        <v>Thursday</v>
      </c>
      <c r="G4423">
        <f>HOUR(Table1[[#This Row],[order_time]])</f>
        <v>17</v>
      </c>
      <c r="H4423" s="2">
        <v>0.72017361111111111</v>
      </c>
      <c r="I4423" t="s">
        <v>9</v>
      </c>
      <c r="J4423" t="s">
        <v>22</v>
      </c>
      <c r="K4423">
        <v>1</v>
      </c>
      <c r="L4423">
        <v>15</v>
      </c>
      <c r="M4423">
        <v>15</v>
      </c>
      <c r="N4423">
        <f>IF(COUNTIFS($B$2:B4423,B4423)=1,1,0)</f>
        <v>0</v>
      </c>
    </row>
    <row r="4424" spans="1:14" x14ac:dyDescent="0.2">
      <c r="A4424">
        <v>4423</v>
      </c>
      <c r="B4424">
        <v>3224</v>
      </c>
      <c r="C4424">
        <f>1/COUNTIF(B:B,Table1[[#This Row],[order_id]])</f>
        <v>0.33333333333333331</v>
      </c>
      <c r="D4424" t="str">
        <f>TEXT(Table1[[#This Row],[order_date]],"mmmm")</f>
        <v>December</v>
      </c>
      <c r="E4424" s="1">
        <v>45631</v>
      </c>
      <c r="F4424" s="1" t="str">
        <f>TEXT(Table1[[#This Row],[order_date]],"dddd")</f>
        <v>Thursday</v>
      </c>
      <c r="G4424">
        <f>HOUR(Table1[[#This Row],[order_time]])</f>
        <v>16</v>
      </c>
      <c r="H4424" s="2">
        <v>0.67759259259259264</v>
      </c>
      <c r="I4424" t="s">
        <v>16</v>
      </c>
      <c r="J4424" t="s">
        <v>24</v>
      </c>
      <c r="K4424">
        <v>4</v>
      </c>
      <c r="L4424">
        <v>35</v>
      </c>
      <c r="M4424">
        <v>140</v>
      </c>
      <c r="N4424">
        <f>IF(COUNTIFS($B$2:B4424,B4424)=1,1,0)</f>
        <v>0</v>
      </c>
    </row>
    <row r="4425" spans="1:14" x14ac:dyDescent="0.2">
      <c r="A4425">
        <v>4424</v>
      </c>
      <c r="B4425">
        <v>3225</v>
      </c>
      <c r="C4425">
        <f>1/COUNTIF(B:B,Table1[[#This Row],[order_id]])</f>
        <v>0.5</v>
      </c>
      <c r="D4425" t="str">
        <f>TEXT(Table1[[#This Row],[order_date]],"mmmm")</f>
        <v>December</v>
      </c>
      <c r="E4425" s="1">
        <v>45632</v>
      </c>
      <c r="F4425" s="1" t="str">
        <f>TEXT(Table1[[#This Row],[order_date]],"dddd")</f>
        <v>Friday</v>
      </c>
      <c r="G4425">
        <f>HOUR(Table1[[#This Row],[order_time]])</f>
        <v>11</v>
      </c>
      <c r="H4425" s="2">
        <v>0.47168981481481481</v>
      </c>
      <c r="I4425" t="s">
        <v>9</v>
      </c>
      <c r="J4425" t="s">
        <v>20</v>
      </c>
      <c r="K4425">
        <v>5</v>
      </c>
      <c r="L4425">
        <v>25</v>
      </c>
      <c r="M4425">
        <v>125</v>
      </c>
      <c r="N4425">
        <f>IF(COUNTIFS($B$2:B4425,B4425)=1,1,0)</f>
        <v>1</v>
      </c>
    </row>
    <row r="4426" spans="1:14" x14ac:dyDescent="0.2">
      <c r="A4426">
        <v>4425</v>
      </c>
      <c r="B4426">
        <v>3225</v>
      </c>
      <c r="C4426">
        <f>1/COUNTIF(B:B,Table1[[#This Row],[order_id]])</f>
        <v>0.5</v>
      </c>
      <c r="D4426" t="str">
        <f>TEXT(Table1[[#This Row],[order_date]],"mmmm")</f>
        <v>December</v>
      </c>
      <c r="E4426" s="1">
        <v>45632</v>
      </c>
      <c r="F4426" s="1" t="str">
        <f>TEXT(Table1[[#This Row],[order_date]],"dddd")</f>
        <v>Friday</v>
      </c>
      <c r="G4426">
        <f>HOUR(Table1[[#This Row],[order_time]])</f>
        <v>15</v>
      </c>
      <c r="H4426" s="2">
        <v>0.62554398148148149</v>
      </c>
      <c r="I4426" t="s">
        <v>18</v>
      </c>
      <c r="J4426" t="s">
        <v>27</v>
      </c>
      <c r="K4426">
        <v>1</v>
      </c>
      <c r="L4426">
        <v>40</v>
      </c>
      <c r="M4426">
        <v>40</v>
      </c>
      <c r="N4426">
        <f>IF(COUNTIFS($B$2:B4426,B4426)=1,1,0)</f>
        <v>0</v>
      </c>
    </row>
    <row r="4427" spans="1:14" x14ac:dyDescent="0.2">
      <c r="A4427">
        <v>4426</v>
      </c>
      <c r="B4427">
        <v>3226</v>
      </c>
      <c r="C4427">
        <f>1/COUNTIF(B:B,Table1[[#This Row],[order_id]])</f>
        <v>0.5</v>
      </c>
      <c r="D4427" t="str">
        <f>TEXT(Table1[[#This Row],[order_date]],"mmmm")</f>
        <v>December</v>
      </c>
      <c r="E4427" s="1">
        <v>45632</v>
      </c>
      <c r="F4427" s="1" t="str">
        <f>TEXT(Table1[[#This Row],[order_date]],"dddd")</f>
        <v>Friday</v>
      </c>
      <c r="G4427">
        <f>HOUR(Table1[[#This Row],[order_time]])</f>
        <v>14</v>
      </c>
      <c r="H4427" s="2">
        <v>0.60824074074074075</v>
      </c>
      <c r="I4427" t="s">
        <v>18</v>
      </c>
      <c r="J4427" t="s">
        <v>26</v>
      </c>
      <c r="K4427">
        <v>2</v>
      </c>
      <c r="L4427">
        <v>55</v>
      </c>
      <c r="M4427">
        <v>110</v>
      </c>
      <c r="N4427">
        <f>IF(COUNTIFS($B$2:B4427,B4427)=1,1,0)</f>
        <v>1</v>
      </c>
    </row>
    <row r="4428" spans="1:14" x14ac:dyDescent="0.2">
      <c r="A4428">
        <v>4427</v>
      </c>
      <c r="B4428">
        <v>3226</v>
      </c>
      <c r="C4428">
        <f>1/COUNTIF(B:B,Table1[[#This Row],[order_id]])</f>
        <v>0.5</v>
      </c>
      <c r="D4428" t="str">
        <f>TEXT(Table1[[#This Row],[order_date]],"mmmm")</f>
        <v>December</v>
      </c>
      <c r="E4428" s="1">
        <v>45632</v>
      </c>
      <c r="F4428" s="1" t="str">
        <f>TEXT(Table1[[#This Row],[order_date]],"dddd")</f>
        <v>Friday</v>
      </c>
      <c r="G4428">
        <f>HOUR(Table1[[#This Row],[order_time]])</f>
        <v>17</v>
      </c>
      <c r="H4428" s="2">
        <v>0.74997685185185181</v>
      </c>
      <c r="I4428" t="s">
        <v>18</v>
      </c>
      <c r="J4428" t="s">
        <v>27</v>
      </c>
      <c r="K4428">
        <v>4</v>
      </c>
      <c r="L4428">
        <v>40</v>
      </c>
      <c r="M4428">
        <v>160</v>
      </c>
      <c r="N4428">
        <f>IF(COUNTIFS($B$2:B4428,B4428)=1,1,0)</f>
        <v>0</v>
      </c>
    </row>
    <row r="4429" spans="1:14" x14ac:dyDescent="0.2">
      <c r="A4429">
        <v>4428</v>
      </c>
      <c r="B4429">
        <v>3227</v>
      </c>
      <c r="C4429">
        <f>1/COUNTIF(B:B,Table1[[#This Row],[order_id]])</f>
        <v>1</v>
      </c>
      <c r="D4429" t="str">
        <f>TEXT(Table1[[#This Row],[order_date]],"mmmm")</f>
        <v>December</v>
      </c>
      <c r="E4429" s="1">
        <v>45632</v>
      </c>
      <c r="F4429" s="1" t="str">
        <f>TEXT(Table1[[#This Row],[order_date]],"dddd")</f>
        <v>Friday</v>
      </c>
      <c r="G4429">
        <f>HOUR(Table1[[#This Row],[order_time]])</f>
        <v>12</v>
      </c>
      <c r="H4429" s="2">
        <v>0.53302083333333339</v>
      </c>
      <c r="I4429" t="s">
        <v>11</v>
      </c>
      <c r="J4429" t="s">
        <v>15</v>
      </c>
      <c r="K4429">
        <v>4</v>
      </c>
      <c r="L4429">
        <v>600</v>
      </c>
      <c r="M4429">
        <v>2400</v>
      </c>
      <c r="N4429">
        <f>IF(COUNTIFS($B$2:B4429,B4429)=1,1,0)</f>
        <v>1</v>
      </c>
    </row>
    <row r="4430" spans="1:14" x14ac:dyDescent="0.2">
      <c r="A4430">
        <v>4429</v>
      </c>
      <c r="B4430">
        <v>3228</v>
      </c>
      <c r="C4430">
        <f>1/COUNTIF(B:B,Table1[[#This Row],[order_id]])</f>
        <v>0.5</v>
      </c>
      <c r="D4430" t="str">
        <f>TEXT(Table1[[#This Row],[order_date]],"mmmm")</f>
        <v>December</v>
      </c>
      <c r="E4430" s="1">
        <v>45633</v>
      </c>
      <c r="F4430" s="1" t="str">
        <f>TEXT(Table1[[#This Row],[order_date]],"dddd")</f>
        <v>Saturday</v>
      </c>
      <c r="G4430">
        <f>HOUR(Table1[[#This Row],[order_time]])</f>
        <v>10</v>
      </c>
      <c r="H4430" s="2">
        <v>0.43840277777777775</v>
      </c>
      <c r="I4430" t="s">
        <v>16</v>
      </c>
      <c r="J4430" t="s">
        <v>24</v>
      </c>
      <c r="K4430">
        <v>1</v>
      </c>
      <c r="L4430">
        <v>35</v>
      </c>
      <c r="M4430">
        <v>35</v>
      </c>
      <c r="N4430">
        <f>IF(COUNTIFS($B$2:B4430,B4430)=1,1,0)</f>
        <v>1</v>
      </c>
    </row>
    <row r="4431" spans="1:14" x14ac:dyDescent="0.2">
      <c r="A4431">
        <v>4430</v>
      </c>
      <c r="B4431">
        <v>3228</v>
      </c>
      <c r="C4431">
        <f>1/COUNTIF(B:B,Table1[[#This Row],[order_id]])</f>
        <v>0.5</v>
      </c>
      <c r="D4431" t="str">
        <f>TEXT(Table1[[#This Row],[order_date]],"mmmm")</f>
        <v>December</v>
      </c>
      <c r="E4431" s="1">
        <v>45633</v>
      </c>
      <c r="F4431" s="1" t="str">
        <f>TEXT(Table1[[#This Row],[order_date]],"dddd")</f>
        <v>Saturday</v>
      </c>
      <c r="G4431">
        <f>HOUR(Table1[[#This Row],[order_time]])</f>
        <v>16</v>
      </c>
      <c r="H4431" s="2">
        <v>0.68436342592592592</v>
      </c>
      <c r="I4431" t="s">
        <v>11</v>
      </c>
      <c r="J4431" t="s">
        <v>12</v>
      </c>
      <c r="K4431">
        <v>5</v>
      </c>
      <c r="L4431">
        <v>650</v>
      </c>
      <c r="M4431">
        <v>3250</v>
      </c>
      <c r="N4431">
        <f>IF(COUNTIFS($B$2:B4431,B4431)=1,1,0)</f>
        <v>0</v>
      </c>
    </row>
    <row r="4432" spans="1:14" x14ac:dyDescent="0.2">
      <c r="A4432">
        <v>4431</v>
      </c>
      <c r="B4432">
        <v>3229</v>
      </c>
      <c r="C4432">
        <f>1/COUNTIF(B:B,Table1[[#This Row],[order_id]])</f>
        <v>0.33333333333333331</v>
      </c>
      <c r="D4432" t="str">
        <f>TEXT(Table1[[#This Row],[order_date]],"mmmm")</f>
        <v>December</v>
      </c>
      <c r="E4432" s="1">
        <v>45633</v>
      </c>
      <c r="F4432" s="1" t="str">
        <f>TEXT(Table1[[#This Row],[order_date]],"dddd")</f>
        <v>Saturday</v>
      </c>
      <c r="G4432">
        <f>HOUR(Table1[[#This Row],[order_time]])</f>
        <v>13</v>
      </c>
      <c r="H4432" s="2">
        <v>0.55085648148148147</v>
      </c>
      <c r="I4432" t="s">
        <v>16</v>
      </c>
      <c r="J4432" t="s">
        <v>24</v>
      </c>
      <c r="K4432">
        <v>3</v>
      </c>
      <c r="L4432">
        <v>35</v>
      </c>
      <c r="M4432">
        <v>105</v>
      </c>
      <c r="N4432">
        <f>IF(COUNTIFS($B$2:B4432,B4432)=1,1,0)</f>
        <v>1</v>
      </c>
    </row>
    <row r="4433" spans="1:14" x14ac:dyDescent="0.2">
      <c r="A4433">
        <v>4432</v>
      </c>
      <c r="B4433">
        <v>3229</v>
      </c>
      <c r="C4433">
        <f>1/COUNTIF(B:B,Table1[[#This Row],[order_id]])</f>
        <v>0.33333333333333331</v>
      </c>
      <c r="D4433" t="str">
        <f>TEXT(Table1[[#This Row],[order_date]],"mmmm")</f>
        <v>December</v>
      </c>
      <c r="E4433" s="1">
        <v>45633</v>
      </c>
      <c r="F4433" s="1" t="str">
        <f>TEXT(Table1[[#This Row],[order_date]],"dddd")</f>
        <v>Saturday</v>
      </c>
      <c r="G4433">
        <f>HOUR(Table1[[#This Row],[order_time]])</f>
        <v>13</v>
      </c>
      <c r="H4433" s="2">
        <v>0.56369212962962967</v>
      </c>
      <c r="I4433" t="s">
        <v>9</v>
      </c>
      <c r="J4433" t="s">
        <v>22</v>
      </c>
      <c r="K4433">
        <v>3</v>
      </c>
      <c r="L4433">
        <v>15</v>
      </c>
      <c r="M4433">
        <v>45</v>
      </c>
      <c r="N4433">
        <f>IF(COUNTIFS($B$2:B4433,B4433)=1,1,0)</f>
        <v>0</v>
      </c>
    </row>
    <row r="4434" spans="1:14" x14ac:dyDescent="0.2">
      <c r="A4434">
        <v>4433</v>
      </c>
      <c r="B4434">
        <v>3229</v>
      </c>
      <c r="C4434">
        <f>1/COUNTIF(B:B,Table1[[#This Row],[order_id]])</f>
        <v>0.33333333333333331</v>
      </c>
      <c r="D4434" t="str">
        <f>TEXT(Table1[[#This Row],[order_date]],"mmmm")</f>
        <v>December</v>
      </c>
      <c r="E4434" s="1">
        <v>45633</v>
      </c>
      <c r="F4434" s="1" t="str">
        <f>TEXT(Table1[[#This Row],[order_date]],"dddd")</f>
        <v>Saturday</v>
      </c>
      <c r="G4434">
        <f>HOUR(Table1[[#This Row],[order_time]])</f>
        <v>17</v>
      </c>
      <c r="H4434" s="2">
        <v>0.70903935185185185</v>
      </c>
      <c r="I4434" t="s">
        <v>11</v>
      </c>
      <c r="J4434" t="s">
        <v>13</v>
      </c>
      <c r="K4434">
        <v>1</v>
      </c>
      <c r="L4434">
        <v>680</v>
      </c>
      <c r="M4434">
        <v>680</v>
      </c>
      <c r="N4434">
        <f>IF(COUNTIFS($B$2:B4434,B4434)=1,1,0)</f>
        <v>0</v>
      </c>
    </row>
    <row r="4435" spans="1:14" x14ac:dyDescent="0.2">
      <c r="A4435">
        <v>4434</v>
      </c>
      <c r="B4435">
        <v>3230</v>
      </c>
      <c r="C4435">
        <f>1/COUNTIF(B:B,Table1[[#This Row],[order_id]])</f>
        <v>0.5</v>
      </c>
      <c r="D4435" t="str">
        <f>TEXT(Table1[[#This Row],[order_date]],"mmmm")</f>
        <v>December</v>
      </c>
      <c r="E4435" s="1">
        <v>45633</v>
      </c>
      <c r="F4435" s="1" t="str">
        <f>TEXT(Table1[[#This Row],[order_date]],"dddd")</f>
        <v>Saturday</v>
      </c>
      <c r="G4435">
        <f>HOUR(Table1[[#This Row],[order_time]])</f>
        <v>11</v>
      </c>
      <c r="H4435" s="2">
        <v>0.46618055555555554</v>
      </c>
      <c r="I4435" t="s">
        <v>18</v>
      </c>
      <c r="J4435" t="s">
        <v>27</v>
      </c>
      <c r="K4435">
        <v>4</v>
      </c>
      <c r="L4435">
        <v>40</v>
      </c>
      <c r="M4435">
        <v>160</v>
      </c>
      <c r="N4435">
        <f>IF(COUNTIFS($B$2:B4435,B4435)=1,1,0)</f>
        <v>1</v>
      </c>
    </row>
    <row r="4436" spans="1:14" x14ac:dyDescent="0.2">
      <c r="A4436">
        <v>4435</v>
      </c>
      <c r="B4436">
        <v>3230</v>
      </c>
      <c r="C4436">
        <f>1/COUNTIF(B:B,Table1[[#This Row],[order_id]])</f>
        <v>0.5</v>
      </c>
      <c r="D4436" t="str">
        <f>TEXT(Table1[[#This Row],[order_date]],"mmmm")</f>
        <v>December</v>
      </c>
      <c r="E4436" s="1">
        <v>45633</v>
      </c>
      <c r="F4436" s="1" t="str">
        <f>TEXT(Table1[[#This Row],[order_date]],"dddd")</f>
        <v>Saturday</v>
      </c>
      <c r="G4436">
        <f>HOUR(Table1[[#This Row],[order_time]])</f>
        <v>18</v>
      </c>
      <c r="H4436" s="2">
        <v>0.77413194444444444</v>
      </c>
      <c r="I4436" t="s">
        <v>9</v>
      </c>
      <c r="J4436" t="s">
        <v>10</v>
      </c>
      <c r="K4436">
        <v>1</v>
      </c>
      <c r="L4436">
        <v>20</v>
      </c>
      <c r="M4436">
        <v>20</v>
      </c>
      <c r="N4436">
        <f>IF(COUNTIFS($B$2:B4436,B4436)=1,1,0)</f>
        <v>0</v>
      </c>
    </row>
    <row r="4437" spans="1:14" x14ac:dyDescent="0.2">
      <c r="A4437">
        <v>4436</v>
      </c>
      <c r="B4437">
        <v>3231</v>
      </c>
      <c r="C4437">
        <f>1/COUNTIF(B:B,Table1[[#This Row],[order_id]])</f>
        <v>1</v>
      </c>
      <c r="D4437" t="str">
        <f>TEXT(Table1[[#This Row],[order_date]],"mmmm")</f>
        <v>December</v>
      </c>
      <c r="E4437" s="1">
        <v>45633</v>
      </c>
      <c r="F4437" s="1" t="str">
        <f>TEXT(Table1[[#This Row],[order_date]],"dddd")</f>
        <v>Saturday</v>
      </c>
      <c r="G4437">
        <f>HOUR(Table1[[#This Row],[order_time]])</f>
        <v>9</v>
      </c>
      <c r="H4437" s="2">
        <v>0.39710648148148148</v>
      </c>
      <c r="I4437" t="s">
        <v>9</v>
      </c>
      <c r="J4437" t="s">
        <v>22</v>
      </c>
      <c r="K4437">
        <v>3</v>
      </c>
      <c r="L4437">
        <v>15</v>
      </c>
      <c r="M4437">
        <v>45</v>
      </c>
      <c r="N4437">
        <f>IF(COUNTIFS($B$2:B4437,B4437)=1,1,0)</f>
        <v>1</v>
      </c>
    </row>
    <row r="4438" spans="1:14" x14ac:dyDescent="0.2">
      <c r="A4438">
        <v>4437</v>
      </c>
      <c r="B4438">
        <v>3232</v>
      </c>
      <c r="C4438">
        <f>1/COUNTIF(B:B,Table1[[#This Row],[order_id]])</f>
        <v>0.33333333333333331</v>
      </c>
      <c r="D4438" t="str">
        <f>TEXT(Table1[[#This Row],[order_date]],"mmmm")</f>
        <v>December</v>
      </c>
      <c r="E4438" s="1">
        <v>45633</v>
      </c>
      <c r="F4438" s="1" t="str">
        <f>TEXT(Table1[[#This Row],[order_date]],"dddd")</f>
        <v>Saturday</v>
      </c>
      <c r="G4438">
        <f>HOUR(Table1[[#This Row],[order_time]])</f>
        <v>12</v>
      </c>
      <c r="H4438" s="2">
        <v>0.53181712962962968</v>
      </c>
      <c r="I4438" t="s">
        <v>11</v>
      </c>
      <c r="J4438" t="s">
        <v>12</v>
      </c>
      <c r="K4438">
        <v>4</v>
      </c>
      <c r="L4438">
        <v>650</v>
      </c>
      <c r="M4438">
        <v>2600</v>
      </c>
      <c r="N4438">
        <f>IF(COUNTIFS($B$2:B4438,B4438)=1,1,0)</f>
        <v>1</v>
      </c>
    </row>
    <row r="4439" spans="1:14" x14ac:dyDescent="0.2">
      <c r="A4439">
        <v>4438</v>
      </c>
      <c r="B4439">
        <v>3232</v>
      </c>
      <c r="C4439">
        <f>1/COUNTIF(B:B,Table1[[#This Row],[order_id]])</f>
        <v>0.33333333333333331</v>
      </c>
      <c r="D4439" t="str">
        <f>TEXT(Table1[[#This Row],[order_date]],"mmmm")</f>
        <v>December</v>
      </c>
      <c r="E4439" s="1">
        <v>45633</v>
      </c>
      <c r="F4439" s="1" t="str">
        <f>TEXT(Table1[[#This Row],[order_date]],"dddd")</f>
        <v>Saturday</v>
      </c>
      <c r="G4439">
        <f>HOUR(Table1[[#This Row],[order_time]])</f>
        <v>11</v>
      </c>
      <c r="H4439" s="2">
        <v>0.49236111111111114</v>
      </c>
      <c r="I4439" t="s">
        <v>18</v>
      </c>
      <c r="J4439" t="s">
        <v>30</v>
      </c>
      <c r="K4439">
        <v>1</v>
      </c>
      <c r="L4439">
        <v>60</v>
      </c>
      <c r="M4439">
        <v>60</v>
      </c>
      <c r="N4439">
        <f>IF(COUNTIFS($B$2:B4439,B4439)=1,1,0)</f>
        <v>0</v>
      </c>
    </row>
    <row r="4440" spans="1:14" x14ac:dyDescent="0.2">
      <c r="A4440">
        <v>4439</v>
      </c>
      <c r="B4440">
        <v>3232</v>
      </c>
      <c r="C4440">
        <f>1/COUNTIF(B:B,Table1[[#This Row],[order_id]])</f>
        <v>0.33333333333333331</v>
      </c>
      <c r="D4440" t="str">
        <f>TEXT(Table1[[#This Row],[order_date]],"mmmm")</f>
        <v>December</v>
      </c>
      <c r="E4440" s="1">
        <v>45633</v>
      </c>
      <c r="F4440" s="1" t="str">
        <f>TEXT(Table1[[#This Row],[order_date]],"dddd")</f>
        <v>Saturday</v>
      </c>
      <c r="G4440">
        <f>HOUR(Table1[[#This Row],[order_time]])</f>
        <v>12</v>
      </c>
      <c r="H4440" s="2">
        <v>0.52957175925925926</v>
      </c>
      <c r="I4440" t="s">
        <v>16</v>
      </c>
      <c r="J4440" t="s">
        <v>24</v>
      </c>
      <c r="K4440">
        <v>2</v>
      </c>
      <c r="L4440">
        <v>35</v>
      </c>
      <c r="M4440">
        <v>70</v>
      </c>
      <c r="N4440">
        <f>IF(COUNTIFS($B$2:B4440,B4440)=1,1,0)</f>
        <v>0</v>
      </c>
    </row>
    <row r="4441" spans="1:14" x14ac:dyDescent="0.2">
      <c r="A4441">
        <v>4440</v>
      </c>
      <c r="B4441">
        <v>3233</v>
      </c>
      <c r="C4441">
        <f>1/COUNTIF(B:B,Table1[[#This Row],[order_id]])</f>
        <v>1</v>
      </c>
      <c r="D4441" t="str">
        <f>TEXT(Table1[[#This Row],[order_date]],"mmmm")</f>
        <v>December</v>
      </c>
      <c r="E4441" s="1">
        <v>45633</v>
      </c>
      <c r="F4441" s="1" t="str">
        <f>TEXT(Table1[[#This Row],[order_date]],"dddd")</f>
        <v>Saturday</v>
      </c>
      <c r="G4441">
        <f>HOUR(Table1[[#This Row],[order_time]])</f>
        <v>15</v>
      </c>
      <c r="H4441" s="2">
        <v>0.65166666666666662</v>
      </c>
      <c r="I4441" t="s">
        <v>16</v>
      </c>
      <c r="J4441" t="s">
        <v>23</v>
      </c>
      <c r="K4441">
        <v>3</v>
      </c>
      <c r="L4441">
        <v>30</v>
      </c>
      <c r="M4441">
        <v>90</v>
      </c>
      <c r="N4441">
        <f>IF(COUNTIFS($B$2:B4441,B4441)=1,1,0)</f>
        <v>1</v>
      </c>
    </row>
    <row r="4442" spans="1:14" x14ac:dyDescent="0.2">
      <c r="A4442">
        <v>4441</v>
      </c>
      <c r="B4442">
        <v>3234</v>
      </c>
      <c r="C4442">
        <f>1/COUNTIF(B:B,Table1[[#This Row],[order_id]])</f>
        <v>0.5</v>
      </c>
      <c r="D4442" t="str">
        <f>TEXT(Table1[[#This Row],[order_date]],"mmmm")</f>
        <v>December</v>
      </c>
      <c r="E4442" s="1">
        <v>45634</v>
      </c>
      <c r="F4442" s="1" t="str">
        <f>TEXT(Table1[[#This Row],[order_date]],"dddd")</f>
        <v>Sunday</v>
      </c>
      <c r="G4442">
        <f>HOUR(Table1[[#This Row],[order_time]])</f>
        <v>18</v>
      </c>
      <c r="H4442" s="2">
        <v>0.77309027777777772</v>
      </c>
      <c r="I4442" t="s">
        <v>16</v>
      </c>
      <c r="J4442" t="s">
        <v>23</v>
      </c>
      <c r="K4442">
        <v>3</v>
      </c>
      <c r="L4442">
        <v>30</v>
      </c>
      <c r="M4442">
        <v>90</v>
      </c>
      <c r="N4442">
        <f>IF(COUNTIFS($B$2:B4442,B4442)=1,1,0)</f>
        <v>1</v>
      </c>
    </row>
    <row r="4443" spans="1:14" x14ac:dyDescent="0.2">
      <c r="A4443">
        <v>4442</v>
      </c>
      <c r="B4443">
        <v>3234</v>
      </c>
      <c r="C4443">
        <f>1/COUNTIF(B:B,Table1[[#This Row],[order_id]])</f>
        <v>0.5</v>
      </c>
      <c r="D4443" t="str">
        <f>TEXT(Table1[[#This Row],[order_date]],"mmmm")</f>
        <v>December</v>
      </c>
      <c r="E4443" s="1">
        <v>45634</v>
      </c>
      <c r="F4443" s="1" t="str">
        <f>TEXT(Table1[[#This Row],[order_date]],"dddd")</f>
        <v>Sunday</v>
      </c>
      <c r="G4443">
        <f>HOUR(Table1[[#This Row],[order_time]])</f>
        <v>17</v>
      </c>
      <c r="H4443" s="2">
        <v>0.74641203703703707</v>
      </c>
      <c r="I4443" t="s">
        <v>16</v>
      </c>
      <c r="J4443" t="s">
        <v>17</v>
      </c>
      <c r="K4443">
        <v>5</v>
      </c>
      <c r="L4443">
        <v>20</v>
      </c>
      <c r="M4443">
        <v>100</v>
      </c>
      <c r="N4443">
        <f>IF(COUNTIFS($B$2:B4443,B4443)=1,1,0)</f>
        <v>0</v>
      </c>
    </row>
    <row r="4444" spans="1:14" x14ac:dyDescent="0.2">
      <c r="A4444">
        <v>4443</v>
      </c>
      <c r="B4444">
        <v>3235</v>
      </c>
      <c r="C4444">
        <f>1/COUNTIF(B:B,Table1[[#This Row],[order_id]])</f>
        <v>0.5</v>
      </c>
      <c r="D4444" t="str">
        <f>TEXT(Table1[[#This Row],[order_date]],"mmmm")</f>
        <v>December</v>
      </c>
      <c r="E4444" s="1">
        <v>45634</v>
      </c>
      <c r="F4444" s="1" t="str">
        <f>TEXT(Table1[[#This Row],[order_date]],"dddd")</f>
        <v>Sunday</v>
      </c>
      <c r="G4444">
        <f>HOUR(Table1[[#This Row],[order_time]])</f>
        <v>10</v>
      </c>
      <c r="H4444" s="2">
        <v>0.45427083333333335</v>
      </c>
      <c r="I4444" t="s">
        <v>16</v>
      </c>
      <c r="J4444" t="s">
        <v>28</v>
      </c>
      <c r="K4444">
        <v>5</v>
      </c>
      <c r="L4444">
        <v>25</v>
      </c>
      <c r="M4444">
        <v>125</v>
      </c>
      <c r="N4444">
        <f>IF(COUNTIFS($B$2:B4444,B4444)=1,1,0)</f>
        <v>1</v>
      </c>
    </row>
    <row r="4445" spans="1:14" x14ac:dyDescent="0.2">
      <c r="A4445">
        <v>4444</v>
      </c>
      <c r="B4445">
        <v>3235</v>
      </c>
      <c r="C4445">
        <f>1/COUNTIF(B:B,Table1[[#This Row],[order_id]])</f>
        <v>0.5</v>
      </c>
      <c r="D4445" t="str">
        <f>TEXT(Table1[[#This Row],[order_date]],"mmmm")</f>
        <v>December</v>
      </c>
      <c r="E4445" s="1">
        <v>45634</v>
      </c>
      <c r="F4445" s="1" t="str">
        <f>TEXT(Table1[[#This Row],[order_date]],"dddd")</f>
        <v>Sunday</v>
      </c>
      <c r="G4445">
        <f>HOUR(Table1[[#This Row],[order_time]])</f>
        <v>16</v>
      </c>
      <c r="H4445" s="2">
        <v>0.70446759259259262</v>
      </c>
      <c r="I4445" t="s">
        <v>11</v>
      </c>
      <c r="J4445" t="s">
        <v>13</v>
      </c>
      <c r="K4445">
        <v>3</v>
      </c>
      <c r="L4445">
        <v>680</v>
      </c>
      <c r="M4445">
        <v>2040</v>
      </c>
      <c r="N4445">
        <f>IF(COUNTIFS($B$2:B4445,B4445)=1,1,0)</f>
        <v>0</v>
      </c>
    </row>
    <row r="4446" spans="1:14" x14ac:dyDescent="0.2">
      <c r="A4446">
        <v>4445</v>
      </c>
      <c r="B4446">
        <v>3236</v>
      </c>
      <c r="C4446">
        <f>1/COUNTIF(B:B,Table1[[#This Row],[order_id]])</f>
        <v>0.33333333333333331</v>
      </c>
      <c r="D4446" t="str">
        <f>TEXT(Table1[[#This Row],[order_date]],"mmmm")</f>
        <v>December</v>
      </c>
      <c r="E4446" s="1">
        <v>45634</v>
      </c>
      <c r="F4446" s="1" t="str">
        <f>TEXT(Table1[[#This Row],[order_date]],"dddd")</f>
        <v>Sunday</v>
      </c>
      <c r="G4446">
        <f>HOUR(Table1[[#This Row],[order_time]])</f>
        <v>18</v>
      </c>
      <c r="H4446" s="2">
        <v>0.7542592592592593</v>
      </c>
      <c r="I4446" t="s">
        <v>9</v>
      </c>
      <c r="J4446" t="s">
        <v>22</v>
      </c>
      <c r="K4446">
        <v>3</v>
      </c>
      <c r="L4446">
        <v>15</v>
      </c>
      <c r="M4446">
        <v>45</v>
      </c>
      <c r="N4446">
        <f>IF(COUNTIFS($B$2:B4446,B4446)=1,1,0)</f>
        <v>1</v>
      </c>
    </row>
    <row r="4447" spans="1:14" x14ac:dyDescent="0.2">
      <c r="A4447">
        <v>4446</v>
      </c>
      <c r="B4447">
        <v>3236</v>
      </c>
      <c r="C4447">
        <f>1/COUNTIF(B:B,Table1[[#This Row],[order_id]])</f>
        <v>0.33333333333333331</v>
      </c>
      <c r="D4447" t="str">
        <f>TEXT(Table1[[#This Row],[order_date]],"mmmm")</f>
        <v>December</v>
      </c>
      <c r="E4447" s="1">
        <v>45634</v>
      </c>
      <c r="F4447" s="1" t="str">
        <f>TEXT(Table1[[#This Row],[order_date]],"dddd")</f>
        <v>Sunday</v>
      </c>
      <c r="G4447">
        <f>HOUR(Table1[[#This Row],[order_time]])</f>
        <v>9</v>
      </c>
      <c r="H4447" s="2">
        <v>0.38221064814814815</v>
      </c>
      <c r="I4447" t="s">
        <v>11</v>
      </c>
      <c r="J4447" t="s">
        <v>13</v>
      </c>
      <c r="K4447">
        <v>5</v>
      </c>
      <c r="L4447">
        <v>680</v>
      </c>
      <c r="M4447">
        <v>3400</v>
      </c>
      <c r="N4447">
        <f>IF(COUNTIFS($B$2:B4447,B4447)=1,1,0)</f>
        <v>0</v>
      </c>
    </row>
    <row r="4448" spans="1:14" x14ac:dyDescent="0.2">
      <c r="A4448">
        <v>4447</v>
      </c>
      <c r="B4448">
        <v>3236</v>
      </c>
      <c r="C4448">
        <f>1/COUNTIF(B:B,Table1[[#This Row],[order_id]])</f>
        <v>0.33333333333333331</v>
      </c>
      <c r="D4448" t="str">
        <f>TEXT(Table1[[#This Row],[order_date]],"mmmm")</f>
        <v>December</v>
      </c>
      <c r="E4448" s="1">
        <v>45634</v>
      </c>
      <c r="F4448" s="1" t="str">
        <f>TEXT(Table1[[#This Row],[order_date]],"dddd")</f>
        <v>Sunday</v>
      </c>
      <c r="G4448">
        <f>HOUR(Table1[[#This Row],[order_time]])</f>
        <v>15</v>
      </c>
      <c r="H4448" s="2">
        <v>0.6381944444444444</v>
      </c>
      <c r="I4448" t="s">
        <v>16</v>
      </c>
      <c r="J4448" t="s">
        <v>23</v>
      </c>
      <c r="K4448">
        <v>4</v>
      </c>
      <c r="L4448">
        <v>30</v>
      </c>
      <c r="M4448">
        <v>120</v>
      </c>
      <c r="N4448">
        <f>IF(COUNTIFS($B$2:B4448,B4448)=1,1,0)</f>
        <v>0</v>
      </c>
    </row>
    <row r="4449" spans="1:14" x14ac:dyDescent="0.2">
      <c r="A4449">
        <v>4448</v>
      </c>
      <c r="B4449">
        <v>3237</v>
      </c>
      <c r="C4449">
        <f>1/COUNTIF(B:B,Table1[[#This Row],[order_id]])</f>
        <v>1</v>
      </c>
      <c r="D4449" t="str">
        <f>TEXT(Table1[[#This Row],[order_date]],"mmmm")</f>
        <v>December</v>
      </c>
      <c r="E4449" s="1">
        <v>45634</v>
      </c>
      <c r="F4449" s="1" t="str">
        <f>TEXT(Table1[[#This Row],[order_date]],"dddd")</f>
        <v>Sunday</v>
      </c>
      <c r="G4449">
        <f>HOUR(Table1[[#This Row],[order_time]])</f>
        <v>18</v>
      </c>
      <c r="H4449" s="2">
        <v>0.75275462962962958</v>
      </c>
      <c r="I4449" t="s">
        <v>16</v>
      </c>
      <c r="J4449" t="s">
        <v>17</v>
      </c>
      <c r="K4449">
        <v>5</v>
      </c>
      <c r="L4449">
        <v>20</v>
      </c>
      <c r="M4449">
        <v>100</v>
      </c>
      <c r="N4449">
        <f>IF(COUNTIFS($B$2:B4449,B4449)=1,1,0)</f>
        <v>1</v>
      </c>
    </row>
    <row r="4450" spans="1:14" x14ac:dyDescent="0.2">
      <c r="A4450">
        <v>4449</v>
      </c>
      <c r="B4450">
        <v>3238</v>
      </c>
      <c r="C4450">
        <f>1/COUNTIF(B:B,Table1[[#This Row],[order_id]])</f>
        <v>0.33333333333333331</v>
      </c>
      <c r="D4450" t="str">
        <f>TEXT(Table1[[#This Row],[order_date]],"mmmm")</f>
        <v>December</v>
      </c>
      <c r="E4450" s="1">
        <v>45634</v>
      </c>
      <c r="F4450" s="1" t="str">
        <f>TEXT(Table1[[#This Row],[order_date]],"dddd")</f>
        <v>Sunday</v>
      </c>
      <c r="G4450">
        <f>HOUR(Table1[[#This Row],[order_time]])</f>
        <v>9</v>
      </c>
      <c r="H4450" s="2">
        <v>0.40498842592592593</v>
      </c>
      <c r="I4450" t="s">
        <v>9</v>
      </c>
      <c r="J4450" t="s">
        <v>29</v>
      </c>
      <c r="K4450">
        <v>2</v>
      </c>
      <c r="L4450">
        <v>5</v>
      </c>
      <c r="M4450">
        <v>10</v>
      </c>
      <c r="N4450">
        <f>IF(COUNTIFS($B$2:B4450,B4450)=1,1,0)</f>
        <v>1</v>
      </c>
    </row>
    <row r="4451" spans="1:14" x14ac:dyDescent="0.2">
      <c r="A4451">
        <v>4450</v>
      </c>
      <c r="B4451">
        <v>3238</v>
      </c>
      <c r="C4451">
        <f>1/COUNTIF(B:B,Table1[[#This Row],[order_id]])</f>
        <v>0.33333333333333331</v>
      </c>
      <c r="D4451" t="str">
        <f>TEXT(Table1[[#This Row],[order_date]],"mmmm")</f>
        <v>December</v>
      </c>
      <c r="E4451" s="1">
        <v>45634</v>
      </c>
      <c r="F4451" s="1" t="str">
        <f>TEXT(Table1[[#This Row],[order_date]],"dddd")</f>
        <v>Sunday</v>
      </c>
      <c r="G4451">
        <f>HOUR(Table1[[#This Row],[order_time]])</f>
        <v>11</v>
      </c>
      <c r="H4451" s="2">
        <v>0.48684027777777777</v>
      </c>
      <c r="I4451" t="s">
        <v>16</v>
      </c>
      <c r="J4451" t="s">
        <v>28</v>
      </c>
      <c r="K4451">
        <v>2</v>
      </c>
      <c r="L4451">
        <v>25</v>
      </c>
      <c r="M4451">
        <v>50</v>
      </c>
      <c r="N4451">
        <f>IF(COUNTIFS($B$2:B4451,B4451)=1,1,0)</f>
        <v>0</v>
      </c>
    </row>
    <row r="4452" spans="1:14" x14ac:dyDescent="0.2">
      <c r="A4452">
        <v>4451</v>
      </c>
      <c r="B4452">
        <v>3238</v>
      </c>
      <c r="C4452">
        <f>1/COUNTIF(B:B,Table1[[#This Row],[order_id]])</f>
        <v>0.33333333333333331</v>
      </c>
      <c r="D4452" t="str">
        <f>TEXT(Table1[[#This Row],[order_date]],"mmmm")</f>
        <v>December</v>
      </c>
      <c r="E4452" s="1">
        <v>45634</v>
      </c>
      <c r="F4452" s="1" t="str">
        <f>TEXT(Table1[[#This Row],[order_date]],"dddd")</f>
        <v>Sunday</v>
      </c>
      <c r="G4452">
        <f>HOUR(Table1[[#This Row],[order_time]])</f>
        <v>13</v>
      </c>
      <c r="H4452" s="2">
        <v>0.5610532407407407</v>
      </c>
      <c r="I4452" t="s">
        <v>16</v>
      </c>
      <c r="J4452" t="s">
        <v>24</v>
      </c>
      <c r="K4452">
        <v>1</v>
      </c>
      <c r="L4452">
        <v>35</v>
      </c>
      <c r="M4452">
        <v>35</v>
      </c>
      <c r="N4452">
        <f>IF(COUNTIFS($B$2:B4452,B4452)=1,1,0)</f>
        <v>0</v>
      </c>
    </row>
    <row r="4453" spans="1:14" x14ac:dyDescent="0.2">
      <c r="A4453">
        <v>4452</v>
      </c>
      <c r="B4453">
        <v>3239</v>
      </c>
      <c r="C4453">
        <f>1/COUNTIF(B:B,Table1[[#This Row],[order_id]])</f>
        <v>0.33333333333333331</v>
      </c>
      <c r="D4453" t="str">
        <f>TEXT(Table1[[#This Row],[order_date]],"mmmm")</f>
        <v>December</v>
      </c>
      <c r="E4453" s="1">
        <v>45634</v>
      </c>
      <c r="F4453" s="1" t="str">
        <f>TEXT(Table1[[#This Row],[order_date]],"dddd")</f>
        <v>Sunday</v>
      </c>
      <c r="G4453">
        <f>HOUR(Table1[[#This Row],[order_time]])</f>
        <v>10</v>
      </c>
      <c r="H4453" s="2">
        <v>0.42259259259259258</v>
      </c>
      <c r="I4453" t="s">
        <v>16</v>
      </c>
      <c r="J4453" t="s">
        <v>23</v>
      </c>
      <c r="K4453">
        <v>2</v>
      </c>
      <c r="L4453">
        <v>30</v>
      </c>
      <c r="M4453">
        <v>60</v>
      </c>
      <c r="N4453">
        <f>IF(COUNTIFS($B$2:B4453,B4453)=1,1,0)</f>
        <v>1</v>
      </c>
    </row>
    <row r="4454" spans="1:14" x14ac:dyDescent="0.2">
      <c r="A4454">
        <v>4453</v>
      </c>
      <c r="B4454">
        <v>3239</v>
      </c>
      <c r="C4454">
        <f>1/COUNTIF(B:B,Table1[[#This Row],[order_id]])</f>
        <v>0.33333333333333331</v>
      </c>
      <c r="D4454" t="str">
        <f>TEXT(Table1[[#This Row],[order_date]],"mmmm")</f>
        <v>December</v>
      </c>
      <c r="E4454" s="1">
        <v>45634</v>
      </c>
      <c r="F4454" s="1" t="str">
        <f>TEXT(Table1[[#This Row],[order_date]],"dddd")</f>
        <v>Sunday</v>
      </c>
      <c r="G4454">
        <f>HOUR(Table1[[#This Row],[order_time]])</f>
        <v>20</v>
      </c>
      <c r="H4454" s="2">
        <v>0.83966435185185184</v>
      </c>
      <c r="I4454" t="s">
        <v>16</v>
      </c>
      <c r="J4454" t="s">
        <v>23</v>
      </c>
      <c r="K4454">
        <v>2</v>
      </c>
      <c r="L4454">
        <v>30</v>
      </c>
      <c r="M4454">
        <v>60</v>
      </c>
      <c r="N4454">
        <f>IF(COUNTIFS($B$2:B4454,B4454)=1,1,0)</f>
        <v>0</v>
      </c>
    </row>
    <row r="4455" spans="1:14" x14ac:dyDescent="0.2">
      <c r="A4455">
        <v>4454</v>
      </c>
      <c r="B4455">
        <v>3239</v>
      </c>
      <c r="C4455">
        <f>1/COUNTIF(B:B,Table1[[#This Row],[order_id]])</f>
        <v>0.33333333333333331</v>
      </c>
      <c r="D4455" t="str">
        <f>TEXT(Table1[[#This Row],[order_date]],"mmmm")</f>
        <v>December</v>
      </c>
      <c r="E4455" s="1">
        <v>45634</v>
      </c>
      <c r="F4455" s="1" t="str">
        <f>TEXT(Table1[[#This Row],[order_date]],"dddd")</f>
        <v>Sunday</v>
      </c>
      <c r="G4455">
        <f>HOUR(Table1[[#This Row],[order_time]])</f>
        <v>11</v>
      </c>
      <c r="H4455" s="2">
        <v>0.47373842592592591</v>
      </c>
      <c r="I4455" t="s">
        <v>11</v>
      </c>
      <c r="J4455" t="s">
        <v>13</v>
      </c>
      <c r="K4455">
        <v>3</v>
      </c>
      <c r="L4455">
        <v>680</v>
      </c>
      <c r="M4455">
        <v>2040</v>
      </c>
      <c r="N4455">
        <f>IF(COUNTIFS($B$2:B4455,B4455)=1,1,0)</f>
        <v>0</v>
      </c>
    </row>
    <row r="4456" spans="1:14" x14ac:dyDescent="0.2">
      <c r="A4456">
        <v>4455</v>
      </c>
      <c r="B4456">
        <v>3240</v>
      </c>
      <c r="C4456">
        <f>1/COUNTIF(B:B,Table1[[#This Row],[order_id]])</f>
        <v>0.33333333333333331</v>
      </c>
      <c r="D4456" t="str">
        <f>TEXT(Table1[[#This Row],[order_date]],"mmmm")</f>
        <v>December</v>
      </c>
      <c r="E4456" s="1">
        <v>45634</v>
      </c>
      <c r="F4456" s="1" t="str">
        <f>TEXT(Table1[[#This Row],[order_date]],"dddd")</f>
        <v>Sunday</v>
      </c>
      <c r="G4456">
        <f>HOUR(Table1[[#This Row],[order_time]])</f>
        <v>15</v>
      </c>
      <c r="H4456" s="2">
        <v>0.63395833333333329</v>
      </c>
      <c r="I4456" t="s">
        <v>11</v>
      </c>
      <c r="J4456" t="s">
        <v>12</v>
      </c>
      <c r="K4456">
        <v>5</v>
      </c>
      <c r="L4456">
        <v>650</v>
      </c>
      <c r="M4456">
        <v>3250</v>
      </c>
      <c r="N4456">
        <f>IF(COUNTIFS($B$2:B4456,B4456)=1,1,0)</f>
        <v>1</v>
      </c>
    </row>
    <row r="4457" spans="1:14" x14ac:dyDescent="0.2">
      <c r="A4457">
        <v>4456</v>
      </c>
      <c r="B4457">
        <v>3240</v>
      </c>
      <c r="C4457">
        <f>1/COUNTIF(B:B,Table1[[#This Row],[order_id]])</f>
        <v>0.33333333333333331</v>
      </c>
      <c r="D4457" t="str">
        <f>TEXT(Table1[[#This Row],[order_date]],"mmmm")</f>
        <v>December</v>
      </c>
      <c r="E4457" s="1">
        <v>45634</v>
      </c>
      <c r="F4457" s="1" t="str">
        <f>TEXT(Table1[[#This Row],[order_date]],"dddd")</f>
        <v>Sunday</v>
      </c>
      <c r="G4457">
        <f>HOUR(Table1[[#This Row],[order_time]])</f>
        <v>10</v>
      </c>
      <c r="H4457" s="2">
        <v>0.43753472222222223</v>
      </c>
      <c r="I4457" t="s">
        <v>18</v>
      </c>
      <c r="J4457" t="s">
        <v>19</v>
      </c>
      <c r="K4457">
        <v>2</v>
      </c>
      <c r="L4457">
        <v>50</v>
      </c>
      <c r="M4457">
        <v>100</v>
      </c>
      <c r="N4457">
        <f>IF(COUNTIFS($B$2:B4457,B4457)=1,1,0)</f>
        <v>0</v>
      </c>
    </row>
    <row r="4458" spans="1:14" x14ac:dyDescent="0.2">
      <c r="A4458">
        <v>4457</v>
      </c>
      <c r="B4458">
        <v>3240</v>
      </c>
      <c r="C4458">
        <f>1/COUNTIF(B:B,Table1[[#This Row],[order_id]])</f>
        <v>0.33333333333333331</v>
      </c>
      <c r="D4458" t="str">
        <f>TEXT(Table1[[#This Row],[order_date]],"mmmm")</f>
        <v>December</v>
      </c>
      <c r="E4458" s="1">
        <v>45634</v>
      </c>
      <c r="F4458" s="1" t="str">
        <f>TEXT(Table1[[#This Row],[order_date]],"dddd")</f>
        <v>Sunday</v>
      </c>
      <c r="G4458">
        <f>HOUR(Table1[[#This Row],[order_time]])</f>
        <v>14</v>
      </c>
      <c r="H4458" s="2">
        <v>0.60400462962962964</v>
      </c>
      <c r="I4458" t="s">
        <v>11</v>
      </c>
      <c r="J4458" t="s">
        <v>15</v>
      </c>
      <c r="K4458">
        <v>4</v>
      </c>
      <c r="L4458">
        <v>600</v>
      </c>
      <c r="M4458">
        <v>2400</v>
      </c>
      <c r="N4458">
        <f>IF(COUNTIFS($B$2:B4458,B4458)=1,1,0)</f>
        <v>0</v>
      </c>
    </row>
    <row r="4459" spans="1:14" x14ac:dyDescent="0.2">
      <c r="A4459">
        <v>4458</v>
      </c>
      <c r="B4459">
        <v>3241</v>
      </c>
      <c r="C4459">
        <f>1/COUNTIF(B:B,Table1[[#This Row],[order_id]])</f>
        <v>0.33333333333333331</v>
      </c>
      <c r="D4459" t="str">
        <f>TEXT(Table1[[#This Row],[order_date]],"mmmm")</f>
        <v>December</v>
      </c>
      <c r="E4459" s="1">
        <v>45634</v>
      </c>
      <c r="F4459" s="1" t="str">
        <f>TEXT(Table1[[#This Row],[order_date]],"dddd")</f>
        <v>Sunday</v>
      </c>
      <c r="G4459">
        <f>HOUR(Table1[[#This Row],[order_time]])</f>
        <v>18</v>
      </c>
      <c r="H4459" s="2">
        <v>0.77912037037037041</v>
      </c>
      <c r="I4459" t="s">
        <v>9</v>
      </c>
      <c r="J4459" t="s">
        <v>10</v>
      </c>
      <c r="K4459">
        <v>4</v>
      </c>
      <c r="L4459">
        <v>20</v>
      </c>
      <c r="M4459">
        <v>80</v>
      </c>
      <c r="N4459">
        <f>IF(COUNTIFS($B$2:B4459,B4459)=1,1,0)</f>
        <v>1</v>
      </c>
    </row>
    <row r="4460" spans="1:14" x14ac:dyDescent="0.2">
      <c r="A4460">
        <v>4459</v>
      </c>
      <c r="B4460">
        <v>3241</v>
      </c>
      <c r="C4460">
        <f>1/COUNTIF(B:B,Table1[[#This Row],[order_id]])</f>
        <v>0.33333333333333331</v>
      </c>
      <c r="D4460" t="str">
        <f>TEXT(Table1[[#This Row],[order_date]],"mmmm")</f>
        <v>December</v>
      </c>
      <c r="E4460" s="1">
        <v>45634</v>
      </c>
      <c r="F4460" s="1" t="str">
        <f>TEXT(Table1[[#This Row],[order_date]],"dddd")</f>
        <v>Sunday</v>
      </c>
      <c r="G4460">
        <f>HOUR(Table1[[#This Row],[order_time]])</f>
        <v>15</v>
      </c>
      <c r="H4460" s="2">
        <v>0.63689814814814816</v>
      </c>
      <c r="I4460" t="s">
        <v>11</v>
      </c>
      <c r="J4460" t="s">
        <v>15</v>
      </c>
      <c r="K4460">
        <v>2</v>
      </c>
      <c r="L4460">
        <v>600</v>
      </c>
      <c r="M4460">
        <v>1200</v>
      </c>
      <c r="N4460">
        <f>IF(COUNTIFS($B$2:B4460,B4460)=1,1,0)</f>
        <v>0</v>
      </c>
    </row>
    <row r="4461" spans="1:14" x14ac:dyDescent="0.2">
      <c r="A4461">
        <v>4460</v>
      </c>
      <c r="B4461">
        <v>3241</v>
      </c>
      <c r="C4461">
        <f>1/COUNTIF(B:B,Table1[[#This Row],[order_id]])</f>
        <v>0.33333333333333331</v>
      </c>
      <c r="D4461" t="str">
        <f>TEXT(Table1[[#This Row],[order_date]],"mmmm")</f>
        <v>December</v>
      </c>
      <c r="E4461" s="1">
        <v>45634</v>
      </c>
      <c r="F4461" s="1" t="str">
        <f>TEXT(Table1[[#This Row],[order_date]],"dddd")</f>
        <v>Sunday</v>
      </c>
      <c r="G4461">
        <f>HOUR(Table1[[#This Row],[order_time]])</f>
        <v>14</v>
      </c>
      <c r="H4461" s="2">
        <v>0.61665509259259255</v>
      </c>
      <c r="I4461" t="s">
        <v>16</v>
      </c>
      <c r="J4461" t="s">
        <v>24</v>
      </c>
      <c r="K4461">
        <v>1</v>
      </c>
      <c r="L4461">
        <v>35</v>
      </c>
      <c r="M4461">
        <v>35</v>
      </c>
      <c r="N4461">
        <f>IF(COUNTIFS($B$2:B4461,B4461)=1,1,0)</f>
        <v>0</v>
      </c>
    </row>
    <row r="4462" spans="1:14" x14ac:dyDescent="0.2">
      <c r="A4462">
        <v>4461</v>
      </c>
      <c r="B4462">
        <v>3242</v>
      </c>
      <c r="C4462">
        <f>1/COUNTIF(B:B,Table1[[#This Row],[order_id]])</f>
        <v>1</v>
      </c>
      <c r="D4462" t="str">
        <f>TEXT(Table1[[#This Row],[order_date]],"mmmm")</f>
        <v>December</v>
      </c>
      <c r="E4462" s="1">
        <v>45634</v>
      </c>
      <c r="F4462" s="1" t="str">
        <f>TEXT(Table1[[#This Row],[order_date]],"dddd")</f>
        <v>Sunday</v>
      </c>
      <c r="G4462">
        <f>HOUR(Table1[[#This Row],[order_time]])</f>
        <v>15</v>
      </c>
      <c r="H4462" s="2">
        <v>0.64339120370370373</v>
      </c>
      <c r="I4462" t="s">
        <v>18</v>
      </c>
      <c r="J4462" t="s">
        <v>27</v>
      </c>
      <c r="K4462">
        <v>5</v>
      </c>
      <c r="L4462">
        <v>40</v>
      </c>
      <c r="M4462">
        <v>200</v>
      </c>
      <c r="N4462">
        <f>IF(COUNTIFS($B$2:B4462,B4462)=1,1,0)</f>
        <v>1</v>
      </c>
    </row>
    <row r="4463" spans="1:14" x14ac:dyDescent="0.2">
      <c r="A4463">
        <v>4462</v>
      </c>
      <c r="B4463">
        <v>3243</v>
      </c>
      <c r="C4463">
        <f>1/COUNTIF(B:B,Table1[[#This Row],[order_id]])</f>
        <v>0.33333333333333331</v>
      </c>
      <c r="D4463" t="str">
        <f>TEXT(Table1[[#This Row],[order_date]],"mmmm")</f>
        <v>December</v>
      </c>
      <c r="E4463" s="1">
        <v>45634</v>
      </c>
      <c r="F4463" s="1" t="str">
        <f>TEXT(Table1[[#This Row],[order_date]],"dddd")</f>
        <v>Sunday</v>
      </c>
      <c r="G4463">
        <f>HOUR(Table1[[#This Row],[order_time]])</f>
        <v>17</v>
      </c>
      <c r="H4463" s="2">
        <v>0.74981481481481482</v>
      </c>
      <c r="I4463" t="s">
        <v>9</v>
      </c>
      <c r="J4463" t="s">
        <v>29</v>
      </c>
      <c r="K4463">
        <v>4</v>
      </c>
      <c r="L4463">
        <v>5</v>
      </c>
      <c r="M4463">
        <v>20</v>
      </c>
      <c r="N4463">
        <f>IF(COUNTIFS($B$2:B4463,B4463)=1,1,0)</f>
        <v>1</v>
      </c>
    </row>
    <row r="4464" spans="1:14" x14ac:dyDescent="0.2">
      <c r="A4464">
        <v>4463</v>
      </c>
      <c r="B4464">
        <v>3243</v>
      </c>
      <c r="C4464">
        <f>1/COUNTIF(B:B,Table1[[#This Row],[order_id]])</f>
        <v>0.33333333333333331</v>
      </c>
      <c r="D4464" t="str">
        <f>TEXT(Table1[[#This Row],[order_date]],"mmmm")</f>
        <v>December</v>
      </c>
      <c r="E4464" s="1">
        <v>45634</v>
      </c>
      <c r="F4464" s="1" t="str">
        <f>TEXT(Table1[[#This Row],[order_date]],"dddd")</f>
        <v>Sunday</v>
      </c>
      <c r="G4464">
        <f>HOUR(Table1[[#This Row],[order_time]])</f>
        <v>10</v>
      </c>
      <c r="H4464" s="2">
        <v>0.4481134259259259</v>
      </c>
      <c r="I4464" t="s">
        <v>16</v>
      </c>
      <c r="J4464" t="s">
        <v>23</v>
      </c>
      <c r="K4464">
        <v>5</v>
      </c>
      <c r="L4464">
        <v>30</v>
      </c>
      <c r="M4464">
        <v>150</v>
      </c>
      <c r="N4464">
        <f>IF(COUNTIFS($B$2:B4464,B4464)=1,1,0)</f>
        <v>0</v>
      </c>
    </row>
    <row r="4465" spans="1:14" x14ac:dyDescent="0.2">
      <c r="A4465">
        <v>4464</v>
      </c>
      <c r="B4465">
        <v>3243</v>
      </c>
      <c r="C4465">
        <f>1/COUNTIF(B:B,Table1[[#This Row],[order_id]])</f>
        <v>0.33333333333333331</v>
      </c>
      <c r="D4465" t="str">
        <f>TEXT(Table1[[#This Row],[order_date]],"mmmm")</f>
        <v>December</v>
      </c>
      <c r="E4465" s="1">
        <v>45634</v>
      </c>
      <c r="F4465" s="1" t="str">
        <f>TEXT(Table1[[#This Row],[order_date]],"dddd")</f>
        <v>Sunday</v>
      </c>
      <c r="G4465">
        <f>HOUR(Table1[[#This Row],[order_time]])</f>
        <v>11</v>
      </c>
      <c r="H4465" s="2">
        <v>0.46533564814814815</v>
      </c>
      <c r="I4465" t="s">
        <v>16</v>
      </c>
      <c r="J4465" t="s">
        <v>24</v>
      </c>
      <c r="K4465">
        <v>2</v>
      </c>
      <c r="L4465">
        <v>35</v>
      </c>
      <c r="M4465">
        <v>70</v>
      </c>
      <c r="N4465">
        <f>IF(COUNTIFS($B$2:B4465,B4465)=1,1,0)</f>
        <v>0</v>
      </c>
    </row>
    <row r="4466" spans="1:14" x14ac:dyDescent="0.2">
      <c r="A4466">
        <v>4465</v>
      </c>
      <c r="B4466">
        <v>3244</v>
      </c>
      <c r="C4466">
        <f>1/COUNTIF(B:B,Table1[[#This Row],[order_id]])</f>
        <v>0.5</v>
      </c>
      <c r="D4466" t="str">
        <f>TEXT(Table1[[#This Row],[order_date]],"mmmm")</f>
        <v>December</v>
      </c>
      <c r="E4466" s="1">
        <v>45635</v>
      </c>
      <c r="F4466" s="1" t="str">
        <f>TEXT(Table1[[#This Row],[order_date]],"dddd")</f>
        <v>Monday</v>
      </c>
      <c r="G4466">
        <f>HOUR(Table1[[#This Row],[order_time]])</f>
        <v>14</v>
      </c>
      <c r="H4466" s="2">
        <v>0.58918981481481481</v>
      </c>
      <c r="I4466" t="s">
        <v>9</v>
      </c>
      <c r="J4466" t="s">
        <v>29</v>
      </c>
      <c r="K4466">
        <v>5</v>
      </c>
      <c r="L4466">
        <v>5</v>
      </c>
      <c r="M4466">
        <v>25</v>
      </c>
      <c r="N4466">
        <f>IF(COUNTIFS($B$2:B4466,B4466)=1,1,0)</f>
        <v>1</v>
      </c>
    </row>
    <row r="4467" spans="1:14" x14ac:dyDescent="0.2">
      <c r="A4467">
        <v>4466</v>
      </c>
      <c r="B4467">
        <v>3244</v>
      </c>
      <c r="C4467">
        <f>1/COUNTIF(B:B,Table1[[#This Row],[order_id]])</f>
        <v>0.5</v>
      </c>
      <c r="D4467" t="str">
        <f>TEXT(Table1[[#This Row],[order_date]],"mmmm")</f>
        <v>December</v>
      </c>
      <c r="E4467" s="1">
        <v>45635</v>
      </c>
      <c r="F4467" s="1" t="str">
        <f>TEXT(Table1[[#This Row],[order_date]],"dddd")</f>
        <v>Monday</v>
      </c>
      <c r="G4467">
        <f>HOUR(Table1[[#This Row],[order_time]])</f>
        <v>12</v>
      </c>
      <c r="H4467" s="2">
        <v>0.5009837962962963</v>
      </c>
      <c r="I4467" t="s">
        <v>16</v>
      </c>
      <c r="J4467" t="s">
        <v>17</v>
      </c>
      <c r="K4467">
        <v>2</v>
      </c>
      <c r="L4467">
        <v>20</v>
      </c>
      <c r="M4467">
        <v>40</v>
      </c>
      <c r="N4467">
        <f>IF(COUNTIFS($B$2:B4467,B4467)=1,1,0)</f>
        <v>0</v>
      </c>
    </row>
    <row r="4468" spans="1:14" x14ac:dyDescent="0.2">
      <c r="A4468">
        <v>4467</v>
      </c>
      <c r="B4468">
        <v>3245</v>
      </c>
      <c r="C4468">
        <f>1/COUNTIF(B:B,Table1[[#This Row],[order_id]])</f>
        <v>0.5</v>
      </c>
      <c r="D4468" t="str">
        <f>TEXT(Table1[[#This Row],[order_date]],"mmmm")</f>
        <v>December</v>
      </c>
      <c r="E4468" s="1">
        <v>45635</v>
      </c>
      <c r="F4468" s="1" t="str">
        <f>TEXT(Table1[[#This Row],[order_date]],"dddd")</f>
        <v>Monday</v>
      </c>
      <c r="G4468">
        <f>HOUR(Table1[[#This Row],[order_time]])</f>
        <v>20</v>
      </c>
      <c r="H4468" s="2">
        <v>0.84788194444444442</v>
      </c>
      <c r="I4468" t="s">
        <v>16</v>
      </c>
      <c r="J4468" t="s">
        <v>28</v>
      </c>
      <c r="K4468">
        <v>5</v>
      </c>
      <c r="L4468">
        <v>25</v>
      </c>
      <c r="M4468">
        <v>125</v>
      </c>
      <c r="N4468">
        <f>IF(COUNTIFS($B$2:B4468,B4468)=1,1,0)</f>
        <v>1</v>
      </c>
    </row>
    <row r="4469" spans="1:14" x14ac:dyDescent="0.2">
      <c r="A4469">
        <v>4468</v>
      </c>
      <c r="B4469">
        <v>3245</v>
      </c>
      <c r="C4469">
        <f>1/COUNTIF(B:B,Table1[[#This Row],[order_id]])</f>
        <v>0.5</v>
      </c>
      <c r="D4469" t="str">
        <f>TEXT(Table1[[#This Row],[order_date]],"mmmm")</f>
        <v>December</v>
      </c>
      <c r="E4469" s="1">
        <v>45635</v>
      </c>
      <c r="F4469" s="1" t="str">
        <f>TEXT(Table1[[#This Row],[order_date]],"dddd")</f>
        <v>Monday</v>
      </c>
      <c r="G4469">
        <f>HOUR(Table1[[#This Row],[order_time]])</f>
        <v>20</v>
      </c>
      <c r="H4469" s="2">
        <v>0.84817129629629628</v>
      </c>
      <c r="I4469" t="s">
        <v>11</v>
      </c>
      <c r="J4469" t="s">
        <v>14</v>
      </c>
      <c r="K4469">
        <v>4</v>
      </c>
      <c r="L4469">
        <v>700</v>
      </c>
      <c r="M4469">
        <v>2800</v>
      </c>
      <c r="N4469">
        <f>IF(COUNTIFS($B$2:B4469,B4469)=1,1,0)</f>
        <v>0</v>
      </c>
    </row>
    <row r="4470" spans="1:14" x14ac:dyDescent="0.2">
      <c r="A4470">
        <v>4469</v>
      </c>
      <c r="B4470">
        <v>3246</v>
      </c>
      <c r="C4470">
        <f>1/COUNTIF(B:B,Table1[[#This Row],[order_id]])</f>
        <v>0.5</v>
      </c>
      <c r="D4470" t="str">
        <f>TEXT(Table1[[#This Row],[order_date]],"mmmm")</f>
        <v>December</v>
      </c>
      <c r="E4470" s="1">
        <v>45635</v>
      </c>
      <c r="F4470" s="1" t="str">
        <f>TEXT(Table1[[#This Row],[order_date]],"dddd")</f>
        <v>Monday</v>
      </c>
      <c r="G4470">
        <f>HOUR(Table1[[#This Row],[order_time]])</f>
        <v>11</v>
      </c>
      <c r="H4470" s="2">
        <v>0.47895833333333332</v>
      </c>
      <c r="I4470" t="s">
        <v>18</v>
      </c>
      <c r="J4470" t="s">
        <v>30</v>
      </c>
      <c r="K4470">
        <v>3</v>
      </c>
      <c r="L4470">
        <v>60</v>
      </c>
      <c r="M4470">
        <v>180</v>
      </c>
      <c r="N4470">
        <f>IF(COUNTIFS($B$2:B4470,B4470)=1,1,0)</f>
        <v>1</v>
      </c>
    </row>
    <row r="4471" spans="1:14" x14ac:dyDescent="0.2">
      <c r="A4471">
        <v>4470</v>
      </c>
      <c r="B4471">
        <v>3246</v>
      </c>
      <c r="C4471">
        <f>1/COUNTIF(B:B,Table1[[#This Row],[order_id]])</f>
        <v>0.5</v>
      </c>
      <c r="D4471" t="str">
        <f>TEXT(Table1[[#This Row],[order_date]],"mmmm")</f>
        <v>December</v>
      </c>
      <c r="E4471" s="1">
        <v>45635</v>
      </c>
      <c r="F4471" s="1" t="str">
        <f>TEXT(Table1[[#This Row],[order_date]],"dddd")</f>
        <v>Monday</v>
      </c>
      <c r="G4471">
        <f>HOUR(Table1[[#This Row],[order_time]])</f>
        <v>14</v>
      </c>
      <c r="H4471" s="2">
        <v>0.61203703703703705</v>
      </c>
      <c r="I4471" t="s">
        <v>16</v>
      </c>
      <c r="J4471" t="s">
        <v>23</v>
      </c>
      <c r="K4471">
        <v>5</v>
      </c>
      <c r="L4471">
        <v>30</v>
      </c>
      <c r="M4471">
        <v>150</v>
      </c>
      <c r="N4471">
        <f>IF(COUNTIFS($B$2:B4471,B4471)=1,1,0)</f>
        <v>0</v>
      </c>
    </row>
    <row r="4472" spans="1:14" x14ac:dyDescent="0.2">
      <c r="A4472">
        <v>4471</v>
      </c>
      <c r="B4472">
        <v>3247</v>
      </c>
      <c r="C4472">
        <f>1/COUNTIF(B:B,Table1[[#This Row],[order_id]])</f>
        <v>1</v>
      </c>
      <c r="D4472" t="str">
        <f>TEXT(Table1[[#This Row],[order_date]],"mmmm")</f>
        <v>December</v>
      </c>
      <c r="E4472" s="1">
        <v>45635</v>
      </c>
      <c r="F4472" s="1" t="str">
        <f>TEXT(Table1[[#This Row],[order_date]],"dddd")</f>
        <v>Monday</v>
      </c>
      <c r="G4472">
        <f>HOUR(Table1[[#This Row],[order_time]])</f>
        <v>9</v>
      </c>
      <c r="H4472" s="2">
        <v>0.37574074074074076</v>
      </c>
      <c r="I4472" t="s">
        <v>16</v>
      </c>
      <c r="J4472" t="s">
        <v>24</v>
      </c>
      <c r="K4472">
        <v>4</v>
      </c>
      <c r="L4472">
        <v>35</v>
      </c>
      <c r="M4472">
        <v>140</v>
      </c>
      <c r="N4472">
        <f>IF(COUNTIFS($B$2:B4472,B4472)=1,1,0)</f>
        <v>1</v>
      </c>
    </row>
    <row r="4473" spans="1:14" x14ac:dyDescent="0.2">
      <c r="A4473">
        <v>4472</v>
      </c>
      <c r="B4473">
        <v>3248</v>
      </c>
      <c r="C4473">
        <f>1/COUNTIF(B:B,Table1[[#This Row],[order_id]])</f>
        <v>0.33333333333333331</v>
      </c>
      <c r="D4473" t="str">
        <f>TEXT(Table1[[#This Row],[order_date]],"mmmm")</f>
        <v>December</v>
      </c>
      <c r="E4473" s="1">
        <v>45635</v>
      </c>
      <c r="F4473" s="1" t="str">
        <f>TEXT(Table1[[#This Row],[order_date]],"dddd")</f>
        <v>Monday</v>
      </c>
      <c r="G4473">
        <f>HOUR(Table1[[#This Row],[order_time]])</f>
        <v>14</v>
      </c>
      <c r="H4473" s="2">
        <v>0.60229166666666667</v>
      </c>
      <c r="I4473" t="s">
        <v>11</v>
      </c>
      <c r="J4473" t="s">
        <v>25</v>
      </c>
      <c r="K4473">
        <v>3</v>
      </c>
      <c r="L4473">
        <v>1000</v>
      </c>
      <c r="M4473">
        <v>3000</v>
      </c>
      <c r="N4473">
        <f>IF(COUNTIFS($B$2:B4473,B4473)=1,1,0)</f>
        <v>1</v>
      </c>
    </row>
    <row r="4474" spans="1:14" x14ac:dyDescent="0.2">
      <c r="A4474">
        <v>4473</v>
      </c>
      <c r="B4474">
        <v>3248</v>
      </c>
      <c r="C4474">
        <f>1/COUNTIF(B:B,Table1[[#This Row],[order_id]])</f>
        <v>0.33333333333333331</v>
      </c>
      <c r="D4474" t="str">
        <f>TEXT(Table1[[#This Row],[order_date]],"mmmm")</f>
        <v>December</v>
      </c>
      <c r="E4474" s="1">
        <v>45635</v>
      </c>
      <c r="F4474" s="1" t="str">
        <f>TEXT(Table1[[#This Row],[order_date]],"dddd")</f>
        <v>Monday</v>
      </c>
      <c r="G4474">
        <f>HOUR(Table1[[#This Row],[order_time]])</f>
        <v>15</v>
      </c>
      <c r="H4474" s="2">
        <v>0.64498842592592598</v>
      </c>
      <c r="I4474" t="s">
        <v>9</v>
      </c>
      <c r="J4474" t="s">
        <v>22</v>
      </c>
      <c r="K4474">
        <v>3</v>
      </c>
      <c r="L4474">
        <v>15</v>
      </c>
      <c r="M4474">
        <v>45</v>
      </c>
      <c r="N4474">
        <f>IF(COUNTIFS($B$2:B4474,B4474)=1,1,0)</f>
        <v>0</v>
      </c>
    </row>
    <row r="4475" spans="1:14" x14ac:dyDescent="0.2">
      <c r="A4475">
        <v>4474</v>
      </c>
      <c r="B4475">
        <v>3248</v>
      </c>
      <c r="C4475">
        <f>1/COUNTIF(B:B,Table1[[#This Row],[order_id]])</f>
        <v>0.33333333333333331</v>
      </c>
      <c r="D4475" t="str">
        <f>TEXT(Table1[[#This Row],[order_date]],"mmmm")</f>
        <v>December</v>
      </c>
      <c r="E4475" s="1">
        <v>45635</v>
      </c>
      <c r="F4475" s="1" t="str">
        <f>TEXT(Table1[[#This Row],[order_date]],"dddd")</f>
        <v>Monday</v>
      </c>
      <c r="G4475">
        <f>HOUR(Table1[[#This Row],[order_time]])</f>
        <v>14</v>
      </c>
      <c r="H4475" s="2">
        <v>0.60159722222222223</v>
      </c>
      <c r="I4475" t="s">
        <v>16</v>
      </c>
      <c r="J4475" t="s">
        <v>23</v>
      </c>
      <c r="K4475">
        <v>1</v>
      </c>
      <c r="L4475">
        <v>30</v>
      </c>
      <c r="M4475">
        <v>30</v>
      </c>
      <c r="N4475">
        <f>IF(COUNTIFS($B$2:B4475,B4475)=1,1,0)</f>
        <v>0</v>
      </c>
    </row>
    <row r="4476" spans="1:14" x14ac:dyDescent="0.2">
      <c r="A4476">
        <v>4475</v>
      </c>
      <c r="B4476">
        <v>3249</v>
      </c>
      <c r="C4476">
        <f>1/COUNTIF(B:B,Table1[[#This Row],[order_id]])</f>
        <v>1</v>
      </c>
      <c r="D4476" t="str">
        <f>TEXT(Table1[[#This Row],[order_date]],"mmmm")</f>
        <v>December</v>
      </c>
      <c r="E4476" s="1">
        <v>45635</v>
      </c>
      <c r="F4476" s="1" t="str">
        <f>TEXT(Table1[[#This Row],[order_date]],"dddd")</f>
        <v>Monday</v>
      </c>
      <c r="G4476">
        <f>HOUR(Table1[[#This Row],[order_time]])</f>
        <v>12</v>
      </c>
      <c r="H4476" s="2">
        <v>0.51332175925925927</v>
      </c>
      <c r="I4476" t="s">
        <v>11</v>
      </c>
      <c r="J4476" t="s">
        <v>25</v>
      </c>
      <c r="K4476">
        <v>4</v>
      </c>
      <c r="L4476">
        <v>1000</v>
      </c>
      <c r="M4476">
        <v>4000</v>
      </c>
      <c r="N4476">
        <f>IF(COUNTIFS($B$2:B4476,B4476)=1,1,0)</f>
        <v>1</v>
      </c>
    </row>
    <row r="4477" spans="1:14" x14ac:dyDescent="0.2">
      <c r="A4477">
        <v>4476</v>
      </c>
      <c r="B4477">
        <v>3250</v>
      </c>
      <c r="C4477">
        <f>1/COUNTIF(B:B,Table1[[#This Row],[order_id]])</f>
        <v>1</v>
      </c>
      <c r="D4477" t="str">
        <f>TEXT(Table1[[#This Row],[order_date]],"mmmm")</f>
        <v>December</v>
      </c>
      <c r="E4477" s="1">
        <v>45635</v>
      </c>
      <c r="F4477" s="1" t="str">
        <f>TEXT(Table1[[#This Row],[order_date]],"dddd")</f>
        <v>Monday</v>
      </c>
      <c r="G4477">
        <f>HOUR(Table1[[#This Row],[order_time]])</f>
        <v>17</v>
      </c>
      <c r="H4477" s="2">
        <v>0.72637731481481482</v>
      </c>
      <c r="I4477" t="s">
        <v>18</v>
      </c>
      <c r="J4477" t="s">
        <v>30</v>
      </c>
      <c r="K4477">
        <v>2</v>
      </c>
      <c r="L4477">
        <v>60</v>
      </c>
      <c r="M4477">
        <v>120</v>
      </c>
      <c r="N4477">
        <f>IF(COUNTIFS($B$2:B4477,B4477)=1,1,0)</f>
        <v>1</v>
      </c>
    </row>
    <row r="4478" spans="1:14" x14ac:dyDescent="0.2">
      <c r="A4478">
        <v>4477</v>
      </c>
      <c r="B4478">
        <v>3251</v>
      </c>
      <c r="C4478">
        <f>1/COUNTIF(B:B,Table1[[#This Row],[order_id]])</f>
        <v>0.33333333333333331</v>
      </c>
      <c r="D4478" t="str">
        <f>TEXT(Table1[[#This Row],[order_date]],"mmmm")</f>
        <v>December</v>
      </c>
      <c r="E4478" s="1">
        <v>45636</v>
      </c>
      <c r="F4478" s="1" t="str">
        <f>TEXT(Table1[[#This Row],[order_date]],"dddd")</f>
        <v>Tuesday</v>
      </c>
      <c r="G4478">
        <f>HOUR(Table1[[#This Row],[order_time]])</f>
        <v>10</v>
      </c>
      <c r="H4478" s="2">
        <v>0.42843750000000003</v>
      </c>
      <c r="I4478" t="s">
        <v>9</v>
      </c>
      <c r="J4478" t="s">
        <v>20</v>
      </c>
      <c r="K4478">
        <v>2</v>
      </c>
      <c r="L4478">
        <v>25</v>
      </c>
      <c r="M4478">
        <v>50</v>
      </c>
      <c r="N4478">
        <f>IF(COUNTIFS($B$2:B4478,B4478)=1,1,0)</f>
        <v>1</v>
      </c>
    </row>
    <row r="4479" spans="1:14" x14ac:dyDescent="0.2">
      <c r="A4479">
        <v>4478</v>
      </c>
      <c r="B4479">
        <v>3251</v>
      </c>
      <c r="C4479">
        <f>1/COUNTIF(B:B,Table1[[#This Row],[order_id]])</f>
        <v>0.33333333333333331</v>
      </c>
      <c r="D4479" t="str">
        <f>TEXT(Table1[[#This Row],[order_date]],"mmmm")</f>
        <v>December</v>
      </c>
      <c r="E4479" s="1">
        <v>45636</v>
      </c>
      <c r="F4479" s="1" t="str">
        <f>TEXT(Table1[[#This Row],[order_date]],"dddd")</f>
        <v>Tuesday</v>
      </c>
      <c r="G4479">
        <f>HOUR(Table1[[#This Row],[order_time]])</f>
        <v>9</v>
      </c>
      <c r="H4479" s="2">
        <v>0.40707175925925926</v>
      </c>
      <c r="I4479" t="s">
        <v>18</v>
      </c>
      <c r="J4479" t="s">
        <v>26</v>
      </c>
      <c r="K4479">
        <v>5</v>
      </c>
      <c r="L4479">
        <v>55</v>
      </c>
      <c r="M4479">
        <v>275</v>
      </c>
      <c r="N4479">
        <f>IF(COUNTIFS($B$2:B4479,B4479)=1,1,0)</f>
        <v>0</v>
      </c>
    </row>
    <row r="4480" spans="1:14" x14ac:dyDescent="0.2">
      <c r="A4480">
        <v>4479</v>
      </c>
      <c r="B4480">
        <v>3251</v>
      </c>
      <c r="C4480">
        <f>1/COUNTIF(B:B,Table1[[#This Row],[order_id]])</f>
        <v>0.33333333333333331</v>
      </c>
      <c r="D4480" t="str">
        <f>TEXT(Table1[[#This Row],[order_date]],"mmmm")</f>
        <v>December</v>
      </c>
      <c r="E4480" s="1">
        <v>45636</v>
      </c>
      <c r="F4480" s="1" t="str">
        <f>TEXT(Table1[[#This Row],[order_date]],"dddd")</f>
        <v>Tuesday</v>
      </c>
      <c r="G4480">
        <f>HOUR(Table1[[#This Row],[order_time]])</f>
        <v>10</v>
      </c>
      <c r="H4480" s="2">
        <v>0.44112268518518516</v>
      </c>
      <c r="I4480" t="s">
        <v>9</v>
      </c>
      <c r="J4480" t="s">
        <v>20</v>
      </c>
      <c r="K4480">
        <v>5</v>
      </c>
      <c r="L4480">
        <v>25</v>
      </c>
      <c r="M4480">
        <v>125</v>
      </c>
      <c r="N4480">
        <f>IF(COUNTIFS($B$2:B4480,B4480)=1,1,0)</f>
        <v>0</v>
      </c>
    </row>
    <row r="4481" spans="1:14" x14ac:dyDescent="0.2">
      <c r="A4481">
        <v>4480</v>
      </c>
      <c r="B4481">
        <v>3252</v>
      </c>
      <c r="C4481">
        <f>1/COUNTIF(B:B,Table1[[#This Row],[order_id]])</f>
        <v>0.5</v>
      </c>
      <c r="D4481" t="str">
        <f>TEXT(Table1[[#This Row],[order_date]],"mmmm")</f>
        <v>December</v>
      </c>
      <c r="E4481" s="1">
        <v>45636</v>
      </c>
      <c r="F4481" s="1" t="str">
        <f>TEXT(Table1[[#This Row],[order_date]],"dddd")</f>
        <v>Tuesday</v>
      </c>
      <c r="G4481">
        <f>HOUR(Table1[[#This Row],[order_time]])</f>
        <v>17</v>
      </c>
      <c r="H4481" s="2">
        <v>0.73591435185185183</v>
      </c>
      <c r="I4481" t="s">
        <v>9</v>
      </c>
      <c r="J4481" t="s">
        <v>22</v>
      </c>
      <c r="K4481">
        <v>3</v>
      </c>
      <c r="L4481">
        <v>15</v>
      </c>
      <c r="M4481">
        <v>45</v>
      </c>
      <c r="N4481">
        <f>IF(COUNTIFS($B$2:B4481,B4481)=1,1,0)</f>
        <v>1</v>
      </c>
    </row>
    <row r="4482" spans="1:14" x14ac:dyDescent="0.2">
      <c r="A4482">
        <v>4481</v>
      </c>
      <c r="B4482">
        <v>3252</v>
      </c>
      <c r="C4482">
        <f>1/COUNTIF(B:B,Table1[[#This Row],[order_id]])</f>
        <v>0.5</v>
      </c>
      <c r="D4482" t="str">
        <f>TEXT(Table1[[#This Row],[order_date]],"mmmm")</f>
        <v>December</v>
      </c>
      <c r="E4482" s="1">
        <v>45636</v>
      </c>
      <c r="F4482" s="1" t="str">
        <f>TEXT(Table1[[#This Row],[order_date]],"dddd")</f>
        <v>Tuesday</v>
      </c>
      <c r="G4482">
        <f>HOUR(Table1[[#This Row],[order_time]])</f>
        <v>16</v>
      </c>
      <c r="H4482" s="2">
        <v>0.67609953703703707</v>
      </c>
      <c r="I4482" t="s">
        <v>16</v>
      </c>
      <c r="J4482" t="s">
        <v>23</v>
      </c>
      <c r="K4482">
        <v>2</v>
      </c>
      <c r="L4482">
        <v>30</v>
      </c>
      <c r="M4482">
        <v>60</v>
      </c>
      <c r="N4482">
        <f>IF(COUNTIFS($B$2:B4482,B4482)=1,1,0)</f>
        <v>0</v>
      </c>
    </row>
    <row r="4483" spans="1:14" x14ac:dyDescent="0.2">
      <c r="A4483">
        <v>4482</v>
      </c>
      <c r="B4483">
        <v>3253</v>
      </c>
      <c r="C4483">
        <f>1/COUNTIF(B:B,Table1[[#This Row],[order_id]])</f>
        <v>0.33333333333333331</v>
      </c>
      <c r="D4483" t="str">
        <f>TEXT(Table1[[#This Row],[order_date]],"mmmm")</f>
        <v>December</v>
      </c>
      <c r="E4483" s="1">
        <v>45636</v>
      </c>
      <c r="F4483" s="1" t="str">
        <f>TEXT(Table1[[#This Row],[order_date]],"dddd")</f>
        <v>Tuesday</v>
      </c>
      <c r="G4483">
        <f>HOUR(Table1[[#This Row],[order_time]])</f>
        <v>19</v>
      </c>
      <c r="H4483" s="2">
        <v>0.79361111111111116</v>
      </c>
      <c r="I4483" t="s">
        <v>16</v>
      </c>
      <c r="J4483" t="s">
        <v>28</v>
      </c>
      <c r="K4483">
        <v>3</v>
      </c>
      <c r="L4483">
        <v>25</v>
      </c>
      <c r="M4483">
        <v>75</v>
      </c>
      <c r="N4483">
        <f>IF(COUNTIFS($B$2:B4483,B4483)=1,1,0)</f>
        <v>1</v>
      </c>
    </row>
    <row r="4484" spans="1:14" x14ac:dyDescent="0.2">
      <c r="A4484">
        <v>4483</v>
      </c>
      <c r="B4484">
        <v>3253</v>
      </c>
      <c r="C4484">
        <f>1/COUNTIF(B:B,Table1[[#This Row],[order_id]])</f>
        <v>0.33333333333333331</v>
      </c>
      <c r="D4484" t="str">
        <f>TEXT(Table1[[#This Row],[order_date]],"mmmm")</f>
        <v>December</v>
      </c>
      <c r="E4484" s="1">
        <v>45636</v>
      </c>
      <c r="F4484" s="1" t="str">
        <f>TEXT(Table1[[#This Row],[order_date]],"dddd")</f>
        <v>Tuesday</v>
      </c>
      <c r="G4484">
        <f>HOUR(Table1[[#This Row],[order_time]])</f>
        <v>12</v>
      </c>
      <c r="H4484" s="2">
        <v>0.50643518518518515</v>
      </c>
      <c r="I4484" t="s">
        <v>9</v>
      </c>
      <c r="J4484" t="s">
        <v>22</v>
      </c>
      <c r="K4484">
        <v>3</v>
      </c>
      <c r="L4484">
        <v>15</v>
      </c>
      <c r="M4484">
        <v>45</v>
      </c>
      <c r="N4484">
        <f>IF(COUNTIFS($B$2:B4484,B4484)=1,1,0)</f>
        <v>0</v>
      </c>
    </row>
    <row r="4485" spans="1:14" x14ac:dyDescent="0.2">
      <c r="A4485">
        <v>4484</v>
      </c>
      <c r="B4485">
        <v>3253</v>
      </c>
      <c r="C4485">
        <f>1/COUNTIF(B:B,Table1[[#This Row],[order_id]])</f>
        <v>0.33333333333333331</v>
      </c>
      <c r="D4485" t="str">
        <f>TEXT(Table1[[#This Row],[order_date]],"mmmm")</f>
        <v>December</v>
      </c>
      <c r="E4485" s="1">
        <v>45636</v>
      </c>
      <c r="F4485" s="1" t="str">
        <f>TEXT(Table1[[#This Row],[order_date]],"dddd")</f>
        <v>Tuesday</v>
      </c>
      <c r="G4485">
        <f>HOUR(Table1[[#This Row],[order_time]])</f>
        <v>20</v>
      </c>
      <c r="H4485" s="2">
        <v>0.86755787037037035</v>
      </c>
      <c r="I4485" t="s">
        <v>9</v>
      </c>
      <c r="J4485" t="s">
        <v>10</v>
      </c>
      <c r="K4485">
        <v>1</v>
      </c>
      <c r="L4485">
        <v>20</v>
      </c>
      <c r="M4485">
        <v>20</v>
      </c>
      <c r="N4485">
        <f>IF(COUNTIFS($B$2:B4485,B4485)=1,1,0)</f>
        <v>0</v>
      </c>
    </row>
    <row r="4486" spans="1:14" x14ac:dyDescent="0.2">
      <c r="A4486">
        <v>4485</v>
      </c>
      <c r="B4486">
        <v>3254</v>
      </c>
      <c r="C4486">
        <f>1/COUNTIF(B:B,Table1[[#This Row],[order_id]])</f>
        <v>0.33333333333333331</v>
      </c>
      <c r="D4486" t="str">
        <f>TEXT(Table1[[#This Row],[order_date]],"mmmm")</f>
        <v>December</v>
      </c>
      <c r="E4486" s="1">
        <v>45636</v>
      </c>
      <c r="F4486" s="1" t="str">
        <f>TEXT(Table1[[#This Row],[order_date]],"dddd")</f>
        <v>Tuesday</v>
      </c>
      <c r="G4486">
        <f>HOUR(Table1[[#This Row],[order_time]])</f>
        <v>17</v>
      </c>
      <c r="H4486" s="2">
        <v>0.71096064814814819</v>
      </c>
      <c r="I4486" t="s">
        <v>9</v>
      </c>
      <c r="J4486" t="s">
        <v>29</v>
      </c>
      <c r="K4486">
        <v>2</v>
      </c>
      <c r="L4486">
        <v>5</v>
      </c>
      <c r="M4486">
        <v>10</v>
      </c>
      <c r="N4486">
        <f>IF(COUNTIFS($B$2:B4486,B4486)=1,1,0)</f>
        <v>1</v>
      </c>
    </row>
    <row r="4487" spans="1:14" x14ac:dyDescent="0.2">
      <c r="A4487">
        <v>4486</v>
      </c>
      <c r="B4487">
        <v>3254</v>
      </c>
      <c r="C4487">
        <f>1/COUNTIF(B:B,Table1[[#This Row],[order_id]])</f>
        <v>0.33333333333333331</v>
      </c>
      <c r="D4487" t="str">
        <f>TEXT(Table1[[#This Row],[order_date]],"mmmm")</f>
        <v>December</v>
      </c>
      <c r="E4487" s="1">
        <v>45636</v>
      </c>
      <c r="F4487" s="1" t="str">
        <f>TEXT(Table1[[#This Row],[order_date]],"dddd")</f>
        <v>Tuesday</v>
      </c>
      <c r="G4487">
        <f>HOUR(Table1[[#This Row],[order_time]])</f>
        <v>12</v>
      </c>
      <c r="H4487" s="2">
        <v>0.52124999999999999</v>
      </c>
      <c r="I4487" t="s">
        <v>9</v>
      </c>
      <c r="J4487" t="s">
        <v>21</v>
      </c>
      <c r="K4487">
        <v>1</v>
      </c>
      <c r="L4487">
        <v>10</v>
      </c>
      <c r="M4487">
        <v>10</v>
      </c>
      <c r="N4487">
        <f>IF(COUNTIFS($B$2:B4487,B4487)=1,1,0)</f>
        <v>0</v>
      </c>
    </row>
    <row r="4488" spans="1:14" x14ac:dyDescent="0.2">
      <c r="A4488">
        <v>4487</v>
      </c>
      <c r="B4488">
        <v>3254</v>
      </c>
      <c r="C4488">
        <f>1/COUNTIF(B:B,Table1[[#This Row],[order_id]])</f>
        <v>0.33333333333333331</v>
      </c>
      <c r="D4488" t="str">
        <f>TEXT(Table1[[#This Row],[order_date]],"mmmm")</f>
        <v>December</v>
      </c>
      <c r="E4488" s="1">
        <v>45636</v>
      </c>
      <c r="F4488" s="1" t="str">
        <f>TEXT(Table1[[#This Row],[order_date]],"dddd")</f>
        <v>Tuesday</v>
      </c>
      <c r="G4488">
        <f>HOUR(Table1[[#This Row],[order_time]])</f>
        <v>19</v>
      </c>
      <c r="H4488" s="2">
        <v>0.82703703703703701</v>
      </c>
      <c r="I4488" t="s">
        <v>16</v>
      </c>
      <c r="J4488" t="s">
        <v>28</v>
      </c>
      <c r="K4488">
        <v>3</v>
      </c>
      <c r="L4488">
        <v>25</v>
      </c>
      <c r="M4488">
        <v>75</v>
      </c>
      <c r="N4488">
        <f>IF(COUNTIFS($B$2:B4488,B4488)=1,1,0)</f>
        <v>0</v>
      </c>
    </row>
    <row r="4489" spans="1:14" x14ac:dyDescent="0.2">
      <c r="A4489">
        <v>4488</v>
      </c>
      <c r="B4489">
        <v>3255</v>
      </c>
      <c r="C4489">
        <f>1/COUNTIF(B:B,Table1[[#This Row],[order_id]])</f>
        <v>0.5</v>
      </c>
      <c r="D4489" t="str">
        <f>TEXT(Table1[[#This Row],[order_date]],"mmmm")</f>
        <v>December</v>
      </c>
      <c r="E4489" s="1">
        <v>45637</v>
      </c>
      <c r="F4489" s="1" t="str">
        <f>TEXT(Table1[[#This Row],[order_date]],"dddd")</f>
        <v>Wednesday</v>
      </c>
      <c r="G4489">
        <f>HOUR(Table1[[#This Row],[order_time]])</f>
        <v>19</v>
      </c>
      <c r="H4489" s="2">
        <v>0.83016203703703706</v>
      </c>
      <c r="I4489" t="s">
        <v>11</v>
      </c>
      <c r="J4489" t="s">
        <v>12</v>
      </c>
      <c r="K4489">
        <v>2</v>
      </c>
      <c r="L4489">
        <v>650</v>
      </c>
      <c r="M4489">
        <v>1300</v>
      </c>
      <c r="N4489">
        <f>IF(COUNTIFS($B$2:B4489,B4489)=1,1,0)</f>
        <v>1</v>
      </c>
    </row>
    <row r="4490" spans="1:14" x14ac:dyDescent="0.2">
      <c r="A4490">
        <v>4489</v>
      </c>
      <c r="B4490">
        <v>3255</v>
      </c>
      <c r="C4490">
        <f>1/COUNTIF(B:B,Table1[[#This Row],[order_id]])</f>
        <v>0.5</v>
      </c>
      <c r="D4490" t="str">
        <f>TEXT(Table1[[#This Row],[order_date]],"mmmm")</f>
        <v>December</v>
      </c>
      <c r="E4490" s="1">
        <v>45637</v>
      </c>
      <c r="F4490" s="1" t="str">
        <f>TEXT(Table1[[#This Row],[order_date]],"dddd")</f>
        <v>Wednesday</v>
      </c>
      <c r="G4490">
        <f>HOUR(Table1[[#This Row],[order_time]])</f>
        <v>17</v>
      </c>
      <c r="H4490" s="2">
        <v>0.72299768518518515</v>
      </c>
      <c r="I4490" t="s">
        <v>11</v>
      </c>
      <c r="J4490" t="s">
        <v>14</v>
      </c>
      <c r="K4490">
        <v>5</v>
      </c>
      <c r="L4490">
        <v>700</v>
      </c>
      <c r="M4490">
        <v>3500</v>
      </c>
      <c r="N4490">
        <f>IF(COUNTIFS($B$2:B4490,B4490)=1,1,0)</f>
        <v>0</v>
      </c>
    </row>
    <row r="4491" spans="1:14" x14ac:dyDescent="0.2">
      <c r="A4491">
        <v>4490</v>
      </c>
      <c r="B4491">
        <v>3256</v>
      </c>
      <c r="C4491">
        <f>1/COUNTIF(B:B,Table1[[#This Row],[order_id]])</f>
        <v>1</v>
      </c>
      <c r="D4491" t="str">
        <f>TEXT(Table1[[#This Row],[order_date]],"mmmm")</f>
        <v>December</v>
      </c>
      <c r="E4491" s="1">
        <v>45637</v>
      </c>
      <c r="F4491" s="1" t="str">
        <f>TEXT(Table1[[#This Row],[order_date]],"dddd")</f>
        <v>Wednesday</v>
      </c>
      <c r="G4491">
        <f>HOUR(Table1[[#This Row],[order_time]])</f>
        <v>10</v>
      </c>
      <c r="H4491" s="2">
        <v>0.45047453703703705</v>
      </c>
      <c r="I4491" t="s">
        <v>9</v>
      </c>
      <c r="J4491" t="s">
        <v>29</v>
      </c>
      <c r="K4491">
        <v>2</v>
      </c>
      <c r="L4491">
        <v>5</v>
      </c>
      <c r="M4491">
        <v>10</v>
      </c>
      <c r="N4491">
        <f>IF(COUNTIFS($B$2:B4491,B4491)=1,1,0)</f>
        <v>1</v>
      </c>
    </row>
    <row r="4492" spans="1:14" x14ac:dyDescent="0.2">
      <c r="A4492">
        <v>4491</v>
      </c>
      <c r="B4492">
        <v>3257</v>
      </c>
      <c r="C4492">
        <f>1/COUNTIF(B:B,Table1[[#This Row],[order_id]])</f>
        <v>1</v>
      </c>
      <c r="D4492" t="str">
        <f>TEXT(Table1[[#This Row],[order_date]],"mmmm")</f>
        <v>December</v>
      </c>
      <c r="E4492" s="1">
        <v>45637</v>
      </c>
      <c r="F4492" s="1" t="str">
        <f>TEXT(Table1[[#This Row],[order_date]],"dddd")</f>
        <v>Wednesday</v>
      </c>
      <c r="G4492">
        <f>HOUR(Table1[[#This Row],[order_time]])</f>
        <v>9</v>
      </c>
      <c r="H4492" s="2">
        <v>0.39481481481481484</v>
      </c>
      <c r="I4492" t="s">
        <v>18</v>
      </c>
      <c r="J4492" t="s">
        <v>19</v>
      </c>
      <c r="K4492">
        <v>3</v>
      </c>
      <c r="L4492">
        <v>50</v>
      </c>
      <c r="M4492">
        <v>150</v>
      </c>
      <c r="N4492">
        <f>IF(COUNTIFS($B$2:B4492,B4492)=1,1,0)</f>
        <v>1</v>
      </c>
    </row>
    <row r="4493" spans="1:14" x14ac:dyDescent="0.2">
      <c r="A4493">
        <v>4492</v>
      </c>
      <c r="B4493">
        <v>3258</v>
      </c>
      <c r="C4493">
        <f>1/COUNTIF(B:B,Table1[[#This Row],[order_id]])</f>
        <v>1</v>
      </c>
      <c r="D4493" t="str">
        <f>TEXT(Table1[[#This Row],[order_date]],"mmmm")</f>
        <v>December</v>
      </c>
      <c r="E4493" s="1">
        <v>45637</v>
      </c>
      <c r="F4493" s="1" t="str">
        <f>TEXT(Table1[[#This Row],[order_date]],"dddd")</f>
        <v>Wednesday</v>
      </c>
      <c r="G4493">
        <f>HOUR(Table1[[#This Row],[order_time]])</f>
        <v>19</v>
      </c>
      <c r="H4493" s="2">
        <v>0.82528935185185182</v>
      </c>
      <c r="I4493" t="s">
        <v>11</v>
      </c>
      <c r="J4493" t="s">
        <v>12</v>
      </c>
      <c r="K4493">
        <v>4</v>
      </c>
      <c r="L4493">
        <v>650</v>
      </c>
      <c r="M4493">
        <v>2600</v>
      </c>
      <c r="N4493">
        <f>IF(COUNTIFS($B$2:B4493,B4493)=1,1,0)</f>
        <v>1</v>
      </c>
    </row>
    <row r="4494" spans="1:14" x14ac:dyDescent="0.2">
      <c r="A4494">
        <v>4493</v>
      </c>
      <c r="B4494">
        <v>3259</v>
      </c>
      <c r="C4494">
        <f>1/COUNTIF(B:B,Table1[[#This Row],[order_id]])</f>
        <v>1</v>
      </c>
      <c r="D4494" t="str">
        <f>TEXT(Table1[[#This Row],[order_date]],"mmmm")</f>
        <v>December</v>
      </c>
      <c r="E4494" s="1">
        <v>45638</v>
      </c>
      <c r="F4494" s="1" t="str">
        <f>TEXT(Table1[[#This Row],[order_date]],"dddd")</f>
        <v>Thursday</v>
      </c>
      <c r="G4494">
        <f>HOUR(Table1[[#This Row],[order_time]])</f>
        <v>12</v>
      </c>
      <c r="H4494" s="2">
        <v>0.53957175925925926</v>
      </c>
      <c r="I4494" t="s">
        <v>16</v>
      </c>
      <c r="J4494" t="s">
        <v>17</v>
      </c>
      <c r="K4494">
        <v>5</v>
      </c>
      <c r="L4494">
        <v>20</v>
      </c>
      <c r="M4494">
        <v>100</v>
      </c>
      <c r="N4494">
        <f>IF(COUNTIFS($B$2:B4494,B4494)=1,1,0)</f>
        <v>1</v>
      </c>
    </row>
    <row r="4495" spans="1:14" x14ac:dyDescent="0.2">
      <c r="A4495">
        <v>4494</v>
      </c>
      <c r="B4495">
        <v>3260</v>
      </c>
      <c r="C4495">
        <f>1/COUNTIF(B:B,Table1[[#This Row],[order_id]])</f>
        <v>0.5</v>
      </c>
      <c r="D4495" t="str">
        <f>TEXT(Table1[[#This Row],[order_date]],"mmmm")</f>
        <v>December</v>
      </c>
      <c r="E4495" s="1">
        <v>45638</v>
      </c>
      <c r="F4495" s="1" t="str">
        <f>TEXT(Table1[[#This Row],[order_date]],"dddd")</f>
        <v>Thursday</v>
      </c>
      <c r="G4495">
        <f>HOUR(Table1[[#This Row],[order_time]])</f>
        <v>19</v>
      </c>
      <c r="H4495" s="2">
        <v>0.80231481481481481</v>
      </c>
      <c r="I4495" t="s">
        <v>16</v>
      </c>
      <c r="J4495" t="s">
        <v>17</v>
      </c>
      <c r="K4495">
        <v>3</v>
      </c>
      <c r="L4495">
        <v>20</v>
      </c>
      <c r="M4495">
        <v>60</v>
      </c>
      <c r="N4495">
        <f>IF(COUNTIFS($B$2:B4495,B4495)=1,1,0)</f>
        <v>1</v>
      </c>
    </row>
    <row r="4496" spans="1:14" x14ac:dyDescent="0.2">
      <c r="A4496">
        <v>4495</v>
      </c>
      <c r="B4496">
        <v>3260</v>
      </c>
      <c r="C4496">
        <f>1/COUNTIF(B:B,Table1[[#This Row],[order_id]])</f>
        <v>0.5</v>
      </c>
      <c r="D4496" t="str">
        <f>TEXT(Table1[[#This Row],[order_date]],"mmmm")</f>
        <v>December</v>
      </c>
      <c r="E4496" s="1">
        <v>45638</v>
      </c>
      <c r="F4496" s="1" t="str">
        <f>TEXT(Table1[[#This Row],[order_date]],"dddd")</f>
        <v>Thursday</v>
      </c>
      <c r="G4496">
        <f>HOUR(Table1[[#This Row],[order_time]])</f>
        <v>17</v>
      </c>
      <c r="H4496" s="2">
        <v>0.74268518518518523</v>
      </c>
      <c r="I4496" t="s">
        <v>11</v>
      </c>
      <c r="J4496" t="s">
        <v>25</v>
      </c>
      <c r="K4496">
        <v>4</v>
      </c>
      <c r="L4496">
        <v>1000</v>
      </c>
      <c r="M4496">
        <v>4000</v>
      </c>
      <c r="N4496">
        <f>IF(COUNTIFS($B$2:B4496,B4496)=1,1,0)</f>
        <v>0</v>
      </c>
    </row>
    <row r="4497" spans="1:14" x14ac:dyDescent="0.2">
      <c r="A4497">
        <v>4496</v>
      </c>
      <c r="B4497">
        <v>3261</v>
      </c>
      <c r="C4497">
        <f>1/COUNTIF(B:B,Table1[[#This Row],[order_id]])</f>
        <v>0.33333333333333331</v>
      </c>
      <c r="D4497" t="str">
        <f>TEXT(Table1[[#This Row],[order_date]],"mmmm")</f>
        <v>December</v>
      </c>
      <c r="E4497" s="1">
        <v>45638</v>
      </c>
      <c r="F4497" s="1" t="str">
        <f>TEXT(Table1[[#This Row],[order_date]],"dddd")</f>
        <v>Thursday</v>
      </c>
      <c r="G4497">
        <f>HOUR(Table1[[#This Row],[order_time]])</f>
        <v>12</v>
      </c>
      <c r="H4497" s="2">
        <v>0.52353009259259264</v>
      </c>
      <c r="I4497" t="s">
        <v>16</v>
      </c>
      <c r="J4497" t="s">
        <v>28</v>
      </c>
      <c r="K4497">
        <v>2</v>
      </c>
      <c r="L4497">
        <v>25</v>
      </c>
      <c r="M4497">
        <v>50</v>
      </c>
      <c r="N4497">
        <f>IF(COUNTIFS($B$2:B4497,B4497)=1,1,0)</f>
        <v>1</v>
      </c>
    </row>
    <row r="4498" spans="1:14" x14ac:dyDescent="0.2">
      <c r="A4498">
        <v>4497</v>
      </c>
      <c r="B4498">
        <v>3261</v>
      </c>
      <c r="C4498">
        <f>1/COUNTIF(B:B,Table1[[#This Row],[order_id]])</f>
        <v>0.33333333333333331</v>
      </c>
      <c r="D4498" t="str">
        <f>TEXT(Table1[[#This Row],[order_date]],"mmmm")</f>
        <v>December</v>
      </c>
      <c r="E4498" s="1">
        <v>45638</v>
      </c>
      <c r="F4498" s="1" t="str">
        <f>TEXT(Table1[[#This Row],[order_date]],"dddd")</f>
        <v>Thursday</v>
      </c>
      <c r="G4498">
        <f>HOUR(Table1[[#This Row],[order_time]])</f>
        <v>11</v>
      </c>
      <c r="H4498" s="2">
        <v>0.48366898148148146</v>
      </c>
      <c r="I4498" t="s">
        <v>16</v>
      </c>
      <c r="J4498" t="s">
        <v>24</v>
      </c>
      <c r="K4498">
        <v>3</v>
      </c>
      <c r="L4498">
        <v>35</v>
      </c>
      <c r="M4498">
        <v>105</v>
      </c>
      <c r="N4498">
        <f>IF(COUNTIFS($B$2:B4498,B4498)=1,1,0)</f>
        <v>0</v>
      </c>
    </row>
    <row r="4499" spans="1:14" x14ac:dyDescent="0.2">
      <c r="A4499">
        <v>4498</v>
      </c>
      <c r="B4499">
        <v>3261</v>
      </c>
      <c r="C4499">
        <f>1/COUNTIF(B:B,Table1[[#This Row],[order_id]])</f>
        <v>0.33333333333333331</v>
      </c>
      <c r="D4499" t="str">
        <f>TEXT(Table1[[#This Row],[order_date]],"mmmm")</f>
        <v>December</v>
      </c>
      <c r="E4499" s="1">
        <v>45638</v>
      </c>
      <c r="F4499" s="1" t="str">
        <f>TEXT(Table1[[#This Row],[order_date]],"dddd")</f>
        <v>Thursday</v>
      </c>
      <c r="G4499">
        <f>HOUR(Table1[[#This Row],[order_time]])</f>
        <v>13</v>
      </c>
      <c r="H4499" s="2">
        <v>0.55491898148148144</v>
      </c>
      <c r="I4499" t="s">
        <v>11</v>
      </c>
      <c r="J4499" t="s">
        <v>12</v>
      </c>
      <c r="K4499">
        <v>2</v>
      </c>
      <c r="L4499">
        <v>650</v>
      </c>
      <c r="M4499">
        <v>1300</v>
      </c>
      <c r="N4499">
        <f>IF(COUNTIFS($B$2:B4499,B4499)=1,1,0)</f>
        <v>0</v>
      </c>
    </row>
    <row r="4500" spans="1:14" x14ac:dyDescent="0.2">
      <c r="A4500">
        <v>4499</v>
      </c>
      <c r="B4500">
        <v>3262</v>
      </c>
      <c r="C4500">
        <f>1/COUNTIF(B:B,Table1[[#This Row],[order_id]])</f>
        <v>0.33333333333333331</v>
      </c>
      <c r="D4500" t="str">
        <f>TEXT(Table1[[#This Row],[order_date]],"mmmm")</f>
        <v>December</v>
      </c>
      <c r="E4500" s="1">
        <v>45638</v>
      </c>
      <c r="F4500" s="1" t="str">
        <f>TEXT(Table1[[#This Row],[order_date]],"dddd")</f>
        <v>Thursday</v>
      </c>
      <c r="G4500">
        <f>HOUR(Table1[[#This Row],[order_time]])</f>
        <v>20</v>
      </c>
      <c r="H4500" s="2">
        <v>0.87207175925925928</v>
      </c>
      <c r="I4500" t="s">
        <v>16</v>
      </c>
      <c r="J4500" t="s">
        <v>17</v>
      </c>
      <c r="K4500">
        <v>2</v>
      </c>
      <c r="L4500">
        <v>20</v>
      </c>
      <c r="M4500">
        <v>40</v>
      </c>
      <c r="N4500">
        <f>IF(COUNTIFS($B$2:B4500,B4500)=1,1,0)</f>
        <v>1</v>
      </c>
    </row>
    <row r="4501" spans="1:14" x14ac:dyDescent="0.2">
      <c r="A4501">
        <v>4500</v>
      </c>
      <c r="B4501">
        <v>3262</v>
      </c>
      <c r="C4501">
        <f>1/COUNTIF(B:B,Table1[[#This Row],[order_id]])</f>
        <v>0.33333333333333331</v>
      </c>
      <c r="D4501" t="str">
        <f>TEXT(Table1[[#This Row],[order_date]],"mmmm")</f>
        <v>December</v>
      </c>
      <c r="E4501" s="1">
        <v>45638</v>
      </c>
      <c r="F4501" s="1" t="str">
        <f>TEXT(Table1[[#This Row],[order_date]],"dddd")</f>
        <v>Thursday</v>
      </c>
      <c r="G4501">
        <f>HOUR(Table1[[#This Row],[order_time]])</f>
        <v>14</v>
      </c>
      <c r="H4501" s="2">
        <v>0.59335648148148146</v>
      </c>
      <c r="I4501" t="s">
        <v>16</v>
      </c>
      <c r="J4501" t="s">
        <v>24</v>
      </c>
      <c r="K4501">
        <v>4</v>
      </c>
      <c r="L4501">
        <v>35</v>
      </c>
      <c r="M4501">
        <v>140</v>
      </c>
      <c r="N4501">
        <f>IF(COUNTIFS($B$2:B4501,B4501)=1,1,0)</f>
        <v>0</v>
      </c>
    </row>
    <row r="4502" spans="1:14" x14ac:dyDescent="0.2">
      <c r="A4502">
        <v>4501</v>
      </c>
      <c r="B4502">
        <v>3262</v>
      </c>
      <c r="C4502">
        <f>1/COUNTIF(B:B,Table1[[#This Row],[order_id]])</f>
        <v>0.33333333333333331</v>
      </c>
      <c r="D4502" t="str">
        <f>TEXT(Table1[[#This Row],[order_date]],"mmmm")</f>
        <v>December</v>
      </c>
      <c r="E4502" s="1">
        <v>45638</v>
      </c>
      <c r="F4502" s="1" t="str">
        <f>TEXT(Table1[[#This Row],[order_date]],"dddd")</f>
        <v>Thursday</v>
      </c>
      <c r="G4502">
        <f>HOUR(Table1[[#This Row],[order_time]])</f>
        <v>11</v>
      </c>
      <c r="H4502" s="2">
        <v>0.49896990740740743</v>
      </c>
      <c r="I4502" t="s">
        <v>18</v>
      </c>
      <c r="J4502" t="s">
        <v>26</v>
      </c>
      <c r="K4502">
        <v>1</v>
      </c>
      <c r="L4502">
        <v>55</v>
      </c>
      <c r="M4502">
        <v>55</v>
      </c>
      <c r="N4502">
        <f>IF(COUNTIFS($B$2:B4502,B4502)=1,1,0)</f>
        <v>0</v>
      </c>
    </row>
    <row r="4503" spans="1:14" x14ac:dyDescent="0.2">
      <c r="A4503">
        <v>4502</v>
      </c>
      <c r="B4503">
        <v>3263</v>
      </c>
      <c r="C4503">
        <f>1/COUNTIF(B:B,Table1[[#This Row],[order_id]])</f>
        <v>1</v>
      </c>
      <c r="D4503" t="str">
        <f>TEXT(Table1[[#This Row],[order_date]],"mmmm")</f>
        <v>December</v>
      </c>
      <c r="E4503" s="1">
        <v>45638</v>
      </c>
      <c r="F4503" s="1" t="str">
        <f>TEXT(Table1[[#This Row],[order_date]],"dddd")</f>
        <v>Thursday</v>
      </c>
      <c r="G4503">
        <f>HOUR(Table1[[#This Row],[order_time]])</f>
        <v>9</v>
      </c>
      <c r="H4503" s="2">
        <v>0.39503472222222225</v>
      </c>
      <c r="I4503" t="s">
        <v>11</v>
      </c>
      <c r="J4503" t="s">
        <v>25</v>
      </c>
      <c r="K4503">
        <v>1</v>
      </c>
      <c r="L4503">
        <v>1000</v>
      </c>
      <c r="M4503">
        <v>1000</v>
      </c>
      <c r="N4503">
        <f>IF(COUNTIFS($B$2:B4503,B4503)=1,1,0)</f>
        <v>1</v>
      </c>
    </row>
    <row r="4504" spans="1:14" x14ac:dyDescent="0.2">
      <c r="A4504">
        <v>4503</v>
      </c>
      <c r="B4504">
        <v>3264</v>
      </c>
      <c r="C4504">
        <f>1/COUNTIF(B:B,Table1[[#This Row],[order_id]])</f>
        <v>0.33333333333333331</v>
      </c>
      <c r="D4504" t="str">
        <f>TEXT(Table1[[#This Row],[order_date]],"mmmm")</f>
        <v>December</v>
      </c>
      <c r="E4504" s="1">
        <v>45638</v>
      </c>
      <c r="F4504" s="1" t="str">
        <f>TEXT(Table1[[#This Row],[order_date]],"dddd")</f>
        <v>Thursday</v>
      </c>
      <c r="G4504">
        <f>HOUR(Table1[[#This Row],[order_time]])</f>
        <v>16</v>
      </c>
      <c r="H4504" s="2">
        <v>0.70512731481481483</v>
      </c>
      <c r="I4504" t="s">
        <v>9</v>
      </c>
      <c r="J4504" t="s">
        <v>22</v>
      </c>
      <c r="K4504">
        <v>3</v>
      </c>
      <c r="L4504">
        <v>15</v>
      </c>
      <c r="M4504">
        <v>45</v>
      </c>
      <c r="N4504">
        <f>IF(COUNTIFS($B$2:B4504,B4504)=1,1,0)</f>
        <v>1</v>
      </c>
    </row>
    <row r="4505" spans="1:14" x14ac:dyDescent="0.2">
      <c r="A4505">
        <v>4504</v>
      </c>
      <c r="B4505">
        <v>3264</v>
      </c>
      <c r="C4505">
        <f>1/COUNTIF(B:B,Table1[[#This Row],[order_id]])</f>
        <v>0.33333333333333331</v>
      </c>
      <c r="D4505" t="str">
        <f>TEXT(Table1[[#This Row],[order_date]],"mmmm")</f>
        <v>December</v>
      </c>
      <c r="E4505" s="1">
        <v>45638</v>
      </c>
      <c r="F4505" s="1" t="str">
        <f>TEXT(Table1[[#This Row],[order_date]],"dddd")</f>
        <v>Thursday</v>
      </c>
      <c r="G4505">
        <f>HOUR(Table1[[#This Row],[order_time]])</f>
        <v>20</v>
      </c>
      <c r="H4505" s="2">
        <v>0.85480324074074077</v>
      </c>
      <c r="I4505" t="s">
        <v>16</v>
      </c>
      <c r="J4505" t="s">
        <v>24</v>
      </c>
      <c r="K4505">
        <v>1</v>
      </c>
      <c r="L4505">
        <v>35</v>
      </c>
      <c r="M4505">
        <v>35</v>
      </c>
      <c r="N4505">
        <f>IF(COUNTIFS($B$2:B4505,B4505)=1,1,0)</f>
        <v>0</v>
      </c>
    </row>
    <row r="4506" spans="1:14" x14ac:dyDescent="0.2">
      <c r="A4506">
        <v>4505</v>
      </c>
      <c r="B4506">
        <v>3264</v>
      </c>
      <c r="C4506">
        <f>1/COUNTIF(B:B,Table1[[#This Row],[order_id]])</f>
        <v>0.33333333333333331</v>
      </c>
      <c r="D4506" t="str">
        <f>TEXT(Table1[[#This Row],[order_date]],"mmmm")</f>
        <v>December</v>
      </c>
      <c r="E4506" s="1">
        <v>45638</v>
      </c>
      <c r="F4506" s="1" t="str">
        <f>TEXT(Table1[[#This Row],[order_date]],"dddd")</f>
        <v>Thursday</v>
      </c>
      <c r="G4506">
        <f>HOUR(Table1[[#This Row],[order_time]])</f>
        <v>10</v>
      </c>
      <c r="H4506" s="2">
        <v>0.42812499999999998</v>
      </c>
      <c r="I4506" t="s">
        <v>16</v>
      </c>
      <c r="J4506" t="s">
        <v>23</v>
      </c>
      <c r="K4506">
        <v>2</v>
      </c>
      <c r="L4506">
        <v>30</v>
      </c>
      <c r="M4506">
        <v>60</v>
      </c>
      <c r="N4506">
        <f>IF(COUNTIFS($B$2:B4506,B4506)=1,1,0)</f>
        <v>0</v>
      </c>
    </row>
    <row r="4507" spans="1:14" x14ac:dyDescent="0.2">
      <c r="A4507">
        <v>4506</v>
      </c>
      <c r="B4507">
        <v>3265</v>
      </c>
      <c r="C4507">
        <f>1/COUNTIF(B:B,Table1[[#This Row],[order_id]])</f>
        <v>0.5</v>
      </c>
      <c r="D4507" t="str">
        <f>TEXT(Table1[[#This Row],[order_date]],"mmmm")</f>
        <v>December</v>
      </c>
      <c r="E4507" s="1">
        <v>45639</v>
      </c>
      <c r="F4507" s="1" t="str">
        <f>TEXT(Table1[[#This Row],[order_date]],"dddd")</f>
        <v>Friday</v>
      </c>
      <c r="G4507">
        <f>HOUR(Table1[[#This Row],[order_time]])</f>
        <v>19</v>
      </c>
      <c r="H4507" s="2">
        <v>0.80401620370370375</v>
      </c>
      <c r="I4507" t="s">
        <v>11</v>
      </c>
      <c r="J4507" t="s">
        <v>15</v>
      </c>
      <c r="K4507">
        <v>1</v>
      </c>
      <c r="L4507">
        <v>600</v>
      </c>
      <c r="M4507">
        <v>600</v>
      </c>
      <c r="N4507">
        <f>IF(COUNTIFS($B$2:B4507,B4507)=1,1,0)</f>
        <v>1</v>
      </c>
    </row>
    <row r="4508" spans="1:14" x14ac:dyDescent="0.2">
      <c r="A4508">
        <v>4507</v>
      </c>
      <c r="B4508">
        <v>3265</v>
      </c>
      <c r="C4508">
        <f>1/COUNTIF(B:B,Table1[[#This Row],[order_id]])</f>
        <v>0.5</v>
      </c>
      <c r="D4508" t="str">
        <f>TEXT(Table1[[#This Row],[order_date]],"mmmm")</f>
        <v>December</v>
      </c>
      <c r="E4508" s="1">
        <v>45639</v>
      </c>
      <c r="F4508" s="1" t="str">
        <f>TEXT(Table1[[#This Row],[order_date]],"dddd")</f>
        <v>Friday</v>
      </c>
      <c r="G4508">
        <f>HOUR(Table1[[#This Row],[order_time]])</f>
        <v>19</v>
      </c>
      <c r="H4508" s="2">
        <v>0.81166666666666665</v>
      </c>
      <c r="I4508" t="s">
        <v>18</v>
      </c>
      <c r="J4508" t="s">
        <v>19</v>
      </c>
      <c r="K4508">
        <v>3</v>
      </c>
      <c r="L4508">
        <v>50</v>
      </c>
      <c r="M4508">
        <v>150</v>
      </c>
      <c r="N4508">
        <f>IF(COUNTIFS($B$2:B4508,B4508)=1,1,0)</f>
        <v>0</v>
      </c>
    </row>
    <row r="4509" spans="1:14" x14ac:dyDescent="0.2">
      <c r="A4509">
        <v>4508</v>
      </c>
      <c r="B4509">
        <v>3266</v>
      </c>
      <c r="C4509">
        <f>1/COUNTIF(B:B,Table1[[#This Row],[order_id]])</f>
        <v>0.33333333333333331</v>
      </c>
      <c r="D4509" t="str">
        <f>TEXT(Table1[[#This Row],[order_date]],"mmmm")</f>
        <v>December</v>
      </c>
      <c r="E4509" s="1">
        <v>45639</v>
      </c>
      <c r="F4509" s="1" t="str">
        <f>TEXT(Table1[[#This Row],[order_date]],"dddd")</f>
        <v>Friday</v>
      </c>
      <c r="G4509">
        <f>HOUR(Table1[[#This Row],[order_time]])</f>
        <v>13</v>
      </c>
      <c r="H4509" s="2">
        <v>0.5567361111111111</v>
      </c>
      <c r="I4509" t="s">
        <v>18</v>
      </c>
      <c r="J4509" t="s">
        <v>26</v>
      </c>
      <c r="K4509">
        <v>5</v>
      </c>
      <c r="L4509">
        <v>55</v>
      </c>
      <c r="M4509">
        <v>275</v>
      </c>
      <c r="N4509">
        <f>IF(COUNTIFS($B$2:B4509,B4509)=1,1,0)</f>
        <v>1</v>
      </c>
    </row>
    <row r="4510" spans="1:14" x14ac:dyDescent="0.2">
      <c r="A4510">
        <v>4509</v>
      </c>
      <c r="B4510">
        <v>3266</v>
      </c>
      <c r="C4510">
        <f>1/COUNTIF(B:B,Table1[[#This Row],[order_id]])</f>
        <v>0.33333333333333331</v>
      </c>
      <c r="D4510" t="str">
        <f>TEXT(Table1[[#This Row],[order_date]],"mmmm")</f>
        <v>December</v>
      </c>
      <c r="E4510" s="1">
        <v>45639</v>
      </c>
      <c r="F4510" s="1" t="str">
        <f>TEXT(Table1[[#This Row],[order_date]],"dddd")</f>
        <v>Friday</v>
      </c>
      <c r="G4510">
        <f>HOUR(Table1[[#This Row],[order_time]])</f>
        <v>12</v>
      </c>
      <c r="H4510" s="2">
        <v>0.5037962962962963</v>
      </c>
      <c r="I4510" t="s">
        <v>16</v>
      </c>
      <c r="J4510" t="s">
        <v>17</v>
      </c>
      <c r="K4510">
        <v>3</v>
      </c>
      <c r="L4510">
        <v>20</v>
      </c>
      <c r="M4510">
        <v>60</v>
      </c>
      <c r="N4510">
        <f>IF(COUNTIFS($B$2:B4510,B4510)=1,1,0)</f>
        <v>0</v>
      </c>
    </row>
    <row r="4511" spans="1:14" x14ac:dyDescent="0.2">
      <c r="A4511">
        <v>4510</v>
      </c>
      <c r="B4511">
        <v>3266</v>
      </c>
      <c r="C4511">
        <f>1/COUNTIF(B:B,Table1[[#This Row],[order_id]])</f>
        <v>0.33333333333333331</v>
      </c>
      <c r="D4511" t="str">
        <f>TEXT(Table1[[#This Row],[order_date]],"mmmm")</f>
        <v>December</v>
      </c>
      <c r="E4511" s="1">
        <v>45639</v>
      </c>
      <c r="F4511" s="1" t="str">
        <f>TEXT(Table1[[#This Row],[order_date]],"dddd")</f>
        <v>Friday</v>
      </c>
      <c r="G4511">
        <f>HOUR(Table1[[#This Row],[order_time]])</f>
        <v>17</v>
      </c>
      <c r="H4511" s="2">
        <v>0.7169444444444445</v>
      </c>
      <c r="I4511" t="s">
        <v>9</v>
      </c>
      <c r="J4511" t="s">
        <v>20</v>
      </c>
      <c r="K4511">
        <v>4</v>
      </c>
      <c r="L4511">
        <v>25</v>
      </c>
      <c r="M4511">
        <v>100</v>
      </c>
      <c r="N4511">
        <f>IF(COUNTIFS($B$2:B4511,B4511)=1,1,0)</f>
        <v>0</v>
      </c>
    </row>
    <row r="4512" spans="1:14" x14ac:dyDescent="0.2">
      <c r="A4512">
        <v>4511</v>
      </c>
      <c r="B4512">
        <v>3267</v>
      </c>
      <c r="C4512">
        <f>1/COUNTIF(B:B,Table1[[#This Row],[order_id]])</f>
        <v>0.5</v>
      </c>
      <c r="D4512" t="str">
        <f>TEXT(Table1[[#This Row],[order_date]],"mmmm")</f>
        <v>December</v>
      </c>
      <c r="E4512" s="1">
        <v>45639</v>
      </c>
      <c r="F4512" s="1" t="str">
        <f>TEXT(Table1[[#This Row],[order_date]],"dddd")</f>
        <v>Friday</v>
      </c>
      <c r="G4512">
        <f>HOUR(Table1[[#This Row],[order_time]])</f>
        <v>18</v>
      </c>
      <c r="H4512" s="2">
        <v>0.76913194444444444</v>
      </c>
      <c r="I4512" t="s">
        <v>16</v>
      </c>
      <c r="J4512" t="s">
        <v>23</v>
      </c>
      <c r="K4512">
        <v>4</v>
      </c>
      <c r="L4512">
        <v>30</v>
      </c>
      <c r="M4512">
        <v>120</v>
      </c>
      <c r="N4512">
        <f>IF(COUNTIFS($B$2:B4512,B4512)=1,1,0)</f>
        <v>1</v>
      </c>
    </row>
    <row r="4513" spans="1:14" x14ac:dyDescent="0.2">
      <c r="A4513">
        <v>4512</v>
      </c>
      <c r="B4513">
        <v>3267</v>
      </c>
      <c r="C4513">
        <f>1/COUNTIF(B:B,Table1[[#This Row],[order_id]])</f>
        <v>0.5</v>
      </c>
      <c r="D4513" t="str">
        <f>TEXT(Table1[[#This Row],[order_date]],"mmmm")</f>
        <v>December</v>
      </c>
      <c r="E4513" s="1">
        <v>45639</v>
      </c>
      <c r="F4513" s="1" t="str">
        <f>TEXT(Table1[[#This Row],[order_date]],"dddd")</f>
        <v>Friday</v>
      </c>
      <c r="G4513">
        <f>HOUR(Table1[[#This Row],[order_time]])</f>
        <v>15</v>
      </c>
      <c r="H4513" s="2">
        <v>0.63593750000000004</v>
      </c>
      <c r="I4513" t="s">
        <v>16</v>
      </c>
      <c r="J4513" t="s">
        <v>28</v>
      </c>
      <c r="K4513">
        <v>5</v>
      </c>
      <c r="L4513">
        <v>25</v>
      </c>
      <c r="M4513">
        <v>125</v>
      </c>
      <c r="N4513">
        <f>IF(COUNTIFS($B$2:B4513,B4513)=1,1,0)</f>
        <v>0</v>
      </c>
    </row>
    <row r="4514" spans="1:14" x14ac:dyDescent="0.2">
      <c r="A4514">
        <v>4513</v>
      </c>
      <c r="B4514">
        <v>3268</v>
      </c>
      <c r="C4514">
        <f>1/COUNTIF(B:B,Table1[[#This Row],[order_id]])</f>
        <v>1</v>
      </c>
      <c r="D4514" t="str">
        <f>TEXT(Table1[[#This Row],[order_date]],"mmmm")</f>
        <v>December</v>
      </c>
      <c r="E4514" s="1">
        <v>45639</v>
      </c>
      <c r="F4514" s="1" t="str">
        <f>TEXT(Table1[[#This Row],[order_date]],"dddd")</f>
        <v>Friday</v>
      </c>
      <c r="G4514">
        <f>HOUR(Table1[[#This Row],[order_time]])</f>
        <v>19</v>
      </c>
      <c r="H4514" s="2">
        <v>0.8193287037037037</v>
      </c>
      <c r="I4514" t="s">
        <v>18</v>
      </c>
      <c r="J4514" t="s">
        <v>30</v>
      </c>
      <c r="K4514">
        <v>2</v>
      </c>
      <c r="L4514">
        <v>60</v>
      </c>
      <c r="M4514">
        <v>120</v>
      </c>
      <c r="N4514">
        <f>IF(COUNTIFS($B$2:B4514,B4514)=1,1,0)</f>
        <v>1</v>
      </c>
    </row>
    <row r="4515" spans="1:14" x14ac:dyDescent="0.2">
      <c r="A4515">
        <v>4514</v>
      </c>
      <c r="B4515">
        <v>3269</v>
      </c>
      <c r="C4515">
        <f>1/COUNTIF(B:B,Table1[[#This Row],[order_id]])</f>
        <v>1</v>
      </c>
      <c r="D4515" t="str">
        <f>TEXT(Table1[[#This Row],[order_date]],"mmmm")</f>
        <v>December</v>
      </c>
      <c r="E4515" s="1">
        <v>45639</v>
      </c>
      <c r="F4515" s="1" t="str">
        <f>TEXT(Table1[[#This Row],[order_date]],"dddd")</f>
        <v>Friday</v>
      </c>
      <c r="G4515">
        <f>HOUR(Table1[[#This Row],[order_time]])</f>
        <v>12</v>
      </c>
      <c r="H4515" s="2">
        <v>0.50305555555555559</v>
      </c>
      <c r="I4515" t="s">
        <v>9</v>
      </c>
      <c r="J4515" t="s">
        <v>10</v>
      </c>
      <c r="K4515">
        <v>3</v>
      </c>
      <c r="L4515">
        <v>20</v>
      </c>
      <c r="M4515">
        <v>60</v>
      </c>
      <c r="N4515">
        <f>IF(COUNTIFS($B$2:B4515,B4515)=1,1,0)</f>
        <v>1</v>
      </c>
    </row>
    <row r="4516" spans="1:14" x14ac:dyDescent="0.2">
      <c r="A4516">
        <v>4515</v>
      </c>
      <c r="B4516">
        <v>3270</v>
      </c>
      <c r="C4516">
        <f>1/COUNTIF(B:B,Table1[[#This Row],[order_id]])</f>
        <v>0.33333333333333331</v>
      </c>
      <c r="D4516" t="str">
        <f>TEXT(Table1[[#This Row],[order_date]],"mmmm")</f>
        <v>December</v>
      </c>
      <c r="E4516" s="1">
        <v>45639</v>
      </c>
      <c r="F4516" s="1" t="str">
        <f>TEXT(Table1[[#This Row],[order_date]],"dddd")</f>
        <v>Friday</v>
      </c>
      <c r="G4516">
        <f>HOUR(Table1[[#This Row],[order_time]])</f>
        <v>9</v>
      </c>
      <c r="H4516" s="2">
        <v>0.38673611111111111</v>
      </c>
      <c r="I4516" t="s">
        <v>16</v>
      </c>
      <c r="J4516" t="s">
        <v>23</v>
      </c>
      <c r="K4516">
        <v>3</v>
      </c>
      <c r="L4516">
        <v>30</v>
      </c>
      <c r="M4516">
        <v>90</v>
      </c>
      <c r="N4516">
        <f>IF(COUNTIFS($B$2:B4516,B4516)=1,1,0)</f>
        <v>1</v>
      </c>
    </row>
    <row r="4517" spans="1:14" x14ac:dyDescent="0.2">
      <c r="A4517">
        <v>4516</v>
      </c>
      <c r="B4517">
        <v>3270</v>
      </c>
      <c r="C4517">
        <f>1/COUNTIF(B:B,Table1[[#This Row],[order_id]])</f>
        <v>0.33333333333333331</v>
      </c>
      <c r="D4517" t="str">
        <f>TEXT(Table1[[#This Row],[order_date]],"mmmm")</f>
        <v>December</v>
      </c>
      <c r="E4517" s="1">
        <v>45639</v>
      </c>
      <c r="F4517" s="1" t="str">
        <f>TEXT(Table1[[#This Row],[order_date]],"dddd")</f>
        <v>Friday</v>
      </c>
      <c r="G4517">
        <f>HOUR(Table1[[#This Row],[order_time]])</f>
        <v>13</v>
      </c>
      <c r="H4517" s="2">
        <v>0.54438657407407409</v>
      </c>
      <c r="I4517" t="s">
        <v>18</v>
      </c>
      <c r="J4517" t="s">
        <v>19</v>
      </c>
      <c r="K4517">
        <v>2</v>
      </c>
      <c r="L4517">
        <v>50</v>
      </c>
      <c r="M4517">
        <v>100</v>
      </c>
      <c r="N4517">
        <f>IF(COUNTIFS($B$2:B4517,B4517)=1,1,0)</f>
        <v>0</v>
      </c>
    </row>
    <row r="4518" spans="1:14" x14ac:dyDescent="0.2">
      <c r="A4518">
        <v>4517</v>
      </c>
      <c r="B4518">
        <v>3270</v>
      </c>
      <c r="C4518">
        <f>1/COUNTIF(B:B,Table1[[#This Row],[order_id]])</f>
        <v>0.33333333333333331</v>
      </c>
      <c r="D4518" t="str">
        <f>TEXT(Table1[[#This Row],[order_date]],"mmmm")</f>
        <v>December</v>
      </c>
      <c r="E4518" s="1">
        <v>45639</v>
      </c>
      <c r="F4518" s="1" t="str">
        <f>TEXT(Table1[[#This Row],[order_date]],"dddd")</f>
        <v>Friday</v>
      </c>
      <c r="G4518">
        <f>HOUR(Table1[[#This Row],[order_time]])</f>
        <v>9</v>
      </c>
      <c r="H4518" s="2">
        <v>0.40967592592592594</v>
      </c>
      <c r="I4518" t="s">
        <v>16</v>
      </c>
      <c r="J4518" t="s">
        <v>24</v>
      </c>
      <c r="K4518">
        <v>4</v>
      </c>
      <c r="L4518">
        <v>35</v>
      </c>
      <c r="M4518">
        <v>140</v>
      </c>
      <c r="N4518">
        <f>IF(COUNTIFS($B$2:B4518,B4518)=1,1,0)</f>
        <v>0</v>
      </c>
    </row>
    <row r="4519" spans="1:14" x14ac:dyDescent="0.2">
      <c r="A4519">
        <v>4518</v>
      </c>
      <c r="B4519">
        <v>3271</v>
      </c>
      <c r="C4519">
        <f>1/COUNTIF(B:B,Table1[[#This Row],[order_id]])</f>
        <v>0.5</v>
      </c>
      <c r="D4519" t="str">
        <f>TEXT(Table1[[#This Row],[order_date]],"mmmm")</f>
        <v>December</v>
      </c>
      <c r="E4519" s="1">
        <v>45639</v>
      </c>
      <c r="F4519" s="1" t="str">
        <f>TEXT(Table1[[#This Row],[order_date]],"dddd")</f>
        <v>Friday</v>
      </c>
      <c r="G4519">
        <f>HOUR(Table1[[#This Row],[order_time]])</f>
        <v>13</v>
      </c>
      <c r="H4519" s="2">
        <v>0.55844907407407407</v>
      </c>
      <c r="I4519" t="s">
        <v>11</v>
      </c>
      <c r="J4519" t="s">
        <v>15</v>
      </c>
      <c r="K4519">
        <v>4</v>
      </c>
      <c r="L4519">
        <v>600</v>
      </c>
      <c r="M4519">
        <v>2400</v>
      </c>
      <c r="N4519">
        <f>IF(COUNTIFS($B$2:B4519,B4519)=1,1,0)</f>
        <v>1</v>
      </c>
    </row>
    <row r="4520" spans="1:14" x14ac:dyDescent="0.2">
      <c r="A4520">
        <v>4519</v>
      </c>
      <c r="B4520">
        <v>3271</v>
      </c>
      <c r="C4520">
        <f>1/COUNTIF(B:B,Table1[[#This Row],[order_id]])</f>
        <v>0.5</v>
      </c>
      <c r="D4520" t="str">
        <f>TEXT(Table1[[#This Row],[order_date]],"mmmm")</f>
        <v>December</v>
      </c>
      <c r="E4520" s="1">
        <v>45639</v>
      </c>
      <c r="F4520" s="1" t="str">
        <f>TEXT(Table1[[#This Row],[order_date]],"dddd")</f>
        <v>Friday</v>
      </c>
      <c r="G4520">
        <f>HOUR(Table1[[#This Row],[order_time]])</f>
        <v>12</v>
      </c>
      <c r="H4520" s="2">
        <v>0.5229166666666667</v>
      </c>
      <c r="I4520" t="s">
        <v>16</v>
      </c>
      <c r="J4520" t="s">
        <v>24</v>
      </c>
      <c r="K4520">
        <v>4</v>
      </c>
      <c r="L4520">
        <v>35</v>
      </c>
      <c r="M4520">
        <v>140</v>
      </c>
      <c r="N4520">
        <f>IF(COUNTIFS($B$2:B4520,B4520)=1,1,0)</f>
        <v>0</v>
      </c>
    </row>
    <row r="4521" spans="1:14" x14ac:dyDescent="0.2">
      <c r="A4521">
        <v>4520</v>
      </c>
      <c r="B4521">
        <v>3272</v>
      </c>
      <c r="C4521">
        <f>1/COUNTIF(B:B,Table1[[#This Row],[order_id]])</f>
        <v>1</v>
      </c>
      <c r="D4521" t="str">
        <f>TEXT(Table1[[#This Row],[order_date]],"mmmm")</f>
        <v>December</v>
      </c>
      <c r="E4521" s="1">
        <v>45640</v>
      </c>
      <c r="F4521" s="1" t="str">
        <f>TEXT(Table1[[#This Row],[order_date]],"dddd")</f>
        <v>Saturday</v>
      </c>
      <c r="G4521">
        <f>HOUR(Table1[[#This Row],[order_time]])</f>
        <v>16</v>
      </c>
      <c r="H4521" s="2">
        <v>0.6830208333333333</v>
      </c>
      <c r="I4521" t="s">
        <v>18</v>
      </c>
      <c r="J4521" t="s">
        <v>26</v>
      </c>
      <c r="K4521">
        <v>2</v>
      </c>
      <c r="L4521">
        <v>55</v>
      </c>
      <c r="M4521">
        <v>110</v>
      </c>
      <c r="N4521">
        <f>IF(COUNTIFS($B$2:B4521,B4521)=1,1,0)</f>
        <v>1</v>
      </c>
    </row>
    <row r="4522" spans="1:14" x14ac:dyDescent="0.2">
      <c r="A4522">
        <v>4521</v>
      </c>
      <c r="B4522">
        <v>3273</v>
      </c>
      <c r="C4522">
        <f>1/COUNTIF(B:B,Table1[[#This Row],[order_id]])</f>
        <v>0.33333333333333331</v>
      </c>
      <c r="D4522" t="str">
        <f>TEXT(Table1[[#This Row],[order_date]],"mmmm")</f>
        <v>December</v>
      </c>
      <c r="E4522" s="1">
        <v>45640</v>
      </c>
      <c r="F4522" s="1" t="str">
        <f>TEXT(Table1[[#This Row],[order_date]],"dddd")</f>
        <v>Saturday</v>
      </c>
      <c r="G4522">
        <f>HOUR(Table1[[#This Row],[order_time]])</f>
        <v>16</v>
      </c>
      <c r="H4522" s="2">
        <v>0.68365740740740744</v>
      </c>
      <c r="I4522" t="s">
        <v>16</v>
      </c>
      <c r="J4522" t="s">
        <v>23</v>
      </c>
      <c r="K4522">
        <v>4</v>
      </c>
      <c r="L4522">
        <v>30</v>
      </c>
      <c r="M4522">
        <v>120</v>
      </c>
      <c r="N4522">
        <f>IF(COUNTIFS($B$2:B4522,B4522)=1,1,0)</f>
        <v>1</v>
      </c>
    </row>
    <row r="4523" spans="1:14" x14ac:dyDescent="0.2">
      <c r="A4523">
        <v>4522</v>
      </c>
      <c r="B4523">
        <v>3273</v>
      </c>
      <c r="C4523">
        <f>1/COUNTIF(B:B,Table1[[#This Row],[order_id]])</f>
        <v>0.33333333333333331</v>
      </c>
      <c r="D4523" t="str">
        <f>TEXT(Table1[[#This Row],[order_date]],"mmmm")</f>
        <v>December</v>
      </c>
      <c r="E4523" s="1">
        <v>45640</v>
      </c>
      <c r="F4523" s="1" t="str">
        <f>TEXT(Table1[[#This Row],[order_date]],"dddd")</f>
        <v>Saturday</v>
      </c>
      <c r="G4523">
        <f>HOUR(Table1[[#This Row],[order_time]])</f>
        <v>12</v>
      </c>
      <c r="H4523" s="2">
        <v>0.50501157407407404</v>
      </c>
      <c r="I4523" t="s">
        <v>16</v>
      </c>
      <c r="J4523" t="s">
        <v>17</v>
      </c>
      <c r="K4523">
        <v>5</v>
      </c>
      <c r="L4523">
        <v>20</v>
      </c>
      <c r="M4523">
        <v>100</v>
      </c>
      <c r="N4523">
        <f>IF(COUNTIFS($B$2:B4523,B4523)=1,1,0)</f>
        <v>0</v>
      </c>
    </row>
    <row r="4524" spans="1:14" x14ac:dyDescent="0.2">
      <c r="A4524">
        <v>4523</v>
      </c>
      <c r="B4524">
        <v>3273</v>
      </c>
      <c r="C4524">
        <f>1/COUNTIF(B:B,Table1[[#This Row],[order_id]])</f>
        <v>0.33333333333333331</v>
      </c>
      <c r="D4524" t="str">
        <f>TEXT(Table1[[#This Row],[order_date]],"mmmm")</f>
        <v>December</v>
      </c>
      <c r="E4524" s="1">
        <v>45640</v>
      </c>
      <c r="F4524" s="1" t="str">
        <f>TEXT(Table1[[#This Row],[order_date]],"dddd")</f>
        <v>Saturday</v>
      </c>
      <c r="G4524">
        <f>HOUR(Table1[[#This Row],[order_time]])</f>
        <v>16</v>
      </c>
      <c r="H4524" s="2">
        <v>0.68915509259259256</v>
      </c>
      <c r="I4524" t="s">
        <v>9</v>
      </c>
      <c r="J4524" t="s">
        <v>22</v>
      </c>
      <c r="K4524">
        <v>5</v>
      </c>
      <c r="L4524">
        <v>15</v>
      </c>
      <c r="M4524">
        <v>75</v>
      </c>
      <c r="N4524">
        <f>IF(COUNTIFS($B$2:B4524,B4524)=1,1,0)</f>
        <v>0</v>
      </c>
    </row>
    <row r="4525" spans="1:14" x14ac:dyDescent="0.2">
      <c r="A4525">
        <v>4524</v>
      </c>
      <c r="B4525">
        <v>3274</v>
      </c>
      <c r="C4525">
        <f>1/COUNTIF(B:B,Table1[[#This Row],[order_id]])</f>
        <v>0.5</v>
      </c>
      <c r="D4525" t="str">
        <f>TEXT(Table1[[#This Row],[order_date]],"mmmm")</f>
        <v>December</v>
      </c>
      <c r="E4525" s="1">
        <v>45640</v>
      </c>
      <c r="F4525" s="1" t="str">
        <f>TEXT(Table1[[#This Row],[order_date]],"dddd")</f>
        <v>Saturday</v>
      </c>
      <c r="G4525">
        <f>HOUR(Table1[[#This Row],[order_time]])</f>
        <v>13</v>
      </c>
      <c r="H4525" s="2">
        <v>0.5650694444444444</v>
      </c>
      <c r="I4525" t="s">
        <v>18</v>
      </c>
      <c r="J4525" t="s">
        <v>31</v>
      </c>
      <c r="K4525">
        <v>4</v>
      </c>
      <c r="L4525">
        <v>45</v>
      </c>
      <c r="M4525">
        <v>180</v>
      </c>
      <c r="N4525">
        <f>IF(COUNTIFS($B$2:B4525,B4525)=1,1,0)</f>
        <v>1</v>
      </c>
    </row>
    <row r="4526" spans="1:14" x14ac:dyDescent="0.2">
      <c r="A4526">
        <v>4525</v>
      </c>
      <c r="B4526">
        <v>3274</v>
      </c>
      <c r="C4526">
        <f>1/COUNTIF(B:B,Table1[[#This Row],[order_id]])</f>
        <v>0.5</v>
      </c>
      <c r="D4526" t="str">
        <f>TEXT(Table1[[#This Row],[order_date]],"mmmm")</f>
        <v>December</v>
      </c>
      <c r="E4526" s="1">
        <v>45640</v>
      </c>
      <c r="F4526" s="1" t="str">
        <f>TEXT(Table1[[#This Row],[order_date]],"dddd")</f>
        <v>Saturday</v>
      </c>
      <c r="G4526">
        <f>HOUR(Table1[[#This Row],[order_time]])</f>
        <v>17</v>
      </c>
      <c r="H4526" s="2">
        <v>0.74356481481481485</v>
      </c>
      <c r="I4526" t="s">
        <v>18</v>
      </c>
      <c r="J4526" t="s">
        <v>31</v>
      </c>
      <c r="K4526">
        <v>5</v>
      </c>
      <c r="L4526">
        <v>45</v>
      </c>
      <c r="M4526">
        <v>225</v>
      </c>
      <c r="N4526">
        <f>IF(COUNTIFS($B$2:B4526,B4526)=1,1,0)</f>
        <v>0</v>
      </c>
    </row>
    <row r="4527" spans="1:14" x14ac:dyDescent="0.2">
      <c r="A4527">
        <v>4526</v>
      </c>
      <c r="B4527">
        <v>3275</v>
      </c>
      <c r="C4527">
        <f>1/COUNTIF(B:B,Table1[[#This Row],[order_id]])</f>
        <v>1</v>
      </c>
      <c r="D4527" t="str">
        <f>TEXT(Table1[[#This Row],[order_date]],"mmmm")</f>
        <v>December</v>
      </c>
      <c r="E4527" s="1">
        <v>45641</v>
      </c>
      <c r="F4527" s="1" t="str">
        <f>TEXT(Table1[[#This Row],[order_date]],"dddd")</f>
        <v>Sunday</v>
      </c>
      <c r="G4527">
        <f>HOUR(Table1[[#This Row],[order_time]])</f>
        <v>14</v>
      </c>
      <c r="H4527" s="2">
        <v>0.59741898148148154</v>
      </c>
      <c r="I4527" t="s">
        <v>9</v>
      </c>
      <c r="J4527" t="s">
        <v>22</v>
      </c>
      <c r="K4527">
        <v>5</v>
      </c>
      <c r="L4527">
        <v>15</v>
      </c>
      <c r="M4527">
        <v>75</v>
      </c>
      <c r="N4527">
        <f>IF(COUNTIFS($B$2:B4527,B4527)=1,1,0)</f>
        <v>1</v>
      </c>
    </row>
    <row r="4528" spans="1:14" x14ac:dyDescent="0.2">
      <c r="A4528">
        <v>4527</v>
      </c>
      <c r="B4528">
        <v>3276</v>
      </c>
      <c r="C4528">
        <f>1/COUNTIF(B:B,Table1[[#This Row],[order_id]])</f>
        <v>1</v>
      </c>
      <c r="D4528" t="str">
        <f>TEXT(Table1[[#This Row],[order_date]],"mmmm")</f>
        <v>December</v>
      </c>
      <c r="E4528" s="1">
        <v>45641</v>
      </c>
      <c r="F4528" s="1" t="str">
        <f>TEXT(Table1[[#This Row],[order_date]],"dddd")</f>
        <v>Sunday</v>
      </c>
      <c r="G4528">
        <f>HOUR(Table1[[#This Row],[order_time]])</f>
        <v>13</v>
      </c>
      <c r="H4528" s="2">
        <v>0.58104166666666668</v>
      </c>
      <c r="I4528" t="s">
        <v>11</v>
      </c>
      <c r="J4528" t="s">
        <v>15</v>
      </c>
      <c r="K4528">
        <v>3</v>
      </c>
      <c r="L4528">
        <v>600</v>
      </c>
      <c r="M4528">
        <v>1800</v>
      </c>
      <c r="N4528">
        <f>IF(COUNTIFS($B$2:B4528,B4528)=1,1,0)</f>
        <v>1</v>
      </c>
    </row>
    <row r="4529" spans="1:14" x14ac:dyDescent="0.2">
      <c r="A4529">
        <v>4528</v>
      </c>
      <c r="B4529">
        <v>3277</v>
      </c>
      <c r="C4529">
        <f>1/COUNTIF(B:B,Table1[[#This Row],[order_id]])</f>
        <v>0.33333333333333331</v>
      </c>
      <c r="D4529" t="str">
        <f>TEXT(Table1[[#This Row],[order_date]],"mmmm")</f>
        <v>December</v>
      </c>
      <c r="E4529" s="1">
        <v>45641</v>
      </c>
      <c r="F4529" s="1" t="str">
        <f>TEXT(Table1[[#This Row],[order_date]],"dddd")</f>
        <v>Sunday</v>
      </c>
      <c r="G4529">
        <f>HOUR(Table1[[#This Row],[order_time]])</f>
        <v>14</v>
      </c>
      <c r="H4529" s="2">
        <v>0.59982638888888884</v>
      </c>
      <c r="I4529" t="s">
        <v>9</v>
      </c>
      <c r="J4529" t="s">
        <v>20</v>
      </c>
      <c r="K4529">
        <v>2</v>
      </c>
      <c r="L4529">
        <v>25</v>
      </c>
      <c r="M4529">
        <v>50</v>
      </c>
      <c r="N4529">
        <f>IF(COUNTIFS($B$2:B4529,B4529)=1,1,0)</f>
        <v>1</v>
      </c>
    </row>
    <row r="4530" spans="1:14" x14ac:dyDescent="0.2">
      <c r="A4530">
        <v>4529</v>
      </c>
      <c r="B4530">
        <v>3277</v>
      </c>
      <c r="C4530">
        <f>1/COUNTIF(B:B,Table1[[#This Row],[order_id]])</f>
        <v>0.33333333333333331</v>
      </c>
      <c r="D4530" t="str">
        <f>TEXT(Table1[[#This Row],[order_date]],"mmmm")</f>
        <v>December</v>
      </c>
      <c r="E4530" s="1">
        <v>45641</v>
      </c>
      <c r="F4530" s="1" t="str">
        <f>TEXT(Table1[[#This Row],[order_date]],"dddd")</f>
        <v>Sunday</v>
      </c>
      <c r="G4530">
        <f>HOUR(Table1[[#This Row],[order_time]])</f>
        <v>16</v>
      </c>
      <c r="H4530" s="2">
        <v>0.70398148148148143</v>
      </c>
      <c r="I4530" t="s">
        <v>9</v>
      </c>
      <c r="J4530" t="s">
        <v>21</v>
      </c>
      <c r="K4530">
        <v>1</v>
      </c>
      <c r="L4530">
        <v>10</v>
      </c>
      <c r="M4530">
        <v>10</v>
      </c>
      <c r="N4530">
        <f>IF(COUNTIFS($B$2:B4530,B4530)=1,1,0)</f>
        <v>0</v>
      </c>
    </row>
    <row r="4531" spans="1:14" x14ac:dyDescent="0.2">
      <c r="A4531">
        <v>4530</v>
      </c>
      <c r="B4531">
        <v>3277</v>
      </c>
      <c r="C4531">
        <f>1/COUNTIF(B:B,Table1[[#This Row],[order_id]])</f>
        <v>0.33333333333333331</v>
      </c>
      <c r="D4531" t="str">
        <f>TEXT(Table1[[#This Row],[order_date]],"mmmm")</f>
        <v>December</v>
      </c>
      <c r="E4531" s="1">
        <v>45641</v>
      </c>
      <c r="F4531" s="1" t="str">
        <f>TEXT(Table1[[#This Row],[order_date]],"dddd")</f>
        <v>Sunday</v>
      </c>
      <c r="G4531">
        <f>HOUR(Table1[[#This Row],[order_time]])</f>
        <v>19</v>
      </c>
      <c r="H4531" s="2">
        <v>0.79847222222222225</v>
      </c>
      <c r="I4531" t="s">
        <v>16</v>
      </c>
      <c r="J4531" t="s">
        <v>24</v>
      </c>
      <c r="K4531">
        <v>4</v>
      </c>
      <c r="L4531">
        <v>35</v>
      </c>
      <c r="M4531">
        <v>140</v>
      </c>
      <c r="N4531">
        <f>IF(COUNTIFS($B$2:B4531,B4531)=1,1,0)</f>
        <v>0</v>
      </c>
    </row>
    <row r="4532" spans="1:14" x14ac:dyDescent="0.2">
      <c r="A4532">
        <v>4531</v>
      </c>
      <c r="B4532">
        <v>3278</v>
      </c>
      <c r="C4532">
        <f>1/COUNTIF(B:B,Table1[[#This Row],[order_id]])</f>
        <v>0.33333333333333331</v>
      </c>
      <c r="D4532" t="str">
        <f>TEXT(Table1[[#This Row],[order_date]],"mmmm")</f>
        <v>December</v>
      </c>
      <c r="E4532" s="1">
        <v>45641</v>
      </c>
      <c r="F4532" s="1" t="str">
        <f>TEXT(Table1[[#This Row],[order_date]],"dddd")</f>
        <v>Sunday</v>
      </c>
      <c r="G4532">
        <f>HOUR(Table1[[#This Row],[order_time]])</f>
        <v>9</v>
      </c>
      <c r="H4532" s="2">
        <v>0.39104166666666668</v>
      </c>
      <c r="I4532" t="s">
        <v>16</v>
      </c>
      <c r="J4532" t="s">
        <v>28</v>
      </c>
      <c r="K4532">
        <v>4</v>
      </c>
      <c r="L4532">
        <v>25</v>
      </c>
      <c r="M4532">
        <v>100</v>
      </c>
      <c r="N4532">
        <f>IF(COUNTIFS($B$2:B4532,B4532)=1,1,0)</f>
        <v>1</v>
      </c>
    </row>
    <row r="4533" spans="1:14" x14ac:dyDescent="0.2">
      <c r="A4533">
        <v>4532</v>
      </c>
      <c r="B4533">
        <v>3278</v>
      </c>
      <c r="C4533">
        <f>1/COUNTIF(B:B,Table1[[#This Row],[order_id]])</f>
        <v>0.33333333333333331</v>
      </c>
      <c r="D4533" t="str">
        <f>TEXT(Table1[[#This Row],[order_date]],"mmmm")</f>
        <v>December</v>
      </c>
      <c r="E4533" s="1">
        <v>45641</v>
      </c>
      <c r="F4533" s="1" t="str">
        <f>TEXT(Table1[[#This Row],[order_date]],"dddd")</f>
        <v>Sunday</v>
      </c>
      <c r="G4533">
        <f>HOUR(Table1[[#This Row],[order_time]])</f>
        <v>14</v>
      </c>
      <c r="H4533" s="2">
        <v>0.59261574074074075</v>
      </c>
      <c r="I4533" t="s">
        <v>9</v>
      </c>
      <c r="J4533" t="s">
        <v>29</v>
      </c>
      <c r="K4533">
        <v>2</v>
      </c>
      <c r="L4533">
        <v>5</v>
      </c>
      <c r="M4533">
        <v>10</v>
      </c>
      <c r="N4533">
        <f>IF(COUNTIFS($B$2:B4533,B4533)=1,1,0)</f>
        <v>0</v>
      </c>
    </row>
    <row r="4534" spans="1:14" x14ac:dyDescent="0.2">
      <c r="A4534">
        <v>4533</v>
      </c>
      <c r="B4534">
        <v>3278</v>
      </c>
      <c r="C4534">
        <f>1/COUNTIF(B:B,Table1[[#This Row],[order_id]])</f>
        <v>0.33333333333333331</v>
      </c>
      <c r="D4534" t="str">
        <f>TEXT(Table1[[#This Row],[order_date]],"mmmm")</f>
        <v>December</v>
      </c>
      <c r="E4534" s="1">
        <v>45641</v>
      </c>
      <c r="F4534" s="1" t="str">
        <f>TEXT(Table1[[#This Row],[order_date]],"dddd")</f>
        <v>Sunday</v>
      </c>
      <c r="G4534">
        <f>HOUR(Table1[[#This Row],[order_time]])</f>
        <v>14</v>
      </c>
      <c r="H4534" s="2">
        <v>0.58912037037037035</v>
      </c>
      <c r="I4534" t="s">
        <v>18</v>
      </c>
      <c r="J4534" t="s">
        <v>31</v>
      </c>
      <c r="K4534">
        <v>5</v>
      </c>
      <c r="L4534">
        <v>45</v>
      </c>
      <c r="M4534">
        <v>225</v>
      </c>
      <c r="N4534">
        <f>IF(COUNTIFS($B$2:B4534,B4534)=1,1,0)</f>
        <v>0</v>
      </c>
    </row>
    <row r="4535" spans="1:14" x14ac:dyDescent="0.2">
      <c r="A4535">
        <v>4534</v>
      </c>
      <c r="B4535">
        <v>3279</v>
      </c>
      <c r="C4535">
        <f>1/COUNTIF(B:B,Table1[[#This Row],[order_id]])</f>
        <v>0.33333333333333331</v>
      </c>
      <c r="D4535" t="str">
        <f>TEXT(Table1[[#This Row],[order_date]],"mmmm")</f>
        <v>December</v>
      </c>
      <c r="E4535" s="1">
        <v>45641</v>
      </c>
      <c r="F4535" s="1" t="str">
        <f>TEXT(Table1[[#This Row],[order_date]],"dddd")</f>
        <v>Sunday</v>
      </c>
      <c r="G4535">
        <f>HOUR(Table1[[#This Row],[order_time]])</f>
        <v>18</v>
      </c>
      <c r="H4535" s="2">
        <v>0.76888888888888884</v>
      </c>
      <c r="I4535" t="s">
        <v>9</v>
      </c>
      <c r="J4535" t="s">
        <v>29</v>
      </c>
      <c r="K4535">
        <v>1</v>
      </c>
      <c r="L4535">
        <v>5</v>
      </c>
      <c r="M4535">
        <v>5</v>
      </c>
      <c r="N4535">
        <f>IF(COUNTIFS($B$2:B4535,B4535)=1,1,0)</f>
        <v>1</v>
      </c>
    </row>
    <row r="4536" spans="1:14" x14ac:dyDescent="0.2">
      <c r="A4536">
        <v>4535</v>
      </c>
      <c r="B4536">
        <v>3279</v>
      </c>
      <c r="C4536">
        <f>1/COUNTIF(B:B,Table1[[#This Row],[order_id]])</f>
        <v>0.33333333333333331</v>
      </c>
      <c r="D4536" t="str">
        <f>TEXT(Table1[[#This Row],[order_date]],"mmmm")</f>
        <v>December</v>
      </c>
      <c r="E4536" s="1">
        <v>45641</v>
      </c>
      <c r="F4536" s="1" t="str">
        <f>TEXT(Table1[[#This Row],[order_date]],"dddd")</f>
        <v>Sunday</v>
      </c>
      <c r="G4536">
        <f>HOUR(Table1[[#This Row],[order_time]])</f>
        <v>9</v>
      </c>
      <c r="H4536" s="2">
        <v>0.40039351851851851</v>
      </c>
      <c r="I4536" t="s">
        <v>9</v>
      </c>
      <c r="J4536" t="s">
        <v>21</v>
      </c>
      <c r="K4536">
        <v>1</v>
      </c>
      <c r="L4536">
        <v>10</v>
      </c>
      <c r="M4536">
        <v>10</v>
      </c>
      <c r="N4536">
        <f>IF(COUNTIFS($B$2:B4536,B4536)=1,1,0)</f>
        <v>0</v>
      </c>
    </row>
    <row r="4537" spans="1:14" x14ac:dyDescent="0.2">
      <c r="A4537">
        <v>4536</v>
      </c>
      <c r="B4537">
        <v>3279</v>
      </c>
      <c r="C4537">
        <f>1/COUNTIF(B:B,Table1[[#This Row],[order_id]])</f>
        <v>0.33333333333333331</v>
      </c>
      <c r="D4537" t="str">
        <f>TEXT(Table1[[#This Row],[order_date]],"mmmm")</f>
        <v>December</v>
      </c>
      <c r="E4537" s="1">
        <v>45641</v>
      </c>
      <c r="F4537" s="1" t="str">
        <f>TEXT(Table1[[#This Row],[order_date]],"dddd")</f>
        <v>Sunday</v>
      </c>
      <c r="G4537">
        <f>HOUR(Table1[[#This Row],[order_time]])</f>
        <v>20</v>
      </c>
      <c r="H4537" s="2">
        <v>0.83679398148148143</v>
      </c>
      <c r="I4537" t="s">
        <v>16</v>
      </c>
      <c r="J4537" t="s">
        <v>28</v>
      </c>
      <c r="K4537">
        <v>2</v>
      </c>
      <c r="L4537">
        <v>25</v>
      </c>
      <c r="M4537">
        <v>50</v>
      </c>
      <c r="N4537">
        <f>IF(COUNTIFS($B$2:B4537,B4537)=1,1,0)</f>
        <v>0</v>
      </c>
    </row>
    <row r="4538" spans="1:14" x14ac:dyDescent="0.2">
      <c r="A4538">
        <v>4537</v>
      </c>
      <c r="B4538">
        <v>3280</v>
      </c>
      <c r="C4538">
        <f>1/COUNTIF(B:B,Table1[[#This Row],[order_id]])</f>
        <v>0.5</v>
      </c>
      <c r="D4538" t="str">
        <f>TEXT(Table1[[#This Row],[order_date]],"mmmm")</f>
        <v>December</v>
      </c>
      <c r="E4538" s="1">
        <v>45641</v>
      </c>
      <c r="F4538" s="1" t="str">
        <f>TEXT(Table1[[#This Row],[order_date]],"dddd")</f>
        <v>Sunday</v>
      </c>
      <c r="G4538">
        <f>HOUR(Table1[[#This Row],[order_time]])</f>
        <v>12</v>
      </c>
      <c r="H4538" s="2">
        <v>0.51959490740740744</v>
      </c>
      <c r="I4538" t="s">
        <v>16</v>
      </c>
      <c r="J4538" t="s">
        <v>17</v>
      </c>
      <c r="K4538">
        <v>5</v>
      </c>
      <c r="L4538">
        <v>20</v>
      </c>
      <c r="M4538">
        <v>100</v>
      </c>
      <c r="N4538">
        <f>IF(COUNTIFS($B$2:B4538,B4538)=1,1,0)</f>
        <v>1</v>
      </c>
    </row>
    <row r="4539" spans="1:14" x14ac:dyDescent="0.2">
      <c r="A4539">
        <v>4538</v>
      </c>
      <c r="B4539">
        <v>3280</v>
      </c>
      <c r="C4539">
        <f>1/COUNTIF(B:B,Table1[[#This Row],[order_id]])</f>
        <v>0.5</v>
      </c>
      <c r="D4539" t="str">
        <f>TEXT(Table1[[#This Row],[order_date]],"mmmm")</f>
        <v>December</v>
      </c>
      <c r="E4539" s="1">
        <v>45641</v>
      </c>
      <c r="F4539" s="1" t="str">
        <f>TEXT(Table1[[#This Row],[order_date]],"dddd")</f>
        <v>Sunday</v>
      </c>
      <c r="G4539">
        <f>HOUR(Table1[[#This Row],[order_time]])</f>
        <v>9</v>
      </c>
      <c r="H4539" s="2">
        <v>0.41473379629629631</v>
      </c>
      <c r="I4539" t="s">
        <v>11</v>
      </c>
      <c r="J4539" t="s">
        <v>15</v>
      </c>
      <c r="K4539">
        <v>1</v>
      </c>
      <c r="L4539">
        <v>600</v>
      </c>
      <c r="M4539">
        <v>600</v>
      </c>
      <c r="N4539">
        <f>IF(COUNTIFS($B$2:B4539,B4539)=1,1,0)</f>
        <v>0</v>
      </c>
    </row>
    <row r="4540" spans="1:14" x14ac:dyDescent="0.2">
      <c r="A4540">
        <v>4539</v>
      </c>
      <c r="B4540">
        <v>3281</v>
      </c>
      <c r="C4540">
        <f>1/COUNTIF(B:B,Table1[[#This Row],[order_id]])</f>
        <v>0.33333333333333331</v>
      </c>
      <c r="D4540" t="str">
        <f>TEXT(Table1[[#This Row],[order_date]],"mmmm")</f>
        <v>December</v>
      </c>
      <c r="E4540" s="1">
        <v>45641</v>
      </c>
      <c r="F4540" s="1" t="str">
        <f>TEXT(Table1[[#This Row],[order_date]],"dddd")</f>
        <v>Sunday</v>
      </c>
      <c r="G4540">
        <f>HOUR(Table1[[#This Row],[order_time]])</f>
        <v>10</v>
      </c>
      <c r="H4540" s="2">
        <v>0.44766203703703705</v>
      </c>
      <c r="I4540" t="s">
        <v>9</v>
      </c>
      <c r="J4540" t="s">
        <v>29</v>
      </c>
      <c r="K4540">
        <v>4</v>
      </c>
      <c r="L4540">
        <v>5</v>
      </c>
      <c r="M4540">
        <v>20</v>
      </c>
      <c r="N4540">
        <f>IF(COUNTIFS($B$2:B4540,B4540)=1,1,0)</f>
        <v>1</v>
      </c>
    </row>
    <row r="4541" spans="1:14" x14ac:dyDescent="0.2">
      <c r="A4541">
        <v>4540</v>
      </c>
      <c r="B4541">
        <v>3281</v>
      </c>
      <c r="C4541">
        <f>1/COUNTIF(B:B,Table1[[#This Row],[order_id]])</f>
        <v>0.33333333333333331</v>
      </c>
      <c r="D4541" t="str">
        <f>TEXT(Table1[[#This Row],[order_date]],"mmmm")</f>
        <v>December</v>
      </c>
      <c r="E4541" s="1">
        <v>45641</v>
      </c>
      <c r="F4541" s="1" t="str">
        <f>TEXT(Table1[[#This Row],[order_date]],"dddd")</f>
        <v>Sunday</v>
      </c>
      <c r="G4541">
        <f>HOUR(Table1[[#This Row],[order_time]])</f>
        <v>12</v>
      </c>
      <c r="H4541" s="2">
        <v>0.50008101851851849</v>
      </c>
      <c r="I4541" t="s">
        <v>11</v>
      </c>
      <c r="J4541" t="s">
        <v>25</v>
      </c>
      <c r="K4541">
        <v>4</v>
      </c>
      <c r="L4541">
        <v>1000</v>
      </c>
      <c r="M4541">
        <v>4000</v>
      </c>
      <c r="N4541">
        <f>IF(COUNTIFS($B$2:B4541,B4541)=1,1,0)</f>
        <v>0</v>
      </c>
    </row>
    <row r="4542" spans="1:14" x14ac:dyDescent="0.2">
      <c r="A4542">
        <v>4541</v>
      </c>
      <c r="B4542">
        <v>3281</v>
      </c>
      <c r="C4542">
        <f>1/COUNTIF(B:B,Table1[[#This Row],[order_id]])</f>
        <v>0.33333333333333331</v>
      </c>
      <c r="D4542" t="str">
        <f>TEXT(Table1[[#This Row],[order_date]],"mmmm")</f>
        <v>December</v>
      </c>
      <c r="E4542" s="1">
        <v>45641</v>
      </c>
      <c r="F4542" s="1" t="str">
        <f>TEXT(Table1[[#This Row],[order_date]],"dddd")</f>
        <v>Sunday</v>
      </c>
      <c r="G4542">
        <f>HOUR(Table1[[#This Row],[order_time]])</f>
        <v>10</v>
      </c>
      <c r="H4542" s="2">
        <v>0.45318287037037036</v>
      </c>
      <c r="I4542" t="s">
        <v>18</v>
      </c>
      <c r="J4542" t="s">
        <v>30</v>
      </c>
      <c r="K4542">
        <v>3</v>
      </c>
      <c r="L4542">
        <v>60</v>
      </c>
      <c r="M4542">
        <v>180</v>
      </c>
      <c r="N4542">
        <f>IF(COUNTIFS($B$2:B4542,B4542)=1,1,0)</f>
        <v>0</v>
      </c>
    </row>
    <row r="4543" spans="1:14" x14ac:dyDescent="0.2">
      <c r="A4543">
        <v>4542</v>
      </c>
      <c r="B4543">
        <v>3282</v>
      </c>
      <c r="C4543">
        <f>1/COUNTIF(B:B,Table1[[#This Row],[order_id]])</f>
        <v>0.33333333333333331</v>
      </c>
      <c r="D4543" t="str">
        <f>TEXT(Table1[[#This Row],[order_date]],"mmmm")</f>
        <v>December</v>
      </c>
      <c r="E4543" s="1">
        <v>45641</v>
      </c>
      <c r="F4543" s="1" t="str">
        <f>TEXT(Table1[[#This Row],[order_date]],"dddd")</f>
        <v>Sunday</v>
      </c>
      <c r="G4543">
        <f>HOUR(Table1[[#This Row],[order_time]])</f>
        <v>17</v>
      </c>
      <c r="H4543" s="2">
        <v>0.71607638888888892</v>
      </c>
      <c r="I4543" t="s">
        <v>18</v>
      </c>
      <c r="J4543" t="s">
        <v>19</v>
      </c>
      <c r="K4543">
        <v>3</v>
      </c>
      <c r="L4543">
        <v>50</v>
      </c>
      <c r="M4543">
        <v>150</v>
      </c>
      <c r="N4543">
        <f>IF(COUNTIFS($B$2:B4543,B4543)=1,1,0)</f>
        <v>1</v>
      </c>
    </row>
    <row r="4544" spans="1:14" x14ac:dyDescent="0.2">
      <c r="A4544">
        <v>4543</v>
      </c>
      <c r="B4544">
        <v>3282</v>
      </c>
      <c r="C4544">
        <f>1/COUNTIF(B:B,Table1[[#This Row],[order_id]])</f>
        <v>0.33333333333333331</v>
      </c>
      <c r="D4544" t="str">
        <f>TEXT(Table1[[#This Row],[order_date]],"mmmm")</f>
        <v>December</v>
      </c>
      <c r="E4544" s="1">
        <v>45641</v>
      </c>
      <c r="F4544" s="1" t="str">
        <f>TEXT(Table1[[#This Row],[order_date]],"dddd")</f>
        <v>Sunday</v>
      </c>
      <c r="G4544">
        <f>HOUR(Table1[[#This Row],[order_time]])</f>
        <v>10</v>
      </c>
      <c r="H4544" s="2">
        <v>0.4324189814814815</v>
      </c>
      <c r="I4544" t="s">
        <v>18</v>
      </c>
      <c r="J4544" t="s">
        <v>30</v>
      </c>
      <c r="K4544">
        <v>4</v>
      </c>
      <c r="L4544">
        <v>60</v>
      </c>
      <c r="M4544">
        <v>240</v>
      </c>
      <c r="N4544">
        <f>IF(COUNTIFS($B$2:B4544,B4544)=1,1,0)</f>
        <v>0</v>
      </c>
    </row>
    <row r="4545" spans="1:14" x14ac:dyDescent="0.2">
      <c r="A4545">
        <v>4544</v>
      </c>
      <c r="B4545">
        <v>3282</v>
      </c>
      <c r="C4545">
        <f>1/COUNTIF(B:B,Table1[[#This Row],[order_id]])</f>
        <v>0.33333333333333331</v>
      </c>
      <c r="D4545" t="str">
        <f>TEXT(Table1[[#This Row],[order_date]],"mmmm")</f>
        <v>December</v>
      </c>
      <c r="E4545" s="1">
        <v>45641</v>
      </c>
      <c r="F4545" s="1" t="str">
        <f>TEXT(Table1[[#This Row],[order_date]],"dddd")</f>
        <v>Sunday</v>
      </c>
      <c r="G4545">
        <f>HOUR(Table1[[#This Row],[order_time]])</f>
        <v>10</v>
      </c>
      <c r="H4545" s="2">
        <v>0.43189814814814814</v>
      </c>
      <c r="I4545" t="s">
        <v>11</v>
      </c>
      <c r="J4545" t="s">
        <v>15</v>
      </c>
      <c r="K4545">
        <v>3</v>
      </c>
      <c r="L4545">
        <v>600</v>
      </c>
      <c r="M4545">
        <v>1800</v>
      </c>
      <c r="N4545">
        <f>IF(COUNTIFS($B$2:B4545,B4545)=1,1,0)</f>
        <v>0</v>
      </c>
    </row>
    <row r="4546" spans="1:14" x14ac:dyDescent="0.2">
      <c r="A4546">
        <v>4545</v>
      </c>
      <c r="B4546">
        <v>3283</v>
      </c>
      <c r="C4546">
        <f>1/COUNTIF(B:B,Table1[[#This Row],[order_id]])</f>
        <v>0.33333333333333331</v>
      </c>
      <c r="D4546" t="str">
        <f>TEXT(Table1[[#This Row],[order_date]],"mmmm")</f>
        <v>December</v>
      </c>
      <c r="E4546" s="1">
        <v>45641</v>
      </c>
      <c r="F4546" s="1" t="str">
        <f>TEXT(Table1[[#This Row],[order_date]],"dddd")</f>
        <v>Sunday</v>
      </c>
      <c r="G4546">
        <f>HOUR(Table1[[#This Row],[order_time]])</f>
        <v>13</v>
      </c>
      <c r="H4546" s="2">
        <v>0.56652777777777774</v>
      </c>
      <c r="I4546" t="s">
        <v>18</v>
      </c>
      <c r="J4546" t="s">
        <v>31</v>
      </c>
      <c r="K4546">
        <v>3</v>
      </c>
      <c r="L4546">
        <v>45</v>
      </c>
      <c r="M4546">
        <v>135</v>
      </c>
      <c r="N4546">
        <f>IF(COUNTIFS($B$2:B4546,B4546)=1,1,0)</f>
        <v>1</v>
      </c>
    </row>
    <row r="4547" spans="1:14" x14ac:dyDescent="0.2">
      <c r="A4547">
        <v>4546</v>
      </c>
      <c r="B4547">
        <v>3283</v>
      </c>
      <c r="C4547">
        <f>1/COUNTIF(B:B,Table1[[#This Row],[order_id]])</f>
        <v>0.33333333333333331</v>
      </c>
      <c r="D4547" t="str">
        <f>TEXT(Table1[[#This Row],[order_date]],"mmmm")</f>
        <v>December</v>
      </c>
      <c r="E4547" s="1">
        <v>45641</v>
      </c>
      <c r="F4547" s="1" t="str">
        <f>TEXT(Table1[[#This Row],[order_date]],"dddd")</f>
        <v>Sunday</v>
      </c>
      <c r="G4547">
        <f>HOUR(Table1[[#This Row],[order_time]])</f>
        <v>16</v>
      </c>
      <c r="H4547" s="2">
        <v>0.69866898148148149</v>
      </c>
      <c r="I4547" t="s">
        <v>11</v>
      </c>
      <c r="J4547" t="s">
        <v>25</v>
      </c>
      <c r="K4547">
        <v>5</v>
      </c>
      <c r="L4547">
        <v>1000</v>
      </c>
      <c r="M4547">
        <v>5000</v>
      </c>
      <c r="N4547">
        <f>IF(COUNTIFS($B$2:B4547,B4547)=1,1,0)</f>
        <v>0</v>
      </c>
    </row>
    <row r="4548" spans="1:14" x14ac:dyDescent="0.2">
      <c r="A4548">
        <v>4547</v>
      </c>
      <c r="B4548">
        <v>3283</v>
      </c>
      <c r="C4548">
        <f>1/COUNTIF(B:B,Table1[[#This Row],[order_id]])</f>
        <v>0.33333333333333331</v>
      </c>
      <c r="D4548" t="str">
        <f>TEXT(Table1[[#This Row],[order_date]],"mmmm")</f>
        <v>December</v>
      </c>
      <c r="E4548" s="1">
        <v>45641</v>
      </c>
      <c r="F4548" s="1" t="str">
        <f>TEXT(Table1[[#This Row],[order_date]],"dddd")</f>
        <v>Sunday</v>
      </c>
      <c r="G4548">
        <f>HOUR(Table1[[#This Row],[order_time]])</f>
        <v>19</v>
      </c>
      <c r="H4548" s="2">
        <v>0.81864583333333329</v>
      </c>
      <c r="I4548" t="s">
        <v>9</v>
      </c>
      <c r="J4548" t="s">
        <v>21</v>
      </c>
      <c r="K4548">
        <v>4</v>
      </c>
      <c r="L4548">
        <v>10</v>
      </c>
      <c r="M4548">
        <v>40</v>
      </c>
      <c r="N4548">
        <f>IF(COUNTIFS($B$2:B4548,B4548)=1,1,0)</f>
        <v>0</v>
      </c>
    </row>
    <row r="4549" spans="1:14" x14ac:dyDescent="0.2">
      <c r="A4549">
        <v>4548</v>
      </c>
      <c r="B4549">
        <v>3284</v>
      </c>
      <c r="C4549">
        <f>1/COUNTIF(B:B,Table1[[#This Row],[order_id]])</f>
        <v>1</v>
      </c>
      <c r="D4549" t="str">
        <f>TEXT(Table1[[#This Row],[order_date]],"mmmm")</f>
        <v>December</v>
      </c>
      <c r="E4549" s="1">
        <v>45642</v>
      </c>
      <c r="F4549" s="1" t="str">
        <f>TEXT(Table1[[#This Row],[order_date]],"dddd")</f>
        <v>Monday</v>
      </c>
      <c r="G4549">
        <f>HOUR(Table1[[#This Row],[order_time]])</f>
        <v>15</v>
      </c>
      <c r="H4549" s="2">
        <v>0.648900462962963</v>
      </c>
      <c r="I4549" t="s">
        <v>9</v>
      </c>
      <c r="J4549" t="s">
        <v>22</v>
      </c>
      <c r="K4549">
        <v>5</v>
      </c>
      <c r="L4549">
        <v>15</v>
      </c>
      <c r="M4549">
        <v>75</v>
      </c>
      <c r="N4549">
        <f>IF(COUNTIFS($B$2:B4549,B4549)=1,1,0)</f>
        <v>1</v>
      </c>
    </row>
    <row r="4550" spans="1:14" x14ac:dyDescent="0.2">
      <c r="A4550">
        <v>4549</v>
      </c>
      <c r="B4550">
        <v>3285</v>
      </c>
      <c r="C4550">
        <f>1/COUNTIF(B:B,Table1[[#This Row],[order_id]])</f>
        <v>1</v>
      </c>
      <c r="D4550" t="str">
        <f>TEXT(Table1[[#This Row],[order_date]],"mmmm")</f>
        <v>December</v>
      </c>
      <c r="E4550" s="1">
        <v>45642</v>
      </c>
      <c r="F4550" s="1" t="str">
        <f>TEXT(Table1[[#This Row],[order_date]],"dddd")</f>
        <v>Monday</v>
      </c>
      <c r="G4550">
        <f>HOUR(Table1[[#This Row],[order_time]])</f>
        <v>18</v>
      </c>
      <c r="H4550" s="2">
        <v>0.76372685185185185</v>
      </c>
      <c r="I4550" t="s">
        <v>9</v>
      </c>
      <c r="J4550" t="s">
        <v>21</v>
      </c>
      <c r="K4550">
        <v>2</v>
      </c>
      <c r="L4550">
        <v>10</v>
      </c>
      <c r="M4550">
        <v>20</v>
      </c>
      <c r="N4550">
        <f>IF(COUNTIFS($B$2:B4550,B4550)=1,1,0)</f>
        <v>1</v>
      </c>
    </row>
    <row r="4551" spans="1:14" x14ac:dyDescent="0.2">
      <c r="A4551">
        <v>4550</v>
      </c>
      <c r="B4551">
        <v>3286</v>
      </c>
      <c r="C4551">
        <f>1/COUNTIF(B:B,Table1[[#This Row],[order_id]])</f>
        <v>0.33333333333333331</v>
      </c>
      <c r="D4551" t="str">
        <f>TEXT(Table1[[#This Row],[order_date]],"mmmm")</f>
        <v>December</v>
      </c>
      <c r="E4551" s="1">
        <v>45642</v>
      </c>
      <c r="F4551" s="1" t="str">
        <f>TEXT(Table1[[#This Row],[order_date]],"dddd")</f>
        <v>Monday</v>
      </c>
      <c r="G4551">
        <f>HOUR(Table1[[#This Row],[order_time]])</f>
        <v>20</v>
      </c>
      <c r="H4551" s="2">
        <v>0.8553587962962963</v>
      </c>
      <c r="I4551" t="s">
        <v>16</v>
      </c>
      <c r="J4551" t="s">
        <v>17</v>
      </c>
      <c r="K4551">
        <v>2</v>
      </c>
      <c r="L4551">
        <v>20</v>
      </c>
      <c r="M4551">
        <v>40</v>
      </c>
      <c r="N4551">
        <f>IF(COUNTIFS($B$2:B4551,B4551)=1,1,0)</f>
        <v>1</v>
      </c>
    </row>
    <row r="4552" spans="1:14" x14ac:dyDescent="0.2">
      <c r="A4552">
        <v>4551</v>
      </c>
      <c r="B4552">
        <v>3286</v>
      </c>
      <c r="C4552">
        <f>1/COUNTIF(B:B,Table1[[#This Row],[order_id]])</f>
        <v>0.33333333333333331</v>
      </c>
      <c r="D4552" t="str">
        <f>TEXT(Table1[[#This Row],[order_date]],"mmmm")</f>
        <v>December</v>
      </c>
      <c r="E4552" s="1">
        <v>45642</v>
      </c>
      <c r="F4552" s="1" t="str">
        <f>TEXT(Table1[[#This Row],[order_date]],"dddd")</f>
        <v>Monday</v>
      </c>
      <c r="G4552">
        <f>HOUR(Table1[[#This Row],[order_time]])</f>
        <v>19</v>
      </c>
      <c r="H4552" s="2">
        <v>0.83125000000000004</v>
      </c>
      <c r="I4552" t="s">
        <v>9</v>
      </c>
      <c r="J4552" t="s">
        <v>22</v>
      </c>
      <c r="K4552">
        <v>5</v>
      </c>
      <c r="L4552">
        <v>15</v>
      </c>
      <c r="M4552">
        <v>75</v>
      </c>
      <c r="N4552">
        <f>IF(COUNTIFS($B$2:B4552,B4552)=1,1,0)</f>
        <v>0</v>
      </c>
    </row>
    <row r="4553" spans="1:14" x14ac:dyDescent="0.2">
      <c r="A4553">
        <v>4552</v>
      </c>
      <c r="B4553">
        <v>3286</v>
      </c>
      <c r="C4553">
        <f>1/COUNTIF(B:B,Table1[[#This Row],[order_id]])</f>
        <v>0.33333333333333331</v>
      </c>
      <c r="D4553" t="str">
        <f>TEXT(Table1[[#This Row],[order_date]],"mmmm")</f>
        <v>December</v>
      </c>
      <c r="E4553" s="1">
        <v>45642</v>
      </c>
      <c r="F4553" s="1" t="str">
        <f>TEXT(Table1[[#This Row],[order_date]],"dddd")</f>
        <v>Monday</v>
      </c>
      <c r="G4553">
        <f>HOUR(Table1[[#This Row],[order_time]])</f>
        <v>9</v>
      </c>
      <c r="H4553" s="2">
        <v>0.39853009259259259</v>
      </c>
      <c r="I4553" t="s">
        <v>11</v>
      </c>
      <c r="J4553" t="s">
        <v>12</v>
      </c>
      <c r="K4553">
        <v>3</v>
      </c>
      <c r="L4553">
        <v>650</v>
      </c>
      <c r="M4553">
        <v>1950</v>
      </c>
      <c r="N4553">
        <f>IF(COUNTIFS($B$2:B4553,B4553)=1,1,0)</f>
        <v>0</v>
      </c>
    </row>
    <row r="4554" spans="1:14" x14ac:dyDescent="0.2">
      <c r="A4554">
        <v>4553</v>
      </c>
      <c r="B4554">
        <v>3287</v>
      </c>
      <c r="C4554">
        <f>1/COUNTIF(B:B,Table1[[#This Row],[order_id]])</f>
        <v>0.5</v>
      </c>
      <c r="D4554" t="str">
        <f>TEXT(Table1[[#This Row],[order_date]],"mmmm")</f>
        <v>December</v>
      </c>
      <c r="E4554" s="1">
        <v>45643</v>
      </c>
      <c r="F4554" s="1" t="str">
        <f>TEXT(Table1[[#This Row],[order_date]],"dddd")</f>
        <v>Tuesday</v>
      </c>
      <c r="G4554">
        <f>HOUR(Table1[[#This Row],[order_time]])</f>
        <v>18</v>
      </c>
      <c r="H4554" s="2">
        <v>0.77299768518518519</v>
      </c>
      <c r="I4554" t="s">
        <v>11</v>
      </c>
      <c r="J4554" t="s">
        <v>13</v>
      </c>
      <c r="K4554">
        <v>1</v>
      </c>
      <c r="L4554">
        <v>680</v>
      </c>
      <c r="M4554">
        <v>680</v>
      </c>
      <c r="N4554">
        <f>IF(COUNTIFS($B$2:B4554,B4554)=1,1,0)</f>
        <v>1</v>
      </c>
    </row>
    <row r="4555" spans="1:14" x14ac:dyDescent="0.2">
      <c r="A4555">
        <v>4554</v>
      </c>
      <c r="B4555">
        <v>3287</v>
      </c>
      <c r="C4555">
        <f>1/COUNTIF(B:B,Table1[[#This Row],[order_id]])</f>
        <v>0.5</v>
      </c>
      <c r="D4555" t="str">
        <f>TEXT(Table1[[#This Row],[order_date]],"mmmm")</f>
        <v>December</v>
      </c>
      <c r="E4555" s="1">
        <v>45643</v>
      </c>
      <c r="F4555" s="1" t="str">
        <f>TEXT(Table1[[#This Row],[order_date]],"dddd")</f>
        <v>Tuesday</v>
      </c>
      <c r="G4555">
        <f>HOUR(Table1[[#This Row],[order_time]])</f>
        <v>12</v>
      </c>
      <c r="H4555" s="2">
        <v>0.50949074074074074</v>
      </c>
      <c r="I4555" t="s">
        <v>16</v>
      </c>
      <c r="J4555" t="s">
        <v>17</v>
      </c>
      <c r="K4555">
        <v>3</v>
      </c>
      <c r="L4555">
        <v>20</v>
      </c>
      <c r="M4555">
        <v>60</v>
      </c>
      <c r="N4555">
        <f>IF(COUNTIFS($B$2:B4555,B4555)=1,1,0)</f>
        <v>0</v>
      </c>
    </row>
    <row r="4556" spans="1:14" x14ac:dyDescent="0.2">
      <c r="A4556">
        <v>4555</v>
      </c>
      <c r="B4556">
        <v>3288</v>
      </c>
      <c r="C4556">
        <f>1/COUNTIF(B:B,Table1[[#This Row],[order_id]])</f>
        <v>0.5</v>
      </c>
      <c r="D4556" t="str">
        <f>TEXT(Table1[[#This Row],[order_date]],"mmmm")</f>
        <v>December</v>
      </c>
      <c r="E4556" s="1">
        <v>45643</v>
      </c>
      <c r="F4556" s="1" t="str">
        <f>TEXT(Table1[[#This Row],[order_date]],"dddd")</f>
        <v>Tuesday</v>
      </c>
      <c r="G4556">
        <f>HOUR(Table1[[#This Row],[order_time]])</f>
        <v>9</v>
      </c>
      <c r="H4556" s="2">
        <v>0.37681712962962965</v>
      </c>
      <c r="I4556" t="s">
        <v>18</v>
      </c>
      <c r="J4556" t="s">
        <v>26</v>
      </c>
      <c r="K4556">
        <v>5</v>
      </c>
      <c r="L4556">
        <v>55</v>
      </c>
      <c r="M4556">
        <v>275</v>
      </c>
      <c r="N4556">
        <f>IF(COUNTIFS($B$2:B4556,B4556)=1,1,0)</f>
        <v>1</v>
      </c>
    </row>
    <row r="4557" spans="1:14" x14ac:dyDescent="0.2">
      <c r="A4557">
        <v>4556</v>
      </c>
      <c r="B4557">
        <v>3288</v>
      </c>
      <c r="C4557">
        <f>1/COUNTIF(B:B,Table1[[#This Row],[order_id]])</f>
        <v>0.5</v>
      </c>
      <c r="D4557" t="str">
        <f>TEXT(Table1[[#This Row],[order_date]],"mmmm")</f>
        <v>December</v>
      </c>
      <c r="E4557" s="1">
        <v>45643</v>
      </c>
      <c r="F4557" s="1" t="str">
        <f>TEXT(Table1[[#This Row],[order_date]],"dddd")</f>
        <v>Tuesday</v>
      </c>
      <c r="G4557">
        <f>HOUR(Table1[[#This Row],[order_time]])</f>
        <v>18</v>
      </c>
      <c r="H4557" s="2">
        <v>0.77692129629629625</v>
      </c>
      <c r="I4557" t="s">
        <v>9</v>
      </c>
      <c r="J4557" t="s">
        <v>20</v>
      </c>
      <c r="K4557">
        <v>2</v>
      </c>
      <c r="L4557">
        <v>25</v>
      </c>
      <c r="M4557">
        <v>50</v>
      </c>
      <c r="N4557">
        <f>IF(COUNTIFS($B$2:B4557,B4557)=1,1,0)</f>
        <v>0</v>
      </c>
    </row>
    <row r="4558" spans="1:14" x14ac:dyDescent="0.2">
      <c r="A4558">
        <v>4557</v>
      </c>
      <c r="B4558">
        <v>3289</v>
      </c>
      <c r="C4558">
        <f>1/COUNTIF(B:B,Table1[[#This Row],[order_id]])</f>
        <v>1</v>
      </c>
      <c r="D4558" t="str">
        <f>TEXT(Table1[[#This Row],[order_date]],"mmmm")</f>
        <v>December</v>
      </c>
      <c r="E4558" s="1">
        <v>45643</v>
      </c>
      <c r="F4558" s="1" t="str">
        <f>TEXT(Table1[[#This Row],[order_date]],"dddd")</f>
        <v>Tuesday</v>
      </c>
      <c r="G4558">
        <f>HOUR(Table1[[#This Row],[order_time]])</f>
        <v>13</v>
      </c>
      <c r="H4558" s="2">
        <v>0.54583333333333328</v>
      </c>
      <c r="I4558" t="s">
        <v>18</v>
      </c>
      <c r="J4558" t="s">
        <v>31</v>
      </c>
      <c r="K4558">
        <v>1</v>
      </c>
      <c r="L4558">
        <v>45</v>
      </c>
      <c r="M4558">
        <v>45</v>
      </c>
      <c r="N4558">
        <f>IF(COUNTIFS($B$2:B4558,B4558)=1,1,0)</f>
        <v>1</v>
      </c>
    </row>
    <row r="4559" spans="1:14" x14ac:dyDescent="0.2">
      <c r="A4559">
        <v>4558</v>
      </c>
      <c r="B4559">
        <v>3290</v>
      </c>
      <c r="C4559">
        <f>1/COUNTIF(B:B,Table1[[#This Row],[order_id]])</f>
        <v>0.33333333333333331</v>
      </c>
      <c r="D4559" t="str">
        <f>TEXT(Table1[[#This Row],[order_date]],"mmmm")</f>
        <v>December</v>
      </c>
      <c r="E4559" s="1">
        <v>45643</v>
      </c>
      <c r="F4559" s="1" t="str">
        <f>TEXT(Table1[[#This Row],[order_date]],"dddd")</f>
        <v>Tuesday</v>
      </c>
      <c r="G4559">
        <f>HOUR(Table1[[#This Row],[order_time]])</f>
        <v>12</v>
      </c>
      <c r="H4559" s="2">
        <v>0.50910879629629635</v>
      </c>
      <c r="I4559" t="s">
        <v>11</v>
      </c>
      <c r="J4559" t="s">
        <v>15</v>
      </c>
      <c r="K4559">
        <v>4</v>
      </c>
      <c r="L4559">
        <v>600</v>
      </c>
      <c r="M4559">
        <v>2400</v>
      </c>
      <c r="N4559">
        <f>IF(COUNTIFS($B$2:B4559,B4559)=1,1,0)</f>
        <v>1</v>
      </c>
    </row>
    <row r="4560" spans="1:14" x14ac:dyDescent="0.2">
      <c r="A4560">
        <v>4559</v>
      </c>
      <c r="B4560">
        <v>3290</v>
      </c>
      <c r="C4560">
        <f>1/COUNTIF(B:B,Table1[[#This Row],[order_id]])</f>
        <v>0.33333333333333331</v>
      </c>
      <c r="D4560" t="str">
        <f>TEXT(Table1[[#This Row],[order_date]],"mmmm")</f>
        <v>December</v>
      </c>
      <c r="E4560" s="1">
        <v>45643</v>
      </c>
      <c r="F4560" s="1" t="str">
        <f>TEXT(Table1[[#This Row],[order_date]],"dddd")</f>
        <v>Tuesday</v>
      </c>
      <c r="G4560">
        <f>HOUR(Table1[[#This Row],[order_time]])</f>
        <v>16</v>
      </c>
      <c r="H4560" s="2">
        <v>0.67501157407407408</v>
      </c>
      <c r="I4560" t="s">
        <v>11</v>
      </c>
      <c r="J4560" t="s">
        <v>13</v>
      </c>
      <c r="K4560">
        <v>4</v>
      </c>
      <c r="L4560">
        <v>680</v>
      </c>
      <c r="M4560">
        <v>2720</v>
      </c>
      <c r="N4560">
        <f>IF(COUNTIFS($B$2:B4560,B4560)=1,1,0)</f>
        <v>0</v>
      </c>
    </row>
    <row r="4561" spans="1:14" x14ac:dyDescent="0.2">
      <c r="A4561">
        <v>4560</v>
      </c>
      <c r="B4561">
        <v>3290</v>
      </c>
      <c r="C4561">
        <f>1/COUNTIF(B:B,Table1[[#This Row],[order_id]])</f>
        <v>0.33333333333333331</v>
      </c>
      <c r="D4561" t="str">
        <f>TEXT(Table1[[#This Row],[order_date]],"mmmm")</f>
        <v>December</v>
      </c>
      <c r="E4561" s="1">
        <v>45643</v>
      </c>
      <c r="F4561" s="1" t="str">
        <f>TEXT(Table1[[#This Row],[order_date]],"dddd")</f>
        <v>Tuesday</v>
      </c>
      <c r="G4561">
        <f>HOUR(Table1[[#This Row],[order_time]])</f>
        <v>15</v>
      </c>
      <c r="H4561" s="2">
        <v>0.63818287037037036</v>
      </c>
      <c r="I4561" t="s">
        <v>9</v>
      </c>
      <c r="J4561" t="s">
        <v>21</v>
      </c>
      <c r="K4561">
        <v>1</v>
      </c>
      <c r="L4561">
        <v>10</v>
      </c>
      <c r="M4561">
        <v>10</v>
      </c>
      <c r="N4561">
        <f>IF(COUNTIFS($B$2:B4561,B4561)=1,1,0)</f>
        <v>0</v>
      </c>
    </row>
    <row r="4562" spans="1:14" x14ac:dyDescent="0.2">
      <c r="A4562">
        <v>4561</v>
      </c>
      <c r="B4562">
        <v>3291</v>
      </c>
      <c r="C4562">
        <f>1/COUNTIF(B:B,Table1[[#This Row],[order_id]])</f>
        <v>0.5</v>
      </c>
      <c r="D4562" t="str">
        <f>TEXT(Table1[[#This Row],[order_date]],"mmmm")</f>
        <v>December</v>
      </c>
      <c r="E4562" s="1">
        <v>45643</v>
      </c>
      <c r="F4562" s="1" t="str">
        <f>TEXT(Table1[[#This Row],[order_date]],"dddd")</f>
        <v>Tuesday</v>
      </c>
      <c r="G4562">
        <f>HOUR(Table1[[#This Row],[order_time]])</f>
        <v>14</v>
      </c>
      <c r="H4562" s="2">
        <v>0.6081481481481481</v>
      </c>
      <c r="I4562" t="s">
        <v>9</v>
      </c>
      <c r="J4562" t="s">
        <v>21</v>
      </c>
      <c r="K4562">
        <v>1</v>
      </c>
      <c r="L4562">
        <v>10</v>
      </c>
      <c r="M4562">
        <v>10</v>
      </c>
      <c r="N4562">
        <f>IF(COUNTIFS($B$2:B4562,B4562)=1,1,0)</f>
        <v>1</v>
      </c>
    </row>
    <row r="4563" spans="1:14" x14ac:dyDescent="0.2">
      <c r="A4563">
        <v>4562</v>
      </c>
      <c r="B4563">
        <v>3291</v>
      </c>
      <c r="C4563">
        <f>1/COUNTIF(B:B,Table1[[#This Row],[order_id]])</f>
        <v>0.5</v>
      </c>
      <c r="D4563" t="str">
        <f>TEXT(Table1[[#This Row],[order_date]],"mmmm")</f>
        <v>December</v>
      </c>
      <c r="E4563" s="1">
        <v>45643</v>
      </c>
      <c r="F4563" s="1" t="str">
        <f>TEXT(Table1[[#This Row],[order_date]],"dddd")</f>
        <v>Tuesday</v>
      </c>
      <c r="G4563">
        <f>HOUR(Table1[[#This Row],[order_time]])</f>
        <v>17</v>
      </c>
      <c r="H4563" s="2">
        <v>0.73571759259259262</v>
      </c>
      <c r="I4563" t="s">
        <v>11</v>
      </c>
      <c r="J4563" t="s">
        <v>12</v>
      </c>
      <c r="K4563">
        <v>1</v>
      </c>
      <c r="L4563">
        <v>650</v>
      </c>
      <c r="M4563">
        <v>650</v>
      </c>
      <c r="N4563">
        <f>IF(COUNTIFS($B$2:B4563,B4563)=1,1,0)</f>
        <v>0</v>
      </c>
    </row>
    <row r="4564" spans="1:14" x14ac:dyDescent="0.2">
      <c r="A4564">
        <v>4563</v>
      </c>
      <c r="B4564">
        <v>3292</v>
      </c>
      <c r="C4564">
        <f>1/COUNTIF(B:B,Table1[[#This Row],[order_id]])</f>
        <v>0.5</v>
      </c>
      <c r="D4564" t="str">
        <f>TEXT(Table1[[#This Row],[order_date]],"mmmm")</f>
        <v>December</v>
      </c>
      <c r="E4564" s="1">
        <v>45644</v>
      </c>
      <c r="F4564" s="1" t="str">
        <f>TEXT(Table1[[#This Row],[order_date]],"dddd")</f>
        <v>Wednesday</v>
      </c>
      <c r="G4564">
        <f>HOUR(Table1[[#This Row],[order_time]])</f>
        <v>20</v>
      </c>
      <c r="H4564" s="2">
        <v>0.85854166666666665</v>
      </c>
      <c r="I4564" t="s">
        <v>16</v>
      </c>
      <c r="J4564" t="s">
        <v>28</v>
      </c>
      <c r="K4564">
        <v>1</v>
      </c>
      <c r="L4564">
        <v>25</v>
      </c>
      <c r="M4564">
        <v>25</v>
      </c>
      <c r="N4564">
        <f>IF(COUNTIFS($B$2:B4564,B4564)=1,1,0)</f>
        <v>1</v>
      </c>
    </row>
    <row r="4565" spans="1:14" x14ac:dyDescent="0.2">
      <c r="A4565">
        <v>4564</v>
      </c>
      <c r="B4565">
        <v>3292</v>
      </c>
      <c r="C4565">
        <f>1/COUNTIF(B:B,Table1[[#This Row],[order_id]])</f>
        <v>0.5</v>
      </c>
      <c r="D4565" t="str">
        <f>TEXT(Table1[[#This Row],[order_date]],"mmmm")</f>
        <v>December</v>
      </c>
      <c r="E4565" s="1">
        <v>45644</v>
      </c>
      <c r="F4565" s="1" t="str">
        <f>TEXT(Table1[[#This Row],[order_date]],"dddd")</f>
        <v>Wednesday</v>
      </c>
      <c r="G4565">
        <f>HOUR(Table1[[#This Row],[order_time]])</f>
        <v>20</v>
      </c>
      <c r="H4565" s="2">
        <v>0.85217592592592595</v>
      </c>
      <c r="I4565" t="s">
        <v>11</v>
      </c>
      <c r="J4565" t="s">
        <v>12</v>
      </c>
      <c r="K4565">
        <v>2</v>
      </c>
      <c r="L4565">
        <v>650</v>
      </c>
      <c r="M4565">
        <v>1300</v>
      </c>
      <c r="N4565">
        <f>IF(COUNTIFS($B$2:B4565,B4565)=1,1,0)</f>
        <v>0</v>
      </c>
    </row>
    <row r="4566" spans="1:14" x14ac:dyDescent="0.2">
      <c r="A4566">
        <v>4565</v>
      </c>
      <c r="B4566">
        <v>3293</v>
      </c>
      <c r="C4566">
        <f>1/COUNTIF(B:B,Table1[[#This Row],[order_id]])</f>
        <v>1</v>
      </c>
      <c r="D4566" t="str">
        <f>TEXT(Table1[[#This Row],[order_date]],"mmmm")</f>
        <v>December</v>
      </c>
      <c r="E4566" s="1">
        <v>45644</v>
      </c>
      <c r="F4566" s="1" t="str">
        <f>TEXT(Table1[[#This Row],[order_date]],"dddd")</f>
        <v>Wednesday</v>
      </c>
      <c r="G4566">
        <f>HOUR(Table1[[#This Row],[order_time]])</f>
        <v>10</v>
      </c>
      <c r="H4566" s="2">
        <v>0.44819444444444445</v>
      </c>
      <c r="I4566" t="s">
        <v>9</v>
      </c>
      <c r="J4566" t="s">
        <v>22</v>
      </c>
      <c r="K4566">
        <v>4</v>
      </c>
      <c r="L4566">
        <v>15</v>
      </c>
      <c r="M4566">
        <v>60</v>
      </c>
      <c r="N4566">
        <f>IF(COUNTIFS($B$2:B4566,B4566)=1,1,0)</f>
        <v>1</v>
      </c>
    </row>
    <row r="4567" spans="1:14" x14ac:dyDescent="0.2">
      <c r="A4567">
        <v>4566</v>
      </c>
      <c r="B4567">
        <v>3294</v>
      </c>
      <c r="C4567">
        <f>1/COUNTIF(B:B,Table1[[#This Row],[order_id]])</f>
        <v>0.5</v>
      </c>
      <c r="D4567" t="str">
        <f>TEXT(Table1[[#This Row],[order_date]],"mmmm")</f>
        <v>December</v>
      </c>
      <c r="E4567" s="1">
        <v>45644</v>
      </c>
      <c r="F4567" s="1" t="str">
        <f>TEXT(Table1[[#This Row],[order_date]],"dddd")</f>
        <v>Wednesday</v>
      </c>
      <c r="G4567">
        <f>HOUR(Table1[[#This Row],[order_time]])</f>
        <v>13</v>
      </c>
      <c r="H4567" s="2">
        <v>0.55285879629629631</v>
      </c>
      <c r="I4567" t="s">
        <v>11</v>
      </c>
      <c r="J4567" t="s">
        <v>12</v>
      </c>
      <c r="K4567">
        <v>5</v>
      </c>
      <c r="L4567">
        <v>650</v>
      </c>
      <c r="M4567">
        <v>3250</v>
      </c>
      <c r="N4567">
        <f>IF(COUNTIFS($B$2:B4567,B4567)=1,1,0)</f>
        <v>1</v>
      </c>
    </row>
    <row r="4568" spans="1:14" x14ac:dyDescent="0.2">
      <c r="A4568">
        <v>4567</v>
      </c>
      <c r="B4568">
        <v>3294</v>
      </c>
      <c r="C4568">
        <f>1/COUNTIF(B:B,Table1[[#This Row],[order_id]])</f>
        <v>0.5</v>
      </c>
      <c r="D4568" t="str">
        <f>TEXT(Table1[[#This Row],[order_date]],"mmmm")</f>
        <v>December</v>
      </c>
      <c r="E4568" s="1">
        <v>45644</v>
      </c>
      <c r="F4568" s="1" t="str">
        <f>TEXT(Table1[[#This Row],[order_date]],"dddd")</f>
        <v>Wednesday</v>
      </c>
      <c r="G4568">
        <f>HOUR(Table1[[#This Row],[order_time]])</f>
        <v>11</v>
      </c>
      <c r="H4568" s="2">
        <v>0.48737268518518517</v>
      </c>
      <c r="I4568" t="s">
        <v>18</v>
      </c>
      <c r="J4568" t="s">
        <v>27</v>
      </c>
      <c r="K4568">
        <v>2</v>
      </c>
      <c r="L4568">
        <v>40</v>
      </c>
      <c r="M4568">
        <v>80</v>
      </c>
      <c r="N4568">
        <f>IF(COUNTIFS($B$2:B4568,B4568)=1,1,0)</f>
        <v>0</v>
      </c>
    </row>
    <row r="4569" spans="1:14" x14ac:dyDescent="0.2">
      <c r="A4569">
        <v>4568</v>
      </c>
      <c r="B4569">
        <v>3295</v>
      </c>
      <c r="C4569">
        <f>1/COUNTIF(B:B,Table1[[#This Row],[order_id]])</f>
        <v>0.33333333333333331</v>
      </c>
      <c r="D4569" t="str">
        <f>TEXT(Table1[[#This Row],[order_date]],"mmmm")</f>
        <v>December</v>
      </c>
      <c r="E4569" s="1">
        <v>45644</v>
      </c>
      <c r="F4569" s="1" t="str">
        <f>TEXT(Table1[[#This Row],[order_date]],"dddd")</f>
        <v>Wednesday</v>
      </c>
      <c r="G4569">
        <f>HOUR(Table1[[#This Row],[order_time]])</f>
        <v>16</v>
      </c>
      <c r="H4569" s="2">
        <v>0.6950115740740741</v>
      </c>
      <c r="I4569" t="s">
        <v>16</v>
      </c>
      <c r="J4569" t="s">
        <v>28</v>
      </c>
      <c r="K4569">
        <v>2</v>
      </c>
      <c r="L4569">
        <v>25</v>
      </c>
      <c r="M4569">
        <v>50</v>
      </c>
      <c r="N4569">
        <f>IF(COUNTIFS($B$2:B4569,B4569)=1,1,0)</f>
        <v>1</v>
      </c>
    </row>
    <row r="4570" spans="1:14" x14ac:dyDescent="0.2">
      <c r="A4570">
        <v>4569</v>
      </c>
      <c r="B4570">
        <v>3295</v>
      </c>
      <c r="C4570">
        <f>1/COUNTIF(B:B,Table1[[#This Row],[order_id]])</f>
        <v>0.33333333333333331</v>
      </c>
      <c r="D4570" t="str">
        <f>TEXT(Table1[[#This Row],[order_date]],"mmmm")</f>
        <v>December</v>
      </c>
      <c r="E4570" s="1">
        <v>45644</v>
      </c>
      <c r="F4570" s="1" t="str">
        <f>TEXT(Table1[[#This Row],[order_date]],"dddd")</f>
        <v>Wednesday</v>
      </c>
      <c r="G4570">
        <f>HOUR(Table1[[#This Row],[order_time]])</f>
        <v>14</v>
      </c>
      <c r="H4570" s="2">
        <v>0.6086111111111111</v>
      </c>
      <c r="I4570" t="s">
        <v>16</v>
      </c>
      <c r="J4570" t="s">
        <v>28</v>
      </c>
      <c r="K4570">
        <v>3</v>
      </c>
      <c r="L4570">
        <v>25</v>
      </c>
      <c r="M4570">
        <v>75</v>
      </c>
      <c r="N4570">
        <f>IF(COUNTIFS($B$2:B4570,B4570)=1,1,0)</f>
        <v>0</v>
      </c>
    </row>
    <row r="4571" spans="1:14" x14ac:dyDescent="0.2">
      <c r="A4571">
        <v>4570</v>
      </c>
      <c r="B4571">
        <v>3295</v>
      </c>
      <c r="C4571">
        <f>1/COUNTIF(B:B,Table1[[#This Row],[order_id]])</f>
        <v>0.33333333333333331</v>
      </c>
      <c r="D4571" t="str">
        <f>TEXT(Table1[[#This Row],[order_date]],"mmmm")</f>
        <v>December</v>
      </c>
      <c r="E4571" s="1">
        <v>45644</v>
      </c>
      <c r="F4571" s="1" t="str">
        <f>TEXT(Table1[[#This Row],[order_date]],"dddd")</f>
        <v>Wednesday</v>
      </c>
      <c r="G4571">
        <f>HOUR(Table1[[#This Row],[order_time]])</f>
        <v>14</v>
      </c>
      <c r="H4571" s="2">
        <v>0.62129629629629635</v>
      </c>
      <c r="I4571" t="s">
        <v>18</v>
      </c>
      <c r="J4571" t="s">
        <v>27</v>
      </c>
      <c r="K4571">
        <v>2</v>
      </c>
      <c r="L4571">
        <v>40</v>
      </c>
      <c r="M4571">
        <v>80</v>
      </c>
      <c r="N4571">
        <f>IF(COUNTIFS($B$2:B4571,B4571)=1,1,0)</f>
        <v>0</v>
      </c>
    </row>
    <row r="4572" spans="1:14" x14ac:dyDescent="0.2">
      <c r="A4572">
        <v>4571</v>
      </c>
      <c r="B4572">
        <v>3296</v>
      </c>
      <c r="C4572">
        <f>1/COUNTIF(B:B,Table1[[#This Row],[order_id]])</f>
        <v>0.33333333333333331</v>
      </c>
      <c r="D4572" t="str">
        <f>TEXT(Table1[[#This Row],[order_date]],"mmmm")</f>
        <v>December</v>
      </c>
      <c r="E4572" s="1">
        <v>45644</v>
      </c>
      <c r="F4572" s="1" t="str">
        <f>TEXT(Table1[[#This Row],[order_date]],"dddd")</f>
        <v>Wednesday</v>
      </c>
      <c r="G4572">
        <f>HOUR(Table1[[#This Row],[order_time]])</f>
        <v>20</v>
      </c>
      <c r="H4572" s="2">
        <v>0.87062499999999998</v>
      </c>
      <c r="I4572" t="s">
        <v>18</v>
      </c>
      <c r="J4572" t="s">
        <v>30</v>
      </c>
      <c r="K4572">
        <v>2</v>
      </c>
      <c r="L4572">
        <v>60</v>
      </c>
      <c r="M4572">
        <v>120</v>
      </c>
      <c r="N4572">
        <f>IF(COUNTIFS($B$2:B4572,B4572)=1,1,0)</f>
        <v>1</v>
      </c>
    </row>
    <row r="4573" spans="1:14" x14ac:dyDescent="0.2">
      <c r="A4573">
        <v>4572</v>
      </c>
      <c r="B4573">
        <v>3296</v>
      </c>
      <c r="C4573">
        <f>1/COUNTIF(B:B,Table1[[#This Row],[order_id]])</f>
        <v>0.33333333333333331</v>
      </c>
      <c r="D4573" t="str">
        <f>TEXT(Table1[[#This Row],[order_date]],"mmmm")</f>
        <v>December</v>
      </c>
      <c r="E4573" s="1">
        <v>45644</v>
      </c>
      <c r="F4573" s="1" t="str">
        <f>TEXT(Table1[[#This Row],[order_date]],"dddd")</f>
        <v>Wednesday</v>
      </c>
      <c r="G4573">
        <f>HOUR(Table1[[#This Row],[order_time]])</f>
        <v>13</v>
      </c>
      <c r="H4573" s="2">
        <v>0.58024305555555555</v>
      </c>
      <c r="I4573" t="s">
        <v>18</v>
      </c>
      <c r="J4573" t="s">
        <v>27</v>
      </c>
      <c r="K4573">
        <v>4</v>
      </c>
      <c r="L4573">
        <v>40</v>
      </c>
      <c r="M4573">
        <v>160</v>
      </c>
      <c r="N4573">
        <f>IF(COUNTIFS($B$2:B4573,B4573)=1,1,0)</f>
        <v>0</v>
      </c>
    </row>
    <row r="4574" spans="1:14" x14ac:dyDescent="0.2">
      <c r="A4574">
        <v>4573</v>
      </c>
      <c r="B4574">
        <v>3296</v>
      </c>
      <c r="C4574">
        <f>1/COUNTIF(B:B,Table1[[#This Row],[order_id]])</f>
        <v>0.33333333333333331</v>
      </c>
      <c r="D4574" t="str">
        <f>TEXT(Table1[[#This Row],[order_date]],"mmmm")</f>
        <v>December</v>
      </c>
      <c r="E4574" s="1">
        <v>45644</v>
      </c>
      <c r="F4574" s="1" t="str">
        <f>TEXT(Table1[[#This Row],[order_date]],"dddd")</f>
        <v>Wednesday</v>
      </c>
      <c r="G4574">
        <f>HOUR(Table1[[#This Row],[order_time]])</f>
        <v>15</v>
      </c>
      <c r="H4574" s="2">
        <v>0.64372685185185186</v>
      </c>
      <c r="I4574" t="s">
        <v>9</v>
      </c>
      <c r="J4574" t="s">
        <v>20</v>
      </c>
      <c r="K4574">
        <v>4</v>
      </c>
      <c r="L4574">
        <v>25</v>
      </c>
      <c r="M4574">
        <v>100</v>
      </c>
      <c r="N4574">
        <f>IF(COUNTIFS($B$2:B4574,B4574)=1,1,0)</f>
        <v>0</v>
      </c>
    </row>
    <row r="4575" spans="1:14" x14ac:dyDescent="0.2">
      <c r="A4575">
        <v>4574</v>
      </c>
      <c r="B4575">
        <v>3297</v>
      </c>
      <c r="C4575">
        <f>1/COUNTIF(B:B,Table1[[#This Row],[order_id]])</f>
        <v>1</v>
      </c>
      <c r="D4575" t="str">
        <f>TEXT(Table1[[#This Row],[order_date]],"mmmm")</f>
        <v>December</v>
      </c>
      <c r="E4575" s="1">
        <v>45644</v>
      </c>
      <c r="F4575" s="1" t="str">
        <f>TEXT(Table1[[#This Row],[order_date]],"dddd")</f>
        <v>Wednesday</v>
      </c>
      <c r="G4575">
        <f>HOUR(Table1[[#This Row],[order_time]])</f>
        <v>14</v>
      </c>
      <c r="H4575" s="2">
        <v>0.61511574074074071</v>
      </c>
      <c r="I4575" t="s">
        <v>16</v>
      </c>
      <c r="J4575" t="s">
        <v>17</v>
      </c>
      <c r="K4575">
        <v>3</v>
      </c>
      <c r="L4575">
        <v>20</v>
      </c>
      <c r="M4575">
        <v>60</v>
      </c>
      <c r="N4575">
        <f>IF(COUNTIFS($B$2:B4575,B4575)=1,1,0)</f>
        <v>1</v>
      </c>
    </row>
    <row r="4576" spans="1:14" x14ac:dyDescent="0.2">
      <c r="A4576">
        <v>4575</v>
      </c>
      <c r="B4576">
        <v>3298</v>
      </c>
      <c r="C4576">
        <f>1/COUNTIF(B:B,Table1[[#This Row],[order_id]])</f>
        <v>0.33333333333333331</v>
      </c>
      <c r="D4576" t="str">
        <f>TEXT(Table1[[#This Row],[order_date]],"mmmm")</f>
        <v>December</v>
      </c>
      <c r="E4576" s="1">
        <v>45644</v>
      </c>
      <c r="F4576" s="1" t="str">
        <f>TEXT(Table1[[#This Row],[order_date]],"dddd")</f>
        <v>Wednesday</v>
      </c>
      <c r="G4576">
        <f>HOUR(Table1[[#This Row],[order_time]])</f>
        <v>13</v>
      </c>
      <c r="H4576" s="2">
        <v>0.56690972222222225</v>
      </c>
      <c r="I4576" t="s">
        <v>18</v>
      </c>
      <c r="J4576" t="s">
        <v>30</v>
      </c>
      <c r="K4576">
        <v>3</v>
      </c>
      <c r="L4576">
        <v>60</v>
      </c>
      <c r="M4576">
        <v>180</v>
      </c>
      <c r="N4576">
        <f>IF(COUNTIFS($B$2:B4576,B4576)=1,1,0)</f>
        <v>1</v>
      </c>
    </row>
    <row r="4577" spans="1:14" x14ac:dyDescent="0.2">
      <c r="A4577">
        <v>4576</v>
      </c>
      <c r="B4577">
        <v>3298</v>
      </c>
      <c r="C4577">
        <f>1/COUNTIF(B:B,Table1[[#This Row],[order_id]])</f>
        <v>0.33333333333333331</v>
      </c>
      <c r="D4577" t="str">
        <f>TEXT(Table1[[#This Row],[order_date]],"mmmm")</f>
        <v>December</v>
      </c>
      <c r="E4577" s="1">
        <v>45644</v>
      </c>
      <c r="F4577" s="1" t="str">
        <f>TEXT(Table1[[#This Row],[order_date]],"dddd")</f>
        <v>Wednesday</v>
      </c>
      <c r="G4577">
        <f>HOUR(Table1[[#This Row],[order_time]])</f>
        <v>13</v>
      </c>
      <c r="H4577" s="2">
        <v>0.54883101851851857</v>
      </c>
      <c r="I4577" t="s">
        <v>9</v>
      </c>
      <c r="J4577" t="s">
        <v>20</v>
      </c>
      <c r="K4577">
        <v>4</v>
      </c>
      <c r="L4577">
        <v>25</v>
      </c>
      <c r="M4577">
        <v>100</v>
      </c>
      <c r="N4577">
        <f>IF(COUNTIFS($B$2:B4577,B4577)=1,1,0)</f>
        <v>0</v>
      </c>
    </row>
    <row r="4578" spans="1:14" x14ac:dyDescent="0.2">
      <c r="A4578">
        <v>4577</v>
      </c>
      <c r="B4578">
        <v>3298</v>
      </c>
      <c r="C4578">
        <f>1/COUNTIF(B:B,Table1[[#This Row],[order_id]])</f>
        <v>0.33333333333333331</v>
      </c>
      <c r="D4578" t="str">
        <f>TEXT(Table1[[#This Row],[order_date]],"mmmm")</f>
        <v>December</v>
      </c>
      <c r="E4578" s="1">
        <v>45644</v>
      </c>
      <c r="F4578" s="1" t="str">
        <f>TEXT(Table1[[#This Row],[order_date]],"dddd")</f>
        <v>Wednesday</v>
      </c>
      <c r="G4578">
        <f>HOUR(Table1[[#This Row],[order_time]])</f>
        <v>12</v>
      </c>
      <c r="H4578" s="2">
        <v>0.52449074074074076</v>
      </c>
      <c r="I4578" t="s">
        <v>18</v>
      </c>
      <c r="J4578" t="s">
        <v>19</v>
      </c>
      <c r="K4578">
        <v>4</v>
      </c>
      <c r="L4578">
        <v>50</v>
      </c>
      <c r="M4578">
        <v>200</v>
      </c>
      <c r="N4578">
        <f>IF(COUNTIFS($B$2:B4578,B4578)=1,1,0)</f>
        <v>0</v>
      </c>
    </row>
    <row r="4579" spans="1:14" x14ac:dyDescent="0.2">
      <c r="A4579">
        <v>4578</v>
      </c>
      <c r="B4579">
        <v>3299</v>
      </c>
      <c r="C4579">
        <f>1/COUNTIF(B:B,Table1[[#This Row],[order_id]])</f>
        <v>0.33333333333333331</v>
      </c>
      <c r="D4579" t="str">
        <f>TEXT(Table1[[#This Row],[order_date]],"mmmm")</f>
        <v>December</v>
      </c>
      <c r="E4579" s="1">
        <v>45644</v>
      </c>
      <c r="F4579" s="1" t="str">
        <f>TEXT(Table1[[#This Row],[order_date]],"dddd")</f>
        <v>Wednesday</v>
      </c>
      <c r="G4579">
        <f>HOUR(Table1[[#This Row],[order_time]])</f>
        <v>9</v>
      </c>
      <c r="H4579" s="2">
        <v>0.41322916666666665</v>
      </c>
      <c r="I4579" t="s">
        <v>16</v>
      </c>
      <c r="J4579" t="s">
        <v>24</v>
      </c>
      <c r="K4579">
        <v>1</v>
      </c>
      <c r="L4579">
        <v>35</v>
      </c>
      <c r="M4579">
        <v>35</v>
      </c>
      <c r="N4579">
        <f>IF(COUNTIFS($B$2:B4579,B4579)=1,1,0)</f>
        <v>1</v>
      </c>
    </row>
    <row r="4580" spans="1:14" x14ac:dyDescent="0.2">
      <c r="A4580">
        <v>4579</v>
      </c>
      <c r="B4580">
        <v>3299</v>
      </c>
      <c r="C4580">
        <f>1/COUNTIF(B:B,Table1[[#This Row],[order_id]])</f>
        <v>0.33333333333333331</v>
      </c>
      <c r="D4580" t="str">
        <f>TEXT(Table1[[#This Row],[order_date]],"mmmm")</f>
        <v>December</v>
      </c>
      <c r="E4580" s="1">
        <v>45644</v>
      </c>
      <c r="F4580" s="1" t="str">
        <f>TEXT(Table1[[#This Row],[order_date]],"dddd")</f>
        <v>Wednesday</v>
      </c>
      <c r="G4580">
        <f>HOUR(Table1[[#This Row],[order_time]])</f>
        <v>17</v>
      </c>
      <c r="H4580" s="2">
        <v>0.74524305555555559</v>
      </c>
      <c r="I4580" t="s">
        <v>11</v>
      </c>
      <c r="J4580" t="s">
        <v>25</v>
      </c>
      <c r="K4580">
        <v>3</v>
      </c>
      <c r="L4580">
        <v>1000</v>
      </c>
      <c r="M4580">
        <v>3000</v>
      </c>
      <c r="N4580">
        <f>IF(COUNTIFS($B$2:B4580,B4580)=1,1,0)</f>
        <v>0</v>
      </c>
    </row>
    <row r="4581" spans="1:14" x14ac:dyDescent="0.2">
      <c r="A4581">
        <v>4580</v>
      </c>
      <c r="B4581">
        <v>3299</v>
      </c>
      <c r="C4581">
        <f>1/COUNTIF(B:B,Table1[[#This Row],[order_id]])</f>
        <v>0.33333333333333331</v>
      </c>
      <c r="D4581" t="str">
        <f>TEXT(Table1[[#This Row],[order_date]],"mmmm")</f>
        <v>December</v>
      </c>
      <c r="E4581" s="1">
        <v>45644</v>
      </c>
      <c r="F4581" s="1" t="str">
        <f>TEXT(Table1[[#This Row],[order_date]],"dddd")</f>
        <v>Wednesday</v>
      </c>
      <c r="G4581">
        <f>HOUR(Table1[[#This Row],[order_time]])</f>
        <v>18</v>
      </c>
      <c r="H4581" s="2">
        <v>0.75203703703703706</v>
      </c>
      <c r="I4581" t="s">
        <v>16</v>
      </c>
      <c r="J4581" t="s">
        <v>23</v>
      </c>
      <c r="K4581">
        <v>4</v>
      </c>
      <c r="L4581">
        <v>30</v>
      </c>
      <c r="M4581">
        <v>120</v>
      </c>
      <c r="N4581">
        <f>IF(COUNTIFS($B$2:B4581,B4581)=1,1,0)</f>
        <v>0</v>
      </c>
    </row>
    <row r="4582" spans="1:14" x14ac:dyDescent="0.2">
      <c r="A4582">
        <v>4581</v>
      </c>
      <c r="B4582">
        <v>3300</v>
      </c>
      <c r="C4582">
        <f>1/COUNTIF(B:B,Table1[[#This Row],[order_id]])</f>
        <v>0.33333333333333331</v>
      </c>
      <c r="D4582" t="str">
        <f>TEXT(Table1[[#This Row],[order_date]],"mmmm")</f>
        <v>December</v>
      </c>
      <c r="E4582" s="1">
        <v>45644</v>
      </c>
      <c r="F4582" s="1" t="str">
        <f>TEXT(Table1[[#This Row],[order_date]],"dddd")</f>
        <v>Wednesday</v>
      </c>
      <c r="G4582">
        <f>HOUR(Table1[[#This Row],[order_time]])</f>
        <v>10</v>
      </c>
      <c r="H4582" s="2">
        <v>0.44975694444444442</v>
      </c>
      <c r="I4582" t="s">
        <v>16</v>
      </c>
      <c r="J4582" t="s">
        <v>23</v>
      </c>
      <c r="K4582">
        <v>2</v>
      </c>
      <c r="L4582">
        <v>30</v>
      </c>
      <c r="M4582">
        <v>60</v>
      </c>
      <c r="N4582">
        <f>IF(COUNTIFS($B$2:B4582,B4582)=1,1,0)</f>
        <v>1</v>
      </c>
    </row>
    <row r="4583" spans="1:14" x14ac:dyDescent="0.2">
      <c r="A4583">
        <v>4582</v>
      </c>
      <c r="B4583">
        <v>3300</v>
      </c>
      <c r="C4583">
        <f>1/COUNTIF(B:B,Table1[[#This Row],[order_id]])</f>
        <v>0.33333333333333331</v>
      </c>
      <c r="D4583" t="str">
        <f>TEXT(Table1[[#This Row],[order_date]],"mmmm")</f>
        <v>December</v>
      </c>
      <c r="E4583" s="1">
        <v>45644</v>
      </c>
      <c r="F4583" s="1" t="str">
        <f>TEXT(Table1[[#This Row],[order_date]],"dddd")</f>
        <v>Wednesday</v>
      </c>
      <c r="G4583">
        <f>HOUR(Table1[[#This Row],[order_time]])</f>
        <v>14</v>
      </c>
      <c r="H4583" s="2">
        <v>0.60623842592592592</v>
      </c>
      <c r="I4583" t="s">
        <v>16</v>
      </c>
      <c r="J4583" t="s">
        <v>28</v>
      </c>
      <c r="K4583">
        <v>5</v>
      </c>
      <c r="L4583">
        <v>25</v>
      </c>
      <c r="M4583">
        <v>125</v>
      </c>
      <c r="N4583">
        <f>IF(COUNTIFS($B$2:B4583,B4583)=1,1,0)</f>
        <v>0</v>
      </c>
    </row>
    <row r="4584" spans="1:14" x14ac:dyDescent="0.2">
      <c r="A4584">
        <v>4583</v>
      </c>
      <c r="B4584">
        <v>3300</v>
      </c>
      <c r="C4584">
        <f>1/COUNTIF(B:B,Table1[[#This Row],[order_id]])</f>
        <v>0.33333333333333331</v>
      </c>
      <c r="D4584" t="str">
        <f>TEXT(Table1[[#This Row],[order_date]],"mmmm")</f>
        <v>December</v>
      </c>
      <c r="E4584" s="1">
        <v>45644</v>
      </c>
      <c r="F4584" s="1" t="str">
        <f>TEXT(Table1[[#This Row],[order_date]],"dddd")</f>
        <v>Wednesday</v>
      </c>
      <c r="G4584">
        <f>HOUR(Table1[[#This Row],[order_time]])</f>
        <v>17</v>
      </c>
      <c r="H4584" s="2">
        <v>0.71531250000000002</v>
      </c>
      <c r="I4584" t="s">
        <v>9</v>
      </c>
      <c r="J4584" t="s">
        <v>22</v>
      </c>
      <c r="K4584">
        <v>1</v>
      </c>
      <c r="L4584">
        <v>15</v>
      </c>
      <c r="M4584">
        <v>15</v>
      </c>
      <c r="N4584">
        <f>IF(COUNTIFS($B$2:B4584,B4584)=1,1,0)</f>
        <v>0</v>
      </c>
    </row>
    <row r="4585" spans="1:14" x14ac:dyDescent="0.2">
      <c r="A4585">
        <v>4584</v>
      </c>
      <c r="B4585">
        <v>3301</v>
      </c>
      <c r="C4585">
        <f>1/COUNTIF(B:B,Table1[[#This Row],[order_id]])</f>
        <v>0.33333333333333331</v>
      </c>
      <c r="D4585" t="str">
        <f>TEXT(Table1[[#This Row],[order_date]],"mmmm")</f>
        <v>December</v>
      </c>
      <c r="E4585" s="1">
        <v>45644</v>
      </c>
      <c r="F4585" s="1" t="str">
        <f>TEXT(Table1[[#This Row],[order_date]],"dddd")</f>
        <v>Wednesday</v>
      </c>
      <c r="G4585">
        <f>HOUR(Table1[[#This Row],[order_time]])</f>
        <v>9</v>
      </c>
      <c r="H4585" s="2">
        <v>0.41652777777777777</v>
      </c>
      <c r="I4585" t="s">
        <v>16</v>
      </c>
      <c r="J4585" t="s">
        <v>17</v>
      </c>
      <c r="K4585">
        <v>4</v>
      </c>
      <c r="L4585">
        <v>20</v>
      </c>
      <c r="M4585">
        <v>80</v>
      </c>
      <c r="N4585">
        <f>IF(COUNTIFS($B$2:B4585,B4585)=1,1,0)</f>
        <v>1</v>
      </c>
    </row>
    <row r="4586" spans="1:14" x14ac:dyDescent="0.2">
      <c r="A4586">
        <v>4585</v>
      </c>
      <c r="B4586">
        <v>3301</v>
      </c>
      <c r="C4586">
        <f>1/COUNTIF(B:B,Table1[[#This Row],[order_id]])</f>
        <v>0.33333333333333331</v>
      </c>
      <c r="D4586" t="str">
        <f>TEXT(Table1[[#This Row],[order_date]],"mmmm")</f>
        <v>December</v>
      </c>
      <c r="E4586" s="1">
        <v>45644</v>
      </c>
      <c r="F4586" s="1" t="str">
        <f>TEXT(Table1[[#This Row],[order_date]],"dddd")</f>
        <v>Wednesday</v>
      </c>
      <c r="G4586">
        <f>HOUR(Table1[[#This Row],[order_time]])</f>
        <v>19</v>
      </c>
      <c r="H4586" s="2">
        <v>0.81958333333333333</v>
      </c>
      <c r="I4586" t="s">
        <v>18</v>
      </c>
      <c r="J4586" t="s">
        <v>31</v>
      </c>
      <c r="K4586">
        <v>5</v>
      </c>
      <c r="L4586">
        <v>45</v>
      </c>
      <c r="M4586">
        <v>225</v>
      </c>
      <c r="N4586">
        <f>IF(COUNTIFS($B$2:B4586,B4586)=1,1,0)</f>
        <v>0</v>
      </c>
    </row>
    <row r="4587" spans="1:14" x14ac:dyDescent="0.2">
      <c r="A4587">
        <v>4586</v>
      </c>
      <c r="B4587">
        <v>3301</v>
      </c>
      <c r="C4587">
        <f>1/COUNTIF(B:B,Table1[[#This Row],[order_id]])</f>
        <v>0.33333333333333331</v>
      </c>
      <c r="D4587" t="str">
        <f>TEXT(Table1[[#This Row],[order_date]],"mmmm")</f>
        <v>December</v>
      </c>
      <c r="E4587" s="1">
        <v>45644</v>
      </c>
      <c r="F4587" s="1" t="str">
        <f>TEXT(Table1[[#This Row],[order_date]],"dddd")</f>
        <v>Wednesday</v>
      </c>
      <c r="G4587">
        <f>HOUR(Table1[[#This Row],[order_time]])</f>
        <v>17</v>
      </c>
      <c r="H4587" s="2">
        <v>0.72641203703703705</v>
      </c>
      <c r="I4587" t="s">
        <v>16</v>
      </c>
      <c r="J4587" t="s">
        <v>17</v>
      </c>
      <c r="K4587">
        <v>4</v>
      </c>
      <c r="L4587">
        <v>20</v>
      </c>
      <c r="M4587">
        <v>80</v>
      </c>
      <c r="N4587">
        <f>IF(COUNTIFS($B$2:B4587,B4587)=1,1,0)</f>
        <v>0</v>
      </c>
    </row>
    <row r="4588" spans="1:14" x14ac:dyDescent="0.2">
      <c r="A4588">
        <v>4587</v>
      </c>
      <c r="B4588">
        <v>3302</v>
      </c>
      <c r="C4588">
        <f>1/COUNTIF(B:B,Table1[[#This Row],[order_id]])</f>
        <v>0.5</v>
      </c>
      <c r="D4588" t="str">
        <f>TEXT(Table1[[#This Row],[order_date]],"mmmm")</f>
        <v>December</v>
      </c>
      <c r="E4588" s="1">
        <v>45645</v>
      </c>
      <c r="F4588" s="1" t="str">
        <f>TEXT(Table1[[#This Row],[order_date]],"dddd")</f>
        <v>Thursday</v>
      </c>
      <c r="G4588">
        <f>HOUR(Table1[[#This Row],[order_time]])</f>
        <v>18</v>
      </c>
      <c r="H4588" s="2">
        <v>0.75958333333333339</v>
      </c>
      <c r="I4588" t="s">
        <v>9</v>
      </c>
      <c r="J4588" t="s">
        <v>10</v>
      </c>
      <c r="K4588">
        <v>2</v>
      </c>
      <c r="L4588">
        <v>20</v>
      </c>
      <c r="M4588">
        <v>40</v>
      </c>
      <c r="N4588">
        <f>IF(COUNTIFS($B$2:B4588,B4588)=1,1,0)</f>
        <v>1</v>
      </c>
    </row>
    <row r="4589" spans="1:14" x14ac:dyDescent="0.2">
      <c r="A4589">
        <v>4588</v>
      </c>
      <c r="B4589">
        <v>3302</v>
      </c>
      <c r="C4589">
        <f>1/COUNTIF(B:B,Table1[[#This Row],[order_id]])</f>
        <v>0.5</v>
      </c>
      <c r="D4589" t="str">
        <f>TEXT(Table1[[#This Row],[order_date]],"mmmm")</f>
        <v>December</v>
      </c>
      <c r="E4589" s="1">
        <v>45645</v>
      </c>
      <c r="F4589" s="1" t="str">
        <f>TEXT(Table1[[#This Row],[order_date]],"dddd")</f>
        <v>Thursday</v>
      </c>
      <c r="G4589">
        <f>HOUR(Table1[[#This Row],[order_time]])</f>
        <v>18</v>
      </c>
      <c r="H4589" s="2">
        <v>0.76840277777777777</v>
      </c>
      <c r="I4589" t="s">
        <v>9</v>
      </c>
      <c r="J4589" t="s">
        <v>21</v>
      </c>
      <c r="K4589">
        <v>4</v>
      </c>
      <c r="L4589">
        <v>10</v>
      </c>
      <c r="M4589">
        <v>40</v>
      </c>
      <c r="N4589">
        <f>IF(COUNTIFS($B$2:B4589,B4589)=1,1,0)</f>
        <v>0</v>
      </c>
    </row>
    <row r="4590" spans="1:14" x14ac:dyDescent="0.2">
      <c r="A4590">
        <v>4589</v>
      </c>
      <c r="B4590">
        <v>3303</v>
      </c>
      <c r="C4590">
        <f>1/COUNTIF(B:B,Table1[[#This Row],[order_id]])</f>
        <v>0.5</v>
      </c>
      <c r="D4590" t="str">
        <f>TEXT(Table1[[#This Row],[order_date]],"mmmm")</f>
        <v>December</v>
      </c>
      <c r="E4590" s="1">
        <v>45645</v>
      </c>
      <c r="F4590" s="1" t="str">
        <f>TEXT(Table1[[#This Row],[order_date]],"dddd")</f>
        <v>Thursday</v>
      </c>
      <c r="G4590">
        <f>HOUR(Table1[[#This Row],[order_time]])</f>
        <v>15</v>
      </c>
      <c r="H4590" s="2">
        <v>0.63726851851851851</v>
      </c>
      <c r="I4590" t="s">
        <v>9</v>
      </c>
      <c r="J4590" t="s">
        <v>10</v>
      </c>
      <c r="K4590">
        <v>3</v>
      </c>
      <c r="L4590">
        <v>20</v>
      </c>
      <c r="M4590">
        <v>60</v>
      </c>
      <c r="N4590">
        <f>IF(COUNTIFS($B$2:B4590,B4590)=1,1,0)</f>
        <v>1</v>
      </c>
    </row>
    <row r="4591" spans="1:14" x14ac:dyDescent="0.2">
      <c r="A4591">
        <v>4590</v>
      </c>
      <c r="B4591">
        <v>3303</v>
      </c>
      <c r="C4591">
        <f>1/COUNTIF(B:B,Table1[[#This Row],[order_id]])</f>
        <v>0.5</v>
      </c>
      <c r="D4591" t="str">
        <f>TEXT(Table1[[#This Row],[order_date]],"mmmm")</f>
        <v>December</v>
      </c>
      <c r="E4591" s="1">
        <v>45645</v>
      </c>
      <c r="F4591" s="1" t="str">
        <f>TEXT(Table1[[#This Row],[order_date]],"dddd")</f>
        <v>Thursday</v>
      </c>
      <c r="G4591">
        <f>HOUR(Table1[[#This Row],[order_time]])</f>
        <v>16</v>
      </c>
      <c r="H4591" s="2">
        <v>0.67434027777777783</v>
      </c>
      <c r="I4591" t="s">
        <v>18</v>
      </c>
      <c r="J4591" t="s">
        <v>26</v>
      </c>
      <c r="K4591">
        <v>4</v>
      </c>
      <c r="L4591">
        <v>55</v>
      </c>
      <c r="M4591">
        <v>220</v>
      </c>
      <c r="N4591">
        <f>IF(COUNTIFS($B$2:B4591,B4591)=1,1,0)</f>
        <v>0</v>
      </c>
    </row>
    <row r="4592" spans="1:14" x14ac:dyDescent="0.2">
      <c r="A4592">
        <v>4591</v>
      </c>
      <c r="B4592">
        <v>3304</v>
      </c>
      <c r="C4592">
        <f>1/COUNTIF(B:B,Table1[[#This Row],[order_id]])</f>
        <v>0.5</v>
      </c>
      <c r="D4592" t="str">
        <f>TEXT(Table1[[#This Row],[order_date]],"mmmm")</f>
        <v>December</v>
      </c>
      <c r="E4592" s="1">
        <v>45645</v>
      </c>
      <c r="F4592" s="1" t="str">
        <f>TEXT(Table1[[#This Row],[order_date]],"dddd")</f>
        <v>Thursday</v>
      </c>
      <c r="G4592">
        <f>HOUR(Table1[[#This Row],[order_time]])</f>
        <v>11</v>
      </c>
      <c r="H4592" s="2">
        <v>0.48922453703703705</v>
      </c>
      <c r="I4592" t="s">
        <v>9</v>
      </c>
      <c r="J4592" t="s">
        <v>22</v>
      </c>
      <c r="K4592">
        <v>5</v>
      </c>
      <c r="L4592">
        <v>15</v>
      </c>
      <c r="M4592">
        <v>75</v>
      </c>
      <c r="N4592">
        <f>IF(COUNTIFS($B$2:B4592,B4592)=1,1,0)</f>
        <v>1</v>
      </c>
    </row>
    <row r="4593" spans="1:14" x14ac:dyDescent="0.2">
      <c r="A4593">
        <v>4592</v>
      </c>
      <c r="B4593">
        <v>3304</v>
      </c>
      <c r="C4593">
        <f>1/COUNTIF(B:B,Table1[[#This Row],[order_id]])</f>
        <v>0.5</v>
      </c>
      <c r="D4593" t="str">
        <f>TEXT(Table1[[#This Row],[order_date]],"mmmm")</f>
        <v>December</v>
      </c>
      <c r="E4593" s="1">
        <v>45645</v>
      </c>
      <c r="F4593" s="1" t="str">
        <f>TEXT(Table1[[#This Row],[order_date]],"dddd")</f>
        <v>Thursday</v>
      </c>
      <c r="G4593">
        <f>HOUR(Table1[[#This Row],[order_time]])</f>
        <v>9</v>
      </c>
      <c r="H4593" s="2">
        <v>0.40126157407407409</v>
      </c>
      <c r="I4593" t="s">
        <v>18</v>
      </c>
      <c r="J4593" t="s">
        <v>31</v>
      </c>
      <c r="K4593">
        <v>5</v>
      </c>
      <c r="L4593">
        <v>45</v>
      </c>
      <c r="M4593">
        <v>225</v>
      </c>
      <c r="N4593">
        <f>IF(COUNTIFS($B$2:B4593,B4593)=1,1,0)</f>
        <v>0</v>
      </c>
    </row>
    <row r="4594" spans="1:14" x14ac:dyDescent="0.2">
      <c r="A4594">
        <v>4593</v>
      </c>
      <c r="B4594">
        <v>3305</v>
      </c>
      <c r="C4594">
        <f>1/COUNTIF(B:B,Table1[[#This Row],[order_id]])</f>
        <v>0.33333333333333331</v>
      </c>
      <c r="D4594" t="str">
        <f>TEXT(Table1[[#This Row],[order_date]],"mmmm")</f>
        <v>December</v>
      </c>
      <c r="E4594" s="1">
        <v>45645</v>
      </c>
      <c r="F4594" s="1" t="str">
        <f>TEXT(Table1[[#This Row],[order_date]],"dddd")</f>
        <v>Thursday</v>
      </c>
      <c r="G4594">
        <f>HOUR(Table1[[#This Row],[order_time]])</f>
        <v>16</v>
      </c>
      <c r="H4594" s="2">
        <v>0.68018518518518523</v>
      </c>
      <c r="I4594" t="s">
        <v>11</v>
      </c>
      <c r="J4594" t="s">
        <v>12</v>
      </c>
      <c r="K4594">
        <v>4</v>
      </c>
      <c r="L4594">
        <v>650</v>
      </c>
      <c r="M4594">
        <v>2600</v>
      </c>
      <c r="N4594">
        <f>IF(COUNTIFS($B$2:B4594,B4594)=1,1,0)</f>
        <v>1</v>
      </c>
    </row>
    <row r="4595" spans="1:14" x14ac:dyDescent="0.2">
      <c r="A4595">
        <v>4594</v>
      </c>
      <c r="B4595">
        <v>3305</v>
      </c>
      <c r="C4595">
        <f>1/COUNTIF(B:B,Table1[[#This Row],[order_id]])</f>
        <v>0.33333333333333331</v>
      </c>
      <c r="D4595" t="str">
        <f>TEXT(Table1[[#This Row],[order_date]],"mmmm")</f>
        <v>December</v>
      </c>
      <c r="E4595" s="1">
        <v>45645</v>
      </c>
      <c r="F4595" s="1" t="str">
        <f>TEXT(Table1[[#This Row],[order_date]],"dddd")</f>
        <v>Thursday</v>
      </c>
      <c r="G4595">
        <f>HOUR(Table1[[#This Row],[order_time]])</f>
        <v>13</v>
      </c>
      <c r="H4595" s="2">
        <v>0.58112268518518517</v>
      </c>
      <c r="I4595" t="s">
        <v>16</v>
      </c>
      <c r="J4595" t="s">
        <v>28</v>
      </c>
      <c r="K4595">
        <v>1</v>
      </c>
      <c r="L4595">
        <v>25</v>
      </c>
      <c r="M4595">
        <v>25</v>
      </c>
      <c r="N4595">
        <f>IF(COUNTIFS($B$2:B4595,B4595)=1,1,0)</f>
        <v>0</v>
      </c>
    </row>
    <row r="4596" spans="1:14" x14ac:dyDescent="0.2">
      <c r="A4596">
        <v>4595</v>
      </c>
      <c r="B4596">
        <v>3305</v>
      </c>
      <c r="C4596">
        <f>1/COUNTIF(B:B,Table1[[#This Row],[order_id]])</f>
        <v>0.33333333333333331</v>
      </c>
      <c r="D4596" t="str">
        <f>TEXT(Table1[[#This Row],[order_date]],"mmmm")</f>
        <v>December</v>
      </c>
      <c r="E4596" s="1">
        <v>45645</v>
      </c>
      <c r="F4596" s="1" t="str">
        <f>TEXT(Table1[[#This Row],[order_date]],"dddd")</f>
        <v>Thursday</v>
      </c>
      <c r="G4596">
        <f>HOUR(Table1[[#This Row],[order_time]])</f>
        <v>20</v>
      </c>
      <c r="H4596" s="2">
        <v>0.84969907407407408</v>
      </c>
      <c r="I4596" t="s">
        <v>11</v>
      </c>
      <c r="J4596" t="s">
        <v>15</v>
      </c>
      <c r="K4596">
        <v>1</v>
      </c>
      <c r="L4596">
        <v>600</v>
      </c>
      <c r="M4596">
        <v>600</v>
      </c>
      <c r="N4596">
        <f>IF(COUNTIFS($B$2:B4596,B4596)=1,1,0)</f>
        <v>0</v>
      </c>
    </row>
    <row r="4597" spans="1:14" x14ac:dyDescent="0.2">
      <c r="A4597">
        <v>4596</v>
      </c>
      <c r="B4597">
        <v>3306</v>
      </c>
      <c r="C4597">
        <f>1/COUNTIF(B:B,Table1[[#This Row],[order_id]])</f>
        <v>0.5</v>
      </c>
      <c r="D4597" t="str">
        <f>TEXT(Table1[[#This Row],[order_date]],"mmmm")</f>
        <v>December</v>
      </c>
      <c r="E4597" s="1">
        <v>45646</v>
      </c>
      <c r="F4597" s="1" t="str">
        <f>TEXT(Table1[[#This Row],[order_date]],"dddd")</f>
        <v>Friday</v>
      </c>
      <c r="G4597">
        <f>HOUR(Table1[[#This Row],[order_time]])</f>
        <v>15</v>
      </c>
      <c r="H4597" s="2">
        <v>0.62642361111111111</v>
      </c>
      <c r="I4597" t="s">
        <v>11</v>
      </c>
      <c r="J4597" t="s">
        <v>25</v>
      </c>
      <c r="K4597">
        <v>5</v>
      </c>
      <c r="L4597">
        <v>1000</v>
      </c>
      <c r="M4597">
        <v>5000</v>
      </c>
      <c r="N4597">
        <f>IF(COUNTIFS($B$2:B4597,B4597)=1,1,0)</f>
        <v>1</v>
      </c>
    </row>
    <row r="4598" spans="1:14" x14ac:dyDescent="0.2">
      <c r="A4598">
        <v>4597</v>
      </c>
      <c r="B4598">
        <v>3306</v>
      </c>
      <c r="C4598">
        <f>1/COUNTIF(B:B,Table1[[#This Row],[order_id]])</f>
        <v>0.5</v>
      </c>
      <c r="D4598" t="str">
        <f>TEXT(Table1[[#This Row],[order_date]],"mmmm")</f>
        <v>December</v>
      </c>
      <c r="E4598" s="1">
        <v>45646</v>
      </c>
      <c r="F4598" s="1" t="str">
        <f>TEXT(Table1[[#This Row],[order_date]],"dddd")</f>
        <v>Friday</v>
      </c>
      <c r="G4598">
        <f>HOUR(Table1[[#This Row],[order_time]])</f>
        <v>14</v>
      </c>
      <c r="H4598" s="2">
        <v>0.58649305555555553</v>
      </c>
      <c r="I4598" t="s">
        <v>11</v>
      </c>
      <c r="J4598" t="s">
        <v>14</v>
      </c>
      <c r="K4598">
        <v>2</v>
      </c>
      <c r="L4598">
        <v>700</v>
      </c>
      <c r="M4598">
        <v>1400</v>
      </c>
      <c r="N4598">
        <f>IF(COUNTIFS($B$2:B4598,B4598)=1,1,0)</f>
        <v>0</v>
      </c>
    </row>
    <row r="4599" spans="1:14" x14ac:dyDescent="0.2">
      <c r="A4599">
        <v>4598</v>
      </c>
      <c r="B4599">
        <v>3307</v>
      </c>
      <c r="C4599">
        <f>1/COUNTIF(B:B,Table1[[#This Row],[order_id]])</f>
        <v>0.33333333333333331</v>
      </c>
      <c r="D4599" t="str">
        <f>TEXT(Table1[[#This Row],[order_date]],"mmmm")</f>
        <v>December</v>
      </c>
      <c r="E4599" s="1">
        <v>45646</v>
      </c>
      <c r="F4599" s="1" t="str">
        <f>TEXT(Table1[[#This Row],[order_date]],"dddd")</f>
        <v>Friday</v>
      </c>
      <c r="G4599">
        <f>HOUR(Table1[[#This Row],[order_time]])</f>
        <v>14</v>
      </c>
      <c r="H4599" s="2">
        <v>0.58438657407407413</v>
      </c>
      <c r="I4599" t="s">
        <v>16</v>
      </c>
      <c r="J4599" t="s">
        <v>23</v>
      </c>
      <c r="K4599">
        <v>3</v>
      </c>
      <c r="L4599">
        <v>30</v>
      </c>
      <c r="M4599">
        <v>90</v>
      </c>
      <c r="N4599">
        <f>IF(COUNTIFS($B$2:B4599,B4599)=1,1,0)</f>
        <v>1</v>
      </c>
    </row>
    <row r="4600" spans="1:14" x14ac:dyDescent="0.2">
      <c r="A4600">
        <v>4599</v>
      </c>
      <c r="B4600">
        <v>3307</v>
      </c>
      <c r="C4600">
        <f>1/COUNTIF(B:B,Table1[[#This Row],[order_id]])</f>
        <v>0.33333333333333331</v>
      </c>
      <c r="D4600" t="str">
        <f>TEXT(Table1[[#This Row],[order_date]],"mmmm")</f>
        <v>December</v>
      </c>
      <c r="E4600" s="1">
        <v>45646</v>
      </c>
      <c r="F4600" s="1" t="str">
        <f>TEXT(Table1[[#This Row],[order_date]],"dddd")</f>
        <v>Friday</v>
      </c>
      <c r="G4600">
        <f>HOUR(Table1[[#This Row],[order_time]])</f>
        <v>18</v>
      </c>
      <c r="H4600" s="2">
        <v>0.77560185185185182</v>
      </c>
      <c r="I4600" t="s">
        <v>16</v>
      </c>
      <c r="J4600" t="s">
        <v>17</v>
      </c>
      <c r="K4600">
        <v>2</v>
      </c>
      <c r="L4600">
        <v>20</v>
      </c>
      <c r="M4600">
        <v>40</v>
      </c>
      <c r="N4600">
        <f>IF(COUNTIFS($B$2:B4600,B4600)=1,1,0)</f>
        <v>0</v>
      </c>
    </row>
    <row r="4601" spans="1:14" x14ac:dyDescent="0.2">
      <c r="A4601">
        <v>4600</v>
      </c>
      <c r="B4601">
        <v>3307</v>
      </c>
      <c r="C4601">
        <f>1/COUNTIF(B:B,Table1[[#This Row],[order_id]])</f>
        <v>0.33333333333333331</v>
      </c>
      <c r="D4601" t="str">
        <f>TEXT(Table1[[#This Row],[order_date]],"mmmm")</f>
        <v>December</v>
      </c>
      <c r="E4601" s="1">
        <v>45646</v>
      </c>
      <c r="F4601" s="1" t="str">
        <f>TEXT(Table1[[#This Row],[order_date]],"dddd")</f>
        <v>Friday</v>
      </c>
      <c r="G4601">
        <f>HOUR(Table1[[#This Row],[order_time]])</f>
        <v>10</v>
      </c>
      <c r="H4601" s="2">
        <v>0.44033564814814813</v>
      </c>
      <c r="I4601" t="s">
        <v>11</v>
      </c>
      <c r="J4601" t="s">
        <v>15</v>
      </c>
      <c r="K4601">
        <v>5</v>
      </c>
      <c r="L4601">
        <v>600</v>
      </c>
      <c r="M4601">
        <v>3000</v>
      </c>
      <c r="N4601">
        <f>IF(COUNTIFS($B$2:B4601,B4601)=1,1,0)</f>
        <v>0</v>
      </c>
    </row>
    <row r="4602" spans="1:14" x14ac:dyDescent="0.2">
      <c r="A4602">
        <v>4601</v>
      </c>
      <c r="B4602">
        <v>3308</v>
      </c>
      <c r="C4602">
        <f>1/COUNTIF(B:B,Table1[[#This Row],[order_id]])</f>
        <v>0.5</v>
      </c>
      <c r="D4602" t="str">
        <f>TEXT(Table1[[#This Row],[order_date]],"mmmm")</f>
        <v>December</v>
      </c>
      <c r="E4602" s="1">
        <v>45646</v>
      </c>
      <c r="F4602" s="1" t="str">
        <f>TEXT(Table1[[#This Row],[order_date]],"dddd")</f>
        <v>Friday</v>
      </c>
      <c r="G4602">
        <f>HOUR(Table1[[#This Row],[order_time]])</f>
        <v>11</v>
      </c>
      <c r="H4602" s="2">
        <v>0.47765046296296299</v>
      </c>
      <c r="I4602" t="s">
        <v>18</v>
      </c>
      <c r="J4602" t="s">
        <v>30</v>
      </c>
      <c r="K4602">
        <v>1</v>
      </c>
      <c r="L4602">
        <v>60</v>
      </c>
      <c r="M4602">
        <v>60</v>
      </c>
      <c r="N4602">
        <f>IF(COUNTIFS($B$2:B4602,B4602)=1,1,0)</f>
        <v>1</v>
      </c>
    </row>
    <row r="4603" spans="1:14" x14ac:dyDescent="0.2">
      <c r="A4603">
        <v>4602</v>
      </c>
      <c r="B4603">
        <v>3308</v>
      </c>
      <c r="C4603">
        <f>1/COUNTIF(B:B,Table1[[#This Row],[order_id]])</f>
        <v>0.5</v>
      </c>
      <c r="D4603" t="str">
        <f>TEXT(Table1[[#This Row],[order_date]],"mmmm")</f>
        <v>December</v>
      </c>
      <c r="E4603" s="1">
        <v>45646</v>
      </c>
      <c r="F4603" s="1" t="str">
        <f>TEXT(Table1[[#This Row],[order_date]],"dddd")</f>
        <v>Friday</v>
      </c>
      <c r="G4603">
        <f>HOUR(Table1[[#This Row],[order_time]])</f>
        <v>16</v>
      </c>
      <c r="H4603" s="2">
        <v>0.69233796296296302</v>
      </c>
      <c r="I4603" t="s">
        <v>11</v>
      </c>
      <c r="J4603" t="s">
        <v>12</v>
      </c>
      <c r="K4603">
        <v>5</v>
      </c>
      <c r="L4603">
        <v>650</v>
      </c>
      <c r="M4603">
        <v>3250</v>
      </c>
      <c r="N4603">
        <f>IF(COUNTIFS($B$2:B4603,B4603)=1,1,0)</f>
        <v>0</v>
      </c>
    </row>
    <row r="4604" spans="1:14" x14ac:dyDescent="0.2">
      <c r="A4604">
        <v>4603</v>
      </c>
      <c r="B4604">
        <v>3309</v>
      </c>
      <c r="C4604">
        <f>1/COUNTIF(B:B,Table1[[#This Row],[order_id]])</f>
        <v>1</v>
      </c>
      <c r="D4604" t="str">
        <f>TEXT(Table1[[#This Row],[order_date]],"mmmm")</f>
        <v>December</v>
      </c>
      <c r="E4604" s="1">
        <v>45646</v>
      </c>
      <c r="F4604" s="1" t="str">
        <f>TEXT(Table1[[#This Row],[order_date]],"dddd")</f>
        <v>Friday</v>
      </c>
      <c r="G4604">
        <f>HOUR(Table1[[#This Row],[order_time]])</f>
        <v>12</v>
      </c>
      <c r="H4604" s="2">
        <v>0.50054398148148149</v>
      </c>
      <c r="I4604" t="s">
        <v>11</v>
      </c>
      <c r="J4604" t="s">
        <v>25</v>
      </c>
      <c r="K4604">
        <v>4</v>
      </c>
      <c r="L4604">
        <v>1000</v>
      </c>
      <c r="M4604">
        <v>4000</v>
      </c>
      <c r="N4604">
        <f>IF(COUNTIFS($B$2:B4604,B4604)=1,1,0)</f>
        <v>1</v>
      </c>
    </row>
    <row r="4605" spans="1:14" x14ac:dyDescent="0.2">
      <c r="A4605">
        <v>4604</v>
      </c>
      <c r="B4605">
        <v>3310</v>
      </c>
      <c r="C4605">
        <f>1/COUNTIF(B:B,Table1[[#This Row],[order_id]])</f>
        <v>0.33333333333333331</v>
      </c>
      <c r="D4605" t="str">
        <f>TEXT(Table1[[#This Row],[order_date]],"mmmm")</f>
        <v>December</v>
      </c>
      <c r="E4605" s="1">
        <v>45646</v>
      </c>
      <c r="F4605" s="1" t="str">
        <f>TEXT(Table1[[#This Row],[order_date]],"dddd")</f>
        <v>Friday</v>
      </c>
      <c r="G4605">
        <f>HOUR(Table1[[#This Row],[order_time]])</f>
        <v>17</v>
      </c>
      <c r="H4605" s="2">
        <v>0.71322916666666669</v>
      </c>
      <c r="I4605" t="s">
        <v>16</v>
      </c>
      <c r="J4605" t="s">
        <v>24</v>
      </c>
      <c r="K4605">
        <v>4</v>
      </c>
      <c r="L4605">
        <v>35</v>
      </c>
      <c r="M4605">
        <v>140</v>
      </c>
      <c r="N4605">
        <f>IF(COUNTIFS($B$2:B4605,B4605)=1,1,0)</f>
        <v>1</v>
      </c>
    </row>
    <row r="4606" spans="1:14" x14ac:dyDescent="0.2">
      <c r="A4606">
        <v>4605</v>
      </c>
      <c r="B4606">
        <v>3310</v>
      </c>
      <c r="C4606">
        <f>1/COUNTIF(B:B,Table1[[#This Row],[order_id]])</f>
        <v>0.33333333333333331</v>
      </c>
      <c r="D4606" t="str">
        <f>TEXT(Table1[[#This Row],[order_date]],"mmmm")</f>
        <v>December</v>
      </c>
      <c r="E4606" s="1">
        <v>45646</v>
      </c>
      <c r="F4606" s="1" t="str">
        <f>TEXT(Table1[[#This Row],[order_date]],"dddd")</f>
        <v>Friday</v>
      </c>
      <c r="G4606">
        <f>HOUR(Table1[[#This Row],[order_time]])</f>
        <v>14</v>
      </c>
      <c r="H4606" s="2">
        <v>0.60302083333333334</v>
      </c>
      <c r="I4606" t="s">
        <v>9</v>
      </c>
      <c r="J4606" t="s">
        <v>22</v>
      </c>
      <c r="K4606">
        <v>1</v>
      </c>
      <c r="L4606">
        <v>15</v>
      </c>
      <c r="M4606">
        <v>15</v>
      </c>
      <c r="N4606">
        <f>IF(COUNTIFS($B$2:B4606,B4606)=1,1,0)</f>
        <v>0</v>
      </c>
    </row>
    <row r="4607" spans="1:14" x14ac:dyDescent="0.2">
      <c r="A4607">
        <v>4606</v>
      </c>
      <c r="B4607">
        <v>3310</v>
      </c>
      <c r="C4607">
        <f>1/COUNTIF(B:B,Table1[[#This Row],[order_id]])</f>
        <v>0.33333333333333331</v>
      </c>
      <c r="D4607" t="str">
        <f>TEXT(Table1[[#This Row],[order_date]],"mmmm")</f>
        <v>December</v>
      </c>
      <c r="E4607" s="1">
        <v>45646</v>
      </c>
      <c r="F4607" s="1" t="str">
        <f>TEXT(Table1[[#This Row],[order_date]],"dddd")</f>
        <v>Friday</v>
      </c>
      <c r="G4607">
        <f>HOUR(Table1[[#This Row],[order_time]])</f>
        <v>9</v>
      </c>
      <c r="H4607" s="2">
        <v>0.38340277777777776</v>
      </c>
      <c r="I4607" t="s">
        <v>11</v>
      </c>
      <c r="J4607" t="s">
        <v>15</v>
      </c>
      <c r="K4607">
        <v>1</v>
      </c>
      <c r="L4607">
        <v>600</v>
      </c>
      <c r="M4607">
        <v>600</v>
      </c>
      <c r="N4607">
        <f>IF(COUNTIFS($B$2:B4607,B4607)=1,1,0)</f>
        <v>0</v>
      </c>
    </row>
    <row r="4608" spans="1:14" x14ac:dyDescent="0.2">
      <c r="A4608">
        <v>4607</v>
      </c>
      <c r="B4608">
        <v>3311</v>
      </c>
      <c r="C4608">
        <f>1/COUNTIF(B:B,Table1[[#This Row],[order_id]])</f>
        <v>0.5</v>
      </c>
      <c r="D4608" t="str">
        <f>TEXT(Table1[[#This Row],[order_date]],"mmmm")</f>
        <v>December</v>
      </c>
      <c r="E4608" s="1">
        <v>45646</v>
      </c>
      <c r="F4608" s="1" t="str">
        <f>TEXT(Table1[[#This Row],[order_date]],"dddd")</f>
        <v>Friday</v>
      </c>
      <c r="G4608">
        <f>HOUR(Table1[[#This Row],[order_time]])</f>
        <v>20</v>
      </c>
      <c r="H4608" s="2">
        <v>0.86928240740740736</v>
      </c>
      <c r="I4608" t="s">
        <v>16</v>
      </c>
      <c r="J4608" t="s">
        <v>28</v>
      </c>
      <c r="K4608">
        <v>1</v>
      </c>
      <c r="L4608">
        <v>25</v>
      </c>
      <c r="M4608">
        <v>25</v>
      </c>
      <c r="N4608">
        <f>IF(COUNTIFS($B$2:B4608,B4608)=1,1,0)</f>
        <v>1</v>
      </c>
    </row>
    <row r="4609" spans="1:14" x14ac:dyDescent="0.2">
      <c r="A4609">
        <v>4608</v>
      </c>
      <c r="B4609">
        <v>3311</v>
      </c>
      <c r="C4609">
        <f>1/COUNTIF(B:B,Table1[[#This Row],[order_id]])</f>
        <v>0.5</v>
      </c>
      <c r="D4609" t="str">
        <f>TEXT(Table1[[#This Row],[order_date]],"mmmm")</f>
        <v>December</v>
      </c>
      <c r="E4609" s="1">
        <v>45646</v>
      </c>
      <c r="F4609" s="1" t="str">
        <f>TEXT(Table1[[#This Row],[order_date]],"dddd")</f>
        <v>Friday</v>
      </c>
      <c r="G4609">
        <f>HOUR(Table1[[#This Row],[order_time]])</f>
        <v>12</v>
      </c>
      <c r="H4609" s="2">
        <v>0.52427083333333335</v>
      </c>
      <c r="I4609" t="s">
        <v>18</v>
      </c>
      <c r="J4609" t="s">
        <v>31</v>
      </c>
      <c r="K4609">
        <v>2</v>
      </c>
      <c r="L4609">
        <v>45</v>
      </c>
      <c r="M4609">
        <v>90</v>
      </c>
      <c r="N4609">
        <f>IF(COUNTIFS($B$2:B4609,B4609)=1,1,0)</f>
        <v>0</v>
      </c>
    </row>
    <row r="4610" spans="1:14" x14ac:dyDescent="0.2">
      <c r="A4610">
        <v>4609</v>
      </c>
      <c r="B4610">
        <v>3312</v>
      </c>
      <c r="C4610">
        <f>1/COUNTIF(B:B,Table1[[#This Row],[order_id]])</f>
        <v>0.5</v>
      </c>
      <c r="D4610" t="str">
        <f>TEXT(Table1[[#This Row],[order_date]],"mmmm")</f>
        <v>December</v>
      </c>
      <c r="E4610" s="1">
        <v>45647</v>
      </c>
      <c r="F4610" s="1" t="str">
        <f>TEXT(Table1[[#This Row],[order_date]],"dddd")</f>
        <v>Saturday</v>
      </c>
      <c r="G4610">
        <f>HOUR(Table1[[#This Row],[order_time]])</f>
        <v>11</v>
      </c>
      <c r="H4610" s="2">
        <v>0.48629629629629628</v>
      </c>
      <c r="I4610" t="s">
        <v>11</v>
      </c>
      <c r="J4610" t="s">
        <v>15</v>
      </c>
      <c r="K4610">
        <v>3</v>
      </c>
      <c r="L4610">
        <v>600</v>
      </c>
      <c r="M4610">
        <v>1800</v>
      </c>
      <c r="N4610">
        <f>IF(COUNTIFS($B$2:B4610,B4610)=1,1,0)</f>
        <v>1</v>
      </c>
    </row>
    <row r="4611" spans="1:14" x14ac:dyDescent="0.2">
      <c r="A4611">
        <v>4610</v>
      </c>
      <c r="B4611">
        <v>3312</v>
      </c>
      <c r="C4611">
        <f>1/COUNTIF(B:B,Table1[[#This Row],[order_id]])</f>
        <v>0.5</v>
      </c>
      <c r="D4611" t="str">
        <f>TEXT(Table1[[#This Row],[order_date]],"mmmm")</f>
        <v>December</v>
      </c>
      <c r="E4611" s="1">
        <v>45647</v>
      </c>
      <c r="F4611" s="1" t="str">
        <f>TEXT(Table1[[#This Row],[order_date]],"dddd")</f>
        <v>Saturday</v>
      </c>
      <c r="G4611">
        <f>HOUR(Table1[[#This Row],[order_time]])</f>
        <v>13</v>
      </c>
      <c r="H4611" s="2">
        <v>0.58206018518518521</v>
      </c>
      <c r="I4611" t="s">
        <v>18</v>
      </c>
      <c r="J4611" t="s">
        <v>19</v>
      </c>
      <c r="K4611">
        <v>5</v>
      </c>
      <c r="L4611">
        <v>50</v>
      </c>
      <c r="M4611">
        <v>250</v>
      </c>
      <c r="N4611">
        <f>IF(COUNTIFS($B$2:B4611,B4611)=1,1,0)</f>
        <v>0</v>
      </c>
    </row>
    <row r="4612" spans="1:14" x14ac:dyDescent="0.2">
      <c r="A4612">
        <v>4611</v>
      </c>
      <c r="B4612">
        <v>3313</v>
      </c>
      <c r="C4612">
        <f>1/COUNTIF(B:B,Table1[[#This Row],[order_id]])</f>
        <v>0.33333333333333331</v>
      </c>
      <c r="D4612" t="str">
        <f>TEXT(Table1[[#This Row],[order_date]],"mmmm")</f>
        <v>December</v>
      </c>
      <c r="E4612" s="1">
        <v>45647</v>
      </c>
      <c r="F4612" s="1" t="str">
        <f>TEXT(Table1[[#This Row],[order_date]],"dddd")</f>
        <v>Saturday</v>
      </c>
      <c r="G4612">
        <f>HOUR(Table1[[#This Row],[order_time]])</f>
        <v>9</v>
      </c>
      <c r="H4612" s="2">
        <v>0.39395833333333335</v>
      </c>
      <c r="I4612" t="s">
        <v>18</v>
      </c>
      <c r="J4612" t="s">
        <v>31</v>
      </c>
      <c r="K4612">
        <v>3</v>
      </c>
      <c r="L4612">
        <v>45</v>
      </c>
      <c r="M4612">
        <v>135</v>
      </c>
      <c r="N4612">
        <f>IF(COUNTIFS($B$2:B4612,B4612)=1,1,0)</f>
        <v>1</v>
      </c>
    </row>
    <row r="4613" spans="1:14" x14ac:dyDescent="0.2">
      <c r="A4613">
        <v>4612</v>
      </c>
      <c r="B4613">
        <v>3313</v>
      </c>
      <c r="C4613">
        <f>1/COUNTIF(B:B,Table1[[#This Row],[order_id]])</f>
        <v>0.33333333333333331</v>
      </c>
      <c r="D4613" t="str">
        <f>TEXT(Table1[[#This Row],[order_date]],"mmmm")</f>
        <v>December</v>
      </c>
      <c r="E4613" s="1">
        <v>45647</v>
      </c>
      <c r="F4613" s="1" t="str">
        <f>TEXT(Table1[[#This Row],[order_date]],"dddd")</f>
        <v>Saturday</v>
      </c>
      <c r="G4613">
        <f>HOUR(Table1[[#This Row],[order_time]])</f>
        <v>17</v>
      </c>
      <c r="H4613" s="2">
        <v>0.72179398148148144</v>
      </c>
      <c r="I4613" t="s">
        <v>11</v>
      </c>
      <c r="J4613" t="s">
        <v>12</v>
      </c>
      <c r="K4613">
        <v>2</v>
      </c>
      <c r="L4613">
        <v>650</v>
      </c>
      <c r="M4613">
        <v>1300</v>
      </c>
      <c r="N4613">
        <f>IF(COUNTIFS($B$2:B4613,B4613)=1,1,0)</f>
        <v>0</v>
      </c>
    </row>
    <row r="4614" spans="1:14" x14ac:dyDescent="0.2">
      <c r="A4614">
        <v>4613</v>
      </c>
      <c r="B4614">
        <v>3313</v>
      </c>
      <c r="C4614">
        <f>1/COUNTIF(B:B,Table1[[#This Row],[order_id]])</f>
        <v>0.33333333333333331</v>
      </c>
      <c r="D4614" t="str">
        <f>TEXT(Table1[[#This Row],[order_date]],"mmmm")</f>
        <v>December</v>
      </c>
      <c r="E4614" s="1">
        <v>45647</v>
      </c>
      <c r="F4614" s="1" t="str">
        <f>TEXT(Table1[[#This Row],[order_date]],"dddd")</f>
        <v>Saturday</v>
      </c>
      <c r="G4614">
        <f>HOUR(Table1[[#This Row],[order_time]])</f>
        <v>20</v>
      </c>
      <c r="H4614" s="2">
        <v>0.86027777777777781</v>
      </c>
      <c r="I4614" t="s">
        <v>18</v>
      </c>
      <c r="J4614" t="s">
        <v>30</v>
      </c>
      <c r="K4614">
        <v>4</v>
      </c>
      <c r="L4614">
        <v>60</v>
      </c>
      <c r="M4614">
        <v>240</v>
      </c>
      <c r="N4614">
        <f>IF(COUNTIFS($B$2:B4614,B4614)=1,1,0)</f>
        <v>0</v>
      </c>
    </row>
    <row r="4615" spans="1:14" x14ac:dyDescent="0.2">
      <c r="A4615">
        <v>4614</v>
      </c>
      <c r="B4615">
        <v>3314</v>
      </c>
      <c r="C4615">
        <f>1/COUNTIF(B:B,Table1[[#This Row],[order_id]])</f>
        <v>0.33333333333333331</v>
      </c>
      <c r="D4615" t="str">
        <f>TEXT(Table1[[#This Row],[order_date]],"mmmm")</f>
        <v>December</v>
      </c>
      <c r="E4615" s="1">
        <v>45647</v>
      </c>
      <c r="F4615" s="1" t="str">
        <f>TEXT(Table1[[#This Row],[order_date]],"dddd")</f>
        <v>Saturday</v>
      </c>
      <c r="G4615">
        <f>HOUR(Table1[[#This Row],[order_time]])</f>
        <v>16</v>
      </c>
      <c r="H4615" s="2">
        <v>0.67524305555555553</v>
      </c>
      <c r="I4615" t="s">
        <v>11</v>
      </c>
      <c r="J4615" t="s">
        <v>15</v>
      </c>
      <c r="K4615">
        <v>5</v>
      </c>
      <c r="L4615">
        <v>600</v>
      </c>
      <c r="M4615">
        <v>3000</v>
      </c>
      <c r="N4615">
        <f>IF(COUNTIFS($B$2:B4615,B4615)=1,1,0)</f>
        <v>1</v>
      </c>
    </row>
    <row r="4616" spans="1:14" x14ac:dyDescent="0.2">
      <c r="A4616">
        <v>4615</v>
      </c>
      <c r="B4616">
        <v>3314</v>
      </c>
      <c r="C4616">
        <f>1/COUNTIF(B:B,Table1[[#This Row],[order_id]])</f>
        <v>0.33333333333333331</v>
      </c>
      <c r="D4616" t="str">
        <f>TEXT(Table1[[#This Row],[order_date]],"mmmm")</f>
        <v>December</v>
      </c>
      <c r="E4616" s="1">
        <v>45647</v>
      </c>
      <c r="F4616" s="1" t="str">
        <f>TEXT(Table1[[#This Row],[order_date]],"dddd")</f>
        <v>Saturday</v>
      </c>
      <c r="G4616">
        <f>HOUR(Table1[[#This Row],[order_time]])</f>
        <v>17</v>
      </c>
      <c r="H4616" s="2">
        <v>0.7465046296296296</v>
      </c>
      <c r="I4616" t="s">
        <v>16</v>
      </c>
      <c r="J4616" t="s">
        <v>23</v>
      </c>
      <c r="K4616">
        <v>5</v>
      </c>
      <c r="L4616">
        <v>30</v>
      </c>
      <c r="M4616">
        <v>150</v>
      </c>
      <c r="N4616">
        <f>IF(COUNTIFS($B$2:B4616,B4616)=1,1,0)</f>
        <v>0</v>
      </c>
    </row>
    <row r="4617" spans="1:14" x14ac:dyDescent="0.2">
      <c r="A4617">
        <v>4616</v>
      </c>
      <c r="B4617">
        <v>3314</v>
      </c>
      <c r="C4617">
        <f>1/COUNTIF(B:B,Table1[[#This Row],[order_id]])</f>
        <v>0.33333333333333331</v>
      </c>
      <c r="D4617" t="str">
        <f>TEXT(Table1[[#This Row],[order_date]],"mmmm")</f>
        <v>December</v>
      </c>
      <c r="E4617" s="1">
        <v>45647</v>
      </c>
      <c r="F4617" s="1" t="str">
        <f>TEXT(Table1[[#This Row],[order_date]],"dddd")</f>
        <v>Saturday</v>
      </c>
      <c r="G4617">
        <f>HOUR(Table1[[#This Row],[order_time]])</f>
        <v>12</v>
      </c>
      <c r="H4617" s="2">
        <v>0.51101851851851854</v>
      </c>
      <c r="I4617" t="s">
        <v>18</v>
      </c>
      <c r="J4617" t="s">
        <v>31</v>
      </c>
      <c r="K4617">
        <v>3</v>
      </c>
      <c r="L4617">
        <v>45</v>
      </c>
      <c r="M4617">
        <v>135</v>
      </c>
      <c r="N4617">
        <f>IF(COUNTIFS($B$2:B4617,B4617)=1,1,0)</f>
        <v>0</v>
      </c>
    </row>
    <row r="4618" spans="1:14" x14ac:dyDescent="0.2">
      <c r="A4618">
        <v>4617</v>
      </c>
      <c r="B4618">
        <v>3315</v>
      </c>
      <c r="C4618">
        <f>1/COUNTIF(B:B,Table1[[#This Row],[order_id]])</f>
        <v>1</v>
      </c>
      <c r="D4618" t="str">
        <f>TEXT(Table1[[#This Row],[order_date]],"mmmm")</f>
        <v>December</v>
      </c>
      <c r="E4618" s="1">
        <v>45647</v>
      </c>
      <c r="F4618" s="1" t="str">
        <f>TEXT(Table1[[#This Row],[order_date]],"dddd")</f>
        <v>Saturday</v>
      </c>
      <c r="G4618">
        <f>HOUR(Table1[[#This Row],[order_time]])</f>
        <v>14</v>
      </c>
      <c r="H4618" s="2">
        <v>0.58831018518518519</v>
      </c>
      <c r="I4618" t="s">
        <v>18</v>
      </c>
      <c r="J4618" t="s">
        <v>26</v>
      </c>
      <c r="K4618">
        <v>5</v>
      </c>
      <c r="L4618">
        <v>55</v>
      </c>
      <c r="M4618">
        <v>275</v>
      </c>
      <c r="N4618">
        <f>IF(COUNTIFS($B$2:B4618,B4618)=1,1,0)</f>
        <v>1</v>
      </c>
    </row>
    <row r="4619" spans="1:14" x14ac:dyDescent="0.2">
      <c r="A4619">
        <v>4618</v>
      </c>
      <c r="B4619">
        <v>3316</v>
      </c>
      <c r="C4619">
        <f>1/COUNTIF(B:B,Table1[[#This Row],[order_id]])</f>
        <v>0.33333333333333331</v>
      </c>
      <c r="D4619" t="str">
        <f>TEXT(Table1[[#This Row],[order_date]],"mmmm")</f>
        <v>December</v>
      </c>
      <c r="E4619" s="1">
        <v>45648</v>
      </c>
      <c r="F4619" s="1" t="str">
        <f>TEXT(Table1[[#This Row],[order_date]],"dddd")</f>
        <v>Sunday</v>
      </c>
      <c r="G4619">
        <f>HOUR(Table1[[#This Row],[order_time]])</f>
        <v>16</v>
      </c>
      <c r="H4619" s="2">
        <v>0.69076388888888884</v>
      </c>
      <c r="I4619" t="s">
        <v>11</v>
      </c>
      <c r="J4619" t="s">
        <v>14</v>
      </c>
      <c r="K4619">
        <v>5</v>
      </c>
      <c r="L4619">
        <v>700</v>
      </c>
      <c r="M4619">
        <v>3500</v>
      </c>
      <c r="N4619">
        <f>IF(COUNTIFS($B$2:B4619,B4619)=1,1,0)</f>
        <v>1</v>
      </c>
    </row>
    <row r="4620" spans="1:14" x14ac:dyDescent="0.2">
      <c r="A4620">
        <v>4619</v>
      </c>
      <c r="B4620">
        <v>3316</v>
      </c>
      <c r="C4620">
        <f>1/COUNTIF(B:B,Table1[[#This Row],[order_id]])</f>
        <v>0.33333333333333331</v>
      </c>
      <c r="D4620" t="str">
        <f>TEXT(Table1[[#This Row],[order_date]],"mmmm")</f>
        <v>December</v>
      </c>
      <c r="E4620" s="1">
        <v>45648</v>
      </c>
      <c r="F4620" s="1" t="str">
        <f>TEXT(Table1[[#This Row],[order_date]],"dddd")</f>
        <v>Sunday</v>
      </c>
      <c r="G4620">
        <f>HOUR(Table1[[#This Row],[order_time]])</f>
        <v>16</v>
      </c>
      <c r="H4620" s="2">
        <v>0.68042824074074071</v>
      </c>
      <c r="I4620" t="s">
        <v>16</v>
      </c>
      <c r="J4620" t="s">
        <v>23</v>
      </c>
      <c r="K4620">
        <v>5</v>
      </c>
      <c r="L4620">
        <v>30</v>
      </c>
      <c r="M4620">
        <v>150</v>
      </c>
      <c r="N4620">
        <f>IF(COUNTIFS($B$2:B4620,B4620)=1,1,0)</f>
        <v>0</v>
      </c>
    </row>
    <row r="4621" spans="1:14" x14ac:dyDescent="0.2">
      <c r="A4621">
        <v>4620</v>
      </c>
      <c r="B4621">
        <v>3316</v>
      </c>
      <c r="C4621">
        <f>1/COUNTIF(B:B,Table1[[#This Row],[order_id]])</f>
        <v>0.33333333333333331</v>
      </c>
      <c r="D4621" t="str">
        <f>TEXT(Table1[[#This Row],[order_date]],"mmmm")</f>
        <v>December</v>
      </c>
      <c r="E4621" s="1">
        <v>45648</v>
      </c>
      <c r="F4621" s="1" t="str">
        <f>TEXT(Table1[[#This Row],[order_date]],"dddd")</f>
        <v>Sunday</v>
      </c>
      <c r="G4621">
        <f>HOUR(Table1[[#This Row],[order_time]])</f>
        <v>9</v>
      </c>
      <c r="H4621" s="2">
        <v>0.41295138888888888</v>
      </c>
      <c r="I4621" t="s">
        <v>16</v>
      </c>
      <c r="J4621" t="s">
        <v>24</v>
      </c>
      <c r="K4621">
        <v>3</v>
      </c>
      <c r="L4621">
        <v>35</v>
      </c>
      <c r="M4621">
        <v>105</v>
      </c>
      <c r="N4621">
        <f>IF(COUNTIFS($B$2:B4621,B4621)=1,1,0)</f>
        <v>0</v>
      </c>
    </row>
    <row r="4622" spans="1:14" x14ac:dyDescent="0.2">
      <c r="A4622">
        <v>4621</v>
      </c>
      <c r="B4622">
        <v>3317</v>
      </c>
      <c r="C4622">
        <f>1/COUNTIF(B:B,Table1[[#This Row],[order_id]])</f>
        <v>1</v>
      </c>
      <c r="D4622" t="str">
        <f>TEXT(Table1[[#This Row],[order_date]],"mmmm")</f>
        <v>December</v>
      </c>
      <c r="E4622" s="1">
        <v>45648</v>
      </c>
      <c r="F4622" s="1" t="str">
        <f>TEXT(Table1[[#This Row],[order_date]],"dddd")</f>
        <v>Sunday</v>
      </c>
      <c r="G4622">
        <f>HOUR(Table1[[#This Row],[order_time]])</f>
        <v>12</v>
      </c>
      <c r="H4622" s="2">
        <v>0.51450231481481479</v>
      </c>
      <c r="I4622" t="s">
        <v>16</v>
      </c>
      <c r="J4622" t="s">
        <v>23</v>
      </c>
      <c r="K4622">
        <v>3</v>
      </c>
      <c r="L4622">
        <v>30</v>
      </c>
      <c r="M4622">
        <v>90</v>
      </c>
      <c r="N4622">
        <f>IF(COUNTIFS($B$2:B4622,B4622)=1,1,0)</f>
        <v>1</v>
      </c>
    </row>
    <row r="4623" spans="1:14" x14ac:dyDescent="0.2">
      <c r="A4623">
        <v>4622</v>
      </c>
      <c r="B4623">
        <v>3318</v>
      </c>
      <c r="C4623">
        <f>1/COUNTIF(B:B,Table1[[#This Row],[order_id]])</f>
        <v>0.5</v>
      </c>
      <c r="D4623" t="str">
        <f>TEXT(Table1[[#This Row],[order_date]],"mmmm")</f>
        <v>December</v>
      </c>
      <c r="E4623" s="1">
        <v>45648</v>
      </c>
      <c r="F4623" s="1" t="str">
        <f>TEXT(Table1[[#This Row],[order_date]],"dddd")</f>
        <v>Sunday</v>
      </c>
      <c r="G4623">
        <f>HOUR(Table1[[#This Row],[order_time]])</f>
        <v>17</v>
      </c>
      <c r="H4623" s="2">
        <v>0.71475694444444449</v>
      </c>
      <c r="I4623" t="s">
        <v>18</v>
      </c>
      <c r="J4623" t="s">
        <v>26</v>
      </c>
      <c r="K4623">
        <v>1</v>
      </c>
      <c r="L4623">
        <v>55</v>
      </c>
      <c r="M4623">
        <v>55</v>
      </c>
      <c r="N4623">
        <f>IF(COUNTIFS($B$2:B4623,B4623)=1,1,0)</f>
        <v>1</v>
      </c>
    </row>
    <row r="4624" spans="1:14" x14ac:dyDescent="0.2">
      <c r="A4624">
        <v>4623</v>
      </c>
      <c r="B4624">
        <v>3318</v>
      </c>
      <c r="C4624">
        <f>1/COUNTIF(B:B,Table1[[#This Row],[order_id]])</f>
        <v>0.5</v>
      </c>
      <c r="D4624" t="str">
        <f>TEXT(Table1[[#This Row],[order_date]],"mmmm")</f>
        <v>December</v>
      </c>
      <c r="E4624" s="1">
        <v>45648</v>
      </c>
      <c r="F4624" s="1" t="str">
        <f>TEXT(Table1[[#This Row],[order_date]],"dddd")</f>
        <v>Sunday</v>
      </c>
      <c r="G4624">
        <f>HOUR(Table1[[#This Row],[order_time]])</f>
        <v>10</v>
      </c>
      <c r="H4624" s="2">
        <v>0.45579861111111108</v>
      </c>
      <c r="I4624" t="s">
        <v>18</v>
      </c>
      <c r="J4624" t="s">
        <v>26</v>
      </c>
      <c r="K4624">
        <v>1</v>
      </c>
      <c r="L4624">
        <v>55</v>
      </c>
      <c r="M4624">
        <v>55</v>
      </c>
      <c r="N4624">
        <f>IF(COUNTIFS($B$2:B4624,B4624)=1,1,0)</f>
        <v>0</v>
      </c>
    </row>
    <row r="4625" spans="1:14" x14ac:dyDescent="0.2">
      <c r="A4625">
        <v>4624</v>
      </c>
      <c r="B4625">
        <v>3319</v>
      </c>
      <c r="C4625">
        <f>1/COUNTIF(B:B,Table1[[#This Row],[order_id]])</f>
        <v>1</v>
      </c>
      <c r="D4625" t="str">
        <f>TEXT(Table1[[#This Row],[order_date]],"mmmm")</f>
        <v>December</v>
      </c>
      <c r="E4625" s="1">
        <v>45648</v>
      </c>
      <c r="F4625" s="1" t="str">
        <f>TEXT(Table1[[#This Row],[order_date]],"dddd")</f>
        <v>Sunday</v>
      </c>
      <c r="G4625">
        <f>HOUR(Table1[[#This Row],[order_time]])</f>
        <v>15</v>
      </c>
      <c r="H4625" s="2">
        <v>0.65353009259259254</v>
      </c>
      <c r="I4625" t="s">
        <v>18</v>
      </c>
      <c r="J4625" t="s">
        <v>30</v>
      </c>
      <c r="K4625">
        <v>5</v>
      </c>
      <c r="L4625">
        <v>60</v>
      </c>
      <c r="M4625">
        <v>300</v>
      </c>
      <c r="N4625">
        <f>IF(COUNTIFS($B$2:B4625,B4625)=1,1,0)</f>
        <v>1</v>
      </c>
    </row>
    <row r="4626" spans="1:14" x14ac:dyDescent="0.2">
      <c r="A4626">
        <v>4625</v>
      </c>
      <c r="B4626">
        <v>3320</v>
      </c>
      <c r="C4626">
        <f>1/COUNTIF(B:B,Table1[[#This Row],[order_id]])</f>
        <v>0.5</v>
      </c>
      <c r="D4626" t="str">
        <f>TEXT(Table1[[#This Row],[order_date]],"mmmm")</f>
        <v>December</v>
      </c>
      <c r="E4626" s="1">
        <v>45649</v>
      </c>
      <c r="F4626" s="1" t="str">
        <f>TEXT(Table1[[#This Row],[order_date]],"dddd")</f>
        <v>Monday</v>
      </c>
      <c r="G4626">
        <f>HOUR(Table1[[#This Row],[order_time]])</f>
        <v>14</v>
      </c>
      <c r="H4626" s="2">
        <v>0.59850694444444441</v>
      </c>
      <c r="I4626" t="s">
        <v>9</v>
      </c>
      <c r="J4626" t="s">
        <v>20</v>
      </c>
      <c r="K4626">
        <v>2</v>
      </c>
      <c r="L4626">
        <v>25</v>
      </c>
      <c r="M4626">
        <v>50</v>
      </c>
      <c r="N4626">
        <f>IF(COUNTIFS($B$2:B4626,B4626)=1,1,0)</f>
        <v>1</v>
      </c>
    </row>
    <row r="4627" spans="1:14" x14ac:dyDescent="0.2">
      <c r="A4627">
        <v>4626</v>
      </c>
      <c r="B4627">
        <v>3320</v>
      </c>
      <c r="C4627">
        <f>1/COUNTIF(B:B,Table1[[#This Row],[order_id]])</f>
        <v>0.5</v>
      </c>
      <c r="D4627" t="str">
        <f>TEXT(Table1[[#This Row],[order_date]],"mmmm")</f>
        <v>December</v>
      </c>
      <c r="E4627" s="1">
        <v>45649</v>
      </c>
      <c r="F4627" s="1" t="str">
        <f>TEXT(Table1[[#This Row],[order_date]],"dddd")</f>
        <v>Monday</v>
      </c>
      <c r="G4627">
        <f>HOUR(Table1[[#This Row],[order_time]])</f>
        <v>17</v>
      </c>
      <c r="H4627" s="2">
        <v>0.7201967592592593</v>
      </c>
      <c r="I4627" t="s">
        <v>11</v>
      </c>
      <c r="J4627" t="s">
        <v>13</v>
      </c>
      <c r="K4627">
        <v>5</v>
      </c>
      <c r="L4627">
        <v>680</v>
      </c>
      <c r="M4627">
        <v>3400</v>
      </c>
      <c r="N4627">
        <f>IF(COUNTIFS($B$2:B4627,B4627)=1,1,0)</f>
        <v>0</v>
      </c>
    </row>
    <row r="4628" spans="1:14" x14ac:dyDescent="0.2">
      <c r="A4628">
        <v>4627</v>
      </c>
      <c r="B4628">
        <v>3321</v>
      </c>
      <c r="C4628">
        <f>1/COUNTIF(B:B,Table1[[#This Row],[order_id]])</f>
        <v>0.5</v>
      </c>
      <c r="D4628" t="str">
        <f>TEXT(Table1[[#This Row],[order_date]],"mmmm")</f>
        <v>December</v>
      </c>
      <c r="E4628" s="1">
        <v>45649</v>
      </c>
      <c r="F4628" s="1" t="str">
        <f>TEXT(Table1[[#This Row],[order_date]],"dddd")</f>
        <v>Monday</v>
      </c>
      <c r="G4628">
        <f>HOUR(Table1[[#This Row],[order_time]])</f>
        <v>16</v>
      </c>
      <c r="H4628" s="2">
        <v>0.677337962962963</v>
      </c>
      <c r="I4628" t="s">
        <v>11</v>
      </c>
      <c r="J4628" t="s">
        <v>13</v>
      </c>
      <c r="K4628">
        <v>3</v>
      </c>
      <c r="L4628">
        <v>680</v>
      </c>
      <c r="M4628">
        <v>2040</v>
      </c>
      <c r="N4628">
        <f>IF(COUNTIFS($B$2:B4628,B4628)=1,1,0)</f>
        <v>1</v>
      </c>
    </row>
    <row r="4629" spans="1:14" x14ac:dyDescent="0.2">
      <c r="A4629">
        <v>4628</v>
      </c>
      <c r="B4629">
        <v>3321</v>
      </c>
      <c r="C4629">
        <f>1/COUNTIF(B:B,Table1[[#This Row],[order_id]])</f>
        <v>0.5</v>
      </c>
      <c r="D4629" t="str">
        <f>TEXT(Table1[[#This Row],[order_date]],"mmmm")</f>
        <v>December</v>
      </c>
      <c r="E4629" s="1">
        <v>45649</v>
      </c>
      <c r="F4629" s="1" t="str">
        <f>TEXT(Table1[[#This Row],[order_date]],"dddd")</f>
        <v>Monday</v>
      </c>
      <c r="G4629">
        <f>HOUR(Table1[[#This Row],[order_time]])</f>
        <v>17</v>
      </c>
      <c r="H4629" s="2">
        <v>0.73728009259259264</v>
      </c>
      <c r="I4629" t="s">
        <v>11</v>
      </c>
      <c r="J4629" t="s">
        <v>25</v>
      </c>
      <c r="K4629">
        <v>4</v>
      </c>
      <c r="L4629">
        <v>1000</v>
      </c>
      <c r="M4629">
        <v>4000</v>
      </c>
      <c r="N4629">
        <f>IF(COUNTIFS($B$2:B4629,B4629)=1,1,0)</f>
        <v>0</v>
      </c>
    </row>
    <row r="4630" spans="1:14" x14ac:dyDescent="0.2">
      <c r="A4630">
        <v>4629</v>
      </c>
      <c r="B4630">
        <v>3322</v>
      </c>
      <c r="C4630">
        <f>1/COUNTIF(B:B,Table1[[#This Row],[order_id]])</f>
        <v>0.5</v>
      </c>
      <c r="D4630" t="str">
        <f>TEXT(Table1[[#This Row],[order_date]],"mmmm")</f>
        <v>December</v>
      </c>
      <c r="E4630" s="1">
        <v>45649</v>
      </c>
      <c r="F4630" s="1" t="str">
        <f>TEXT(Table1[[#This Row],[order_date]],"dddd")</f>
        <v>Monday</v>
      </c>
      <c r="G4630">
        <f>HOUR(Table1[[#This Row],[order_time]])</f>
        <v>10</v>
      </c>
      <c r="H4630" s="2">
        <v>0.43392361111111111</v>
      </c>
      <c r="I4630" t="s">
        <v>16</v>
      </c>
      <c r="J4630" t="s">
        <v>24</v>
      </c>
      <c r="K4630">
        <v>4</v>
      </c>
      <c r="L4630">
        <v>35</v>
      </c>
      <c r="M4630">
        <v>140</v>
      </c>
      <c r="N4630">
        <f>IF(COUNTIFS($B$2:B4630,B4630)=1,1,0)</f>
        <v>1</v>
      </c>
    </row>
    <row r="4631" spans="1:14" x14ac:dyDescent="0.2">
      <c r="A4631">
        <v>4630</v>
      </c>
      <c r="B4631">
        <v>3322</v>
      </c>
      <c r="C4631">
        <f>1/COUNTIF(B:B,Table1[[#This Row],[order_id]])</f>
        <v>0.5</v>
      </c>
      <c r="D4631" t="str">
        <f>TEXT(Table1[[#This Row],[order_date]],"mmmm")</f>
        <v>December</v>
      </c>
      <c r="E4631" s="1">
        <v>45649</v>
      </c>
      <c r="F4631" s="1" t="str">
        <f>TEXT(Table1[[#This Row],[order_date]],"dddd")</f>
        <v>Monday</v>
      </c>
      <c r="G4631">
        <f>HOUR(Table1[[#This Row],[order_time]])</f>
        <v>16</v>
      </c>
      <c r="H4631" s="2">
        <v>0.68722222222222218</v>
      </c>
      <c r="I4631" t="s">
        <v>18</v>
      </c>
      <c r="J4631" t="s">
        <v>30</v>
      </c>
      <c r="K4631">
        <v>3</v>
      </c>
      <c r="L4631">
        <v>60</v>
      </c>
      <c r="M4631">
        <v>180</v>
      </c>
      <c r="N4631">
        <f>IF(COUNTIFS($B$2:B4631,B4631)=1,1,0)</f>
        <v>0</v>
      </c>
    </row>
    <row r="4632" spans="1:14" x14ac:dyDescent="0.2">
      <c r="A4632">
        <v>4631</v>
      </c>
      <c r="B4632">
        <v>3323</v>
      </c>
      <c r="C4632">
        <f>1/COUNTIF(B:B,Table1[[#This Row],[order_id]])</f>
        <v>0.33333333333333331</v>
      </c>
      <c r="D4632" t="str">
        <f>TEXT(Table1[[#This Row],[order_date]],"mmmm")</f>
        <v>December</v>
      </c>
      <c r="E4632" s="1">
        <v>45649</v>
      </c>
      <c r="F4632" s="1" t="str">
        <f>TEXT(Table1[[#This Row],[order_date]],"dddd")</f>
        <v>Monday</v>
      </c>
      <c r="G4632">
        <f>HOUR(Table1[[#This Row],[order_time]])</f>
        <v>10</v>
      </c>
      <c r="H4632" s="2">
        <v>0.45124999999999998</v>
      </c>
      <c r="I4632" t="s">
        <v>16</v>
      </c>
      <c r="J4632" t="s">
        <v>28</v>
      </c>
      <c r="K4632">
        <v>2</v>
      </c>
      <c r="L4632">
        <v>25</v>
      </c>
      <c r="M4632">
        <v>50</v>
      </c>
      <c r="N4632">
        <f>IF(COUNTIFS($B$2:B4632,B4632)=1,1,0)</f>
        <v>1</v>
      </c>
    </row>
    <row r="4633" spans="1:14" x14ac:dyDescent="0.2">
      <c r="A4633">
        <v>4632</v>
      </c>
      <c r="B4633">
        <v>3323</v>
      </c>
      <c r="C4633">
        <f>1/COUNTIF(B:B,Table1[[#This Row],[order_id]])</f>
        <v>0.33333333333333331</v>
      </c>
      <c r="D4633" t="str">
        <f>TEXT(Table1[[#This Row],[order_date]],"mmmm")</f>
        <v>December</v>
      </c>
      <c r="E4633" s="1">
        <v>45649</v>
      </c>
      <c r="F4633" s="1" t="str">
        <f>TEXT(Table1[[#This Row],[order_date]],"dddd")</f>
        <v>Monday</v>
      </c>
      <c r="G4633">
        <f>HOUR(Table1[[#This Row],[order_time]])</f>
        <v>14</v>
      </c>
      <c r="H4633" s="2">
        <v>0.60342592592592592</v>
      </c>
      <c r="I4633" t="s">
        <v>9</v>
      </c>
      <c r="J4633" t="s">
        <v>21</v>
      </c>
      <c r="K4633">
        <v>4</v>
      </c>
      <c r="L4633">
        <v>10</v>
      </c>
      <c r="M4633">
        <v>40</v>
      </c>
      <c r="N4633">
        <f>IF(COUNTIFS($B$2:B4633,B4633)=1,1,0)</f>
        <v>0</v>
      </c>
    </row>
    <row r="4634" spans="1:14" x14ac:dyDescent="0.2">
      <c r="A4634">
        <v>4633</v>
      </c>
      <c r="B4634">
        <v>3323</v>
      </c>
      <c r="C4634">
        <f>1/COUNTIF(B:B,Table1[[#This Row],[order_id]])</f>
        <v>0.33333333333333331</v>
      </c>
      <c r="D4634" t="str">
        <f>TEXT(Table1[[#This Row],[order_date]],"mmmm")</f>
        <v>December</v>
      </c>
      <c r="E4634" s="1">
        <v>45649</v>
      </c>
      <c r="F4634" s="1" t="str">
        <f>TEXT(Table1[[#This Row],[order_date]],"dddd")</f>
        <v>Monday</v>
      </c>
      <c r="G4634">
        <f>HOUR(Table1[[#This Row],[order_time]])</f>
        <v>19</v>
      </c>
      <c r="H4634" s="2">
        <v>0.823125</v>
      </c>
      <c r="I4634" t="s">
        <v>11</v>
      </c>
      <c r="J4634" t="s">
        <v>12</v>
      </c>
      <c r="K4634">
        <v>1</v>
      </c>
      <c r="L4634">
        <v>650</v>
      </c>
      <c r="M4634">
        <v>650</v>
      </c>
      <c r="N4634">
        <f>IF(COUNTIFS($B$2:B4634,B4634)=1,1,0)</f>
        <v>0</v>
      </c>
    </row>
    <row r="4635" spans="1:14" x14ac:dyDescent="0.2">
      <c r="A4635">
        <v>4634</v>
      </c>
      <c r="B4635">
        <v>3324</v>
      </c>
      <c r="C4635">
        <f>1/COUNTIF(B:B,Table1[[#This Row],[order_id]])</f>
        <v>1</v>
      </c>
      <c r="D4635" t="str">
        <f>TEXT(Table1[[#This Row],[order_date]],"mmmm")</f>
        <v>December</v>
      </c>
      <c r="E4635" s="1">
        <v>45650</v>
      </c>
      <c r="F4635" s="1" t="str">
        <f>TEXT(Table1[[#This Row],[order_date]],"dddd")</f>
        <v>Tuesday</v>
      </c>
      <c r="G4635">
        <f>HOUR(Table1[[#This Row],[order_time]])</f>
        <v>13</v>
      </c>
      <c r="H4635" s="2">
        <v>0.58258101851851851</v>
      </c>
      <c r="I4635" t="s">
        <v>16</v>
      </c>
      <c r="J4635" t="s">
        <v>23</v>
      </c>
      <c r="K4635">
        <v>4</v>
      </c>
      <c r="L4635">
        <v>30</v>
      </c>
      <c r="M4635">
        <v>120</v>
      </c>
      <c r="N4635">
        <f>IF(COUNTIFS($B$2:B4635,B4635)=1,1,0)</f>
        <v>1</v>
      </c>
    </row>
    <row r="4636" spans="1:14" x14ac:dyDescent="0.2">
      <c r="A4636">
        <v>4635</v>
      </c>
      <c r="B4636">
        <v>3325</v>
      </c>
      <c r="C4636">
        <f>1/COUNTIF(B:B,Table1[[#This Row],[order_id]])</f>
        <v>0.33333333333333331</v>
      </c>
      <c r="D4636" t="str">
        <f>TEXT(Table1[[#This Row],[order_date]],"mmmm")</f>
        <v>December</v>
      </c>
      <c r="E4636" s="1">
        <v>45650</v>
      </c>
      <c r="F4636" s="1" t="str">
        <f>TEXT(Table1[[#This Row],[order_date]],"dddd")</f>
        <v>Tuesday</v>
      </c>
      <c r="G4636">
        <f>HOUR(Table1[[#This Row],[order_time]])</f>
        <v>10</v>
      </c>
      <c r="H4636" s="2">
        <v>0.4283912037037037</v>
      </c>
      <c r="I4636" t="s">
        <v>16</v>
      </c>
      <c r="J4636" t="s">
        <v>23</v>
      </c>
      <c r="K4636">
        <v>2</v>
      </c>
      <c r="L4636">
        <v>30</v>
      </c>
      <c r="M4636">
        <v>60</v>
      </c>
      <c r="N4636">
        <f>IF(COUNTIFS($B$2:B4636,B4636)=1,1,0)</f>
        <v>1</v>
      </c>
    </row>
    <row r="4637" spans="1:14" x14ac:dyDescent="0.2">
      <c r="A4637">
        <v>4636</v>
      </c>
      <c r="B4637">
        <v>3325</v>
      </c>
      <c r="C4637">
        <f>1/COUNTIF(B:B,Table1[[#This Row],[order_id]])</f>
        <v>0.33333333333333331</v>
      </c>
      <c r="D4637" t="str">
        <f>TEXT(Table1[[#This Row],[order_date]],"mmmm")</f>
        <v>December</v>
      </c>
      <c r="E4637" s="1">
        <v>45650</v>
      </c>
      <c r="F4637" s="1" t="str">
        <f>TEXT(Table1[[#This Row],[order_date]],"dddd")</f>
        <v>Tuesday</v>
      </c>
      <c r="G4637">
        <f>HOUR(Table1[[#This Row],[order_time]])</f>
        <v>18</v>
      </c>
      <c r="H4637" s="2">
        <v>0.75686342592592593</v>
      </c>
      <c r="I4637" t="s">
        <v>18</v>
      </c>
      <c r="J4637" t="s">
        <v>31</v>
      </c>
      <c r="K4637">
        <v>4</v>
      </c>
      <c r="L4637">
        <v>45</v>
      </c>
      <c r="M4637">
        <v>180</v>
      </c>
      <c r="N4637">
        <f>IF(COUNTIFS($B$2:B4637,B4637)=1,1,0)</f>
        <v>0</v>
      </c>
    </row>
    <row r="4638" spans="1:14" x14ac:dyDescent="0.2">
      <c r="A4638">
        <v>4637</v>
      </c>
      <c r="B4638">
        <v>3325</v>
      </c>
      <c r="C4638">
        <f>1/COUNTIF(B:B,Table1[[#This Row],[order_id]])</f>
        <v>0.33333333333333331</v>
      </c>
      <c r="D4638" t="str">
        <f>TEXT(Table1[[#This Row],[order_date]],"mmmm")</f>
        <v>December</v>
      </c>
      <c r="E4638" s="1">
        <v>45650</v>
      </c>
      <c r="F4638" s="1" t="str">
        <f>TEXT(Table1[[#This Row],[order_date]],"dddd")</f>
        <v>Tuesday</v>
      </c>
      <c r="G4638">
        <f>HOUR(Table1[[#This Row],[order_time]])</f>
        <v>19</v>
      </c>
      <c r="H4638" s="2">
        <v>0.79760416666666667</v>
      </c>
      <c r="I4638" t="s">
        <v>16</v>
      </c>
      <c r="J4638" t="s">
        <v>23</v>
      </c>
      <c r="K4638">
        <v>5</v>
      </c>
      <c r="L4638">
        <v>30</v>
      </c>
      <c r="M4638">
        <v>150</v>
      </c>
      <c r="N4638">
        <f>IF(COUNTIFS($B$2:B4638,B4638)=1,1,0)</f>
        <v>0</v>
      </c>
    </row>
    <row r="4639" spans="1:14" x14ac:dyDescent="0.2">
      <c r="A4639">
        <v>4638</v>
      </c>
      <c r="B4639">
        <v>3326</v>
      </c>
      <c r="C4639">
        <f>1/COUNTIF(B:B,Table1[[#This Row],[order_id]])</f>
        <v>1</v>
      </c>
      <c r="D4639" t="str">
        <f>TEXT(Table1[[#This Row],[order_date]],"mmmm")</f>
        <v>December</v>
      </c>
      <c r="E4639" s="1">
        <v>45650</v>
      </c>
      <c r="F4639" s="1" t="str">
        <f>TEXT(Table1[[#This Row],[order_date]],"dddd")</f>
        <v>Tuesday</v>
      </c>
      <c r="G4639">
        <f>HOUR(Table1[[#This Row],[order_time]])</f>
        <v>16</v>
      </c>
      <c r="H4639" s="2">
        <v>0.69609953703703709</v>
      </c>
      <c r="I4639" t="s">
        <v>16</v>
      </c>
      <c r="J4639" t="s">
        <v>28</v>
      </c>
      <c r="K4639">
        <v>1</v>
      </c>
      <c r="L4639">
        <v>25</v>
      </c>
      <c r="M4639">
        <v>25</v>
      </c>
      <c r="N4639">
        <f>IF(COUNTIFS($B$2:B4639,B4639)=1,1,0)</f>
        <v>1</v>
      </c>
    </row>
    <row r="4640" spans="1:14" x14ac:dyDescent="0.2">
      <c r="A4640">
        <v>4639</v>
      </c>
      <c r="B4640">
        <v>3327</v>
      </c>
      <c r="C4640">
        <f>1/COUNTIF(B:B,Table1[[#This Row],[order_id]])</f>
        <v>1</v>
      </c>
      <c r="D4640" t="str">
        <f>TEXT(Table1[[#This Row],[order_date]],"mmmm")</f>
        <v>December</v>
      </c>
      <c r="E4640" s="1">
        <v>45650</v>
      </c>
      <c r="F4640" s="1" t="str">
        <f>TEXT(Table1[[#This Row],[order_date]],"dddd")</f>
        <v>Tuesday</v>
      </c>
      <c r="G4640">
        <f>HOUR(Table1[[#This Row],[order_time]])</f>
        <v>16</v>
      </c>
      <c r="H4640" s="2">
        <v>0.6986458333333333</v>
      </c>
      <c r="I4640" t="s">
        <v>11</v>
      </c>
      <c r="J4640" t="s">
        <v>13</v>
      </c>
      <c r="K4640">
        <v>3</v>
      </c>
      <c r="L4640">
        <v>680</v>
      </c>
      <c r="M4640">
        <v>2040</v>
      </c>
      <c r="N4640">
        <f>IF(COUNTIFS($B$2:B4640,B4640)=1,1,0)</f>
        <v>1</v>
      </c>
    </row>
    <row r="4641" spans="1:14" x14ac:dyDescent="0.2">
      <c r="A4641">
        <v>4640</v>
      </c>
      <c r="B4641">
        <v>3328</v>
      </c>
      <c r="C4641">
        <f>1/COUNTIF(B:B,Table1[[#This Row],[order_id]])</f>
        <v>0.33333333333333331</v>
      </c>
      <c r="D4641" t="str">
        <f>TEXT(Table1[[#This Row],[order_date]],"mmmm")</f>
        <v>December</v>
      </c>
      <c r="E4641" s="1">
        <v>45650</v>
      </c>
      <c r="F4641" s="1" t="str">
        <f>TEXT(Table1[[#This Row],[order_date]],"dddd")</f>
        <v>Tuesday</v>
      </c>
      <c r="G4641">
        <f>HOUR(Table1[[#This Row],[order_time]])</f>
        <v>13</v>
      </c>
      <c r="H4641" s="2">
        <v>0.57924768518518521</v>
      </c>
      <c r="I4641" t="s">
        <v>16</v>
      </c>
      <c r="J4641" t="s">
        <v>17</v>
      </c>
      <c r="K4641">
        <v>1</v>
      </c>
      <c r="L4641">
        <v>20</v>
      </c>
      <c r="M4641">
        <v>20</v>
      </c>
      <c r="N4641">
        <f>IF(COUNTIFS($B$2:B4641,B4641)=1,1,0)</f>
        <v>1</v>
      </c>
    </row>
    <row r="4642" spans="1:14" x14ac:dyDescent="0.2">
      <c r="A4642">
        <v>4641</v>
      </c>
      <c r="B4642">
        <v>3328</v>
      </c>
      <c r="C4642">
        <f>1/COUNTIF(B:B,Table1[[#This Row],[order_id]])</f>
        <v>0.33333333333333331</v>
      </c>
      <c r="D4642" t="str">
        <f>TEXT(Table1[[#This Row],[order_date]],"mmmm")</f>
        <v>December</v>
      </c>
      <c r="E4642" s="1">
        <v>45650</v>
      </c>
      <c r="F4642" s="1" t="str">
        <f>TEXT(Table1[[#This Row],[order_date]],"dddd")</f>
        <v>Tuesday</v>
      </c>
      <c r="G4642">
        <f>HOUR(Table1[[#This Row],[order_time]])</f>
        <v>9</v>
      </c>
      <c r="H4642" s="2">
        <v>0.37966435185185188</v>
      </c>
      <c r="I4642" t="s">
        <v>16</v>
      </c>
      <c r="J4642" t="s">
        <v>17</v>
      </c>
      <c r="K4642">
        <v>3</v>
      </c>
      <c r="L4642">
        <v>20</v>
      </c>
      <c r="M4642">
        <v>60</v>
      </c>
      <c r="N4642">
        <f>IF(COUNTIFS($B$2:B4642,B4642)=1,1,0)</f>
        <v>0</v>
      </c>
    </row>
    <row r="4643" spans="1:14" x14ac:dyDescent="0.2">
      <c r="A4643">
        <v>4642</v>
      </c>
      <c r="B4643">
        <v>3328</v>
      </c>
      <c r="C4643">
        <f>1/COUNTIF(B:B,Table1[[#This Row],[order_id]])</f>
        <v>0.33333333333333331</v>
      </c>
      <c r="D4643" t="str">
        <f>TEXT(Table1[[#This Row],[order_date]],"mmmm")</f>
        <v>December</v>
      </c>
      <c r="E4643" s="1">
        <v>45650</v>
      </c>
      <c r="F4643" s="1" t="str">
        <f>TEXT(Table1[[#This Row],[order_date]],"dddd")</f>
        <v>Tuesday</v>
      </c>
      <c r="G4643">
        <f>HOUR(Table1[[#This Row],[order_time]])</f>
        <v>14</v>
      </c>
      <c r="H4643" s="2">
        <v>0.61711805555555554</v>
      </c>
      <c r="I4643" t="s">
        <v>9</v>
      </c>
      <c r="J4643" t="s">
        <v>10</v>
      </c>
      <c r="K4643">
        <v>5</v>
      </c>
      <c r="L4643">
        <v>20</v>
      </c>
      <c r="M4643">
        <v>100</v>
      </c>
      <c r="N4643">
        <f>IF(COUNTIFS($B$2:B4643,B4643)=1,1,0)</f>
        <v>0</v>
      </c>
    </row>
    <row r="4644" spans="1:14" x14ac:dyDescent="0.2">
      <c r="A4644">
        <v>4643</v>
      </c>
      <c r="B4644">
        <v>3329</v>
      </c>
      <c r="C4644">
        <f>1/COUNTIF(B:B,Table1[[#This Row],[order_id]])</f>
        <v>1</v>
      </c>
      <c r="D4644" t="str">
        <f>TEXT(Table1[[#This Row],[order_date]],"mmmm")</f>
        <v>December</v>
      </c>
      <c r="E4644" s="1">
        <v>45650</v>
      </c>
      <c r="F4644" s="1" t="str">
        <f>TEXT(Table1[[#This Row],[order_date]],"dddd")</f>
        <v>Tuesday</v>
      </c>
      <c r="G4644">
        <f>HOUR(Table1[[#This Row],[order_time]])</f>
        <v>16</v>
      </c>
      <c r="H4644" s="2">
        <v>0.70680555555555558</v>
      </c>
      <c r="I4644" t="s">
        <v>9</v>
      </c>
      <c r="J4644" t="s">
        <v>21</v>
      </c>
      <c r="K4644">
        <v>3</v>
      </c>
      <c r="L4644">
        <v>10</v>
      </c>
      <c r="M4644">
        <v>30</v>
      </c>
      <c r="N4644">
        <f>IF(COUNTIFS($B$2:B4644,B4644)=1,1,0)</f>
        <v>1</v>
      </c>
    </row>
    <row r="4645" spans="1:14" x14ac:dyDescent="0.2">
      <c r="A4645">
        <v>4644</v>
      </c>
      <c r="B4645">
        <v>3330</v>
      </c>
      <c r="C4645">
        <f>1/COUNTIF(B:B,Table1[[#This Row],[order_id]])</f>
        <v>0.33333333333333331</v>
      </c>
      <c r="D4645" t="str">
        <f>TEXT(Table1[[#This Row],[order_date]],"mmmm")</f>
        <v>December</v>
      </c>
      <c r="E4645" s="1">
        <v>45650</v>
      </c>
      <c r="F4645" s="1" t="str">
        <f>TEXT(Table1[[#This Row],[order_date]],"dddd")</f>
        <v>Tuesday</v>
      </c>
      <c r="G4645">
        <f>HOUR(Table1[[#This Row],[order_time]])</f>
        <v>14</v>
      </c>
      <c r="H4645" s="2">
        <v>0.61950231481481477</v>
      </c>
      <c r="I4645" t="s">
        <v>9</v>
      </c>
      <c r="J4645" t="s">
        <v>21</v>
      </c>
      <c r="K4645">
        <v>4</v>
      </c>
      <c r="L4645">
        <v>10</v>
      </c>
      <c r="M4645">
        <v>40</v>
      </c>
      <c r="N4645">
        <f>IF(COUNTIFS($B$2:B4645,B4645)=1,1,0)</f>
        <v>1</v>
      </c>
    </row>
    <row r="4646" spans="1:14" x14ac:dyDescent="0.2">
      <c r="A4646">
        <v>4645</v>
      </c>
      <c r="B4646">
        <v>3330</v>
      </c>
      <c r="C4646">
        <f>1/COUNTIF(B:B,Table1[[#This Row],[order_id]])</f>
        <v>0.33333333333333331</v>
      </c>
      <c r="D4646" t="str">
        <f>TEXT(Table1[[#This Row],[order_date]],"mmmm")</f>
        <v>December</v>
      </c>
      <c r="E4646" s="1">
        <v>45650</v>
      </c>
      <c r="F4646" s="1" t="str">
        <f>TEXT(Table1[[#This Row],[order_date]],"dddd")</f>
        <v>Tuesday</v>
      </c>
      <c r="G4646">
        <f>HOUR(Table1[[#This Row],[order_time]])</f>
        <v>16</v>
      </c>
      <c r="H4646" s="2">
        <v>0.69050925925925921</v>
      </c>
      <c r="I4646" t="s">
        <v>16</v>
      </c>
      <c r="J4646" t="s">
        <v>17</v>
      </c>
      <c r="K4646">
        <v>3</v>
      </c>
      <c r="L4646">
        <v>20</v>
      </c>
      <c r="M4646">
        <v>60</v>
      </c>
      <c r="N4646">
        <f>IF(COUNTIFS($B$2:B4646,B4646)=1,1,0)</f>
        <v>0</v>
      </c>
    </row>
    <row r="4647" spans="1:14" x14ac:dyDescent="0.2">
      <c r="A4647">
        <v>4646</v>
      </c>
      <c r="B4647">
        <v>3330</v>
      </c>
      <c r="C4647">
        <f>1/COUNTIF(B:B,Table1[[#This Row],[order_id]])</f>
        <v>0.33333333333333331</v>
      </c>
      <c r="D4647" t="str">
        <f>TEXT(Table1[[#This Row],[order_date]],"mmmm")</f>
        <v>December</v>
      </c>
      <c r="E4647" s="1">
        <v>45650</v>
      </c>
      <c r="F4647" s="1" t="str">
        <f>TEXT(Table1[[#This Row],[order_date]],"dddd")</f>
        <v>Tuesday</v>
      </c>
      <c r="G4647">
        <f>HOUR(Table1[[#This Row],[order_time]])</f>
        <v>18</v>
      </c>
      <c r="H4647" s="2">
        <v>0.77069444444444446</v>
      </c>
      <c r="I4647" t="s">
        <v>11</v>
      </c>
      <c r="J4647" t="s">
        <v>14</v>
      </c>
      <c r="K4647">
        <v>2</v>
      </c>
      <c r="L4647">
        <v>700</v>
      </c>
      <c r="M4647">
        <v>1400</v>
      </c>
      <c r="N4647">
        <f>IF(COUNTIFS($B$2:B4647,B4647)=1,1,0)</f>
        <v>0</v>
      </c>
    </row>
    <row r="4648" spans="1:14" x14ac:dyDescent="0.2">
      <c r="A4648">
        <v>4647</v>
      </c>
      <c r="B4648">
        <v>3331</v>
      </c>
      <c r="C4648">
        <f>1/COUNTIF(B:B,Table1[[#This Row],[order_id]])</f>
        <v>0.5</v>
      </c>
      <c r="D4648" t="str">
        <f>TEXT(Table1[[#This Row],[order_date]],"mmmm")</f>
        <v>December</v>
      </c>
      <c r="E4648" s="1">
        <v>45650</v>
      </c>
      <c r="F4648" s="1" t="str">
        <f>TEXT(Table1[[#This Row],[order_date]],"dddd")</f>
        <v>Tuesday</v>
      </c>
      <c r="G4648">
        <f>HOUR(Table1[[#This Row],[order_time]])</f>
        <v>17</v>
      </c>
      <c r="H4648" s="2">
        <v>0.73394675925925923</v>
      </c>
      <c r="I4648" t="s">
        <v>18</v>
      </c>
      <c r="J4648" t="s">
        <v>26</v>
      </c>
      <c r="K4648">
        <v>1</v>
      </c>
      <c r="L4648">
        <v>55</v>
      </c>
      <c r="M4648">
        <v>55</v>
      </c>
      <c r="N4648">
        <f>IF(COUNTIFS($B$2:B4648,B4648)=1,1,0)</f>
        <v>1</v>
      </c>
    </row>
    <row r="4649" spans="1:14" x14ac:dyDescent="0.2">
      <c r="A4649">
        <v>4648</v>
      </c>
      <c r="B4649">
        <v>3331</v>
      </c>
      <c r="C4649">
        <f>1/COUNTIF(B:B,Table1[[#This Row],[order_id]])</f>
        <v>0.5</v>
      </c>
      <c r="D4649" t="str">
        <f>TEXT(Table1[[#This Row],[order_date]],"mmmm")</f>
        <v>December</v>
      </c>
      <c r="E4649" s="1">
        <v>45650</v>
      </c>
      <c r="F4649" s="1" t="str">
        <f>TEXT(Table1[[#This Row],[order_date]],"dddd")</f>
        <v>Tuesday</v>
      </c>
      <c r="G4649">
        <f>HOUR(Table1[[#This Row],[order_time]])</f>
        <v>14</v>
      </c>
      <c r="H4649" s="2">
        <v>0.61649305555555556</v>
      </c>
      <c r="I4649" t="s">
        <v>16</v>
      </c>
      <c r="J4649" t="s">
        <v>17</v>
      </c>
      <c r="K4649">
        <v>5</v>
      </c>
      <c r="L4649">
        <v>20</v>
      </c>
      <c r="M4649">
        <v>100</v>
      </c>
      <c r="N4649">
        <f>IF(COUNTIFS($B$2:B4649,B4649)=1,1,0)</f>
        <v>0</v>
      </c>
    </row>
    <row r="4650" spans="1:14" x14ac:dyDescent="0.2">
      <c r="A4650">
        <v>4649</v>
      </c>
      <c r="B4650">
        <v>3332</v>
      </c>
      <c r="C4650">
        <f>1/COUNTIF(B:B,Table1[[#This Row],[order_id]])</f>
        <v>1</v>
      </c>
      <c r="D4650" t="str">
        <f>TEXT(Table1[[#This Row],[order_date]],"mmmm")</f>
        <v>December</v>
      </c>
      <c r="E4650" s="1">
        <v>45651</v>
      </c>
      <c r="F4650" s="1" t="str">
        <f>TEXT(Table1[[#This Row],[order_date]],"dddd")</f>
        <v>Wednesday</v>
      </c>
      <c r="G4650">
        <f>HOUR(Table1[[#This Row],[order_time]])</f>
        <v>20</v>
      </c>
      <c r="H4650" s="2">
        <v>0.86997685185185181</v>
      </c>
      <c r="I4650" t="s">
        <v>9</v>
      </c>
      <c r="J4650" t="s">
        <v>21</v>
      </c>
      <c r="K4650">
        <v>3</v>
      </c>
      <c r="L4650">
        <v>10</v>
      </c>
      <c r="M4650">
        <v>30</v>
      </c>
      <c r="N4650">
        <f>IF(COUNTIFS($B$2:B4650,B4650)=1,1,0)</f>
        <v>1</v>
      </c>
    </row>
    <row r="4651" spans="1:14" x14ac:dyDescent="0.2">
      <c r="A4651">
        <v>4650</v>
      </c>
      <c r="B4651">
        <v>3333</v>
      </c>
      <c r="C4651">
        <f>1/COUNTIF(B:B,Table1[[#This Row],[order_id]])</f>
        <v>0.33333333333333331</v>
      </c>
      <c r="D4651" t="str">
        <f>TEXT(Table1[[#This Row],[order_date]],"mmmm")</f>
        <v>December</v>
      </c>
      <c r="E4651" s="1">
        <v>45651</v>
      </c>
      <c r="F4651" s="1" t="str">
        <f>TEXT(Table1[[#This Row],[order_date]],"dddd")</f>
        <v>Wednesday</v>
      </c>
      <c r="G4651">
        <f>HOUR(Table1[[#This Row],[order_time]])</f>
        <v>20</v>
      </c>
      <c r="H4651" s="2">
        <v>0.8747800925925926</v>
      </c>
      <c r="I4651" t="s">
        <v>9</v>
      </c>
      <c r="J4651" t="s">
        <v>22</v>
      </c>
      <c r="K4651">
        <v>5</v>
      </c>
      <c r="L4651">
        <v>15</v>
      </c>
      <c r="M4651">
        <v>75</v>
      </c>
      <c r="N4651">
        <f>IF(COUNTIFS($B$2:B4651,B4651)=1,1,0)</f>
        <v>1</v>
      </c>
    </row>
    <row r="4652" spans="1:14" x14ac:dyDescent="0.2">
      <c r="A4652">
        <v>4651</v>
      </c>
      <c r="B4652">
        <v>3333</v>
      </c>
      <c r="C4652">
        <f>1/COUNTIF(B:B,Table1[[#This Row],[order_id]])</f>
        <v>0.33333333333333331</v>
      </c>
      <c r="D4652" t="str">
        <f>TEXT(Table1[[#This Row],[order_date]],"mmmm")</f>
        <v>December</v>
      </c>
      <c r="E4652" s="1">
        <v>45651</v>
      </c>
      <c r="F4652" s="1" t="str">
        <f>TEXT(Table1[[#This Row],[order_date]],"dddd")</f>
        <v>Wednesday</v>
      </c>
      <c r="G4652">
        <f>HOUR(Table1[[#This Row],[order_time]])</f>
        <v>9</v>
      </c>
      <c r="H4652" s="2">
        <v>0.38716435185185183</v>
      </c>
      <c r="I4652" t="s">
        <v>11</v>
      </c>
      <c r="J4652" t="s">
        <v>15</v>
      </c>
      <c r="K4652">
        <v>5</v>
      </c>
      <c r="L4652">
        <v>600</v>
      </c>
      <c r="M4652">
        <v>3000</v>
      </c>
      <c r="N4652">
        <f>IF(COUNTIFS($B$2:B4652,B4652)=1,1,0)</f>
        <v>0</v>
      </c>
    </row>
    <row r="4653" spans="1:14" x14ac:dyDescent="0.2">
      <c r="A4653">
        <v>4652</v>
      </c>
      <c r="B4653">
        <v>3333</v>
      </c>
      <c r="C4653">
        <f>1/COUNTIF(B:B,Table1[[#This Row],[order_id]])</f>
        <v>0.33333333333333331</v>
      </c>
      <c r="D4653" t="str">
        <f>TEXT(Table1[[#This Row],[order_date]],"mmmm")</f>
        <v>December</v>
      </c>
      <c r="E4653" s="1">
        <v>45651</v>
      </c>
      <c r="F4653" s="1" t="str">
        <f>TEXT(Table1[[#This Row],[order_date]],"dddd")</f>
        <v>Wednesday</v>
      </c>
      <c r="G4653">
        <f>HOUR(Table1[[#This Row],[order_time]])</f>
        <v>15</v>
      </c>
      <c r="H4653" s="2">
        <v>0.65590277777777772</v>
      </c>
      <c r="I4653" t="s">
        <v>16</v>
      </c>
      <c r="J4653" t="s">
        <v>23</v>
      </c>
      <c r="K4653">
        <v>5</v>
      </c>
      <c r="L4653">
        <v>30</v>
      </c>
      <c r="M4653">
        <v>150</v>
      </c>
      <c r="N4653">
        <f>IF(COUNTIFS($B$2:B4653,B4653)=1,1,0)</f>
        <v>0</v>
      </c>
    </row>
    <row r="4654" spans="1:14" x14ac:dyDescent="0.2">
      <c r="A4654">
        <v>4653</v>
      </c>
      <c r="B4654">
        <v>3334</v>
      </c>
      <c r="C4654">
        <f>1/COUNTIF(B:B,Table1[[#This Row],[order_id]])</f>
        <v>1</v>
      </c>
      <c r="D4654" t="str">
        <f>TEXT(Table1[[#This Row],[order_date]],"mmmm")</f>
        <v>December</v>
      </c>
      <c r="E4654" s="1">
        <v>45651</v>
      </c>
      <c r="F4654" s="1" t="str">
        <f>TEXT(Table1[[#This Row],[order_date]],"dddd")</f>
        <v>Wednesday</v>
      </c>
      <c r="G4654">
        <f>HOUR(Table1[[#This Row],[order_time]])</f>
        <v>20</v>
      </c>
      <c r="H4654" s="2">
        <v>0.86138888888888887</v>
      </c>
      <c r="I4654" t="s">
        <v>9</v>
      </c>
      <c r="J4654" t="s">
        <v>21</v>
      </c>
      <c r="K4654">
        <v>3</v>
      </c>
      <c r="L4654">
        <v>10</v>
      </c>
      <c r="M4654">
        <v>30</v>
      </c>
      <c r="N4654">
        <f>IF(COUNTIFS($B$2:B4654,B4654)=1,1,0)</f>
        <v>1</v>
      </c>
    </row>
    <row r="4655" spans="1:14" x14ac:dyDescent="0.2">
      <c r="A4655">
        <v>4654</v>
      </c>
      <c r="B4655">
        <v>3335</v>
      </c>
      <c r="C4655">
        <f>1/COUNTIF(B:B,Table1[[#This Row],[order_id]])</f>
        <v>1</v>
      </c>
      <c r="D4655" t="str">
        <f>TEXT(Table1[[#This Row],[order_date]],"mmmm")</f>
        <v>December</v>
      </c>
      <c r="E4655" s="1">
        <v>45651</v>
      </c>
      <c r="F4655" s="1" t="str">
        <f>TEXT(Table1[[#This Row],[order_date]],"dddd")</f>
        <v>Wednesday</v>
      </c>
      <c r="G4655">
        <f>HOUR(Table1[[#This Row],[order_time]])</f>
        <v>18</v>
      </c>
      <c r="H4655" s="2">
        <v>0.77790509259259255</v>
      </c>
      <c r="I4655" t="s">
        <v>16</v>
      </c>
      <c r="J4655" t="s">
        <v>28</v>
      </c>
      <c r="K4655">
        <v>2</v>
      </c>
      <c r="L4655">
        <v>25</v>
      </c>
      <c r="M4655">
        <v>50</v>
      </c>
      <c r="N4655">
        <f>IF(COUNTIFS($B$2:B4655,B4655)=1,1,0)</f>
        <v>1</v>
      </c>
    </row>
    <row r="4656" spans="1:14" x14ac:dyDescent="0.2">
      <c r="A4656">
        <v>4655</v>
      </c>
      <c r="B4656">
        <v>3336</v>
      </c>
      <c r="C4656">
        <f>1/COUNTIF(B:B,Table1[[#This Row],[order_id]])</f>
        <v>0.5</v>
      </c>
      <c r="D4656" t="str">
        <f>TEXT(Table1[[#This Row],[order_date]],"mmmm")</f>
        <v>December</v>
      </c>
      <c r="E4656" s="1">
        <v>45651</v>
      </c>
      <c r="F4656" s="1" t="str">
        <f>TEXT(Table1[[#This Row],[order_date]],"dddd")</f>
        <v>Wednesday</v>
      </c>
      <c r="G4656">
        <f>HOUR(Table1[[#This Row],[order_time]])</f>
        <v>12</v>
      </c>
      <c r="H4656" s="2">
        <v>0.53562500000000002</v>
      </c>
      <c r="I4656" t="s">
        <v>9</v>
      </c>
      <c r="J4656" t="s">
        <v>10</v>
      </c>
      <c r="K4656">
        <v>1</v>
      </c>
      <c r="L4656">
        <v>20</v>
      </c>
      <c r="M4656">
        <v>20</v>
      </c>
      <c r="N4656">
        <f>IF(COUNTIFS($B$2:B4656,B4656)=1,1,0)</f>
        <v>1</v>
      </c>
    </row>
    <row r="4657" spans="1:14" x14ac:dyDescent="0.2">
      <c r="A4657">
        <v>4656</v>
      </c>
      <c r="B4657">
        <v>3336</v>
      </c>
      <c r="C4657">
        <f>1/COUNTIF(B:B,Table1[[#This Row],[order_id]])</f>
        <v>0.5</v>
      </c>
      <c r="D4657" t="str">
        <f>TEXT(Table1[[#This Row],[order_date]],"mmmm")</f>
        <v>December</v>
      </c>
      <c r="E4657" s="1">
        <v>45651</v>
      </c>
      <c r="F4657" s="1" t="str">
        <f>TEXT(Table1[[#This Row],[order_date]],"dddd")</f>
        <v>Wednesday</v>
      </c>
      <c r="G4657">
        <f>HOUR(Table1[[#This Row],[order_time]])</f>
        <v>13</v>
      </c>
      <c r="H4657" s="2">
        <v>0.56854166666666661</v>
      </c>
      <c r="I4657" t="s">
        <v>9</v>
      </c>
      <c r="J4657" t="s">
        <v>29</v>
      </c>
      <c r="K4657">
        <v>4</v>
      </c>
      <c r="L4657">
        <v>5</v>
      </c>
      <c r="M4657">
        <v>20</v>
      </c>
      <c r="N4657">
        <f>IF(COUNTIFS($B$2:B4657,B4657)=1,1,0)</f>
        <v>0</v>
      </c>
    </row>
    <row r="4658" spans="1:14" x14ac:dyDescent="0.2">
      <c r="A4658">
        <v>4657</v>
      </c>
      <c r="B4658">
        <v>3337</v>
      </c>
      <c r="C4658">
        <f>1/COUNTIF(B:B,Table1[[#This Row],[order_id]])</f>
        <v>0.33333333333333331</v>
      </c>
      <c r="D4658" t="str">
        <f>TEXT(Table1[[#This Row],[order_date]],"mmmm")</f>
        <v>December</v>
      </c>
      <c r="E4658" s="1">
        <v>45651</v>
      </c>
      <c r="F4658" s="1" t="str">
        <f>TEXT(Table1[[#This Row],[order_date]],"dddd")</f>
        <v>Wednesday</v>
      </c>
      <c r="G4658">
        <f>HOUR(Table1[[#This Row],[order_time]])</f>
        <v>19</v>
      </c>
      <c r="H4658" s="2">
        <v>0.82253472222222224</v>
      </c>
      <c r="I4658" t="s">
        <v>16</v>
      </c>
      <c r="J4658" t="s">
        <v>23</v>
      </c>
      <c r="K4658">
        <v>2</v>
      </c>
      <c r="L4658">
        <v>30</v>
      </c>
      <c r="M4658">
        <v>60</v>
      </c>
      <c r="N4658">
        <f>IF(COUNTIFS($B$2:B4658,B4658)=1,1,0)</f>
        <v>1</v>
      </c>
    </row>
    <row r="4659" spans="1:14" x14ac:dyDescent="0.2">
      <c r="A4659">
        <v>4658</v>
      </c>
      <c r="B4659">
        <v>3337</v>
      </c>
      <c r="C4659">
        <f>1/COUNTIF(B:B,Table1[[#This Row],[order_id]])</f>
        <v>0.33333333333333331</v>
      </c>
      <c r="D4659" t="str">
        <f>TEXT(Table1[[#This Row],[order_date]],"mmmm")</f>
        <v>December</v>
      </c>
      <c r="E4659" s="1">
        <v>45651</v>
      </c>
      <c r="F4659" s="1" t="str">
        <f>TEXT(Table1[[#This Row],[order_date]],"dddd")</f>
        <v>Wednesday</v>
      </c>
      <c r="G4659">
        <f>HOUR(Table1[[#This Row],[order_time]])</f>
        <v>14</v>
      </c>
      <c r="H4659" s="2">
        <v>0.61663194444444447</v>
      </c>
      <c r="I4659" t="s">
        <v>11</v>
      </c>
      <c r="J4659" t="s">
        <v>15</v>
      </c>
      <c r="K4659">
        <v>2</v>
      </c>
      <c r="L4659">
        <v>600</v>
      </c>
      <c r="M4659">
        <v>1200</v>
      </c>
      <c r="N4659">
        <f>IF(COUNTIFS($B$2:B4659,B4659)=1,1,0)</f>
        <v>0</v>
      </c>
    </row>
    <row r="4660" spans="1:14" x14ac:dyDescent="0.2">
      <c r="A4660">
        <v>4659</v>
      </c>
      <c r="B4660">
        <v>3337</v>
      </c>
      <c r="C4660">
        <f>1/COUNTIF(B:B,Table1[[#This Row],[order_id]])</f>
        <v>0.33333333333333331</v>
      </c>
      <c r="D4660" t="str">
        <f>TEXT(Table1[[#This Row],[order_date]],"mmmm")</f>
        <v>December</v>
      </c>
      <c r="E4660" s="1">
        <v>45651</v>
      </c>
      <c r="F4660" s="1" t="str">
        <f>TEXT(Table1[[#This Row],[order_date]],"dddd")</f>
        <v>Wednesday</v>
      </c>
      <c r="G4660">
        <f>HOUR(Table1[[#This Row],[order_time]])</f>
        <v>18</v>
      </c>
      <c r="H4660" s="2">
        <v>0.79121527777777778</v>
      </c>
      <c r="I4660" t="s">
        <v>11</v>
      </c>
      <c r="J4660" t="s">
        <v>15</v>
      </c>
      <c r="K4660">
        <v>5</v>
      </c>
      <c r="L4660">
        <v>600</v>
      </c>
      <c r="M4660">
        <v>3000</v>
      </c>
      <c r="N4660">
        <f>IF(COUNTIFS($B$2:B4660,B4660)=1,1,0)</f>
        <v>0</v>
      </c>
    </row>
    <row r="4661" spans="1:14" x14ac:dyDescent="0.2">
      <c r="A4661">
        <v>4660</v>
      </c>
      <c r="B4661">
        <v>3338</v>
      </c>
      <c r="C4661">
        <f>1/COUNTIF(B:B,Table1[[#This Row],[order_id]])</f>
        <v>1</v>
      </c>
      <c r="D4661" t="str">
        <f>TEXT(Table1[[#This Row],[order_date]],"mmmm")</f>
        <v>December</v>
      </c>
      <c r="E4661" s="1">
        <v>45651</v>
      </c>
      <c r="F4661" s="1" t="str">
        <f>TEXT(Table1[[#This Row],[order_date]],"dddd")</f>
        <v>Wednesday</v>
      </c>
      <c r="G4661">
        <f>HOUR(Table1[[#This Row],[order_time]])</f>
        <v>17</v>
      </c>
      <c r="H4661" s="2">
        <v>0.72967592592592589</v>
      </c>
      <c r="I4661" t="s">
        <v>9</v>
      </c>
      <c r="J4661" t="s">
        <v>20</v>
      </c>
      <c r="K4661">
        <v>3</v>
      </c>
      <c r="L4661">
        <v>25</v>
      </c>
      <c r="M4661">
        <v>75</v>
      </c>
      <c r="N4661">
        <f>IF(COUNTIFS($B$2:B4661,B4661)=1,1,0)</f>
        <v>1</v>
      </c>
    </row>
    <row r="4662" spans="1:14" x14ac:dyDescent="0.2">
      <c r="A4662">
        <v>4661</v>
      </c>
      <c r="B4662">
        <v>3339</v>
      </c>
      <c r="C4662">
        <f>1/COUNTIF(B:B,Table1[[#This Row],[order_id]])</f>
        <v>1</v>
      </c>
      <c r="D4662" t="str">
        <f>TEXT(Table1[[#This Row],[order_date]],"mmmm")</f>
        <v>December</v>
      </c>
      <c r="E4662" s="1">
        <v>45652</v>
      </c>
      <c r="F4662" s="1" t="str">
        <f>TEXT(Table1[[#This Row],[order_date]],"dddd")</f>
        <v>Thursday</v>
      </c>
      <c r="G4662">
        <f>HOUR(Table1[[#This Row],[order_time]])</f>
        <v>10</v>
      </c>
      <c r="H4662" s="2">
        <v>0.43652777777777779</v>
      </c>
      <c r="I4662" t="s">
        <v>16</v>
      </c>
      <c r="J4662" t="s">
        <v>24</v>
      </c>
      <c r="K4662">
        <v>3</v>
      </c>
      <c r="L4662">
        <v>35</v>
      </c>
      <c r="M4662">
        <v>105</v>
      </c>
      <c r="N4662">
        <f>IF(COUNTIFS($B$2:B4662,B4662)=1,1,0)</f>
        <v>1</v>
      </c>
    </row>
    <row r="4663" spans="1:14" x14ac:dyDescent="0.2">
      <c r="A4663">
        <v>4662</v>
      </c>
      <c r="B4663">
        <v>3340</v>
      </c>
      <c r="C4663">
        <f>1/COUNTIF(B:B,Table1[[#This Row],[order_id]])</f>
        <v>1</v>
      </c>
      <c r="D4663" t="str">
        <f>TEXT(Table1[[#This Row],[order_date]],"mmmm")</f>
        <v>December</v>
      </c>
      <c r="E4663" s="1">
        <v>45652</v>
      </c>
      <c r="F4663" s="1" t="str">
        <f>TEXT(Table1[[#This Row],[order_date]],"dddd")</f>
        <v>Thursday</v>
      </c>
      <c r="G4663">
        <f>HOUR(Table1[[#This Row],[order_time]])</f>
        <v>11</v>
      </c>
      <c r="H4663" s="2">
        <v>0.48853009259259261</v>
      </c>
      <c r="I4663" t="s">
        <v>11</v>
      </c>
      <c r="J4663" t="s">
        <v>12</v>
      </c>
      <c r="K4663">
        <v>3</v>
      </c>
      <c r="L4663">
        <v>650</v>
      </c>
      <c r="M4663">
        <v>1950</v>
      </c>
      <c r="N4663">
        <f>IF(COUNTIFS($B$2:B4663,B4663)=1,1,0)</f>
        <v>1</v>
      </c>
    </row>
    <row r="4664" spans="1:14" x14ac:dyDescent="0.2">
      <c r="A4664">
        <v>4663</v>
      </c>
      <c r="B4664">
        <v>3341</v>
      </c>
      <c r="C4664">
        <f>1/COUNTIF(B:B,Table1[[#This Row],[order_id]])</f>
        <v>0.5</v>
      </c>
      <c r="D4664" t="str">
        <f>TEXT(Table1[[#This Row],[order_date]],"mmmm")</f>
        <v>December</v>
      </c>
      <c r="E4664" s="1">
        <v>45652</v>
      </c>
      <c r="F4664" s="1" t="str">
        <f>TEXT(Table1[[#This Row],[order_date]],"dddd")</f>
        <v>Thursday</v>
      </c>
      <c r="G4664">
        <f>HOUR(Table1[[#This Row],[order_time]])</f>
        <v>15</v>
      </c>
      <c r="H4664" s="2">
        <v>0.63990740740740737</v>
      </c>
      <c r="I4664" t="s">
        <v>16</v>
      </c>
      <c r="J4664" t="s">
        <v>23</v>
      </c>
      <c r="K4664">
        <v>3</v>
      </c>
      <c r="L4664">
        <v>30</v>
      </c>
      <c r="M4664">
        <v>90</v>
      </c>
      <c r="N4664">
        <f>IF(COUNTIFS($B$2:B4664,B4664)=1,1,0)</f>
        <v>1</v>
      </c>
    </row>
    <row r="4665" spans="1:14" x14ac:dyDescent="0.2">
      <c r="A4665">
        <v>4664</v>
      </c>
      <c r="B4665">
        <v>3341</v>
      </c>
      <c r="C4665">
        <f>1/COUNTIF(B:B,Table1[[#This Row],[order_id]])</f>
        <v>0.5</v>
      </c>
      <c r="D4665" t="str">
        <f>TEXT(Table1[[#This Row],[order_date]],"mmmm")</f>
        <v>December</v>
      </c>
      <c r="E4665" s="1">
        <v>45652</v>
      </c>
      <c r="F4665" s="1" t="str">
        <f>TEXT(Table1[[#This Row],[order_date]],"dddd")</f>
        <v>Thursday</v>
      </c>
      <c r="G4665">
        <f>HOUR(Table1[[#This Row],[order_time]])</f>
        <v>19</v>
      </c>
      <c r="H4665" s="2">
        <v>0.81144675925925924</v>
      </c>
      <c r="I4665" t="s">
        <v>9</v>
      </c>
      <c r="J4665" t="s">
        <v>20</v>
      </c>
      <c r="K4665">
        <v>2</v>
      </c>
      <c r="L4665">
        <v>25</v>
      </c>
      <c r="M4665">
        <v>50</v>
      </c>
      <c r="N4665">
        <f>IF(COUNTIFS($B$2:B4665,B4665)=1,1,0)</f>
        <v>0</v>
      </c>
    </row>
    <row r="4666" spans="1:14" x14ac:dyDescent="0.2">
      <c r="A4666">
        <v>4665</v>
      </c>
      <c r="B4666">
        <v>3342</v>
      </c>
      <c r="C4666">
        <f>1/COUNTIF(B:B,Table1[[#This Row],[order_id]])</f>
        <v>0.33333333333333331</v>
      </c>
      <c r="D4666" t="str">
        <f>TEXT(Table1[[#This Row],[order_date]],"mmmm")</f>
        <v>December</v>
      </c>
      <c r="E4666" s="1">
        <v>45652</v>
      </c>
      <c r="F4666" s="1" t="str">
        <f>TEXT(Table1[[#This Row],[order_date]],"dddd")</f>
        <v>Thursday</v>
      </c>
      <c r="G4666">
        <f>HOUR(Table1[[#This Row],[order_time]])</f>
        <v>17</v>
      </c>
      <c r="H4666" s="2">
        <v>0.73712962962962958</v>
      </c>
      <c r="I4666" t="s">
        <v>9</v>
      </c>
      <c r="J4666" t="s">
        <v>10</v>
      </c>
      <c r="K4666">
        <v>4</v>
      </c>
      <c r="L4666">
        <v>20</v>
      </c>
      <c r="M4666">
        <v>80</v>
      </c>
      <c r="N4666">
        <f>IF(COUNTIFS($B$2:B4666,B4666)=1,1,0)</f>
        <v>1</v>
      </c>
    </row>
    <row r="4667" spans="1:14" x14ac:dyDescent="0.2">
      <c r="A4667">
        <v>4666</v>
      </c>
      <c r="B4667">
        <v>3342</v>
      </c>
      <c r="C4667">
        <f>1/COUNTIF(B:B,Table1[[#This Row],[order_id]])</f>
        <v>0.33333333333333331</v>
      </c>
      <c r="D4667" t="str">
        <f>TEXT(Table1[[#This Row],[order_date]],"mmmm")</f>
        <v>December</v>
      </c>
      <c r="E4667" s="1">
        <v>45652</v>
      </c>
      <c r="F4667" s="1" t="str">
        <f>TEXT(Table1[[#This Row],[order_date]],"dddd")</f>
        <v>Thursday</v>
      </c>
      <c r="G4667">
        <f>HOUR(Table1[[#This Row],[order_time]])</f>
        <v>9</v>
      </c>
      <c r="H4667" s="2">
        <v>0.3923611111111111</v>
      </c>
      <c r="I4667" t="s">
        <v>18</v>
      </c>
      <c r="J4667" t="s">
        <v>31</v>
      </c>
      <c r="K4667">
        <v>2</v>
      </c>
      <c r="L4667">
        <v>45</v>
      </c>
      <c r="M4667">
        <v>90</v>
      </c>
      <c r="N4667">
        <f>IF(COUNTIFS($B$2:B4667,B4667)=1,1,0)</f>
        <v>0</v>
      </c>
    </row>
    <row r="4668" spans="1:14" x14ac:dyDescent="0.2">
      <c r="A4668">
        <v>4667</v>
      </c>
      <c r="B4668">
        <v>3342</v>
      </c>
      <c r="C4668">
        <f>1/COUNTIF(B:B,Table1[[#This Row],[order_id]])</f>
        <v>0.33333333333333331</v>
      </c>
      <c r="D4668" t="str">
        <f>TEXT(Table1[[#This Row],[order_date]],"mmmm")</f>
        <v>December</v>
      </c>
      <c r="E4668" s="1">
        <v>45652</v>
      </c>
      <c r="F4668" s="1" t="str">
        <f>TEXT(Table1[[#This Row],[order_date]],"dddd")</f>
        <v>Thursday</v>
      </c>
      <c r="G4668">
        <f>HOUR(Table1[[#This Row],[order_time]])</f>
        <v>9</v>
      </c>
      <c r="H4668" s="2">
        <v>0.40203703703703703</v>
      </c>
      <c r="I4668" t="s">
        <v>9</v>
      </c>
      <c r="J4668" t="s">
        <v>21</v>
      </c>
      <c r="K4668">
        <v>2</v>
      </c>
      <c r="L4668">
        <v>10</v>
      </c>
      <c r="M4668">
        <v>20</v>
      </c>
      <c r="N4668">
        <f>IF(COUNTIFS($B$2:B4668,B4668)=1,1,0)</f>
        <v>0</v>
      </c>
    </row>
    <row r="4669" spans="1:14" x14ac:dyDescent="0.2">
      <c r="A4669">
        <v>4668</v>
      </c>
      <c r="B4669">
        <v>3343</v>
      </c>
      <c r="C4669">
        <f>1/COUNTIF(B:B,Table1[[#This Row],[order_id]])</f>
        <v>1</v>
      </c>
      <c r="D4669" t="str">
        <f>TEXT(Table1[[#This Row],[order_date]],"mmmm")</f>
        <v>December</v>
      </c>
      <c r="E4669" s="1">
        <v>45652</v>
      </c>
      <c r="F4669" s="1" t="str">
        <f>TEXT(Table1[[#This Row],[order_date]],"dddd")</f>
        <v>Thursday</v>
      </c>
      <c r="G4669">
        <f>HOUR(Table1[[#This Row],[order_time]])</f>
        <v>12</v>
      </c>
      <c r="H4669" s="2">
        <v>0.53637731481481477</v>
      </c>
      <c r="I4669" t="s">
        <v>18</v>
      </c>
      <c r="J4669" t="s">
        <v>31</v>
      </c>
      <c r="K4669">
        <v>4</v>
      </c>
      <c r="L4669">
        <v>45</v>
      </c>
      <c r="M4669">
        <v>180</v>
      </c>
      <c r="N4669">
        <f>IF(COUNTIFS($B$2:B4669,B4669)=1,1,0)</f>
        <v>1</v>
      </c>
    </row>
    <row r="4670" spans="1:14" x14ac:dyDescent="0.2">
      <c r="A4670">
        <v>4669</v>
      </c>
      <c r="B4670">
        <v>3344</v>
      </c>
      <c r="C4670">
        <f>1/COUNTIF(B:B,Table1[[#This Row],[order_id]])</f>
        <v>0.5</v>
      </c>
      <c r="D4670" t="str">
        <f>TEXT(Table1[[#This Row],[order_date]],"mmmm")</f>
        <v>December</v>
      </c>
      <c r="E4670" s="1">
        <v>45652</v>
      </c>
      <c r="F4670" s="1" t="str">
        <f>TEXT(Table1[[#This Row],[order_date]],"dddd")</f>
        <v>Thursday</v>
      </c>
      <c r="G4670">
        <f>HOUR(Table1[[#This Row],[order_time]])</f>
        <v>17</v>
      </c>
      <c r="H4670" s="2">
        <v>0.73053240740740744</v>
      </c>
      <c r="I4670" t="s">
        <v>18</v>
      </c>
      <c r="J4670" t="s">
        <v>19</v>
      </c>
      <c r="K4670">
        <v>3</v>
      </c>
      <c r="L4670">
        <v>50</v>
      </c>
      <c r="M4670">
        <v>150</v>
      </c>
      <c r="N4670">
        <f>IF(COUNTIFS($B$2:B4670,B4670)=1,1,0)</f>
        <v>1</v>
      </c>
    </row>
    <row r="4671" spans="1:14" x14ac:dyDescent="0.2">
      <c r="A4671">
        <v>4670</v>
      </c>
      <c r="B4671">
        <v>3344</v>
      </c>
      <c r="C4671">
        <f>1/COUNTIF(B:B,Table1[[#This Row],[order_id]])</f>
        <v>0.5</v>
      </c>
      <c r="D4671" t="str">
        <f>TEXT(Table1[[#This Row],[order_date]],"mmmm")</f>
        <v>December</v>
      </c>
      <c r="E4671" s="1">
        <v>45652</v>
      </c>
      <c r="F4671" s="1" t="str">
        <f>TEXT(Table1[[#This Row],[order_date]],"dddd")</f>
        <v>Thursday</v>
      </c>
      <c r="G4671">
        <f>HOUR(Table1[[#This Row],[order_time]])</f>
        <v>11</v>
      </c>
      <c r="H4671" s="2">
        <v>0.46121527777777777</v>
      </c>
      <c r="I4671" t="s">
        <v>16</v>
      </c>
      <c r="J4671" t="s">
        <v>23</v>
      </c>
      <c r="K4671">
        <v>2</v>
      </c>
      <c r="L4671">
        <v>30</v>
      </c>
      <c r="M4671">
        <v>60</v>
      </c>
      <c r="N4671">
        <f>IF(COUNTIFS($B$2:B4671,B4671)=1,1,0)</f>
        <v>0</v>
      </c>
    </row>
    <row r="4672" spans="1:14" x14ac:dyDescent="0.2">
      <c r="A4672">
        <v>4671</v>
      </c>
      <c r="B4672">
        <v>3345</v>
      </c>
      <c r="C4672">
        <f>1/COUNTIF(B:B,Table1[[#This Row],[order_id]])</f>
        <v>0.33333333333333331</v>
      </c>
      <c r="D4672" t="str">
        <f>TEXT(Table1[[#This Row],[order_date]],"mmmm")</f>
        <v>December</v>
      </c>
      <c r="E4672" s="1">
        <v>45652</v>
      </c>
      <c r="F4672" s="1" t="str">
        <f>TEXT(Table1[[#This Row],[order_date]],"dddd")</f>
        <v>Thursday</v>
      </c>
      <c r="G4672">
        <f>HOUR(Table1[[#This Row],[order_time]])</f>
        <v>13</v>
      </c>
      <c r="H4672" s="2">
        <v>0.54637731481481477</v>
      </c>
      <c r="I4672" t="s">
        <v>11</v>
      </c>
      <c r="J4672" t="s">
        <v>14</v>
      </c>
      <c r="K4672">
        <v>4</v>
      </c>
      <c r="L4672">
        <v>700</v>
      </c>
      <c r="M4672">
        <v>2800</v>
      </c>
      <c r="N4672">
        <f>IF(COUNTIFS($B$2:B4672,B4672)=1,1,0)</f>
        <v>1</v>
      </c>
    </row>
    <row r="4673" spans="1:14" x14ac:dyDescent="0.2">
      <c r="A4673">
        <v>4672</v>
      </c>
      <c r="B4673">
        <v>3345</v>
      </c>
      <c r="C4673">
        <f>1/COUNTIF(B:B,Table1[[#This Row],[order_id]])</f>
        <v>0.33333333333333331</v>
      </c>
      <c r="D4673" t="str">
        <f>TEXT(Table1[[#This Row],[order_date]],"mmmm")</f>
        <v>December</v>
      </c>
      <c r="E4673" s="1">
        <v>45652</v>
      </c>
      <c r="F4673" s="1" t="str">
        <f>TEXT(Table1[[#This Row],[order_date]],"dddd")</f>
        <v>Thursday</v>
      </c>
      <c r="G4673">
        <f>HOUR(Table1[[#This Row],[order_time]])</f>
        <v>15</v>
      </c>
      <c r="H4673" s="2">
        <v>0.65255787037037039</v>
      </c>
      <c r="I4673" t="s">
        <v>16</v>
      </c>
      <c r="J4673" t="s">
        <v>23</v>
      </c>
      <c r="K4673">
        <v>4</v>
      </c>
      <c r="L4673">
        <v>30</v>
      </c>
      <c r="M4673">
        <v>120</v>
      </c>
      <c r="N4673">
        <f>IF(COUNTIFS($B$2:B4673,B4673)=1,1,0)</f>
        <v>0</v>
      </c>
    </row>
    <row r="4674" spans="1:14" x14ac:dyDescent="0.2">
      <c r="A4674">
        <v>4673</v>
      </c>
      <c r="B4674">
        <v>3345</v>
      </c>
      <c r="C4674">
        <f>1/COUNTIF(B:B,Table1[[#This Row],[order_id]])</f>
        <v>0.33333333333333331</v>
      </c>
      <c r="D4674" t="str">
        <f>TEXT(Table1[[#This Row],[order_date]],"mmmm")</f>
        <v>December</v>
      </c>
      <c r="E4674" s="1">
        <v>45652</v>
      </c>
      <c r="F4674" s="1" t="str">
        <f>TEXT(Table1[[#This Row],[order_date]],"dddd")</f>
        <v>Thursday</v>
      </c>
      <c r="G4674">
        <f>HOUR(Table1[[#This Row],[order_time]])</f>
        <v>13</v>
      </c>
      <c r="H4674" s="2">
        <v>0.56403935185185183</v>
      </c>
      <c r="I4674" t="s">
        <v>11</v>
      </c>
      <c r="J4674" t="s">
        <v>14</v>
      </c>
      <c r="K4674">
        <v>5</v>
      </c>
      <c r="L4674">
        <v>700</v>
      </c>
      <c r="M4674">
        <v>3500</v>
      </c>
      <c r="N4674">
        <f>IF(COUNTIFS($B$2:B4674,B4674)=1,1,0)</f>
        <v>0</v>
      </c>
    </row>
    <row r="4675" spans="1:14" x14ac:dyDescent="0.2">
      <c r="A4675">
        <v>4674</v>
      </c>
      <c r="B4675">
        <v>3346</v>
      </c>
      <c r="C4675">
        <f>1/COUNTIF(B:B,Table1[[#This Row],[order_id]])</f>
        <v>0.33333333333333331</v>
      </c>
      <c r="D4675" t="str">
        <f>TEXT(Table1[[#This Row],[order_date]],"mmmm")</f>
        <v>December</v>
      </c>
      <c r="E4675" s="1">
        <v>45652</v>
      </c>
      <c r="F4675" s="1" t="str">
        <f>TEXT(Table1[[#This Row],[order_date]],"dddd")</f>
        <v>Thursday</v>
      </c>
      <c r="G4675">
        <f>HOUR(Table1[[#This Row],[order_time]])</f>
        <v>10</v>
      </c>
      <c r="H4675" s="2">
        <v>0.4261226851851852</v>
      </c>
      <c r="I4675" t="s">
        <v>9</v>
      </c>
      <c r="J4675" t="s">
        <v>20</v>
      </c>
      <c r="K4675">
        <v>3</v>
      </c>
      <c r="L4675">
        <v>25</v>
      </c>
      <c r="M4675">
        <v>75</v>
      </c>
      <c r="N4675">
        <f>IF(COUNTIFS($B$2:B4675,B4675)=1,1,0)</f>
        <v>1</v>
      </c>
    </row>
    <row r="4676" spans="1:14" x14ac:dyDescent="0.2">
      <c r="A4676">
        <v>4675</v>
      </c>
      <c r="B4676">
        <v>3346</v>
      </c>
      <c r="C4676">
        <f>1/COUNTIF(B:B,Table1[[#This Row],[order_id]])</f>
        <v>0.33333333333333331</v>
      </c>
      <c r="D4676" t="str">
        <f>TEXT(Table1[[#This Row],[order_date]],"mmmm")</f>
        <v>December</v>
      </c>
      <c r="E4676" s="1">
        <v>45652</v>
      </c>
      <c r="F4676" s="1" t="str">
        <f>TEXT(Table1[[#This Row],[order_date]],"dddd")</f>
        <v>Thursday</v>
      </c>
      <c r="G4676">
        <f>HOUR(Table1[[#This Row],[order_time]])</f>
        <v>13</v>
      </c>
      <c r="H4676" s="2">
        <v>0.57277777777777783</v>
      </c>
      <c r="I4676" t="s">
        <v>9</v>
      </c>
      <c r="J4676" t="s">
        <v>10</v>
      </c>
      <c r="K4676">
        <v>3</v>
      </c>
      <c r="L4676">
        <v>20</v>
      </c>
      <c r="M4676">
        <v>60</v>
      </c>
      <c r="N4676">
        <f>IF(COUNTIFS($B$2:B4676,B4676)=1,1,0)</f>
        <v>0</v>
      </c>
    </row>
    <row r="4677" spans="1:14" x14ac:dyDescent="0.2">
      <c r="A4677">
        <v>4676</v>
      </c>
      <c r="B4677">
        <v>3346</v>
      </c>
      <c r="C4677">
        <f>1/COUNTIF(B:B,Table1[[#This Row],[order_id]])</f>
        <v>0.33333333333333331</v>
      </c>
      <c r="D4677" t="str">
        <f>TEXT(Table1[[#This Row],[order_date]],"mmmm")</f>
        <v>December</v>
      </c>
      <c r="E4677" s="1">
        <v>45652</v>
      </c>
      <c r="F4677" s="1" t="str">
        <f>TEXT(Table1[[#This Row],[order_date]],"dddd")</f>
        <v>Thursday</v>
      </c>
      <c r="G4677">
        <f>HOUR(Table1[[#This Row],[order_time]])</f>
        <v>18</v>
      </c>
      <c r="H4677" s="2">
        <v>0.77101851851851855</v>
      </c>
      <c r="I4677" t="s">
        <v>18</v>
      </c>
      <c r="J4677" t="s">
        <v>19</v>
      </c>
      <c r="K4677">
        <v>5</v>
      </c>
      <c r="L4677">
        <v>50</v>
      </c>
      <c r="M4677">
        <v>250</v>
      </c>
      <c r="N4677">
        <f>IF(COUNTIFS($B$2:B4677,B4677)=1,1,0)</f>
        <v>0</v>
      </c>
    </row>
    <row r="4678" spans="1:14" x14ac:dyDescent="0.2">
      <c r="A4678">
        <v>4677</v>
      </c>
      <c r="B4678">
        <v>3347</v>
      </c>
      <c r="C4678">
        <f>1/COUNTIF(B:B,Table1[[#This Row],[order_id]])</f>
        <v>1</v>
      </c>
      <c r="D4678" t="str">
        <f>TEXT(Table1[[#This Row],[order_date]],"mmmm")</f>
        <v>December</v>
      </c>
      <c r="E4678" s="1">
        <v>45652</v>
      </c>
      <c r="F4678" s="1" t="str">
        <f>TEXT(Table1[[#This Row],[order_date]],"dddd")</f>
        <v>Thursday</v>
      </c>
      <c r="G4678">
        <f>HOUR(Table1[[#This Row],[order_time]])</f>
        <v>11</v>
      </c>
      <c r="H4678" s="2">
        <v>0.48434027777777777</v>
      </c>
      <c r="I4678" t="s">
        <v>11</v>
      </c>
      <c r="J4678" t="s">
        <v>13</v>
      </c>
      <c r="K4678">
        <v>4</v>
      </c>
      <c r="L4678">
        <v>680</v>
      </c>
      <c r="M4678">
        <v>2720</v>
      </c>
      <c r="N4678">
        <f>IF(COUNTIFS($B$2:B4678,B4678)=1,1,0)</f>
        <v>1</v>
      </c>
    </row>
    <row r="4679" spans="1:14" x14ac:dyDescent="0.2">
      <c r="A4679">
        <v>4678</v>
      </c>
      <c r="B4679">
        <v>3348</v>
      </c>
      <c r="C4679">
        <f>1/COUNTIF(B:B,Table1[[#This Row],[order_id]])</f>
        <v>1</v>
      </c>
      <c r="D4679" t="str">
        <f>TEXT(Table1[[#This Row],[order_date]],"mmmm")</f>
        <v>December</v>
      </c>
      <c r="E4679" s="1">
        <v>45652</v>
      </c>
      <c r="F4679" s="1" t="str">
        <f>TEXT(Table1[[#This Row],[order_date]],"dddd")</f>
        <v>Thursday</v>
      </c>
      <c r="G4679">
        <f>HOUR(Table1[[#This Row],[order_time]])</f>
        <v>20</v>
      </c>
      <c r="H4679" s="2">
        <v>0.84420138888888885</v>
      </c>
      <c r="I4679" t="s">
        <v>9</v>
      </c>
      <c r="J4679" t="s">
        <v>20</v>
      </c>
      <c r="K4679">
        <v>1</v>
      </c>
      <c r="L4679">
        <v>25</v>
      </c>
      <c r="M4679">
        <v>25</v>
      </c>
      <c r="N4679">
        <f>IF(COUNTIFS($B$2:B4679,B4679)=1,1,0)</f>
        <v>1</v>
      </c>
    </row>
    <row r="4680" spans="1:14" x14ac:dyDescent="0.2">
      <c r="A4680">
        <v>4679</v>
      </c>
      <c r="B4680">
        <v>3349</v>
      </c>
      <c r="C4680">
        <f>1/COUNTIF(B:B,Table1[[#This Row],[order_id]])</f>
        <v>1</v>
      </c>
      <c r="D4680" t="str">
        <f>TEXT(Table1[[#This Row],[order_date]],"mmmm")</f>
        <v>December</v>
      </c>
      <c r="E4680" s="1">
        <v>45653</v>
      </c>
      <c r="F4680" s="1" t="str">
        <f>TEXT(Table1[[#This Row],[order_date]],"dddd")</f>
        <v>Friday</v>
      </c>
      <c r="G4680">
        <f>HOUR(Table1[[#This Row],[order_time]])</f>
        <v>11</v>
      </c>
      <c r="H4680" s="2">
        <v>0.46142361111111113</v>
      </c>
      <c r="I4680" t="s">
        <v>18</v>
      </c>
      <c r="J4680" t="s">
        <v>31</v>
      </c>
      <c r="K4680">
        <v>5</v>
      </c>
      <c r="L4680">
        <v>45</v>
      </c>
      <c r="M4680">
        <v>225</v>
      </c>
      <c r="N4680">
        <f>IF(COUNTIFS($B$2:B4680,B4680)=1,1,0)</f>
        <v>1</v>
      </c>
    </row>
    <row r="4681" spans="1:14" x14ac:dyDescent="0.2">
      <c r="A4681">
        <v>4680</v>
      </c>
      <c r="B4681">
        <v>3350</v>
      </c>
      <c r="C4681">
        <f>1/COUNTIF(B:B,Table1[[#This Row],[order_id]])</f>
        <v>0.5</v>
      </c>
      <c r="D4681" t="str">
        <f>TEXT(Table1[[#This Row],[order_date]],"mmmm")</f>
        <v>December</v>
      </c>
      <c r="E4681" s="1">
        <v>45653</v>
      </c>
      <c r="F4681" s="1" t="str">
        <f>TEXT(Table1[[#This Row],[order_date]],"dddd")</f>
        <v>Friday</v>
      </c>
      <c r="G4681">
        <f>HOUR(Table1[[#This Row],[order_time]])</f>
        <v>10</v>
      </c>
      <c r="H4681" s="2">
        <v>0.4572222222222222</v>
      </c>
      <c r="I4681" t="s">
        <v>18</v>
      </c>
      <c r="J4681" t="s">
        <v>19</v>
      </c>
      <c r="K4681">
        <v>3</v>
      </c>
      <c r="L4681">
        <v>50</v>
      </c>
      <c r="M4681">
        <v>150</v>
      </c>
      <c r="N4681">
        <f>IF(COUNTIFS($B$2:B4681,B4681)=1,1,0)</f>
        <v>1</v>
      </c>
    </row>
    <row r="4682" spans="1:14" x14ac:dyDescent="0.2">
      <c r="A4682">
        <v>4681</v>
      </c>
      <c r="B4682">
        <v>3350</v>
      </c>
      <c r="C4682">
        <f>1/COUNTIF(B:B,Table1[[#This Row],[order_id]])</f>
        <v>0.5</v>
      </c>
      <c r="D4682" t="str">
        <f>TEXT(Table1[[#This Row],[order_date]],"mmmm")</f>
        <v>December</v>
      </c>
      <c r="E4682" s="1">
        <v>45653</v>
      </c>
      <c r="F4682" s="1" t="str">
        <f>TEXT(Table1[[#This Row],[order_date]],"dddd")</f>
        <v>Friday</v>
      </c>
      <c r="G4682">
        <f>HOUR(Table1[[#This Row],[order_time]])</f>
        <v>12</v>
      </c>
      <c r="H4682" s="2">
        <v>0.52290509259259255</v>
      </c>
      <c r="I4682" t="s">
        <v>11</v>
      </c>
      <c r="J4682" t="s">
        <v>13</v>
      </c>
      <c r="K4682">
        <v>4</v>
      </c>
      <c r="L4682">
        <v>680</v>
      </c>
      <c r="M4682">
        <v>2720</v>
      </c>
      <c r="N4682">
        <f>IF(COUNTIFS($B$2:B4682,B4682)=1,1,0)</f>
        <v>0</v>
      </c>
    </row>
    <row r="4683" spans="1:14" x14ac:dyDescent="0.2">
      <c r="A4683">
        <v>4682</v>
      </c>
      <c r="B4683">
        <v>3351</v>
      </c>
      <c r="C4683">
        <f>1/COUNTIF(B:B,Table1[[#This Row],[order_id]])</f>
        <v>0.33333333333333331</v>
      </c>
      <c r="D4683" t="str">
        <f>TEXT(Table1[[#This Row],[order_date]],"mmmm")</f>
        <v>December</v>
      </c>
      <c r="E4683" s="1">
        <v>45653</v>
      </c>
      <c r="F4683" s="1" t="str">
        <f>TEXT(Table1[[#This Row],[order_date]],"dddd")</f>
        <v>Friday</v>
      </c>
      <c r="G4683">
        <f>HOUR(Table1[[#This Row],[order_time]])</f>
        <v>15</v>
      </c>
      <c r="H4683" s="2">
        <v>0.62777777777777777</v>
      </c>
      <c r="I4683" t="s">
        <v>16</v>
      </c>
      <c r="J4683" t="s">
        <v>23</v>
      </c>
      <c r="K4683">
        <v>3</v>
      </c>
      <c r="L4683">
        <v>30</v>
      </c>
      <c r="M4683">
        <v>90</v>
      </c>
      <c r="N4683">
        <f>IF(COUNTIFS($B$2:B4683,B4683)=1,1,0)</f>
        <v>1</v>
      </c>
    </row>
    <row r="4684" spans="1:14" x14ac:dyDescent="0.2">
      <c r="A4684">
        <v>4683</v>
      </c>
      <c r="B4684">
        <v>3351</v>
      </c>
      <c r="C4684">
        <f>1/COUNTIF(B:B,Table1[[#This Row],[order_id]])</f>
        <v>0.33333333333333331</v>
      </c>
      <c r="D4684" t="str">
        <f>TEXT(Table1[[#This Row],[order_date]],"mmmm")</f>
        <v>December</v>
      </c>
      <c r="E4684" s="1">
        <v>45653</v>
      </c>
      <c r="F4684" s="1" t="str">
        <f>TEXT(Table1[[#This Row],[order_date]],"dddd")</f>
        <v>Friday</v>
      </c>
      <c r="G4684">
        <f>HOUR(Table1[[#This Row],[order_time]])</f>
        <v>16</v>
      </c>
      <c r="H4684" s="2">
        <v>0.69718749999999996</v>
      </c>
      <c r="I4684" t="s">
        <v>16</v>
      </c>
      <c r="J4684" t="s">
        <v>28</v>
      </c>
      <c r="K4684">
        <v>1</v>
      </c>
      <c r="L4684">
        <v>25</v>
      </c>
      <c r="M4684">
        <v>25</v>
      </c>
      <c r="N4684">
        <f>IF(COUNTIFS($B$2:B4684,B4684)=1,1,0)</f>
        <v>0</v>
      </c>
    </row>
    <row r="4685" spans="1:14" x14ac:dyDescent="0.2">
      <c r="A4685">
        <v>4684</v>
      </c>
      <c r="B4685">
        <v>3351</v>
      </c>
      <c r="C4685">
        <f>1/COUNTIF(B:B,Table1[[#This Row],[order_id]])</f>
        <v>0.33333333333333331</v>
      </c>
      <c r="D4685" t="str">
        <f>TEXT(Table1[[#This Row],[order_date]],"mmmm")</f>
        <v>December</v>
      </c>
      <c r="E4685" s="1">
        <v>45653</v>
      </c>
      <c r="F4685" s="1" t="str">
        <f>TEXT(Table1[[#This Row],[order_date]],"dddd")</f>
        <v>Friday</v>
      </c>
      <c r="G4685">
        <f>HOUR(Table1[[#This Row],[order_time]])</f>
        <v>15</v>
      </c>
      <c r="H4685" s="2">
        <v>0.65149305555555559</v>
      </c>
      <c r="I4685" t="s">
        <v>11</v>
      </c>
      <c r="J4685" t="s">
        <v>13</v>
      </c>
      <c r="K4685">
        <v>2</v>
      </c>
      <c r="L4685">
        <v>680</v>
      </c>
      <c r="M4685">
        <v>1360</v>
      </c>
      <c r="N4685">
        <f>IF(COUNTIFS($B$2:B4685,B4685)=1,1,0)</f>
        <v>0</v>
      </c>
    </row>
    <row r="4686" spans="1:14" x14ac:dyDescent="0.2">
      <c r="A4686">
        <v>4685</v>
      </c>
      <c r="B4686">
        <v>3352</v>
      </c>
      <c r="C4686">
        <f>1/COUNTIF(B:B,Table1[[#This Row],[order_id]])</f>
        <v>1</v>
      </c>
      <c r="D4686" t="str">
        <f>TEXT(Table1[[#This Row],[order_date]],"mmmm")</f>
        <v>December</v>
      </c>
      <c r="E4686" s="1">
        <v>45653</v>
      </c>
      <c r="F4686" s="1" t="str">
        <f>TEXT(Table1[[#This Row],[order_date]],"dddd")</f>
        <v>Friday</v>
      </c>
      <c r="G4686">
        <f>HOUR(Table1[[#This Row],[order_time]])</f>
        <v>20</v>
      </c>
      <c r="H4686" s="2">
        <v>0.86684027777777772</v>
      </c>
      <c r="I4686" t="s">
        <v>18</v>
      </c>
      <c r="J4686" t="s">
        <v>31</v>
      </c>
      <c r="K4686">
        <v>2</v>
      </c>
      <c r="L4686">
        <v>45</v>
      </c>
      <c r="M4686">
        <v>90</v>
      </c>
      <c r="N4686">
        <f>IF(COUNTIFS($B$2:B4686,B4686)=1,1,0)</f>
        <v>1</v>
      </c>
    </row>
    <row r="4687" spans="1:14" x14ac:dyDescent="0.2">
      <c r="A4687">
        <v>4686</v>
      </c>
      <c r="B4687">
        <v>3353</v>
      </c>
      <c r="C4687">
        <f>1/COUNTIF(B:B,Table1[[#This Row],[order_id]])</f>
        <v>1</v>
      </c>
      <c r="D4687" t="str">
        <f>TEXT(Table1[[#This Row],[order_date]],"mmmm")</f>
        <v>December</v>
      </c>
      <c r="E4687" s="1">
        <v>45653</v>
      </c>
      <c r="F4687" s="1" t="str">
        <f>TEXT(Table1[[#This Row],[order_date]],"dddd")</f>
        <v>Friday</v>
      </c>
      <c r="G4687">
        <f>HOUR(Table1[[#This Row],[order_time]])</f>
        <v>20</v>
      </c>
      <c r="H4687" s="2">
        <v>0.85444444444444445</v>
      </c>
      <c r="I4687" t="s">
        <v>18</v>
      </c>
      <c r="J4687" t="s">
        <v>30</v>
      </c>
      <c r="K4687">
        <v>4</v>
      </c>
      <c r="L4687">
        <v>60</v>
      </c>
      <c r="M4687">
        <v>240</v>
      </c>
      <c r="N4687">
        <f>IF(COUNTIFS($B$2:B4687,B4687)=1,1,0)</f>
        <v>1</v>
      </c>
    </row>
    <row r="4688" spans="1:14" x14ac:dyDescent="0.2">
      <c r="A4688">
        <v>4687</v>
      </c>
      <c r="B4688">
        <v>3354</v>
      </c>
      <c r="C4688">
        <f>1/COUNTIF(B:B,Table1[[#This Row],[order_id]])</f>
        <v>0.5</v>
      </c>
      <c r="D4688" t="str">
        <f>TEXT(Table1[[#This Row],[order_date]],"mmmm")</f>
        <v>December</v>
      </c>
      <c r="E4688" s="1">
        <v>45653</v>
      </c>
      <c r="F4688" s="1" t="str">
        <f>TEXT(Table1[[#This Row],[order_date]],"dddd")</f>
        <v>Friday</v>
      </c>
      <c r="G4688">
        <f>HOUR(Table1[[#This Row],[order_time]])</f>
        <v>18</v>
      </c>
      <c r="H4688" s="2">
        <v>0.78858796296296296</v>
      </c>
      <c r="I4688" t="s">
        <v>16</v>
      </c>
      <c r="J4688" t="s">
        <v>28</v>
      </c>
      <c r="K4688">
        <v>4</v>
      </c>
      <c r="L4688">
        <v>25</v>
      </c>
      <c r="M4688">
        <v>100</v>
      </c>
      <c r="N4688">
        <f>IF(COUNTIFS($B$2:B4688,B4688)=1,1,0)</f>
        <v>1</v>
      </c>
    </row>
    <row r="4689" spans="1:14" x14ac:dyDescent="0.2">
      <c r="A4689">
        <v>4688</v>
      </c>
      <c r="B4689">
        <v>3354</v>
      </c>
      <c r="C4689">
        <f>1/COUNTIF(B:B,Table1[[#This Row],[order_id]])</f>
        <v>0.5</v>
      </c>
      <c r="D4689" t="str">
        <f>TEXT(Table1[[#This Row],[order_date]],"mmmm")</f>
        <v>December</v>
      </c>
      <c r="E4689" s="1">
        <v>45653</v>
      </c>
      <c r="F4689" s="1" t="str">
        <f>TEXT(Table1[[#This Row],[order_date]],"dddd")</f>
        <v>Friday</v>
      </c>
      <c r="G4689">
        <f>HOUR(Table1[[#This Row],[order_time]])</f>
        <v>13</v>
      </c>
      <c r="H4689" s="2">
        <v>0.57339120370370367</v>
      </c>
      <c r="I4689" t="s">
        <v>9</v>
      </c>
      <c r="J4689" t="s">
        <v>29</v>
      </c>
      <c r="K4689">
        <v>5</v>
      </c>
      <c r="L4689">
        <v>5</v>
      </c>
      <c r="M4689">
        <v>25</v>
      </c>
      <c r="N4689">
        <f>IF(COUNTIFS($B$2:B4689,B4689)=1,1,0)</f>
        <v>0</v>
      </c>
    </row>
    <row r="4690" spans="1:14" x14ac:dyDescent="0.2">
      <c r="A4690">
        <v>4689</v>
      </c>
      <c r="B4690">
        <v>3355</v>
      </c>
      <c r="C4690">
        <f>1/COUNTIF(B:B,Table1[[#This Row],[order_id]])</f>
        <v>1</v>
      </c>
      <c r="D4690" t="str">
        <f>TEXT(Table1[[#This Row],[order_date]],"mmmm")</f>
        <v>December</v>
      </c>
      <c r="E4690" s="1">
        <v>45653</v>
      </c>
      <c r="F4690" s="1" t="str">
        <f>TEXT(Table1[[#This Row],[order_date]],"dddd")</f>
        <v>Friday</v>
      </c>
      <c r="G4690">
        <f>HOUR(Table1[[#This Row],[order_time]])</f>
        <v>10</v>
      </c>
      <c r="H4690" s="2">
        <v>0.43314814814814817</v>
      </c>
      <c r="I4690" t="s">
        <v>11</v>
      </c>
      <c r="J4690" t="s">
        <v>25</v>
      </c>
      <c r="K4690">
        <v>3</v>
      </c>
      <c r="L4690">
        <v>1000</v>
      </c>
      <c r="M4690">
        <v>3000</v>
      </c>
      <c r="N4690">
        <f>IF(COUNTIFS($B$2:B4690,B4690)=1,1,0)</f>
        <v>1</v>
      </c>
    </row>
    <row r="4691" spans="1:14" x14ac:dyDescent="0.2">
      <c r="A4691">
        <v>4690</v>
      </c>
      <c r="B4691">
        <v>3356</v>
      </c>
      <c r="C4691">
        <f>1/COUNTIF(B:B,Table1[[#This Row],[order_id]])</f>
        <v>0.33333333333333331</v>
      </c>
      <c r="D4691" t="str">
        <f>TEXT(Table1[[#This Row],[order_date]],"mmmm")</f>
        <v>December</v>
      </c>
      <c r="E4691" s="1">
        <v>45653</v>
      </c>
      <c r="F4691" s="1" t="str">
        <f>TEXT(Table1[[#This Row],[order_date]],"dddd")</f>
        <v>Friday</v>
      </c>
      <c r="G4691">
        <f>HOUR(Table1[[#This Row],[order_time]])</f>
        <v>11</v>
      </c>
      <c r="H4691" s="2">
        <v>0.46576388888888887</v>
      </c>
      <c r="I4691" t="s">
        <v>16</v>
      </c>
      <c r="J4691" t="s">
        <v>23</v>
      </c>
      <c r="K4691">
        <v>2</v>
      </c>
      <c r="L4691">
        <v>30</v>
      </c>
      <c r="M4691">
        <v>60</v>
      </c>
      <c r="N4691">
        <f>IF(COUNTIFS($B$2:B4691,B4691)=1,1,0)</f>
        <v>1</v>
      </c>
    </row>
    <row r="4692" spans="1:14" x14ac:dyDescent="0.2">
      <c r="A4692">
        <v>4691</v>
      </c>
      <c r="B4692">
        <v>3356</v>
      </c>
      <c r="C4692">
        <f>1/COUNTIF(B:B,Table1[[#This Row],[order_id]])</f>
        <v>0.33333333333333331</v>
      </c>
      <c r="D4692" t="str">
        <f>TEXT(Table1[[#This Row],[order_date]],"mmmm")</f>
        <v>December</v>
      </c>
      <c r="E4692" s="1">
        <v>45653</v>
      </c>
      <c r="F4692" s="1" t="str">
        <f>TEXT(Table1[[#This Row],[order_date]],"dddd")</f>
        <v>Friday</v>
      </c>
      <c r="G4692">
        <f>HOUR(Table1[[#This Row],[order_time]])</f>
        <v>18</v>
      </c>
      <c r="H4692" s="2">
        <v>0.76616898148148149</v>
      </c>
      <c r="I4692" t="s">
        <v>9</v>
      </c>
      <c r="J4692" t="s">
        <v>22</v>
      </c>
      <c r="K4692">
        <v>3</v>
      </c>
      <c r="L4692">
        <v>15</v>
      </c>
      <c r="M4692">
        <v>45</v>
      </c>
      <c r="N4692">
        <f>IF(COUNTIFS($B$2:B4692,B4692)=1,1,0)</f>
        <v>0</v>
      </c>
    </row>
    <row r="4693" spans="1:14" x14ac:dyDescent="0.2">
      <c r="A4693">
        <v>4692</v>
      </c>
      <c r="B4693">
        <v>3356</v>
      </c>
      <c r="C4693">
        <f>1/COUNTIF(B:B,Table1[[#This Row],[order_id]])</f>
        <v>0.33333333333333331</v>
      </c>
      <c r="D4693" t="str">
        <f>TEXT(Table1[[#This Row],[order_date]],"mmmm")</f>
        <v>December</v>
      </c>
      <c r="E4693" s="1">
        <v>45653</v>
      </c>
      <c r="F4693" s="1" t="str">
        <f>TEXT(Table1[[#This Row],[order_date]],"dddd")</f>
        <v>Friday</v>
      </c>
      <c r="G4693">
        <f>HOUR(Table1[[#This Row],[order_time]])</f>
        <v>18</v>
      </c>
      <c r="H4693" s="2">
        <v>0.75083333333333335</v>
      </c>
      <c r="I4693" t="s">
        <v>18</v>
      </c>
      <c r="J4693" t="s">
        <v>19</v>
      </c>
      <c r="K4693">
        <v>5</v>
      </c>
      <c r="L4693">
        <v>50</v>
      </c>
      <c r="M4693">
        <v>250</v>
      </c>
      <c r="N4693">
        <f>IF(COUNTIFS($B$2:B4693,B4693)=1,1,0)</f>
        <v>0</v>
      </c>
    </row>
    <row r="4694" spans="1:14" x14ac:dyDescent="0.2">
      <c r="A4694">
        <v>4693</v>
      </c>
      <c r="B4694">
        <v>3357</v>
      </c>
      <c r="C4694">
        <f>1/COUNTIF(B:B,Table1[[#This Row],[order_id]])</f>
        <v>1</v>
      </c>
      <c r="D4694" t="str">
        <f>TEXT(Table1[[#This Row],[order_date]],"mmmm")</f>
        <v>December</v>
      </c>
      <c r="E4694" s="1">
        <v>45653</v>
      </c>
      <c r="F4694" s="1" t="str">
        <f>TEXT(Table1[[#This Row],[order_date]],"dddd")</f>
        <v>Friday</v>
      </c>
      <c r="G4694">
        <f>HOUR(Table1[[#This Row],[order_time]])</f>
        <v>10</v>
      </c>
      <c r="H4694" s="2">
        <v>0.43005787037037035</v>
      </c>
      <c r="I4694" t="s">
        <v>11</v>
      </c>
      <c r="J4694" t="s">
        <v>12</v>
      </c>
      <c r="K4694">
        <v>4</v>
      </c>
      <c r="L4694">
        <v>650</v>
      </c>
      <c r="M4694">
        <v>2600</v>
      </c>
      <c r="N4694">
        <f>IF(COUNTIFS($B$2:B4694,B4694)=1,1,0)</f>
        <v>1</v>
      </c>
    </row>
    <row r="4695" spans="1:14" x14ac:dyDescent="0.2">
      <c r="A4695">
        <v>4694</v>
      </c>
      <c r="B4695">
        <v>3358</v>
      </c>
      <c r="C4695">
        <f>1/COUNTIF(B:B,Table1[[#This Row],[order_id]])</f>
        <v>0.33333333333333331</v>
      </c>
      <c r="D4695" t="str">
        <f>TEXT(Table1[[#This Row],[order_date]],"mmmm")</f>
        <v>December</v>
      </c>
      <c r="E4695" s="1">
        <v>45654</v>
      </c>
      <c r="F4695" s="1" t="str">
        <f>TEXT(Table1[[#This Row],[order_date]],"dddd")</f>
        <v>Saturday</v>
      </c>
      <c r="G4695">
        <f>HOUR(Table1[[#This Row],[order_time]])</f>
        <v>14</v>
      </c>
      <c r="H4695" s="2">
        <v>0.60598379629629628</v>
      </c>
      <c r="I4695" t="s">
        <v>9</v>
      </c>
      <c r="J4695" t="s">
        <v>10</v>
      </c>
      <c r="K4695">
        <v>1</v>
      </c>
      <c r="L4695">
        <v>20</v>
      </c>
      <c r="M4695">
        <v>20</v>
      </c>
      <c r="N4695">
        <f>IF(COUNTIFS($B$2:B4695,B4695)=1,1,0)</f>
        <v>1</v>
      </c>
    </row>
    <row r="4696" spans="1:14" x14ac:dyDescent="0.2">
      <c r="A4696">
        <v>4695</v>
      </c>
      <c r="B4696">
        <v>3358</v>
      </c>
      <c r="C4696">
        <f>1/COUNTIF(B:B,Table1[[#This Row],[order_id]])</f>
        <v>0.33333333333333331</v>
      </c>
      <c r="D4696" t="str">
        <f>TEXT(Table1[[#This Row],[order_date]],"mmmm")</f>
        <v>December</v>
      </c>
      <c r="E4696" s="1">
        <v>45654</v>
      </c>
      <c r="F4696" s="1" t="str">
        <f>TEXT(Table1[[#This Row],[order_date]],"dddd")</f>
        <v>Saturday</v>
      </c>
      <c r="G4696">
        <f>HOUR(Table1[[#This Row],[order_time]])</f>
        <v>16</v>
      </c>
      <c r="H4696" s="2">
        <v>0.69016203703703705</v>
      </c>
      <c r="I4696" t="s">
        <v>11</v>
      </c>
      <c r="J4696" t="s">
        <v>12</v>
      </c>
      <c r="K4696">
        <v>4</v>
      </c>
      <c r="L4696">
        <v>650</v>
      </c>
      <c r="M4696">
        <v>2600</v>
      </c>
      <c r="N4696">
        <f>IF(COUNTIFS($B$2:B4696,B4696)=1,1,0)</f>
        <v>0</v>
      </c>
    </row>
    <row r="4697" spans="1:14" x14ac:dyDescent="0.2">
      <c r="A4697">
        <v>4696</v>
      </c>
      <c r="B4697">
        <v>3358</v>
      </c>
      <c r="C4697">
        <f>1/COUNTIF(B:B,Table1[[#This Row],[order_id]])</f>
        <v>0.33333333333333331</v>
      </c>
      <c r="D4697" t="str">
        <f>TEXT(Table1[[#This Row],[order_date]],"mmmm")</f>
        <v>December</v>
      </c>
      <c r="E4697" s="1">
        <v>45654</v>
      </c>
      <c r="F4697" s="1" t="str">
        <f>TEXT(Table1[[#This Row],[order_date]],"dddd")</f>
        <v>Saturday</v>
      </c>
      <c r="G4697">
        <f>HOUR(Table1[[#This Row],[order_time]])</f>
        <v>13</v>
      </c>
      <c r="H4697" s="2">
        <v>0.57967592592592587</v>
      </c>
      <c r="I4697" t="s">
        <v>18</v>
      </c>
      <c r="J4697" t="s">
        <v>30</v>
      </c>
      <c r="K4697">
        <v>1</v>
      </c>
      <c r="L4697">
        <v>60</v>
      </c>
      <c r="M4697">
        <v>60</v>
      </c>
      <c r="N4697">
        <f>IF(COUNTIFS($B$2:B4697,B4697)=1,1,0)</f>
        <v>0</v>
      </c>
    </row>
    <row r="4698" spans="1:14" x14ac:dyDescent="0.2">
      <c r="A4698">
        <v>4697</v>
      </c>
      <c r="B4698">
        <v>3359</v>
      </c>
      <c r="C4698">
        <f>1/COUNTIF(B:B,Table1[[#This Row],[order_id]])</f>
        <v>0.5</v>
      </c>
      <c r="D4698" t="str">
        <f>TEXT(Table1[[#This Row],[order_date]],"mmmm")</f>
        <v>December</v>
      </c>
      <c r="E4698" s="1">
        <v>45654</v>
      </c>
      <c r="F4698" s="1" t="str">
        <f>TEXT(Table1[[#This Row],[order_date]],"dddd")</f>
        <v>Saturday</v>
      </c>
      <c r="G4698">
        <f>HOUR(Table1[[#This Row],[order_time]])</f>
        <v>13</v>
      </c>
      <c r="H4698" s="2">
        <v>0.5801736111111111</v>
      </c>
      <c r="I4698" t="s">
        <v>16</v>
      </c>
      <c r="J4698" t="s">
        <v>17</v>
      </c>
      <c r="K4698">
        <v>1</v>
      </c>
      <c r="L4698">
        <v>20</v>
      </c>
      <c r="M4698">
        <v>20</v>
      </c>
      <c r="N4698">
        <f>IF(COUNTIFS($B$2:B4698,B4698)=1,1,0)</f>
        <v>1</v>
      </c>
    </row>
    <row r="4699" spans="1:14" x14ac:dyDescent="0.2">
      <c r="A4699">
        <v>4698</v>
      </c>
      <c r="B4699">
        <v>3359</v>
      </c>
      <c r="C4699">
        <f>1/COUNTIF(B:B,Table1[[#This Row],[order_id]])</f>
        <v>0.5</v>
      </c>
      <c r="D4699" t="str">
        <f>TEXT(Table1[[#This Row],[order_date]],"mmmm")</f>
        <v>December</v>
      </c>
      <c r="E4699" s="1">
        <v>45654</v>
      </c>
      <c r="F4699" s="1" t="str">
        <f>TEXT(Table1[[#This Row],[order_date]],"dddd")</f>
        <v>Saturday</v>
      </c>
      <c r="G4699">
        <f>HOUR(Table1[[#This Row],[order_time]])</f>
        <v>20</v>
      </c>
      <c r="H4699" s="2">
        <v>0.85637731481481483</v>
      </c>
      <c r="I4699" t="s">
        <v>18</v>
      </c>
      <c r="J4699" t="s">
        <v>31</v>
      </c>
      <c r="K4699">
        <v>2</v>
      </c>
      <c r="L4699">
        <v>45</v>
      </c>
      <c r="M4699">
        <v>90</v>
      </c>
      <c r="N4699">
        <f>IF(COUNTIFS($B$2:B4699,B4699)=1,1,0)</f>
        <v>0</v>
      </c>
    </row>
    <row r="4700" spans="1:14" x14ac:dyDescent="0.2">
      <c r="A4700">
        <v>4699</v>
      </c>
      <c r="B4700">
        <v>3360</v>
      </c>
      <c r="C4700">
        <f>1/COUNTIF(B:B,Table1[[#This Row],[order_id]])</f>
        <v>1</v>
      </c>
      <c r="D4700" t="str">
        <f>TEXT(Table1[[#This Row],[order_date]],"mmmm")</f>
        <v>December</v>
      </c>
      <c r="E4700" s="1">
        <v>45654</v>
      </c>
      <c r="F4700" s="1" t="str">
        <f>TEXT(Table1[[#This Row],[order_date]],"dddd")</f>
        <v>Saturday</v>
      </c>
      <c r="G4700">
        <f>HOUR(Table1[[#This Row],[order_time]])</f>
        <v>17</v>
      </c>
      <c r="H4700" s="2">
        <v>0.71012731481481484</v>
      </c>
      <c r="I4700" t="s">
        <v>18</v>
      </c>
      <c r="J4700" t="s">
        <v>27</v>
      </c>
      <c r="K4700">
        <v>4</v>
      </c>
      <c r="L4700">
        <v>40</v>
      </c>
      <c r="M4700">
        <v>160</v>
      </c>
      <c r="N4700">
        <f>IF(COUNTIFS($B$2:B4700,B4700)=1,1,0)</f>
        <v>1</v>
      </c>
    </row>
    <row r="4701" spans="1:14" x14ac:dyDescent="0.2">
      <c r="A4701">
        <v>4700</v>
      </c>
      <c r="B4701">
        <v>3361</v>
      </c>
      <c r="C4701">
        <f>1/COUNTIF(B:B,Table1[[#This Row],[order_id]])</f>
        <v>0.5</v>
      </c>
      <c r="D4701" t="str">
        <f>TEXT(Table1[[#This Row],[order_date]],"mmmm")</f>
        <v>December</v>
      </c>
      <c r="E4701" s="1">
        <v>45654</v>
      </c>
      <c r="F4701" s="1" t="str">
        <f>TEXT(Table1[[#This Row],[order_date]],"dddd")</f>
        <v>Saturday</v>
      </c>
      <c r="G4701">
        <f>HOUR(Table1[[#This Row],[order_time]])</f>
        <v>14</v>
      </c>
      <c r="H4701" s="2">
        <v>0.59074074074074079</v>
      </c>
      <c r="I4701" t="s">
        <v>16</v>
      </c>
      <c r="J4701" t="s">
        <v>28</v>
      </c>
      <c r="K4701">
        <v>1</v>
      </c>
      <c r="L4701">
        <v>25</v>
      </c>
      <c r="M4701">
        <v>25</v>
      </c>
      <c r="N4701">
        <f>IF(COUNTIFS($B$2:B4701,B4701)=1,1,0)</f>
        <v>1</v>
      </c>
    </row>
    <row r="4702" spans="1:14" x14ac:dyDescent="0.2">
      <c r="A4702">
        <v>4701</v>
      </c>
      <c r="B4702">
        <v>3361</v>
      </c>
      <c r="C4702">
        <f>1/COUNTIF(B:B,Table1[[#This Row],[order_id]])</f>
        <v>0.5</v>
      </c>
      <c r="D4702" t="str">
        <f>TEXT(Table1[[#This Row],[order_date]],"mmmm")</f>
        <v>December</v>
      </c>
      <c r="E4702" s="1">
        <v>45654</v>
      </c>
      <c r="F4702" s="1" t="str">
        <f>TEXT(Table1[[#This Row],[order_date]],"dddd")</f>
        <v>Saturday</v>
      </c>
      <c r="G4702">
        <f>HOUR(Table1[[#This Row],[order_time]])</f>
        <v>16</v>
      </c>
      <c r="H4702" s="2">
        <v>0.68505787037037036</v>
      </c>
      <c r="I4702" t="s">
        <v>16</v>
      </c>
      <c r="J4702" t="s">
        <v>23</v>
      </c>
      <c r="K4702">
        <v>4</v>
      </c>
      <c r="L4702">
        <v>30</v>
      </c>
      <c r="M4702">
        <v>120</v>
      </c>
      <c r="N4702">
        <f>IF(COUNTIFS($B$2:B4702,B4702)=1,1,0)</f>
        <v>0</v>
      </c>
    </row>
    <row r="4703" spans="1:14" x14ac:dyDescent="0.2">
      <c r="A4703">
        <v>4702</v>
      </c>
      <c r="B4703">
        <v>3362</v>
      </c>
      <c r="C4703">
        <f>1/COUNTIF(B:B,Table1[[#This Row],[order_id]])</f>
        <v>0.5</v>
      </c>
      <c r="D4703" t="str">
        <f>TEXT(Table1[[#This Row],[order_date]],"mmmm")</f>
        <v>December</v>
      </c>
      <c r="E4703" s="1">
        <v>45654</v>
      </c>
      <c r="F4703" s="1" t="str">
        <f>TEXT(Table1[[#This Row],[order_date]],"dddd")</f>
        <v>Saturday</v>
      </c>
      <c r="G4703">
        <f>HOUR(Table1[[#This Row],[order_time]])</f>
        <v>20</v>
      </c>
      <c r="H4703" s="2">
        <v>0.86734953703703699</v>
      </c>
      <c r="I4703" t="s">
        <v>16</v>
      </c>
      <c r="J4703" t="s">
        <v>24</v>
      </c>
      <c r="K4703">
        <v>2</v>
      </c>
      <c r="L4703">
        <v>35</v>
      </c>
      <c r="M4703">
        <v>70</v>
      </c>
      <c r="N4703">
        <f>IF(COUNTIFS($B$2:B4703,B4703)=1,1,0)</f>
        <v>1</v>
      </c>
    </row>
    <row r="4704" spans="1:14" x14ac:dyDescent="0.2">
      <c r="A4704">
        <v>4703</v>
      </c>
      <c r="B4704">
        <v>3362</v>
      </c>
      <c r="C4704">
        <f>1/COUNTIF(B:B,Table1[[#This Row],[order_id]])</f>
        <v>0.5</v>
      </c>
      <c r="D4704" t="str">
        <f>TEXT(Table1[[#This Row],[order_date]],"mmmm")</f>
        <v>December</v>
      </c>
      <c r="E4704" s="1">
        <v>45654</v>
      </c>
      <c r="F4704" s="1" t="str">
        <f>TEXT(Table1[[#This Row],[order_date]],"dddd")</f>
        <v>Saturday</v>
      </c>
      <c r="G4704">
        <f>HOUR(Table1[[#This Row],[order_time]])</f>
        <v>15</v>
      </c>
      <c r="H4704" s="2">
        <v>0.65583333333333338</v>
      </c>
      <c r="I4704" t="s">
        <v>9</v>
      </c>
      <c r="J4704" t="s">
        <v>22</v>
      </c>
      <c r="K4704">
        <v>3</v>
      </c>
      <c r="L4704">
        <v>15</v>
      </c>
      <c r="M4704">
        <v>45</v>
      </c>
      <c r="N4704">
        <f>IF(COUNTIFS($B$2:B4704,B4704)=1,1,0)</f>
        <v>0</v>
      </c>
    </row>
    <row r="4705" spans="1:14" x14ac:dyDescent="0.2">
      <c r="A4705">
        <v>4704</v>
      </c>
      <c r="B4705">
        <v>3363</v>
      </c>
      <c r="C4705">
        <f>1/COUNTIF(B:B,Table1[[#This Row],[order_id]])</f>
        <v>1</v>
      </c>
      <c r="D4705" t="str">
        <f>TEXT(Table1[[#This Row],[order_date]],"mmmm")</f>
        <v>December</v>
      </c>
      <c r="E4705" s="1">
        <v>45654</v>
      </c>
      <c r="F4705" s="1" t="str">
        <f>TEXT(Table1[[#This Row],[order_date]],"dddd")</f>
        <v>Saturday</v>
      </c>
      <c r="G4705">
        <f>HOUR(Table1[[#This Row],[order_time]])</f>
        <v>18</v>
      </c>
      <c r="H4705" s="2">
        <v>0.77192129629629624</v>
      </c>
      <c r="I4705" t="s">
        <v>11</v>
      </c>
      <c r="J4705" t="s">
        <v>14</v>
      </c>
      <c r="K4705">
        <v>4</v>
      </c>
      <c r="L4705">
        <v>700</v>
      </c>
      <c r="M4705">
        <v>2800</v>
      </c>
      <c r="N4705">
        <f>IF(COUNTIFS($B$2:B4705,B4705)=1,1,0)</f>
        <v>1</v>
      </c>
    </row>
    <row r="4706" spans="1:14" x14ac:dyDescent="0.2">
      <c r="A4706">
        <v>4705</v>
      </c>
      <c r="B4706">
        <v>3364</v>
      </c>
      <c r="C4706">
        <f>1/COUNTIF(B:B,Table1[[#This Row],[order_id]])</f>
        <v>0.5</v>
      </c>
      <c r="D4706" t="str">
        <f>TEXT(Table1[[#This Row],[order_date]],"mmmm")</f>
        <v>December</v>
      </c>
      <c r="E4706" s="1">
        <v>45655</v>
      </c>
      <c r="F4706" s="1" t="str">
        <f>TEXT(Table1[[#This Row],[order_date]],"dddd")</f>
        <v>Sunday</v>
      </c>
      <c r="G4706">
        <f>HOUR(Table1[[#This Row],[order_time]])</f>
        <v>16</v>
      </c>
      <c r="H4706" s="2">
        <v>0.69405092592592588</v>
      </c>
      <c r="I4706" t="s">
        <v>9</v>
      </c>
      <c r="J4706" t="s">
        <v>29</v>
      </c>
      <c r="K4706">
        <v>3</v>
      </c>
      <c r="L4706">
        <v>5</v>
      </c>
      <c r="M4706">
        <v>15</v>
      </c>
      <c r="N4706">
        <f>IF(COUNTIFS($B$2:B4706,B4706)=1,1,0)</f>
        <v>1</v>
      </c>
    </row>
    <row r="4707" spans="1:14" x14ac:dyDescent="0.2">
      <c r="A4707">
        <v>4706</v>
      </c>
      <c r="B4707">
        <v>3364</v>
      </c>
      <c r="C4707">
        <f>1/COUNTIF(B:B,Table1[[#This Row],[order_id]])</f>
        <v>0.5</v>
      </c>
      <c r="D4707" t="str">
        <f>TEXT(Table1[[#This Row],[order_date]],"mmmm")</f>
        <v>December</v>
      </c>
      <c r="E4707" s="1">
        <v>45655</v>
      </c>
      <c r="F4707" s="1" t="str">
        <f>TEXT(Table1[[#This Row],[order_date]],"dddd")</f>
        <v>Sunday</v>
      </c>
      <c r="G4707">
        <f>HOUR(Table1[[#This Row],[order_time]])</f>
        <v>14</v>
      </c>
      <c r="H4707" s="2">
        <v>0.60315972222222225</v>
      </c>
      <c r="I4707" t="s">
        <v>18</v>
      </c>
      <c r="J4707" t="s">
        <v>27</v>
      </c>
      <c r="K4707">
        <v>2</v>
      </c>
      <c r="L4707">
        <v>40</v>
      </c>
      <c r="M4707">
        <v>80</v>
      </c>
      <c r="N4707">
        <f>IF(COUNTIFS($B$2:B4707,B4707)=1,1,0)</f>
        <v>0</v>
      </c>
    </row>
    <row r="4708" spans="1:14" x14ac:dyDescent="0.2">
      <c r="A4708">
        <v>4707</v>
      </c>
      <c r="B4708">
        <v>3365</v>
      </c>
      <c r="C4708">
        <f>1/COUNTIF(B:B,Table1[[#This Row],[order_id]])</f>
        <v>0.33333333333333331</v>
      </c>
      <c r="D4708" t="str">
        <f>TEXT(Table1[[#This Row],[order_date]],"mmmm")</f>
        <v>December</v>
      </c>
      <c r="E4708" s="1">
        <v>45655</v>
      </c>
      <c r="F4708" s="1" t="str">
        <f>TEXT(Table1[[#This Row],[order_date]],"dddd")</f>
        <v>Sunday</v>
      </c>
      <c r="G4708">
        <f>HOUR(Table1[[#This Row],[order_time]])</f>
        <v>19</v>
      </c>
      <c r="H4708" s="2">
        <v>0.80880787037037039</v>
      </c>
      <c r="I4708" t="s">
        <v>16</v>
      </c>
      <c r="J4708" t="s">
        <v>24</v>
      </c>
      <c r="K4708">
        <v>1</v>
      </c>
      <c r="L4708">
        <v>35</v>
      </c>
      <c r="M4708">
        <v>35</v>
      </c>
      <c r="N4708">
        <f>IF(COUNTIFS($B$2:B4708,B4708)=1,1,0)</f>
        <v>1</v>
      </c>
    </row>
    <row r="4709" spans="1:14" x14ac:dyDescent="0.2">
      <c r="A4709">
        <v>4708</v>
      </c>
      <c r="B4709">
        <v>3365</v>
      </c>
      <c r="C4709">
        <f>1/COUNTIF(B:B,Table1[[#This Row],[order_id]])</f>
        <v>0.33333333333333331</v>
      </c>
      <c r="D4709" t="str">
        <f>TEXT(Table1[[#This Row],[order_date]],"mmmm")</f>
        <v>December</v>
      </c>
      <c r="E4709" s="1">
        <v>45655</v>
      </c>
      <c r="F4709" s="1" t="str">
        <f>TEXT(Table1[[#This Row],[order_date]],"dddd")</f>
        <v>Sunday</v>
      </c>
      <c r="G4709">
        <f>HOUR(Table1[[#This Row],[order_time]])</f>
        <v>17</v>
      </c>
      <c r="H4709" s="2">
        <v>0.73605324074074074</v>
      </c>
      <c r="I4709" t="s">
        <v>18</v>
      </c>
      <c r="J4709" t="s">
        <v>31</v>
      </c>
      <c r="K4709">
        <v>4</v>
      </c>
      <c r="L4709">
        <v>45</v>
      </c>
      <c r="M4709">
        <v>180</v>
      </c>
      <c r="N4709">
        <f>IF(COUNTIFS($B$2:B4709,B4709)=1,1,0)</f>
        <v>0</v>
      </c>
    </row>
    <row r="4710" spans="1:14" x14ac:dyDescent="0.2">
      <c r="A4710">
        <v>4709</v>
      </c>
      <c r="B4710">
        <v>3365</v>
      </c>
      <c r="C4710">
        <f>1/COUNTIF(B:B,Table1[[#This Row],[order_id]])</f>
        <v>0.33333333333333331</v>
      </c>
      <c r="D4710" t="str">
        <f>TEXT(Table1[[#This Row],[order_date]],"mmmm")</f>
        <v>December</v>
      </c>
      <c r="E4710" s="1">
        <v>45655</v>
      </c>
      <c r="F4710" s="1" t="str">
        <f>TEXT(Table1[[#This Row],[order_date]],"dddd")</f>
        <v>Sunday</v>
      </c>
      <c r="G4710">
        <f>HOUR(Table1[[#This Row],[order_time]])</f>
        <v>17</v>
      </c>
      <c r="H4710" s="2">
        <v>0.71111111111111114</v>
      </c>
      <c r="I4710" t="s">
        <v>9</v>
      </c>
      <c r="J4710" t="s">
        <v>21</v>
      </c>
      <c r="K4710">
        <v>2</v>
      </c>
      <c r="L4710">
        <v>10</v>
      </c>
      <c r="M4710">
        <v>20</v>
      </c>
      <c r="N4710">
        <f>IF(COUNTIFS($B$2:B4710,B4710)=1,1,0)</f>
        <v>0</v>
      </c>
    </row>
    <row r="4711" spans="1:14" x14ac:dyDescent="0.2">
      <c r="A4711">
        <v>4710</v>
      </c>
      <c r="B4711">
        <v>3366</v>
      </c>
      <c r="C4711">
        <f>1/COUNTIF(B:B,Table1[[#This Row],[order_id]])</f>
        <v>0.33333333333333331</v>
      </c>
      <c r="D4711" t="str">
        <f>TEXT(Table1[[#This Row],[order_date]],"mmmm")</f>
        <v>December</v>
      </c>
      <c r="E4711" s="1">
        <v>45655</v>
      </c>
      <c r="F4711" s="1" t="str">
        <f>TEXT(Table1[[#This Row],[order_date]],"dddd")</f>
        <v>Sunday</v>
      </c>
      <c r="G4711">
        <f>HOUR(Table1[[#This Row],[order_time]])</f>
        <v>19</v>
      </c>
      <c r="H4711" s="2">
        <v>0.80951388888888887</v>
      </c>
      <c r="I4711" t="s">
        <v>16</v>
      </c>
      <c r="J4711" t="s">
        <v>23</v>
      </c>
      <c r="K4711">
        <v>4</v>
      </c>
      <c r="L4711">
        <v>30</v>
      </c>
      <c r="M4711">
        <v>120</v>
      </c>
      <c r="N4711">
        <f>IF(COUNTIFS($B$2:B4711,B4711)=1,1,0)</f>
        <v>1</v>
      </c>
    </row>
    <row r="4712" spans="1:14" x14ac:dyDescent="0.2">
      <c r="A4712">
        <v>4711</v>
      </c>
      <c r="B4712">
        <v>3366</v>
      </c>
      <c r="C4712">
        <f>1/COUNTIF(B:B,Table1[[#This Row],[order_id]])</f>
        <v>0.33333333333333331</v>
      </c>
      <c r="D4712" t="str">
        <f>TEXT(Table1[[#This Row],[order_date]],"mmmm")</f>
        <v>December</v>
      </c>
      <c r="E4712" s="1">
        <v>45655</v>
      </c>
      <c r="F4712" s="1" t="str">
        <f>TEXT(Table1[[#This Row],[order_date]],"dddd")</f>
        <v>Sunday</v>
      </c>
      <c r="G4712">
        <f>HOUR(Table1[[#This Row],[order_time]])</f>
        <v>15</v>
      </c>
      <c r="H4712" s="2">
        <v>0.66172453703703704</v>
      </c>
      <c r="I4712" t="s">
        <v>18</v>
      </c>
      <c r="J4712" t="s">
        <v>26</v>
      </c>
      <c r="K4712">
        <v>3</v>
      </c>
      <c r="L4712">
        <v>55</v>
      </c>
      <c r="M4712">
        <v>165</v>
      </c>
      <c r="N4712">
        <f>IF(COUNTIFS($B$2:B4712,B4712)=1,1,0)</f>
        <v>0</v>
      </c>
    </row>
    <row r="4713" spans="1:14" x14ac:dyDescent="0.2">
      <c r="A4713">
        <v>4712</v>
      </c>
      <c r="B4713">
        <v>3366</v>
      </c>
      <c r="C4713">
        <f>1/COUNTIF(B:B,Table1[[#This Row],[order_id]])</f>
        <v>0.33333333333333331</v>
      </c>
      <c r="D4713" t="str">
        <f>TEXT(Table1[[#This Row],[order_date]],"mmmm")</f>
        <v>December</v>
      </c>
      <c r="E4713" s="1">
        <v>45655</v>
      </c>
      <c r="F4713" s="1" t="str">
        <f>TEXT(Table1[[#This Row],[order_date]],"dddd")</f>
        <v>Sunday</v>
      </c>
      <c r="G4713">
        <f>HOUR(Table1[[#This Row],[order_time]])</f>
        <v>15</v>
      </c>
      <c r="H4713" s="2">
        <v>0.64931712962962962</v>
      </c>
      <c r="I4713" t="s">
        <v>11</v>
      </c>
      <c r="J4713" t="s">
        <v>25</v>
      </c>
      <c r="K4713">
        <v>5</v>
      </c>
      <c r="L4713">
        <v>1000</v>
      </c>
      <c r="M4713">
        <v>5000</v>
      </c>
      <c r="N4713">
        <f>IF(COUNTIFS($B$2:B4713,B4713)=1,1,0)</f>
        <v>0</v>
      </c>
    </row>
    <row r="4714" spans="1:14" x14ac:dyDescent="0.2">
      <c r="A4714">
        <v>4713</v>
      </c>
      <c r="B4714">
        <v>3367</v>
      </c>
      <c r="C4714">
        <f>1/COUNTIF(B:B,Table1[[#This Row],[order_id]])</f>
        <v>1</v>
      </c>
      <c r="D4714" t="str">
        <f>TEXT(Table1[[#This Row],[order_date]],"mmmm")</f>
        <v>December</v>
      </c>
      <c r="E4714" s="1">
        <v>45655</v>
      </c>
      <c r="F4714" s="1" t="str">
        <f>TEXT(Table1[[#This Row],[order_date]],"dddd")</f>
        <v>Sunday</v>
      </c>
      <c r="G4714">
        <f>HOUR(Table1[[#This Row],[order_time]])</f>
        <v>13</v>
      </c>
      <c r="H4714" s="2">
        <v>0.56313657407407403</v>
      </c>
      <c r="I4714" t="s">
        <v>18</v>
      </c>
      <c r="J4714" t="s">
        <v>27</v>
      </c>
      <c r="K4714">
        <v>2</v>
      </c>
      <c r="L4714">
        <v>40</v>
      </c>
      <c r="M4714">
        <v>80</v>
      </c>
      <c r="N4714">
        <f>IF(COUNTIFS($B$2:B4714,B4714)=1,1,0)</f>
        <v>1</v>
      </c>
    </row>
    <row r="4715" spans="1:14" x14ac:dyDescent="0.2">
      <c r="A4715">
        <v>4714</v>
      </c>
      <c r="B4715">
        <v>3368</v>
      </c>
      <c r="C4715">
        <f>1/COUNTIF(B:B,Table1[[#This Row],[order_id]])</f>
        <v>1</v>
      </c>
      <c r="D4715" t="str">
        <f>TEXT(Table1[[#This Row],[order_date]],"mmmm")</f>
        <v>December</v>
      </c>
      <c r="E4715" s="1">
        <v>45655</v>
      </c>
      <c r="F4715" s="1" t="str">
        <f>TEXT(Table1[[#This Row],[order_date]],"dddd")</f>
        <v>Sunday</v>
      </c>
      <c r="G4715">
        <f>HOUR(Table1[[#This Row],[order_time]])</f>
        <v>19</v>
      </c>
      <c r="H4715" s="2">
        <v>0.80167824074074079</v>
      </c>
      <c r="I4715" t="s">
        <v>11</v>
      </c>
      <c r="J4715" t="s">
        <v>15</v>
      </c>
      <c r="K4715">
        <v>1</v>
      </c>
      <c r="L4715">
        <v>600</v>
      </c>
      <c r="M4715">
        <v>600</v>
      </c>
      <c r="N4715">
        <f>IF(COUNTIFS($B$2:B4715,B4715)=1,1,0)</f>
        <v>1</v>
      </c>
    </row>
    <row r="4716" spans="1:14" x14ac:dyDescent="0.2">
      <c r="A4716">
        <v>4715</v>
      </c>
      <c r="B4716">
        <v>3369</v>
      </c>
      <c r="C4716">
        <f>1/COUNTIF(B:B,Table1[[#This Row],[order_id]])</f>
        <v>1</v>
      </c>
      <c r="D4716" t="str">
        <f>TEXT(Table1[[#This Row],[order_date]],"mmmm")</f>
        <v>December</v>
      </c>
      <c r="E4716" s="1">
        <v>45655</v>
      </c>
      <c r="F4716" s="1" t="str">
        <f>TEXT(Table1[[#This Row],[order_date]],"dddd")</f>
        <v>Sunday</v>
      </c>
      <c r="G4716">
        <f>HOUR(Table1[[#This Row],[order_time]])</f>
        <v>15</v>
      </c>
      <c r="H4716" s="2">
        <v>0.63331018518518523</v>
      </c>
      <c r="I4716" t="s">
        <v>9</v>
      </c>
      <c r="J4716" t="s">
        <v>20</v>
      </c>
      <c r="K4716">
        <v>4</v>
      </c>
      <c r="L4716">
        <v>25</v>
      </c>
      <c r="M4716">
        <v>100</v>
      </c>
      <c r="N4716">
        <f>IF(COUNTIFS($B$2:B4716,B4716)=1,1,0)</f>
        <v>1</v>
      </c>
    </row>
    <row r="4717" spans="1:14" x14ac:dyDescent="0.2">
      <c r="A4717">
        <v>4716</v>
      </c>
      <c r="B4717">
        <v>3370</v>
      </c>
      <c r="C4717">
        <f>1/COUNTIF(B:B,Table1[[#This Row],[order_id]])</f>
        <v>0.5</v>
      </c>
      <c r="D4717" t="str">
        <f>TEXT(Table1[[#This Row],[order_date]],"mmmm")</f>
        <v>December</v>
      </c>
      <c r="E4717" s="1">
        <v>45655</v>
      </c>
      <c r="F4717" s="1" t="str">
        <f>TEXT(Table1[[#This Row],[order_date]],"dddd")</f>
        <v>Sunday</v>
      </c>
      <c r="G4717">
        <f>HOUR(Table1[[#This Row],[order_time]])</f>
        <v>12</v>
      </c>
      <c r="H4717" s="2">
        <v>0.51655092592592589</v>
      </c>
      <c r="I4717" t="s">
        <v>9</v>
      </c>
      <c r="J4717" t="s">
        <v>29</v>
      </c>
      <c r="K4717">
        <v>5</v>
      </c>
      <c r="L4717">
        <v>5</v>
      </c>
      <c r="M4717">
        <v>25</v>
      </c>
      <c r="N4717">
        <f>IF(COUNTIFS($B$2:B4717,B4717)=1,1,0)</f>
        <v>1</v>
      </c>
    </row>
    <row r="4718" spans="1:14" x14ac:dyDescent="0.2">
      <c r="A4718">
        <v>4717</v>
      </c>
      <c r="B4718">
        <v>3370</v>
      </c>
      <c r="C4718">
        <f>1/COUNTIF(B:B,Table1[[#This Row],[order_id]])</f>
        <v>0.5</v>
      </c>
      <c r="D4718" t="str">
        <f>TEXT(Table1[[#This Row],[order_date]],"mmmm")</f>
        <v>December</v>
      </c>
      <c r="E4718" s="1">
        <v>45655</v>
      </c>
      <c r="F4718" s="1" t="str">
        <f>TEXT(Table1[[#This Row],[order_date]],"dddd")</f>
        <v>Sunday</v>
      </c>
      <c r="G4718">
        <f>HOUR(Table1[[#This Row],[order_time]])</f>
        <v>16</v>
      </c>
      <c r="H4718" s="2">
        <v>0.66789351851851853</v>
      </c>
      <c r="I4718" t="s">
        <v>16</v>
      </c>
      <c r="J4718" t="s">
        <v>17</v>
      </c>
      <c r="K4718">
        <v>1</v>
      </c>
      <c r="L4718">
        <v>20</v>
      </c>
      <c r="M4718">
        <v>20</v>
      </c>
      <c r="N4718">
        <f>IF(COUNTIFS($B$2:B4718,B4718)=1,1,0)</f>
        <v>0</v>
      </c>
    </row>
    <row r="4719" spans="1:14" x14ac:dyDescent="0.2">
      <c r="A4719">
        <v>4718</v>
      </c>
      <c r="B4719">
        <v>3371</v>
      </c>
      <c r="C4719">
        <f>1/COUNTIF(B:B,Table1[[#This Row],[order_id]])</f>
        <v>0.33333333333333331</v>
      </c>
      <c r="D4719" t="str">
        <f>TEXT(Table1[[#This Row],[order_date]],"mmmm")</f>
        <v>December</v>
      </c>
      <c r="E4719" s="1">
        <v>45655</v>
      </c>
      <c r="F4719" s="1" t="str">
        <f>TEXT(Table1[[#This Row],[order_date]],"dddd")</f>
        <v>Sunday</v>
      </c>
      <c r="G4719">
        <f>HOUR(Table1[[#This Row],[order_time]])</f>
        <v>13</v>
      </c>
      <c r="H4719" s="2">
        <v>0.55763888888888891</v>
      </c>
      <c r="I4719" t="s">
        <v>16</v>
      </c>
      <c r="J4719" t="s">
        <v>23</v>
      </c>
      <c r="K4719">
        <v>1</v>
      </c>
      <c r="L4719">
        <v>30</v>
      </c>
      <c r="M4719">
        <v>30</v>
      </c>
      <c r="N4719">
        <f>IF(COUNTIFS($B$2:B4719,B4719)=1,1,0)</f>
        <v>1</v>
      </c>
    </row>
    <row r="4720" spans="1:14" x14ac:dyDescent="0.2">
      <c r="A4720">
        <v>4719</v>
      </c>
      <c r="B4720">
        <v>3371</v>
      </c>
      <c r="C4720">
        <f>1/COUNTIF(B:B,Table1[[#This Row],[order_id]])</f>
        <v>0.33333333333333331</v>
      </c>
      <c r="D4720" t="str">
        <f>TEXT(Table1[[#This Row],[order_date]],"mmmm")</f>
        <v>December</v>
      </c>
      <c r="E4720" s="1">
        <v>45655</v>
      </c>
      <c r="F4720" s="1" t="str">
        <f>TEXT(Table1[[#This Row],[order_date]],"dddd")</f>
        <v>Sunday</v>
      </c>
      <c r="G4720">
        <f>HOUR(Table1[[#This Row],[order_time]])</f>
        <v>9</v>
      </c>
      <c r="H4720" s="2">
        <v>0.38778935185185187</v>
      </c>
      <c r="I4720" t="s">
        <v>16</v>
      </c>
      <c r="J4720" t="s">
        <v>17</v>
      </c>
      <c r="K4720">
        <v>5</v>
      </c>
      <c r="L4720">
        <v>20</v>
      </c>
      <c r="M4720">
        <v>100</v>
      </c>
      <c r="N4720">
        <f>IF(COUNTIFS($B$2:B4720,B4720)=1,1,0)</f>
        <v>0</v>
      </c>
    </row>
    <row r="4721" spans="1:14" x14ac:dyDescent="0.2">
      <c r="A4721">
        <v>4720</v>
      </c>
      <c r="B4721">
        <v>3371</v>
      </c>
      <c r="C4721">
        <f>1/COUNTIF(B:B,Table1[[#This Row],[order_id]])</f>
        <v>0.33333333333333331</v>
      </c>
      <c r="D4721" t="str">
        <f>TEXT(Table1[[#This Row],[order_date]],"mmmm")</f>
        <v>December</v>
      </c>
      <c r="E4721" s="1">
        <v>45655</v>
      </c>
      <c r="F4721" s="1" t="str">
        <f>TEXT(Table1[[#This Row],[order_date]],"dddd")</f>
        <v>Sunday</v>
      </c>
      <c r="G4721">
        <f>HOUR(Table1[[#This Row],[order_time]])</f>
        <v>14</v>
      </c>
      <c r="H4721" s="2">
        <v>0.59789351851851846</v>
      </c>
      <c r="I4721" t="s">
        <v>11</v>
      </c>
      <c r="J4721" t="s">
        <v>13</v>
      </c>
      <c r="K4721">
        <v>3</v>
      </c>
      <c r="L4721">
        <v>680</v>
      </c>
      <c r="M4721">
        <v>2040</v>
      </c>
      <c r="N4721">
        <f>IF(COUNTIFS($B$2:B4721,B4721)=1,1,0)</f>
        <v>0</v>
      </c>
    </row>
    <row r="4722" spans="1:14" x14ac:dyDescent="0.2">
      <c r="A4722">
        <v>4721</v>
      </c>
      <c r="B4722">
        <v>3372</v>
      </c>
      <c r="C4722">
        <f>1/COUNTIF(B:B,Table1[[#This Row],[order_id]])</f>
        <v>0.5</v>
      </c>
      <c r="D4722" t="str">
        <f>TEXT(Table1[[#This Row],[order_date]],"mmmm")</f>
        <v>December</v>
      </c>
      <c r="E4722" s="1">
        <v>45656</v>
      </c>
      <c r="F4722" s="1" t="str">
        <f>TEXT(Table1[[#This Row],[order_date]],"dddd")</f>
        <v>Monday</v>
      </c>
      <c r="G4722">
        <f>HOUR(Table1[[#This Row],[order_time]])</f>
        <v>13</v>
      </c>
      <c r="H4722" s="2">
        <v>0.57226851851851857</v>
      </c>
      <c r="I4722" t="s">
        <v>16</v>
      </c>
      <c r="J4722" t="s">
        <v>24</v>
      </c>
      <c r="K4722">
        <v>4</v>
      </c>
      <c r="L4722">
        <v>35</v>
      </c>
      <c r="M4722">
        <v>140</v>
      </c>
      <c r="N4722">
        <f>IF(COUNTIFS($B$2:B4722,B4722)=1,1,0)</f>
        <v>1</v>
      </c>
    </row>
    <row r="4723" spans="1:14" x14ac:dyDescent="0.2">
      <c r="A4723">
        <v>4722</v>
      </c>
      <c r="B4723">
        <v>3372</v>
      </c>
      <c r="C4723">
        <f>1/COUNTIF(B:B,Table1[[#This Row],[order_id]])</f>
        <v>0.5</v>
      </c>
      <c r="D4723" t="str">
        <f>TEXT(Table1[[#This Row],[order_date]],"mmmm")</f>
        <v>December</v>
      </c>
      <c r="E4723" s="1">
        <v>45656</v>
      </c>
      <c r="F4723" s="1" t="str">
        <f>TEXT(Table1[[#This Row],[order_date]],"dddd")</f>
        <v>Monday</v>
      </c>
      <c r="G4723">
        <f>HOUR(Table1[[#This Row],[order_time]])</f>
        <v>9</v>
      </c>
      <c r="H4723" s="2">
        <v>0.4102777777777778</v>
      </c>
      <c r="I4723" t="s">
        <v>11</v>
      </c>
      <c r="J4723" t="s">
        <v>14</v>
      </c>
      <c r="K4723">
        <v>4</v>
      </c>
      <c r="L4723">
        <v>700</v>
      </c>
      <c r="M4723">
        <v>2800</v>
      </c>
      <c r="N4723">
        <f>IF(COUNTIFS($B$2:B4723,B4723)=1,1,0)</f>
        <v>0</v>
      </c>
    </row>
    <row r="4724" spans="1:14" x14ac:dyDescent="0.2">
      <c r="A4724">
        <v>4723</v>
      </c>
      <c r="B4724">
        <v>3373</v>
      </c>
      <c r="C4724">
        <f>1/COUNTIF(B:B,Table1[[#This Row],[order_id]])</f>
        <v>0.33333333333333331</v>
      </c>
      <c r="D4724" t="str">
        <f>TEXT(Table1[[#This Row],[order_date]],"mmmm")</f>
        <v>December</v>
      </c>
      <c r="E4724" s="1">
        <v>45656</v>
      </c>
      <c r="F4724" s="1" t="str">
        <f>TEXT(Table1[[#This Row],[order_date]],"dddd")</f>
        <v>Monday</v>
      </c>
      <c r="G4724">
        <f>HOUR(Table1[[#This Row],[order_time]])</f>
        <v>16</v>
      </c>
      <c r="H4724" s="2">
        <v>0.70321759259259264</v>
      </c>
      <c r="I4724" t="s">
        <v>9</v>
      </c>
      <c r="J4724" t="s">
        <v>21</v>
      </c>
      <c r="K4724">
        <v>1</v>
      </c>
      <c r="L4724">
        <v>10</v>
      </c>
      <c r="M4724">
        <v>10</v>
      </c>
      <c r="N4724">
        <f>IF(COUNTIFS($B$2:B4724,B4724)=1,1,0)</f>
        <v>1</v>
      </c>
    </row>
    <row r="4725" spans="1:14" x14ac:dyDescent="0.2">
      <c r="A4725">
        <v>4724</v>
      </c>
      <c r="B4725">
        <v>3373</v>
      </c>
      <c r="C4725">
        <f>1/COUNTIF(B:B,Table1[[#This Row],[order_id]])</f>
        <v>0.33333333333333331</v>
      </c>
      <c r="D4725" t="str">
        <f>TEXT(Table1[[#This Row],[order_date]],"mmmm")</f>
        <v>December</v>
      </c>
      <c r="E4725" s="1">
        <v>45656</v>
      </c>
      <c r="F4725" s="1" t="str">
        <f>TEXT(Table1[[#This Row],[order_date]],"dddd")</f>
        <v>Monday</v>
      </c>
      <c r="G4725">
        <f>HOUR(Table1[[#This Row],[order_time]])</f>
        <v>16</v>
      </c>
      <c r="H4725" s="2">
        <v>0.67915509259259255</v>
      </c>
      <c r="I4725" t="s">
        <v>11</v>
      </c>
      <c r="J4725" t="s">
        <v>14</v>
      </c>
      <c r="K4725">
        <v>1</v>
      </c>
      <c r="L4725">
        <v>700</v>
      </c>
      <c r="M4725">
        <v>700</v>
      </c>
      <c r="N4725">
        <f>IF(COUNTIFS($B$2:B4725,B4725)=1,1,0)</f>
        <v>0</v>
      </c>
    </row>
    <row r="4726" spans="1:14" x14ac:dyDescent="0.2">
      <c r="A4726">
        <v>4725</v>
      </c>
      <c r="B4726">
        <v>3373</v>
      </c>
      <c r="C4726">
        <f>1/COUNTIF(B:B,Table1[[#This Row],[order_id]])</f>
        <v>0.33333333333333331</v>
      </c>
      <c r="D4726" t="str">
        <f>TEXT(Table1[[#This Row],[order_date]],"mmmm")</f>
        <v>December</v>
      </c>
      <c r="E4726" s="1">
        <v>45656</v>
      </c>
      <c r="F4726" s="1" t="str">
        <f>TEXT(Table1[[#This Row],[order_date]],"dddd")</f>
        <v>Monday</v>
      </c>
      <c r="G4726">
        <f>HOUR(Table1[[#This Row],[order_time]])</f>
        <v>20</v>
      </c>
      <c r="H4726" s="2">
        <v>0.83666666666666667</v>
      </c>
      <c r="I4726" t="s">
        <v>18</v>
      </c>
      <c r="J4726" t="s">
        <v>31</v>
      </c>
      <c r="K4726">
        <v>5</v>
      </c>
      <c r="L4726">
        <v>45</v>
      </c>
      <c r="M4726">
        <v>225</v>
      </c>
      <c r="N4726">
        <f>IF(COUNTIFS($B$2:B4726,B4726)=1,1,0)</f>
        <v>0</v>
      </c>
    </row>
    <row r="4727" spans="1:14" x14ac:dyDescent="0.2">
      <c r="A4727">
        <v>4726</v>
      </c>
      <c r="B4727">
        <v>3374</v>
      </c>
      <c r="C4727">
        <f>1/COUNTIF(B:B,Table1[[#This Row],[order_id]])</f>
        <v>0.33333333333333331</v>
      </c>
      <c r="D4727" t="str">
        <f>TEXT(Table1[[#This Row],[order_date]],"mmmm")</f>
        <v>December</v>
      </c>
      <c r="E4727" s="1">
        <v>45656</v>
      </c>
      <c r="F4727" s="1" t="str">
        <f>TEXT(Table1[[#This Row],[order_date]],"dddd")</f>
        <v>Monday</v>
      </c>
      <c r="G4727">
        <f>HOUR(Table1[[#This Row],[order_time]])</f>
        <v>9</v>
      </c>
      <c r="H4727" s="2">
        <v>0.4009375</v>
      </c>
      <c r="I4727" t="s">
        <v>9</v>
      </c>
      <c r="J4727" t="s">
        <v>10</v>
      </c>
      <c r="K4727">
        <v>1</v>
      </c>
      <c r="L4727">
        <v>20</v>
      </c>
      <c r="M4727">
        <v>20</v>
      </c>
      <c r="N4727">
        <f>IF(COUNTIFS($B$2:B4727,B4727)=1,1,0)</f>
        <v>1</v>
      </c>
    </row>
    <row r="4728" spans="1:14" x14ac:dyDescent="0.2">
      <c r="A4728">
        <v>4727</v>
      </c>
      <c r="B4728">
        <v>3374</v>
      </c>
      <c r="C4728">
        <f>1/COUNTIF(B:B,Table1[[#This Row],[order_id]])</f>
        <v>0.33333333333333331</v>
      </c>
      <c r="D4728" t="str">
        <f>TEXT(Table1[[#This Row],[order_date]],"mmmm")</f>
        <v>December</v>
      </c>
      <c r="E4728" s="1">
        <v>45656</v>
      </c>
      <c r="F4728" s="1" t="str">
        <f>TEXT(Table1[[#This Row],[order_date]],"dddd")</f>
        <v>Monday</v>
      </c>
      <c r="G4728">
        <f>HOUR(Table1[[#This Row],[order_time]])</f>
        <v>13</v>
      </c>
      <c r="H4728" s="2">
        <v>0.57726851851851857</v>
      </c>
      <c r="I4728" t="s">
        <v>16</v>
      </c>
      <c r="J4728" t="s">
        <v>28</v>
      </c>
      <c r="K4728">
        <v>5</v>
      </c>
      <c r="L4728">
        <v>25</v>
      </c>
      <c r="M4728">
        <v>125</v>
      </c>
      <c r="N4728">
        <f>IF(COUNTIFS($B$2:B4728,B4728)=1,1,0)</f>
        <v>0</v>
      </c>
    </row>
    <row r="4729" spans="1:14" x14ac:dyDescent="0.2">
      <c r="A4729">
        <v>4728</v>
      </c>
      <c r="B4729">
        <v>3374</v>
      </c>
      <c r="C4729">
        <f>1/COUNTIF(B:B,Table1[[#This Row],[order_id]])</f>
        <v>0.33333333333333331</v>
      </c>
      <c r="D4729" t="str">
        <f>TEXT(Table1[[#This Row],[order_date]],"mmmm")</f>
        <v>December</v>
      </c>
      <c r="E4729" s="1">
        <v>45656</v>
      </c>
      <c r="F4729" s="1" t="str">
        <f>TEXT(Table1[[#This Row],[order_date]],"dddd")</f>
        <v>Monday</v>
      </c>
      <c r="G4729">
        <f>HOUR(Table1[[#This Row],[order_time]])</f>
        <v>19</v>
      </c>
      <c r="H4729" s="2">
        <v>0.79920138888888892</v>
      </c>
      <c r="I4729" t="s">
        <v>11</v>
      </c>
      <c r="J4729" t="s">
        <v>12</v>
      </c>
      <c r="K4729">
        <v>2</v>
      </c>
      <c r="L4729">
        <v>650</v>
      </c>
      <c r="M4729">
        <v>1300</v>
      </c>
      <c r="N4729">
        <f>IF(COUNTIFS($B$2:B4729,B4729)=1,1,0)</f>
        <v>0</v>
      </c>
    </row>
    <row r="4730" spans="1:14" x14ac:dyDescent="0.2">
      <c r="A4730">
        <v>4729</v>
      </c>
      <c r="B4730">
        <v>3375</v>
      </c>
      <c r="C4730">
        <f>1/COUNTIF(B:B,Table1[[#This Row],[order_id]])</f>
        <v>1</v>
      </c>
      <c r="D4730" t="str">
        <f>TEXT(Table1[[#This Row],[order_date]],"mmmm")</f>
        <v>December</v>
      </c>
      <c r="E4730" s="1">
        <v>45656</v>
      </c>
      <c r="F4730" s="1" t="str">
        <f>TEXT(Table1[[#This Row],[order_date]],"dddd")</f>
        <v>Monday</v>
      </c>
      <c r="G4730">
        <f>HOUR(Table1[[#This Row],[order_time]])</f>
        <v>14</v>
      </c>
      <c r="H4730" s="2">
        <v>0.58728009259259262</v>
      </c>
      <c r="I4730" t="s">
        <v>16</v>
      </c>
      <c r="J4730" t="s">
        <v>17</v>
      </c>
      <c r="K4730">
        <v>1</v>
      </c>
      <c r="L4730">
        <v>20</v>
      </c>
      <c r="M4730">
        <v>20</v>
      </c>
      <c r="N4730">
        <f>IF(COUNTIFS($B$2:B4730,B4730)=1,1,0)</f>
        <v>1</v>
      </c>
    </row>
    <row r="4731" spans="1:14" x14ac:dyDescent="0.2">
      <c r="A4731">
        <v>4730</v>
      </c>
      <c r="B4731">
        <v>3376</v>
      </c>
      <c r="C4731">
        <f>1/COUNTIF(B:B,Table1[[#This Row],[order_id]])</f>
        <v>0.5</v>
      </c>
      <c r="D4731" t="str">
        <f>TEXT(Table1[[#This Row],[order_date]],"mmmm")</f>
        <v>December</v>
      </c>
      <c r="E4731" s="1">
        <v>45656</v>
      </c>
      <c r="F4731" s="1" t="str">
        <f>TEXT(Table1[[#This Row],[order_date]],"dddd")</f>
        <v>Monday</v>
      </c>
      <c r="G4731">
        <f>HOUR(Table1[[#This Row],[order_time]])</f>
        <v>14</v>
      </c>
      <c r="H4731" s="2">
        <v>0.60864583333333333</v>
      </c>
      <c r="I4731" t="s">
        <v>16</v>
      </c>
      <c r="J4731" t="s">
        <v>23</v>
      </c>
      <c r="K4731">
        <v>4</v>
      </c>
      <c r="L4731">
        <v>30</v>
      </c>
      <c r="M4731">
        <v>120</v>
      </c>
      <c r="N4731">
        <f>IF(COUNTIFS($B$2:B4731,B4731)=1,1,0)</f>
        <v>1</v>
      </c>
    </row>
    <row r="4732" spans="1:14" x14ac:dyDescent="0.2">
      <c r="A4732">
        <v>4731</v>
      </c>
      <c r="B4732">
        <v>3376</v>
      </c>
      <c r="C4732">
        <f>1/COUNTIF(B:B,Table1[[#This Row],[order_id]])</f>
        <v>0.5</v>
      </c>
      <c r="D4732" t="str">
        <f>TEXT(Table1[[#This Row],[order_date]],"mmmm")</f>
        <v>December</v>
      </c>
      <c r="E4732" s="1">
        <v>45656</v>
      </c>
      <c r="F4732" s="1" t="str">
        <f>TEXT(Table1[[#This Row],[order_date]],"dddd")</f>
        <v>Monday</v>
      </c>
      <c r="G4732">
        <f>HOUR(Table1[[#This Row],[order_time]])</f>
        <v>15</v>
      </c>
      <c r="H4732" s="2">
        <v>0.6578356481481481</v>
      </c>
      <c r="I4732" t="s">
        <v>18</v>
      </c>
      <c r="J4732" t="s">
        <v>26</v>
      </c>
      <c r="K4732">
        <v>2</v>
      </c>
      <c r="L4732">
        <v>55</v>
      </c>
      <c r="M4732">
        <v>110</v>
      </c>
      <c r="N4732">
        <f>IF(COUNTIFS($B$2:B4732,B4732)=1,1,0)</f>
        <v>0</v>
      </c>
    </row>
    <row r="4733" spans="1:14" x14ac:dyDescent="0.2">
      <c r="A4733">
        <v>4732</v>
      </c>
      <c r="B4733">
        <v>3377</v>
      </c>
      <c r="C4733">
        <f>1/COUNTIF(B:B,Table1[[#This Row],[order_id]])</f>
        <v>0.33333333333333331</v>
      </c>
      <c r="D4733" t="str">
        <f>TEXT(Table1[[#This Row],[order_date]],"mmmm")</f>
        <v>December</v>
      </c>
      <c r="E4733" s="1">
        <v>45657</v>
      </c>
      <c r="F4733" s="1" t="str">
        <f>TEXT(Table1[[#This Row],[order_date]],"dddd")</f>
        <v>Tuesday</v>
      </c>
      <c r="G4733">
        <f>HOUR(Table1[[#This Row],[order_time]])</f>
        <v>19</v>
      </c>
      <c r="H4733" s="2">
        <v>0.81873842592592594</v>
      </c>
      <c r="I4733" t="s">
        <v>16</v>
      </c>
      <c r="J4733" t="s">
        <v>28</v>
      </c>
      <c r="K4733">
        <v>1</v>
      </c>
      <c r="L4733">
        <v>25</v>
      </c>
      <c r="M4733">
        <v>25</v>
      </c>
      <c r="N4733">
        <f>IF(COUNTIFS($B$2:B4733,B4733)=1,1,0)</f>
        <v>1</v>
      </c>
    </row>
    <row r="4734" spans="1:14" x14ac:dyDescent="0.2">
      <c r="A4734">
        <v>4733</v>
      </c>
      <c r="B4734">
        <v>3377</v>
      </c>
      <c r="C4734">
        <f>1/COUNTIF(B:B,Table1[[#This Row],[order_id]])</f>
        <v>0.33333333333333331</v>
      </c>
      <c r="D4734" t="str">
        <f>TEXT(Table1[[#This Row],[order_date]],"mmmm")</f>
        <v>December</v>
      </c>
      <c r="E4734" s="1">
        <v>45657</v>
      </c>
      <c r="F4734" s="1" t="str">
        <f>TEXT(Table1[[#This Row],[order_date]],"dddd")</f>
        <v>Tuesday</v>
      </c>
      <c r="G4734">
        <f>HOUR(Table1[[#This Row],[order_time]])</f>
        <v>9</v>
      </c>
      <c r="H4734" s="2">
        <v>0.38377314814814817</v>
      </c>
      <c r="I4734" t="s">
        <v>16</v>
      </c>
      <c r="J4734" t="s">
        <v>24</v>
      </c>
      <c r="K4734">
        <v>3</v>
      </c>
      <c r="L4734">
        <v>35</v>
      </c>
      <c r="M4734">
        <v>105</v>
      </c>
      <c r="N4734">
        <f>IF(COUNTIFS($B$2:B4734,B4734)=1,1,0)</f>
        <v>0</v>
      </c>
    </row>
    <row r="4735" spans="1:14" x14ac:dyDescent="0.2">
      <c r="A4735">
        <v>4734</v>
      </c>
      <c r="B4735">
        <v>3377</v>
      </c>
      <c r="C4735">
        <f>1/COUNTIF(B:B,Table1[[#This Row],[order_id]])</f>
        <v>0.33333333333333331</v>
      </c>
      <c r="D4735" t="str">
        <f>TEXT(Table1[[#This Row],[order_date]],"mmmm")</f>
        <v>December</v>
      </c>
      <c r="E4735" s="1">
        <v>45657</v>
      </c>
      <c r="F4735" s="1" t="str">
        <f>TEXT(Table1[[#This Row],[order_date]],"dddd")</f>
        <v>Tuesday</v>
      </c>
      <c r="G4735">
        <f>HOUR(Table1[[#This Row],[order_time]])</f>
        <v>20</v>
      </c>
      <c r="H4735" s="2">
        <v>0.83921296296296299</v>
      </c>
      <c r="I4735" t="s">
        <v>18</v>
      </c>
      <c r="J4735" t="s">
        <v>19</v>
      </c>
      <c r="K4735">
        <v>4</v>
      </c>
      <c r="L4735">
        <v>50</v>
      </c>
      <c r="M4735">
        <v>200</v>
      </c>
      <c r="N4735">
        <f>IF(COUNTIFS($B$2:B4735,B4735)=1,1,0)</f>
        <v>0</v>
      </c>
    </row>
    <row r="4736" spans="1:14" x14ac:dyDescent="0.2">
      <c r="A4736">
        <v>4735</v>
      </c>
      <c r="B4736">
        <v>3378</v>
      </c>
      <c r="C4736">
        <f>1/COUNTIF(B:B,Table1[[#This Row],[order_id]])</f>
        <v>0.33333333333333331</v>
      </c>
      <c r="D4736" t="str">
        <f>TEXT(Table1[[#This Row],[order_date]],"mmmm")</f>
        <v>December</v>
      </c>
      <c r="E4736" s="1">
        <v>45657</v>
      </c>
      <c r="F4736" s="1" t="str">
        <f>TEXT(Table1[[#This Row],[order_date]],"dddd")</f>
        <v>Tuesday</v>
      </c>
      <c r="G4736">
        <f>HOUR(Table1[[#This Row],[order_time]])</f>
        <v>20</v>
      </c>
      <c r="H4736" s="2">
        <v>0.8653819444444445</v>
      </c>
      <c r="I4736" t="s">
        <v>11</v>
      </c>
      <c r="J4736" t="s">
        <v>15</v>
      </c>
      <c r="K4736">
        <v>3</v>
      </c>
      <c r="L4736">
        <v>600</v>
      </c>
      <c r="M4736">
        <v>1800</v>
      </c>
      <c r="N4736">
        <f>IF(COUNTIFS($B$2:B4736,B4736)=1,1,0)</f>
        <v>1</v>
      </c>
    </row>
    <row r="4737" spans="1:14" x14ac:dyDescent="0.2">
      <c r="A4737">
        <v>4736</v>
      </c>
      <c r="B4737">
        <v>3378</v>
      </c>
      <c r="C4737">
        <f>1/COUNTIF(B:B,Table1[[#This Row],[order_id]])</f>
        <v>0.33333333333333331</v>
      </c>
      <c r="D4737" t="str">
        <f>TEXT(Table1[[#This Row],[order_date]],"mmmm")</f>
        <v>December</v>
      </c>
      <c r="E4737" s="1">
        <v>45657</v>
      </c>
      <c r="F4737" s="1" t="str">
        <f>TEXT(Table1[[#This Row],[order_date]],"dddd")</f>
        <v>Tuesday</v>
      </c>
      <c r="G4737">
        <f>HOUR(Table1[[#This Row],[order_time]])</f>
        <v>13</v>
      </c>
      <c r="H4737" s="2">
        <v>0.56149305555555551</v>
      </c>
      <c r="I4737" t="s">
        <v>9</v>
      </c>
      <c r="J4737" t="s">
        <v>10</v>
      </c>
      <c r="K4737">
        <v>3</v>
      </c>
      <c r="L4737">
        <v>20</v>
      </c>
      <c r="M4737">
        <v>60</v>
      </c>
      <c r="N4737">
        <f>IF(COUNTIFS($B$2:B4737,B4737)=1,1,0)</f>
        <v>0</v>
      </c>
    </row>
    <row r="4738" spans="1:14" x14ac:dyDescent="0.2">
      <c r="A4738">
        <v>4737</v>
      </c>
      <c r="B4738">
        <v>3378</v>
      </c>
      <c r="C4738">
        <f>1/COUNTIF(B:B,Table1[[#This Row],[order_id]])</f>
        <v>0.33333333333333331</v>
      </c>
      <c r="D4738" t="str">
        <f>TEXT(Table1[[#This Row],[order_date]],"mmmm")</f>
        <v>December</v>
      </c>
      <c r="E4738" s="1">
        <v>45657</v>
      </c>
      <c r="F4738" s="1" t="str">
        <f>TEXT(Table1[[#This Row],[order_date]],"dddd")</f>
        <v>Tuesday</v>
      </c>
      <c r="G4738">
        <f>HOUR(Table1[[#This Row],[order_time]])</f>
        <v>18</v>
      </c>
      <c r="H4738" s="2">
        <v>0.78292824074074074</v>
      </c>
      <c r="I4738" t="s">
        <v>9</v>
      </c>
      <c r="J4738" t="s">
        <v>20</v>
      </c>
      <c r="K4738">
        <v>5</v>
      </c>
      <c r="L4738">
        <v>25</v>
      </c>
      <c r="M4738">
        <v>125</v>
      </c>
      <c r="N4738">
        <f>IF(COUNTIFS($B$2:B4738,B4738)=1,1,0)</f>
        <v>0</v>
      </c>
    </row>
    <row r="4739" spans="1:14" x14ac:dyDescent="0.2">
      <c r="A4739">
        <v>4738</v>
      </c>
      <c r="B4739">
        <v>3379</v>
      </c>
      <c r="C4739">
        <f>1/COUNTIF(B:B,Table1[[#This Row],[order_id]])</f>
        <v>0.33333333333333331</v>
      </c>
      <c r="D4739" t="str">
        <f>TEXT(Table1[[#This Row],[order_date]],"mmmm")</f>
        <v>December</v>
      </c>
      <c r="E4739" s="1">
        <v>45657</v>
      </c>
      <c r="F4739" s="1" t="str">
        <f>TEXT(Table1[[#This Row],[order_date]],"dddd")</f>
        <v>Tuesday</v>
      </c>
      <c r="G4739">
        <f>HOUR(Table1[[#This Row],[order_time]])</f>
        <v>9</v>
      </c>
      <c r="H4739" s="2">
        <v>0.39890046296296294</v>
      </c>
      <c r="I4739" t="s">
        <v>11</v>
      </c>
      <c r="J4739" t="s">
        <v>14</v>
      </c>
      <c r="K4739">
        <v>2</v>
      </c>
      <c r="L4739">
        <v>700</v>
      </c>
      <c r="M4739">
        <v>1400</v>
      </c>
      <c r="N4739">
        <f>IF(COUNTIFS($B$2:B4739,B4739)=1,1,0)</f>
        <v>1</v>
      </c>
    </row>
    <row r="4740" spans="1:14" x14ac:dyDescent="0.2">
      <c r="A4740">
        <v>4739</v>
      </c>
      <c r="B4740">
        <v>3379</v>
      </c>
      <c r="C4740">
        <f>1/COUNTIF(B:B,Table1[[#This Row],[order_id]])</f>
        <v>0.33333333333333331</v>
      </c>
      <c r="D4740" t="str">
        <f>TEXT(Table1[[#This Row],[order_date]],"mmmm")</f>
        <v>December</v>
      </c>
      <c r="E4740" s="1">
        <v>45657</v>
      </c>
      <c r="F4740" s="1" t="str">
        <f>TEXT(Table1[[#This Row],[order_date]],"dddd")</f>
        <v>Tuesday</v>
      </c>
      <c r="G4740">
        <f>HOUR(Table1[[#This Row],[order_time]])</f>
        <v>15</v>
      </c>
      <c r="H4740" s="2">
        <v>0.64416666666666667</v>
      </c>
      <c r="I4740" t="s">
        <v>18</v>
      </c>
      <c r="J4740" t="s">
        <v>26</v>
      </c>
      <c r="K4740">
        <v>4</v>
      </c>
      <c r="L4740">
        <v>55</v>
      </c>
      <c r="M4740">
        <v>220</v>
      </c>
      <c r="N4740">
        <f>IF(COUNTIFS($B$2:B4740,B4740)=1,1,0)</f>
        <v>0</v>
      </c>
    </row>
    <row r="4741" spans="1:14" x14ac:dyDescent="0.2">
      <c r="A4741">
        <v>4740</v>
      </c>
      <c r="B4741">
        <v>3379</v>
      </c>
      <c r="C4741">
        <f>1/COUNTIF(B:B,Table1[[#This Row],[order_id]])</f>
        <v>0.33333333333333331</v>
      </c>
      <c r="D4741" t="str">
        <f>TEXT(Table1[[#This Row],[order_date]],"mmmm")</f>
        <v>December</v>
      </c>
      <c r="E4741" s="1">
        <v>45657</v>
      </c>
      <c r="F4741" s="1" t="str">
        <f>TEXT(Table1[[#This Row],[order_date]],"dddd")</f>
        <v>Tuesday</v>
      </c>
      <c r="G4741">
        <f>HOUR(Table1[[#This Row],[order_time]])</f>
        <v>16</v>
      </c>
      <c r="H4741" s="2">
        <v>0.66736111111111107</v>
      </c>
      <c r="I4741" t="s">
        <v>11</v>
      </c>
      <c r="J4741" t="s">
        <v>12</v>
      </c>
      <c r="K4741">
        <v>1</v>
      </c>
      <c r="L4741">
        <v>650</v>
      </c>
      <c r="M4741">
        <v>650</v>
      </c>
      <c r="N4741">
        <f>IF(COUNTIFS($B$2:B4741,B4741)=1,1,0)</f>
        <v>0</v>
      </c>
    </row>
    <row r="4742" spans="1:14" x14ac:dyDescent="0.2">
      <c r="A4742">
        <v>4741</v>
      </c>
      <c r="B4742">
        <v>3380</v>
      </c>
      <c r="C4742">
        <f>1/COUNTIF(B:B,Table1[[#This Row],[order_id]])</f>
        <v>0.33333333333333331</v>
      </c>
      <c r="D4742" t="str">
        <f>TEXT(Table1[[#This Row],[order_date]],"mmmm")</f>
        <v>December</v>
      </c>
      <c r="E4742" s="1">
        <v>45657</v>
      </c>
      <c r="F4742" s="1" t="str">
        <f>TEXT(Table1[[#This Row],[order_date]],"dddd")</f>
        <v>Tuesday</v>
      </c>
      <c r="G4742">
        <f>HOUR(Table1[[#This Row],[order_time]])</f>
        <v>17</v>
      </c>
      <c r="H4742" s="2">
        <v>0.74624999999999997</v>
      </c>
      <c r="I4742" t="s">
        <v>9</v>
      </c>
      <c r="J4742" t="s">
        <v>29</v>
      </c>
      <c r="K4742">
        <v>5</v>
      </c>
      <c r="L4742">
        <v>5</v>
      </c>
      <c r="M4742">
        <v>25</v>
      </c>
      <c r="N4742">
        <f>IF(COUNTIFS($B$2:B4742,B4742)=1,1,0)</f>
        <v>1</v>
      </c>
    </row>
    <row r="4743" spans="1:14" x14ac:dyDescent="0.2">
      <c r="A4743">
        <v>4742</v>
      </c>
      <c r="B4743">
        <v>3380</v>
      </c>
      <c r="C4743">
        <f>1/COUNTIF(B:B,Table1[[#This Row],[order_id]])</f>
        <v>0.33333333333333331</v>
      </c>
      <c r="D4743" t="str">
        <f>TEXT(Table1[[#This Row],[order_date]],"mmmm")</f>
        <v>December</v>
      </c>
      <c r="E4743" s="1">
        <v>45657</v>
      </c>
      <c r="F4743" s="1" t="str">
        <f>TEXT(Table1[[#This Row],[order_date]],"dddd")</f>
        <v>Tuesday</v>
      </c>
      <c r="G4743">
        <f>HOUR(Table1[[#This Row],[order_time]])</f>
        <v>16</v>
      </c>
      <c r="H4743" s="2">
        <v>0.70734953703703707</v>
      </c>
      <c r="I4743" t="s">
        <v>11</v>
      </c>
      <c r="J4743" t="s">
        <v>13</v>
      </c>
      <c r="K4743">
        <v>3</v>
      </c>
      <c r="L4743">
        <v>680</v>
      </c>
      <c r="M4743">
        <v>2040</v>
      </c>
      <c r="N4743">
        <f>IF(COUNTIFS($B$2:B4743,B4743)=1,1,0)</f>
        <v>0</v>
      </c>
    </row>
    <row r="4744" spans="1:14" x14ac:dyDescent="0.2">
      <c r="A4744">
        <v>4743</v>
      </c>
      <c r="B4744">
        <v>3380</v>
      </c>
      <c r="C4744">
        <f>1/COUNTIF(B:B,Table1[[#This Row],[order_id]])</f>
        <v>0.33333333333333331</v>
      </c>
      <c r="D4744" t="str">
        <f>TEXT(Table1[[#This Row],[order_date]],"mmmm")</f>
        <v>December</v>
      </c>
      <c r="E4744" s="1">
        <v>45657</v>
      </c>
      <c r="F4744" s="1" t="str">
        <f>TEXT(Table1[[#This Row],[order_date]],"dddd")</f>
        <v>Tuesday</v>
      </c>
      <c r="G4744">
        <f>HOUR(Table1[[#This Row],[order_time]])</f>
        <v>17</v>
      </c>
      <c r="H4744" s="2">
        <v>0.74714120370370374</v>
      </c>
      <c r="I4744" t="s">
        <v>16</v>
      </c>
      <c r="J4744" t="s">
        <v>28</v>
      </c>
      <c r="K4744">
        <v>1</v>
      </c>
      <c r="L4744">
        <v>25</v>
      </c>
      <c r="M4744">
        <v>25</v>
      </c>
      <c r="N4744">
        <f>IF(COUNTIFS($B$2:B4744,B4744)=1,1,0)</f>
        <v>0</v>
      </c>
    </row>
    <row r="4745" spans="1:14" x14ac:dyDescent="0.2">
      <c r="A4745">
        <v>4744</v>
      </c>
      <c r="B4745">
        <v>3381</v>
      </c>
      <c r="C4745">
        <f>1/COUNTIF(B:B,Table1[[#This Row],[order_id]])</f>
        <v>0.33333333333333331</v>
      </c>
      <c r="D4745" t="str">
        <f>TEXT(Table1[[#This Row],[order_date]],"mmmm")</f>
        <v>December</v>
      </c>
      <c r="E4745" s="1">
        <v>45657</v>
      </c>
      <c r="F4745" s="1" t="str">
        <f>TEXT(Table1[[#This Row],[order_date]],"dddd")</f>
        <v>Tuesday</v>
      </c>
      <c r="G4745">
        <f>HOUR(Table1[[#This Row],[order_time]])</f>
        <v>19</v>
      </c>
      <c r="H4745" s="2">
        <v>0.80989583333333337</v>
      </c>
      <c r="I4745" t="s">
        <v>9</v>
      </c>
      <c r="J4745" t="s">
        <v>21</v>
      </c>
      <c r="K4745">
        <v>1</v>
      </c>
      <c r="L4745">
        <v>10</v>
      </c>
      <c r="M4745">
        <v>10</v>
      </c>
      <c r="N4745">
        <f>IF(COUNTIFS($B$2:B4745,B4745)=1,1,0)</f>
        <v>1</v>
      </c>
    </row>
    <row r="4746" spans="1:14" x14ac:dyDescent="0.2">
      <c r="A4746">
        <v>4745</v>
      </c>
      <c r="B4746">
        <v>3381</v>
      </c>
      <c r="C4746">
        <f>1/COUNTIF(B:B,Table1[[#This Row],[order_id]])</f>
        <v>0.33333333333333331</v>
      </c>
      <c r="D4746" t="str">
        <f>TEXT(Table1[[#This Row],[order_date]],"mmmm")</f>
        <v>December</v>
      </c>
      <c r="E4746" s="1">
        <v>45657</v>
      </c>
      <c r="F4746" s="1" t="str">
        <f>TEXT(Table1[[#This Row],[order_date]],"dddd")</f>
        <v>Tuesday</v>
      </c>
      <c r="G4746">
        <f>HOUR(Table1[[#This Row],[order_time]])</f>
        <v>9</v>
      </c>
      <c r="H4746" s="2">
        <v>0.40053240740740742</v>
      </c>
      <c r="I4746" t="s">
        <v>16</v>
      </c>
      <c r="J4746" t="s">
        <v>23</v>
      </c>
      <c r="K4746">
        <v>2</v>
      </c>
      <c r="L4746">
        <v>30</v>
      </c>
      <c r="M4746">
        <v>60</v>
      </c>
      <c r="N4746">
        <f>IF(COUNTIFS($B$2:B4746,B4746)=1,1,0)</f>
        <v>0</v>
      </c>
    </row>
    <row r="4747" spans="1:14" x14ac:dyDescent="0.2">
      <c r="A4747">
        <v>4746</v>
      </c>
      <c r="B4747">
        <v>3381</v>
      </c>
      <c r="C4747">
        <f>1/COUNTIF(B:B,Table1[[#This Row],[order_id]])</f>
        <v>0.33333333333333331</v>
      </c>
      <c r="D4747" t="str">
        <f>TEXT(Table1[[#This Row],[order_date]],"mmmm")</f>
        <v>December</v>
      </c>
      <c r="E4747" s="1">
        <v>45657</v>
      </c>
      <c r="F4747" s="1" t="str">
        <f>TEXT(Table1[[#This Row],[order_date]],"dddd")</f>
        <v>Tuesday</v>
      </c>
      <c r="G4747">
        <f>HOUR(Table1[[#This Row],[order_time]])</f>
        <v>15</v>
      </c>
      <c r="H4747" s="2">
        <v>0.64979166666666666</v>
      </c>
      <c r="I4747" t="s">
        <v>16</v>
      </c>
      <c r="J4747" t="s">
        <v>28</v>
      </c>
      <c r="K4747">
        <v>5</v>
      </c>
      <c r="L4747">
        <v>25</v>
      </c>
      <c r="M4747">
        <v>125</v>
      </c>
      <c r="N4747">
        <f>IF(COUNTIFS($B$2:B4747,B4747)=1,1,0)</f>
        <v>0</v>
      </c>
    </row>
    <row r="4748" spans="1:14" x14ac:dyDescent="0.2">
      <c r="A4748">
        <v>4747</v>
      </c>
      <c r="B4748">
        <v>3382</v>
      </c>
      <c r="C4748">
        <f>1/COUNTIF(B:B,Table1[[#This Row],[order_id]])</f>
        <v>0.33333333333333331</v>
      </c>
      <c r="D4748" t="str">
        <f>TEXT(Table1[[#This Row],[order_date]],"mmmm")</f>
        <v>December</v>
      </c>
      <c r="E4748" s="1">
        <v>45657</v>
      </c>
      <c r="F4748" s="1" t="str">
        <f>TEXT(Table1[[#This Row],[order_date]],"dddd")</f>
        <v>Tuesday</v>
      </c>
      <c r="G4748">
        <f>HOUR(Table1[[#This Row],[order_time]])</f>
        <v>13</v>
      </c>
      <c r="H4748" s="2">
        <v>0.54219907407407408</v>
      </c>
      <c r="I4748" t="s">
        <v>16</v>
      </c>
      <c r="J4748" t="s">
        <v>23</v>
      </c>
      <c r="K4748">
        <v>3</v>
      </c>
      <c r="L4748">
        <v>30</v>
      </c>
      <c r="M4748">
        <v>90</v>
      </c>
      <c r="N4748">
        <f>IF(COUNTIFS($B$2:B4748,B4748)=1,1,0)</f>
        <v>1</v>
      </c>
    </row>
    <row r="4749" spans="1:14" x14ac:dyDescent="0.2">
      <c r="A4749">
        <v>4748</v>
      </c>
      <c r="B4749">
        <v>3382</v>
      </c>
      <c r="C4749">
        <f>1/COUNTIF(B:B,Table1[[#This Row],[order_id]])</f>
        <v>0.33333333333333331</v>
      </c>
      <c r="D4749" t="str">
        <f>TEXT(Table1[[#This Row],[order_date]],"mmmm")</f>
        <v>December</v>
      </c>
      <c r="E4749" s="1">
        <v>45657</v>
      </c>
      <c r="F4749" s="1" t="str">
        <f>TEXT(Table1[[#This Row],[order_date]],"dddd")</f>
        <v>Tuesday</v>
      </c>
      <c r="G4749">
        <f>HOUR(Table1[[#This Row],[order_time]])</f>
        <v>9</v>
      </c>
      <c r="H4749" s="2">
        <v>0.39383101851851854</v>
      </c>
      <c r="I4749" t="s">
        <v>16</v>
      </c>
      <c r="J4749" t="s">
        <v>17</v>
      </c>
      <c r="K4749">
        <v>4</v>
      </c>
      <c r="L4749">
        <v>20</v>
      </c>
      <c r="M4749">
        <v>80</v>
      </c>
      <c r="N4749">
        <f>IF(COUNTIFS($B$2:B4749,B4749)=1,1,0)</f>
        <v>0</v>
      </c>
    </row>
    <row r="4750" spans="1:14" x14ac:dyDescent="0.2">
      <c r="A4750">
        <v>4749</v>
      </c>
      <c r="B4750">
        <v>3382</v>
      </c>
      <c r="C4750">
        <f>1/COUNTIF(B:B,Table1[[#This Row],[order_id]])</f>
        <v>0.33333333333333331</v>
      </c>
      <c r="D4750" t="str">
        <f>TEXT(Table1[[#This Row],[order_date]],"mmmm")</f>
        <v>December</v>
      </c>
      <c r="E4750" s="1">
        <v>45657</v>
      </c>
      <c r="F4750" s="1" t="str">
        <f>TEXT(Table1[[#This Row],[order_date]],"dddd")</f>
        <v>Tuesday</v>
      </c>
      <c r="G4750">
        <f>HOUR(Table1[[#This Row],[order_time]])</f>
        <v>17</v>
      </c>
      <c r="H4750" s="2">
        <v>0.73101851851851851</v>
      </c>
      <c r="I4750" t="s">
        <v>11</v>
      </c>
      <c r="J4750" t="s">
        <v>15</v>
      </c>
      <c r="K4750">
        <v>4</v>
      </c>
      <c r="L4750">
        <v>600</v>
      </c>
      <c r="M4750">
        <v>2400</v>
      </c>
      <c r="N4750">
        <f>IF(COUNTIFS($B$2:B4750,B4750)=1,1,0)</f>
        <v>0</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00254F-D145-7A4D-A77E-5AE7E987912F}">
  <dimension ref="A3:D5"/>
  <sheetViews>
    <sheetView workbookViewId="0">
      <selection activeCell="I12" sqref="I12"/>
    </sheetView>
  </sheetViews>
  <sheetFormatPr baseColWidth="10" defaultRowHeight="16" x14ac:dyDescent="0.2"/>
  <cols>
    <col min="1" max="1" width="16" bestFit="1" customWidth="1"/>
    <col min="2" max="2" width="17.33203125" bestFit="1" customWidth="1"/>
    <col min="3" max="3" width="13.83203125" bestFit="1" customWidth="1"/>
    <col min="4" max="4" width="11.6640625" bestFit="1" customWidth="1"/>
  </cols>
  <sheetData>
    <row r="3" spans="1:4" x14ac:dyDescent="0.2">
      <c r="A3" t="s">
        <v>33</v>
      </c>
      <c r="B3" t="s">
        <v>35</v>
      </c>
      <c r="C3" t="s">
        <v>37</v>
      </c>
      <c r="D3" t="s">
        <v>36</v>
      </c>
    </row>
    <row r="4" spans="1:4" x14ac:dyDescent="0.2">
      <c r="A4" s="6">
        <v>2997350</v>
      </c>
      <c r="B4">
        <v>2382.9999999999882</v>
      </c>
      <c r="C4">
        <v>14223</v>
      </c>
      <c r="D4" s="7">
        <f>GETPIVOTDATA("Sum of total_price",$A$3)/GETPIVOTDATA("Sum of total_orders",$A$3)</f>
        <v>1257.8052874527968</v>
      </c>
    </row>
    <row r="5" spans="1:4" x14ac:dyDescent="0.2">
      <c r="A5" s="7">
        <f>GETPIVOTDATA("Sum of total_price",$A$3)</f>
        <v>2997350</v>
      </c>
      <c r="B5">
        <f>GETPIVOTDATA("Sum of total_orders",$A$3)</f>
        <v>2382.9999999999882</v>
      </c>
      <c r="C5">
        <f>GETPIVOTDATA("Sum of quantity",$A$3)</f>
        <v>14223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BA8738-1626-814D-BDB2-C107256F69C4}">
  <dimension ref="A3:D8"/>
  <sheetViews>
    <sheetView workbookViewId="0">
      <selection activeCell="D33" sqref="D33"/>
    </sheetView>
  </sheetViews>
  <sheetFormatPr baseColWidth="10" defaultRowHeight="16" x14ac:dyDescent="0.2"/>
  <cols>
    <col min="1" max="1" width="13" bestFit="1" customWidth="1"/>
    <col min="2" max="2" width="13.83203125" bestFit="1" customWidth="1"/>
    <col min="3" max="3" width="17.33203125" bestFit="1" customWidth="1"/>
    <col min="4" max="4" width="23.1640625" bestFit="1" customWidth="1"/>
  </cols>
  <sheetData>
    <row r="3" spans="1:4" x14ac:dyDescent="0.2">
      <c r="A3" s="3" t="s">
        <v>38</v>
      </c>
      <c r="B3" t="s">
        <v>37</v>
      </c>
      <c r="C3" t="s">
        <v>35</v>
      </c>
      <c r="D3" t="s">
        <v>40</v>
      </c>
    </row>
    <row r="4" spans="1:4" x14ac:dyDescent="0.2">
      <c r="A4" s="4" t="s">
        <v>9</v>
      </c>
      <c r="B4">
        <v>3570</v>
      </c>
      <c r="C4">
        <v>586.33333333333258</v>
      </c>
      <c r="D4" s="5">
        <f>GETPIVOTDATA("Sum of quantity",$A$3,"category","Bread")/GETPIVOTDATA("Sum of total_orders",$A$3,"category","Bread")</f>
        <v>6.0886867538374156</v>
      </c>
    </row>
    <row r="5" spans="1:4" x14ac:dyDescent="0.2">
      <c r="A5" s="4" t="s">
        <v>11</v>
      </c>
      <c r="B5">
        <v>3645</v>
      </c>
      <c r="C5">
        <v>617.50000000000011</v>
      </c>
      <c r="D5" s="5">
        <f>GETPIVOTDATA("Sum of quantity",$A$3,"category","Cake")/GETPIVOTDATA("Sum of total_orders",$A$3,"category","Cake")</f>
        <v>5.9028340080971651</v>
      </c>
    </row>
    <row r="6" spans="1:4" x14ac:dyDescent="0.2">
      <c r="A6" s="4" t="s">
        <v>16</v>
      </c>
      <c r="B6">
        <v>3536</v>
      </c>
      <c r="C6">
        <v>593.16666666666606</v>
      </c>
      <c r="D6" s="5">
        <f>GETPIVOTDATA("Sum of quantity",$A$3,"category","Cookies")/GETPIVOTDATA("Sum of total_orders",$A$3,"category","Cookies")</f>
        <v>5.9612250632200121</v>
      </c>
    </row>
    <row r="7" spans="1:4" x14ac:dyDescent="0.2">
      <c r="A7" s="4" t="s">
        <v>18</v>
      </c>
      <c r="B7">
        <v>3472</v>
      </c>
      <c r="C7">
        <v>585.99999999999909</v>
      </c>
      <c r="D7" s="5">
        <f>GETPIVOTDATA("Sum of quantity",$A$3,"category","Pastry")/GETPIVOTDATA("Sum of total_orders",$A$3,"category","Pastry")</f>
        <v>5.9249146757679272</v>
      </c>
    </row>
    <row r="8" spans="1:4" x14ac:dyDescent="0.2">
      <c r="A8" s="4" t="s">
        <v>39</v>
      </c>
      <c r="B8">
        <v>14223</v>
      </c>
      <c r="C8">
        <v>2382.9999999999977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54B24E-C989-EB41-B8DC-67F409791616}">
  <dimension ref="A2:C105"/>
  <sheetViews>
    <sheetView tabSelected="1" topLeftCell="A83" zoomScale="187" zoomScaleNormal="187" workbookViewId="0">
      <selection activeCell="B33" sqref="B33"/>
    </sheetView>
  </sheetViews>
  <sheetFormatPr baseColWidth="10" defaultRowHeight="16" x14ac:dyDescent="0.2"/>
  <cols>
    <col min="1" max="1" width="14.6640625" bestFit="1" customWidth="1"/>
    <col min="2" max="3" width="16" bestFit="1" customWidth="1"/>
  </cols>
  <sheetData>
    <row r="2" spans="1:2" x14ac:dyDescent="0.2">
      <c r="A2" t="s">
        <v>48</v>
      </c>
    </row>
    <row r="3" spans="1:2" x14ac:dyDescent="0.2">
      <c r="A3" s="3" t="s">
        <v>38</v>
      </c>
      <c r="B3" t="s">
        <v>35</v>
      </c>
    </row>
    <row r="4" spans="1:2" x14ac:dyDescent="0.2">
      <c r="A4" s="4" t="s">
        <v>41</v>
      </c>
      <c r="B4">
        <v>324.99999999999898</v>
      </c>
    </row>
    <row r="5" spans="1:2" x14ac:dyDescent="0.2">
      <c r="A5" s="4" t="s">
        <v>42</v>
      </c>
      <c r="B5">
        <v>339.99999999999949</v>
      </c>
    </row>
    <row r="6" spans="1:2" x14ac:dyDescent="0.2">
      <c r="A6" s="4" t="s">
        <v>43</v>
      </c>
      <c r="B6">
        <v>377.99999999999875</v>
      </c>
    </row>
    <row r="7" spans="1:2" x14ac:dyDescent="0.2">
      <c r="A7" s="4" t="s">
        <v>44</v>
      </c>
      <c r="B7">
        <v>331.99999999999926</v>
      </c>
    </row>
    <row r="8" spans="1:2" x14ac:dyDescent="0.2">
      <c r="A8" s="4" t="s">
        <v>45</v>
      </c>
      <c r="B8">
        <v>330.99999999999977</v>
      </c>
    </row>
    <row r="9" spans="1:2" x14ac:dyDescent="0.2">
      <c r="A9" s="4" t="s">
        <v>46</v>
      </c>
      <c r="B9">
        <v>332.99999999999966</v>
      </c>
    </row>
    <row r="10" spans="1:2" x14ac:dyDescent="0.2">
      <c r="A10" s="4" t="s">
        <v>47</v>
      </c>
      <c r="B10">
        <v>343.99999999999858</v>
      </c>
    </row>
    <row r="11" spans="1:2" x14ac:dyDescent="0.2">
      <c r="A11" s="4" t="s">
        <v>39</v>
      </c>
      <c r="B11">
        <v>2382.9999999999945</v>
      </c>
    </row>
    <row r="14" spans="1:2" x14ac:dyDescent="0.2">
      <c r="A14" s="4" t="s">
        <v>49</v>
      </c>
    </row>
    <row r="15" spans="1:2" x14ac:dyDescent="0.2">
      <c r="A15" s="3" t="s">
        <v>38</v>
      </c>
      <c r="B15" t="s">
        <v>65</v>
      </c>
    </row>
    <row r="16" spans="1:2" x14ac:dyDescent="0.2">
      <c r="A16" s="4" t="s">
        <v>50</v>
      </c>
      <c r="B16">
        <v>198</v>
      </c>
    </row>
    <row r="17" spans="1:2" x14ac:dyDescent="0.2">
      <c r="A17" s="4" t="s">
        <v>51</v>
      </c>
      <c r="B17">
        <v>218</v>
      </c>
    </row>
    <row r="18" spans="1:2" x14ac:dyDescent="0.2">
      <c r="A18" s="4" t="s">
        <v>52</v>
      </c>
      <c r="B18">
        <v>196</v>
      </c>
    </row>
    <row r="19" spans="1:2" x14ac:dyDescent="0.2">
      <c r="A19" s="4" t="s">
        <v>53</v>
      </c>
      <c r="B19">
        <v>188</v>
      </c>
    </row>
    <row r="20" spans="1:2" x14ac:dyDescent="0.2">
      <c r="A20" s="4" t="s">
        <v>54</v>
      </c>
      <c r="B20">
        <v>177</v>
      </c>
    </row>
    <row r="21" spans="1:2" x14ac:dyDescent="0.2">
      <c r="A21" s="4" t="s">
        <v>55</v>
      </c>
      <c r="B21">
        <v>194</v>
      </c>
    </row>
    <row r="22" spans="1:2" x14ac:dyDescent="0.2">
      <c r="A22" s="4" t="s">
        <v>56</v>
      </c>
      <c r="B22">
        <v>202</v>
      </c>
    </row>
    <row r="23" spans="1:2" x14ac:dyDescent="0.2">
      <c r="A23" s="4" t="s">
        <v>57</v>
      </c>
      <c r="B23">
        <v>195</v>
      </c>
    </row>
    <row r="24" spans="1:2" x14ac:dyDescent="0.2">
      <c r="A24" s="4" t="s">
        <v>58</v>
      </c>
      <c r="B24">
        <v>197</v>
      </c>
    </row>
    <row r="25" spans="1:2" x14ac:dyDescent="0.2">
      <c r="A25" s="4" t="s">
        <v>59</v>
      </c>
      <c r="B25">
        <v>225</v>
      </c>
    </row>
    <row r="26" spans="1:2" x14ac:dyDescent="0.2">
      <c r="A26" s="4" t="s">
        <v>60</v>
      </c>
      <c r="B26">
        <v>202</v>
      </c>
    </row>
    <row r="27" spans="1:2" x14ac:dyDescent="0.2">
      <c r="A27" s="4" t="s">
        <v>61</v>
      </c>
      <c r="B27">
        <v>191</v>
      </c>
    </row>
    <row r="28" spans="1:2" x14ac:dyDescent="0.2">
      <c r="A28" s="4" t="s">
        <v>39</v>
      </c>
      <c r="B28">
        <v>2383</v>
      </c>
    </row>
    <row r="31" spans="1:2" x14ac:dyDescent="0.2">
      <c r="A31" t="s">
        <v>70</v>
      </c>
    </row>
    <row r="32" spans="1:2" x14ac:dyDescent="0.2">
      <c r="A32" s="3" t="s">
        <v>38</v>
      </c>
      <c r="B32" t="s">
        <v>33</v>
      </c>
    </row>
    <row r="33" spans="1:2" x14ac:dyDescent="0.2">
      <c r="A33" s="4" t="s">
        <v>11</v>
      </c>
      <c r="B33">
        <v>2670910</v>
      </c>
    </row>
    <row r="34" spans="1:2" x14ac:dyDescent="0.2">
      <c r="A34" s="4" t="s">
        <v>18</v>
      </c>
      <c r="B34">
        <v>173870</v>
      </c>
    </row>
    <row r="35" spans="1:2" x14ac:dyDescent="0.2">
      <c r="A35" s="4" t="s">
        <v>16</v>
      </c>
      <c r="B35">
        <v>97830</v>
      </c>
    </row>
    <row r="36" spans="1:2" x14ac:dyDescent="0.2">
      <c r="A36" s="4" t="s">
        <v>9</v>
      </c>
      <c r="B36">
        <v>54740</v>
      </c>
    </row>
    <row r="37" spans="1:2" x14ac:dyDescent="0.2">
      <c r="A37" s="4" t="s">
        <v>39</v>
      </c>
      <c r="B37">
        <v>2997350</v>
      </c>
    </row>
    <row r="42" spans="1:2" x14ac:dyDescent="0.2">
      <c r="A42" t="s">
        <v>67</v>
      </c>
    </row>
    <row r="43" spans="1:2" x14ac:dyDescent="0.2">
      <c r="A43" s="3" t="s">
        <v>38</v>
      </c>
      <c r="B43" t="s">
        <v>33</v>
      </c>
    </row>
    <row r="44" spans="1:2" x14ac:dyDescent="0.2">
      <c r="A44" s="4" t="s">
        <v>29</v>
      </c>
      <c r="B44" s="8">
        <v>1.1877158156371461E-3</v>
      </c>
    </row>
    <row r="45" spans="1:2" x14ac:dyDescent="0.2">
      <c r="A45" s="4" t="s">
        <v>21</v>
      </c>
      <c r="B45" s="8">
        <v>2.2386441356531603E-3</v>
      </c>
    </row>
    <row r="46" spans="1:2" x14ac:dyDescent="0.2">
      <c r="A46" s="4" t="s">
        <v>22</v>
      </c>
      <c r="B46" s="8">
        <v>3.4630590354813419E-3</v>
      </c>
    </row>
    <row r="47" spans="1:2" x14ac:dyDescent="0.2">
      <c r="A47" s="4" t="s">
        <v>10</v>
      </c>
      <c r="B47" s="8">
        <v>4.3838724206382304E-3</v>
      </c>
    </row>
    <row r="48" spans="1:2" x14ac:dyDescent="0.2">
      <c r="A48" s="4" t="s">
        <v>17</v>
      </c>
      <c r="B48" s="8">
        <v>5.504862628655312E-3</v>
      </c>
    </row>
    <row r="49" spans="1:3" x14ac:dyDescent="0.2">
      <c r="A49" s="4" t="s">
        <v>20</v>
      </c>
      <c r="B49" s="8">
        <v>6.9895073982017449E-3</v>
      </c>
    </row>
    <row r="50" spans="1:3" x14ac:dyDescent="0.2">
      <c r="A50" s="4" t="s">
        <v>28</v>
      </c>
      <c r="B50" s="8">
        <v>7.3731796420171154E-3</v>
      </c>
      <c r="C50" t="s">
        <v>66</v>
      </c>
    </row>
    <row r="51" spans="1:3" x14ac:dyDescent="0.2">
      <c r="A51" s="4" t="s">
        <v>27</v>
      </c>
      <c r="B51" s="8">
        <v>8.4207716816521259E-3</v>
      </c>
    </row>
    <row r="52" spans="1:3" x14ac:dyDescent="0.2">
      <c r="A52" s="4" t="s">
        <v>23</v>
      </c>
      <c r="B52" s="8">
        <v>9.4383371978581081E-3</v>
      </c>
    </row>
    <row r="53" spans="1:3" x14ac:dyDescent="0.2">
      <c r="A53" s="4" t="s">
        <v>24</v>
      </c>
      <c r="B53" s="8">
        <v>1.0322451498823961E-2</v>
      </c>
    </row>
    <row r="54" spans="1:3" x14ac:dyDescent="0.2">
      <c r="A54" s="4" t="s">
        <v>31</v>
      </c>
      <c r="B54" s="8">
        <v>1.1019734098453634E-2</v>
      </c>
    </row>
    <row r="55" spans="1:3" x14ac:dyDescent="0.2">
      <c r="A55" s="4" t="s">
        <v>26</v>
      </c>
      <c r="B55" s="8">
        <v>1.1560211520176156E-2</v>
      </c>
    </row>
    <row r="56" spans="1:3" x14ac:dyDescent="0.2">
      <c r="A56" s="4" t="s">
        <v>19</v>
      </c>
      <c r="B56" s="8">
        <v>1.2794635261147347E-2</v>
      </c>
    </row>
    <row r="57" spans="1:3" x14ac:dyDescent="0.2">
      <c r="A57" s="4" t="s">
        <v>30</v>
      </c>
      <c r="B57" s="8">
        <v>1.4212554423073715E-2</v>
      </c>
    </row>
    <row r="58" spans="1:3" x14ac:dyDescent="0.2">
      <c r="A58" s="4" t="s">
        <v>12</v>
      </c>
      <c r="B58" s="8">
        <v>0.13727125627637746</v>
      </c>
    </row>
    <row r="59" spans="1:3" x14ac:dyDescent="0.2">
      <c r="A59" s="4" t="s">
        <v>15</v>
      </c>
      <c r="B59" s="8">
        <v>0.1433266051678983</v>
      </c>
    </row>
    <row r="60" spans="1:3" x14ac:dyDescent="0.2">
      <c r="A60" s="4" t="s">
        <v>13</v>
      </c>
      <c r="B60" s="8">
        <v>0.16266368625619296</v>
      </c>
    </row>
    <row r="61" spans="1:3" x14ac:dyDescent="0.2">
      <c r="A61" s="4" t="s">
        <v>14</v>
      </c>
      <c r="B61" s="8">
        <v>0.18426276544280781</v>
      </c>
    </row>
    <row r="62" spans="1:3" x14ac:dyDescent="0.2">
      <c r="A62" s="4" t="s">
        <v>25</v>
      </c>
      <c r="B62" s="8">
        <v>0.26356615009925433</v>
      </c>
    </row>
    <row r="63" spans="1:3" x14ac:dyDescent="0.2">
      <c r="A63" s="4" t="s">
        <v>39</v>
      </c>
      <c r="B63" s="8">
        <v>1</v>
      </c>
    </row>
    <row r="67" spans="1:3" x14ac:dyDescent="0.2">
      <c r="A67" t="s">
        <v>71</v>
      </c>
    </row>
    <row r="68" spans="1:3" x14ac:dyDescent="0.2">
      <c r="A68" s="3" t="s">
        <v>38</v>
      </c>
      <c r="B68" t="s">
        <v>37</v>
      </c>
    </row>
    <row r="69" spans="1:3" x14ac:dyDescent="0.2">
      <c r="A69" s="4" t="s">
        <v>23</v>
      </c>
      <c r="B69" s="8">
        <v>0.21559213534522176</v>
      </c>
    </row>
    <row r="70" spans="1:3" x14ac:dyDescent="0.2">
      <c r="A70" s="4" t="s">
        <v>28</v>
      </c>
      <c r="B70" s="8">
        <v>0.20210333790580703</v>
      </c>
    </row>
    <row r="71" spans="1:3" x14ac:dyDescent="0.2">
      <c r="A71" s="4" t="s">
        <v>24</v>
      </c>
      <c r="B71" s="8">
        <v>0.20210333790580703</v>
      </c>
    </row>
    <row r="72" spans="1:3" x14ac:dyDescent="0.2">
      <c r="A72" s="4" t="s">
        <v>20</v>
      </c>
      <c r="B72" s="8">
        <v>0.19158664837677183</v>
      </c>
    </row>
    <row r="73" spans="1:3" x14ac:dyDescent="0.2">
      <c r="A73" s="4" t="s">
        <v>17</v>
      </c>
      <c r="B73" s="8">
        <v>0.18861454046639231</v>
      </c>
    </row>
    <row r="74" spans="1:3" x14ac:dyDescent="0.2">
      <c r="A74" s="4" t="s">
        <v>39</v>
      </c>
      <c r="B74" s="8">
        <v>1</v>
      </c>
    </row>
    <row r="75" spans="1:3" x14ac:dyDescent="0.2">
      <c r="C75" t="s">
        <v>66</v>
      </c>
    </row>
    <row r="78" spans="1:3" x14ac:dyDescent="0.2">
      <c r="A78" t="s">
        <v>72</v>
      </c>
    </row>
    <row r="79" spans="1:3" x14ac:dyDescent="0.2">
      <c r="A79" s="3" t="s">
        <v>38</v>
      </c>
      <c r="B79" t="s">
        <v>37</v>
      </c>
    </row>
    <row r="80" spans="1:3" x14ac:dyDescent="0.2">
      <c r="A80" s="4" t="s">
        <v>26</v>
      </c>
      <c r="B80" s="8">
        <v>0.19553072625698323</v>
      </c>
    </row>
    <row r="81" spans="1:3" x14ac:dyDescent="0.2">
      <c r="A81" s="4" t="s">
        <v>27</v>
      </c>
      <c r="B81" s="8">
        <v>0.19584109248913717</v>
      </c>
    </row>
    <row r="82" spans="1:3" x14ac:dyDescent="0.2">
      <c r="A82" s="4" t="s">
        <v>12</v>
      </c>
      <c r="B82" s="8">
        <v>0.19646182495344505</v>
      </c>
    </row>
    <row r="83" spans="1:3" x14ac:dyDescent="0.2">
      <c r="A83" s="4" t="s">
        <v>10</v>
      </c>
      <c r="B83" s="8">
        <v>0.20391061452513967</v>
      </c>
    </row>
    <row r="84" spans="1:3" x14ac:dyDescent="0.2">
      <c r="A84" s="4" t="s">
        <v>21</v>
      </c>
      <c r="B84" s="8">
        <v>0.20825574177529485</v>
      </c>
    </row>
    <row r="85" spans="1:3" x14ac:dyDescent="0.2">
      <c r="A85" s="4" t="s">
        <v>39</v>
      </c>
      <c r="B85" s="8">
        <v>1</v>
      </c>
    </row>
    <row r="86" spans="1:3" x14ac:dyDescent="0.2">
      <c r="C86" t="s">
        <v>66</v>
      </c>
    </row>
    <row r="88" spans="1:3" x14ac:dyDescent="0.2">
      <c r="A88" t="s">
        <v>68</v>
      </c>
    </row>
    <row r="89" spans="1:3" x14ac:dyDescent="0.2">
      <c r="A89" s="3" t="s">
        <v>38</v>
      </c>
      <c r="B89" t="s">
        <v>33</v>
      </c>
    </row>
    <row r="90" spans="1:3" x14ac:dyDescent="0.2">
      <c r="A90" s="4" t="s">
        <v>25</v>
      </c>
      <c r="B90" s="8">
        <v>0.29577934112343734</v>
      </c>
    </row>
    <row r="91" spans="1:3" x14ac:dyDescent="0.2">
      <c r="A91" s="4" t="s">
        <v>14</v>
      </c>
      <c r="B91" s="8">
        <v>0.20678345582591701</v>
      </c>
    </row>
    <row r="92" spans="1:3" x14ac:dyDescent="0.2">
      <c r="A92" s="4" t="s">
        <v>13</v>
      </c>
      <c r="B92" s="8">
        <v>0.18254452602296595</v>
      </c>
    </row>
    <row r="93" spans="1:3" x14ac:dyDescent="0.2">
      <c r="A93" s="4" t="s">
        <v>15</v>
      </c>
      <c r="B93" s="8">
        <v>0.16084405689446668</v>
      </c>
    </row>
    <row r="94" spans="1:3" x14ac:dyDescent="0.2">
      <c r="A94" s="4" t="s">
        <v>12</v>
      </c>
      <c r="B94" s="8">
        <v>0.15404862013321302</v>
      </c>
    </row>
    <row r="95" spans="1:3" x14ac:dyDescent="0.2">
      <c r="A95" s="4" t="s">
        <v>39</v>
      </c>
      <c r="B95" s="8">
        <v>1</v>
      </c>
    </row>
    <row r="98" spans="1:2" x14ac:dyDescent="0.2">
      <c r="A98" t="s">
        <v>69</v>
      </c>
    </row>
    <row r="99" spans="1:2" x14ac:dyDescent="0.2">
      <c r="A99" s="3" t="s">
        <v>38</v>
      </c>
      <c r="B99" t="s">
        <v>33</v>
      </c>
    </row>
    <row r="100" spans="1:2" x14ac:dyDescent="0.2">
      <c r="A100" s="4" t="s">
        <v>29</v>
      </c>
      <c r="B100" s="8">
        <v>7.0789421356134419E-2</v>
      </c>
    </row>
    <row r="101" spans="1:2" x14ac:dyDescent="0.2">
      <c r="A101" s="4" t="s">
        <v>21</v>
      </c>
      <c r="B101" s="8">
        <v>0.13342612845496121</v>
      </c>
    </row>
    <row r="102" spans="1:2" x14ac:dyDescent="0.2">
      <c r="A102" s="4" t="s">
        <v>22</v>
      </c>
      <c r="B102" s="8">
        <v>0.20640286339232453</v>
      </c>
    </row>
    <row r="103" spans="1:2" x14ac:dyDescent="0.2">
      <c r="A103" s="4" t="s">
        <v>10</v>
      </c>
      <c r="B103" s="8">
        <v>0.26128454961224895</v>
      </c>
    </row>
    <row r="104" spans="1:2" x14ac:dyDescent="0.2">
      <c r="A104" s="4" t="s">
        <v>17</v>
      </c>
      <c r="B104" s="8">
        <v>0.32809703718433086</v>
      </c>
    </row>
    <row r="105" spans="1:2" x14ac:dyDescent="0.2">
      <c r="A105" s="4" t="s">
        <v>39</v>
      </c>
      <c r="B105" s="8">
        <v>1</v>
      </c>
    </row>
  </sheetData>
  <pageMargins left="0.7" right="0.7" top="0.75" bottom="0.75" header="0.3" footer="0.3"/>
  <drawing r:id="rId9"/>
  <extLst>
    <ext xmlns:x14="http://schemas.microsoft.com/office/spreadsheetml/2009/9/main" uri="{A8765BA9-456A-4dab-B4F3-ACF838C121DE}">
      <x14:slicerList>
        <x14:slicer r:id="rId10"/>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6AD3E6-6BEC-8B45-9951-3B1840023098}">
  <dimension ref="H7:AK67"/>
  <sheetViews>
    <sheetView showGridLines="0" topLeftCell="B1" zoomScale="61" zoomScaleNormal="61" workbookViewId="0">
      <selection activeCell="AK45" sqref="AK45"/>
    </sheetView>
  </sheetViews>
  <sheetFormatPr baseColWidth="10" defaultRowHeight="16" x14ac:dyDescent="0.2"/>
  <sheetData>
    <row r="7" spans="10:10" x14ac:dyDescent="0.2">
      <c r="J7" t="e" vm="1">
        <v>#VALUE!</v>
      </c>
    </row>
    <row r="22" spans="36:36" x14ac:dyDescent="0.2">
      <c r="AJ22" s="9"/>
    </row>
    <row r="45" spans="37:37" x14ac:dyDescent="0.2">
      <c r="AK45" t="s">
        <v>75</v>
      </c>
    </row>
    <row r="67" spans="8:8" x14ac:dyDescent="0.2">
      <c r="H67" t="s">
        <v>74</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Bakery_Sales_Data_2024</vt:lpstr>
      <vt:lpstr>KPI</vt:lpstr>
      <vt:lpstr>KPI2</vt:lpstr>
      <vt:lpstr>data trends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Jullianne Ecleo</dc:creator>
  <cp:lastModifiedBy>Jullianne Ecleo</cp:lastModifiedBy>
  <dcterms:created xsi:type="dcterms:W3CDTF">2025-10-21T11:25:05Z</dcterms:created>
  <dcterms:modified xsi:type="dcterms:W3CDTF">2025-11-08T17:18:59Z</dcterms:modified>
</cp:coreProperties>
</file>